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namedSheetViews/namedSheetView1.xml" ContentType="application/vnd.ms-excel.namedsheetviews+xml"/>
  <Override PartName="/xl/pivotTables/pivotTable1.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20_Departments\13_AD\2010_Research\2022_KI4BoardNet\96_Abschluss\Daten_OpenCar\hochgeladen_GitHub\"/>
    </mc:Choice>
  </mc:AlternateContent>
  <xr:revisionPtr revIDLastSave="0" documentId="13_ncr:1_{53569487-4CE3-4E75-84F1-EF1F5C9CFAF3}" xr6:coauthVersionLast="47" xr6:coauthVersionMax="47" xr10:uidLastSave="{00000000-0000-0000-0000-000000000000}"/>
  <bookViews>
    <workbookView xWindow="-23148" yWindow="-108" windowWidth="23256" windowHeight="13896" tabRatio="662" activeTab="2" xr2:uid="{00000000-000D-0000-FFFF-FFFF00000000}"/>
  </bookViews>
  <sheets>
    <sheet name="Revision Record" sheetId="8" r:id="rId1"/>
    <sheet name="EDAG_Feature_List_KI4BN" sheetId="9" r:id="rId2"/>
    <sheet name="Components Pins List" sheetId="11" r:id="rId3"/>
    <sheet name="Pivot" sheetId="31" r:id="rId4"/>
    <sheet name="Info Sources" sheetId="29" r:id="rId5"/>
    <sheet name="Coordinates" sheetId="15" r:id="rId6"/>
    <sheet name="Components List Meanings" sheetId="20" r:id="rId7"/>
  </sheets>
  <definedNames>
    <definedName name="_xlnm._FilterDatabase" localSheetId="2" hidden="1">'Components Pins List'!$A$9:$AA$2890</definedName>
    <definedName name="_xlnm._FilterDatabase" localSheetId="4" hidden="1">'Info Sources'!$A$2:$G$894</definedName>
    <definedName name="_xlnm._FilterDatabase" localSheetId="0" hidden="1">'Revision Record'!$A$6:$C$6</definedName>
    <definedName name="ColumnToSearch" localSheetId="2">'Components Pins List'!$D:$D</definedName>
    <definedName name="ColumnToSearch">#REF!</definedName>
    <definedName name="FeatureName">#REF!</definedName>
    <definedName name="FeatureNumber">EDAG_Feature_List_KI4BN!$F$7:$F$470</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606" i="11" l="1"/>
  <c r="AA2263" i="11"/>
  <c r="Z2263" i="11"/>
  <c r="Y2263" i="11"/>
  <c r="X2263" i="11"/>
  <c r="AA2262" i="11"/>
  <c r="Z2262" i="11"/>
  <c r="Y2262" i="11"/>
  <c r="X2262" i="11"/>
  <c r="AA2261" i="11"/>
  <c r="Z2261" i="11"/>
  <c r="Y2261" i="11"/>
  <c r="X2261" i="11"/>
  <c r="M2718" i="11" l="1"/>
  <c r="M2890" i="11" l="1"/>
  <c r="M2884" i="11"/>
  <c r="M2889" i="11"/>
  <c r="M2888" i="11"/>
  <c r="M2887" i="11"/>
  <c r="M2886" i="11"/>
  <c r="M2885" i="11"/>
  <c r="M2883" i="11"/>
  <c r="M2882" i="11"/>
  <c r="M2881" i="11"/>
  <c r="M2880" i="11"/>
  <c r="M2879" i="11"/>
  <c r="M2878" i="11"/>
  <c r="M2877" i="11"/>
  <c r="M2876" i="11"/>
  <c r="M2875" i="11"/>
  <c r="M2874" i="11"/>
  <c r="M2873" i="11"/>
  <c r="M2872" i="11"/>
  <c r="M2871" i="11"/>
  <c r="M2870" i="11"/>
  <c r="M2869" i="11"/>
  <c r="M2868" i="11"/>
  <c r="M2867" i="11"/>
  <c r="M2866" i="11"/>
  <c r="M2865" i="11"/>
  <c r="M2864" i="11"/>
  <c r="M2862" i="11"/>
  <c r="M2863" i="11"/>
  <c r="M2861" i="11"/>
  <c r="M2860" i="11"/>
  <c r="M2859" i="11"/>
  <c r="M2858" i="11"/>
  <c r="M2857" i="11"/>
  <c r="M2856" i="11"/>
  <c r="M2855" i="11"/>
  <c r="M2854" i="11"/>
  <c r="M2853" i="11"/>
  <c r="M2852" i="11"/>
  <c r="M2851" i="11"/>
  <c r="M2850" i="11"/>
  <c r="M2849" i="11"/>
  <c r="M2848" i="11"/>
  <c r="M2847" i="11"/>
  <c r="M2846" i="11"/>
  <c r="M2845" i="11"/>
  <c r="M2844" i="11"/>
  <c r="M2843" i="11"/>
  <c r="M2842" i="11"/>
  <c r="M2841" i="11"/>
  <c r="M2840" i="11"/>
  <c r="M2839" i="11"/>
  <c r="M2838" i="11"/>
  <c r="M2837" i="11"/>
  <c r="M2836" i="11"/>
  <c r="M2835" i="11"/>
  <c r="M2834" i="11"/>
  <c r="M2833" i="11"/>
  <c r="M2832" i="11"/>
  <c r="M2831" i="11"/>
  <c r="M2830" i="11"/>
  <c r="M2829" i="11"/>
  <c r="M2828" i="11"/>
  <c r="M2827" i="11"/>
  <c r="M2826" i="11"/>
  <c r="M2825" i="11"/>
  <c r="M2824" i="11"/>
  <c r="M2823" i="11"/>
  <c r="M2822" i="11"/>
  <c r="M2821" i="11"/>
  <c r="M2820" i="11"/>
  <c r="M2819" i="11"/>
  <c r="M2818" i="11"/>
  <c r="M2817" i="11"/>
  <c r="M2816" i="11"/>
  <c r="M2815" i="11"/>
  <c r="M2814" i="11"/>
  <c r="M2813" i="11"/>
  <c r="M2812" i="11"/>
  <c r="M2811" i="11"/>
  <c r="M2810" i="11"/>
  <c r="M2809" i="11"/>
  <c r="M2808" i="11"/>
  <c r="M2807" i="11"/>
  <c r="M2806" i="11"/>
  <c r="M2805" i="11"/>
  <c r="M2804" i="11"/>
  <c r="M2803" i="11"/>
  <c r="M2802" i="11"/>
  <c r="M2801" i="11"/>
  <c r="M2800" i="11"/>
  <c r="M2799" i="11"/>
  <c r="M2798" i="11"/>
  <c r="M2797" i="11"/>
  <c r="M2796" i="11"/>
  <c r="M2795" i="11"/>
  <c r="M2794" i="11"/>
  <c r="M2793" i="11"/>
  <c r="M2792" i="11"/>
  <c r="M2791" i="11"/>
  <c r="M2790" i="11"/>
  <c r="M2789" i="11"/>
  <c r="M2788" i="11"/>
  <c r="M2787" i="11"/>
  <c r="M2786" i="11"/>
  <c r="M2785" i="11"/>
  <c r="M2784" i="11"/>
  <c r="M2783" i="11"/>
  <c r="M2782" i="11"/>
  <c r="M2781" i="11"/>
  <c r="M2779" i="11"/>
  <c r="M2778" i="11"/>
  <c r="M2780" i="11"/>
  <c r="M2777" i="11"/>
  <c r="M2776" i="11"/>
  <c r="M2774" i="11"/>
  <c r="M2773" i="11"/>
  <c r="M2775" i="11"/>
  <c r="M2772" i="11"/>
  <c r="M2771" i="11"/>
  <c r="M2770" i="11"/>
  <c r="M2769" i="11"/>
  <c r="M2768" i="11"/>
  <c r="M2767" i="11"/>
  <c r="M2766" i="11"/>
  <c r="M2765" i="11"/>
  <c r="M2764" i="11"/>
  <c r="M2763" i="11"/>
  <c r="M2762" i="11"/>
  <c r="M2761" i="11"/>
  <c r="M2760" i="11"/>
  <c r="M2759" i="11"/>
  <c r="M2758" i="11"/>
  <c r="M2757" i="11"/>
  <c r="M2756" i="11"/>
  <c r="M2755" i="11"/>
  <c r="M2754" i="11"/>
  <c r="M2753" i="11"/>
  <c r="M2752" i="11"/>
  <c r="M2751" i="11"/>
  <c r="M2750" i="11"/>
  <c r="M2749" i="11"/>
  <c r="M2748" i="11"/>
  <c r="M2747" i="11"/>
  <c r="M2746" i="11"/>
  <c r="M2745" i="11"/>
  <c r="M2744" i="11"/>
  <c r="M2743" i="11"/>
  <c r="M2742" i="11"/>
  <c r="M2741" i="11"/>
  <c r="M2740" i="11"/>
  <c r="M2739" i="11"/>
  <c r="M2738" i="11"/>
  <c r="M2737" i="11"/>
  <c r="M2736" i="11"/>
  <c r="M2735" i="11"/>
  <c r="M2734" i="11"/>
  <c r="M2733" i="11"/>
  <c r="M2731" i="11"/>
  <c r="M2732" i="11"/>
  <c r="M2729" i="11"/>
  <c r="M2730" i="11"/>
  <c r="M2728" i="11"/>
  <c r="M2727" i="11"/>
  <c r="M2726" i="11"/>
  <c r="M2725" i="11"/>
  <c r="M2724" i="11"/>
  <c r="M2723" i="11"/>
  <c r="M2722" i="11"/>
  <c r="M2721" i="11"/>
  <c r="M2720" i="11"/>
  <c r="M2719" i="11"/>
  <c r="M2714" i="11"/>
  <c r="M2717" i="11"/>
  <c r="M2716" i="11"/>
  <c r="M2715" i="11"/>
  <c r="M2713" i="11"/>
  <c r="M2712" i="11"/>
  <c r="M2711" i="11"/>
  <c r="M2710" i="11"/>
  <c r="M2709" i="11"/>
  <c r="M2708" i="11"/>
  <c r="M2707" i="11"/>
  <c r="M2706" i="11"/>
  <c r="M2705" i="11"/>
  <c r="M2704" i="11"/>
  <c r="M2703" i="11"/>
  <c r="M2702" i="11"/>
  <c r="M2701" i="11"/>
  <c r="M2700" i="11"/>
  <c r="M2699" i="11"/>
  <c r="M2698" i="11"/>
  <c r="M2697" i="11"/>
  <c r="M2696" i="11"/>
  <c r="M2695" i="11"/>
  <c r="M2694" i="11"/>
  <c r="M2693" i="11"/>
  <c r="M2692" i="11"/>
  <c r="M2691" i="11"/>
  <c r="M2690" i="11"/>
  <c r="M2689" i="11"/>
  <c r="M2688" i="11"/>
  <c r="M2687" i="11"/>
  <c r="M2686" i="11"/>
  <c r="M2685" i="11"/>
  <c r="M2684" i="11"/>
  <c r="M2683" i="11"/>
  <c r="M2682" i="11"/>
  <c r="M2671" i="11"/>
  <c r="M2680" i="11"/>
  <c r="M2676" i="11"/>
  <c r="M2675" i="11"/>
  <c r="M2674" i="11"/>
  <c r="M2679" i="11"/>
  <c r="M2678" i="11"/>
  <c r="M2670" i="11"/>
  <c r="M2681" i="11"/>
  <c r="M2677" i="11"/>
  <c r="M2669" i="11"/>
  <c r="M2668" i="11"/>
  <c r="M2673" i="11"/>
  <c r="M2672" i="11"/>
  <c r="M2667" i="11"/>
  <c r="M2663" i="11"/>
  <c r="M2662" i="11"/>
  <c r="M2652" i="11"/>
  <c r="M2661" i="11"/>
  <c r="M2660" i="11"/>
  <c r="M2666" i="11"/>
  <c r="M2657" i="11"/>
  <c r="M2659" i="11"/>
  <c r="M2656" i="11"/>
  <c r="M2655" i="11"/>
  <c r="M2665" i="11"/>
  <c r="M2664" i="11"/>
  <c r="M2658" i="11"/>
  <c r="M2654" i="11"/>
  <c r="M2653" i="11"/>
  <c r="M2651" i="11"/>
  <c r="M2650" i="11"/>
  <c r="M2649" i="11"/>
  <c r="M2648" i="11"/>
  <c r="M2647" i="11"/>
  <c r="M2636" i="11"/>
  <c r="M2645" i="11"/>
  <c r="M2641" i="11"/>
  <c r="M2640" i="11"/>
  <c r="M2639" i="11"/>
  <c r="M2644" i="11"/>
  <c r="M2643" i="11"/>
  <c r="M2635" i="11"/>
  <c r="M2646" i="11"/>
  <c r="M2642" i="11"/>
  <c r="M2634" i="11"/>
  <c r="M2633" i="11"/>
  <c r="M2638" i="11"/>
  <c r="M2637" i="11"/>
  <c r="M2632" i="11"/>
  <c r="M2631" i="11"/>
  <c r="M2630" i="11"/>
  <c r="M2629" i="11"/>
  <c r="M2628" i="11"/>
  <c r="M2627" i="11"/>
  <c r="M2626" i="11"/>
  <c r="M2625" i="11"/>
  <c r="M2624" i="11"/>
  <c r="M2623" i="11"/>
  <c r="M2622" i="11"/>
  <c r="M2621" i="11"/>
  <c r="M2620" i="11"/>
  <c r="M2619" i="11"/>
  <c r="M2618" i="11"/>
  <c r="M2617" i="11"/>
  <c r="M2616" i="11"/>
  <c r="M2615" i="11"/>
  <c r="M2614" i="11"/>
  <c r="M2613" i="11"/>
  <c r="M2612" i="11"/>
  <c r="M2611" i="11"/>
  <c r="M2610" i="11"/>
  <c r="M2609" i="11"/>
  <c r="M2608" i="11"/>
  <c r="M2607" i="11"/>
  <c r="M2605" i="11"/>
  <c r="M2604" i="11"/>
  <c r="M2603" i="11"/>
  <c r="M2602" i="11"/>
  <c r="M2601" i="11"/>
  <c r="M2600" i="11"/>
  <c r="M2599" i="11"/>
  <c r="M2598" i="11"/>
  <c r="M2597" i="11"/>
  <c r="M2596" i="11"/>
  <c r="M2595" i="11"/>
  <c r="M2594" i="11"/>
  <c r="M2593" i="11"/>
  <c r="M2592" i="11"/>
  <c r="M2591" i="11"/>
  <c r="M2590" i="11"/>
  <c r="M2589" i="11"/>
  <c r="M2588" i="11"/>
  <c r="M2587" i="11"/>
  <c r="M2586" i="11"/>
  <c r="M2585" i="11"/>
  <c r="M2584" i="11"/>
  <c r="M2583" i="11"/>
  <c r="M2582" i="11"/>
  <c r="M2581" i="11"/>
  <c r="M2580" i="11"/>
  <c r="M2579" i="11"/>
  <c r="M2578" i="11"/>
  <c r="M2577" i="11"/>
  <c r="M2576" i="11"/>
  <c r="M2575" i="11"/>
  <c r="M2574" i="11"/>
  <c r="M2573" i="11"/>
  <c r="M2572" i="11"/>
  <c r="M2571" i="11"/>
  <c r="M2570" i="11"/>
  <c r="M2569" i="11"/>
  <c r="M2568" i="11"/>
  <c r="M2567" i="11"/>
  <c r="M2566" i="11"/>
  <c r="M2565" i="11"/>
  <c r="M2564" i="11"/>
  <c r="M2563" i="11"/>
  <c r="M2562" i="11"/>
  <c r="M2561" i="11"/>
  <c r="M2560" i="11"/>
  <c r="M2559" i="11"/>
  <c r="M2558" i="11"/>
  <c r="M2557" i="11"/>
  <c r="M2556" i="11"/>
  <c r="M2555" i="11"/>
  <c r="M2554" i="11"/>
  <c r="M2553" i="11"/>
  <c r="M2552" i="11"/>
  <c r="M2551" i="11"/>
  <c r="M2550" i="11"/>
  <c r="M2549" i="11"/>
  <c r="M2548" i="11"/>
  <c r="M2547" i="11"/>
  <c r="M2546" i="11"/>
  <c r="M2545" i="11"/>
  <c r="M2544" i="11"/>
  <c r="M2543" i="11"/>
  <c r="M2542" i="11"/>
  <c r="M2541" i="11"/>
  <c r="M2540" i="11"/>
  <c r="M2539" i="11"/>
  <c r="M2538" i="11"/>
  <c r="M2537" i="11"/>
  <c r="M2536" i="11"/>
  <c r="M2535" i="11"/>
  <c r="M2534" i="11"/>
  <c r="M2533" i="11"/>
  <c r="M2532" i="11"/>
  <c r="M2531" i="11"/>
  <c r="M2530" i="11"/>
  <c r="M2529" i="11"/>
  <c r="M2528" i="11"/>
  <c r="M2527" i="11"/>
  <c r="M2526" i="11"/>
  <c r="M2525" i="11"/>
  <c r="M2524" i="11"/>
  <c r="M2523" i="11"/>
  <c r="M2522" i="11"/>
  <c r="M2521" i="11"/>
  <c r="M2520" i="11"/>
  <c r="M2519" i="11"/>
  <c r="M2518" i="11"/>
  <c r="M2517" i="11"/>
  <c r="M2516" i="11"/>
  <c r="M2515" i="11"/>
  <c r="M2507" i="11"/>
  <c r="M2506" i="11"/>
  <c r="M2505" i="11"/>
  <c r="M2514" i="11"/>
  <c r="M2513" i="11"/>
  <c r="M2512" i="11"/>
  <c r="M2511" i="11"/>
  <c r="M2499" i="11"/>
  <c r="M2504" i="11"/>
  <c r="M2510" i="11"/>
  <c r="M2509" i="11"/>
  <c r="M2508" i="11"/>
  <c r="M2503" i="11"/>
  <c r="M2502" i="11"/>
  <c r="M2501" i="11"/>
  <c r="M2500" i="11"/>
  <c r="M2491" i="11"/>
  <c r="M2490" i="11"/>
  <c r="M2489" i="11"/>
  <c r="M2498" i="11"/>
  <c r="M2497" i="11"/>
  <c r="M2496" i="11"/>
  <c r="M2495" i="11"/>
  <c r="M2488" i="11"/>
  <c r="M2494" i="11"/>
  <c r="M2493" i="11"/>
  <c r="M2492" i="11"/>
  <c r="M2487" i="11"/>
  <c r="M2486" i="11"/>
  <c r="M2485" i="11"/>
  <c r="M2484" i="11"/>
  <c r="M2476" i="11"/>
  <c r="M2475" i="11"/>
  <c r="M2474" i="11"/>
  <c r="M2483" i="11"/>
  <c r="M2482" i="11"/>
  <c r="M2481" i="11"/>
  <c r="M2480" i="11"/>
  <c r="M2468" i="11"/>
  <c r="M2473" i="11"/>
  <c r="M2479" i="11"/>
  <c r="M2478" i="11"/>
  <c r="M2477" i="11"/>
  <c r="M2472" i="11"/>
  <c r="M2471" i="11"/>
  <c r="M2470" i="11"/>
  <c r="M2469" i="11"/>
  <c r="M2460" i="11"/>
  <c r="M2459" i="11"/>
  <c r="M2458" i="11"/>
  <c r="M2467" i="11"/>
  <c r="M2466" i="11"/>
  <c r="M2465" i="11"/>
  <c r="M2464" i="11"/>
  <c r="M2453" i="11"/>
  <c r="M2457" i="11"/>
  <c r="M2463" i="11"/>
  <c r="M2462" i="11"/>
  <c r="M2461" i="11"/>
  <c r="M2456" i="11"/>
  <c r="M2455" i="11"/>
  <c r="M2454" i="11"/>
  <c r="M2452" i="11"/>
  <c r="M2451" i="11"/>
  <c r="M2450" i="11"/>
  <c r="M2449" i="11"/>
  <c r="M2448" i="11"/>
  <c r="M2447" i="11"/>
  <c r="M2446" i="11"/>
  <c r="M2445" i="11"/>
  <c r="M2444" i="11"/>
  <c r="M2443" i="11"/>
  <c r="M2442" i="11"/>
  <c r="M2441" i="11"/>
  <c r="M2440" i="11"/>
  <c r="M2439" i="11"/>
  <c r="M2438" i="11"/>
  <c r="M2437" i="11"/>
  <c r="M2436" i="11"/>
  <c r="M2435" i="11"/>
  <c r="M2434" i="11"/>
  <c r="M2433" i="11"/>
  <c r="M2432" i="11"/>
  <c r="M2431" i="11"/>
  <c r="M2430" i="11"/>
  <c r="M2429" i="11"/>
  <c r="M2428" i="11"/>
  <c r="M2427" i="11"/>
  <c r="M2426" i="11"/>
  <c r="M2425" i="11"/>
  <c r="M2424" i="11"/>
  <c r="M2423" i="11"/>
  <c r="M2422" i="11"/>
  <c r="M2421" i="11"/>
  <c r="M2420" i="11"/>
  <c r="M2419" i="11"/>
  <c r="M2418" i="11"/>
  <c r="M2417" i="11"/>
  <c r="M2416" i="11"/>
  <c r="M2415" i="11"/>
  <c r="M2414" i="11"/>
  <c r="M2413" i="11"/>
  <c r="M2412" i="11"/>
  <c r="M2411" i="11"/>
  <c r="M2410" i="11"/>
  <c r="M2409" i="11"/>
  <c r="M2408" i="11"/>
  <c r="M2407" i="11"/>
  <c r="M2406" i="11"/>
  <c r="M2405" i="11"/>
  <c r="M2404" i="11"/>
  <c r="M2403" i="11"/>
  <c r="M2402" i="11"/>
  <c r="M2401" i="11"/>
  <c r="M2400" i="11"/>
  <c r="M2399" i="11"/>
  <c r="M2398" i="11"/>
  <c r="M2397" i="11"/>
  <c r="M2396" i="11"/>
  <c r="M2395" i="11"/>
  <c r="M2394" i="11"/>
  <c r="M2393" i="11"/>
  <c r="M2392" i="11"/>
  <c r="M2391" i="11"/>
  <c r="M2390" i="11"/>
  <c r="M2389" i="11"/>
  <c r="M2388" i="11"/>
  <c r="M2387" i="11"/>
  <c r="M2386" i="11"/>
  <c r="M2385" i="11"/>
  <c r="M2384" i="11"/>
  <c r="M2382" i="11"/>
  <c r="M2380" i="11"/>
  <c r="M2383" i="11"/>
  <c r="M2381" i="11"/>
  <c r="M2378" i="11"/>
  <c r="M2376" i="11"/>
  <c r="M2379" i="11"/>
  <c r="M2377" i="11"/>
  <c r="M2375" i="11"/>
  <c r="M2373" i="11"/>
  <c r="M2374" i="11"/>
  <c r="M2372" i="11"/>
  <c r="M2371" i="11"/>
  <c r="M2369" i="11"/>
  <c r="M2370" i="11"/>
  <c r="M2368" i="11"/>
  <c r="M2366" i="11"/>
  <c r="M2367" i="11"/>
  <c r="M2365" i="11"/>
  <c r="M2363" i="11"/>
  <c r="M2364" i="11"/>
  <c r="M2361" i="11"/>
  <c r="M2362" i="11"/>
  <c r="M2359" i="11"/>
  <c r="M2360" i="11"/>
  <c r="M2358" i="11"/>
  <c r="M2356" i="11"/>
  <c r="M2357" i="11"/>
  <c r="M2354" i="11"/>
  <c r="M2355" i="11"/>
  <c r="M2353" i="11"/>
  <c r="M2352" i="11"/>
  <c r="M2351" i="11"/>
  <c r="M2350" i="11"/>
  <c r="M2349" i="11"/>
  <c r="M2348" i="11"/>
  <c r="M2347" i="11"/>
  <c r="M2346" i="11"/>
  <c r="M2345" i="11"/>
  <c r="M2344" i="11"/>
  <c r="M2343" i="11"/>
  <c r="M2342" i="11"/>
  <c r="M2341" i="11"/>
  <c r="M2340" i="11"/>
  <c r="M2339" i="11"/>
  <c r="M2338" i="11"/>
  <c r="M2336" i="11"/>
  <c r="M2335" i="11"/>
  <c r="M2334" i="11"/>
  <c r="M2337" i="11"/>
  <c r="M2332" i="11"/>
  <c r="M2331" i="11"/>
  <c r="M2330" i="11"/>
  <c r="M2333" i="11"/>
  <c r="M2328" i="11"/>
  <c r="M2327" i="11"/>
  <c r="M2326" i="11"/>
  <c r="M2329" i="11"/>
  <c r="M2324" i="11"/>
  <c r="M2323" i="11"/>
  <c r="M2322" i="11"/>
  <c r="M2325" i="11"/>
  <c r="M2320" i="11"/>
  <c r="M2319" i="11"/>
  <c r="M2318" i="11"/>
  <c r="M2321" i="11"/>
  <c r="M2317" i="11"/>
  <c r="M2316" i="11"/>
  <c r="M2315" i="11"/>
  <c r="M2314" i="11"/>
  <c r="M2313" i="11"/>
  <c r="M2312" i="11"/>
  <c r="M2311" i="11"/>
  <c r="M2310" i="11"/>
  <c r="M2309" i="11"/>
  <c r="M2308" i="11"/>
  <c r="M2307" i="11"/>
  <c r="M2306" i="11"/>
  <c r="M2305" i="11"/>
  <c r="M2304" i="11"/>
  <c r="M2303" i="11"/>
  <c r="M2302" i="11"/>
  <c r="M2301" i="11"/>
  <c r="M2300" i="11"/>
  <c r="M2299" i="11"/>
  <c r="M2298" i="11"/>
  <c r="M2297" i="11"/>
  <c r="M2296" i="11"/>
  <c r="M2295" i="11"/>
  <c r="M2294" i="11"/>
  <c r="M2293" i="11"/>
  <c r="M2292" i="11"/>
  <c r="M2291" i="11"/>
  <c r="M2290" i="11"/>
  <c r="M2289" i="11"/>
  <c r="M2288" i="11"/>
  <c r="M2287" i="11"/>
  <c r="M2286" i="11"/>
  <c r="M2285" i="11"/>
  <c r="M2284" i="11"/>
  <c r="M2283" i="11"/>
  <c r="M2282" i="11"/>
  <c r="M2281" i="11"/>
  <c r="M2280" i="11"/>
  <c r="M2279" i="11"/>
  <c r="M2278" i="11"/>
  <c r="M2277" i="11"/>
  <c r="M2276" i="11"/>
  <c r="M2275" i="11"/>
  <c r="M2274" i="11"/>
  <c r="M2273" i="11"/>
  <c r="M2272" i="11"/>
  <c r="M2271" i="11"/>
  <c r="M2270" i="11"/>
  <c r="M2269" i="11"/>
  <c r="M2268" i="11"/>
  <c r="M2267" i="11"/>
  <c r="M2266" i="11"/>
  <c r="M2265" i="11"/>
  <c r="M2264" i="11"/>
  <c r="M2263" i="11"/>
  <c r="M2262" i="11"/>
  <c r="M2261" i="11"/>
  <c r="M2256" i="11"/>
  <c r="M2246" i="11"/>
  <c r="M2245" i="11"/>
  <c r="M2244" i="11"/>
  <c r="M2243" i="11"/>
  <c r="M2242" i="11"/>
  <c r="M2257" i="11"/>
  <c r="M2255" i="11"/>
  <c r="M2254" i="11"/>
  <c r="M2241" i="11"/>
  <c r="M2240" i="11"/>
  <c r="M2260" i="11"/>
  <c r="M2251" i="11"/>
  <c r="M2250" i="11"/>
  <c r="M2249" i="11"/>
  <c r="M2248" i="11"/>
  <c r="M2259" i="11"/>
  <c r="M2258" i="11"/>
  <c r="M2239" i="11"/>
  <c r="M2253" i="11"/>
  <c r="M2247" i="11"/>
  <c r="M2252" i="11"/>
  <c r="M2238" i="11"/>
  <c r="M2237" i="11"/>
  <c r="M2236" i="11"/>
  <c r="M2235" i="11"/>
  <c r="M2234" i="11"/>
  <c r="M2232" i="11"/>
  <c r="M2233" i="11"/>
  <c r="M2231" i="11"/>
  <c r="M2230" i="11"/>
  <c r="M2229" i="11"/>
  <c r="M2228" i="11"/>
  <c r="M2227" i="11"/>
  <c r="M2226" i="11"/>
  <c r="M2225" i="11"/>
  <c r="M2224" i="11"/>
  <c r="M2223" i="11"/>
  <c r="M2222" i="11"/>
  <c r="M2221" i="11"/>
  <c r="M2220" i="11"/>
  <c r="M2219" i="11"/>
  <c r="M2218" i="11"/>
  <c r="M2217" i="11"/>
  <c r="M2216" i="11"/>
  <c r="M2209" i="11"/>
  <c r="M2213" i="11"/>
  <c r="M2212" i="11"/>
  <c r="M2211" i="11"/>
  <c r="M2215" i="11"/>
  <c r="M2214" i="11"/>
  <c r="M2210" i="11"/>
  <c r="M2208" i="11"/>
  <c r="M2207" i="11"/>
  <c r="M2206" i="11"/>
  <c r="M2202" i="11"/>
  <c r="M2203" i="11"/>
  <c r="M2201" i="11"/>
  <c r="M2205" i="11"/>
  <c r="M2204" i="11"/>
  <c r="M2200" i="11"/>
  <c r="M2199" i="11"/>
  <c r="M2198" i="11"/>
  <c r="M2197" i="11"/>
  <c r="M2196" i="11"/>
  <c r="M2195" i="11"/>
  <c r="M2194" i="11"/>
  <c r="M2193" i="11"/>
  <c r="M2192" i="11"/>
  <c r="M2191" i="11"/>
  <c r="M2190" i="11"/>
  <c r="M2189" i="11"/>
  <c r="M2188" i="11"/>
  <c r="M2187" i="11"/>
  <c r="M2186" i="11"/>
  <c r="M2185" i="11"/>
  <c r="M2184" i="11"/>
  <c r="M2183" i="11"/>
  <c r="M2182" i="11"/>
  <c r="M2180" i="11"/>
  <c r="M2181" i="11"/>
  <c r="M2179" i="11"/>
  <c r="M2178" i="11"/>
  <c r="M2177" i="11"/>
  <c r="M2176" i="11"/>
  <c r="M2175" i="11"/>
  <c r="M2174" i="11"/>
  <c r="M2173" i="11"/>
  <c r="M2172" i="11"/>
  <c r="M2171" i="11"/>
  <c r="M2170" i="11"/>
  <c r="M2169" i="11"/>
  <c r="M2167" i="11"/>
  <c r="M2168" i="11"/>
  <c r="M2166" i="11"/>
  <c r="M2165" i="11"/>
  <c r="M2164" i="11"/>
  <c r="M2163" i="11"/>
  <c r="M2162" i="11"/>
  <c r="M2161" i="11"/>
  <c r="M2160" i="11"/>
  <c r="M2159" i="11"/>
  <c r="M2158" i="11"/>
  <c r="M2157" i="11"/>
  <c r="M2156" i="11"/>
  <c r="M2154" i="11"/>
  <c r="M2155" i="11"/>
  <c r="M2153" i="11"/>
  <c r="M2152" i="11"/>
  <c r="M2151" i="11"/>
  <c r="M2150" i="11"/>
  <c r="M2149" i="11"/>
  <c r="M2148" i="11"/>
  <c r="M2147" i="11"/>
  <c r="M2146" i="11"/>
  <c r="M2145" i="11"/>
  <c r="M2144" i="11"/>
  <c r="M2143" i="11"/>
  <c r="M2142" i="11"/>
  <c r="M2141" i="11"/>
  <c r="M2140" i="11"/>
  <c r="M2139" i="11"/>
  <c r="M2138" i="11"/>
  <c r="M2137" i="11"/>
  <c r="M2136" i="11"/>
  <c r="M2135" i="11"/>
  <c r="M2133" i="11"/>
  <c r="M2134" i="11"/>
  <c r="M2132" i="11"/>
  <c r="M2131" i="11"/>
  <c r="M2130" i="11"/>
  <c r="M2129" i="11"/>
  <c r="M2128" i="11"/>
  <c r="M2127" i="11"/>
  <c r="M2126" i="11"/>
  <c r="M2125" i="11"/>
  <c r="M2124" i="11"/>
  <c r="M2123" i="11"/>
  <c r="M2122" i="11"/>
  <c r="M2120" i="11"/>
  <c r="M2121" i="11"/>
  <c r="M2119" i="11"/>
  <c r="M2118" i="11"/>
  <c r="M2117" i="11"/>
  <c r="M2116" i="11"/>
  <c r="M2115" i="11"/>
  <c r="M2114" i="11"/>
  <c r="M2113" i="11"/>
  <c r="M2112" i="11"/>
  <c r="M2111" i="11"/>
  <c r="M2110" i="11"/>
  <c r="M2109" i="11"/>
  <c r="M2107" i="11"/>
  <c r="M2108" i="11"/>
  <c r="M2106" i="11"/>
  <c r="M2105" i="11"/>
  <c r="M2104" i="11"/>
  <c r="M2103" i="11"/>
  <c r="M2102" i="11"/>
  <c r="M2101" i="11"/>
  <c r="M2100" i="11"/>
  <c r="M2099" i="11"/>
  <c r="M2098" i="11"/>
  <c r="M2097" i="11"/>
  <c r="M2096" i="11"/>
  <c r="M2095" i="11"/>
  <c r="M2094" i="11"/>
  <c r="M2093" i="11"/>
  <c r="M2092" i="11"/>
  <c r="M2091" i="11"/>
  <c r="M2090" i="11"/>
  <c r="M2089" i="11"/>
  <c r="M2088" i="11"/>
  <c r="M2087" i="11"/>
  <c r="M2086" i="11"/>
  <c r="M2085" i="11"/>
  <c r="M2084" i="11"/>
  <c r="M2083" i="11"/>
  <c r="M2082" i="11"/>
  <c r="M2081" i="11"/>
  <c r="M2080" i="11"/>
  <c r="M2079" i="11"/>
  <c r="M2078" i="11"/>
  <c r="M2077" i="11"/>
  <c r="M2076" i="11"/>
  <c r="M2075" i="11"/>
  <c r="M2074" i="11"/>
  <c r="M2073" i="11"/>
  <c r="M2072" i="11"/>
  <c r="M2071" i="11"/>
  <c r="M2070" i="11"/>
  <c r="M2069" i="11"/>
  <c r="M2068" i="11"/>
  <c r="M2067" i="11"/>
  <c r="M2066" i="11"/>
  <c r="M2065" i="11"/>
  <c r="M2064" i="11"/>
  <c r="M2063" i="11"/>
  <c r="M2062" i="11"/>
  <c r="M2061" i="11"/>
  <c r="M2060" i="11"/>
  <c r="M2059" i="11"/>
  <c r="M2058" i="11"/>
  <c r="M2057" i="11"/>
  <c r="M2056" i="11"/>
  <c r="M2055" i="11"/>
  <c r="M2054" i="11"/>
  <c r="M2053" i="11"/>
  <c r="M2052" i="11"/>
  <c r="M2051" i="11"/>
  <c r="M2050" i="11"/>
  <c r="M2049" i="11"/>
  <c r="M2048" i="11"/>
  <c r="M2047" i="11"/>
  <c r="M2046" i="11"/>
  <c r="M2045" i="11"/>
  <c r="M2044" i="11"/>
  <c r="M2043" i="11"/>
  <c r="M2042" i="11"/>
  <c r="M2041" i="11"/>
  <c r="M2040" i="11"/>
  <c r="M2039" i="11"/>
  <c r="M2038" i="11"/>
  <c r="M2037" i="11"/>
  <c r="M2036" i="11"/>
  <c r="M2035" i="11"/>
  <c r="M2034" i="11"/>
  <c r="M2033" i="11"/>
  <c r="M2032" i="11"/>
  <c r="M2031" i="11"/>
  <c r="M2030" i="11"/>
  <c r="M2028" i="11"/>
  <c r="M2029" i="11"/>
  <c r="M2026" i="11"/>
  <c r="M2027" i="11"/>
  <c r="M2024" i="11"/>
  <c r="M2025" i="11"/>
  <c r="M2023" i="11"/>
  <c r="M2022" i="11"/>
  <c r="M2021" i="11"/>
  <c r="M2020" i="11"/>
  <c r="M2019" i="11"/>
  <c r="M2018" i="11"/>
  <c r="M2017" i="11"/>
  <c r="M2016" i="11"/>
  <c r="M2015" i="11"/>
  <c r="M2014" i="11"/>
  <c r="M2013" i="11"/>
  <c r="M2012" i="11"/>
  <c r="M2011" i="11"/>
  <c r="M2010" i="11"/>
  <c r="M2009" i="11"/>
  <c r="M2008" i="11"/>
  <c r="M2007" i="11"/>
  <c r="M2006" i="11"/>
  <c r="M2005" i="11"/>
  <c r="M2004" i="11"/>
  <c r="M2003" i="11"/>
  <c r="M2002" i="11"/>
  <c r="M2001" i="11"/>
  <c r="M2000" i="11"/>
  <c r="M1999" i="11"/>
  <c r="M1998" i="11"/>
  <c r="M1997" i="11"/>
  <c r="M1996" i="11"/>
  <c r="M1995" i="11"/>
  <c r="M1994" i="11"/>
  <c r="M1993" i="11"/>
  <c r="M1992" i="11"/>
  <c r="M1991" i="11"/>
  <c r="M1990" i="11"/>
  <c r="M1989" i="11"/>
  <c r="M1988" i="11"/>
  <c r="M1987" i="11"/>
  <c r="M1986" i="11"/>
  <c r="M1985" i="11"/>
  <c r="M1984" i="11"/>
  <c r="M1983" i="11"/>
  <c r="M1982" i="11"/>
  <c r="M1981" i="11"/>
  <c r="M1980" i="11"/>
  <c r="M1979" i="11"/>
  <c r="M1978" i="11"/>
  <c r="M1976" i="11"/>
  <c r="M1977" i="11"/>
  <c r="M1975" i="11"/>
  <c r="M1974" i="11"/>
  <c r="M1973" i="11"/>
  <c r="M1972" i="11"/>
  <c r="M1971" i="11"/>
  <c r="M1970" i="11"/>
  <c r="M1969" i="11"/>
  <c r="M1968" i="11"/>
  <c r="M1967" i="11"/>
  <c r="M1966" i="11"/>
  <c r="M1965" i="11"/>
  <c r="M1963" i="11"/>
  <c r="M1964" i="11"/>
  <c r="M1962" i="11"/>
  <c r="M1961" i="11"/>
  <c r="M1960" i="11"/>
  <c r="M1959" i="11"/>
  <c r="M1958" i="11"/>
  <c r="M1957" i="11"/>
  <c r="M1956" i="11"/>
  <c r="M1955" i="11"/>
  <c r="M1954" i="11"/>
  <c r="M1953" i="11"/>
  <c r="M1952" i="11"/>
  <c r="M1951" i="11"/>
  <c r="M1950" i="11"/>
  <c r="M1949" i="11"/>
  <c r="M1948" i="11"/>
  <c r="M1947" i="11"/>
  <c r="M1946" i="11"/>
  <c r="M1945" i="11"/>
  <c r="M1944" i="11"/>
  <c r="M1943" i="11"/>
  <c r="M1942" i="11"/>
  <c r="M1941" i="11"/>
  <c r="M1940" i="11"/>
  <c r="M1939" i="11"/>
  <c r="M1938" i="11"/>
  <c r="M1937" i="11"/>
  <c r="M1936" i="11"/>
  <c r="M1930" i="11"/>
  <c r="M1929" i="11"/>
  <c r="M1934" i="11"/>
  <c r="M1924" i="11"/>
  <c r="M1933" i="11"/>
  <c r="M1917" i="11"/>
  <c r="M1932" i="11"/>
  <c r="M1921" i="11"/>
  <c r="M1935" i="11"/>
  <c r="M1931" i="11"/>
  <c r="M1916" i="11"/>
  <c r="M1915" i="11"/>
  <c r="M1914" i="11"/>
  <c r="M1913" i="11"/>
  <c r="M1920" i="11"/>
  <c r="M1927" i="11"/>
  <c r="M1928" i="11"/>
  <c r="M1919" i="11"/>
  <c r="M1923" i="11"/>
  <c r="M1922" i="11"/>
  <c r="M1912" i="11"/>
  <c r="M1918" i="11"/>
  <c r="M1911" i="11"/>
  <c r="M1910" i="11"/>
  <c r="M1909" i="11"/>
  <c r="M1926" i="11"/>
  <c r="M1925" i="11"/>
  <c r="M1908" i="11"/>
  <c r="M1907" i="11"/>
  <c r="M1906" i="11"/>
  <c r="M1905" i="11"/>
  <c r="M1903" i="11"/>
  <c r="M1904" i="11"/>
  <c r="M1902" i="11"/>
  <c r="M1901" i="11"/>
  <c r="M1900" i="11"/>
  <c r="M1899" i="11"/>
  <c r="M1898" i="11"/>
  <c r="M1897" i="11"/>
  <c r="M1895" i="11"/>
  <c r="M1896" i="11"/>
  <c r="M1894" i="11"/>
  <c r="M1893" i="11"/>
  <c r="M1892" i="11"/>
  <c r="M1891" i="11"/>
  <c r="M1890" i="11"/>
  <c r="M1889" i="11"/>
  <c r="M1888" i="11"/>
  <c r="M1887" i="11"/>
  <c r="M1886" i="11"/>
  <c r="M1885" i="11"/>
  <c r="M1884" i="11"/>
  <c r="M1883" i="11"/>
  <c r="M1882" i="11"/>
  <c r="M1881" i="11"/>
  <c r="M1880" i="11"/>
  <c r="M1879" i="11"/>
  <c r="M1878" i="11"/>
  <c r="M1877" i="11"/>
  <c r="M1876" i="11"/>
  <c r="M1875" i="11"/>
  <c r="M1874" i="11"/>
  <c r="M1873" i="11"/>
  <c r="M1872" i="11"/>
  <c r="M1871" i="11"/>
  <c r="M1868" i="11"/>
  <c r="M1870" i="11"/>
  <c r="M1869" i="11"/>
  <c r="M1865" i="11"/>
  <c r="M1867" i="11"/>
  <c r="M1866" i="11"/>
  <c r="M1864" i="11"/>
  <c r="M1863" i="11"/>
  <c r="M1861" i="11"/>
  <c r="M1862" i="11"/>
  <c r="M1857" i="11"/>
  <c r="M1860" i="11"/>
  <c r="M1859" i="11"/>
  <c r="M1858" i="11"/>
  <c r="M1856" i="11"/>
  <c r="M1855" i="11"/>
  <c r="M1854" i="11"/>
  <c r="M1852" i="11"/>
  <c r="M1853" i="11"/>
  <c r="M1850" i="11"/>
  <c r="M1851" i="11"/>
  <c r="M1849" i="11"/>
  <c r="M1848" i="11"/>
  <c r="M1847" i="11"/>
  <c r="M1846" i="11"/>
  <c r="M1845" i="11"/>
  <c r="M1844" i="11"/>
  <c r="M1842" i="11"/>
  <c r="M1843" i="11"/>
  <c r="M1841" i="11"/>
  <c r="M1840" i="11"/>
  <c r="M1839" i="11"/>
  <c r="M1838" i="11"/>
  <c r="M1837" i="11"/>
  <c r="M1836" i="11"/>
  <c r="M1835" i="11"/>
  <c r="M1834" i="11"/>
  <c r="M1833" i="11"/>
  <c r="M1832" i="11"/>
  <c r="M1831" i="11"/>
  <c r="M1830" i="11"/>
  <c r="M1829" i="11"/>
  <c r="M1828" i="11"/>
  <c r="M1827" i="11"/>
  <c r="M1826" i="11"/>
  <c r="M1825" i="11"/>
  <c r="M1824" i="11"/>
  <c r="M1823" i="11"/>
  <c r="M1822" i="11"/>
  <c r="M1821" i="11"/>
  <c r="M1820" i="11"/>
  <c r="M1819" i="11"/>
  <c r="M1818" i="11"/>
  <c r="M1817" i="11"/>
  <c r="M1816" i="11"/>
  <c r="M1815" i="11"/>
  <c r="M1814" i="11"/>
  <c r="M1813" i="11"/>
  <c r="M1812" i="11"/>
  <c r="M1811" i="11"/>
  <c r="M1810" i="11"/>
  <c r="M1809" i="11"/>
  <c r="M1808" i="11"/>
  <c r="M1805" i="11"/>
  <c r="M1804" i="11"/>
  <c r="M1806" i="11"/>
  <c r="M1807" i="11"/>
  <c r="M1803" i="11"/>
  <c r="M1801" i="11"/>
  <c r="M1802" i="11"/>
  <c r="M1800" i="11"/>
  <c r="M1799" i="11"/>
  <c r="M1796" i="11"/>
  <c r="M1795" i="11"/>
  <c r="M1797" i="11"/>
  <c r="M1798" i="11"/>
  <c r="M1794" i="11"/>
  <c r="M1793" i="11"/>
  <c r="M1790" i="11"/>
  <c r="M1789" i="11"/>
  <c r="M1791" i="11"/>
  <c r="M1792" i="11"/>
  <c r="M1788" i="11"/>
  <c r="M1787" i="11"/>
  <c r="M1786" i="11"/>
  <c r="M1785" i="11"/>
  <c r="M1784" i="11"/>
  <c r="M1783" i="11"/>
  <c r="M1782" i="11"/>
  <c r="M1780" i="11"/>
  <c r="M1779" i="11"/>
  <c r="M1778" i="11"/>
  <c r="M1777" i="11"/>
  <c r="M1781" i="11"/>
  <c r="M1776" i="11"/>
  <c r="M1775" i="11"/>
  <c r="M1774" i="11"/>
  <c r="M1773" i="11"/>
  <c r="M1772" i="11"/>
  <c r="M1771" i="11"/>
  <c r="M1770" i="11"/>
  <c r="M1769" i="11"/>
  <c r="M1768" i="11"/>
  <c r="M1767" i="11"/>
  <c r="M1766" i="11"/>
  <c r="M1765" i="11"/>
  <c r="M1764" i="11"/>
  <c r="M1763" i="11"/>
  <c r="M1762" i="11"/>
  <c r="M1761" i="11"/>
  <c r="M1760" i="11"/>
  <c r="M1759" i="11"/>
  <c r="M1758" i="11"/>
  <c r="M1757" i="11"/>
  <c r="M1756" i="11"/>
  <c r="M1755" i="11"/>
  <c r="M1754" i="11"/>
  <c r="M1753" i="11"/>
  <c r="M1752" i="11"/>
  <c r="M1751" i="11"/>
  <c r="M1750" i="11"/>
  <c r="M1749" i="11"/>
  <c r="M1748" i="11"/>
  <c r="M1747" i="11"/>
  <c r="M1746" i="11"/>
  <c r="M1745" i="11"/>
  <c r="M1744" i="11"/>
  <c r="M1743" i="11"/>
  <c r="M1742" i="11"/>
  <c r="M1741" i="11"/>
  <c r="M1740" i="11"/>
  <c r="M1739" i="11"/>
  <c r="M1738" i="11"/>
  <c r="M1737" i="11"/>
  <c r="M1736" i="11"/>
  <c r="M1735" i="11"/>
  <c r="M1734" i="11"/>
  <c r="M1733" i="11"/>
  <c r="M1732" i="11"/>
  <c r="M1731" i="11"/>
  <c r="M1730" i="11"/>
  <c r="M1729" i="11"/>
  <c r="M1728" i="11"/>
  <c r="M1723" i="11"/>
  <c r="M1725" i="11"/>
  <c r="M1722" i="11"/>
  <c r="M1724" i="11"/>
  <c r="M1727" i="11"/>
  <c r="M1726" i="11"/>
  <c r="M1721" i="11"/>
  <c r="M1720" i="11"/>
  <c r="M1719" i="11"/>
  <c r="M1714" i="11"/>
  <c r="M1716" i="11"/>
  <c r="M1713" i="11"/>
  <c r="M1715" i="11"/>
  <c r="M1718" i="11"/>
  <c r="M1717" i="11"/>
  <c r="M1712" i="11"/>
  <c r="M1711" i="11"/>
  <c r="M1710" i="11"/>
  <c r="M1709" i="11"/>
  <c r="M1708" i="11"/>
  <c r="M1707" i="11"/>
  <c r="M1706" i="11"/>
  <c r="M1705" i="11"/>
  <c r="M1704" i="11"/>
  <c r="M1703" i="11"/>
  <c r="M1702" i="11"/>
  <c r="M1701" i="11"/>
  <c r="M1700" i="11"/>
  <c r="M1699" i="11"/>
  <c r="M1698" i="11"/>
  <c r="M1697" i="11"/>
  <c r="M1696" i="11"/>
  <c r="M1695" i="11"/>
  <c r="M1694" i="11"/>
  <c r="M1693" i="11"/>
  <c r="M1691" i="11"/>
  <c r="M1690" i="11"/>
  <c r="M1689" i="11"/>
  <c r="M1692" i="11"/>
  <c r="M1688" i="11"/>
  <c r="M1686" i="11"/>
  <c r="M1687" i="11"/>
  <c r="M1685" i="11"/>
  <c r="M1684" i="11"/>
  <c r="M1683" i="11"/>
  <c r="M1682" i="11"/>
  <c r="M1681" i="11"/>
  <c r="M1680" i="11"/>
  <c r="M1679" i="11"/>
  <c r="M1678" i="11"/>
  <c r="M1677" i="11"/>
  <c r="M1676" i="11"/>
  <c r="M1674" i="11"/>
  <c r="M1675" i="11"/>
  <c r="M1673" i="11"/>
  <c r="M1672" i="11"/>
  <c r="M1671" i="11"/>
  <c r="M1670" i="11"/>
  <c r="M1669" i="11"/>
  <c r="M1668" i="11"/>
  <c r="M1667" i="11"/>
  <c r="M1666" i="11"/>
  <c r="M1665" i="11"/>
  <c r="M1664" i="11"/>
  <c r="M1662" i="11"/>
  <c r="M1663" i="11"/>
  <c r="M1661" i="11"/>
  <c r="M1660" i="11"/>
  <c r="M1659" i="11"/>
  <c r="M1658" i="11"/>
  <c r="M1657" i="11"/>
  <c r="M1656" i="11"/>
  <c r="M1655" i="11"/>
  <c r="M1654" i="11"/>
  <c r="M1653" i="11"/>
  <c r="M1652" i="11"/>
  <c r="M1651" i="11"/>
  <c r="M1649" i="11"/>
  <c r="M1650" i="11"/>
  <c r="M1648" i="11"/>
  <c r="M1647" i="11"/>
  <c r="M1646" i="11"/>
  <c r="M1645" i="11"/>
  <c r="M1644" i="11"/>
  <c r="M1643" i="11"/>
  <c r="M1642" i="11"/>
  <c r="M1641" i="11"/>
  <c r="M1640" i="11"/>
  <c r="M1639" i="11"/>
  <c r="M1638" i="11"/>
  <c r="M1637" i="11"/>
  <c r="M1636" i="11"/>
  <c r="M1635" i="11"/>
  <c r="M1634" i="11"/>
  <c r="M1633" i="11"/>
  <c r="M1632" i="11"/>
  <c r="M1631" i="11"/>
  <c r="M1630" i="11"/>
  <c r="M1629" i="11"/>
  <c r="M1628" i="11"/>
  <c r="M1627" i="11"/>
  <c r="M1626" i="11"/>
  <c r="M1625" i="11"/>
  <c r="M1624" i="11"/>
  <c r="M1623" i="11"/>
  <c r="M1622" i="11"/>
  <c r="M1621" i="11"/>
  <c r="M1620" i="11"/>
  <c r="M1619" i="11"/>
  <c r="M1618" i="11"/>
  <c r="M1617" i="11"/>
  <c r="M1616" i="11"/>
  <c r="M1615" i="11"/>
  <c r="M1614" i="11"/>
  <c r="M1613" i="11"/>
  <c r="M1612" i="11"/>
  <c r="M1611" i="11"/>
  <c r="M1610" i="11"/>
  <c r="M1609" i="11"/>
  <c r="M1608" i="11"/>
  <c r="M1607" i="11"/>
  <c r="M1606" i="11"/>
  <c r="M1605" i="11"/>
  <c r="M1604" i="11"/>
  <c r="M1603" i="11"/>
  <c r="M1602" i="11"/>
  <c r="M1601" i="11"/>
  <c r="M1600" i="11"/>
  <c r="M1599" i="11"/>
  <c r="M1598" i="11"/>
  <c r="M1597" i="11"/>
  <c r="M1596" i="11"/>
  <c r="M1595" i="11"/>
  <c r="M1594" i="11"/>
  <c r="M1593" i="11"/>
  <c r="M1592" i="11"/>
  <c r="M1591" i="11"/>
  <c r="M1590" i="11"/>
  <c r="M1589" i="11"/>
  <c r="M1588" i="11"/>
  <c r="M1587" i="11"/>
  <c r="M1585" i="11"/>
  <c r="M1586" i="11"/>
  <c r="M1584" i="11"/>
  <c r="M1583" i="11"/>
  <c r="M1582" i="11"/>
  <c r="M1581" i="11"/>
  <c r="M1579" i="11"/>
  <c r="M1580" i="11"/>
  <c r="M1578" i="11"/>
  <c r="M1577" i="11"/>
  <c r="M1576" i="11"/>
  <c r="M1575" i="11"/>
  <c r="M1574" i="11"/>
  <c r="M1572" i="11"/>
  <c r="M1571" i="11"/>
  <c r="M1573" i="11"/>
  <c r="M1570" i="11"/>
  <c r="M1568" i="11"/>
  <c r="M1569" i="11"/>
  <c r="M1566" i="11"/>
  <c r="M1567" i="11"/>
  <c r="M1565" i="11"/>
  <c r="M1563" i="11"/>
  <c r="M1564" i="11"/>
  <c r="M1562" i="11"/>
  <c r="M1561" i="11"/>
  <c r="M1560" i="11"/>
  <c r="M1559" i="11"/>
  <c r="M1550" i="11"/>
  <c r="M1558" i="11"/>
  <c r="M1557" i="11"/>
  <c r="M1556" i="11"/>
  <c r="M1555" i="11"/>
  <c r="M1554" i="11"/>
  <c r="M1553" i="11"/>
  <c r="M1552" i="11"/>
  <c r="M1549" i="11"/>
  <c r="M1551" i="11"/>
  <c r="M1548" i="11"/>
  <c r="M1547" i="11"/>
  <c r="M1546" i="11"/>
  <c r="M1545" i="11"/>
  <c r="M1544" i="11"/>
  <c r="M1543" i="11"/>
  <c r="M1542" i="11"/>
  <c r="M1541" i="11"/>
  <c r="M1540" i="11"/>
  <c r="M1539" i="11"/>
  <c r="M1537" i="11"/>
  <c r="M1538" i="11"/>
  <c r="M1533" i="11"/>
  <c r="M1535" i="11"/>
  <c r="M1534" i="11"/>
  <c r="M1536" i="11"/>
  <c r="M1532" i="11"/>
  <c r="M1531" i="11"/>
  <c r="M1530" i="11"/>
  <c r="M1529" i="11"/>
  <c r="M1528" i="11"/>
  <c r="M1527" i="11"/>
  <c r="M1526" i="11"/>
  <c r="M1516" i="11"/>
  <c r="M1507" i="11"/>
  <c r="M1506" i="11"/>
  <c r="M1505" i="11"/>
  <c r="M1504" i="11"/>
  <c r="M1522" i="11"/>
  <c r="M1521" i="11"/>
  <c r="M1515" i="11"/>
  <c r="M1514" i="11"/>
  <c r="M1513" i="11"/>
  <c r="M1512" i="11"/>
  <c r="M1503" i="11"/>
  <c r="M1502" i="11"/>
  <c r="M1501" i="11"/>
  <c r="M1500" i="11"/>
  <c r="M1525" i="11"/>
  <c r="M1499" i="11"/>
  <c r="M1520" i="11"/>
  <c r="M1509" i="11"/>
  <c r="M1519" i="11"/>
  <c r="M1511" i="11"/>
  <c r="M1524" i="11"/>
  <c r="M1518" i="11"/>
  <c r="M1517" i="11"/>
  <c r="M1510" i="11"/>
  <c r="M1498" i="11"/>
  <c r="M1497" i="11"/>
  <c r="M1496" i="11"/>
  <c r="M1495" i="11"/>
  <c r="M1494" i="11"/>
  <c r="M1493" i="11"/>
  <c r="M1523" i="11"/>
  <c r="M1508" i="11"/>
  <c r="M1491" i="11"/>
  <c r="M1492" i="11"/>
  <c r="M1468" i="11"/>
  <c r="M1483" i="11"/>
  <c r="M1477" i="11"/>
  <c r="M1476" i="11"/>
  <c r="M1475" i="11"/>
  <c r="M1482" i="11"/>
  <c r="M1490" i="11"/>
  <c r="M1489" i="11"/>
  <c r="M1488" i="11"/>
  <c r="M1470" i="11"/>
  <c r="M1481" i="11"/>
  <c r="M1480" i="11"/>
  <c r="M1487" i="11"/>
  <c r="M1479" i="11"/>
  <c r="M1474" i="11"/>
  <c r="M1467" i="11"/>
  <c r="M1486" i="11"/>
  <c r="M1485" i="11"/>
  <c r="M1484" i="11"/>
  <c r="M1478" i="11"/>
  <c r="M1473" i="11"/>
  <c r="M1466" i="11"/>
  <c r="M1465" i="11"/>
  <c r="M1472" i="11"/>
  <c r="M1471" i="11"/>
  <c r="M1469" i="11"/>
  <c r="M1442" i="11"/>
  <c r="M1457" i="11"/>
  <c r="M1451" i="11"/>
  <c r="M1450" i="11"/>
  <c r="M1449" i="11"/>
  <c r="M1456" i="11"/>
  <c r="M1464" i="11"/>
  <c r="M1463" i="11"/>
  <c r="M1462" i="11"/>
  <c r="M1444" i="11"/>
  <c r="M1455" i="11"/>
  <c r="M1454" i="11"/>
  <c r="M1461" i="11"/>
  <c r="M1453" i="11"/>
  <c r="M1448" i="11"/>
  <c r="M1441" i="11"/>
  <c r="M1460" i="11"/>
  <c r="M1459" i="11"/>
  <c r="M1458" i="11"/>
  <c r="M1452" i="11"/>
  <c r="M1447" i="11"/>
  <c r="M1440" i="11"/>
  <c r="M1439" i="11"/>
  <c r="M1446" i="11"/>
  <c r="M1445" i="11"/>
  <c r="M1443" i="11"/>
  <c r="M1431" i="11"/>
  <c r="M1430" i="11"/>
  <c r="M1429" i="11"/>
  <c r="M1438" i="11"/>
  <c r="M1437" i="11"/>
  <c r="M1436" i="11"/>
  <c r="M1435" i="11"/>
  <c r="M1423" i="11"/>
  <c r="M1428" i="11"/>
  <c r="M1434" i="11"/>
  <c r="M1433" i="11"/>
  <c r="M1432" i="11"/>
  <c r="M1427" i="11"/>
  <c r="M1426" i="11"/>
  <c r="M1425" i="11"/>
  <c r="M1424" i="11"/>
  <c r="M1415" i="11"/>
  <c r="M1414" i="11"/>
  <c r="M1413" i="11"/>
  <c r="M1422" i="11"/>
  <c r="M1421" i="11"/>
  <c r="M1420" i="11"/>
  <c r="M1419" i="11"/>
  <c r="M1407" i="11"/>
  <c r="M1412" i="11"/>
  <c r="M1418" i="11"/>
  <c r="M1417" i="11"/>
  <c r="M1416" i="11"/>
  <c r="M1411" i="11"/>
  <c r="M1410" i="11"/>
  <c r="M1409" i="11"/>
  <c r="M1408" i="11"/>
  <c r="M1399" i="11"/>
  <c r="M1393" i="11"/>
  <c r="M1392" i="11"/>
  <c r="M1391" i="11"/>
  <c r="M1398" i="11"/>
  <c r="M1406" i="11"/>
  <c r="M1405" i="11"/>
  <c r="M1404" i="11"/>
  <c r="M1382" i="11"/>
  <c r="M1397" i="11"/>
  <c r="M1396" i="11"/>
  <c r="M1403" i="11"/>
  <c r="M1386" i="11"/>
  <c r="M1395" i="11"/>
  <c r="M1385" i="11"/>
  <c r="M1390" i="11"/>
  <c r="M1402" i="11"/>
  <c r="M1401" i="11"/>
  <c r="M1400" i="11"/>
  <c r="M1394" i="11"/>
  <c r="M1389" i="11"/>
  <c r="M1384" i="11"/>
  <c r="M1388" i="11"/>
  <c r="M1387" i="11"/>
  <c r="M1383" i="11"/>
  <c r="M1374" i="11"/>
  <c r="M1368" i="11"/>
  <c r="M1367" i="11"/>
  <c r="M1366" i="11"/>
  <c r="M1373" i="11"/>
  <c r="M1381" i="11"/>
  <c r="M1380" i="11"/>
  <c r="M1379" i="11"/>
  <c r="M1357" i="11"/>
  <c r="M1372" i="11"/>
  <c r="M1371" i="11"/>
  <c r="M1378" i="11"/>
  <c r="M1361" i="11"/>
  <c r="M1370" i="11"/>
  <c r="M1360" i="11"/>
  <c r="M1365" i="11"/>
  <c r="M1377" i="11"/>
  <c r="M1376" i="11"/>
  <c r="M1375" i="11"/>
  <c r="M1369" i="11"/>
  <c r="M1364" i="11"/>
  <c r="M1359" i="11"/>
  <c r="M1363" i="11"/>
  <c r="M1362" i="11"/>
  <c r="M1358" i="11"/>
  <c r="M1349" i="11"/>
  <c r="M1343" i="11"/>
  <c r="M1342" i="11"/>
  <c r="M1341" i="11"/>
  <c r="M1348" i="11"/>
  <c r="M1356" i="11"/>
  <c r="M1355" i="11"/>
  <c r="M1354" i="11"/>
  <c r="M1332" i="11"/>
  <c r="M1347" i="11"/>
  <c r="M1346" i="11"/>
  <c r="M1353" i="11"/>
  <c r="M1336" i="11"/>
  <c r="M1345" i="11"/>
  <c r="M1335" i="11"/>
  <c r="M1340" i="11"/>
  <c r="M1352" i="11"/>
  <c r="M1351" i="11"/>
  <c r="M1350" i="11"/>
  <c r="M1344" i="11"/>
  <c r="M1339" i="11"/>
  <c r="M1334" i="11"/>
  <c r="M1338" i="11"/>
  <c r="M1337" i="11"/>
  <c r="M1333" i="11"/>
  <c r="M1324" i="11"/>
  <c r="M1323" i="11"/>
  <c r="M1322" i="11"/>
  <c r="M1331" i="11"/>
  <c r="M1330" i="11"/>
  <c r="M1329" i="11"/>
  <c r="M1316" i="11"/>
  <c r="M1328" i="11"/>
  <c r="M1317" i="11"/>
  <c r="M1321" i="11"/>
  <c r="M1327" i="11"/>
  <c r="M1326" i="11"/>
  <c r="M1325" i="11"/>
  <c r="M1320" i="11"/>
  <c r="M1315" i="11"/>
  <c r="M1319" i="11"/>
  <c r="M1318" i="11"/>
  <c r="M1307" i="11"/>
  <c r="M1306" i="11"/>
  <c r="M1305" i="11"/>
  <c r="M1314" i="11"/>
  <c r="M1313" i="11"/>
  <c r="M1312" i="11"/>
  <c r="M1299" i="11"/>
  <c r="M1311" i="11"/>
  <c r="M1300" i="11"/>
  <c r="M1304" i="11"/>
  <c r="M1310" i="11"/>
  <c r="M1309" i="11"/>
  <c r="M1308" i="11"/>
  <c r="M1303" i="11"/>
  <c r="M1298" i="11"/>
  <c r="M1302" i="11"/>
  <c r="M1301" i="11"/>
  <c r="M1290" i="11"/>
  <c r="M1289" i="11"/>
  <c r="M1288" i="11"/>
  <c r="M1297" i="11"/>
  <c r="M1296" i="11"/>
  <c r="M1295" i="11"/>
  <c r="M1282" i="11"/>
  <c r="M1294" i="11"/>
  <c r="M1283" i="11"/>
  <c r="M1287" i="11"/>
  <c r="M1293" i="11"/>
  <c r="M1292" i="11"/>
  <c r="M1291" i="11"/>
  <c r="M1286" i="11"/>
  <c r="M1281" i="11"/>
  <c r="M1285" i="11"/>
  <c r="M1284" i="11"/>
  <c r="M1273" i="11"/>
  <c r="M1272" i="11"/>
  <c r="M1271" i="11"/>
  <c r="M1280" i="11"/>
  <c r="M1279" i="11"/>
  <c r="M1278" i="11"/>
  <c r="M1265" i="11"/>
  <c r="M1277" i="11"/>
  <c r="M1266" i="11"/>
  <c r="M1270" i="11"/>
  <c r="M1276" i="11"/>
  <c r="M1275" i="11"/>
  <c r="M1274" i="11"/>
  <c r="M1269" i="11"/>
  <c r="M1264" i="11"/>
  <c r="M1268" i="11"/>
  <c r="M1267" i="11"/>
  <c r="M1256" i="11"/>
  <c r="M1250" i="11"/>
  <c r="M1249" i="11"/>
  <c r="M1248" i="11"/>
  <c r="M1255" i="11"/>
  <c r="M1263" i="11"/>
  <c r="M1262" i="11"/>
  <c r="M1261" i="11"/>
  <c r="M1239" i="11"/>
  <c r="M1254" i="11"/>
  <c r="M1253" i="11"/>
  <c r="M1260" i="11"/>
  <c r="M1243" i="11"/>
  <c r="M1252" i="11"/>
  <c r="M1242" i="11"/>
  <c r="M1247" i="11"/>
  <c r="M1259" i="11"/>
  <c r="M1258" i="11"/>
  <c r="M1257" i="11"/>
  <c r="M1251" i="11"/>
  <c r="M1246" i="11"/>
  <c r="M1241" i="11"/>
  <c r="M1245" i="11"/>
  <c r="M1244" i="11"/>
  <c r="M1240" i="11"/>
  <c r="M1231" i="11"/>
  <c r="M1225" i="11"/>
  <c r="M1224" i="11"/>
  <c r="M1223" i="11"/>
  <c r="M1230" i="11"/>
  <c r="M1238" i="11"/>
  <c r="M1237" i="11"/>
  <c r="M1236" i="11"/>
  <c r="M1214" i="11"/>
  <c r="M1229" i="11"/>
  <c r="M1228" i="11"/>
  <c r="M1235" i="11"/>
  <c r="M1218" i="11"/>
  <c r="M1227" i="11"/>
  <c r="M1217" i="11"/>
  <c r="M1222" i="11"/>
  <c r="M1234" i="11"/>
  <c r="M1233" i="11"/>
  <c r="M1232" i="11"/>
  <c r="M1226" i="11"/>
  <c r="M1221" i="11"/>
  <c r="M1216" i="11"/>
  <c r="M1220" i="11"/>
  <c r="M1219" i="11"/>
  <c r="M1215" i="11"/>
  <c r="M1206" i="11"/>
  <c r="M1200" i="11"/>
  <c r="M1199" i="11"/>
  <c r="M1198" i="11"/>
  <c r="M1205" i="11"/>
  <c r="M1213" i="11"/>
  <c r="M1212" i="11"/>
  <c r="M1211" i="11"/>
  <c r="M1189" i="11"/>
  <c r="M1204" i="11"/>
  <c r="M1203" i="11"/>
  <c r="M1210" i="11"/>
  <c r="M1193" i="11"/>
  <c r="M1202" i="11"/>
  <c r="M1192" i="11"/>
  <c r="M1197" i="11"/>
  <c r="M1209" i="11"/>
  <c r="M1208" i="11"/>
  <c r="M1207" i="11"/>
  <c r="M1201" i="11"/>
  <c r="M1196" i="11"/>
  <c r="M1191" i="11"/>
  <c r="M1195" i="11"/>
  <c r="M1194" i="11"/>
  <c r="M1190" i="11"/>
  <c r="M1181" i="11"/>
  <c r="M1180" i="11"/>
  <c r="M1179" i="11"/>
  <c r="M1188" i="11"/>
  <c r="M1187" i="11"/>
  <c r="M1186" i="11"/>
  <c r="M1185" i="11"/>
  <c r="M1174" i="11"/>
  <c r="M1173" i="11"/>
  <c r="M1178" i="11"/>
  <c r="M1184" i="11"/>
  <c r="M1183" i="11"/>
  <c r="M1182" i="11"/>
  <c r="M1177" i="11"/>
  <c r="M1176" i="11"/>
  <c r="M1175" i="11"/>
  <c r="M1165" i="11"/>
  <c r="M1164" i="11"/>
  <c r="M1163" i="11"/>
  <c r="M1172" i="11"/>
  <c r="M1171" i="11"/>
  <c r="M1170" i="11"/>
  <c r="M1169" i="11"/>
  <c r="M1158" i="11"/>
  <c r="M1157" i="11"/>
  <c r="M1162" i="11"/>
  <c r="M1168" i="11"/>
  <c r="M1167" i="11"/>
  <c r="M1166" i="11"/>
  <c r="M1161" i="11"/>
  <c r="M1156" i="11"/>
  <c r="M1160" i="11"/>
  <c r="M1159" i="11"/>
  <c r="M1148" i="11"/>
  <c r="M1147" i="11"/>
  <c r="M1146" i="11"/>
  <c r="M1155" i="11"/>
  <c r="M1154" i="11"/>
  <c r="M1153" i="11"/>
  <c r="M1152" i="11"/>
  <c r="M1141" i="11"/>
  <c r="M1140" i="11"/>
  <c r="M1145" i="11"/>
  <c r="M1151" i="11"/>
  <c r="M1150" i="11"/>
  <c r="M1149" i="11"/>
  <c r="M1144" i="11"/>
  <c r="M1139" i="11"/>
  <c r="M1143" i="11"/>
  <c r="M1142" i="11"/>
  <c r="M1131" i="11"/>
  <c r="M1130" i="11"/>
  <c r="M1129" i="11"/>
  <c r="M1138" i="11"/>
  <c r="M1137" i="11"/>
  <c r="M1136" i="11"/>
  <c r="M1135" i="11"/>
  <c r="M1124" i="11"/>
  <c r="M1123" i="11"/>
  <c r="M1128" i="11"/>
  <c r="M1134" i="11"/>
  <c r="M1133" i="11"/>
  <c r="M1132" i="11"/>
  <c r="M1127" i="11"/>
  <c r="M1122" i="11"/>
  <c r="M1126" i="11"/>
  <c r="M1125" i="11"/>
  <c r="M1114" i="11"/>
  <c r="M1113" i="11"/>
  <c r="M1112" i="11"/>
  <c r="M1121" i="11"/>
  <c r="M1120" i="11"/>
  <c r="M1119" i="11"/>
  <c r="M1118" i="11"/>
  <c r="M1107" i="11"/>
  <c r="M1106" i="11"/>
  <c r="M1111" i="11"/>
  <c r="M1117" i="11"/>
  <c r="M1116" i="11"/>
  <c r="M1115" i="11"/>
  <c r="M1110" i="11"/>
  <c r="M1109" i="11"/>
  <c r="M1108" i="11"/>
  <c r="M1098" i="11"/>
  <c r="M1097" i="11"/>
  <c r="M1096" i="11"/>
  <c r="M1105" i="11"/>
  <c r="M1104" i="11"/>
  <c r="M1103" i="11"/>
  <c r="M1102" i="11"/>
  <c r="M1091" i="11"/>
  <c r="M1095" i="11"/>
  <c r="M1101" i="11"/>
  <c r="M1100" i="11"/>
  <c r="M1099" i="11"/>
  <c r="M1094" i="11"/>
  <c r="M1093" i="11"/>
  <c r="M1092" i="11"/>
  <c r="M1083" i="11"/>
  <c r="M1082" i="11"/>
  <c r="M1081" i="11"/>
  <c r="M1090" i="11"/>
  <c r="M1089" i="11"/>
  <c r="M1088" i="11"/>
  <c r="M1087" i="11"/>
  <c r="M1076" i="11"/>
  <c r="M1080" i="11"/>
  <c r="M1086" i="11"/>
  <c r="M1085" i="11"/>
  <c r="M1084" i="11"/>
  <c r="M1079" i="11"/>
  <c r="M1078" i="11"/>
  <c r="M1077" i="11"/>
  <c r="M1068" i="11"/>
  <c r="M1067" i="11"/>
  <c r="M1066" i="11"/>
  <c r="M1075" i="11"/>
  <c r="M1074" i="11"/>
  <c r="M1073" i="11"/>
  <c r="M1072" i="11"/>
  <c r="M1061" i="11"/>
  <c r="M1065" i="11"/>
  <c r="M1071" i="11"/>
  <c r="M1070" i="11"/>
  <c r="M1069" i="11"/>
  <c r="M1064" i="11"/>
  <c r="M1063" i="11"/>
  <c r="M1062" i="11"/>
  <c r="M1053" i="11"/>
  <c r="M1052" i="11"/>
  <c r="M1051" i="11"/>
  <c r="M1060" i="11"/>
  <c r="M1059" i="11"/>
  <c r="M1058" i="11"/>
  <c r="M1057" i="11"/>
  <c r="M1045" i="11"/>
  <c r="M1050" i="11"/>
  <c r="M1056" i="11"/>
  <c r="M1055" i="11"/>
  <c r="M1054" i="11"/>
  <c r="M1049" i="11"/>
  <c r="M1048" i="11"/>
  <c r="M1047" i="11"/>
  <c r="M1046" i="11"/>
  <c r="M1020" i="11"/>
  <c r="M1037" i="11"/>
  <c r="M1024" i="11"/>
  <c r="M1031" i="11"/>
  <c r="M1021" i="11"/>
  <c r="M1030" i="11"/>
  <c r="M1029" i="11"/>
  <c r="M1036" i="11"/>
  <c r="M1044" i="11"/>
  <c r="M1043" i="11"/>
  <c r="M1023" i="11"/>
  <c r="M1042" i="11"/>
  <c r="M1035" i="11"/>
  <c r="M1034" i="11"/>
  <c r="M1041" i="11"/>
  <c r="M1033" i="11"/>
  <c r="M1019" i="11"/>
  <c r="M1028" i="11"/>
  <c r="M1018" i="11"/>
  <c r="M1040" i="11"/>
  <c r="M1039" i="11"/>
  <c r="M1038" i="11"/>
  <c r="M1032" i="11"/>
  <c r="M1027" i="11"/>
  <c r="M1017" i="11"/>
  <c r="M1016" i="11"/>
  <c r="M1026" i="11"/>
  <c r="M1025" i="11"/>
  <c r="M1022" i="11"/>
  <c r="M1001" i="11"/>
  <c r="M1008" i="11"/>
  <c r="M999" i="11"/>
  <c r="M1007" i="11"/>
  <c r="M1006" i="11"/>
  <c r="M1015" i="11"/>
  <c r="M1014" i="11"/>
  <c r="M1000" i="11"/>
  <c r="M1013" i="11"/>
  <c r="M1012" i="11"/>
  <c r="M998" i="11"/>
  <c r="M1005" i="11"/>
  <c r="M1011" i="11"/>
  <c r="M1010" i="11"/>
  <c r="M1009" i="11"/>
  <c r="M1004" i="11"/>
  <c r="M1003" i="11"/>
  <c r="M1002" i="11"/>
  <c r="M973" i="11"/>
  <c r="M990" i="11"/>
  <c r="M977" i="11"/>
  <c r="M984" i="11"/>
  <c r="M974" i="11"/>
  <c r="M983" i="11"/>
  <c r="M982" i="11"/>
  <c r="M989" i="11"/>
  <c r="M997" i="11"/>
  <c r="M996" i="11"/>
  <c r="M976" i="11"/>
  <c r="M995" i="11"/>
  <c r="M988" i="11"/>
  <c r="M987" i="11"/>
  <c r="M994" i="11"/>
  <c r="M986" i="11"/>
  <c r="M972" i="11"/>
  <c r="M981" i="11"/>
  <c r="M971" i="11"/>
  <c r="M993" i="11"/>
  <c r="M992" i="11"/>
  <c r="M991" i="11"/>
  <c r="M985" i="11"/>
  <c r="M980" i="11"/>
  <c r="M970" i="11"/>
  <c r="M969" i="11"/>
  <c r="M979" i="11"/>
  <c r="M978" i="11"/>
  <c r="M975" i="11"/>
  <c r="M944" i="11"/>
  <c r="M961" i="11"/>
  <c r="M948" i="11"/>
  <c r="M955" i="11"/>
  <c r="M945" i="11"/>
  <c r="M954" i="11"/>
  <c r="M953" i="11"/>
  <c r="M960" i="11"/>
  <c r="M968" i="11"/>
  <c r="M967" i="11"/>
  <c r="M947" i="11"/>
  <c r="M966" i="11"/>
  <c r="M959" i="11"/>
  <c r="M958" i="11"/>
  <c r="M965" i="11"/>
  <c r="M957" i="11"/>
  <c r="M943" i="11"/>
  <c r="M952" i="11"/>
  <c r="M942" i="11"/>
  <c r="M964" i="11"/>
  <c r="M963" i="11"/>
  <c r="M962" i="11"/>
  <c r="M956" i="11"/>
  <c r="M951" i="11"/>
  <c r="M941" i="11"/>
  <c r="M940" i="11"/>
  <c r="M950" i="11"/>
  <c r="M949" i="11"/>
  <c r="M946" i="11"/>
  <c r="M932" i="11"/>
  <c r="M931" i="11"/>
  <c r="M930" i="11"/>
  <c r="M939" i="11"/>
  <c r="M938" i="11"/>
  <c r="M937" i="11"/>
  <c r="M936" i="11"/>
  <c r="M924" i="11"/>
  <c r="M929" i="11"/>
  <c r="M935" i="11"/>
  <c r="M934" i="11"/>
  <c r="M933" i="11"/>
  <c r="M928" i="11"/>
  <c r="M927" i="11"/>
  <c r="M926" i="11"/>
  <c r="M925" i="11"/>
  <c r="M916" i="11"/>
  <c r="M915" i="11"/>
  <c r="M914" i="11"/>
  <c r="M923" i="11"/>
  <c r="M922" i="11"/>
  <c r="M921" i="11"/>
  <c r="M920" i="11"/>
  <c r="M908" i="11"/>
  <c r="M913" i="11"/>
  <c r="M919" i="11"/>
  <c r="M918" i="11"/>
  <c r="M917" i="11"/>
  <c r="M912" i="11"/>
  <c r="M911" i="11"/>
  <c r="M910" i="11"/>
  <c r="M909" i="11"/>
  <c r="M900" i="11"/>
  <c r="M899" i="11"/>
  <c r="M898" i="11"/>
  <c r="M907" i="11"/>
  <c r="M906" i="11"/>
  <c r="M905" i="11"/>
  <c r="M904" i="11"/>
  <c r="M892" i="11"/>
  <c r="M897" i="11"/>
  <c r="M903" i="11"/>
  <c r="M902" i="11"/>
  <c r="M901" i="11"/>
  <c r="M896" i="11"/>
  <c r="M895" i="11"/>
  <c r="M894" i="11"/>
  <c r="M893" i="11"/>
  <c r="M867" i="11"/>
  <c r="M884" i="11"/>
  <c r="M871" i="11"/>
  <c r="M878" i="11"/>
  <c r="M868" i="11"/>
  <c r="M877" i="11"/>
  <c r="M876" i="11"/>
  <c r="M883" i="11"/>
  <c r="M891" i="11"/>
  <c r="M890" i="11"/>
  <c r="M870" i="11"/>
  <c r="M889" i="11"/>
  <c r="M882" i="11"/>
  <c r="M881" i="11"/>
  <c r="M888" i="11"/>
  <c r="M880" i="11"/>
  <c r="M866" i="11"/>
  <c r="M875" i="11"/>
  <c r="M865" i="11"/>
  <c r="M887" i="11"/>
  <c r="M886" i="11"/>
  <c r="M885" i="11"/>
  <c r="M879" i="11"/>
  <c r="M874" i="11"/>
  <c r="M864" i="11"/>
  <c r="M863" i="11"/>
  <c r="M873" i="11"/>
  <c r="M872" i="11"/>
  <c r="M869" i="11"/>
  <c r="M859" i="11"/>
  <c r="M862" i="11"/>
  <c r="M858" i="11"/>
  <c r="M857" i="11"/>
  <c r="M856" i="11"/>
  <c r="M855" i="11"/>
  <c r="M854" i="11"/>
  <c r="M853" i="11"/>
  <c r="M852" i="11"/>
  <c r="M851" i="11"/>
  <c r="M850" i="11"/>
  <c r="M849" i="11"/>
  <c r="M848" i="11"/>
  <c r="M847" i="11"/>
  <c r="M846" i="11"/>
  <c r="M845" i="11"/>
  <c r="M844" i="11"/>
  <c r="M843" i="11"/>
  <c r="M842" i="11"/>
  <c r="M841" i="11"/>
  <c r="M840" i="11"/>
  <c r="M839" i="11"/>
  <c r="M838" i="11"/>
  <c r="M837" i="11"/>
  <c r="M836" i="11"/>
  <c r="M835" i="11"/>
  <c r="M834" i="11"/>
  <c r="M860" i="11"/>
  <c r="M833" i="11"/>
  <c r="M832" i="11"/>
  <c r="M861" i="11"/>
  <c r="M831" i="11"/>
  <c r="M830" i="11"/>
  <c r="M823" i="11"/>
  <c r="M826" i="11"/>
  <c r="M825" i="11"/>
  <c r="M824" i="11"/>
  <c r="M829" i="11"/>
  <c r="M828" i="11"/>
  <c r="M827" i="11"/>
  <c r="M821" i="11"/>
  <c r="M822" i="11"/>
  <c r="M820" i="11"/>
  <c r="M819" i="11"/>
  <c r="M818" i="11"/>
  <c r="M817" i="11"/>
  <c r="M815" i="11"/>
  <c r="M816" i="11"/>
  <c r="M814" i="11"/>
  <c r="M813" i="11"/>
  <c r="M812" i="11"/>
  <c r="M811" i="11"/>
  <c r="M810" i="11"/>
  <c r="M809" i="11"/>
  <c r="M808" i="11"/>
  <c r="M807" i="11"/>
  <c r="M806" i="11"/>
  <c r="M805" i="11"/>
  <c r="M804" i="11"/>
  <c r="M803" i="11"/>
  <c r="M802" i="11"/>
  <c r="M801" i="11"/>
  <c r="M800" i="11"/>
  <c r="M799" i="11"/>
  <c r="M798" i="11"/>
  <c r="M797" i="11"/>
  <c r="M796" i="11"/>
  <c r="M795" i="11"/>
  <c r="M794" i="11"/>
  <c r="M793" i="11"/>
  <c r="M792" i="11"/>
  <c r="M791" i="11"/>
  <c r="M790" i="11"/>
  <c r="M789" i="11"/>
  <c r="M788" i="11"/>
  <c r="M787" i="11"/>
  <c r="M786" i="11"/>
  <c r="M785" i="11"/>
  <c r="M784" i="11"/>
  <c r="M783" i="11"/>
  <c r="M782" i="11"/>
  <c r="M781" i="11"/>
  <c r="M780" i="11"/>
  <c r="M779" i="11"/>
  <c r="M778" i="11"/>
  <c r="M777" i="11"/>
  <c r="M776" i="11"/>
  <c r="M775" i="11"/>
  <c r="M774" i="11"/>
  <c r="M773" i="11"/>
  <c r="M772" i="11"/>
  <c r="M771" i="11"/>
  <c r="M770" i="11"/>
  <c r="M769" i="11"/>
  <c r="M768" i="11"/>
  <c r="M767" i="11"/>
  <c r="M765" i="11"/>
  <c r="M766" i="11"/>
  <c r="M764" i="11"/>
  <c r="M763" i="11"/>
  <c r="M761" i="11"/>
  <c r="M762" i="11"/>
  <c r="M759" i="11"/>
  <c r="M760" i="11"/>
  <c r="M757" i="11"/>
  <c r="M756" i="11"/>
  <c r="M755" i="11"/>
  <c r="M758" i="11"/>
  <c r="M753" i="11"/>
  <c r="M752" i="11"/>
  <c r="M751" i="11"/>
  <c r="M754" i="11"/>
  <c r="M749" i="11"/>
  <c r="M748" i="11"/>
  <c r="M747" i="11"/>
  <c r="M750" i="11"/>
  <c r="M746" i="11"/>
  <c r="M745" i="11"/>
  <c r="M744" i="11"/>
  <c r="M743" i="11"/>
  <c r="M742" i="11"/>
  <c r="M741" i="11"/>
  <c r="M740" i="11"/>
  <c r="M739" i="11"/>
  <c r="M738" i="11"/>
  <c r="M737" i="11"/>
  <c r="M736" i="11"/>
  <c r="M735" i="11"/>
  <c r="M734" i="11"/>
  <c r="M733" i="11"/>
  <c r="M732" i="11"/>
  <c r="M731" i="11"/>
  <c r="M730" i="11"/>
  <c r="M729" i="11"/>
  <c r="M728" i="11"/>
  <c r="M727" i="11"/>
  <c r="M726" i="11"/>
  <c r="M725" i="11"/>
  <c r="M718" i="11"/>
  <c r="M717" i="11"/>
  <c r="M722" i="11"/>
  <c r="M724" i="11"/>
  <c r="M719" i="11"/>
  <c r="M721" i="11"/>
  <c r="M720" i="11"/>
  <c r="M723" i="11"/>
  <c r="M716" i="11"/>
  <c r="M715" i="11"/>
  <c r="M714" i="11"/>
  <c r="M713" i="11"/>
  <c r="M712" i="11"/>
  <c r="M711" i="11"/>
  <c r="M710" i="11"/>
  <c r="M706" i="11"/>
  <c r="M701" i="11"/>
  <c r="M700" i="11"/>
  <c r="M699" i="11"/>
  <c r="M705" i="11"/>
  <c r="M709" i="11"/>
  <c r="M708" i="11"/>
  <c r="M690" i="11"/>
  <c r="M704" i="11"/>
  <c r="M703" i="11"/>
  <c r="M694" i="11"/>
  <c r="M693" i="11"/>
  <c r="M698" i="11"/>
  <c r="M707" i="11"/>
  <c r="M702" i="11"/>
  <c r="M697" i="11"/>
  <c r="M692" i="11"/>
  <c r="M696" i="11"/>
  <c r="M695" i="11"/>
  <c r="M691" i="11"/>
  <c r="M686" i="11"/>
  <c r="M681" i="11"/>
  <c r="M680" i="11"/>
  <c r="M679" i="11"/>
  <c r="M685" i="11"/>
  <c r="M689" i="11"/>
  <c r="M688" i="11"/>
  <c r="M670" i="11"/>
  <c r="M684" i="11"/>
  <c r="M683" i="11"/>
  <c r="M674" i="11"/>
  <c r="M673" i="11"/>
  <c r="M678" i="11"/>
  <c r="M687" i="11"/>
  <c r="M682" i="11"/>
  <c r="M677" i="11"/>
  <c r="M672" i="11"/>
  <c r="M676" i="11"/>
  <c r="M675" i="11"/>
  <c r="M671" i="11"/>
  <c r="M669" i="11"/>
  <c r="M668" i="11"/>
  <c r="M667" i="11"/>
  <c r="M666" i="11"/>
  <c r="M665" i="11"/>
  <c r="M664" i="11"/>
  <c r="M663" i="11"/>
  <c r="M662" i="11"/>
  <c r="M661" i="11"/>
  <c r="M660" i="11"/>
  <c r="M659" i="11"/>
  <c r="M658" i="11"/>
  <c r="M657" i="11"/>
  <c r="M656" i="11"/>
  <c r="M655" i="11"/>
  <c r="M654" i="11"/>
  <c r="M653" i="11"/>
  <c r="M652" i="11"/>
  <c r="M651" i="11"/>
  <c r="M650" i="11"/>
  <c r="M649" i="11"/>
  <c r="M648" i="11"/>
  <c r="M647" i="11"/>
  <c r="M646" i="11"/>
  <c r="M645" i="11"/>
  <c r="M644" i="11"/>
  <c r="M643" i="11"/>
  <c r="M642" i="11"/>
  <c r="M641" i="11"/>
  <c r="M640" i="11"/>
  <c r="M639" i="11"/>
  <c r="M638" i="11"/>
  <c r="M637" i="11"/>
  <c r="M636" i="11"/>
  <c r="M635" i="11"/>
  <c r="M634" i="11"/>
  <c r="M633" i="11"/>
  <c r="M629" i="11"/>
  <c r="M628" i="11"/>
  <c r="M632" i="11"/>
  <c r="M630" i="11"/>
  <c r="M627" i="11"/>
  <c r="M626" i="11"/>
  <c r="M631" i="11"/>
  <c r="M625" i="11"/>
  <c r="M624" i="11"/>
  <c r="M623" i="11"/>
  <c r="M620" i="11"/>
  <c r="M622" i="11"/>
  <c r="M619" i="11"/>
  <c r="M618" i="11"/>
  <c r="M621" i="11"/>
  <c r="M617" i="11"/>
  <c r="M616" i="11"/>
  <c r="M615" i="11"/>
  <c r="M614" i="11"/>
  <c r="M613" i="11"/>
  <c r="M611" i="11"/>
  <c r="M612" i="11"/>
  <c r="M609" i="11"/>
  <c r="M608" i="11"/>
  <c r="M610" i="11"/>
  <c r="M607" i="11"/>
  <c r="M605" i="11"/>
  <c r="M606" i="11"/>
  <c r="M603" i="11"/>
  <c r="M602" i="11"/>
  <c r="M604" i="11"/>
  <c r="M601" i="11"/>
  <c r="M600" i="11"/>
  <c r="M599" i="11"/>
  <c r="M598" i="11"/>
  <c r="M597" i="11"/>
  <c r="M596" i="11"/>
  <c r="M595" i="11"/>
  <c r="M593" i="11"/>
  <c r="M592" i="11"/>
  <c r="M594" i="11"/>
  <c r="M591" i="11"/>
  <c r="M590" i="11"/>
  <c r="M589" i="11"/>
  <c r="M588" i="11"/>
  <c r="M587" i="11"/>
  <c r="M586" i="11"/>
  <c r="M585" i="11"/>
  <c r="M583" i="11"/>
  <c r="M584" i="11"/>
  <c r="M582" i="11"/>
  <c r="M581" i="11"/>
  <c r="M580" i="11"/>
  <c r="M579" i="11"/>
  <c r="M578" i="11"/>
  <c r="M577" i="11"/>
  <c r="M576" i="11"/>
  <c r="M575" i="11"/>
  <c r="M574" i="11"/>
  <c r="M573" i="11"/>
  <c r="M572" i="11"/>
  <c r="M571" i="11"/>
  <c r="M570" i="11"/>
  <c r="M569" i="11"/>
  <c r="M568" i="11"/>
  <c r="M567" i="11"/>
  <c r="M566" i="11"/>
  <c r="M565" i="11"/>
  <c r="M564" i="11"/>
  <c r="M563" i="11"/>
  <c r="M562" i="11"/>
  <c r="M561" i="11"/>
  <c r="M560" i="11"/>
  <c r="M559" i="11"/>
  <c r="M558" i="11"/>
  <c r="M557" i="11"/>
  <c r="M556" i="11"/>
  <c r="M555" i="11"/>
  <c r="M554" i="11"/>
  <c r="M553" i="11"/>
  <c r="M552" i="11"/>
  <c r="M551" i="11"/>
  <c r="M550" i="11"/>
  <c r="M549" i="11"/>
  <c r="M548" i="11"/>
  <c r="M547" i="11"/>
  <c r="M546" i="11"/>
  <c r="M545" i="11"/>
  <c r="M544" i="11"/>
  <c r="M543" i="11"/>
  <c r="M542" i="11"/>
  <c r="M541" i="11"/>
  <c r="M540" i="11"/>
  <c r="M539" i="11"/>
  <c r="M538" i="11"/>
  <c r="M537" i="11"/>
  <c r="M536" i="11"/>
  <c r="M535" i="11"/>
  <c r="M534" i="11"/>
  <c r="M533" i="11"/>
  <c r="M532" i="11"/>
  <c r="M531" i="11"/>
  <c r="M530" i="11"/>
  <c r="M529" i="11"/>
  <c r="M528" i="11"/>
  <c r="M527" i="11"/>
  <c r="M522" i="11"/>
  <c r="M521" i="11"/>
  <c r="M526" i="11"/>
  <c r="M525" i="11"/>
  <c r="M524" i="11"/>
  <c r="M523" i="11"/>
  <c r="M520" i="11"/>
  <c r="M519" i="11"/>
  <c r="M518" i="11"/>
  <c r="M517" i="11"/>
  <c r="M516" i="11"/>
  <c r="M515" i="11"/>
  <c r="M514" i="11"/>
  <c r="M513" i="11"/>
  <c r="M512" i="11"/>
  <c r="M511" i="11"/>
  <c r="M510" i="11"/>
  <c r="M509" i="11"/>
  <c r="M508" i="11"/>
  <c r="M507" i="11"/>
  <c r="M506" i="11"/>
  <c r="M505" i="11"/>
  <c r="M504" i="11"/>
  <c r="M503" i="11"/>
  <c r="M498" i="11"/>
  <c r="M502" i="11"/>
  <c r="M501" i="11"/>
  <c r="M500" i="11"/>
  <c r="M499" i="11"/>
  <c r="M494" i="11"/>
  <c r="M493" i="11"/>
  <c r="M492" i="11"/>
  <c r="M497" i="11"/>
  <c r="M496" i="11"/>
  <c r="M486" i="11"/>
  <c r="M487" i="11"/>
  <c r="M491" i="11"/>
  <c r="M495" i="11"/>
  <c r="M490" i="11"/>
  <c r="M485" i="11"/>
  <c r="M489" i="11"/>
  <c r="M488" i="11"/>
  <c r="M481" i="11"/>
  <c r="M480" i="11"/>
  <c r="M479" i="11"/>
  <c r="M484" i="11"/>
  <c r="M483" i="11"/>
  <c r="M473" i="11"/>
  <c r="M474" i="11"/>
  <c r="M478" i="11"/>
  <c r="M482" i="11"/>
  <c r="M477" i="11"/>
  <c r="M472" i="11"/>
  <c r="M476" i="11"/>
  <c r="M475" i="11"/>
  <c r="M471" i="11"/>
  <c r="M470" i="11"/>
  <c r="M469" i="11"/>
  <c r="M468" i="11"/>
  <c r="M467" i="11"/>
  <c r="M466" i="11"/>
  <c r="M465" i="11"/>
  <c r="M464" i="11"/>
  <c r="M463" i="11"/>
  <c r="M462" i="11"/>
  <c r="M461" i="11"/>
  <c r="M459" i="11"/>
  <c r="M458" i="11"/>
  <c r="M457" i="11"/>
  <c r="M460" i="11"/>
  <c r="M456" i="11"/>
  <c r="M455" i="11"/>
  <c r="M454" i="11"/>
  <c r="M453" i="11"/>
  <c r="M452" i="11"/>
  <c r="M451" i="11"/>
  <c r="M450" i="11"/>
  <c r="M449" i="11"/>
  <c r="M448" i="11"/>
  <c r="M447" i="11"/>
  <c r="M446" i="11"/>
  <c r="M445" i="11"/>
  <c r="M444" i="11"/>
  <c r="M443" i="11"/>
  <c r="M442" i="11"/>
  <c r="M441" i="11"/>
  <c r="M440" i="11"/>
  <c r="M439" i="11"/>
  <c r="M437" i="11"/>
  <c r="M438" i="11"/>
  <c r="M435" i="11"/>
  <c r="M434" i="11"/>
  <c r="M436" i="11"/>
  <c r="M433" i="11"/>
  <c r="M431" i="11"/>
  <c r="M432" i="11"/>
  <c r="M429" i="11"/>
  <c r="M428" i="11"/>
  <c r="M430" i="11"/>
  <c r="M427" i="11"/>
  <c r="M426" i="11"/>
  <c r="M425" i="11"/>
  <c r="M424" i="11"/>
  <c r="M423" i="11"/>
  <c r="M422" i="11"/>
  <c r="M421" i="11"/>
  <c r="M420" i="11"/>
  <c r="M419" i="11"/>
  <c r="M418" i="11"/>
  <c r="M417" i="11"/>
  <c r="M416" i="11"/>
  <c r="M414" i="11"/>
  <c r="M415" i="11"/>
  <c r="M413" i="11"/>
  <c r="M412" i="11"/>
  <c r="M411" i="11"/>
  <c r="M410" i="11"/>
  <c r="M409" i="11"/>
  <c r="M408" i="11"/>
  <c r="M407" i="11"/>
  <c r="M406" i="11"/>
  <c r="M405" i="11"/>
  <c r="M403" i="11"/>
  <c r="M404" i="11"/>
  <c r="M402" i="11"/>
  <c r="M401" i="11"/>
  <c r="M400" i="11"/>
  <c r="M399" i="11"/>
  <c r="M398" i="11"/>
  <c r="M397" i="11"/>
  <c r="M396" i="11"/>
  <c r="M395" i="11"/>
  <c r="M394" i="11"/>
  <c r="M393" i="11"/>
  <c r="M392" i="11"/>
  <c r="M391" i="11"/>
  <c r="M390" i="11"/>
  <c r="M389" i="11"/>
  <c r="M387" i="11"/>
  <c r="M386" i="11"/>
  <c r="M388" i="11"/>
  <c r="M385" i="11"/>
  <c r="M384" i="11"/>
  <c r="M383" i="11"/>
  <c r="M382" i="11"/>
  <c r="M381" i="11"/>
  <c r="M380" i="11"/>
  <c r="M379" i="11"/>
  <c r="M377" i="11"/>
  <c r="M376" i="11"/>
  <c r="M378" i="11"/>
  <c r="M375" i="11"/>
  <c r="M374" i="11"/>
  <c r="M373" i="11"/>
  <c r="M372" i="11"/>
  <c r="M371" i="11"/>
  <c r="M370" i="11"/>
  <c r="M369" i="11"/>
  <c r="M368" i="11"/>
  <c r="M367" i="11"/>
  <c r="M366" i="11"/>
  <c r="M365" i="11"/>
  <c r="M364" i="11"/>
  <c r="M363" i="11"/>
  <c r="M362" i="11"/>
  <c r="M361" i="11"/>
  <c r="M360" i="11"/>
  <c r="M359" i="11"/>
  <c r="M358" i="11"/>
  <c r="M354" i="11"/>
  <c r="M349" i="11"/>
  <c r="M348" i="11"/>
  <c r="M347" i="11"/>
  <c r="M353" i="11"/>
  <c r="M357" i="11"/>
  <c r="M356" i="11"/>
  <c r="M338" i="11"/>
  <c r="M352" i="11"/>
  <c r="M351" i="11"/>
  <c r="M342" i="11"/>
  <c r="M341" i="11"/>
  <c r="M346" i="11"/>
  <c r="M355" i="11"/>
  <c r="M350" i="11"/>
  <c r="M345" i="11"/>
  <c r="M340" i="11"/>
  <c r="M344" i="11"/>
  <c r="M343" i="11"/>
  <c r="M339" i="11"/>
  <c r="M335" i="11"/>
  <c r="M334" i="11"/>
  <c r="M333" i="11"/>
  <c r="M337" i="11"/>
  <c r="M327" i="11"/>
  <c r="M328" i="11"/>
  <c r="M332" i="11"/>
  <c r="M336" i="11"/>
  <c r="M331" i="11"/>
  <c r="M326" i="11"/>
  <c r="M330" i="11"/>
  <c r="M329" i="11"/>
  <c r="M324" i="11"/>
  <c r="M325" i="11"/>
  <c r="M320" i="11"/>
  <c r="M315" i="11"/>
  <c r="M314" i="11"/>
  <c r="M313" i="11"/>
  <c r="M319" i="11"/>
  <c r="M323" i="11"/>
  <c r="M322" i="11"/>
  <c r="M318" i="11"/>
  <c r="M317" i="11"/>
  <c r="M308" i="11"/>
  <c r="M312" i="11"/>
  <c r="M321" i="11"/>
  <c r="M316" i="11"/>
  <c r="M311" i="11"/>
  <c r="M310" i="11"/>
  <c r="M309" i="11"/>
  <c r="M305" i="11"/>
  <c r="M307" i="11"/>
  <c r="M304" i="11"/>
  <c r="M306" i="11"/>
  <c r="M303" i="11"/>
  <c r="M302" i="11"/>
  <c r="M301" i="11"/>
  <c r="M300" i="11"/>
  <c r="M299" i="11"/>
  <c r="M298" i="11"/>
  <c r="M297" i="11"/>
  <c r="M296" i="11"/>
  <c r="M295" i="11"/>
  <c r="M294" i="11"/>
  <c r="M293" i="11"/>
  <c r="M292" i="11"/>
  <c r="M291" i="11"/>
  <c r="M290" i="11"/>
  <c r="M289" i="11"/>
  <c r="M277" i="11"/>
  <c r="M276" i="11"/>
  <c r="M288" i="11"/>
  <c r="M275" i="11"/>
  <c r="M284" i="11"/>
  <c r="M283" i="11"/>
  <c r="M259" i="11"/>
  <c r="M274" i="11"/>
  <c r="M273" i="11"/>
  <c r="M272" i="11"/>
  <c r="M271" i="11"/>
  <c r="M282" i="11"/>
  <c r="M281" i="11"/>
  <c r="M260" i="11"/>
  <c r="M258" i="11"/>
  <c r="M257" i="11"/>
  <c r="M256" i="11"/>
  <c r="M270" i="11"/>
  <c r="M269" i="11"/>
  <c r="M268" i="11"/>
  <c r="M267" i="11"/>
  <c r="M266" i="11"/>
  <c r="M255" i="11"/>
  <c r="M280" i="11"/>
  <c r="M287" i="11"/>
  <c r="M279" i="11"/>
  <c r="M265" i="11"/>
  <c r="M264" i="11"/>
  <c r="M278" i="11"/>
  <c r="M286" i="11"/>
  <c r="M263" i="11"/>
  <c r="M262" i="11"/>
  <c r="M285" i="11"/>
  <c r="M254" i="11"/>
  <c r="M261" i="11"/>
  <c r="M252" i="11"/>
  <c r="M251" i="11"/>
  <c r="M250" i="11"/>
  <c r="M235" i="11"/>
  <c r="M249" i="11"/>
  <c r="M248" i="11"/>
  <c r="M247" i="11"/>
  <c r="M246" i="11"/>
  <c r="M236" i="11"/>
  <c r="M253" i="11"/>
  <c r="M234" i="11"/>
  <c r="M233" i="11"/>
  <c r="M232" i="11"/>
  <c r="M245" i="11"/>
  <c r="M244" i="11"/>
  <c r="M243" i="11"/>
  <c r="M242" i="11"/>
  <c r="M241" i="11"/>
  <c r="M231" i="11"/>
  <c r="M240" i="11"/>
  <c r="M239" i="11"/>
  <c r="M238" i="11"/>
  <c r="M230" i="11"/>
  <c r="M237" i="11"/>
  <c r="M228" i="11"/>
  <c r="M227" i="11"/>
  <c r="M226" i="11"/>
  <c r="M225" i="11"/>
  <c r="M224" i="11"/>
  <c r="M223" i="11"/>
  <c r="M222" i="11"/>
  <c r="M229" i="11"/>
  <c r="M217" i="11"/>
  <c r="M216" i="11"/>
  <c r="M221" i="11"/>
  <c r="M220" i="11"/>
  <c r="M219" i="11"/>
  <c r="M218" i="11"/>
  <c r="M215" i="11"/>
  <c r="M213" i="11"/>
  <c r="M208" i="11"/>
  <c r="M212" i="11"/>
  <c r="M211" i="11"/>
  <c r="M210" i="11"/>
  <c r="M209" i="11"/>
  <c r="M214" i="11"/>
  <c r="M206" i="11"/>
  <c r="M201" i="11"/>
  <c r="M205" i="11"/>
  <c r="M204" i="11"/>
  <c r="M203" i="11"/>
  <c r="M202" i="11"/>
  <c r="M207" i="11"/>
  <c r="M198" i="11"/>
  <c r="M190" i="11"/>
  <c r="M189" i="11"/>
  <c r="M197" i="11"/>
  <c r="M196" i="11"/>
  <c r="M179" i="11"/>
  <c r="M188" i="11"/>
  <c r="M187" i="11"/>
  <c r="M186" i="11"/>
  <c r="M195" i="11"/>
  <c r="M194" i="11"/>
  <c r="M178" i="11"/>
  <c r="M177" i="11"/>
  <c r="M176" i="11"/>
  <c r="M185" i="11"/>
  <c r="M184" i="11"/>
  <c r="M183" i="11"/>
  <c r="M175" i="11"/>
  <c r="M193" i="11"/>
  <c r="M200" i="11"/>
  <c r="M192" i="11"/>
  <c r="M199" i="11"/>
  <c r="M182" i="11"/>
  <c r="M181" i="11"/>
  <c r="M191" i="11"/>
  <c r="M174" i="11"/>
  <c r="M180" i="11"/>
  <c r="M173" i="11"/>
  <c r="M160" i="11"/>
  <c r="M166" i="11"/>
  <c r="M167" i="11"/>
  <c r="M172" i="11"/>
  <c r="M161" i="11"/>
  <c r="M162" i="11"/>
  <c r="M163" i="11"/>
  <c r="M171" i="11"/>
  <c r="M164" i="11"/>
  <c r="M170" i="11"/>
  <c r="M169" i="11"/>
  <c r="M168" i="11"/>
  <c r="M165" i="11"/>
  <c r="M159" i="11"/>
  <c r="M158" i="11"/>
  <c r="M157" i="11"/>
  <c r="M156" i="11"/>
  <c r="M155" i="11"/>
  <c r="M154" i="11"/>
  <c r="M153" i="11"/>
  <c r="M152" i="11"/>
  <c r="M151" i="11"/>
  <c r="M150" i="11"/>
  <c r="M149" i="11"/>
  <c r="M148" i="11"/>
  <c r="M147" i="11"/>
  <c r="M146" i="11"/>
  <c r="M145" i="11"/>
  <c r="M144" i="11"/>
  <c r="M138" i="11"/>
  <c r="M137" i="11"/>
  <c r="M136" i="11"/>
  <c r="M135" i="11"/>
  <c r="M134" i="11"/>
  <c r="M133" i="11"/>
  <c r="M132" i="11"/>
  <c r="M140" i="11"/>
  <c r="M141" i="11"/>
  <c r="M128" i="11"/>
  <c r="M127" i="11"/>
  <c r="M126" i="11"/>
  <c r="M131" i="11"/>
  <c r="M143" i="11"/>
  <c r="M130" i="11"/>
  <c r="M142" i="11"/>
  <c r="M129" i="11"/>
  <c r="M139" i="11"/>
  <c r="M125" i="11"/>
  <c r="M118" i="11"/>
  <c r="M124" i="11"/>
  <c r="M123" i="11"/>
  <c r="M122" i="11"/>
  <c r="M121" i="11"/>
  <c r="M120" i="11"/>
  <c r="M119" i="11"/>
  <c r="M117" i="11"/>
  <c r="M116" i="11"/>
  <c r="M115" i="11"/>
  <c r="M114" i="11"/>
  <c r="M113" i="11"/>
  <c r="M112" i="11"/>
  <c r="M111" i="11"/>
  <c r="M110" i="11"/>
  <c r="M109" i="11"/>
  <c r="M108" i="11"/>
  <c r="M107" i="11"/>
  <c r="M106" i="11"/>
  <c r="M105" i="11"/>
  <c r="M104" i="11"/>
  <c r="M103" i="11"/>
  <c r="M102" i="11"/>
  <c r="M98" i="11"/>
  <c r="M93" i="11"/>
  <c r="M92" i="11"/>
  <c r="M91" i="11"/>
  <c r="M97" i="11"/>
  <c r="M101" i="11"/>
  <c r="M100" i="11"/>
  <c r="M96" i="11"/>
  <c r="M95" i="11"/>
  <c r="M86" i="11"/>
  <c r="M90" i="11"/>
  <c r="M99" i="11"/>
  <c r="M94" i="11"/>
  <c r="M89" i="11"/>
  <c r="M88" i="11"/>
  <c r="M87" i="11"/>
  <c r="M85" i="11"/>
  <c r="M84" i="11"/>
  <c r="M83" i="11"/>
  <c r="M82" i="11"/>
  <c r="M81" i="11"/>
  <c r="M75" i="11"/>
  <c r="M80" i="11"/>
  <c r="M79" i="11"/>
  <c r="M78" i="11"/>
  <c r="M77" i="11"/>
  <c r="M76" i="11"/>
  <c r="M73" i="11"/>
  <c r="M74" i="11"/>
  <c r="M72" i="11"/>
  <c r="M71" i="11"/>
  <c r="M70" i="11"/>
  <c r="M69" i="11"/>
  <c r="M68" i="11"/>
  <c r="M67" i="11"/>
  <c r="M66" i="11"/>
  <c r="M65" i="11"/>
  <c r="M64" i="11"/>
  <c r="M63" i="11"/>
  <c r="M62" i="11"/>
  <c r="M61" i="11"/>
  <c r="M60" i="11"/>
  <c r="M59" i="11"/>
  <c r="M58" i="11"/>
  <c r="M57" i="11"/>
  <c r="M55" i="11"/>
  <c r="M56" i="11"/>
  <c r="M54" i="11"/>
  <c r="M53" i="11"/>
  <c r="M47" i="11"/>
  <c r="M52" i="11"/>
  <c r="M51" i="11"/>
  <c r="M50" i="11"/>
  <c r="M49" i="11"/>
  <c r="M48" i="11"/>
  <c r="M46" i="11"/>
  <c r="M45" i="11"/>
  <c r="M44" i="11"/>
  <c r="M43" i="11"/>
  <c r="M42" i="11"/>
  <c r="M41" i="11"/>
  <c r="M40" i="11"/>
  <c r="M39" i="11"/>
  <c r="M38" i="11"/>
  <c r="M37" i="11"/>
  <c r="M36" i="11"/>
  <c r="M35" i="11"/>
  <c r="M34" i="11"/>
  <c r="M33" i="11"/>
  <c r="M32" i="11"/>
  <c r="M31" i="11"/>
  <c r="M27" i="11"/>
  <c r="M26" i="11"/>
  <c r="M30" i="11"/>
  <c r="M28" i="11"/>
  <c r="M25" i="11"/>
  <c r="M24" i="11"/>
  <c r="M29" i="11"/>
  <c r="M23" i="11"/>
  <c r="M22" i="11"/>
  <c r="M21" i="11"/>
  <c r="M20" i="11"/>
  <c r="M19" i="11"/>
  <c r="M18" i="11"/>
  <c r="M17" i="11"/>
  <c r="M16" i="11"/>
  <c r="M15" i="11"/>
  <c r="M11" i="11"/>
  <c r="M13" i="11"/>
  <c r="M12" i="11"/>
  <c r="M14" i="11"/>
  <c r="M10" i="11"/>
  <c r="A381" i="9"/>
  <c r="A380" i="9"/>
  <c r="X624" i="11" l="1"/>
  <c r="Z2331" i="11" l="1"/>
  <c r="Z2330" i="11"/>
  <c r="Z752" i="11"/>
  <c r="Z751" i="11"/>
  <c r="AA2603" i="11" l="1"/>
  <c r="Y2603" i="11"/>
  <c r="AA583" i="11" l="1"/>
  <c r="Z583" i="11"/>
  <c r="Y583" i="11"/>
  <c r="X583" i="11"/>
  <c r="AA584" i="11"/>
  <c r="Z584" i="11"/>
  <c r="Y584" i="11"/>
  <c r="X584" i="11"/>
  <c r="AA582" i="11"/>
  <c r="Z582" i="11"/>
  <c r="Y582" i="11"/>
  <c r="X582" i="11"/>
  <c r="AA581" i="11"/>
  <c r="Z581" i="11"/>
  <c r="Y581" i="11"/>
  <c r="X581" i="11"/>
  <c r="AA73" i="11"/>
  <c r="Z73" i="11"/>
  <c r="Y73" i="11"/>
  <c r="X73" i="11"/>
  <c r="AA74" i="11"/>
  <c r="Z74" i="11"/>
  <c r="Y74" i="11"/>
  <c r="X74" i="11"/>
  <c r="AA72" i="11"/>
  <c r="Z72" i="11"/>
  <c r="Y72" i="11"/>
  <c r="X72" i="11"/>
  <c r="Z2271" i="11" l="1"/>
  <c r="Y2271" i="11"/>
  <c r="Z2270" i="11"/>
  <c r="Y2270" i="11"/>
  <c r="Z2269" i="11"/>
  <c r="Y2269" i="11"/>
  <c r="Z2268" i="11"/>
  <c r="Y2268" i="11"/>
  <c r="Z1786" i="11"/>
  <c r="Y1786" i="11"/>
  <c r="Z1784" i="11"/>
  <c r="Y1784" i="11"/>
  <c r="Z1782" i="11"/>
  <c r="Y1782" i="11"/>
  <c r="Z40" i="11"/>
  <c r="Y40" i="11"/>
  <c r="AA35" i="11"/>
  <c r="Z35" i="11"/>
  <c r="Y35" i="11"/>
  <c r="X35" i="11"/>
  <c r="AA34" i="11"/>
  <c r="Z34" i="11"/>
  <c r="Y34" i="11"/>
  <c r="X34" i="11"/>
  <c r="AA33" i="11"/>
  <c r="Z33" i="11"/>
  <c r="Y33" i="11"/>
  <c r="X33" i="11"/>
  <c r="AA21" i="11" l="1"/>
  <c r="AA22" i="11"/>
  <c r="AA41" i="11"/>
  <c r="AA42" i="11"/>
  <c r="AA82" i="11"/>
  <c r="AA84" i="11"/>
  <c r="AA102" i="11"/>
  <c r="AA103" i="11"/>
  <c r="AA104" i="11"/>
  <c r="AA112" i="11"/>
  <c r="AA364" i="11"/>
  <c r="AA369" i="11"/>
  <c r="AA370" i="11"/>
  <c r="AA381" i="11"/>
  <c r="AA382" i="11"/>
  <c r="AA391" i="11"/>
  <c r="AA392" i="11"/>
  <c r="AA460" i="11"/>
  <c r="AA457" i="11"/>
  <c r="AA458" i="11"/>
  <c r="AA459" i="11"/>
  <c r="AA468" i="11"/>
  <c r="AA580" i="11"/>
  <c r="AA585" i="11"/>
  <c r="AA635" i="11"/>
  <c r="AA636" i="11"/>
  <c r="AA660" i="11"/>
  <c r="AA1630" i="11"/>
  <c r="AA1688" i="11"/>
  <c r="AA1938" i="11"/>
  <c r="AA2010" i="11"/>
  <c r="AA2011" i="11"/>
  <c r="AA2013" i="11"/>
  <c r="AA2014" i="11"/>
  <c r="AA2042" i="11"/>
  <c r="AA2234" i="11"/>
  <c r="AA2235" i="11"/>
  <c r="AA2265" i="11"/>
  <c r="AA2286" i="11"/>
  <c r="AA2298" i="11"/>
  <c r="AA2325" i="11"/>
  <c r="AA2322" i="11"/>
  <c r="AA2323" i="11"/>
  <c r="AA2324" i="11"/>
  <c r="AA2404" i="11"/>
  <c r="AA2528" i="11"/>
  <c r="AA2529" i="11"/>
  <c r="AA2611" i="11"/>
  <c r="AA2630" i="11"/>
  <c r="AA2704" i="11"/>
  <c r="AA2705" i="11"/>
  <c r="Z21" i="11"/>
  <c r="Z22" i="11"/>
  <c r="Z28" i="11"/>
  <c r="Z41" i="11"/>
  <c r="Z42" i="11"/>
  <c r="Z82" i="11"/>
  <c r="Z84" i="11"/>
  <c r="Z102" i="11"/>
  <c r="Z103" i="11"/>
  <c r="Z104" i="11"/>
  <c r="Z112" i="11"/>
  <c r="Z364" i="11"/>
  <c r="Z369" i="11"/>
  <c r="Z370" i="11"/>
  <c r="Z381" i="11"/>
  <c r="Z382" i="11"/>
  <c r="Z391" i="11"/>
  <c r="Z392" i="11"/>
  <c r="Z460" i="11"/>
  <c r="Z457" i="11"/>
  <c r="Z458" i="11"/>
  <c r="Z459" i="11"/>
  <c r="Z468" i="11"/>
  <c r="Z580" i="11"/>
  <c r="Z585" i="11"/>
  <c r="Z630" i="11"/>
  <c r="Z635" i="11"/>
  <c r="Z636" i="11"/>
  <c r="Z660" i="11"/>
  <c r="Z754" i="11"/>
  <c r="Z1625" i="11"/>
  <c r="Z1626" i="11"/>
  <c r="Z1628" i="11"/>
  <c r="Z1630" i="11"/>
  <c r="Z1688" i="11"/>
  <c r="Z1936" i="11"/>
  <c r="Z1937" i="11"/>
  <c r="Z1938" i="11"/>
  <c r="Z2010" i="11"/>
  <c r="Z2011" i="11"/>
  <c r="Z2013" i="11"/>
  <c r="Z2014" i="11"/>
  <c r="Z2042" i="11"/>
  <c r="Z2234" i="11"/>
  <c r="Z2235" i="11"/>
  <c r="Z2265" i="11"/>
  <c r="Z2286" i="11"/>
  <c r="Z2298" i="11"/>
  <c r="Z2325" i="11"/>
  <c r="Z2322" i="11"/>
  <c r="Z2323" i="11"/>
  <c r="Z2324" i="11"/>
  <c r="Z2333" i="11"/>
  <c r="Z2404" i="11"/>
  <c r="Z2406" i="11"/>
  <c r="Z2409" i="11"/>
  <c r="Z2528" i="11"/>
  <c r="Z2529" i="11"/>
  <c r="Z2611" i="11"/>
  <c r="Z2630" i="11"/>
  <c r="Y21" i="11"/>
  <c r="Y22" i="11"/>
  <c r="Y28" i="11"/>
  <c r="Y41" i="11"/>
  <c r="Y42" i="11"/>
  <c r="Y82" i="11"/>
  <c r="Y84" i="11"/>
  <c r="Y102" i="11"/>
  <c r="Y103" i="11"/>
  <c r="Y104" i="11"/>
  <c r="Y112" i="11"/>
  <c r="Y364" i="11"/>
  <c r="Y369" i="11"/>
  <c r="Y370" i="11"/>
  <c r="Y380" i="11"/>
  <c r="Y381" i="11"/>
  <c r="Y382" i="11"/>
  <c r="Y390" i="11"/>
  <c r="Y391" i="11"/>
  <c r="Y392" i="11"/>
  <c r="Y468" i="11"/>
  <c r="Y580" i="11"/>
  <c r="Y585" i="11"/>
  <c r="Y630" i="11"/>
  <c r="Y635" i="11"/>
  <c r="Y636" i="11"/>
  <c r="Y1630" i="11"/>
  <c r="Y1688" i="11"/>
  <c r="Y1936" i="11"/>
  <c r="Y1937" i="11"/>
  <c r="Y1938" i="11"/>
  <c r="Y2010" i="11"/>
  <c r="Y2011" i="11"/>
  <c r="Y2013" i="11"/>
  <c r="Y2014" i="11"/>
  <c r="Y2042" i="11"/>
  <c r="Y2234" i="11"/>
  <c r="Y2235" i="11"/>
  <c r="Y2265" i="11"/>
  <c r="Y2286" i="11"/>
  <c r="Y2298" i="11"/>
  <c r="Y2404" i="11"/>
  <c r="Y2406" i="11"/>
  <c r="Y2409" i="11"/>
  <c r="Y2528" i="11"/>
  <c r="Y2529" i="11"/>
  <c r="Y2611" i="11"/>
  <c r="Y2630" i="11"/>
  <c r="Y2704" i="11"/>
  <c r="Y2705" i="11"/>
  <c r="X21" i="11"/>
  <c r="X22" i="11"/>
  <c r="X41" i="11"/>
  <c r="X42" i="11"/>
  <c r="X82" i="11"/>
  <c r="X84" i="11"/>
  <c r="X102" i="11"/>
  <c r="X103" i="11"/>
  <c r="X104" i="11"/>
  <c r="X112" i="11"/>
  <c r="X364" i="11"/>
  <c r="X369" i="11"/>
  <c r="X370" i="11"/>
  <c r="X380" i="11"/>
  <c r="X381" i="11"/>
  <c r="X382" i="11"/>
  <c r="X390" i="11"/>
  <c r="X391" i="11"/>
  <c r="X392" i="11"/>
  <c r="X580" i="11"/>
  <c r="X585" i="11"/>
  <c r="X635" i="11"/>
  <c r="X636" i="11"/>
  <c r="X1625" i="11"/>
  <c r="X1626" i="11"/>
  <c r="X1628" i="11"/>
  <c r="X1630" i="11"/>
  <c r="X1688" i="11"/>
  <c r="X2010" i="11"/>
  <c r="X2011" i="11"/>
  <c r="X2013" i="11"/>
  <c r="X2014" i="11"/>
  <c r="X2234" i="11"/>
  <c r="X2235" i="11"/>
  <c r="X2265" i="11"/>
  <c r="X2286" i="11"/>
  <c r="X2298" i="11"/>
  <c r="X2528" i="11"/>
  <c r="X2529" i="11"/>
  <c r="X2597" i="11"/>
  <c r="X2611" i="11"/>
  <c r="X2630" i="11"/>
  <c r="X2706" i="11"/>
  <c r="A36" i="9" l="1"/>
  <c r="A9" i="11" l="1"/>
  <c r="E9" i="11"/>
  <c r="D9" i="11"/>
  <c r="P9" i="11" l="1"/>
  <c r="O9" i="11"/>
  <c r="N9" i="11"/>
  <c r="M9" i="11"/>
  <c r="K9" i="11"/>
  <c r="C9" i="11" l="1"/>
  <c r="B9" i="11"/>
  <c r="A145" i="9" l="1"/>
  <c r="A221" i="9" l="1"/>
  <c r="W9" i="11" l="1"/>
  <c r="V9" i="11"/>
  <c r="U9" i="11"/>
  <c r="J9" i="11"/>
  <c r="I9" i="11"/>
  <c r="H9" i="11"/>
  <c r="G9" i="11"/>
  <c r="F9" i="11"/>
  <c r="A387" i="9" l="1"/>
  <c r="A385" i="9"/>
  <c r="A383" i="9"/>
  <c r="A382"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5" i="9"/>
  <c r="A34" i="9"/>
  <c r="A33" i="9"/>
  <c r="A32" i="9"/>
  <c r="A31" i="9"/>
  <c r="A30" i="9"/>
  <c r="A29" i="9"/>
  <c r="A28" i="9"/>
  <c r="A27" i="9"/>
  <c r="A26" i="9"/>
  <c r="A25" i="9"/>
  <c r="A24" i="9"/>
  <c r="A23" i="9"/>
  <c r="A22" i="9"/>
  <c r="A21" i="9"/>
  <c r="A20" i="9"/>
  <c r="A19" i="9"/>
  <c r="A18" i="9"/>
  <c r="A17" i="9"/>
  <c r="A16" i="9"/>
  <c r="A15" i="9"/>
  <c r="A14" i="9"/>
  <c r="A13" i="9"/>
  <c r="A12" i="9"/>
  <c r="A11" i="9"/>
  <c r="A10" i="9"/>
  <c r="A9" i="9"/>
  <c r="A7" i="9"/>
  <c r="A2" i="8" l="1"/>
  <c r="A2" i="11" s="1"/>
  <c r="AA3" i="11" l="1"/>
  <c r="AA4" i="11"/>
</calcChain>
</file>

<file path=xl/sharedStrings.xml><?xml version="1.0" encoding="utf-8"?>
<sst xmlns="http://schemas.openxmlformats.org/spreadsheetml/2006/main" count="58429" uniqueCount="9795">
  <si>
    <t>Features and Components List</t>
  </si>
  <si>
    <t>Revision Record</t>
  </si>
  <si>
    <t>Date</t>
  </si>
  <si>
    <t>Description</t>
  </si>
  <si>
    <t>Author</t>
  </si>
  <si>
    <t>- First issue</t>
  </si>
  <si>
    <t>Nogueira</t>
  </si>
  <si>
    <t>KI4BoardNet E/E FEATURE LIST</t>
  </si>
  <si>
    <t>EDAG Engineering GmbH - Electronics</t>
  </si>
  <si>
    <t>Jesus Andres Toribio Redondo / Aileen Eichler / Pedro Bossay de Almeida Nogueira</t>
  </si>
  <si>
    <t>Last update:</t>
  </si>
  <si>
    <t>Vehicle Variant</t>
  </si>
  <si>
    <t>Domain</t>
  </si>
  <si>
    <t>System</t>
  </si>
  <si>
    <t>Feature</t>
  </si>
  <si>
    <t>Feature
Number</t>
  </si>
  <si>
    <t>SAE Level</t>
  </si>
  <si>
    <t>Software
Feature</t>
  </si>
  <si>
    <t>Comment</t>
  </si>
  <si>
    <t>Low class</t>
  </si>
  <si>
    <t>Medium class</t>
  </si>
  <si>
    <t>High class</t>
  </si>
  <si>
    <t>16.0_Comfort &amp; Safety</t>
  </si>
  <si>
    <t>16.11_Pedestrian-System</t>
  </si>
  <si>
    <t>Active Hood</t>
  </si>
  <si>
    <t>In case of crash with a pedestrian it provides additional space between relatively flexible hood and hard underlying structures like engine block and prevents serious injuries to the pedestrian</t>
  </si>
  <si>
    <t>F0001</t>
  </si>
  <si>
    <t>F0x16</t>
  </si>
  <si>
    <t>x</t>
  </si>
  <si>
    <t>10.0_Comfort &amp; Exterior</t>
  </si>
  <si>
    <t>10.30_OutsideLighting-System</t>
  </si>
  <si>
    <t>Rear Lighting, Brake Light Adaptive</t>
  </si>
  <si>
    <t xml:space="preserve">If the driver presses the brake heavily and the car is still moving the brake lights will flatter (turn on and off rapidly) until the car stops or the driver stops heavy braking. </t>
  </si>
  <si>
    <t>F0002</t>
  </si>
  <si>
    <t>F0230</t>
  </si>
  <si>
    <t>16.30_PassengerDetection-System</t>
  </si>
  <si>
    <t>Airbag Passenger, Deactivation Manual</t>
  </si>
  <si>
    <t>The passenger side airbag can be deactivated with a manual switch. This makes it possible to place passengers with increased risk of injury, such as baby seats with reversed positioning.</t>
  </si>
  <si>
    <t>F0005</t>
  </si>
  <si>
    <t>F0612</t>
  </si>
  <si>
    <t>16.10_Airbag-System</t>
  </si>
  <si>
    <t>Airbag Side, Curtain Left / Right</t>
  </si>
  <si>
    <t>This airbag protects vehicle occupants in front and rear seats against harmful crashes to the window on the side. Furthermore it prevents that glass particles and other objects enter the car especially in case of rollover. It is installed in the roof. It also protects (front) passengers in offset/oblique front crashes and mitigates ejection of occupants in case of rollover.</t>
  </si>
  <si>
    <t>F0009</t>
  </si>
  <si>
    <t>F0011</t>
  </si>
  <si>
    <t>Airbag Driver, Knee Bag</t>
  </si>
  <si>
    <t>This airbag protects the knee of the driver and can also be used to avoid unfavourable occupant kinematics during crash like submarining.</t>
  </si>
  <si>
    <t>F0010</t>
  </si>
  <si>
    <t>Airbag Driver, Single Stage</t>
  </si>
  <si>
    <t>This airbag protects the driver from injuries to the face and head in case of a frontal crash.</t>
  </si>
  <si>
    <t>F0777</t>
  </si>
  <si>
    <t>Airbag Side, Front Left / Right</t>
  </si>
  <si>
    <t>This airbag protects the upper body of the driver and passenger in case of a side impact. Also called thorax bag since it mainly affects the thorax area</t>
  </si>
  <si>
    <t>F0012</t>
  </si>
  <si>
    <t xml:space="preserve">Airbag Side, Rear Left / Right </t>
  </si>
  <si>
    <t>This airbag protects the upper body of the rear passengers in case of a side impact.</t>
  </si>
  <si>
    <t>F0013</t>
  </si>
  <si>
    <t>39.0_HVAC &amp; Thermal</t>
  </si>
  <si>
    <t>39.10_PassengerThermal-System</t>
  </si>
  <si>
    <t>HVAC-System, 3- / 4-Zones</t>
  </si>
  <si>
    <t>The temperatures for driver, front passenger and rear passengers can be set individually.</t>
  </si>
  <si>
    <t>F0016</t>
  </si>
  <si>
    <t>F0x17</t>
  </si>
  <si>
    <t>14.0_HMI &amp; OutsideInformation</t>
  </si>
  <si>
    <t>14.10_DriverInformation-System</t>
  </si>
  <si>
    <t>Indications, Outside Temperature</t>
  </si>
  <si>
    <t>The outside temperature will be displayed on a display in the cabin.</t>
  </si>
  <si>
    <t>F0019</t>
  </si>
  <si>
    <t>F2012</t>
  </si>
  <si>
    <t>10.11_VehicleAccess-System</t>
  </si>
  <si>
    <t>Anti Theft, Alarm</t>
  </si>
  <si>
    <t>Audible and visual warning signals attract the attention of by-passers and deter potential thieves. An acoustic alarm is triggered when unauthorised entry is detected by contacts on the doors, engine compartment and luggage compartment lid.</t>
  </si>
  <si>
    <t>F0020</t>
  </si>
  <si>
    <t>-</t>
  </si>
  <si>
    <t>Airbag Driver, Anti-Submarining</t>
  </si>
  <si>
    <t xml:space="preserve">An airbag situated in the seat pan deploys under frontal impact to hold the pelvis in place and prevent it from slipping forward. </t>
  </si>
  <si>
    <t>F0021</t>
  </si>
  <si>
    <t>13.0_Comfort &amp; Interior</t>
  </si>
  <si>
    <t>13.23_AntiGlareAndDimming-System</t>
  </si>
  <si>
    <t>Electrochromatic (EC), Rear View Mirror</t>
  </si>
  <si>
    <t>Two light sensors in the rear view mirror detect the difference in brightness between forward and reverse direction. If necessary, the electrochromatic rear mirror glass is darkened to such a degree that the dazzle effect to the driver from rear traffic is minimized.</t>
  </si>
  <si>
    <t>F0022</t>
  </si>
  <si>
    <t>10.10_CentralLocking-System</t>
  </si>
  <si>
    <t>Central Door Lock, Lock@Speed</t>
  </si>
  <si>
    <t>Central door locking is activated (locked) after the vehicle starts moving and reaches a certain velocity. 
Depending on implementation, locking may already occur as soon as the shift lever is changed out of P position.
The locking feature includes door lock warning.</t>
  </si>
  <si>
    <t>F0023</t>
  </si>
  <si>
    <t>F0646</t>
  </si>
  <si>
    <t>Headlamp Leveling, Automatic</t>
  </si>
  <si>
    <t>Automatic headlamp leveling to equalise light beam orientation during vehicle movements (such as acceleration / braking) and to compensate different loads in the trunk. Legal requirement if headlamp exceeds 2000 Lumen (ECE R48)</t>
  </si>
  <si>
    <t>F0024</t>
  </si>
  <si>
    <t>Central Door Lock, Radio Control Key Front</t>
  </si>
  <si>
    <t>The central locking allows the driver to simultaneously lock or unlock all the doors by either manually locking the driver door with the key, pressing a button inside the car or using the remote control key. It usually contains charging flap locking as well. If doors will not opened within x seconds the doors lock again (play protection).</t>
  </si>
  <si>
    <t>F0027</t>
  </si>
  <si>
    <t>Light Scenario, Comfort Direction Indication</t>
  </si>
  <si>
    <t>Comfort direction indication is typically used for changing lanes and overtaking on highways. After tipping and releasing the switch, turn lights are activated and switched off automatically after 3 cycles of flashing.</t>
  </si>
  <si>
    <t>F0028</t>
  </si>
  <si>
    <t>F0229</t>
  </si>
  <si>
    <t>Front Lighting, Daytime Running Light</t>
  </si>
  <si>
    <t>With daytime running lights vehicles are seen earlier and recognized better by other drivers. LED daytime running lights require about 90% less power than using low beams and can give each car brand their individual appearance.</t>
  </si>
  <si>
    <t>F0031</t>
  </si>
  <si>
    <t>Central Door Lock, Electric Child Proof Lock</t>
  </si>
  <si>
    <t>The rear doors are locked by a switch so that they could not be opened by children playing from inside. From the outside, the doors can still be opened if they are not closed by the central locking. The rear door locks can also be mechanically locked with the ignition key against accidental opening from the inside.</t>
  </si>
  <si>
    <t>F0032</t>
  </si>
  <si>
    <t>16.12_CrashHandling-System</t>
  </si>
  <si>
    <t>Event Recorder, EDR</t>
  </si>
  <si>
    <t>An event data recorder is a device installed in some vehicles to record information related to crashes or other accidents. Information from these devices can be collected after a crash and be analyzed to help determine what the vehicles were doing before, during and after the crash or other event.</t>
  </si>
  <si>
    <t>F0036</t>
  </si>
  <si>
    <t>Electrochromatic (EC), External Rear View Mirror</t>
  </si>
  <si>
    <t>A light sensor in the external rear view mirror detect the difference brightness from rear traffic and the glass is then darkened to such a degree that the dazzle effect to the driver is minimized.</t>
  </si>
  <si>
    <t>F0037</t>
  </si>
  <si>
    <t>Surround Lighting, Direction Indicator</t>
  </si>
  <si>
    <t xml:space="preserve">Exterior mirrors include additional turn lights. As the position of these lamps is higher than the conventional turn lights, they can be recognized faster. </t>
  </si>
  <si>
    <t>F0038</t>
  </si>
  <si>
    <t>10.20_Mirroring-System</t>
  </si>
  <si>
    <t>Outside Mirror, Electric Adjustable</t>
  </si>
  <si>
    <t>Exterior mirrors can be adjusted separately using a joystick mechanism on the driver side.</t>
  </si>
  <si>
    <t>F0039</t>
  </si>
  <si>
    <t>Outside Mirror, Foldable</t>
  </si>
  <si>
    <t xml:space="preserve">Exterior mirrors can be folded electrically towards the car when it is parked. This will reduce the risk of crashes towards the mirror in narrow alleys. </t>
  </si>
  <si>
    <t>F0041</t>
  </si>
  <si>
    <t>10.50_ExteriorHeating-System</t>
  </si>
  <si>
    <t>Heating Outside Mirror</t>
  </si>
  <si>
    <t>Exterior mirrors can be heated to prevent fogging.</t>
  </si>
  <si>
    <t>F0042</t>
  </si>
  <si>
    <t>13.31_AmbientLighting-System</t>
  </si>
  <si>
    <t>Foot Area Lighting, Front</t>
  </si>
  <si>
    <t>Interior lighting in the foot area for driver and passenger.</t>
  </si>
  <si>
    <t>F0045</t>
  </si>
  <si>
    <t>13.40_InteriorHeating-System</t>
  </si>
  <si>
    <t>Seat Driver, Heating</t>
  </si>
  <si>
    <t>Heating of the driver seat and backrest. It can have different heating levels, temperature sensing and may be turned off automatically.</t>
  </si>
  <si>
    <t>F0047</t>
  </si>
  <si>
    <t>16.20_Restraint-System</t>
  </si>
  <si>
    <t>Active Headrest, Front</t>
  </si>
  <si>
    <t>Active headrest as a part of passive safety minimizes the injuries which may happen to the neck by stabilizing the head position at a crash. It pushes the headrest up and to the front.</t>
  </si>
  <si>
    <t>F0049</t>
  </si>
  <si>
    <t>13.20_SeatMoving-System</t>
  </si>
  <si>
    <t>Seat Driver, Position Electric Adjustable</t>
  </si>
  <si>
    <t>The driver seat can be moved electrically in depth and height. In addition the Backrest is electric adjustable.</t>
  </si>
  <si>
    <t>F0050</t>
  </si>
  <si>
    <t>Belt Tensioner Front, With Belt Load Limiter</t>
  </si>
  <si>
    <t>A pretensioner is designed to retract some of the webbing of a seatbelt the instant a collision occurs, tighten the seatbelt to restrain occupants quickly and reduce the amount they are thrown forward in a moderate or severe frontal crash. Load limiters help protect occupants from seatbelt-inflicted injury.</t>
  </si>
  <si>
    <t>F0051</t>
  </si>
  <si>
    <t>Seat Driver, Ventilated</t>
  </si>
  <si>
    <t>Air coindioning for the driver's seat.</t>
  </si>
  <si>
    <t>F0052</t>
  </si>
  <si>
    <t>Door Lighting Outside, Open Door Front</t>
  </si>
  <si>
    <t>Additional lamp in front doors that signals open doors to approaching traffic.</t>
  </si>
  <si>
    <t>F0053</t>
  </si>
  <si>
    <t>13.30_InsideLighting-System</t>
  </si>
  <si>
    <t>Glove Box, Lighting</t>
  </si>
  <si>
    <t xml:space="preserve">A lamp in the glove box which turns on by opening it. </t>
  </si>
  <si>
    <t>F0054</t>
  </si>
  <si>
    <t>10.41_Washing-System</t>
  </si>
  <si>
    <t>Headlamp Washing</t>
  </si>
  <si>
    <t>Headlamp washers turn on automatically if the driver turns on the windscreen washer and the head lamps are on.</t>
  </si>
  <si>
    <t>F0057</t>
  </si>
  <si>
    <t>F0222</t>
  </si>
  <si>
    <t>Heating Windshield</t>
  </si>
  <si>
    <t>This option is especially useful for cold regions and for vehicles with big windscreens or vehicles whose windscreens are poorly accessible to clean up manually from frost. The heating of the windscreen must have no negative effect on the visibility for the driver.</t>
  </si>
  <si>
    <t>F0061</t>
  </si>
  <si>
    <t>F1035</t>
  </si>
  <si>
    <t>14.11_OutsideInformation-System</t>
  </si>
  <si>
    <t>Horn, Dual Tone</t>
  </si>
  <si>
    <t>Horn with double tone sound.</t>
  </si>
  <si>
    <t>F0062</t>
  </si>
  <si>
    <t xml:space="preserve">Ignition Lock, Immobiliser </t>
  </si>
  <si>
    <t>In current immobilizers of the third generation, it contains the communication between the RFID transponder and immobilizer for authentication of the authorized driver on the basis of his key, as well as the communication between the immobilizer and engine control unit for releasing the vehicle cryptographically secured.</t>
  </si>
  <si>
    <t>F0064</t>
  </si>
  <si>
    <t>F0068</t>
  </si>
  <si>
    <t>Ignition Lock, Start-Stop-Button</t>
  </si>
  <si>
    <t>The wireless communication between the car access system and the key allows the driver to start the engine without inserting the key.</t>
  </si>
  <si>
    <t>Light Scenario, Fog Cornering</t>
  </si>
  <si>
    <t>The cornering light function is automatic lighting of the right or left fog lamp while cornering. When the turn signal is activated, the fog lamp will be illuminated to the side of the vehicle on which the turn signal is in use, improving visibility. It is active at slow speeds of up to 40km/h.
A variant with dedicated lamps exists, too. Here, the bulb is incorporated in the head lamp module assembly.</t>
  </si>
  <si>
    <t>F0071</t>
  </si>
  <si>
    <t>F0377</t>
  </si>
  <si>
    <t>Courtesy Light, Front</t>
  </si>
  <si>
    <t xml:space="preserve">Interior light in the front is switched on if any door is opened or if a switch is pressed. The lights stay turned on for some time after the driver has locked the car and turn on when the driver unlocks the car remotely. </t>
  </si>
  <si>
    <t>F0072</t>
  </si>
  <si>
    <t>Rear Lighting, Licence Plate</t>
  </si>
  <si>
    <t>Light for illuminating license plate with LEDs at the rear end of the car.</t>
  </si>
  <si>
    <t>F0074</t>
  </si>
  <si>
    <t>Rain Light Sensing, Automatic Light</t>
  </si>
  <si>
    <t xml:space="preserve">An automatic lighting system that switches on the headlights as soon as environmental light becomes poor and switches them off again when sufficient light is restored. The lights will be automatiaclly switched on in tunnels, underground car-parks, sudden changes in the weather (storms, fog) and nightfall. </t>
  </si>
  <si>
    <t>F0076</t>
  </si>
  <si>
    <t>F0225</t>
  </si>
  <si>
    <t>Passenger Detection, Front</t>
  </si>
  <si>
    <t>The system on front passenger side is used to detect via seat mat if the passenger seat in the front is occupied. Comes in different variants, the more sophisticated being able to differentiate occupant sizes and enable appropriate airbag deployment strategies.</t>
  </si>
  <si>
    <t>F0080</t>
  </si>
  <si>
    <t>Pre-Crash</t>
  </si>
  <si>
    <t xml:space="preserve"> If an increased probability of a crash has been identified, several precautionary measures are taken. Amongst others, the driver and passenger are fixed on their seats by tightening the seat belts (pretensioner), seats are adjusted to their upright position, doors are unlocked and the windows and the sunroof are closed so that only a small gap is left. </t>
  </si>
  <si>
    <t>F0083</t>
  </si>
  <si>
    <t>F0051 AND F0027</t>
  </si>
  <si>
    <t>Reading Light Front</t>
  </si>
  <si>
    <t>Interior reading lights in the front</t>
  </si>
  <si>
    <t>F0084</t>
  </si>
  <si>
    <t>Reading Light Rear</t>
  </si>
  <si>
    <t>Interior reading lights in the rear</t>
  </si>
  <si>
    <t>F0085</t>
  </si>
  <si>
    <t>38.0_E-Drive &amp; HV-Safety</t>
  </si>
  <si>
    <t>38.10 HVBordnet&amp;Safety-System</t>
  </si>
  <si>
    <t>HV-Safety, Zero Potential Detection</t>
  </si>
  <si>
    <t>Detection of zero potential (HV off) at all high-voltage devices for service purposes.</t>
  </si>
  <si>
    <t>F0086</t>
  </si>
  <si>
    <t>Heating Rear Window</t>
  </si>
  <si>
    <t xml:space="preserve">A rear window heater, also called back glass defogger, is legally required in some countries. It usually includes an automatic mechanism for turning off after a defined time. </t>
  </si>
  <si>
    <t>F0089</t>
  </si>
  <si>
    <t>10.40_Wiping-System</t>
  </si>
  <si>
    <t>Wiper Rear</t>
  </si>
  <si>
    <t>Most vehicle manufacturers include a rear window wiper depending the shape and the inclination of the back glass. Rear wiper will be activated automatically, if the reverse gear  is engaged. Prerequisite: Front wiper is on.</t>
  </si>
  <si>
    <t>F0090</t>
  </si>
  <si>
    <t>F0118</t>
  </si>
  <si>
    <t>Rear Lighting, Reverse Light</t>
  </si>
  <si>
    <t>When shifting to the reverse gear the reverse light switches on to show the intention of the driver.</t>
  </si>
  <si>
    <t>F0091</t>
  </si>
  <si>
    <t>Seatbelt Reminder, Driver</t>
  </si>
  <si>
    <t>A sensor in the seatbelt lock recognizes if the driver and passenger are belted or not. After a certain driving distance or after reaching a certain velocity an alarm will alert the driver if he is not belted.</t>
  </si>
  <si>
    <t>F0093</t>
  </si>
  <si>
    <t>Outside Lighting, Side Marker Front</t>
  </si>
  <si>
    <t>US: Sidemarker as position lamp (--&gt; 2 actuators and 2 inputs (tail/turn indicators)</t>
  </si>
  <si>
    <t>F0097</t>
  </si>
  <si>
    <t>Steering Wheel, Heating</t>
  </si>
  <si>
    <t xml:space="preserve">When pushing the button the steering wheel will heat up. </t>
  </si>
  <si>
    <t>F0100</t>
  </si>
  <si>
    <t>14.20_DriverControl-System</t>
  </si>
  <si>
    <t>Steering Wheel Switches</t>
  </si>
  <si>
    <t>Multi functional steering wheels normally offer the possibility of changing multimedia settings and using hands free telephones. Controls are either located directly on the steering wheel or mounted very close to the steering wheel so that the driver can operate them without taking his hands off the wheel.</t>
  </si>
  <si>
    <t>F0101</t>
  </si>
  <si>
    <t>Tailgate, Electric Adjustment</t>
  </si>
  <si>
    <t>The tailgate can be fully opened and closed electrically by means of an electrical motor activated by an internal button, remote control, external button or a proximity sensor.</t>
  </si>
  <si>
    <t>F0107</t>
  </si>
  <si>
    <t>Rear Lighting, Taillamp</t>
  </si>
  <si>
    <t>Tail lamps summarize all lamps in the rear of vehicle. They may be mounted only on the main body or also partially on the tailgate. Different parts of the tail lamps can be made with LEDs., OLEDs, Halogen, etc.</t>
  </si>
  <si>
    <t>F0110</t>
  </si>
  <si>
    <t>Trailer Lights, Trailer</t>
  </si>
  <si>
    <t>A plug for trailer lights.</t>
  </si>
  <si>
    <t>F0112</t>
  </si>
  <si>
    <t>Warning, Light On</t>
  </si>
  <si>
    <t>If the driver removes the key but the lights are still on, a warning sound will remind him to turn the lights off before leaving the car.</t>
  </si>
  <si>
    <t>F0115</t>
  </si>
  <si>
    <t>F0608</t>
  </si>
  <si>
    <t>HVAC-Defrost, Manual</t>
  </si>
  <si>
    <t xml:space="preserve">Automatic Defrost prevents moisture from windshield and defrost the windshield from ice. Therefore for example flaps will be moved to up position, blower level will be increased and climatic compressor will be switched on to dry the air. This feature can be enhanced by a humidity sensor (F397). </t>
  </si>
  <si>
    <t>F0116</t>
  </si>
  <si>
    <t>F0627</t>
  </si>
  <si>
    <t>Heating Washer Nozzles, Wiper Front</t>
  </si>
  <si>
    <t>Heatable windscreen washer nozzles.</t>
  </si>
  <si>
    <t>F0117</t>
  </si>
  <si>
    <t>J.B.: added 2023/03/10</t>
  </si>
  <si>
    <t>Wiper Front</t>
  </si>
  <si>
    <t>Windscreen wipers. Driver can choose between interval operation or different speeds. Solution can be mechanical linkage or 2 synchronized LIN-wipers.</t>
  </si>
  <si>
    <t>28.0_Powertrain &amp; Driveability</t>
  </si>
  <si>
    <t>28.11_TorqueCoordination-System</t>
  </si>
  <si>
    <t>Engine Function, Brake Throttle Override</t>
  </si>
  <si>
    <t>This system overrides the gas pedal during braking. If the gas pedal gets stuck or the driver pushes both gas and brake pedal at the same time in an emergency situation,  the brake will override the gas pedal ( the vehicle will brake and will not accelerate).</t>
  </si>
  <si>
    <t>F0122</t>
  </si>
  <si>
    <t>32.0_Comfort &amp; Chassis</t>
  </si>
  <si>
    <t>32.30_Suspenioning-System</t>
  </si>
  <si>
    <t>Damping, Active Electrical</t>
  </si>
  <si>
    <t>These system generally control the characteristics of the dampers and the steering wheel electronically.</t>
  </si>
  <si>
    <t>F0125</t>
  </si>
  <si>
    <t>32.11_Stability&amp;Dynamics-System</t>
  </si>
  <si>
    <t>Hill Control, Hill Start Assist</t>
  </si>
  <si>
    <t>At starting uphill, when the driver takes his foot off the brake to push the gas pedal, the Hill-Start Assist Control (HAC) or Auto Hold keeps the brakes activated for about 2 seconds. That way, rolling back is prevented.</t>
  </si>
  <si>
    <t>F0131</t>
  </si>
  <si>
    <t>F2008</t>
  </si>
  <si>
    <t>37.0_ADAS &amp; AutomatedDriving</t>
  </si>
  <si>
    <t>37.11_EBA-System</t>
  </si>
  <si>
    <t>EBA, Junction Assist &amp; Turn Across</t>
  </si>
  <si>
    <t>The brake assist system with cross-traffic assist can help avoiding imminent crashes with cross traffic at junctions. If the anticipatory system detects a hazardous situation of this type based on the amalgamated data from the camera and the radar sensor system, it prompts the driver by activating visual and acoustic warnings and does automated braking. If the driver presses the brake pedal too tentatively, the brake assist system steps in by automatically boosting brake pressure for effective emergency braking, even applying the brakes at full power if necessary.</t>
  </si>
  <si>
    <t>F0136</t>
  </si>
  <si>
    <t>F2009</t>
  </si>
  <si>
    <t>Post Crash, Door Release and Warning Light</t>
  </si>
  <si>
    <t>Many modern passive security systems which also control the airbags, release the doors and turn on the warning lights after they have detected a crash. That way the passengers can be rescued more easily and other vehicles will be warned about the accident.</t>
  </si>
  <si>
    <t>F0141</t>
  </si>
  <si>
    <t>F0228 AND F0xx5</t>
  </si>
  <si>
    <t>37.02_Alerting-System</t>
  </si>
  <si>
    <t>Driver Monitoring, Indirect Drowsiness Detection</t>
  </si>
  <si>
    <t>This system analyses movements of the steering wheel, current speed and time of day to determine if the driver is becoming tired. If so, an alert will regain the attention of the driver visually and/or acoustically. Information from a front camera lane departure warning system may also be incorporated into the feature, as well as an eye tracking system (see F147).</t>
  </si>
  <si>
    <t>F0142</t>
  </si>
  <si>
    <t>36.0_Infotainment &amp; Connectivity</t>
  </si>
  <si>
    <t>36.40_Ecall-System</t>
  </si>
  <si>
    <t>Emergency Call, E-Call (EU)</t>
  </si>
  <si>
    <t>Another part of the passive safety system which initiates an automatic emergency call in case of an accident. GPS information will be used to convey the current position of the car.</t>
  </si>
  <si>
    <t>F0143</t>
  </si>
  <si>
    <t>Base feature for telematics.</t>
  </si>
  <si>
    <t>37.01_LightingAssistant-System</t>
  </si>
  <si>
    <t>Light Assist, High Beam Automatic</t>
  </si>
  <si>
    <t>A camera system with image processing continuously monitors the road type (e.g. urban, country, motorway), headlights of oncoming objects and taillights of preceding vehicles and decides when to switch between high beam and low beam on that basis.</t>
  </si>
  <si>
    <t>F0145</t>
  </si>
  <si>
    <t>Base feature for mono camera</t>
  </si>
  <si>
    <t>Rain Light Sensing, Automatic Wiper</t>
  </si>
  <si>
    <t>A rain sensor, mounted in the windscreen, detects rain by measuring the amount of light reflection on the windscreen to turn on the wiper automatically. It also controls the speed or interval time of the wiper depending on rain intensity.</t>
  </si>
  <si>
    <t>F0150</t>
  </si>
  <si>
    <t>37.20_Parking-System</t>
  </si>
  <si>
    <t>Park Assist, Front</t>
  </si>
  <si>
    <t>Park distance control which monitors the distance to obstacles in the front. These systems use 4 ultrasonic sensors.The information can be combined with a surround view camera if present.</t>
  </si>
  <si>
    <t>F0155</t>
  </si>
  <si>
    <t>F0156</t>
  </si>
  <si>
    <t>Park Assist, Rear</t>
  </si>
  <si>
    <t>Park distance control which monitors the distance to obstacles in the rear. These systems use 4 ultrasonic sensors. The information can be combined with a rear view or surround view camera if present.</t>
  </si>
  <si>
    <t>Collision Alert Rear, Rear Cross Traffic Alert</t>
  </si>
  <si>
    <t>The system uses the existing radar infrastructure for blind spot detection and can help avoiding accidents when reversing out of a parking space. It is based on rear radar sensors. If an imminent collision is detected, a warning will sound and LEDs will light up in the interior rear view mirror to alert the driver. A possible action could also be for the vehicle's brakes to be automatically applied.</t>
  </si>
  <si>
    <t>F0158</t>
  </si>
  <si>
    <t>F2021</t>
  </si>
  <si>
    <t>Rear View, Camera</t>
  </si>
  <si>
    <t xml:space="preserve">When engaging the reverse gear, a wide angle camera mounted in the tailgate conveniently shows the area behind the car in the center display in front of the driver. Some manufacturers use the current steering wheel position to show the assumed trajectory of the car as overlay in the video image. Information from the park distance control system may also be overlaid as colored signs in this image.  </t>
  </si>
  <si>
    <t>F0159</t>
  </si>
  <si>
    <t>Collision Alert Rear, Rear Collision Detection</t>
  </si>
  <si>
    <t>The System extends the Side Blind Zone Alert feature to hazardous situations resulting from traffic behind the vehicle. Radar sensors in the rear bumper scan the traffic behind the car to detect an impending rear-end collision. When a hazardous situation is detected, the car is prepared for collision and the system warns the driver of the vehicle behind by means of hazard warning lights flashing at a high frequency.</t>
  </si>
  <si>
    <t>F0160</t>
  </si>
  <si>
    <t>28.12_DriveStrategy&amp;Driveability</t>
  </si>
  <si>
    <t>Manual Speed Limiter</t>
  </si>
  <si>
    <t>Limits the vehicle speed to a driver selected speed (e.g. 50 km/h within city). This limit will not be exceeded although the drivers throttle position may request a higher speed. The driver can override the limit by fully pressing the throttle pedal. A visual and/or audible warning is triggered if the set speed is exceeded, e.g. on a downhill grade (since MSA does not activate the brakes) or after driver override.</t>
  </si>
  <si>
    <t>F0161</t>
  </si>
  <si>
    <t>Object Detection, Traffic Sign Recognition</t>
  </si>
  <si>
    <t>A camera based system recognizes all speed limits and no-overtaking signs, including temporary signs on motorways and speed limit cancelation signs. This information can be displayed along with other navigation information in the instrument cluster or head up display. Some systems recognize the limits for different times of the day or for rain as well as no entry signs.</t>
  </si>
  <si>
    <t>F0162</t>
  </si>
  <si>
    <t>80.0_Cross-Functions</t>
  </si>
  <si>
    <t>80.89_WiringHarness-Design</t>
  </si>
  <si>
    <t>Power Outlets, 12 Volt DC</t>
  </si>
  <si>
    <t>12 Volt socket-outlet</t>
  </si>
  <si>
    <t>F0164</t>
  </si>
  <si>
    <t>F0484</t>
  </si>
  <si>
    <t>Indications, Charging Completed</t>
  </si>
  <si>
    <t>Indication to driver that charging is completed and that driver can disconnect charging cable and proceed driving.</t>
  </si>
  <si>
    <t>F0168</t>
  </si>
  <si>
    <t>F0238</t>
  </si>
  <si>
    <t>36.11_MediaPlayback-System</t>
  </si>
  <si>
    <t>Media, USB-Connection</t>
  </si>
  <si>
    <t>The possibility to connect external USB-Media storage to the vehicle.</t>
  </si>
  <si>
    <t>F0170</t>
  </si>
  <si>
    <t>F0251 AND F0665</t>
  </si>
  <si>
    <t>Indications, Board computer</t>
  </si>
  <si>
    <t>A board computer can typically record and display the distance travelled, total driving time, average speed, average and instantaneous fuel/energy consumption and remaining fuel/distance range.</t>
  </si>
  <si>
    <t>F0172</t>
  </si>
  <si>
    <t>F2016</t>
  </si>
  <si>
    <t>36.33_V2N_System</t>
  </si>
  <si>
    <t>Hotspot</t>
  </si>
  <si>
    <t xml:space="preserve">With the car hotspot the passengers can also use the internet with their smartphone, tablets or laptops during the journey. Many devices can receive high-speed internet with the new LTE (long-term evolution) wireless communication standard. It can also be used outside of the vehicle. 
Data Plan: display to the user what the status of their data plan is to use the vehicle's wifi connection.
"Wi-Fi Hotspot Password - Set" is the function to set the hotspot network
"Wi-Fi Hotspot Mode - Off, On" is the feature to turn the hotspot on or off
</t>
  </si>
  <si>
    <t>F0173</t>
  </si>
  <si>
    <t>F0559</t>
  </si>
  <si>
    <t>Clock, Digital</t>
  </si>
  <si>
    <t>Digital Clock with different formats in center display or cluster.</t>
  </si>
  <si>
    <t>F0177</t>
  </si>
  <si>
    <t>13.25_AdditionalComfort-System</t>
  </si>
  <si>
    <t>Garage Door Opening</t>
  </si>
  <si>
    <t>A built-in programmable remote control which is compatible to most door openers, entry door locks, security installations and light on systems. The feature will learn the radio frequency codes of most current transmitters to operate the above mentioned devices, replacing one or more separate remote control transmitters.</t>
  </si>
  <si>
    <t>F0181</t>
  </si>
  <si>
    <t>39.11_ComponentThermal-System</t>
  </si>
  <si>
    <t>Thermal Management, HV-Battery Heating</t>
  </si>
  <si>
    <t>Active heating of the high voltage battery to keep the battery temperature in the comfort range of 25 - 35 ° C to increase the battery life.</t>
  </si>
  <si>
    <t>F0189</t>
  </si>
  <si>
    <t>F0615</t>
  </si>
  <si>
    <t>36.12_Sound-System</t>
  </si>
  <si>
    <t>Sound System Subwoofer</t>
  </si>
  <si>
    <t>A dedicated speaker for low frequencies as part of the vehicle's sound system.</t>
  </si>
  <si>
    <t>F0198</t>
  </si>
  <si>
    <t>F0266</t>
  </si>
  <si>
    <t>Indications, Trip Computer</t>
  </si>
  <si>
    <t>A trip computer can typically record and display the distance travelled and total driving time. In opposite to bord computer the functionality of trip computer is limited.</t>
  </si>
  <si>
    <t>F0203</t>
  </si>
  <si>
    <t>80.98_Antenna-Design</t>
  </si>
  <si>
    <t>LTE-Connection</t>
  </si>
  <si>
    <t>A LTE module with antenna in the vehicle provides the ability of mobile communication and internet access during the journey.</t>
  </si>
  <si>
    <t>F0205</t>
  </si>
  <si>
    <t>28.13_Recuperation&amp;OPD-System</t>
  </si>
  <si>
    <t>LV Power, Recuperation (LV)</t>
  </si>
  <si>
    <t>With this system, the generator charges the LV-battery only (or mainly) when the vehicle is coasting or braking. This is accomplished by varying the generator voltage: during coasting or braking, voltage and thus charging current is increased and the battery is charged quicker. In addition, the generator's higher mechanical resistance contributes to braking the vehicle. During acceleration and constant driving, generator voltage and thus charging current and mechanical resistance is reduced, relieving the combustion engine. Fuel efficiency is increased by these measures.</t>
  </si>
  <si>
    <t>F0215</t>
  </si>
  <si>
    <t>F2020</t>
  </si>
  <si>
    <t>80.82_EnergyManagement</t>
  </si>
  <si>
    <t>LV Power, Intelligent Battery Sensing</t>
  </si>
  <si>
    <t>Modern car battery connections are equipped with sensors and circuitry continuously monitoring the voltage and current of the LV battery. This makes it possible to protect the battery from complete discharge. The IBS provides battery data such as battery state of charge, battery voltage, battery current, faults
and battery temperature.</t>
  </si>
  <si>
    <t>F0219</t>
  </si>
  <si>
    <t xml:space="preserve">Light Scenario, Coming Home </t>
  </si>
  <si>
    <t>Also called Follow Me Home. When leaving the car, various lights, including the low beam headlights, courtesy lights, mirror lights, rear lights and license plate lighting, all stay on for a short time before they are switched off automatically.</t>
  </si>
  <si>
    <t>F0220</t>
  </si>
  <si>
    <t>Light Scenario, Welcome Light</t>
  </si>
  <si>
    <t>The same lights mentioned in F220 are switched on when unlocking the car with the remote control. In this way the car lights help to illuminate the way to the vehicle.</t>
  </si>
  <si>
    <t>F0221</t>
  </si>
  <si>
    <t>Washing Front, not heatable</t>
  </si>
  <si>
    <t>Windscreen washer system not heatable.</t>
  </si>
  <si>
    <t>Electrical Steering Column Lock (ESCL)</t>
  </si>
  <si>
    <t>The electronic steering column lock unit locks the steering wheel when the vehicle is parked and the ignition is turned off to help prevent theft.</t>
  </si>
  <si>
    <t>F0223</t>
  </si>
  <si>
    <t>10.21_WindowLifting-System</t>
  </si>
  <si>
    <t>Power Window Lifter Function, Comfort Open/Close</t>
  </si>
  <si>
    <t>The convenience open/close function allows you to open or close the windows and the sun roof with the remote control key. When locking or unlocking the car from the driver's or front passenger's side, the windows can be opened or closed at the same time. Pressing and holding down the open or close button on the remote control opens or closes all the windows (including the electric sunroof).</t>
  </si>
  <si>
    <t>F0224</t>
  </si>
  <si>
    <t>F2025</t>
  </si>
  <si>
    <t>Front Lighting, Low Beam</t>
  </si>
  <si>
    <t>Most light functions of a standard headlamp are being realized in LED technology. LEDs provides a better light performance. Also possible Solutions are for example: Matrix, Matrix HD, Matrix Laser, Xenon, etc.</t>
  </si>
  <si>
    <t>Front Lighting, High Beam</t>
  </si>
  <si>
    <t xml:space="preserve">Headlight beam with a long-range. </t>
  </si>
  <si>
    <t>F0226</t>
  </si>
  <si>
    <t>Light Scenario, Parking Light</t>
  </si>
  <si>
    <t>Parking lights or position lights provide nighttime standing-vehicle conspicuity. They are designed to use little electricity, so they can be left on for periods of time while parked.</t>
  </si>
  <si>
    <t>F0227</t>
  </si>
  <si>
    <t>Surround Lighting, Hazard Light</t>
  </si>
  <si>
    <t>Vehicles have to be equipped with a control which activates the left and right, front and rear, turn signals, all at the same time and in phase, as a hazard warning.</t>
  </si>
  <si>
    <t>F0228</t>
  </si>
  <si>
    <t>Surround Lighting, Turning Light</t>
  </si>
  <si>
    <t>Blinking lamps mounted near the left and right front and rear corners of a vehicle, and sometimes on the sides, activated by the driver on one side of the vehicle at a time to advertise intent to turn or change lanes toward that side.</t>
  </si>
  <si>
    <t>Rear Lighting, Brake Light</t>
  </si>
  <si>
    <t>Brake Lights will be activated if driver or assistance systems triggers the brake.</t>
  </si>
  <si>
    <t>Rear Lighting, Rear Position Light</t>
  </si>
  <si>
    <t>These lights are required to produce only red light and to be wired such that they are lit whenever the front position lamps are illuminated, including when the headlamps are on.</t>
  </si>
  <si>
    <t>F0231</t>
  </si>
  <si>
    <t>Warning, Light Failure Detection</t>
  </si>
  <si>
    <t>Detection if a lighting circuit is not drawing as much current as it should and activates a telltale informing the driver that the respective light is broken.</t>
  </si>
  <si>
    <t>F0232</t>
  </si>
  <si>
    <t>HVAC-Temperature, Automatic</t>
  </si>
  <si>
    <t>When activated, the automatic air conditioning system channels air from outside the vehicle, cools it, reduces its humidity and, depending on the temperature setting, warms it again.</t>
  </si>
  <si>
    <t>F0233</t>
  </si>
  <si>
    <t>HVAC-Blower, Automatic</t>
  </si>
  <si>
    <t xml:space="preserve">Blowers will be regulated automatically. </t>
  </si>
  <si>
    <t>F0234</t>
  </si>
  <si>
    <t>Indications, Telltales</t>
  </si>
  <si>
    <t>Telltales will be used to display information or warnings summarized in one symbol to the driver. Telltales are hardwired LED's or icons within a display.</t>
  </si>
  <si>
    <t>Indications, Popups</t>
  </si>
  <si>
    <t>Popups will be used to display events on cluster. This can be warnings (f.e. Tire Pressure Low) or events (f.e. new sign detected).</t>
  </si>
  <si>
    <t>F0239</t>
  </si>
  <si>
    <t>Indications, Odometer</t>
  </si>
  <si>
    <t>The odometer is an instrument that indicates the total distance traveled by the vehicle.</t>
  </si>
  <si>
    <t>F0240</t>
  </si>
  <si>
    <t>Charging LV, Wireless</t>
  </si>
  <si>
    <t>Inductive charging (also known as "wireless charging") uses an electromagnetic field to transfer energy between a charging station and an electrical device, typically a mobile phone, which can then use that energy to charge its batteries or run the device.</t>
  </si>
  <si>
    <t>F0246</t>
  </si>
  <si>
    <t>32.40_Tire-System</t>
  </si>
  <si>
    <t>Tire Pressure Monitoring System (TPMS), Indirect</t>
  </si>
  <si>
    <t>Indirect TPMS does not use physical pressure sensors but measures tire pressure indirectly by monitoring individual wheel rotational speeds and other signals available outside of the tire itself.</t>
  </si>
  <si>
    <t>F0247</t>
  </si>
  <si>
    <t>80.87_HMI-Design</t>
  </si>
  <si>
    <t>Head-Up Display, integrated</t>
  </si>
  <si>
    <t>The most significant information will be reflected to the windscreen in the field of view of the driver so that he is able to see them without taking his eyes off the road.</t>
  </si>
  <si>
    <t>F0248</t>
  </si>
  <si>
    <t>Outside Mirror Camera</t>
  </si>
  <si>
    <t>Instead of real side view mirrors, cameras are mounted on the left and right side to allow rear view e.g. before changing the lane. The video can be displayed at any convenient position inside the car. This will improve aerodynamic characterictic, offer a wider range of options for styling and might give the possibility to include a safety assistant for blind spot detection.</t>
  </si>
  <si>
    <t>F0249</t>
  </si>
  <si>
    <t>Charging LV, USB Ports</t>
  </si>
  <si>
    <t>The possibility to charge USB devices (4x 2A)</t>
  </si>
  <si>
    <t>F0251</t>
  </si>
  <si>
    <t>80.84_Diagnosis&amp;Updates</t>
  </si>
  <si>
    <t>Diagnosis, On Board (OBD)</t>
  </si>
  <si>
    <t>On board diagnostics (OBD) is a vehicle diagnostic system. Error messages can be queried later by a specialist workshop via standardized interfaces.</t>
  </si>
  <si>
    <t>F0252</t>
  </si>
  <si>
    <t>Diagnosis, DoIP</t>
  </si>
  <si>
    <t>Diagnosis data will be exchanged to service center via Ethernet protocols.</t>
  </si>
  <si>
    <t>F0253</t>
  </si>
  <si>
    <t>F0205 AND F0252</t>
  </si>
  <si>
    <t>HV-Components, Cooling</t>
  </si>
  <si>
    <t>Active water cooling with compressor of the high voltage-components to keep the temperature in the comfort range of 25 - 35 ° C to increase the components life.</t>
  </si>
  <si>
    <t>F0257</t>
  </si>
  <si>
    <t>F0553</t>
  </si>
  <si>
    <t>38.29_Charging-HW-Design</t>
  </si>
  <si>
    <t>Type 2 - Plug System (Europe)</t>
  </si>
  <si>
    <t>The type 2 connector is typically used in Europe for wallboxes, small public charging stations and charging in the home power grid.</t>
  </si>
  <si>
    <t>F0258</t>
  </si>
  <si>
    <t>Base feature for charging.</t>
  </si>
  <si>
    <t>Shift Lever, Shift-by-Wire</t>
  </si>
  <si>
    <t>This is an electrical shifter. Optionally and indication of current AT mode can be on a stalk switch or placed in the center console:
P = Park
R = Reverse
N = Neutral (e.g. for towing or car wash)
D = Drive</t>
  </si>
  <si>
    <t>F0259</t>
  </si>
  <si>
    <t>36.10_Radio-System</t>
  </si>
  <si>
    <t>Radio, HD</t>
  </si>
  <si>
    <t>Radio reception within the FM band, but utilizing the finer adjustment range to pick up the additional information included with the broadcast</t>
  </si>
  <si>
    <t>F0261</t>
  </si>
  <si>
    <t>F0665</t>
  </si>
  <si>
    <t>38.11_EnergyStorage&amp;Converting-System</t>
  </si>
  <si>
    <t>Energy Management, LV Power Supply</t>
  </si>
  <si>
    <t>Power supply for low voltage network from high voltage network via a DC/DC conversion.</t>
  </si>
  <si>
    <t>F0265</t>
  </si>
  <si>
    <t>Sound System Type, External Amplifier</t>
  </si>
  <si>
    <t>Additional audio amplifier to improve sound quality.</t>
  </si>
  <si>
    <t>F0407</t>
  </si>
  <si>
    <t>External Sound,  AVAS-Generator</t>
  </si>
  <si>
    <t>A sound module produces engine sounds (or other sounds) to give BEVs a specific sound. It also helps pedestrians to hear an approaching BEV.</t>
  </si>
  <si>
    <t>F0268</t>
  </si>
  <si>
    <t>Battery Management, BMS Self Protection</t>
  </si>
  <si>
    <t>Self protection of the battery system by the BMS.</t>
  </si>
  <si>
    <t>F0275</t>
  </si>
  <si>
    <t>F1028</t>
  </si>
  <si>
    <t>HV-Safety, Isolation Observation</t>
  </si>
  <si>
    <t>Monitoring of the HV isolation resistance between the car ground (Cl.31) and the HV-potentails. During AC-Charging (BMS), During DC-Charging (charging station).</t>
  </si>
  <si>
    <t>F0276</t>
  </si>
  <si>
    <t>38.20_Charging-System</t>
  </si>
  <si>
    <t xml:space="preserve">Charging Mode 1 (IEC)/ Level 1 (SAE), AC 1-Phase NoCom </t>
  </si>
  <si>
    <t>The Charging Mode 1 (IEC61851) allows to charge  the battery with  max. 16A and slow charging power (&lt;10 kW). To observe is the typical power plug for each country. No communication between power grid and vehicle.
Level 1 charging (SAE J1772) uses a standard 120V  AC outlet (USA). On vehicle end it needs the Type 1 (J1772) plug. Max 1.8 kW</t>
  </si>
  <si>
    <t>F0277</t>
  </si>
  <si>
    <t>Warning, Brake Fluid Level Low</t>
  </si>
  <si>
    <t>Warns the driver if the brake fluid level has fallen below a certain threshold.</t>
  </si>
  <si>
    <t>F0293</t>
  </si>
  <si>
    <t>Recuperation, Brake Lights</t>
  </si>
  <si>
    <t>Activation of brake lights in case of recuperation deceleration.</t>
  </si>
  <si>
    <t>F0294</t>
  </si>
  <si>
    <t>Diagnosis, Remote</t>
  </si>
  <si>
    <t>Transmitting vehicle state to manufacturer via mobile web. In the event of a breakdown, the driver can use "remote diagnostics" via the cloud to contact a service center at any time, which reads out the vehicle information via the internet and localises faults remotely. This saves the wait for a technician.</t>
  </si>
  <si>
    <t>F0310</t>
  </si>
  <si>
    <t>Updates, Over The Air (OTA)</t>
  </si>
  <si>
    <t>Update of vehicle by using the world wide web. Divided in 
FOTA: Firmware - OTA
SOTA: Software - OTA</t>
  </si>
  <si>
    <t>F0311</t>
  </si>
  <si>
    <t>Parking Pilot, Valet Parking</t>
  </si>
  <si>
    <t>Vehicle performs autonomous parking, driver does not need to be present. If the System is not able to handle the situation, it must be able to set the vehicle to a minimal risk condition (stand still). Just working in prepared parking garages or parking places with Car2X infrastructure. Must be approved by the legislator.</t>
  </si>
  <si>
    <t>F0314</t>
  </si>
  <si>
    <t>F0337 AND F2003</t>
  </si>
  <si>
    <t>36.34_V2S_System</t>
  </si>
  <si>
    <t>Android Auto, Basis</t>
  </si>
  <si>
    <t>Use of all smartphone features of Android Auto via the vehicle infotainment system while connecting the smartphone with the vehicle using a USB cable. Display of app-content from mobile phone in the vehicle (media, notifications, navigation, mails). The smartphone can be controlled by vehicle's button/touch control elements. Navigation and location services as well as web access services are provided by mobile phone.</t>
  </si>
  <si>
    <t>F0319</t>
  </si>
  <si>
    <t>F0101 AND F0170 AND F2012</t>
  </si>
  <si>
    <t>38.18_HVBattery-HW-Design</t>
  </si>
  <si>
    <t>HV-Battery, 400V / 800V Voltage-Level</t>
  </si>
  <si>
    <t>High voltage battery for driving an BEV (Battery Electric Vehicle), Voltage-Level 400V / 800V</t>
  </si>
  <si>
    <t>F0324</t>
  </si>
  <si>
    <t>37.23_LaneSupporting-System</t>
  </si>
  <si>
    <t>Lane Assist, Lane Change Assist (LCA)</t>
  </si>
  <si>
    <t xml:space="preserve">If the driver activates the turning signal for more than two seconds to change the lane, the Lane Change Assist automatically steers the vehicle to the adjacent lane. The vehicle only change the lane if the sensors have detected no vehicles in the relevant area. </t>
  </si>
  <si>
    <t>F0331</t>
  </si>
  <si>
    <t>F2010 AND F2021</t>
  </si>
  <si>
    <t>37.30_Piloting-System</t>
  </si>
  <si>
    <t>Pilot, Traffic Jam</t>
  </si>
  <si>
    <t>The Traffic Jam Pilot (TJP) allows automated motorway travel up to a defined speed. When the pilot is activated, driver no longer needs to continuously monitor the vehicle and the road. All you have to do is be vigilant and able to take on the task when the system asks you to.</t>
  </si>
  <si>
    <t>F0332</t>
  </si>
  <si>
    <t>F0136 AND F0915 AND F1085</t>
  </si>
  <si>
    <t>Pilot, Highway</t>
  </si>
  <si>
    <t>Once the vehicle is on the highway, the driver can activate the highway pilot. It automatically keeps the speed prescribed by law, regulates the given distance to the vehicle in front up to a defined speed. The highway pilot also change lanes. The driver can override the system at any time. Driver has to take over control in failure conditions or when driving through construction sites, in extreme weather conditions or in the absence of lane markings.</t>
  </si>
  <si>
    <t>F0335</t>
  </si>
  <si>
    <t xml:space="preserve"> F0331 AND F0594  AND F0595 AND F0657 AND F0967 AND F2002</t>
  </si>
  <si>
    <t>Pilot, City</t>
  </si>
  <si>
    <t>Autonomous driving in urban surroundings. While the automated system has control over the vehicle, it allows the human operator to leave all responsibilities to the system. Under hazardous condition the system stops the vehicle safely on right side. Surroundings must be approved by the legislature and vehicle must be testet in this specific surrounding. It's not necessary that the driver is inside the car. In a dangerous situation, the car comes into a safe state</t>
  </si>
  <si>
    <t>F0337</t>
  </si>
  <si>
    <t>F0314 AND F0332 AND F0885</t>
  </si>
  <si>
    <t>32.10_Braking-System</t>
  </si>
  <si>
    <t>Brake, By Wire (Electro Mechanic)</t>
  </si>
  <si>
    <t>There is no physical (hydraulic) connection of the brake pedal to the braking actuators. Instead, brakes are controlled through electrical means. Faster response time and shorter stopping times can be achieved with these systems.</t>
  </si>
  <si>
    <t>F0339</t>
  </si>
  <si>
    <t>10.22_ExteriorMoving-System</t>
  </si>
  <si>
    <t>Trailer Hitch, Electric Swiveling</t>
  </si>
  <si>
    <t>Trailer hitch is swiveled and locked electrically by pressing a switch. It automatically swivels out of its stowing position and locks in the operating position. After use, the switch is pressed again and the trailer hitch unlocks and swivels back into its stowing position. Operation of the swiveling mechanism is only possible at stopped vehicle, decoupled trailer and opened tailgate/rear window. Accidental activation of the swiveling button located inside the trunk is prevented by checking for opened-state of the tailgate/rear window.</t>
  </si>
  <si>
    <t>F0341</t>
  </si>
  <si>
    <t>Night Vision</t>
  </si>
  <si>
    <t>Recognition of living objects at night. It is possible to detect pedestrians or animals on and around the road via an infrared camera.</t>
  </si>
  <si>
    <t>F0345</t>
  </si>
  <si>
    <t>32.20_Steering-System</t>
  </si>
  <si>
    <t>Steering System, Electric Power Steering (EPS)</t>
  </si>
  <si>
    <t>Steering support via electric motor.</t>
  </si>
  <si>
    <t>F0348</t>
  </si>
  <si>
    <t>Front Steering, Active Reset</t>
  </si>
  <si>
    <t>In combination with an EPS system, the steering wheel will be automatically centered after the driver releases it, even at smallest steering angles. This offers a very high level of steering precision.</t>
  </si>
  <si>
    <t>F0350</t>
  </si>
  <si>
    <t>HV-Safety, Cooling Liquid Leakage Detection</t>
  </si>
  <si>
    <t>Detection of a leakage in the cooling system for service purposes.</t>
  </si>
  <si>
    <t>F0352</t>
  </si>
  <si>
    <t>Glove Box, Cooling</t>
  </si>
  <si>
    <t xml:space="preserve">Glove box is also equipped with cooler that is used to keep drinks cool. In addition to cold-airflow from HVAC system there is a small blower. </t>
  </si>
  <si>
    <t>F0353</t>
  </si>
  <si>
    <t>Anti Theft, Interior Surveillance Observation</t>
  </si>
  <si>
    <t>This system detects any movement within the car via ultrasonic sensors. It also detects anyone trying to get into the car through a broken window.</t>
  </si>
  <si>
    <t>F0360</t>
  </si>
  <si>
    <t>BEV-Braking, iBooster</t>
  </si>
  <si>
    <t>The iBooster is an brake booster which doesn't need vacuum. The brake force of the brake pedal will be boosted with an electric motor.
The iBooster makes possible to increase the range in a BEV about 20%. In addition it reduces stopping distance in combination with AEB. For HAD Level 3 features it can interact as a redundant braking system.</t>
  </si>
  <si>
    <t>F0361</t>
  </si>
  <si>
    <t>Seat Passenger, Heating</t>
  </si>
  <si>
    <t>Heating of the passenger seat and backrest. It can have different heating levels, temperature sensing and may be turned off automatically.</t>
  </si>
  <si>
    <t>F0368</t>
  </si>
  <si>
    <t>Seat Passenger, Position Electric Adjustable</t>
  </si>
  <si>
    <t>The Passenger seat can be moved electrically in depth and height. In addition the Backrest is electric adjustable.</t>
  </si>
  <si>
    <t>F0370</t>
  </si>
  <si>
    <t>Seat Passenger, Ventilated</t>
  </si>
  <si>
    <t>Air coindioning for the passenger's seat.</t>
  </si>
  <si>
    <t>F0371</t>
  </si>
  <si>
    <t>Front Lighting, Fog Front</t>
  </si>
  <si>
    <t>Fog lamps are separately mounted lamps with wide beam which have less amount of reflected light to the driver and direct more illumination towards the road in condition of poor visibility due to rain, fog, dust and snow. Some countries have special regulations when and how these lamps are supposed to be used.</t>
  </si>
  <si>
    <t>F0378</t>
  </si>
  <si>
    <t>Rear Lighting, Fog Rear</t>
  </si>
  <si>
    <t>Rear fog lights are required in many countries. These lamps are much brighter than normal rear lamps to improve visibility of the car by rear traffic in conditions of poor visibility due to rain, fog, dust or snow.</t>
  </si>
  <si>
    <t>Door Lighting Outside, Open Door Rear</t>
  </si>
  <si>
    <t>Additional lamp in rear doors that signals open doors to approaching traffic.</t>
  </si>
  <si>
    <t>F0379</t>
  </si>
  <si>
    <t>Trunk Lighting</t>
  </si>
  <si>
    <t>Lamps which illuminate the trunk.</t>
  </si>
  <si>
    <t>F0382</t>
  </si>
  <si>
    <t>Visor Lighting</t>
  </si>
  <si>
    <t>Lights mounted close to make up mirror in visor.</t>
  </si>
  <si>
    <t>F0383</t>
  </si>
  <si>
    <t>Washing Rear, not heatable</t>
  </si>
  <si>
    <t>Rear windscreen washer, not heatable.</t>
  </si>
  <si>
    <t>F0389</t>
  </si>
  <si>
    <t>Thermal Management, Master (BEV Vehicles)</t>
  </si>
  <si>
    <t xml:space="preserve">Required for all types BEV vehicles. Active water cooling with compressor of high voltage-components .The thermal management also supplies the HVAC module with cold / hot water. 
</t>
  </si>
  <si>
    <t>F0393</t>
  </si>
  <si>
    <t>Base feature for Components HVAC.</t>
  </si>
  <si>
    <t>HV-Safety, HV-Battery Crash-Deactivation (Reversible)</t>
  </si>
  <si>
    <t>Deactivation of the HV-Battery in case of crash. HV potentials will be disconnected. Can be reactivated by system.</t>
  </si>
  <si>
    <t>F0395</t>
  </si>
  <si>
    <t>Steering, Modes</t>
  </si>
  <si>
    <t>Different steering characteristics depending on driving modes. COMFORT, SPORT, CITY, OFFROAD</t>
  </si>
  <si>
    <t>F0400</t>
  </si>
  <si>
    <t>F2004</t>
  </si>
  <si>
    <t xml:space="preserve">Sound System Front, 2 Wideband Speaker </t>
  </si>
  <si>
    <t>Sound system with 2 wideband loudspeakers in the front.</t>
  </si>
  <si>
    <t>F0406</t>
  </si>
  <si>
    <t>Sound System Front, 2 Tweeter</t>
  </si>
  <si>
    <t>The front will be enhanced by 2 tweeters. This increases the sound quality.</t>
  </si>
  <si>
    <t>Sound System Rear, 2 Wideband Speaker</t>
  </si>
  <si>
    <t>Sound system will be enhanced by 2 additional wideband speakers in the rear.</t>
  </si>
  <si>
    <t>F0408</t>
  </si>
  <si>
    <t>Rear Lighting, CHMSL</t>
  </si>
  <si>
    <t>A third centered brake light with LED mounted on a higher position to increase the visibility to the successive traffic.</t>
  </si>
  <si>
    <t>F0409</t>
  </si>
  <si>
    <t>Seatbelt Reminder, Rear</t>
  </si>
  <si>
    <t>Rear passenger recognition sensors combined with hall sensors in the seatbelt locks recognize if the rear passengers are belted or not. Depending on the manufacturer, after a certain driving distance or after reaching a certain velocity an alarm will alert the driver if rear passengers are not belted.</t>
  </si>
  <si>
    <t>F0410</t>
  </si>
  <si>
    <t>F0436 AND F0891</t>
  </si>
  <si>
    <t>Warning, Washer Fluid Level low</t>
  </si>
  <si>
    <t>Indication if washer fluid level is running low.</t>
  </si>
  <si>
    <t>F0411</t>
  </si>
  <si>
    <t>Airbag Passenger, Anti-Submarining</t>
  </si>
  <si>
    <t>F0419</t>
  </si>
  <si>
    <t>Passenger Detection, Rear</t>
  </si>
  <si>
    <t>The system in the rear is used to detect via hall sensors or seat mats if the passenger seats in the rear are occupied.</t>
  </si>
  <si>
    <t>F0436</t>
  </si>
  <si>
    <t>Heating Washer Nozzles, Wiper Rear</t>
  </si>
  <si>
    <t>Heatable rear window washer nozzle</t>
  </si>
  <si>
    <t>F0437</t>
  </si>
  <si>
    <t>Airbag Rear, Anti-Submarining</t>
  </si>
  <si>
    <t xml:space="preserve">A airbag situated in the seat pan deploys under frontal impact to hold the pelvis in place and prevent it from slipping forward. 
</t>
  </si>
  <si>
    <t>F0439</t>
  </si>
  <si>
    <t>Charging Mode 2, AC 1-Phase Com</t>
  </si>
  <si>
    <t>Charging mode 2 is a process in which an electric vehicle is connected to a standard socket of an alternating current network by means of an alternating current supply device for electric vehicles with a cable and plug, with a pilot wire function and a system for protecting people against electrical power blow is inserted between the standard plug and the electric vehicle. (IEC 61851),  slow charging power (&lt;10 kW), Communication and protection between charging electronic inside cable and vehicle</t>
  </si>
  <si>
    <t>F0440</t>
  </si>
  <si>
    <t xml:space="preserve">Charging Mode 2, AC 3-Phase Com
</t>
  </si>
  <si>
    <t>Charging mode 2 is a process in which an electric vehicle is connected to a standard socket of an alternating current network by means of an alternating current supply device for electric vehicles with a cable and plug, with a pilot wire function and a system for protecting people against electrical power blow is inserted between the standard plug and the electric. Communication and protection between charging electronic inside calbe and vehicle.  IEC 61851, 11-22 kW</t>
  </si>
  <si>
    <t>F0441</t>
  </si>
  <si>
    <t xml:space="preserve">Airbag Rear, Left / Right </t>
  </si>
  <si>
    <t>Airbags protect the heads of the rear passengers. Seldom addon for front crash scenarios to better distinguish from standard Airbag (Side) Rear</t>
  </si>
  <si>
    <t>F0457</t>
  </si>
  <si>
    <t>Charging Management, Plug Lock</t>
  </si>
  <si>
    <t>For safety reasons, a charging plug under load must not be pulled out of the charging socket. For this reason, the charging plug is locked electromechanically in the charging socket. The locking is to prevent manipulation by third parties, when loading in public places.
When locking a pin is driven by an electric motor in the connector. Control is via conventional signal lines via the charge manager. The locking state is read back by the load manager (only for DC charging - ASIL B)
The plug is locked 2s after plugging in. If an unlocking command is issued during an active charging process, the charging process is interrupted and as soon as no more current flows, the charging connector is unlocked. If the charging plug is then not removed from the charging socket within 30 seconds, the charging plug is locked again and charging continues. Display via yellow LED from green pulsating to yellow.</t>
  </si>
  <si>
    <t>F0458</t>
  </si>
  <si>
    <t>Thermal Management, HV-Battery Cooling</t>
  </si>
  <si>
    <t>Active water cooling with compressor of the high voltage battery to keep the battery temperature in the comfort range of 25 - 35 ° C to increase the battery life.</t>
  </si>
  <si>
    <t>F0459</t>
  </si>
  <si>
    <t>Indications, Recuperation Statistics</t>
  </si>
  <si>
    <t>Indication of energy flow from and to HV battery in BEVs.</t>
  </si>
  <si>
    <t>F0463</t>
  </si>
  <si>
    <t>Indications, Engine Speed</t>
  </si>
  <si>
    <t>Indication of engine speed.</t>
  </si>
  <si>
    <t>F0464</t>
  </si>
  <si>
    <t>Indications, Vehicle Speed</t>
  </si>
  <si>
    <t>Indication of vehicle speed.</t>
  </si>
  <si>
    <t>F0465</t>
  </si>
  <si>
    <t>HV-Safety, HV-Battery Crash-Deactivation (Service Reversible)</t>
  </si>
  <si>
    <t>Deactivation of the HV-Battery in case of crash.. HV potentials will be disconnected.  Only service reversible</t>
  </si>
  <si>
    <t>F0473</t>
  </si>
  <si>
    <t>HV-Safety, Service Disconnect</t>
  </si>
  <si>
    <t>Switch for disconnecting HV-system from HV-battery for service. Only 12V supply remains active.</t>
  </si>
  <si>
    <t>F0474</t>
  </si>
  <si>
    <t>HV-Safety, Emergency Discharge (Active)</t>
  </si>
  <si>
    <t>This function is used to reduce the voltage of the HV intermediate circuit in the Power electronics (legal requirements from FMVSS305 (crash - NAR) and ECE94 / 95 (Crash - EU)). The HV link stores electrical energy and must be fast discharged in cases of faults and conditions in which the safety of the HV network can not be ensured (eg crash). The active discharge also takes place when the HV-Interlock is interrupted or when the cl.15 signal is lost. A failure of the CAN also leads to a active discharge.
As a result, the high-voltage intermediate circuit voltage within a defined period of time (5s in the event of a crash) is reduced below 60V DC (legal requirement).</t>
  </si>
  <si>
    <t>F0475</t>
  </si>
  <si>
    <t>F0558 AND F0777</t>
  </si>
  <si>
    <t>HVAC-System, Fully Manual</t>
  </si>
  <si>
    <t>The air temperature, blower speed and air flow directions are set fully manual by the users.</t>
  </si>
  <si>
    <t>F0483</t>
  </si>
  <si>
    <t>Base feature for HVAC.</t>
  </si>
  <si>
    <t>Electrical System, 12V</t>
  </si>
  <si>
    <t>Car wiring harness with fuse boxes, relay boxes, grommets, clips etc.</t>
  </si>
  <si>
    <t>Electrical System, 48V</t>
  </si>
  <si>
    <t>Wiring harness for special systems with high current load (steering, electric damping system, auxiliary heater, etc.)</t>
  </si>
  <si>
    <t>F0486</t>
  </si>
  <si>
    <t>Indications, Energy Consumption</t>
  </si>
  <si>
    <t xml:space="preserve">
Energy App shows real-time energy consumption.
</t>
  </si>
  <si>
    <t>F0495</t>
  </si>
  <si>
    <t>Ambient Lighting, Trimstrip Doors</t>
  </si>
  <si>
    <t>Colored Ambient Light integrated into front and rear doors. Adjustable light color/style/brightness within the Car HMI.</t>
  </si>
  <si>
    <t>F0500</t>
  </si>
  <si>
    <t>F0x32</t>
  </si>
  <si>
    <t>Antenna, Bar</t>
  </si>
  <si>
    <t>Antenna-bar replaces a 'shark fin' antenna. Antenna-bar can be mounted unvisibly under the roof, near the rear window.</t>
  </si>
  <si>
    <t>F0509</t>
  </si>
  <si>
    <t>HV-Safety, Fire Detection</t>
  </si>
  <si>
    <t>Fire should be detected by BMS in less than 5 minutes, that pessengers can leave the car in time.</t>
  </si>
  <si>
    <t>F0526</t>
  </si>
  <si>
    <t>Vibration Feedback, Steering Wheel</t>
  </si>
  <si>
    <t>Vibration of steering wheel triggered by various driver assistance features to alert the driver.</t>
  </si>
  <si>
    <t>F0529</t>
  </si>
  <si>
    <t>Camera Cleaning System</t>
  </si>
  <si>
    <t>Cleaning system for cameras located outside the reach of the windscreen wipers, such as rear view or surround view cameras.</t>
  </si>
  <si>
    <t>F0533</t>
  </si>
  <si>
    <t>Parking Pilot, Trained Parking</t>
  </si>
  <si>
    <t>The Trained Parking function records and stores the sequence of a parking procedure. 
When learning, i.e. the first time the route is driven manually, the system generates a precise map of the surroundings from the sensor data and then stores this map. Driver must be present in the vehicle.</t>
  </si>
  <si>
    <t>F0536</t>
  </si>
  <si>
    <t>F0348 AND F0912 AND F1304</t>
  </si>
  <si>
    <t>Indications, Service Intervall Assist</t>
  </si>
  <si>
    <t>Driver information in how many km or days the next inspection or oil change should be made for example.</t>
  </si>
  <si>
    <t>F0541</t>
  </si>
  <si>
    <t>Electrical System, HV 400V / 800V</t>
  </si>
  <si>
    <t>400V wiring harness for BEV and hybrid vehicles.</t>
  </si>
  <si>
    <t>F0548</t>
  </si>
  <si>
    <t>Thermal Management, HV-CoolingGeneration</t>
  </si>
  <si>
    <t>The A/C compressor is driven by a HV battery instead of being directly driven by the combustion engine. In hybrid or BEVs, an electric A/C compressor is mandatory to cool down the HV-battery.</t>
  </si>
  <si>
    <t>HV-Safety, Passive Discharge</t>
  </si>
  <si>
    <t>Discharge of the HV intermediate circuit after switching off the high-voltage contactors.</t>
  </si>
  <si>
    <t>F0558</t>
  </si>
  <si>
    <t>WiFi-Connection</t>
  </si>
  <si>
    <t>The Wi-Fi connection gives the user the opportunity to connect up to 10 phones with the infotainment system to play multimedia data. Otherwise it is possible to start a phone call by the primary phone. The Wi-Fi feature is also able to connect to external hotspots like the router at home.</t>
  </si>
  <si>
    <t>Energy Management, LV</t>
  </si>
  <si>
    <t>The energy management ensures that defined electrical boundary conditions will be met in order to guarantee the proper and stable function of all electrical components.</t>
  </si>
  <si>
    <t>F0560</t>
  </si>
  <si>
    <t>F1106</t>
  </si>
  <si>
    <t>Apple Car Play, Wireless</t>
  </si>
  <si>
    <t>Use of all smartphone features of Apple CarPlay via the vehicle infotainment system. Display of app-content from mobile phone in the vehicle (media, notifications, navigation, mails). Phone can be controlled by vehicle's button/touch control elements. GPS navigation and web access are provided by mobile phone. In newer systems no USB-connection is necessary.</t>
  </si>
  <si>
    <t>F0561</t>
  </si>
  <si>
    <t>F0101 AND F0566 AND F2012</t>
  </si>
  <si>
    <t>Bluetooth-Connection</t>
  </si>
  <si>
    <t>The Infotainment Module shall automatically detect a device upon connection.
A device shall be recognized and enumerated within 3 seconds of the time it is attached, or within 3 seconds of Infotainment Module media player Start-Up completion.
If the connected device does not support role switch, the first song shall be playable within one second of the device enumeration. Media playback shall be initiated before any other process, including indexing or the change detection algorithm.
Details relevant to the connection of the device shall appear in each Device line item for devices in the Connected section. The device friendly name, with connection purpose and type below it (e.g. Outgoing and Incoming Calls). – And an information icon to see more details and settings for the device are shown. Selecting an Incoming Calls device line item anywhere except the edit button shall switch that device to Outcoming and Incoming role (switching the Outgoing and Incoming call device to Incoming).</t>
  </si>
  <si>
    <t>F0566</t>
  </si>
  <si>
    <t>Radio, DAB+</t>
  </si>
  <si>
    <t>Digital Radio Broadcasting can be received by the car multimedia system. DAB+ using MPEG-4 High Efficiency Advanced Audio Coding which allows more radio stations in one frequency band.</t>
  </si>
  <si>
    <t>F0574</t>
  </si>
  <si>
    <t>Engine Function, Acceleration Control</t>
  </si>
  <si>
    <t>An acceleration control suppresses sudden movements and allows smoother starts at bus stops and traffic lights.</t>
  </si>
  <si>
    <t>F0589</t>
  </si>
  <si>
    <t>Object Detection, Highway</t>
  </si>
  <si>
    <t>The highway is detected by using camera (traffic signs) and GPS data. This is a prerequisite for Level 3 features that are limited to Highways.</t>
  </si>
  <si>
    <t>F0594</t>
  </si>
  <si>
    <t>F0162 AND F2023</t>
  </si>
  <si>
    <t>Lane Assist, Highway Assist</t>
  </si>
  <si>
    <t>The Highway Assist assists driver on highways. Car keeps the distance to the lead vehicle in front in the same lane by steering, braking and accelerating . Driver has to keep hands on wheel regulary.</t>
  </si>
  <si>
    <t>F0595</t>
  </si>
  <si>
    <t>F0658</t>
  </si>
  <si>
    <t>Event Recorder, Video Capturing</t>
  </si>
  <si>
    <t xml:space="preserve">Video capturing using front camera to document accidents. </t>
  </si>
  <si>
    <t>F0599</t>
  </si>
  <si>
    <t>Indications, Chimes</t>
  </si>
  <si>
    <t>Feature plays Chimes and announcements to give an audible information to the driver. This could be an information (New WhatsApp received), an acoustical feedback (turn signal) or a warning (Collision Alert).
The speaker responsible for this can be a component of the instrument panel cluster.</t>
  </si>
  <si>
    <t>Airbag Driver, Head</t>
  </si>
  <si>
    <t>This airbag protects vehicle occupants in front seats against harmful crashes to the window on the side. 
It is installed laterally in the backrest</t>
  </si>
  <si>
    <t>F0610</t>
  </si>
  <si>
    <t>Airbag Passenger, Single Stage</t>
  </si>
  <si>
    <t>This airbag protects the passenger from injuries to the face and head in case of a frontal crash.</t>
  </si>
  <si>
    <t>Thermal Management, HV-HeatingGeneration</t>
  </si>
  <si>
    <t>The vehicle heater (PTC) is powered electrical instead of using the heat loss of the combustion engine. In hybrid or BEVs, an electric heater is mandatory.</t>
  </si>
  <si>
    <t>LV Power, 12V Battery</t>
  </si>
  <si>
    <t>Buffer Battery for 12V Boardnet</t>
  </si>
  <si>
    <t>F0618</t>
  </si>
  <si>
    <t>Outside Lighting, Side Marker Rear</t>
  </si>
  <si>
    <t>Rear Side Marker Lights, legal requirement in US</t>
  </si>
  <si>
    <t>F0619</t>
  </si>
  <si>
    <t>Indications, Open Door</t>
  </si>
  <si>
    <t>Indication if door is open.</t>
  </si>
  <si>
    <t>F0623</t>
  </si>
  <si>
    <t>Indications, Battery Charging</t>
  </si>
  <si>
    <t>Indication for battery charging.</t>
  </si>
  <si>
    <t>F0624</t>
  </si>
  <si>
    <t>Indications, Error in HV System</t>
  </si>
  <si>
    <t>Indication for Error in HV System.</t>
  </si>
  <si>
    <t>F0626</t>
  </si>
  <si>
    <t>HVAC-Recirculation, Manual</t>
  </si>
  <si>
    <t xml:space="preserve">The circulation function offers the possibility to the driver to choose between getting fresh outside air or recycling the inside air. 1) in summer the vehicle can faster be cooled down because no warm outside air is incoming.  
2) in winter the vehicle can faster be warmed up because no cold outside air is incoming. </t>
  </si>
  <si>
    <t>Diagnosis, Under/Overvoltage Detection</t>
  </si>
  <si>
    <t>Monitors the battery Voltage and induces individual function depended actions when a under - or overvoltage is detected</t>
  </si>
  <si>
    <t>F0629</t>
  </si>
  <si>
    <t>80.81_VehicleStateManagement</t>
  </si>
  <si>
    <t>Vehicle State Management, LV</t>
  </si>
  <si>
    <t>Vehicle State Manager is a system function that calculates the internal vehicle states. It is the main statemachine of the vehicle that is oriented on electrical terminal states + additional electronical states and is responsible for clamp control on electric side and network management on electronic side.</t>
  </si>
  <si>
    <t>F0630</t>
  </si>
  <si>
    <t>Indications, Electric Range Estimation</t>
  </si>
  <si>
    <t>Based on vehicle status (energy consumption, driving mode, vehicle speed, driving behavior) the estimated range of the vehicle will be shown to the driver.</t>
  </si>
  <si>
    <t>F0631</t>
  </si>
  <si>
    <t>Vehicle State Management, HV</t>
  </si>
  <si>
    <t xml:space="preserve">Activation of components and subsequent readiness of the vehicle control unit(VCU) for further actions.
High Voltage Power Supply Control: The vehicle control unit(VCU) requests the control of High Voltage Battery Pre-charge Relay and Main-Relay On/Off to BMS depending on vehicle state(F630) and charging status. BMS controls the high voltage battery relay directly.
</t>
  </si>
  <si>
    <t>F0640</t>
  </si>
  <si>
    <t>Crashdetection, HV-Safety</t>
  </si>
  <si>
    <t>Internal sensor and acceleration sensor (optional pressure sensor) information will be used to trigger HV-safety activities.</t>
  </si>
  <si>
    <t>F0641</t>
  </si>
  <si>
    <t>Central Door Lock, Rear</t>
  </si>
  <si>
    <t>The central locking allows the driver to simultaneously lock or unlock all the doors by either manually locking the driver door with the key, pressing a button inside the car or using the remote control key. It usually contains charging flap locking as well.</t>
  </si>
  <si>
    <t>Park Brake, Manual</t>
  </si>
  <si>
    <t>Mechanical handbrake that applys brake via bowden cable. A switch detects if brake is applied.</t>
  </si>
  <si>
    <t>F0648</t>
  </si>
  <si>
    <t>Post Crash, Ignition Off</t>
  </si>
  <si>
    <t>After crash ignition will be switched off to safe the car and to switch off not needed electronics.</t>
  </si>
  <si>
    <t>F0649</t>
  </si>
  <si>
    <t>Pilot, Country Road</t>
  </si>
  <si>
    <t>Automated driving on country roads. While the automated system has control over the vehicle, it allows the human operator to leave all responsibilities to the system. Under hazardous condition  the system stops the vehicle safely on right side. It's not necessary that the driver is inside the car. In a dangerous situation, the car comes into a safe state</t>
  </si>
  <si>
    <t>F0651</t>
  </si>
  <si>
    <t>Brake Comfort, Adaptive Brake Assist</t>
  </si>
  <si>
    <t xml:space="preserve">
An adaptive brake assist that engages in controlled braking and helps the driver to brake. It is a comfort feature that applies according to driving situation the needed brake pressure.
</t>
  </si>
  <si>
    <t>F0653</t>
  </si>
  <si>
    <t>Lane Assist, Evasive Steering Support</t>
  </si>
  <si>
    <t>The evasive steering support function supports the driver during a critical evasive maneuver by means of braking the inner wheel or using steering wheel if steering initiated by driver.</t>
  </si>
  <si>
    <t>F0657</t>
  </si>
  <si>
    <t>F2008 AND F2010</t>
  </si>
  <si>
    <t>Lane Assist, Traffic Jam Assist</t>
  </si>
  <si>
    <t>The Traffic Jam Assist assists driver on traffic jams. Car keeps the distance to the lead vehicle in front in the same lane by steering, braking and accelerating . Driver has to keep hands on wheel regulary and to resume drive after stop.</t>
  </si>
  <si>
    <t xml:space="preserve">F1187 AND F2002 </t>
  </si>
  <si>
    <t>Radio, FM</t>
  </si>
  <si>
    <t xml:space="preserve">FM broadcasting is a method of Radio broadcasting using frequency modulation (FM) technology. Invented in 1933 by American engineer Edwin Armstrong, wide-band FM is used worldwide to provide high-fidelity sound over broadcast Radio. FM broadcasting is capable of better sound quality than AM broadcasting, the chief competing Radio broadcasting technology, so it is used for most music broadcasts. FM Radio stations use the VHF frequencies. The term "FM band" describes the frequency band in a given country which is dedicated to FM broadcasting. </t>
  </si>
  <si>
    <t>Clock, System</t>
  </si>
  <si>
    <t>The clock-time signal from RDS or GNSS is used for time synchronization of the digital or analog clock. When the signal is broadcast, inaccuracies of the clock in the receiver can be corrected with this signal. This feature is mainly used by public broadcasters.</t>
  </si>
  <si>
    <t>F0674</t>
  </si>
  <si>
    <t>Engine Function, Pedal Validity</t>
  </si>
  <si>
    <t>This feature looks at both sensors in the accelerator pedal and ensures the user is actually requesting torque.</t>
  </si>
  <si>
    <t>F0680</t>
  </si>
  <si>
    <t>Recuperation, One Pedal Driving</t>
  </si>
  <si>
    <t>"One Pedal Driving" is a feature that requires only one pedal for acceleration and braking.  The regenerative braking is maximized when the accelerator pedal is at zero input. With zero input the vehicle will come to a complete stop. The autonomous application of foundation brakes to slow the last mph to a complete stop may be used.</t>
  </si>
  <si>
    <t>F0681</t>
  </si>
  <si>
    <t>Type 2 CCS - Plug System (Europe)</t>
  </si>
  <si>
    <t>The type 2 CCS connector is typically used in Europe for fast charging at public charging stations.</t>
  </si>
  <si>
    <t>F0682</t>
  </si>
  <si>
    <t>Charging Mode 3 (IEC)/ Level 2 (SAE), AC 1-Phase Wallbox</t>
  </si>
  <si>
    <t>Charging mode 3 is a method in which an electric vehicle is connected to an alternating current supply device for electric vehicles that is permanently connected to an alternating current network, and in which there is a pilot wire function between the alternating current supply device and the electric vehicle. (IEC 61851), 
slow charging power (&lt;10 kW),
Communication and protection between charging electronic (Wallbox) and vehicle.
Level 2 charging uses a 208 to 240 volt AC outlet. max 19,2 kw (80 A). Needs Type 1 (J1772) connector in USA.</t>
  </si>
  <si>
    <t>F0683</t>
  </si>
  <si>
    <t>Charging Mode 3 (IEC)/ Level 2 (SAE), AC 3-Phase Wallbox</t>
  </si>
  <si>
    <t>Charging mode 3 is a method in which an electric vehicle is connected to an alternating current supply device for electric vehicles that is permanently connected to an alternating current network, and in which there is a pilot wire function between the alternating current supply device and the electric  (IEC 61851), 
mid charging power (11-22 kW),
Communication and protection between charging electronic (Wallbox) and vehicle.
Level 2 charging uses a 208 to 240 volt AC outlet. max 19,2 kw (80 A). Needs Type 1 (J1772) connector in USA.</t>
  </si>
  <si>
    <t>F0684</t>
  </si>
  <si>
    <t>Battery Management, Power Derating</t>
  </si>
  <si>
    <t>Depending on the state of the cells (SOC, SOH and temperature) as well as on dI/dt, current limits (short-term, continuous) are provided in order not to exceed or fall below the limits specified by the cell manufacturer. In addition, the absolute voltage limits (temperature-dependent) are also provided.</t>
  </si>
  <si>
    <t>F0687</t>
  </si>
  <si>
    <t>F0692 and F0693</t>
  </si>
  <si>
    <t>Battery Management, State Of Health (SOH)</t>
  </si>
  <si>
    <t>First, a battery management system evaluates the SoH of the battery under its management and reports it.
Then, the SoH is compared to a threshold (typically done by the application in which the battery is used), to determine the suitability of the battery to a given application.
Knowing the SoH of a given battery and the SoH threshold of a given application: 
a determination can be made whether the present battery conditions make it suitable for that application
an estimate can be made of the battery's useful lifetime in that application</t>
  </si>
  <si>
    <t>F0691</t>
  </si>
  <si>
    <t>Battery Management, State Of Charge (SOC)</t>
  </si>
  <si>
    <t>The state of charge is a function that measures the state of the battery and then evaluates it (empty = 0% / full = 100%).</t>
  </si>
  <si>
    <t>F0692</t>
  </si>
  <si>
    <t>Battery Management, Contactor Control</t>
  </si>
  <si>
    <t>Battery system control of when to open and close the main contactors for HV output to the rest of the vehicle.</t>
  </si>
  <si>
    <t>F0693</t>
  </si>
  <si>
    <t>Apple Car Play, Siri</t>
  </si>
  <si>
    <t>Siri is a personal assist from Apple that offer vehicle control by voice recognition. Ethernet connection is necessary to translate voice into commands.</t>
  </si>
  <si>
    <t>F0705</t>
  </si>
  <si>
    <t>F0561 AND F1344</t>
  </si>
  <si>
    <t>Android Auto, OK Google</t>
  </si>
  <si>
    <t>OK Google is a personal assist from Google that offer vehicle control by voice recognition. Ethernet connection is necessary to translate voice into commands.</t>
  </si>
  <si>
    <t>F0706</t>
  </si>
  <si>
    <t>F0319 AND F1344</t>
  </si>
  <si>
    <t>HVAC-System, Rear Temperature Control</t>
  </si>
  <si>
    <t>The vehicle includes rear controls for the HVAC system, and allows the user to select the desired temperature for the zone</t>
  </si>
  <si>
    <t>F0721</t>
  </si>
  <si>
    <t>F0722</t>
  </si>
  <si>
    <t>HVAC-System, Rear HVAC Off</t>
  </si>
  <si>
    <t>The rear HVAC system is able to be turned on/off from the front or rear control panel.</t>
  </si>
  <si>
    <t>Central Door Lock, Unlock@Park</t>
  </si>
  <si>
    <t>User control for the door locks, or setting for them to unlock when the vehicle is put in Park</t>
  </si>
  <si>
    <t>F0723</t>
  </si>
  <si>
    <t>Indications, Units of Measure</t>
  </si>
  <si>
    <t>User selection of which unit of measure should be applied to the displayed distance for trip computer or navigation and which language the menu should have.
- Temperature (Celsius &lt;----&gt; Fahrenheit)
- Distance (Kilometers &lt;----&gt; Miles)
- Languages (German, English, …)</t>
  </si>
  <si>
    <t>F0732</t>
  </si>
  <si>
    <t>Central Door Lock, Charging Flap</t>
  </si>
  <si>
    <t>In addition to the doors also the charging flap or the fuel flap will be locked</t>
  </si>
  <si>
    <t>F0738</t>
  </si>
  <si>
    <t>F0xx6</t>
  </si>
  <si>
    <t>USB, High Speed</t>
  </si>
  <si>
    <t>USB 3.0 is the third major version of the Universal Serial Bus (USB) standard for interfacing computers and electronic devices. Among other improvements, USB 3.0 adds the new transfer rate to SuperSpeed USB (SS) at 5 Gbps (625 MB / s), which is about 10 times faster than the USB 2.0 standard. It is recommended that manufacturers distinguish USB 3.0 connectors from their USB 2.0 counterparts by using blue color for the standard A receptacles and plugs.</t>
  </si>
  <si>
    <t>F0762</t>
  </si>
  <si>
    <t>Crashdetection, LV-Safety</t>
  </si>
  <si>
    <t>Internal sensor and acceleration sensor (optional pressure sensor) information will be used to trigger ignition of inflation module and to trigger deployment of airbags.</t>
  </si>
  <si>
    <t>Base feature for airbag system and for crash detection.</t>
  </si>
  <si>
    <t>Door Lighting Outside, Door Handle</t>
  </si>
  <si>
    <t>LEDs integrated into door handle to illuminate the ground underneath the vehicle.</t>
  </si>
  <si>
    <t>F0780</t>
  </si>
  <si>
    <t>Ambient Lighting, Door Handle</t>
  </si>
  <si>
    <t>Colored Ambient Light integrated into inner door handle. Adjustable light color/style/brightness within the Car HMI.</t>
  </si>
  <si>
    <t>F0781</t>
  </si>
  <si>
    <t>Outside Lighting, Charge Port Light</t>
  </si>
  <si>
    <t>Ambient lighting to indicate the charge port location. Can be combined with status information.</t>
  </si>
  <si>
    <t>F0782</t>
  </si>
  <si>
    <t>Indications, Battery Level (SOH)</t>
  </si>
  <si>
    <t>Indication of HV Battery level (0 - 100%). A warning appears if HV battery runs low.</t>
  </si>
  <si>
    <t>F0788</t>
  </si>
  <si>
    <t>Cluster Pre-Check</t>
  </si>
  <si>
    <t>With ignition on the safety relevant telltales light up. In case of a telltale defect the driver will notice it and can call next service garage.</t>
  </si>
  <si>
    <t>F0789</t>
  </si>
  <si>
    <t>Indications, Gear</t>
  </si>
  <si>
    <t>Indication of selected gear for AT transmission (P, R, N, D, M1-M9) or MT transmission (1-6, N, R)</t>
  </si>
  <si>
    <t>F0790</t>
  </si>
  <si>
    <t>Cluster Welcome Animation</t>
  </si>
  <si>
    <t>If driver enters the car or switches ignition on, the cluster shows a short animation of the car with company logo.</t>
  </si>
  <si>
    <t>F0791</t>
  </si>
  <si>
    <t>80.83_Communication&amp;NM-Management</t>
  </si>
  <si>
    <t>Network Management</t>
  </si>
  <si>
    <t>Network Management controls bus traffic. It is responsible for wake up, sleep and error handling.</t>
  </si>
  <si>
    <t>F0792</t>
  </si>
  <si>
    <t>TorqueManagement, e-Axle Rear</t>
  </si>
  <si>
    <t>Electric driven rear axle including one e-motor</t>
  </si>
  <si>
    <t>F0795</t>
  </si>
  <si>
    <t>Crashdetection, Roll Over Detection</t>
  </si>
  <si>
    <t>Internal sensor information will be used to trigger safety activities in case of rollover.</t>
  </si>
  <si>
    <t>F0797</t>
  </si>
  <si>
    <t>Belt Tensioner Rear, Outer Side</t>
  </si>
  <si>
    <t>F0800</t>
  </si>
  <si>
    <t>Sound System Rear, 2 Tweeter</t>
  </si>
  <si>
    <t>The rear will be enhanced by 2 tweeters. This increases the sound quality.</t>
  </si>
  <si>
    <t>F0801</t>
  </si>
  <si>
    <t>F0407 AND F0408</t>
  </si>
  <si>
    <t>Recuperation Mode, Paddles On Steering Wheel</t>
  </si>
  <si>
    <t>In Case of a BEV, the Paddles can be used for Recuperation Mode changes. 
Requires Recuperation functionality.</t>
  </si>
  <si>
    <t>F0803</t>
  </si>
  <si>
    <t>Sound System Center, Wideband Speaker</t>
  </si>
  <si>
    <t>Center speaker extends stereo image for voice and instruments.</t>
  </si>
  <si>
    <t>F0872</t>
  </si>
  <si>
    <t>EBA, Reverse</t>
  </si>
  <si>
    <t>EBA in reverse driving, detection of every obstacle behind the car while driving backwards. Detection by USS and maybe rear view camera with braking. This feature covers all defined reverse scenarios with pedestrians, vehicles, 2 wheelers and obstacles detection including crossing and longitudinal.</t>
  </si>
  <si>
    <t>F0885</t>
  </si>
  <si>
    <t xml:space="preserve"> F1304 AND F2009</t>
  </si>
  <si>
    <t>Thermal Management, Heat Pumping</t>
  </si>
  <si>
    <t>Heat Pump is an efficient thermal concept to save energy. A classical cooling fan transports heat/energy outside the vehicle, so it is lost. The heat pump can use this energy from cooling to heat cabin or battery.</t>
  </si>
  <si>
    <t>F0889</t>
  </si>
  <si>
    <t>Seatbelt Reminder, Passenger</t>
  </si>
  <si>
    <t>A sensor in the seatbelt lock recognizes if the driver and passenger are belted or not. After a certain driving distance or after reaching a certain velocity an alarm will alert the driver if the passenger is not belted.</t>
  </si>
  <si>
    <t>F0891</t>
  </si>
  <si>
    <t>F0080 AND F0093</t>
  </si>
  <si>
    <t>Airbag Side, Far Side Airbag Front</t>
  </si>
  <si>
    <t>The center airbag is usually integrated inside the front driver seat and helps protect the head, shoulders and torso of the driver and passenger in the event of a side impact.</t>
  </si>
  <si>
    <t>F0894</t>
  </si>
  <si>
    <t>Energy Management, Predictive Energy Management</t>
  </si>
  <si>
    <t>Within the HV-system a predictive enegry consumption will be calculated for range estimations and battery manegement. This also includes all energy redundancies for the ADAS functionalities.</t>
  </si>
  <si>
    <t>F0898</t>
  </si>
  <si>
    <t>Indications, Error in Brake System</t>
  </si>
  <si>
    <t>Telltale shows error in the brake system.</t>
  </si>
  <si>
    <t>F0903</t>
  </si>
  <si>
    <t>Indications, Error in Airbag System</t>
  </si>
  <si>
    <t>Telltale shows error in the airbag system.</t>
  </si>
  <si>
    <t>F0904</t>
  </si>
  <si>
    <t>HVAC Preconditioning</t>
  </si>
  <si>
    <t>During Charging of an electric driven vehicle the cabin can be heated or cooled, so that driver can start with a preconditioned vehicle. Only possible if charging connector is plugged in.</t>
  </si>
  <si>
    <t>F0906</t>
  </si>
  <si>
    <t>Surround View, 3D-View</t>
  </si>
  <si>
    <t>360° Surround View camera system.</t>
  </si>
  <si>
    <t>F0912</t>
  </si>
  <si>
    <t>Pilot, Rush Hour</t>
  </si>
  <si>
    <t>The Rush Hour Pilot (RHP) allows automated city/motorway travel up to 15 km/h in traffic jam. When the pilot is activated, driver no longer needs to continuously monitor the vehicle and the road. All you have to do is be vigilant and able to take on the task when the system asks you to. Driving modes are limited to fast tracks in town without junctions and motorways.</t>
  </si>
  <si>
    <t>F0915</t>
  </si>
  <si>
    <t xml:space="preserve"> F0335 AND F1105 </t>
  </si>
  <si>
    <t>Hand Wheel detection, Capacitive</t>
  </si>
  <si>
    <t>Mit dem kapazitiven Lenkrad (touchempfindlich) soll der Passat auch dann weiter aktiv Lenken, wenn der Fahrer das Lenkrad nur mit wenigen Fingern berührt. Ein „Ruckeln“ am Lenkrad ist nicht mehr nötig</t>
  </si>
  <si>
    <t>F0921</t>
  </si>
  <si>
    <t>Outside Lighting, Charging Indication</t>
  </si>
  <si>
    <t>Indication of Charging status on the outside of the car (not in charging flap).</t>
  </si>
  <si>
    <t>F0947</t>
  </si>
  <si>
    <t>Charging, Immobilizer</t>
  </si>
  <si>
    <t xml:space="preserve">For safety reasons, a charging plug under load has to be removed before starting and driving the vehicle. When plugged and charging the vehicle is immobilized to prevent the charging plug from being destroyed and also causing damage on the vehicle. (realized by VCU) </t>
  </si>
  <si>
    <t>F0960</t>
  </si>
  <si>
    <t>Heating Outside Mirror Camera</t>
  </si>
  <si>
    <t>Exterior cameras can be heated to prevent fogging and freezing.</t>
  </si>
  <si>
    <t>F0964</t>
  </si>
  <si>
    <t>Active Stop, Emergency  (AESA)</t>
  </si>
  <si>
    <t>If the driver does not respond on warnings and does not take over the control of the vehicle will autonomously perform a safe stop. AESA is meant for Level 2 / Level 3 features</t>
  </si>
  <si>
    <t>F0967</t>
  </si>
  <si>
    <t>Display, Side2Side</t>
  </si>
  <si>
    <t>The display runs over the entire cockpit from A-pillar to A-pillar. It may be a continuous display or be composed of several displays with a continuous glass.</t>
  </si>
  <si>
    <t>F0970</t>
  </si>
  <si>
    <t>Display, Side2Side (T-Shape)</t>
  </si>
  <si>
    <t>The display in T-shape format is composed of several displays and look through a glass visually like a single display. It runs like the side-by-side display over the entire cockpit and additionally in the middle towards the center console.</t>
  </si>
  <si>
    <t>F0972</t>
  </si>
  <si>
    <t>o</t>
  </si>
  <si>
    <t>Display, Passenger</t>
  </si>
  <si>
    <t>The display is located in the instrument panel on the passenger side and can be used for additional entertainment or business activities. This is an extension of the main entertainment display.</t>
  </si>
  <si>
    <t>F0973</t>
  </si>
  <si>
    <t xml:space="preserve">Torque Distribution, Vectoring Rear Drive </t>
  </si>
  <si>
    <t xml:space="preserve">Torque vectoring is a technology employed in automobile differentials. A differential transfers engine torque to the wheels. Torque vectoring technology provides the differential with the ability to vary the torque to each wheel. As soon as understeer is applied to a curve, the outer wheel is supplied with more drive power. So the differential pushes the vehicle into the curve, The driver feels as if he is driving on rails through the bend. This method of power transfer has recently become popular in all-wheel drive vehicles
Torque vectoring requires enormous computing power of the on-board control units, as they evaluate up to 100 times per second, the most diverse sensor signals (steering angle, yaw angle, and lateral acceleration), so that the power provided by the engine is forwarded to the right wheel. 
When turning into a curve, more torque is directed to the curve outer wheel </t>
  </si>
  <si>
    <t>F0982</t>
  </si>
  <si>
    <t>Charging Mode 4 (IEC)/ Level 3 (SAE), DC, fast charging power (&gt;50kW), Communication and protection between charging station and vehicle</t>
  </si>
  <si>
    <t>Charging mode 4 is a method in which an electric vehicle is connected to a direct current network by means of a direct current supply device for electric vehicles, and in which there is a pilot wire function between the direct current supply device and the electric vehicle. The device for charging mode 4 has a permanent connection to the charging infrastructure. allows the high level communication and therefore the fast charging.
Level 3 charging supports up to 480-volt in USA DC charging. Up to 360 kWatts charging power. Needs CCS 1 connector type for USA.</t>
  </si>
  <si>
    <t>F0986</t>
  </si>
  <si>
    <t>F0682 AND F0684</t>
  </si>
  <si>
    <t>Heating Washwater</t>
  </si>
  <si>
    <t>An electrical heater heats up your washer fluid to over 60 degrees C which will melt any ice or help to remove stuck on debris a lot easier than using the windshield wipers alone.</t>
  </si>
  <si>
    <t>F0990</t>
  </si>
  <si>
    <t>HV-Safety, Contactor Diagnosis</t>
  </si>
  <si>
    <t>Detection of weldded/broken contactor. Counting wear limit (make-break-capacity)</t>
  </si>
  <si>
    <t>F0996</t>
  </si>
  <si>
    <t>Seats Rear, Release</t>
  </si>
  <si>
    <t>The 2nd row rear seats can be released and totally tilted, in order to promove access for the passengers to the 3rd row or to improve the luggage compartment space</t>
  </si>
  <si>
    <t>F0x10</t>
  </si>
  <si>
    <t>Acceleration and Deceleration, Pedals Functionality</t>
  </si>
  <si>
    <t>By means of accelerator, brake and clutch pedals, the vehicle speed and drivability is controled by the driver</t>
  </si>
  <si>
    <t>F0x12</t>
  </si>
  <si>
    <t>Airbag, Rollover Left/Right</t>
  </si>
  <si>
    <t>The rollover protection system is activated automatically in the event of an accident, a critical driving situation, an extreme tilt in the car's longitudinal axis or upon loss of ground contact. Protection bars behind the rear head restraints deploy within fractions of a second. As a supplementary system to the reinforced windshield frame, the rollover protection system ensures that the necessary headroom is maintained for all vehicle occupants.</t>
  </si>
  <si>
    <t>F0x13</t>
  </si>
  <si>
    <t>Airbag Passenger, Head</t>
  </si>
  <si>
    <t>F0x14</t>
  </si>
  <si>
    <t>Airbag Passenger, Knee Bag</t>
  </si>
  <si>
    <t>This airbag protects the knee of the front passenger and can also be used to avoid unfavourable occupant kinematics during crash like submarining.</t>
  </si>
  <si>
    <t>F0x15</t>
  </si>
  <si>
    <t>Crashdetection, Pedestrian</t>
  </si>
  <si>
    <t>The pedestrian protection sensor consists of a flexible air tube that is laid across the entire width of the car in its front bumper. The tube is situated directly behind the foam block that is fitted at the front of the vehicle to absorb impact energy. Standardized pressure sensors are installed at either end of the air-filled pressure tube.  When a vehicle collides with an obstacle, the resulting pressure exerted on the tube through the front bumper and foam block creates a typical waveform that is detected by the two sensors at the ends of the tube and forwarded to the airbag control unit.</t>
  </si>
  <si>
    <t>HVAC-System, 2-Zones Front</t>
  </si>
  <si>
    <t>The temperatures for driver and front passenger can be set individually. Air temperature, blower speed and air flow directions are set automatically.</t>
  </si>
  <si>
    <t>HVAC-System, Heat Pump Driven</t>
  </si>
  <si>
    <t>The air conditioning system uses a heat pump to cool down or heat up the room air instead of the conventional combination of a gas compressor and the engine coolant heat. The driver and passenger interaction components are the same.</t>
  </si>
  <si>
    <t>F0x19</t>
  </si>
  <si>
    <t>HVAC-System, Electrical Heating</t>
  </si>
  <si>
    <t>PTC electrical resistances are switched-on to heat up the room air while the engine coolant is not warm enough to fulfill this function.</t>
  </si>
  <si>
    <t>F0x20</t>
  </si>
  <si>
    <t>Ionizer, Front</t>
  </si>
  <si>
    <t>An active element ionizes the room air in order to clean and/or purify it.</t>
  </si>
  <si>
    <t>F0x21</t>
  </si>
  <si>
    <t>F0x23</t>
  </si>
  <si>
    <t>Ionizer, Rear</t>
  </si>
  <si>
    <t>F0x22</t>
  </si>
  <si>
    <t>Internal Ventilation, without A/C</t>
  </si>
  <si>
    <t>28.x1_Transmission</t>
  </si>
  <si>
    <t>Manual Transmission</t>
  </si>
  <si>
    <t>Gear box speeds are shifted manually by the driver. The quantity of speeds may vary.</t>
  </si>
  <si>
    <t>F0x24</t>
  </si>
  <si>
    <t> </t>
  </si>
  <si>
    <t>Automated Transmission</t>
  </si>
  <si>
    <t>Gear box speeds are shifted by servo-motors according to the vehicle driving demands and by the driver selections. The system consists of a manual gear box robotically controlled. This solution is largely used in trucks, buses and high power/high torque applications.</t>
  </si>
  <si>
    <t>F0x25</t>
  </si>
  <si>
    <t>Automatic Transmission</t>
  </si>
  <si>
    <t>Gear box speeds are shifted automatically by a dedicated gear box  according to the vehicle driving demands and by the driver selections.</t>
  </si>
  <si>
    <t>F0x26</t>
  </si>
  <si>
    <t>Differential Lockout</t>
  </si>
  <si>
    <t>Locking differentials can lock the axles together to provide 100% of available torque to the wheel with traction. When traction is needed, the axles can be  locked together forcing the wheels to rotate at the same speed. This is especially helpful in off-roading situations when one wheel is off the ground or on an otherwise very low traction surface.</t>
  </si>
  <si>
    <t>F0x27</t>
  </si>
  <si>
    <t>All-Wheel Drive</t>
  </si>
  <si>
    <t>Transmission system that always operates in four-wheel drive mode</t>
  </si>
  <si>
    <t>F0x28</t>
  </si>
  <si>
    <t>Four-Wheel Drive</t>
  </si>
  <si>
    <t>Transmission system that can be selected to operates in two- or four-wheel drive mode</t>
  </si>
  <si>
    <t>F0x29</t>
  </si>
  <si>
    <t>Tyres Pressure Monitor, Active</t>
  </si>
  <si>
    <t>Pressure sensors are mounted on each of the vehicle wheels, inside the tires. These sensors transmit the instantaneous pressure values to an electronic module in the vehicle, normally using the same radio frequency as the remote control of the keys. The electronic module then transmits the information to the proper user interface. The sensors are self-powered using the movement of the wheels.</t>
  </si>
  <si>
    <t>F0x31</t>
  </si>
  <si>
    <t>Ambient Lighting, Center Console</t>
  </si>
  <si>
    <t>Colored Ambient Light integrated to the center console for surrounding and pockets illumination. Adjustable light color/style/brightness within the Car HMI.</t>
  </si>
  <si>
    <t>Ambient Lighting, Door Sill</t>
  </si>
  <si>
    <t>Illuminated liner strips placed along each door sill for entry and exit illumination</t>
  </si>
  <si>
    <t>F0x33</t>
  </si>
  <si>
    <t>Sound System Front, 2 Midrange and Woofer Speakers</t>
  </si>
  <si>
    <t>Sound system with 2 integrated mid-range and woofer speakers in the front.</t>
  </si>
  <si>
    <t>F0x34</t>
  </si>
  <si>
    <t>Sound System Rear, 2 Midrange and Woofer Speakers</t>
  </si>
  <si>
    <t>Sound system with 2 integrated mid-range and woofer speakers in the back.</t>
  </si>
  <si>
    <t>F0x35</t>
  </si>
  <si>
    <t>Sound System Front, 2 Midrange Speakers</t>
  </si>
  <si>
    <t>Sound system with 2 mid-range speakers in the front.</t>
  </si>
  <si>
    <t>F0x36</t>
  </si>
  <si>
    <t>Sound System Rear, 2 Midrange Speakers</t>
  </si>
  <si>
    <t>Sound system with 2 mid-range speakers in the back.</t>
  </si>
  <si>
    <t>F0x37</t>
  </si>
  <si>
    <t>Sound System Front, 2 Woofer Speakers</t>
  </si>
  <si>
    <t>Sound system with 2 woofer speakers in the front.</t>
  </si>
  <si>
    <t>F0x38</t>
  </si>
  <si>
    <t>Sound System Rear, 2 Woofer Speakers</t>
  </si>
  <si>
    <t>Sound system with 2 woofer speakers in the back.</t>
  </si>
  <si>
    <t>F0x39</t>
  </si>
  <si>
    <t>Sound System, Surround</t>
  </si>
  <si>
    <t>Sound system with 2 wide range surround speakers in the back.</t>
  </si>
  <si>
    <t>F0x40</t>
  </si>
  <si>
    <t>Seat Driver, Lumbar Massage</t>
  </si>
  <si>
    <t>By means of pneumatic bags or motor driven rolls, promote the seatback massage movements for the driver back</t>
  </si>
  <si>
    <t>F0x41</t>
  </si>
  <si>
    <t>Seat Passenger, Lumbar Massage</t>
  </si>
  <si>
    <t>By means of pneumatic bags or motor driven rolls, promote the seatback massage movements for the passenger back</t>
  </si>
  <si>
    <t>F0x42</t>
  </si>
  <si>
    <t>Brake, Pad Warning</t>
  </si>
  <si>
    <t>Sensors assembled in each brake pad connected in a daisy chain detect the brake pads wear and inform preventively the driver or system about maintenance necessity.</t>
  </si>
  <si>
    <t>F0x43</t>
  </si>
  <si>
    <t>13.x1_SteeringColumn-Adjustments</t>
  </si>
  <si>
    <t>Steering Column, Electric Adjustment</t>
  </si>
  <si>
    <t>The steering wheel column can be tilted and telescopic adjusted through electric motors by the driver comands or by memorized values.</t>
  </si>
  <si>
    <t>F0x44</t>
  </si>
  <si>
    <t>13.x2_GloveBox-Openning</t>
  </si>
  <si>
    <t>Glove Box Lid, Electrically Driven</t>
  </si>
  <si>
    <t>By the touch of a button by the user, an electric motor opens and closes the glove box lid.</t>
  </si>
  <si>
    <t>F0x45</t>
  </si>
  <si>
    <t>Damping, Front axle lift system</t>
  </si>
  <si>
    <t>At the push of a button, hydraulic lifting of the body at the front by approx. 40 mm. To increase ground clearance at speeds up to approx. 35 km/h. With an automatic lift function at locally programmable points that are regularly used, for example.</t>
  </si>
  <si>
    <t>F0x46</t>
  </si>
  <si>
    <t>Stabilizer, Decoupling</t>
  </si>
  <si>
    <t>For even better traction on uneven ground, the stabilizer halves are decoupled and can twist even better. This allows for greater axle articulation. The wheels stay on the ground longer and can transmit more power</t>
  </si>
  <si>
    <t>F0x47</t>
  </si>
  <si>
    <t>Aquaplaning, Warning</t>
  </si>
  <si>
    <t>Acoustic sensors mounted in the front wheel arches to register splashing water.  In the associated “Wet Mode”, the on-board electronics modifies the driving dynamics components</t>
  </si>
  <si>
    <t>F0x48</t>
  </si>
  <si>
    <t>F1085</t>
  </si>
  <si>
    <t>10.x2_Spoilers</t>
  </si>
  <si>
    <t>Spoilers, Automatic Adjustments</t>
  </si>
  <si>
    <t>The system adapts the aerodynamics between high downforce (good for driving dynamics) and low air resistance (good for top speed and fuel consumption) to the driving situation, speed and driving mode.</t>
  </si>
  <si>
    <t>F0x49</t>
  </si>
  <si>
    <t>Car Sharing System</t>
  </si>
  <si>
    <t>Car sharing electronics allows the communication to the sharing services servers, applications as well as users card reading. It provides real-time data on a vehicle’s location, fuel/battery level, and security. With the help of special hardware installed in each car, you’ll always know where your cars are, whether they require a recharge or repair, etc.</t>
  </si>
  <si>
    <t>F0x50</t>
  </si>
  <si>
    <t>10.x3_Body</t>
  </si>
  <si>
    <t>Roof, Convertible</t>
  </si>
  <si>
    <t>By means of pneumatic or hydraulic mechanism systems, the vehicle roof is folded to the back of the car. For that, several motors sensors and switches are used to operate it according to the driver request and driving conditions.</t>
  </si>
  <si>
    <t>F0x51</t>
  </si>
  <si>
    <t>Front Trunk Lighting</t>
  </si>
  <si>
    <t>Lamps which illuminate the front trunk.</t>
  </si>
  <si>
    <t>F0x52</t>
  </si>
  <si>
    <t>Combined Panel Switches</t>
  </si>
  <si>
    <t>Multi functional switches located in the combined panel.</t>
  </si>
  <si>
    <t>F0x53</t>
  </si>
  <si>
    <t>Central Door Lock, Front Hood</t>
  </si>
  <si>
    <t>The central locking allows the driver to lock or unlock the front compartment hood by either manually locking the driver door with the key, pressing a button inside the car or using the remote control key.</t>
  </si>
  <si>
    <t>F0xx1</t>
  </si>
  <si>
    <t>Front Hood, Electric Release</t>
  </si>
  <si>
    <t>The front compartment hood can be released to be opened through a latching system by pressing an internal button.</t>
  </si>
  <si>
    <t>F0xx2</t>
  </si>
  <si>
    <t>Central Door Lock, Tailgate</t>
  </si>
  <si>
    <t>The central locking allows the driver to lock or unlock the tailgate by either manually locking the driver door with the key, pressing a button inside the car or using the remote control key.</t>
  </si>
  <si>
    <t>F0xx3</t>
  </si>
  <si>
    <t>Tailgate, Electric Release</t>
  </si>
  <si>
    <t>The tailgate can be released to be opened through a latching system by pressing an internal button or a remote control</t>
  </si>
  <si>
    <t>F0xx4</t>
  </si>
  <si>
    <t>Doors, Electric Release</t>
  </si>
  <si>
    <t>The vehicle doors can be released to be opened through a latching system by pressing an internal button, an external button or a remote control</t>
  </si>
  <si>
    <t>F0xx5</t>
  </si>
  <si>
    <t>Fuel Tank / Charging Flap, Release</t>
  </si>
  <si>
    <t>The fuel tank / charging flap can be released to be opened through a latching system by pressing an internal button or a remote control</t>
  </si>
  <si>
    <t>Seats Rear, Heating</t>
  </si>
  <si>
    <t>Heating of the rear seats pan and backrest. It can have different heating levels, temperature sensing and may be turned off automatically.</t>
  </si>
  <si>
    <t>F0xx7</t>
  </si>
  <si>
    <t>Foot Area Lighting, Rear</t>
  </si>
  <si>
    <t>Interior lighting in the foot well rear area</t>
  </si>
  <si>
    <t>F0xx8</t>
  </si>
  <si>
    <t>Seats Rear, Position Electric Adjustable</t>
  </si>
  <si>
    <t>The rear seats can be moved electrically in depth. In addition the Backrest is electric adjustable.</t>
  </si>
  <si>
    <t>F0xx9</t>
  </si>
  <si>
    <t>HV-Safety, Detection Of Open HV Wiring</t>
  </si>
  <si>
    <t>Detection of open HV wiring by HV-interlock loop.</t>
  </si>
  <si>
    <t>F1018</t>
  </si>
  <si>
    <t>Charging Management</t>
  </si>
  <si>
    <t>communication to Charging Equipment and HV system coordinator, remaining charging time calculation, Start-Stop-Charging, manage Direct Charging AC and DC, scheduled charging only AC</t>
  </si>
  <si>
    <t>F1024</t>
  </si>
  <si>
    <t>Ignition Lock, Alcohol Interlock Preparation</t>
  </si>
  <si>
    <t>Alcohol interlocks are automatic control systems designed to prevent driving with excess alcohol by requiring the driver to blow into an in-car breathalyser before starting the ignition. The alcohol interlock can be set at different levels and limits.</t>
  </si>
  <si>
    <t>F1025</t>
  </si>
  <si>
    <t xml:space="preserve">Battery Management, Active Cell Balancing </t>
  </si>
  <si>
    <t>Cell balancing, in a multi-cell battery, the weakest cell determines the capacity of the entire system. Since the individual cells age differently, even with a selection you can not permanently ensure that all cells have the same capacity. In active balancing, the energy is advanced from a cell with a higher charge to a cell with a lower charge.
Active cell balancing redistributes charge during the charging and discharging cycle, unlike passive cell balancing, which simply dissipates charge during the charge cycle.</t>
  </si>
  <si>
    <t>F1026</t>
  </si>
  <si>
    <t>Charging, Status Lights</t>
  </si>
  <si>
    <t xml:space="preserve">The charge port is equipped with lights which show the actual status of the charging process. </t>
  </si>
  <si>
    <t>F1027</t>
  </si>
  <si>
    <t>Battery Management, UI Monitoring</t>
  </si>
  <si>
    <t xml:space="preserve">BMS must measure: 
- cell voltages
- HV battery voltage
- HV system voltage (intermediate circuit)
- HV current </t>
  </si>
  <si>
    <t>Base feature for BMS.</t>
  </si>
  <si>
    <t>Heating Sensor Farm</t>
  </si>
  <si>
    <t>Auxiliary heater only in the black print in the windshield around the front camera. De-ices the area around the camera to enable ADAS-features.</t>
  </si>
  <si>
    <t>Warning, Icy Road</t>
  </si>
  <si>
    <t>The feature displays the ambient air temperature to the driver and provides a warning when there is a risk of ice.</t>
  </si>
  <si>
    <t>F1037</t>
  </si>
  <si>
    <t>F0019 AND F0238</t>
  </si>
  <si>
    <t>Pilot, Remote Operation</t>
  </si>
  <si>
    <t>An operator is able to "drive" a car remote. All surounding and vehicle data will be transferred to control station. Use Cases are 1) Takeover control if a Level 5 car (without driver) is not able to proceed or 2) to control Last Mile Delivery Cars or Highway Trucks.</t>
  </si>
  <si>
    <t>F1042</t>
  </si>
  <si>
    <t>Charging Management, Charging Converter 400V/800V (800V system voltage of vehicle)</t>
  </si>
  <si>
    <t>A methode to charge a 800V vehicle system on 400V charging station by using an additional inverter or involves power electronic of the drive axle to boost the voltage to 800V on system level.</t>
  </si>
  <si>
    <t>F1080</t>
  </si>
  <si>
    <t>Object Detection, Siren Detection</t>
  </si>
  <si>
    <t>For example, external microphones signal when a vehicle is approaching with its siren switched on. In this way, the autonomous vehicle knows that it must take evasive action so that an emergency lane can be formed. In addition to siren detection, there are numerous other scenarios where an acoustic early warning system is essential: when turning into play streets, but also for detecting dangerous situations or errors - for example, if a nail is stuck in the tire. In addition, the system can take over the condition monitoring of the vehicle or act as an emergency call pillar via voice recognition.
The microphone capsules are mostly placed at the front and the rear of the vehicle (3 each).</t>
  </si>
  <si>
    <t>Pilot, Data Storage System For Automated Driving (DSSAD)</t>
  </si>
  <si>
    <t>The DSSAD Feature is regulative for Level 3 and ALKS Features. The Data storage shall record the driver activity / status and all relevant data of the affected ADAS features.</t>
  </si>
  <si>
    <t>F1105</t>
  </si>
  <si>
    <t>Energy Management, Master</t>
  </si>
  <si>
    <t>The Energy Management Master contains the central control and observation functions for all HV an LV components. It controls the limits of all components as part of the operating strategy. Furthermore it takes care of errors and aging behaviour to adapt the commands for the various systems in the car, to maintain as energy efficient as possible.</t>
  </si>
  <si>
    <t>Clamp Management</t>
  </si>
  <si>
    <t>Hardware clamps will be used to change vehicle states.</t>
  </si>
  <si>
    <t>F1114</t>
  </si>
  <si>
    <t>Vehicle Hold</t>
  </si>
  <si>
    <t>Holds the vehicle until driver presses accelerator pedal</t>
  </si>
  <si>
    <t>F1117</t>
  </si>
  <si>
    <t>Lane Support System, Lane Centering Control (LCC)</t>
  </si>
  <si>
    <t>If the driver activates this feature, the vehicle steers continously to the center of the lane. Driver must keep hands on wheel to make sure he can always take control. This is a comfort feature.</t>
  </si>
  <si>
    <t>F1187</t>
  </si>
  <si>
    <t>F2010</t>
  </si>
  <si>
    <t>Transmission, BEV Second Gear</t>
  </si>
  <si>
    <t>In order to achieve higher speeds and better efficiency with electric vehicles, a second gear is automatically engaged from a defined speed point (e.g. 70 km/h).</t>
  </si>
  <si>
    <t>F1223</t>
  </si>
  <si>
    <t>Drive Away Assist</t>
  </si>
  <si>
    <t>Drive Away Assist can prevent collisions when pulling away. If an obstacle is detected in the direction of travel, the vehicle's speed is briefly reduced to 1 mph (2 km/h). If a critical situation is detected, the driver will be notified.</t>
  </si>
  <si>
    <t>F1301</t>
  </si>
  <si>
    <t>F1304</t>
  </si>
  <si>
    <t>Park Assist, Side</t>
  </si>
  <si>
    <t>Park distance control which monitors the distance to obstacles on the sides. These systems use ultrasonic sensors at the side of the vehicle usually in the bumpers. The information can be combined with a surround view camera if present.</t>
  </si>
  <si>
    <t>HV-Components, Heating</t>
  </si>
  <si>
    <t>Active heating of the high voltage-components with a heater to keep the temperature in the comfort range of 25 - 35 ° C to increase the components life.</t>
  </si>
  <si>
    <t>F1340</t>
  </si>
  <si>
    <t>Roll stabilization (Wankstabilisierung)</t>
  </si>
  <si>
    <t>Roll stabilization (Wankstabilisation) is a chassis control system that uses active stabilizers to compensate for roll movements when cornering.</t>
  </si>
  <si>
    <t>F1341</t>
  </si>
  <si>
    <t>Road-noise Active Noise Cancelation (RANC)</t>
  </si>
  <si>
    <t>The RANC system uses velocity sensors, amplifiers, microphones, along with Digital Signal processor (DSP), to cancel the noise. It also uses the audio already built in the vehicle to make the system as simple as possible.</t>
  </si>
  <si>
    <t>F1342</t>
  </si>
  <si>
    <t>Control Voice, Internal Microphones</t>
  </si>
  <si>
    <t>Voice control can be applied to several customer features (phone, HVAC, RADIO, etc.). It's integrated in the infotainment System (within the Car HMI-System).
In modern Cars are installed more than just one microphone.</t>
  </si>
  <si>
    <t>F1344</t>
  </si>
  <si>
    <t>ABS</t>
  </si>
  <si>
    <t>ABS guarantees that even during full braking or braking on wet/slippery roads the driver has the possibility to maneuver the car. This feature implicates ABS subfunctions of the latest ABS generation.</t>
  </si>
  <si>
    <t>F2000</t>
  </si>
  <si>
    <t>37.10_ACC-System</t>
  </si>
  <si>
    <t>ACC Predictive Driving Support</t>
  </si>
  <si>
    <t>This features means that the ACC uses data from different sources like GPS, RoadMap, Car2I, Car2Car aso, to upgrade the ACC functionality. These upgrade can be curve speed adaptation, green light optimal speed advisory, predective driving aso.</t>
  </si>
  <si>
    <t>F2001</t>
  </si>
  <si>
    <t xml:space="preserve">F0143 AND F2002 AND F2023 </t>
  </si>
  <si>
    <t>ACC System</t>
  </si>
  <si>
    <t>Adaptive (or Automatic) Cruise Control adjusts the distance to the preceding vehicle using automatic acceleration (up to a speed limit or the system/TSR/ISA chosen by the driver) or braking. It works with either radar or cameras (or both) and image processing. The adjusted distance depends on driven speed (the higher the speed, the bigger the distance).
The ACC also feature brakes the vehicle to a full stop if the lead target ahead has stopped. It resumes driving at the driver's request, typically by pressing the RES switch or tipping the accelerator pedal. Automatic resuming is a possible enhancement: if the preceding car has stopped and resumed within a defined time span (e.g. within 5 sec), the car resumes without a driver input.
To realize that the ACC accelerates also after longer waiting phase of 5 seconds, the system must be expanded by a driver monitor system, that detects the view direction of the eyes of the driver. So it can be ensured, that the drivers attention is on the road. If the vehicle is equipped with traffic sign recognition, the detected maximum allowed speed can be used as new target speed.</t>
  </si>
  <si>
    <t>F2002</t>
  </si>
  <si>
    <t>F0101 AND F2009
Optional: F2006</t>
  </si>
  <si>
    <t>Automatic Parking Support</t>
  </si>
  <si>
    <t>Automatic detection of a convenient parking spot when the car is passing by a moderate speed (30 kmh). Parking spots can be detected in both longitudinal and diagonal direction. System gives instructions for parking. 
Feature uses data from the park distance control hardware (ultrasonic sensors). The car can autonomously steer into a parking space if vehicle has automatic transmission. Required action is shown to the driver via HMI graphics. The same feature may be used for un-parking. If the vehicle has manual transmission, only gear shifting, throttle and brake operation being needed from the driver. 
Parking Spots can be in front, parallel parking space, across parking space and a diagonal parking space. Depending on the performance of the guidance system, the driver must activate the kind of parking space, or the system can automatically detect it.</t>
  </si>
  <si>
    <t>F2003</t>
  </si>
  <si>
    <t xml:space="preserve">F0348 AND F0912 AND F1304 </t>
  </si>
  <si>
    <t>Drive Mode Functionality</t>
  </si>
  <si>
    <t>In many cars it is possible to select between different driving profiles. It can change the stiffness of dampers, the behavior of steering, the transmission, the ABS, the gas pedal, ADAS systems aso.. Some manufacturers also make it possible to lower the chassis if the driver chooses the sport profile. Normally the selection is between Slippy, Sport and Comfort. In SUV and Offroad vehicles there is often the driving profile "offroad". On sporty car we find ofter the srive mode "race track". Further drive modes like Sand, Snow aso possible depending on the way how the vehicles in positioned.</t>
  </si>
  <si>
    <t>Driver Monitoring, Direct Drowsiness Detection</t>
  </si>
  <si>
    <t>This feature monitors the driver and his behaviour. For this direct method additional hardware (driver monitor camera) is necessary. The information about the mood and attention of the driver can be used to improve the performance and functionality of several ADAS features.
As an enhancement, the Drowsiness Emergency Reaction also activates steering and can override the gas pedal command if needed to keep the vehicle on the road while the driver is distracted or not able to react. If the driver is longer not able to react than a defined time, the vehicle switches on hazard lights and brakes the car to stand still in the current lane.</t>
  </si>
  <si>
    <t>F2006</t>
  </si>
  <si>
    <t>Electric Park Brake</t>
  </si>
  <si>
    <t xml:space="preserve">This feature means that the park brake will not be activated by pulling a bowden cable, rather by a electric actuator on the rear brake. EPB releases parking brake if driver uses throttle pedal. </t>
  </si>
  <si>
    <t>F2007</t>
  </si>
  <si>
    <t>ESC, Electronic Stability Control</t>
  </si>
  <si>
    <t xml:space="preserve">The Electronic Stability Control is capable to perform a wheel-selective brake. The intension is to stabilize the vehicle in case of oversteering. This feature implicates all subfunctions of a modern ESC of the latest generations like traction control, roll over mitigation fading compensation aso. </t>
  </si>
  <si>
    <t>Emergency Brake Assist Front</t>
  </si>
  <si>
    <t>An emergency braking system is an autonomous road vehicle safety system which employs sensors to monitor the proximity of vehicles, bycycles and pedestrians in front and detects situations where the relative speed and distance between the host and target object suggest that a collision is imminent. 
In such a situation, the system warns the driver accoustically and/or haptic and/or visually in a first step. In the next step the vehicle begins with a slow braking and the warning becomes more intensive. In a third step the braking becomes heavy and the warning is on maximum. If the feature will automatically perform an emergency brake, or just a heavy brake and waits for the touch of the driver on the brake pedal for emergency brake, depends on the way of application. 
This feature can implicate a detection of 2 wheelers, pedestrians and oncoming traffic.</t>
  </si>
  <si>
    <t>F2008 and F0x12</t>
  </si>
  <si>
    <t>Base feature for the stero camera.</t>
  </si>
  <si>
    <t>Emergency Lane Keeping Support</t>
  </si>
  <si>
    <t>This feature detects if the car is approaching a lane to the left or right. The feature will warn the driver and/or intervene by steering. The warning will be suppressed if the driver uses the turn indicator or presses a pedal (throttle, brake, clutch). This indicates that the driver wants to change lane for overtaking. The warning can be acoustical, visual or a vibration on the steering wheel. Driver must keep hands on wheel to make sure he can always take control.</t>
  </si>
  <si>
    <t>F0348 AND F0529 AND F2009 AND F0x12</t>
  </si>
  <si>
    <t>Display</t>
  </si>
  <si>
    <t>Center display for HMI. Possible functions: navigation, radio, HVAC, etc.. Shape, size and functionality depends on the HMI-Concept.</t>
  </si>
  <si>
    <t>Infotainment Software</t>
  </si>
  <si>
    <t>Several possible functions for Radio, Media, Navigation, phone, etc.. Depending on the HMI-Concept.</t>
  </si>
  <si>
    <t>F2015</t>
  </si>
  <si>
    <t>Instrument Panel Cluster</t>
  </si>
  <si>
    <t>Instrument panel cluster for Driver Information. Different design variants possible. For example: analog, analog with needles and a (monochrome) display, digital, etc..</t>
  </si>
  <si>
    <t>Smartphone Application</t>
  </si>
  <si>
    <t>various information, indications, etc. can be shown or set with a smartphone app.
For example: Set Climate Schedule, Window/Door Status, Charging Status, etc.</t>
  </si>
  <si>
    <t>F2018</t>
  </si>
  <si>
    <t>F0143 OR F559 OR F566</t>
  </si>
  <si>
    <t>Recuperation Functionality</t>
  </si>
  <si>
    <t>Vehicle is capable to recuperate the energy of the rolling vehicle to the battery.</t>
  </si>
  <si>
    <t>Collision Alert Side, Blind Zone Support</t>
  </si>
  <si>
    <t>System is a technology designed to assist a driver to avoid dangerous situations or collisions with other road users during a lane change. 
Rear radar sensors scan the area to the side and diagonally to the rear of the vehicle. It detects also fast approaching cars on adjacent lanes and a telltale in the outside mirror is activated. If driver uses turn indicator to change lane the symbol flashes indicating that there is a risk of collision. Depending on the way of application, a steering intervention can also be triggered by this feature.</t>
  </si>
  <si>
    <t>36.20_Navigation-System</t>
  </si>
  <si>
    <t>Navigation, GPS</t>
  </si>
  <si>
    <t>Navigation System with GPS Technology within the Car HMI-System.</t>
  </si>
  <si>
    <t>F2023</t>
  </si>
  <si>
    <t>F0143 AND F2012</t>
  </si>
  <si>
    <t>Vehicle Modes</t>
  </si>
  <si>
    <t>Defined Modes for Vehicle State. 
For example: Towing, Logistic, Production, Public Road, Service, etc.</t>
  </si>
  <si>
    <t>F2024</t>
  </si>
  <si>
    <t>Power Window Lifter, Electric Adjustable</t>
  </si>
  <si>
    <t>Lifting front and rear windows up &amp; down as long as driver pushes the respective button (with anti-trap-detection). Additional Child Lock: Driver can lock the rear windows for children seating in the back.</t>
  </si>
  <si>
    <t xml:space="preserve"> </t>
  </si>
  <si>
    <t>EDAG Feature List</t>
  </si>
  <si>
    <t>ASIL</t>
  </si>
  <si>
    <t>Index</t>
  </si>
  <si>
    <t>Sub-Domain</t>
  </si>
  <si>
    <t>Function</t>
  </si>
  <si>
    <t>Component</t>
  </si>
  <si>
    <t>Feature ID</t>
  </si>
  <si>
    <t>Feature Name</t>
  </si>
  <si>
    <t>Level</t>
  </si>
  <si>
    <t>Data Rate</t>
  </si>
  <si>
    <t>FIT-Rate</t>
  </si>
  <si>
    <t>Package</t>
  </si>
  <si>
    <t>QM</t>
  </si>
  <si>
    <t>Infotainment</t>
  </si>
  <si>
    <t>User Media</t>
  </si>
  <si>
    <t>Personal Device Charging and Connecting</t>
  </si>
  <si>
    <t>with USB Outlet</t>
  </si>
  <si>
    <t>Actuator</t>
  </si>
  <si>
    <t>USB Outlet</t>
  </si>
  <si>
    <t>Communication</t>
  </si>
  <si>
    <t>Internal Wireless Digital Data</t>
  </si>
  <si>
    <t>Bluetooth</t>
  </si>
  <si>
    <t>Control Unit</t>
  </si>
  <si>
    <t>B</t>
  </si>
  <si>
    <t>Telephone</t>
  </si>
  <si>
    <t>A</t>
  </si>
  <si>
    <t>Comfort</t>
  </si>
  <si>
    <t>Power Window</t>
  </si>
  <si>
    <t>Automatic Power Window</t>
  </si>
  <si>
    <t>Switch</t>
  </si>
  <si>
    <t>User Selector</t>
  </si>
  <si>
    <t>Internal Illumination</t>
  </si>
  <si>
    <t>Door Pocket Illumination FL</t>
  </si>
  <si>
    <t>Basic</t>
  </si>
  <si>
    <t>LED Lamp</t>
  </si>
  <si>
    <t>External Illumination</t>
  </si>
  <si>
    <t>Puddle Illumination</t>
  </si>
  <si>
    <t>With or Without</t>
  </si>
  <si>
    <t>Power Window Driver</t>
  </si>
  <si>
    <t>Window Motor</t>
  </si>
  <si>
    <t>External Rear View Mirror</t>
  </si>
  <si>
    <t>Rear View</t>
  </si>
  <si>
    <t>Central Locking</t>
  </si>
  <si>
    <t>Door Opening and Closing Latch</t>
  </si>
  <si>
    <t>with Central Locking</t>
  </si>
  <si>
    <t>Stepper Motor FL</t>
  </si>
  <si>
    <t>D</t>
  </si>
  <si>
    <t>Chassis</t>
  </si>
  <si>
    <t>Airbag</t>
  </si>
  <si>
    <t>RHST</t>
  </si>
  <si>
    <t>Igniter</t>
  </si>
  <si>
    <t>Seat Airbag 1st Row R Outboard</t>
  </si>
  <si>
    <t>Seat Heating</t>
  </si>
  <si>
    <t>Heating Seat Pan Driver</t>
  </si>
  <si>
    <t>with Driver Seat Heating</t>
  </si>
  <si>
    <t>Seat Heater FL</t>
  </si>
  <si>
    <t>Seat Massage</t>
  </si>
  <si>
    <t>Lumbar Massage</t>
  </si>
  <si>
    <t>Power Seats</t>
  </si>
  <si>
    <t>Seat Belt</t>
  </si>
  <si>
    <t>Sensor</t>
  </si>
  <si>
    <t>Seat Belt Sensor 1st Row R</t>
  </si>
  <si>
    <t>Seat Occupancy Classification</t>
  </si>
  <si>
    <t>Seat Occupancy Detection</t>
  </si>
  <si>
    <t>Trailer</t>
  </si>
  <si>
    <t>Trailer Outlet</t>
  </si>
  <si>
    <t>Interface Connection</t>
  </si>
  <si>
    <t>Charging Mode 1 (IEC)/ Level 1 (SAE), AC 1-Phase NoCom</t>
  </si>
  <si>
    <t>C</t>
  </si>
  <si>
    <t>Powertrain</t>
  </si>
  <si>
    <t>Charge Port</t>
  </si>
  <si>
    <t>Computing</t>
  </si>
  <si>
    <t>EV</t>
  </si>
  <si>
    <t>Charging Mode 2, AC 3-Phase Com</t>
  </si>
  <si>
    <t>Brake</t>
  </si>
  <si>
    <t>Pad Warning</t>
  </si>
  <si>
    <t>with Pad Warning</t>
  </si>
  <si>
    <t>Outlet</t>
  </si>
  <si>
    <t>Motor</t>
  </si>
  <si>
    <t>Vehicle Acceleration and Deceleration</t>
  </si>
  <si>
    <t>Accelerator Pedal</t>
  </si>
  <si>
    <t>Pretensioner Retractor</t>
  </si>
  <si>
    <t>Retractor 1st Row L 1 - Pretensioner</t>
  </si>
  <si>
    <t>Retractor</t>
  </si>
  <si>
    <t>Retractor 2nd Row L</t>
  </si>
  <si>
    <t>Retractor Load Limiter</t>
  </si>
  <si>
    <t>Retractor 1st Row L 2 - Load Limiter</t>
  </si>
  <si>
    <t>Rear Lamps L</t>
  </si>
  <si>
    <t>Full LED</t>
  </si>
  <si>
    <t>Fuel Tank / Charge Port Cap Opening and Closing Latch</t>
  </si>
  <si>
    <t>Stepper Motor</t>
  </si>
  <si>
    <t>Power Tailgate</t>
  </si>
  <si>
    <t>Keyless Entry</t>
  </si>
  <si>
    <t>Center Console Receiving</t>
  </si>
  <si>
    <t>with Keyless Entry System</t>
  </si>
  <si>
    <t>Seat Adjustment</t>
  </si>
  <si>
    <t>Seat Release 2nd Row Left</t>
  </si>
  <si>
    <t>Drive Assistance</t>
  </si>
  <si>
    <t>Automated Driving</t>
  </si>
  <si>
    <t>Forward View Left</t>
  </si>
  <si>
    <t>Camera</t>
  </si>
  <si>
    <t>Camera LH B Pillar</t>
  </si>
  <si>
    <t>Cross-Domain</t>
  </si>
  <si>
    <t>Steering Wheel Column Switches</t>
  </si>
  <si>
    <t>Driver Commands</t>
  </si>
  <si>
    <t>Steering Wheel Heating</t>
  </si>
  <si>
    <t>with Steering Wheel Heating</t>
  </si>
  <si>
    <t>Audio Volume Control</t>
  </si>
  <si>
    <t>Horn</t>
  </si>
  <si>
    <t>Maintenance</t>
  </si>
  <si>
    <t>Diagnose Service Port</t>
  </si>
  <si>
    <t>OBD Outlet</t>
  </si>
  <si>
    <t>Steering Column Adjust</t>
  </si>
  <si>
    <t>Steering Column Movement</t>
  </si>
  <si>
    <t>Power Steering Column</t>
  </si>
  <si>
    <t>Glove Box Openning</t>
  </si>
  <si>
    <t>Glove Box illumination</t>
  </si>
  <si>
    <t>Ajar Switch</t>
  </si>
  <si>
    <t>Passenger Knee</t>
  </si>
  <si>
    <t>Knee Airbag Passenger</t>
  </si>
  <si>
    <t>Footwell Illumination FL</t>
  </si>
  <si>
    <t>with Footwell Illumination</t>
  </si>
  <si>
    <t>Footwell Illumination FR</t>
  </si>
  <si>
    <t>Center Display</t>
  </si>
  <si>
    <t>User Interaction</t>
  </si>
  <si>
    <t>Touch Screen Monitor</t>
  </si>
  <si>
    <t>Climate Control</t>
  </si>
  <si>
    <t>Air Flow Deflection</t>
  </si>
  <si>
    <t>with Automatic Air Conditioning</t>
  </si>
  <si>
    <t>TBD</t>
  </si>
  <si>
    <t>HV Battery</t>
  </si>
  <si>
    <t>Onboard Charger</t>
  </si>
  <si>
    <t>Operation Management - Computing</t>
  </si>
  <si>
    <t>Monitoring</t>
  </si>
  <si>
    <t>Cooling</t>
  </si>
  <si>
    <t>Coolant Temperature</t>
  </si>
  <si>
    <t>Coolant Temperature - Battery Intake</t>
  </si>
  <si>
    <t>Coolant Temperature - Battery Outlet</t>
  </si>
  <si>
    <t>Battery Discharge Monitoring</t>
  </si>
  <si>
    <t>Shunt</t>
  </si>
  <si>
    <t>HV-Safety, Detection Of Open
HV Wiring</t>
  </si>
  <si>
    <t>Pyro-Fuse</t>
  </si>
  <si>
    <t>Cells Balancing Monitor</t>
  </si>
  <si>
    <t>Cells Balancing Boards</t>
  </si>
  <si>
    <t>Safety Switch-Off Positive</t>
  </si>
  <si>
    <t>Contactor Switch - Positive</t>
  </si>
  <si>
    <t>Safety Switch-Off Negative</t>
  </si>
  <si>
    <t>Contactor Switch - Negative</t>
  </si>
  <si>
    <t>Fast Charging Control Unit</t>
  </si>
  <si>
    <t>High Voltage Control Unit</t>
  </si>
  <si>
    <t>BMS Control Unit</t>
  </si>
  <si>
    <t>Retractor 1st Row R 2 - Load Limiter</t>
  </si>
  <si>
    <t>Retractor 2nd Row R</t>
  </si>
  <si>
    <t>Retractor 1st Row R 1 - Pretensioner</t>
  </si>
  <si>
    <t>Rear Lamps R</t>
  </si>
  <si>
    <t>Navigation</t>
  </si>
  <si>
    <t>with Navigation</t>
  </si>
  <si>
    <t>Antenna</t>
  </si>
  <si>
    <t>GPS Antenna</t>
  </si>
  <si>
    <t>Private WLAN</t>
  </si>
  <si>
    <t>Forward View Right</t>
  </si>
  <si>
    <t>Camera RH B Pillar</t>
  </si>
  <si>
    <t>External Communication</t>
  </si>
  <si>
    <t>Park Assistance</t>
  </si>
  <si>
    <t>with Back-up Camera</t>
  </si>
  <si>
    <t>Back-up Camera</t>
  </si>
  <si>
    <t>Driver Assistance System</t>
  </si>
  <si>
    <t>Wide Forward View</t>
  </si>
  <si>
    <t>Fisheye/Narrow Camera</t>
  </si>
  <si>
    <t>Side Marker Front Left</t>
  </si>
  <si>
    <t>FOG</t>
  </si>
  <si>
    <t>Hood Lock and Unlock</t>
  </si>
  <si>
    <t>Maplight RL</t>
  </si>
  <si>
    <t>with Map Light</t>
  </si>
  <si>
    <t>Maplight RR</t>
  </si>
  <si>
    <t>Vanity Mirror Illumination FL</t>
  </si>
  <si>
    <t>with Vanity Mirror Illumination</t>
  </si>
  <si>
    <t>Vanity Mirror Illumination FR</t>
  </si>
  <si>
    <t>Dome Illumination</t>
  </si>
  <si>
    <t>Wiper/Washer</t>
  </si>
  <si>
    <t>Suspension</t>
  </si>
  <si>
    <t>Power Convertion</t>
  </si>
  <si>
    <t>EV AWD</t>
  </si>
  <si>
    <t>Inverter Front</t>
  </si>
  <si>
    <t>Transmission</t>
  </si>
  <si>
    <t>Oil Flow</t>
  </si>
  <si>
    <t>Door Pocket Illumination FR</t>
  </si>
  <si>
    <t>Power Window Passenger</t>
  </si>
  <si>
    <t>Stepper Motor FR</t>
  </si>
  <si>
    <t>Crash Sensor</t>
  </si>
  <si>
    <t>Side</t>
  </si>
  <si>
    <t>Side Impact Sensor RL</t>
  </si>
  <si>
    <t>Door External Handle Command RL</t>
  </si>
  <si>
    <t>Stepper Motor RR</t>
  </si>
  <si>
    <t>Power Window Rear Left</t>
  </si>
  <si>
    <t>Door Pocket Illumination RL</t>
  </si>
  <si>
    <t>Side Impact Sensor RR</t>
  </si>
  <si>
    <t>Door External Handle Command RR</t>
  </si>
  <si>
    <t>Stepper Motor RL</t>
  </si>
  <si>
    <t>Power Window Rear Right</t>
  </si>
  <si>
    <t>Door Pocket Illumination RR</t>
  </si>
  <si>
    <t>Tailgate Open and Close Warning</t>
  </si>
  <si>
    <t>Buzzer</t>
  </si>
  <si>
    <t>LED</t>
  </si>
  <si>
    <t>Radio Receiving</t>
  </si>
  <si>
    <t>Noise Filter</t>
  </si>
  <si>
    <t>Audio</t>
  </si>
  <si>
    <t>Power Supply</t>
  </si>
  <si>
    <t>12V Battery Management</t>
  </si>
  <si>
    <t>Sensing</t>
  </si>
  <si>
    <t>Wheel Speed</t>
  </si>
  <si>
    <t>Wheel Speed Sensor FL</t>
  </si>
  <si>
    <t>Wheel Speed Sensor FR</t>
  </si>
  <si>
    <t>Electrical Power Steering</t>
  </si>
  <si>
    <t>Steering</t>
  </si>
  <si>
    <t>L3 / L4 / L5 / X by Wire</t>
  </si>
  <si>
    <t>Automatic Air Conditioning</t>
  </si>
  <si>
    <t>Side Repeater FL</t>
  </si>
  <si>
    <t>Side Repeater FR</t>
  </si>
  <si>
    <t>Front Wiper</t>
  </si>
  <si>
    <t>Windshield and Rear Window Washer</t>
  </si>
  <si>
    <t>Washer Fluid Level Sensor</t>
  </si>
  <si>
    <t>Windshield Heating</t>
  </si>
  <si>
    <t>Windshield Deffogging</t>
  </si>
  <si>
    <t>with Windshield Heating</t>
  </si>
  <si>
    <t>Windshield Heater</t>
  </si>
  <si>
    <t>Warning</t>
  </si>
  <si>
    <t>Pedestrian Warning</t>
  </si>
  <si>
    <t>Loudspeaker</t>
  </si>
  <si>
    <t>Reward View Left</t>
  </si>
  <si>
    <t>with Electronic Rear View Mirror</t>
  </si>
  <si>
    <t>Reward View Right</t>
  </si>
  <si>
    <t>Battery Disconnect</t>
  </si>
  <si>
    <t>Contactor Disconnect</t>
  </si>
  <si>
    <t>Seat Belt Sensor 1st Row L</t>
  </si>
  <si>
    <t>Tailgate Illumination</t>
  </si>
  <si>
    <t>Seat Release 2nd Row Right</t>
  </si>
  <si>
    <t>7 Seats Model</t>
  </si>
  <si>
    <t>Seat Belt Sensor 3rd Row L</t>
  </si>
  <si>
    <t>Seat Belt Sensor 3rd Row R</t>
  </si>
  <si>
    <t>Seat Occupancy Detection 3rd Row L</t>
  </si>
  <si>
    <t>Seat Occupancy Detection 3rd Row R</t>
  </si>
  <si>
    <t>Seat Position</t>
  </si>
  <si>
    <t>Seat Occupancy Detection 2nd Row L</t>
  </si>
  <si>
    <t>Seat Occupancy Detection 2nd Row C</t>
  </si>
  <si>
    <t>Seat Belt Sensor 2nd Row L</t>
  </si>
  <si>
    <t>Seat Belt Sensor 2nd Row C</t>
  </si>
  <si>
    <t>Seat Occupancy Detection 2nd Row R</t>
  </si>
  <si>
    <t>Seat Belt Sensor 2nd Row R</t>
  </si>
  <si>
    <t>Battery Coolant Pump</t>
  </si>
  <si>
    <t>Motor Coolant Pump</t>
  </si>
  <si>
    <t>Refrigerant Pressure and Temperature</t>
  </si>
  <si>
    <t>with Air Conditioning</t>
  </si>
  <si>
    <t>Refrigerant Subcool PT</t>
  </si>
  <si>
    <t>Motor Coolant Temperature</t>
  </si>
  <si>
    <t>Coolant Flow Control</t>
  </si>
  <si>
    <t>Coolant Valve</t>
  </si>
  <si>
    <t>Refrigerant Suction PT</t>
  </si>
  <si>
    <t>Refrigerant Discharge PT</t>
  </si>
  <si>
    <t>Front Impact Sensor Mid RH</t>
  </si>
  <si>
    <t>Front Impact Sensor Mid LH</t>
  </si>
  <si>
    <t>Hood Opening</t>
  </si>
  <si>
    <t>Anti-Theft</t>
  </si>
  <si>
    <t>Alarm Horn</t>
  </si>
  <si>
    <t>Radiator Air Flow Control</t>
  </si>
  <si>
    <t>Louver Stepper Motor</t>
  </si>
  <si>
    <t>Internal Rear View Mirror</t>
  </si>
  <si>
    <t>Dimmable</t>
  </si>
  <si>
    <t>Automatic Wiper and/or Lights Activation</t>
  </si>
  <si>
    <t>Driver Monitoring</t>
  </si>
  <si>
    <t>Interior Camera</t>
  </si>
  <si>
    <t>Inverter Rear</t>
  </si>
  <si>
    <t>Wheel Speed Sensor RL</t>
  </si>
  <si>
    <t>Wheel Speed Sensor RR</t>
  </si>
  <si>
    <t>LHST</t>
  </si>
  <si>
    <t>Seat Airbag 1st Row L Outboard</t>
  </si>
  <si>
    <t>Tyres Pressure Monitor, Passive</t>
  </si>
  <si>
    <t>Radiator Ventilation</t>
  </si>
  <si>
    <t>Inlet</t>
  </si>
  <si>
    <t>Car Sharing</t>
  </si>
  <si>
    <t>Fleet and Public Transport</t>
  </si>
  <si>
    <t>Fuel Pump</t>
  </si>
  <si>
    <t>Card Reading</t>
  </si>
  <si>
    <t>Card Reader</t>
  </si>
  <si>
    <t>Body</t>
  </si>
  <si>
    <t>Sun Roof</t>
  </si>
  <si>
    <t>Sun Roof Opening and Closing</t>
  </si>
  <si>
    <t>with Sun Roof</t>
  </si>
  <si>
    <t>Valet Parking</t>
  </si>
  <si>
    <t>Heating</t>
  </si>
  <si>
    <t>Heater</t>
  </si>
  <si>
    <t>Tailgate Wiper</t>
  </si>
  <si>
    <t>Door External Handle Command FR</t>
  </si>
  <si>
    <t>Door External Handle Command FL</t>
  </si>
  <si>
    <t>Rear Window Heater</t>
  </si>
  <si>
    <t>Heated Backlite</t>
  </si>
  <si>
    <t>Hazard</t>
  </si>
  <si>
    <t>LIN</t>
  </si>
  <si>
    <t>Switch - User Selector</t>
  </si>
  <si>
    <t>Operation Management Redundant - Computing</t>
  </si>
  <si>
    <t>Management</t>
  </si>
  <si>
    <t>L1+</t>
  </si>
  <si>
    <t>Radar</t>
  </si>
  <si>
    <t>Front View</t>
  </si>
  <si>
    <t>Mono Camera</t>
  </si>
  <si>
    <t>Wide Rear View</t>
  </si>
  <si>
    <t>Fisheye Camera</t>
  </si>
  <si>
    <t>Short Range Distance Measurement</t>
  </si>
  <si>
    <t>Steering Wheel Sensor</t>
  </si>
  <si>
    <t>Driver</t>
  </si>
  <si>
    <t>Airbag Driver</t>
  </si>
  <si>
    <t>Passenger</t>
  </si>
  <si>
    <t>Airbag Passenger</t>
  </si>
  <si>
    <t>Driver Knee</t>
  </si>
  <si>
    <t>Knee Airbag Driver</t>
  </si>
  <si>
    <t>Seat</t>
  </si>
  <si>
    <t>Seat Airbag 1st Row L</t>
  </si>
  <si>
    <t>Seat Airbag 1st Row R</t>
  </si>
  <si>
    <t>Pretensioner</t>
  </si>
  <si>
    <t>Lap Pretensioner L</t>
  </si>
  <si>
    <t>Lap Pretensioner R</t>
  </si>
  <si>
    <t>Seat Position 1st Row L</t>
  </si>
  <si>
    <t>Seat Position 1st Row R</t>
  </si>
  <si>
    <t>Xenon + LED</t>
  </si>
  <si>
    <t>Halogen</t>
  </si>
  <si>
    <t>Double Halogen</t>
  </si>
  <si>
    <t>Bulb</t>
  </si>
  <si>
    <t>P5W</t>
  </si>
  <si>
    <t>High Mounted Brake Lights</t>
  </si>
  <si>
    <t>Lights Switch</t>
  </si>
  <si>
    <t>Power Switch</t>
  </si>
  <si>
    <t>Signal</t>
  </si>
  <si>
    <t>Signal Switch</t>
  </si>
  <si>
    <t>Side Marker Rear Right</t>
  </si>
  <si>
    <t>Reverse Gear Lamp</t>
  </si>
  <si>
    <t>P21W</t>
  </si>
  <si>
    <t>Rear Fog Lamp</t>
  </si>
  <si>
    <t>Front Fog Lamp FL</t>
  </si>
  <si>
    <t>Fog Lamps Switch</t>
  </si>
  <si>
    <t>LIN Switch</t>
  </si>
  <si>
    <t>Beacon</t>
  </si>
  <si>
    <t>Front Grille Illumination</t>
  </si>
  <si>
    <t>Manual Parking Brake</t>
  </si>
  <si>
    <t>with Manual Parking Brake</t>
  </si>
  <si>
    <t>Lever Signal Switch - User Selector</t>
  </si>
  <si>
    <t>Headlamps Leveling</t>
  </si>
  <si>
    <t>Electric Headlamp Leveling</t>
  </si>
  <si>
    <t>Leveling Potentiometer</t>
  </si>
  <si>
    <t>Leveling Motor L</t>
  </si>
  <si>
    <t>Leveling Motor R</t>
  </si>
  <si>
    <t>Main Switch</t>
  </si>
  <si>
    <t>Vehicle Start and Stop</t>
  </si>
  <si>
    <t>without Start Stop</t>
  </si>
  <si>
    <t>Ignition Switch</t>
  </si>
  <si>
    <t>12V SR1 High Current Distribution</t>
  </si>
  <si>
    <t>Power Distributor</t>
  </si>
  <si>
    <t>High Current Power Distributor</t>
  </si>
  <si>
    <t>12V QM High Current Distribution</t>
  </si>
  <si>
    <t>V2X Interface</t>
  </si>
  <si>
    <t>V2X Transceiver</t>
  </si>
  <si>
    <t>Instrument Cluster</t>
  </si>
  <si>
    <t>Driver Information</t>
  </si>
  <si>
    <t>Environment Mapping</t>
  </si>
  <si>
    <t>Lidar</t>
  </si>
  <si>
    <t>Lidar_LRL</t>
  </si>
  <si>
    <t>Lidar_SRL1</t>
  </si>
  <si>
    <t>Lidar_SRL5</t>
  </si>
  <si>
    <t>Short Range View</t>
  </si>
  <si>
    <t>Camera_NFC1</t>
  </si>
  <si>
    <t>Camera_NFC2</t>
  </si>
  <si>
    <t>Camera_NFC3</t>
  </si>
  <si>
    <t>Camera_NFC4</t>
  </si>
  <si>
    <t>Camera_NFC5</t>
  </si>
  <si>
    <t>Long Range View</t>
  </si>
  <si>
    <t>Camera_FFC1</t>
  </si>
  <si>
    <t>Camera_FFC2</t>
  </si>
  <si>
    <t>Camera_FFC3</t>
  </si>
  <si>
    <t>Camera_FFC4</t>
  </si>
  <si>
    <t>Camera_FFC5</t>
  </si>
  <si>
    <t>Camera_FFC6</t>
  </si>
  <si>
    <t>Camera_FFC7</t>
  </si>
  <si>
    <t>Camera_FFC8</t>
  </si>
  <si>
    <t>Camera_FFC9</t>
  </si>
  <si>
    <t>Camera_FFC10</t>
  </si>
  <si>
    <t>Power Distribution Management</t>
  </si>
  <si>
    <t>Power Distribution Control Unit</t>
  </si>
  <si>
    <t>Dynamic Steering</t>
  </si>
  <si>
    <t>Steering Ratio Variation</t>
  </si>
  <si>
    <t>Sports / High Performance Driving Versions</t>
  </si>
  <si>
    <t>Steering Wheel Column Locking</t>
  </si>
  <si>
    <t>Ramp Assistance</t>
  </si>
  <si>
    <t>Electric Parking Brake</t>
  </si>
  <si>
    <t>Signal Switch - User Selector</t>
  </si>
  <si>
    <t>Hitch Folding</t>
  </si>
  <si>
    <t>Trailer Hitch Foldable</t>
  </si>
  <si>
    <t>User Command</t>
  </si>
  <si>
    <t>Engine</t>
  </si>
  <si>
    <t>ICE</t>
  </si>
  <si>
    <t>Hop Off Warning FR</t>
  </si>
  <si>
    <t>Safety Module</t>
  </si>
  <si>
    <t>Hop Off Warning FL</t>
  </si>
  <si>
    <t>Hop Off Warning RL</t>
  </si>
  <si>
    <t>Hop Off Warning RR</t>
  </si>
  <si>
    <t>External Temperature</t>
  </si>
  <si>
    <t>Relief Valve</t>
  </si>
  <si>
    <t>Relief Valve FR</t>
  </si>
  <si>
    <t>High Class</t>
  </si>
  <si>
    <t>Pedal</t>
  </si>
  <si>
    <t>Pressure (Vaccum) Sensor</t>
  </si>
  <si>
    <t>Pedal Switch</t>
  </si>
  <si>
    <t>Door Speaker Illumination FR</t>
  </si>
  <si>
    <t>High End Sound</t>
  </si>
  <si>
    <t>Door Speaker Illumination FL</t>
  </si>
  <si>
    <t>Brake Fluid Sensor</t>
  </si>
  <si>
    <t>Side Impact Sensor R B-Pillar</t>
  </si>
  <si>
    <t>Side Impact Sensor L B-Pillar</t>
  </si>
  <si>
    <t>Telephone Signal Amplifier</t>
  </si>
  <si>
    <t>Emergency Call</t>
  </si>
  <si>
    <t>Full Range Speaker</t>
  </si>
  <si>
    <t>Basic Audio System</t>
  </si>
  <si>
    <t>Loudspeaker - Door Front Left</t>
  </si>
  <si>
    <t>Console Illumination</t>
  </si>
  <si>
    <t>with Console Illumination</t>
  </si>
  <si>
    <t>Loudspeaker - Door Rear Left / Rear Seat Left Trim</t>
  </si>
  <si>
    <t>Intake Air Pressure</t>
  </si>
  <si>
    <t>Parking Heating</t>
  </si>
  <si>
    <t>Air Heating</t>
  </si>
  <si>
    <t>Parking Heater Pump</t>
  </si>
  <si>
    <t>Side Impact Sensor FR</t>
  </si>
  <si>
    <t>Side Impact Sensor FL</t>
  </si>
  <si>
    <t>Pressure Sensor</t>
  </si>
  <si>
    <t>Pressure Sensor Passenger</t>
  </si>
  <si>
    <t>Pressure Sensor Driver</t>
  </si>
  <si>
    <t>Refrigerant Flow</t>
  </si>
  <si>
    <t>Front Impact Sensor Front Mid</t>
  </si>
  <si>
    <t>Video</t>
  </si>
  <si>
    <t>Television Receiving</t>
  </si>
  <si>
    <t>with TV Reception</t>
  </si>
  <si>
    <t>TV Receiver</t>
  </si>
  <si>
    <t>LCD</t>
  </si>
  <si>
    <t>Steering Locking</t>
  </si>
  <si>
    <t>Keyless</t>
  </si>
  <si>
    <t>Solenoid</t>
  </si>
  <si>
    <t>with Electric Parking Brake</t>
  </si>
  <si>
    <t>Door Sill Illumination FR</t>
  </si>
  <si>
    <t>with Door Sill Illumination</t>
  </si>
  <si>
    <t>Door Sill Illumination FL</t>
  </si>
  <si>
    <t>Door Sill Illumination RL</t>
  </si>
  <si>
    <t>Door Sill Illumination RR</t>
  </si>
  <si>
    <t>Command Receiving</t>
  </si>
  <si>
    <t>High Tone Horn</t>
  </si>
  <si>
    <t>Low Tone Horn</t>
  </si>
  <si>
    <t>Garage Opener</t>
  </si>
  <si>
    <t>Command Emmiting</t>
  </si>
  <si>
    <t>with Garage Opener</t>
  </si>
  <si>
    <t>Retractor 1st Row R</t>
  </si>
  <si>
    <t>Retractor 1st Row L</t>
  </si>
  <si>
    <t>Full LED Smart Matrix</t>
  </si>
  <si>
    <t>High Tone Speaker</t>
  </si>
  <si>
    <t>Standard Audio System</t>
  </si>
  <si>
    <t>Loudspeaker - Front Left</t>
  </si>
  <si>
    <t>Premium Audio System</t>
  </si>
  <si>
    <t>Loudspeaker - Front Right</t>
  </si>
  <si>
    <t>Head-Up Display</t>
  </si>
  <si>
    <t>Internal Ventilation Front</t>
  </si>
  <si>
    <t>Internal Blower Motor Front</t>
  </si>
  <si>
    <t>with Rear Air Conditioning</t>
  </si>
  <si>
    <t>Rear Control Unit with User Selector</t>
  </si>
  <si>
    <t>Internal Compartment Monitoring</t>
  </si>
  <si>
    <t>Mid Range Speaker</t>
  </si>
  <si>
    <t>Trunk Compartment Receiving</t>
  </si>
  <si>
    <t>Left Side View</t>
  </si>
  <si>
    <t>Surround Camera Left</t>
  </si>
  <si>
    <t>Right Side View</t>
  </si>
  <si>
    <t>Surround Camera Right</t>
  </si>
  <si>
    <t>Command Panel and Computing</t>
  </si>
  <si>
    <t>Fuel Level</t>
  </si>
  <si>
    <t>Luggage Compartment Illumination</t>
  </si>
  <si>
    <t>Clutch Compressor</t>
  </si>
  <si>
    <t>Front Control Unit with User Selector</t>
  </si>
  <si>
    <t>Heating Seat Back Passenger</t>
  </si>
  <si>
    <t>with Passenger Seat Heating</t>
  </si>
  <si>
    <t>Seat Heater FR</t>
  </si>
  <si>
    <t>Premium Infotainment</t>
  </si>
  <si>
    <t>Heating Seat Back Driver</t>
  </si>
  <si>
    <t>Heating Seat Pan Passenger</t>
  </si>
  <si>
    <t>Start-Stop Motor</t>
  </si>
  <si>
    <t>Start</t>
  </si>
  <si>
    <t>12V Li-Ion Battery BMS</t>
  </si>
  <si>
    <t>Fuel Tank Pressure</t>
  </si>
  <si>
    <t>Trailer Assistance</t>
  </si>
  <si>
    <t>Coolant Level</t>
  </si>
  <si>
    <t>CO2 Detection</t>
  </si>
  <si>
    <t>Air Quality</t>
  </si>
  <si>
    <t>Exhaust Measurement</t>
  </si>
  <si>
    <t>Oxigen Sensor</t>
  </si>
  <si>
    <t>Console Illumination FL</t>
  </si>
  <si>
    <t>Console Illumination FR</t>
  </si>
  <si>
    <t>Door Panel Illumination FR</t>
  </si>
  <si>
    <t>RGB Internal Illumination</t>
  </si>
  <si>
    <t>LED Lamp RGB</t>
  </si>
  <si>
    <t>Door Panel Illumination FL</t>
  </si>
  <si>
    <t>Door Panel Illumination RL</t>
  </si>
  <si>
    <t>Door Panel Illumination RR</t>
  </si>
  <si>
    <t>Short Range Distance Warning</t>
  </si>
  <si>
    <t>12V Lead-Acid Battery BMS</t>
  </si>
  <si>
    <t>Pedestrian Protection</t>
  </si>
  <si>
    <t>Pedestrian Impact Sensor FR</t>
  </si>
  <si>
    <t>Pedestrian Impact Sensor FL</t>
  </si>
  <si>
    <t>User Selector Potentiometer - Cockpit Center Air Diffuser Left</t>
  </si>
  <si>
    <t>Microphone</t>
  </si>
  <si>
    <t>Multimedia</t>
  </si>
  <si>
    <t>Voice Capturing</t>
  </si>
  <si>
    <t>Loudspeaker - Door Front Right</t>
  </si>
  <si>
    <t>ICE AWD</t>
  </si>
  <si>
    <t>Differential Lockout Solenoid</t>
  </si>
  <si>
    <t>Rear Window Deffogger</t>
  </si>
  <si>
    <t>Long Range Distance Measurement</t>
  </si>
  <si>
    <t>Starter Generator</t>
  </si>
  <si>
    <t>Electical Machine</t>
  </si>
  <si>
    <t>Side Airbag RR</t>
  </si>
  <si>
    <t>Side Airbag RL</t>
  </si>
  <si>
    <t>Gear Selection</t>
  </si>
  <si>
    <t>Shift Lever - User Selector</t>
  </si>
  <si>
    <t>12V Outlet</t>
  </si>
  <si>
    <t>Personal Device Charging</t>
  </si>
  <si>
    <t>12V Power Socket Trunk</t>
  </si>
  <si>
    <t>12V Power Socket Center Console</t>
  </si>
  <si>
    <t>Command</t>
  </si>
  <si>
    <t>Automatic Transmission Control Unit</t>
  </si>
  <si>
    <t>Coolant Flow</t>
  </si>
  <si>
    <t>Coolant Shut-Off Valve</t>
  </si>
  <si>
    <t>Parking Brake Motor L</t>
  </si>
  <si>
    <t>Parking Brake Motor R</t>
  </si>
  <si>
    <t>Tailgate Release</t>
  </si>
  <si>
    <t>Spray Nozzle Heater</t>
  </si>
  <si>
    <t>Winter Package</t>
  </si>
  <si>
    <t>Spray Nozzle Heater L</t>
  </si>
  <si>
    <t>Spray Nozzle Heater R</t>
  </si>
  <si>
    <t>Headlamps Washer</t>
  </si>
  <si>
    <t>with Start Stop</t>
  </si>
  <si>
    <t>Woofer Speaker</t>
  </si>
  <si>
    <t>Loudspeaker - I/P Center Wideband</t>
  </si>
  <si>
    <t>External Rear View Mirror Fold</t>
  </si>
  <si>
    <t>Foldable External Mirror</t>
  </si>
  <si>
    <t>Door Internal Handle Illumination RL</t>
  </si>
  <si>
    <t>Door Internal Handle Illumination RR</t>
  </si>
  <si>
    <t>Door Internal Handle Command FR</t>
  </si>
  <si>
    <t>Door Internal Handle Command RL</t>
  </si>
  <si>
    <t>Door Internal Handle Command RR</t>
  </si>
  <si>
    <t>Door Internal Handle Illumination FR</t>
  </si>
  <si>
    <t>Door Internal Handle Illumination FL</t>
  </si>
  <si>
    <t>Door Lock and Unlock</t>
  </si>
  <si>
    <t>Indicator LED</t>
  </si>
  <si>
    <t>Mid Range and Woofer Speaker</t>
  </si>
  <si>
    <t>Front Impact Sensor R</t>
  </si>
  <si>
    <t>Front Impact Sensor L</t>
  </si>
  <si>
    <t>Audio System</t>
  </si>
  <si>
    <t>Potentiometer - User Selector</t>
  </si>
  <si>
    <t>Noise Cancelling</t>
  </si>
  <si>
    <t>Coolant Pump</t>
  </si>
  <si>
    <t>12V Power Socket Front</t>
  </si>
  <si>
    <t>Internal Locking Command</t>
  </si>
  <si>
    <t>In Vehicle Communication</t>
  </si>
  <si>
    <t>Power Supply Kl.30</t>
  </si>
  <si>
    <t>Loudspeaker - Rear Left</t>
  </si>
  <si>
    <t>Loudspeaker - Rear Right</t>
  </si>
  <si>
    <t>Surround Camera Rear</t>
  </si>
  <si>
    <t>Surround Camera Front</t>
  </si>
  <si>
    <t>Start-Stop Solenoid</t>
  </si>
  <si>
    <t>Internal Communication</t>
  </si>
  <si>
    <t>Rear Doors Internal Handle/Window Disabling</t>
  </si>
  <si>
    <t>Child Proof Lock</t>
  </si>
  <si>
    <t>Tailgate Lock and Unlock</t>
  </si>
  <si>
    <t>Footwell Illumination RL</t>
  </si>
  <si>
    <t>Footwell Illumination RR</t>
  </si>
  <si>
    <t>with Rear Seats Heating</t>
  </si>
  <si>
    <t>Heating Seat Pan Rear L</t>
  </si>
  <si>
    <t>Seat Heater RL</t>
  </si>
  <si>
    <t>Heating Seat Back Rear L</t>
  </si>
  <si>
    <t>Heating Seat Pan Rear R</t>
  </si>
  <si>
    <t>Seat Heater RR</t>
  </si>
  <si>
    <t>Heating Seat Back Rear R</t>
  </si>
  <si>
    <t>Seat Ventilation</t>
  </si>
  <si>
    <t>Seat Ventilation Driver</t>
  </si>
  <si>
    <t>with Seats Ventilation</t>
  </si>
  <si>
    <t>Ventilator Motor Seat Back FL</t>
  </si>
  <si>
    <t>Ventilator Motor Seat Pan FL</t>
  </si>
  <si>
    <t>Seat Ventilation Passenger</t>
  </si>
  <si>
    <t>Ventilator Motor Seat Back FR</t>
  </si>
  <si>
    <t>Ventilator Motor Seat Pan FR</t>
  </si>
  <si>
    <t>Multi-Contour Seat Driver</t>
  </si>
  <si>
    <t>with Seats Adjustment</t>
  </si>
  <si>
    <t>Compressor Motor for Multi-contour FL</t>
  </si>
  <si>
    <t>Multi-Contour Seat Passenger</t>
  </si>
  <si>
    <t>Compressor Motor for Multi-contour FR</t>
  </si>
  <si>
    <t>Seat Height Adjustment Driver</t>
  </si>
  <si>
    <t>Seat Tilt Adjustment Driver</t>
  </si>
  <si>
    <t>Seat Length Adjustment Driver</t>
  </si>
  <si>
    <t>Seat Depth Adjustment Driver</t>
  </si>
  <si>
    <t>Command Driver</t>
  </si>
  <si>
    <t>with Seats Massage</t>
  </si>
  <si>
    <t>Mutifunction Switch - User Selector</t>
  </si>
  <si>
    <t>Seat Backrest Adjustment Driver</t>
  </si>
  <si>
    <t>Easy Entry Driver</t>
  </si>
  <si>
    <t>Easy Entry Switch - User Selector</t>
  </si>
  <si>
    <t>Seat Height Adjustment Passenger</t>
  </si>
  <si>
    <t>Seat Tilt Adjustment Passenger</t>
  </si>
  <si>
    <t>Seat Length Adjustment Passenger</t>
  </si>
  <si>
    <t>Seat Depth Adjustment Passenger</t>
  </si>
  <si>
    <t>Command Passenger</t>
  </si>
  <si>
    <t>Seat Backrest Adjustment Passenger</t>
  </si>
  <si>
    <t>Easy Entry Passenger</t>
  </si>
  <si>
    <t>Steering Angle</t>
  </si>
  <si>
    <t>Steering Angle Measurement</t>
  </si>
  <si>
    <t>Charge Port Light</t>
  </si>
  <si>
    <t>Daytime Running Light FL</t>
  </si>
  <si>
    <t>Daytime Running Light FR</t>
  </si>
  <si>
    <t>Front Fog Lamp FR</t>
  </si>
  <si>
    <t>Turn Signal RL</t>
  </si>
  <si>
    <t>Turn Signal RR</t>
  </si>
  <si>
    <t>Turn Signal SL</t>
  </si>
  <si>
    <t>Turn Signal SR</t>
  </si>
  <si>
    <t>Door Ajar Switch FL</t>
  </si>
  <si>
    <t>Door Ajar Switch FR</t>
  </si>
  <si>
    <t>Door Ajar Switch RL</t>
  </si>
  <si>
    <t>Door Ajar Switch RR</t>
  </si>
  <si>
    <t>Seat Depth 2nd Row Right</t>
  </si>
  <si>
    <t>Seat Depth 2nd Row Left</t>
  </si>
  <si>
    <t>Roof Rack Detection</t>
  </si>
  <si>
    <t>High Vehicles</t>
  </si>
  <si>
    <t>Weight Sensor</t>
  </si>
  <si>
    <t>Gear Shifting</t>
  </si>
  <si>
    <t>with Manual Transmission</t>
  </si>
  <si>
    <t>Clutch Pedal Sensor</t>
  </si>
  <si>
    <t>A-Pillar Video Display L</t>
  </si>
  <si>
    <t>A-Pillar Video Display R</t>
  </si>
  <si>
    <t>Rear Washer</t>
  </si>
  <si>
    <t>Camera Washer</t>
  </si>
  <si>
    <t>Heated Washer Fluid</t>
  </si>
  <si>
    <t>Mirror Heating</t>
  </si>
  <si>
    <t>Rear Spray Nozzle Heater</t>
  </si>
  <si>
    <t>Maplight FL</t>
  </si>
  <si>
    <t>Maplight FR</t>
  </si>
  <si>
    <t>Steering Wheel Heater</t>
  </si>
  <si>
    <t>Steering Wheel Temperature Sensor</t>
  </si>
  <si>
    <t>Light Failure Detection</t>
  </si>
  <si>
    <t>Low Beams</t>
  </si>
  <si>
    <t>Current Sensor</t>
  </si>
  <si>
    <t>High Beams</t>
  </si>
  <si>
    <t>Fog Lamps, Front</t>
  </si>
  <si>
    <t>Fog Lamps, Rear</t>
  </si>
  <si>
    <t>Blinkers, Right Side</t>
  </si>
  <si>
    <t>Blinkers, Left Side</t>
  </si>
  <si>
    <t>Brake Lights</t>
  </si>
  <si>
    <t>Position Lights</t>
  </si>
  <si>
    <t>Motor Speed</t>
  </si>
  <si>
    <t>Rear Motor Speed Sensor</t>
  </si>
  <si>
    <t>Front Motor Speed Sensor</t>
  </si>
  <si>
    <t>Front Lidar</t>
  </si>
  <si>
    <t>Lidar_SRL2</t>
  </si>
  <si>
    <t>Lidar_SRL3</t>
  </si>
  <si>
    <t>Lidar_SRL4</t>
  </si>
  <si>
    <t>Sound Detection</t>
  </si>
  <si>
    <t>Microphone Front Left</t>
  </si>
  <si>
    <t>Micropgone Front Middle</t>
  </si>
  <si>
    <t>Microphone Front Right</t>
  </si>
  <si>
    <t>Microphone Rear Left</t>
  </si>
  <si>
    <t>Microphone Rear Middle</t>
  </si>
  <si>
    <t>Microphone Rear Right</t>
  </si>
  <si>
    <t>Side Marker Front Right</t>
  </si>
  <si>
    <t>Side Marker Rear Left</t>
  </si>
  <si>
    <t>Data storage</t>
  </si>
  <si>
    <t>Hard Disk Drive</t>
  </si>
  <si>
    <t>Rear Light Sensor</t>
  </si>
  <si>
    <t>Adjustment Switch</t>
  </si>
  <si>
    <t>Opening Switch</t>
  </si>
  <si>
    <t>Mounting Vibration Control</t>
  </si>
  <si>
    <t>Valve 1 - Actuator 1 for assembly mounting</t>
  </si>
  <si>
    <t>Valve 2 - Actuator 2 for assembly mounting</t>
  </si>
  <si>
    <t>Emergency Power Supply</t>
  </si>
  <si>
    <t>Connection for emergency power supply</t>
  </si>
  <si>
    <t>Satellite Digital Audio Radio Service</t>
  </si>
  <si>
    <t>Fuel system diagnostic pump</t>
  </si>
  <si>
    <t>Exhaust Differential Pressure</t>
  </si>
  <si>
    <t>Differential pressure sensor [OPF B1]</t>
  </si>
  <si>
    <t>Differential pressure sensor 2 [OPF B2]</t>
  </si>
  <si>
    <t>Safety</t>
  </si>
  <si>
    <t>Fire Extinguishing System</t>
  </si>
  <si>
    <t>Fire Extinguishing Valve</t>
  </si>
  <si>
    <t>Dynamic Stabilization</t>
  </si>
  <si>
    <t>Neutral Position</t>
  </si>
  <si>
    <t>Sender - Transmission Neutral Position</t>
  </si>
  <si>
    <t>Oil Temperature</t>
  </si>
  <si>
    <t>Transmission oil temperature sensor</t>
  </si>
  <si>
    <t>Speed Sensor</t>
  </si>
  <si>
    <t>transmission speed sensor</t>
  </si>
  <si>
    <t>Pump - Heating Support</t>
  </si>
  <si>
    <t>Convertible</t>
  </si>
  <si>
    <t>Convertible Top Movement</t>
  </si>
  <si>
    <t>Hydraulic pump for convertible top operation</t>
  </si>
  <si>
    <t>Hydraulic temperature sensor for all-wheel drive</t>
  </si>
  <si>
    <t>Body Acceleration Sensor RL</t>
  </si>
  <si>
    <t>Body Acceleration Sensor FL</t>
  </si>
  <si>
    <t>Body Acceleration Sensor FR</t>
  </si>
  <si>
    <t>Front Trunk Illumination</t>
  </si>
  <si>
    <t>Aerodynamics</t>
  </si>
  <si>
    <t>Front Spoiler Adjustment</t>
  </si>
  <si>
    <t>Compressor for front spoiler adjustment</t>
  </si>
  <si>
    <t>Oxigen Sensor - After Catalyzer</t>
  </si>
  <si>
    <t>Oxigen Sensor - Before Catalyzer</t>
  </si>
  <si>
    <t>Front Axle Height Adjustment</t>
  </si>
  <si>
    <t>Wind Deflection</t>
  </si>
  <si>
    <t>Reverse Gear Switch</t>
  </si>
  <si>
    <t>Convertible Top Locking</t>
  </si>
  <si>
    <t>Rear Axle Anti-roll Bar Decoupling</t>
  </si>
  <si>
    <t>Front Axle Anti-roll Bar Decoupling</t>
  </si>
  <si>
    <t>Front Sensors Heating</t>
  </si>
  <si>
    <t>Heater - Window heating for front sensors</t>
  </si>
  <si>
    <t>Rear Lamps - Central</t>
  </si>
  <si>
    <t>Aquaplaning Warning</t>
  </si>
  <si>
    <t>Acoustic Sensor Left</t>
  </si>
  <si>
    <t>Acoustic Sensor Right</t>
  </si>
  <si>
    <t>Socket for Radio Data Communication</t>
  </si>
  <si>
    <t>Hood Emergency Release</t>
  </si>
  <si>
    <t>Rear Axle Steering</t>
  </si>
  <si>
    <t>Motor Sound</t>
  </si>
  <si>
    <t>Engine Noise Generation [E-Sound]</t>
  </si>
  <si>
    <t>Change Lane Assistance</t>
  </si>
  <si>
    <t>with Electric Brake Booster</t>
  </si>
  <si>
    <t>Radio-Controlled Parking</t>
  </si>
  <si>
    <t>Control unit for garage door opening</t>
  </si>
  <si>
    <t>Tyres Pressure</t>
  </si>
  <si>
    <t>Tyre Pressure Control</t>
  </si>
  <si>
    <t>Tyre pressure control unit (Receiver)</t>
  </si>
  <si>
    <t>Convertible Top Operation</t>
  </si>
  <si>
    <t>Rear Spoiler Adjustment</t>
  </si>
  <si>
    <t>Subwoofer Speaker</t>
  </si>
  <si>
    <t>Subwoofer</t>
  </si>
  <si>
    <t>Subwoofer [cargo floor]</t>
  </si>
  <si>
    <t>Damping Adjustment Valve RL</t>
  </si>
  <si>
    <t>Damping Adjustment Valve RR</t>
  </si>
  <si>
    <t>Damping Adjustment Valve FL</t>
  </si>
  <si>
    <t>Damping Adjustment Valve FR</t>
  </si>
  <si>
    <t>Hood Flap</t>
  </si>
  <si>
    <t>Sub-Woofer</t>
  </si>
  <si>
    <t>Amplifier for bass speakers</t>
  </si>
  <si>
    <t>Digital Sound Package</t>
  </si>
  <si>
    <t>Amplifier for digital sound package</t>
  </si>
  <si>
    <t>Mobile phone amplifier</t>
  </si>
  <si>
    <t>Mobile phone amplifier [compensator coupling box]</t>
  </si>
  <si>
    <t>Covertible Passenger</t>
  </si>
  <si>
    <t>Rollover Protection Passenger's Side [Convertible]</t>
  </si>
  <si>
    <t>Covertible Driver</t>
  </si>
  <si>
    <t>Rollover Protection Driver's Side [Convertible]</t>
  </si>
  <si>
    <t>Head Passenger</t>
  </si>
  <si>
    <t>Head Driver</t>
  </si>
  <si>
    <t>Chip Card Reader</t>
  </si>
  <si>
    <t>Passenger Airbag Deactivation</t>
  </si>
  <si>
    <t>Air Recycling</t>
  </si>
  <si>
    <t>Heat Pump System Operation</t>
  </si>
  <si>
    <t>Valve - Heater Coolant Shut-off</t>
  </si>
  <si>
    <t>Expansion Valve for Refrigerant After Heating Condenser</t>
  </si>
  <si>
    <t>Expansion Valve for Refrigerant After Evaporator</t>
  </si>
  <si>
    <t>Expansion Valve for Refrigerant Before Chiller</t>
  </si>
  <si>
    <t>Valve - Refrigerant Shut-off After Heating Condenser</t>
  </si>
  <si>
    <t>Valve - Refrigerant Shut-off After Evaporator</t>
  </si>
  <si>
    <t>Internal Temperature</t>
  </si>
  <si>
    <t>Stepper Motor - Cockpit Flap</t>
  </si>
  <si>
    <t>Command Panel</t>
  </si>
  <si>
    <t>Cooling/Heating</t>
  </si>
  <si>
    <t>Computing - Heat Pump</t>
  </si>
  <si>
    <t>Heat Pump Control Unit</t>
  </si>
  <si>
    <t>without Air Conditioning</t>
  </si>
  <si>
    <t>User Selector - Blower Speed</t>
  </si>
  <si>
    <t>Blower Speed Control</t>
  </si>
  <si>
    <t>Blower Resistance</t>
  </si>
  <si>
    <t>with Additional Heating</t>
  </si>
  <si>
    <t>Air Ionizer Front</t>
  </si>
  <si>
    <t>with Ionizer</t>
  </si>
  <si>
    <t>Ionizer Front</t>
  </si>
  <si>
    <t>User Selector Front</t>
  </si>
  <si>
    <t>Air Ionizer Rear</t>
  </si>
  <si>
    <t>Ionizer Rear</t>
  </si>
  <si>
    <t>User Selector Rear</t>
  </si>
  <si>
    <t>Solar Intensity</t>
  </si>
  <si>
    <t>Solar Sensor</t>
  </si>
  <si>
    <t>Widshield Deffog and Defrost</t>
  </si>
  <si>
    <t>Thermal Management Control Unit</t>
  </si>
  <si>
    <t>4067-1</t>
  </si>
  <si>
    <t>4071-1</t>
  </si>
  <si>
    <t>4163-1</t>
  </si>
  <si>
    <t>4311-1</t>
  </si>
  <si>
    <t>4497-1</t>
  </si>
  <si>
    <t>4497-2</t>
  </si>
  <si>
    <t>4497-3</t>
  </si>
  <si>
    <t>4498-1</t>
  </si>
  <si>
    <t>Loudspeaker - Surround Left</t>
  </si>
  <si>
    <t>4498-2</t>
  </si>
  <si>
    <t>Loudspeaker - Surround Right</t>
  </si>
  <si>
    <t>4535-1</t>
  </si>
  <si>
    <t>4535-2</t>
  </si>
  <si>
    <t>4535-3</t>
  </si>
  <si>
    <t>Wear Sensor Front Left</t>
  </si>
  <si>
    <t>Wear Sensor Rear Right</t>
  </si>
  <si>
    <t>Long Range Radar Front / Radar 0°</t>
  </si>
  <si>
    <t>Short/Mid Range Radar FR / Radar -8°</t>
  </si>
  <si>
    <t>Short/Mid Range Radar FL / Radar +8°</t>
  </si>
  <si>
    <t>Distance Measurements</t>
  </si>
  <si>
    <t>Short/Mid Range Radar R / Radar -97°</t>
  </si>
  <si>
    <t>Short/Mid Range Radar R / Radar -86°</t>
  </si>
  <si>
    <t>Short/Mid Range Radar L / Radar +86°</t>
  </si>
  <si>
    <t>Short/Mid Range Radar L / Radar +97°</t>
  </si>
  <si>
    <t>Short/Mid Range Radar R / Radar -108°</t>
  </si>
  <si>
    <t>Short/Mid Range Radar L / Radar +108°</t>
  </si>
  <si>
    <t>Short/Mid Range Radar RR / Radar -176°</t>
  </si>
  <si>
    <t>Short/Mid Range Radar RL / Radar +176°</t>
  </si>
  <si>
    <t>Temperature Sensor</t>
  </si>
  <si>
    <t>tbd</t>
  </si>
  <si>
    <t>All Wheel Dirve</t>
  </si>
  <si>
    <t>Spolier Position</t>
  </si>
  <si>
    <t>Battery</t>
  </si>
  <si>
    <t>Camera for night vision system</t>
  </si>
  <si>
    <t>Lane Change Assist Radar [Right, Master]</t>
  </si>
  <si>
    <t>R</t>
  </si>
  <si>
    <t>Rear Spoiler Motor</t>
  </si>
  <si>
    <t>Rear Spoiler Position Sensor Hall</t>
  </si>
  <si>
    <t>Top closing unit</t>
  </si>
  <si>
    <t>Sun Roof Courtain Opening and Closing</t>
  </si>
  <si>
    <t>Microphone Left</t>
  </si>
  <si>
    <t>Microphone Right</t>
  </si>
  <si>
    <t>Radio Head Unit und Information Electronics</t>
  </si>
  <si>
    <t>H1</t>
  </si>
  <si>
    <t>ESP Unit</t>
  </si>
  <si>
    <t>ESP Unit Redundant</t>
  </si>
  <si>
    <t>3121-1</t>
  </si>
  <si>
    <t>Brake Actuator</t>
  </si>
  <si>
    <t>Steering Motor Unit</t>
  </si>
  <si>
    <t>F0x60</t>
  </si>
  <si>
    <t>Passenger compartment heating activation by remote control (RF, Bluetooth, WLAN) or pre-programmed while the vehicle is off and parked. This is a convenience function, to welcome occupants with an acclimatized environment.</t>
  </si>
  <si>
    <t>Sun Roof Wind Deflection</t>
  </si>
  <si>
    <t>Motor for Wind Deflection</t>
  </si>
  <si>
    <t>Solenoid Lock</t>
  </si>
  <si>
    <t>Sensor - Rotor Signal</t>
  </si>
  <si>
    <t>Side Blinker Left</t>
  </si>
  <si>
    <t>Side Blinker Right</t>
  </si>
  <si>
    <t>9133-1</t>
  </si>
  <si>
    <t>LED - Dynamic Blinker</t>
  </si>
  <si>
    <t>Lane Change Assist Radar [Left, Slave]</t>
  </si>
  <si>
    <t>Low</t>
  </si>
  <si>
    <t>Mid</t>
  </si>
  <si>
    <t>High</t>
  </si>
  <si>
    <t>Application</t>
  </si>
  <si>
    <t>Start Peak</t>
  </si>
  <si>
    <t>Acoustic Sensor Front Right</t>
  </si>
  <si>
    <t>Acoustic Sensor Front Left</t>
  </si>
  <si>
    <t>Acoustic Sensor Rear Left</t>
  </si>
  <si>
    <t>Acoustic Sensor Rear Right</t>
  </si>
  <si>
    <t>Environment Recognition</t>
  </si>
  <si>
    <t>Connector</t>
  </si>
  <si>
    <t>1563689-1</t>
  </si>
  <si>
    <t>Supplier</t>
  </si>
  <si>
    <t>Part Number</t>
  </si>
  <si>
    <t>TE</t>
  </si>
  <si>
    <t>1-1438608-5</t>
  </si>
  <si>
    <t>1897210-1</t>
  </si>
  <si>
    <t>353744-7</t>
  </si>
  <si>
    <t>2 Pos. Squib Airbag</t>
  </si>
  <si>
    <t>Status Connectors:</t>
  </si>
  <si>
    <t>157420-1</t>
  </si>
  <si>
    <t>1563189-1</t>
  </si>
  <si>
    <t>1718831-1</t>
  </si>
  <si>
    <t>1-929080-5</t>
  </si>
  <si>
    <t>1-1718346-1</t>
  </si>
  <si>
    <t>1-967616-1</t>
  </si>
  <si>
    <t>1745068-1</t>
  </si>
  <si>
    <t>48V Compatible?</t>
  </si>
  <si>
    <t>No</t>
  </si>
  <si>
    <t>1-1355200-1</t>
  </si>
  <si>
    <t>Horn, Single Tone</t>
  </si>
  <si>
    <t>Horn with single tone sound.</t>
  </si>
  <si>
    <t>F0063</t>
  </si>
  <si>
    <t>N/A</t>
  </si>
  <si>
    <t>1897212-1</t>
  </si>
  <si>
    <t>1-1418463-9</t>
  </si>
  <si>
    <t>1-967642-1</t>
  </si>
  <si>
    <t>Yes</t>
  </si>
  <si>
    <t>1745000-3</t>
  </si>
  <si>
    <t>1438992-1</t>
  </si>
  <si>
    <t>1-1418639-5</t>
  </si>
  <si>
    <t>1-1718333-1</t>
  </si>
  <si>
    <t>1-929170-4</t>
  </si>
  <si>
    <t>1-1718562-1</t>
  </si>
  <si>
    <t>0-1488991-6</t>
  </si>
  <si>
    <t>Coordinates System</t>
  </si>
  <si>
    <t>Resolution:</t>
  </si>
  <si>
    <t>Width: 1847mm / 51cells = aprox. 36mm/cell</t>
  </si>
  <si>
    <t>Length: 4762mm / 132cells = aprox. 36mm/cell</t>
  </si>
  <si>
    <t>Coordinate</t>
  </si>
  <si>
    <t>23;-5</t>
  </si>
  <si>
    <t>23;-4</t>
  </si>
  <si>
    <t>23;-3</t>
  </si>
  <si>
    <t>23;-2</t>
  </si>
  <si>
    <t>23;-1</t>
  </si>
  <si>
    <t>23;0</t>
  </si>
  <si>
    <t>23;1</t>
  </si>
  <si>
    <t>23;2</t>
  </si>
  <si>
    <t>23;3</t>
  </si>
  <si>
    <t>23;4</t>
  </si>
  <si>
    <t>23;5</t>
  </si>
  <si>
    <t>23;6</t>
  </si>
  <si>
    <t>23;7</t>
  </si>
  <si>
    <t>23;8</t>
  </si>
  <si>
    <t>23;9</t>
  </si>
  <si>
    <t>23;10</t>
  </si>
  <si>
    <t>23;11</t>
  </si>
  <si>
    <t>23;12</t>
  </si>
  <si>
    <t>23;13</t>
  </si>
  <si>
    <t>23;14</t>
  </si>
  <si>
    <t>23;15</t>
  </si>
  <si>
    <t>23;16</t>
  </si>
  <si>
    <t>23;17</t>
  </si>
  <si>
    <t>23;18</t>
  </si>
  <si>
    <t>23;19</t>
  </si>
  <si>
    <t>23;20</t>
  </si>
  <si>
    <t>23;21</t>
  </si>
  <si>
    <t>23;22</t>
  </si>
  <si>
    <t>23;23</t>
  </si>
  <si>
    <t>22;-7</t>
  </si>
  <si>
    <t>22;-6</t>
  </si>
  <si>
    <t>22;-5</t>
  </si>
  <si>
    <t>22;-4</t>
  </si>
  <si>
    <t>22;-3</t>
  </si>
  <si>
    <t>22;-2</t>
  </si>
  <si>
    <t>22;-1</t>
  </si>
  <si>
    <t>22;0</t>
  </si>
  <si>
    <t>22;1</t>
  </si>
  <si>
    <t>22;2</t>
  </si>
  <si>
    <t>22;3</t>
  </si>
  <si>
    <t>22;4</t>
  </si>
  <si>
    <t>22;5</t>
  </si>
  <si>
    <t>22;6</t>
  </si>
  <si>
    <t>22;7</t>
  </si>
  <si>
    <t>22;8</t>
  </si>
  <si>
    <t>22;9</t>
  </si>
  <si>
    <t>22;10</t>
  </si>
  <si>
    <t>22;11</t>
  </si>
  <si>
    <t>22;12</t>
  </si>
  <si>
    <t>22;13</t>
  </si>
  <si>
    <t>22;14</t>
  </si>
  <si>
    <t>22;15</t>
  </si>
  <si>
    <t>22;16</t>
  </si>
  <si>
    <t>22;17</t>
  </si>
  <si>
    <t>22;18</t>
  </si>
  <si>
    <t>22;19</t>
  </si>
  <si>
    <t>22;20</t>
  </si>
  <si>
    <t>22;21</t>
  </si>
  <si>
    <t>22;22</t>
  </si>
  <si>
    <t>22;23</t>
  </si>
  <si>
    <t>21;-8</t>
  </si>
  <si>
    <t>21;-7</t>
  </si>
  <si>
    <t>21;-6</t>
  </si>
  <si>
    <t>21;-5</t>
  </si>
  <si>
    <t>21;-4</t>
  </si>
  <si>
    <t>21;-3</t>
  </si>
  <si>
    <t>21;-2</t>
  </si>
  <si>
    <t>21;-1</t>
  </si>
  <si>
    <t>21;0</t>
  </si>
  <si>
    <t>21;1</t>
  </si>
  <si>
    <t>21;2</t>
  </si>
  <si>
    <t>21;3</t>
  </si>
  <si>
    <t>21;4</t>
  </si>
  <si>
    <t>21;5</t>
  </si>
  <si>
    <t>21;6</t>
  </si>
  <si>
    <t>21;7</t>
  </si>
  <si>
    <t>21;8</t>
  </si>
  <si>
    <t>21;9</t>
  </si>
  <si>
    <t>21;10</t>
  </si>
  <si>
    <t>21;11</t>
  </si>
  <si>
    <t>21;12</t>
  </si>
  <si>
    <t>21;13</t>
  </si>
  <si>
    <t>21;14</t>
  </si>
  <si>
    <t>21;15</t>
  </si>
  <si>
    <t>21;16</t>
  </si>
  <si>
    <t>21;17</t>
  </si>
  <si>
    <t>21;18</t>
  </si>
  <si>
    <t>21;19</t>
  </si>
  <si>
    <t>21;20</t>
  </si>
  <si>
    <t>21;21</t>
  </si>
  <si>
    <t>21;22</t>
  </si>
  <si>
    <t>21;23</t>
  </si>
  <si>
    <t>20;-10</t>
  </si>
  <si>
    <t>20;-9</t>
  </si>
  <si>
    <t>20;-8</t>
  </si>
  <si>
    <t>20;-7</t>
  </si>
  <si>
    <t>20;-6</t>
  </si>
  <si>
    <t>20;-5</t>
  </si>
  <si>
    <t>20;-4</t>
  </si>
  <si>
    <t>20;-3</t>
  </si>
  <si>
    <t>20;-2</t>
  </si>
  <si>
    <t>20;-1</t>
  </si>
  <si>
    <t>20;0</t>
  </si>
  <si>
    <t>20;1</t>
  </si>
  <si>
    <t>20;2</t>
  </si>
  <si>
    <t>20;3</t>
  </si>
  <si>
    <t>20;4</t>
  </si>
  <si>
    <t>20;5</t>
  </si>
  <si>
    <t>20;6</t>
  </si>
  <si>
    <t>20;7</t>
  </si>
  <si>
    <t>20;8</t>
  </si>
  <si>
    <t>20;9</t>
  </si>
  <si>
    <t>20;10</t>
  </si>
  <si>
    <t>20;11</t>
  </si>
  <si>
    <t>20;12</t>
  </si>
  <si>
    <t>20;13</t>
  </si>
  <si>
    <t>20;14</t>
  </si>
  <si>
    <t>20;15</t>
  </si>
  <si>
    <t>20;16</t>
  </si>
  <si>
    <t>20;17</t>
  </si>
  <si>
    <t>20;18</t>
  </si>
  <si>
    <t>20;19</t>
  </si>
  <si>
    <t>20;20</t>
  </si>
  <si>
    <t>20;21</t>
  </si>
  <si>
    <t>20;22</t>
  </si>
  <si>
    <t>20;23</t>
  </si>
  <si>
    <t>19;-11</t>
  </si>
  <si>
    <t>19;-10</t>
  </si>
  <si>
    <t>19;-9</t>
  </si>
  <si>
    <t>19;-8</t>
  </si>
  <si>
    <t>19;-7</t>
  </si>
  <si>
    <t>19;-6</t>
  </si>
  <si>
    <t>19;-5</t>
  </si>
  <si>
    <t>19;-4</t>
  </si>
  <si>
    <t>19;-3</t>
  </si>
  <si>
    <t>19;-2</t>
  </si>
  <si>
    <t>19;-1</t>
  </si>
  <si>
    <t>19;0</t>
  </si>
  <si>
    <t>19;1</t>
  </si>
  <si>
    <t>19;2</t>
  </si>
  <si>
    <t>19;3</t>
  </si>
  <si>
    <t>19;4</t>
  </si>
  <si>
    <t>19;5</t>
  </si>
  <si>
    <t>19;6</t>
  </si>
  <si>
    <t>19;7</t>
  </si>
  <si>
    <t>19;8</t>
  </si>
  <si>
    <t>19;9</t>
  </si>
  <si>
    <t>19;10</t>
  </si>
  <si>
    <t>19;11</t>
  </si>
  <si>
    <t>19;12</t>
  </si>
  <si>
    <t>19;13</t>
  </si>
  <si>
    <t>19;14</t>
  </si>
  <si>
    <t>19;15</t>
  </si>
  <si>
    <t>19;16</t>
  </si>
  <si>
    <t>19;17</t>
  </si>
  <si>
    <t>19;18</t>
  </si>
  <si>
    <t>19;19</t>
  </si>
  <si>
    <t>19;20</t>
  </si>
  <si>
    <t>19;21</t>
  </si>
  <si>
    <t>19;22</t>
  </si>
  <si>
    <t>19;23</t>
  </si>
  <si>
    <t>18;-12</t>
  </si>
  <si>
    <t>18;-11</t>
  </si>
  <si>
    <t>18;-10</t>
  </si>
  <si>
    <t>18;-9</t>
  </si>
  <si>
    <t>18;-8</t>
  </si>
  <si>
    <t>18;-7</t>
  </si>
  <si>
    <t>18;-6</t>
  </si>
  <si>
    <t>18;-5</t>
  </si>
  <si>
    <t>18;-4</t>
  </si>
  <si>
    <t>18;-3</t>
  </si>
  <si>
    <t>18;-2</t>
  </si>
  <si>
    <t>18;-1</t>
  </si>
  <si>
    <t>18;0</t>
  </si>
  <si>
    <t>18;1</t>
  </si>
  <si>
    <t>18;2</t>
  </si>
  <si>
    <t>18;3</t>
  </si>
  <si>
    <t>18;4</t>
  </si>
  <si>
    <t>18;5</t>
  </si>
  <si>
    <t>18;6</t>
  </si>
  <si>
    <t>18;7</t>
  </si>
  <si>
    <t>18;8</t>
  </si>
  <si>
    <t>18;9</t>
  </si>
  <si>
    <t>18;10</t>
  </si>
  <si>
    <t>18;11</t>
  </si>
  <si>
    <t>18;12</t>
  </si>
  <si>
    <t>18;13</t>
  </si>
  <si>
    <t>18;14</t>
  </si>
  <si>
    <t>18;15</t>
  </si>
  <si>
    <t>18;16</t>
  </si>
  <si>
    <t>18;17</t>
  </si>
  <si>
    <t>18;18</t>
  </si>
  <si>
    <t>18;19</t>
  </si>
  <si>
    <t>18;20</t>
  </si>
  <si>
    <t>18;21</t>
  </si>
  <si>
    <t>18;22</t>
  </si>
  <si>
    <t>18;23</t>
  </si>
  <si>
    <t>17;-12</t>
  </si>
  <si>
    <t>17;-11</t>
  </si>
  <si>
    <t>17;-10</t>
  </si>
  <si>
    <t>17;-9</t>
  </si>
  <si>
    <t>17;-8</t>
  </si>
  <si>
    <t>17;-7</t>
  </si>
  <si>
    <t>17;-6</t>
  </si>
  <si>
    <t>17;-5</t>
  </si>
  <si>
    <t>17;-4</t>
  </si>
  <si>
    <t>17;-3</t>
  </si>
  <si>
    <t>17;-2</t>
  </si>
  <si>
    <t>17;-1</t>
  </si>
  <si>
    <t>17;0</t>
  </si>
  <si>
    <t>17;1</t>
  </si>
  <si>
    <t>17;2</t>
  </si>
  <si>
    <t>17;3</t>
  </si>
  <si>
    <t>17;4</t>
  </si>
  <si>
    <t>17;5</t>
  </si>
  <si>
    <t>17;6</t>
  </si>
  <si>
    <t>17;7</t>
  </si>
  <si>
    <t>17;8</t>
  </si>
  <si>
    <t>17;9</t>
  </si>
  <si>
    <t>17;10</t>
  </si>
  <si>
    <t>17;11</t>
  </si>
  <si>
    <t>17;12</t>
  </si>
  <si>
    <t>17;13</t>
  </si>
  <si>
    <t>17;14</t>
  </si>
  <si>
    <t>17;15</t>
  </si>
  <si>
    <t>17;16</t>
  </si>
  <si>
    <t>17;17</t>
  </si>
  <si>
    <t>17;18</t>
  </si>
  <si>
    <t>17;19</t>
  </si>
  <si>
    <t>17;20</t>
  </si>
  <si>
    <t>17;21</t>
  </si>
  <si>
    <t>17;22</t>
  </si>
  <si>
    <t>17;23</t>
  </si>
  <si>
    <t>16;-13</t>
  </si>
  <si>
    <t>16;-12</t>
  </si>
  <si>
    <t>16;-11</t>
  </si>
  <si>
    <t>16;-10</t>
  </si>
  <si>
    <t>16;-9</t>
  </si>
  <si>
    <t>16;-8</t>
  </si>
  <si>
    <t>16;-7</t>
  </si>
  <si>
    <t>16;-6</t>
  </si>
  <si>
    <t>16;-5</t>
  </si>
  <si>
    <t>16;-4</t>
  </si>
  <si>
    <t>16;-3</t>
  </si>
  <si>
    <t>16;-2</t>
  </si>
  <si>
    <t>16;-1</t>
  </si>
  <si>
    <t>16;0</t>
  </si>
  <si>
    <t>16;1</t>
  </si>
  <si>
    <t>16;2</t>
  </si>
  <si>
    <t>16;3</t>
  </si>
  <si>
    <t>16;4</t>
  </si>
  <si>
    <t>16;5</t>
  </si>
  <si>
    <t>16;6</t>
  </si>
  <si>
    <t>16;7</t>
  </si>
  <si>
    <t>16;8</t>
  </si>
  <si>
    <t>16;9</t>
  </si>
  <si>
    <t>16;10</t>
  </si>
  <si>
    <t>16;11</t>
  </si>
  <si>
    <t>16;12</t>
  </si>
  <si>
    <t>16;13</t>
  </si>
  <si>
    <t>16;14</t>
  </si>
  <si>
    <t>16;15</t>
  </si>
  <si>
    <t>16;16</t>
  </si>
  <si>
    <t>16;17</t>
  </si>
  <si>
    <t>16;18</t>
  </si>
  <si>
    <t>16;19</t>
  </si>
  <si>
    <t>16;20</t>
  </si>
  <si>
    <t>16;21</t>
  </si>
  <si>
    <t>16;22</t>
  </si>
  <si>
    <t>16;23</t>
  </si>
  <si>
    <t>15;-13</t>
  </si>
  <si>
    <t>15;-12</t>
  </si>
  <si>
    <t>15;-11</t>
  </si>
  <si>
    <t>15;-10</t>
  </si>
  <si>
    <t>15;-9</t>
  </si>
  <si>
    <t>15;-8</t>
  </si>
  <si>
    <t>15;-7</t>
  </si>
  <si>
    <t>15;-6</t>
  </si>
  <si>
    <t>15;-5</t>
  </si>
  <si>
    <t>15;-4</t>
  </si>
  <si>
    <t>15;-3</t>
  </si>
  <si>
    <t>15;-2</t>
  </si>
  <si>
    <t>15;-1</t>
  </si>
  <si>
    <t>15;0</t>
  </si>
  <si>
    <t>15;1</t>
  </si>
  <si>
    <t>15;2</t>
  </si>
  <si>
    <t>15;3</t>
  </si>
  <si>
    <t>15;4</t>
  </si>
  <si>
    <t>15;5</t>
  </si>
  <si>
    <t>15;6</t>
  </si>
  <si>
    <t>15;7</t>
  </si>
  <si>
    <t>15;8</t>
  </si>
  <si>
    <t>15;9</t>
  </si>
  <si>
    <t>15;10</t>
  </si>
  <si>
    <t>15;11</t>
  </si>
  <si>
    <t>15;12</t>
  </si>
  <si>
    <t>15;13</t>
  </si>
  <si>
    <t>15;14</t>
  </si>
  <si>
    <t>15;15</t>
  </si>
  <si>
    <t>15;16</t>
  </si>
  <si>
    <t>15;17</t>
  </si>
  <si>
    <t>15;18</t>
  </si>
  <si>
    <t>15;19</t>
  </si>
  <si>
    <t>15;20</t>
  </si>
  <si>
    <t>15;21</t>
  </si>
  <si>
    <t>15;22</t>
  </si>
  <si>
    <t>15;23</t>
  </si>
  <si>
    <t>14;-14</t>
  </si>
  <si>
    <t>14;-13</t>
  </si>
  <si>
    <t>14;-12</t>
  </si>
  <si>
    <t>14;-11</t>
  </si>
  <si>
    <t>14;-10</t>
  </si>
  <si>
    <t>14;-9</t>
  </si>
  <si>
    <t>14;-8</t>
  </si>
  <si>
    <t>14;-7</t>
  </si>
  <si>
    <t>14;-6</t>
  </si>
  <si>
    <t>14;-5</t>
  </si>
  <si>
    <t>14;-4</t>
  </si>
  <si>
    <t>14;-3</t>
  </si>
  <si>
    <t>14;-2</t>
  </si>
  <si>
    <t>14;-1</t>
  </si>
  <si>
    <t>14;0</t>
  </si>
  <si>
    <t>14;1</t>
  </si>
  <si>
    <t>14;2</t>
  </si>
  <si>
    <t>14;3</t>
  </si>
  <si>
    <t>14;4</t>
  </si>
  <si>
    <t>14;5</t>
  </si>
  <si>
    <t>14;6</t>
  </si>
  <si>
    <t>14;7</t>
  </si>
  <si>
    <t>14;8</t>
  </si>
  <si>
    <t>14;9</t>
  </si>
  <si>
    <t>14;10</t>
  </si>
  <si>
    <t>14;11</t>
  </si>
  <si>
    <t>14;12</t>
  </si>
  <si>
    <t>14;13</t>
  </si>
  <si>
    <t>14;14</t>
  </si>
  <si>
    <t>14;15</t>
  </si>
  <si>
    <t>14;16</t>
  </si>
  <si>
    <t>14;17</t>
  </si>
  <si>
    <t>14;18</t>
  </si>
  <si>
    <t>14;19</t>
  </si>
  <si>
    <t>14;20</t>
  </si>
  <si>
    <t>14;21</t>
  </si>
  <si>
    <t>14;22</t>
  </si>
  <si>
    <t>14;23</t>
  </si>
  <si>
    <t>13;-14</t>
  </si>
  <si>
    <t>13;-13</t>
  </si>
  <si>
    <t>13;-12</t>
  </si>
  <si>
    <t>13;-11</t>
  </si>
  <si>
    <t>13;-10</t>
  </si>
  <si>
    <t>13;-9</t>
  </si>
  <si>
    <t>13;-8</t>
  </si>
  <si>
    <t>13;-7</t>
  </si>
  <si>
    <t>13;-6</t>
  </si>
  <si>
    <t>13;-5</t>
  </si>
  <si>
    <t>13;-4</t>
  </si>
  <si>
    <t>13;-3</t>
  </si>
  <si>
    <t>13;-2</t>
  </si>
  <si>
    <t>13;-1</t>
  </si>
  <si>
    <t>13;0</t>
  </si>
  <si>
    <t>13;1</t>
  </si>
  <si>
    <t>13;2</t>
  </si>
  <si>
    <t>13;3</t>
  </si>
  <si>
    <t>13;4</t>
  </si>
  <si>
    <t>13;5</t>
  </si>
  <si>
    <t>13;6</t>
  </si>
  <si>
    <t>13;7</t>
  </si>
  <si>
    <t>13;8</t>
  </si>
  <si>
    <t>13;9</t>
  </si>
  <si>
    <t>13;10</t>
  </si>
  <si>
    <t>13;11</t>
  </si>
  <si>
    <t>13;12</t>
  </si>
  <si>
    <t>13;13</t>
  </si>
  <si>
    <t>13;14</t>
  </si>
  <si>
    <t>13;15</t>
  </si>
  <si>
    <t>13;16</t>
  </si>
  <si>
    <t>13;17</t>
  </si>
  <si>
    <t>13;18</t>
  </si>
  <si>
    <t>13;19</t>
  </si>
  <si>
    <t>13;20</t>
  </si>
  <si>
    <t>13;21</t>
  </si>
  <si>
    <t>13;22</t>
  </si>
  <si>
    <t>13;23</t>
  </si>
  <si>
    <t>12;-15</t>
  </si>
  <si>
    <t>12;-14</t>
  </si>
  <si>
    <t>12;-13</t>
  </si>
  <si>
    <t>12;-12</t>
  </si>
  <si>
    <t>12;-11</t>
  </si>
  <si>
    <t>12;-10</t>
  </si>
  <si>
    <t>12;-9</t>
  </si>
  <si>
    <t>12;-8</t>
  </si>
  <si>
    <t>12;-7</t>
  </si>
  <si>
    <t>12;-6</t>
  </si>
  <si>
    <t>12;-5</t>
  </si>
  <si>
    <t>12;-4</t>
  </si>
  <si>
    <t>12;-3</t>
  </si>
  <si>
    <t>12;-2</t>
  </si>
  <si>
    <t>12;-1</t>
  </si>
  <si>
    <t>12;0</t>
  </si>
  <si>
    <t>12;1</t>
  </si>
  <si>
    <t>12;2</t>
  </si>
  <si>
    <t>12;3</t>
  </si>
  <si>
    <t>12;4</t>
  </si>
  <si>
    <t>12;5</t>
  </si>
  <si>
    <t>12;6</t>
  </si>
  <si>
    <t>12;7</t>
  </si>
  <si>
    <t>12;8</t>
  </si>
  <si>
    <t>12;9</t>
  </si>
  <si>
    <t>12;10</t>
  </si>
  <si>
    <t>12;11</t>
  </si>
  <si>
    <t>12;12</t>
  </si>
  <si>
    <t>12;13</t>
  </si>
  <si>
    <t>12;14</t>
  </si>
  <si>
    <t>12;15</t>
  </si>
  <si>
    <t>12;16</t>
  </si>
  <si>
    <t>12;17</t>
  </si>
  <si>
    <t>12;18</t>
  </si>
  <si>
    <t>12;19</t>
  </si>
  <si>
    <t>12;20</t>
  </si>
  <si>
    <t>12;21</t>
  </si>
  <si>
    <t>12;22</t>
  </si>
  <si>
    <t>12;23</t>
  </si>
  <si>
    <t>11;-15</t>
  </si>
  <si>
    <t>11;-14</t>
  </si>
  <si>
    <t>11;-13</t>
  </si>
  <si>
    <t>11;-12</t>
  </si>
  <si>
    <t>11;-11</t>
  </si>
  <si>
    <t>11;-10</t>
  </si>
  <si>
    <t>11;-9</t>
  </si>
  <si>
    <t>11;-8</t>
  </si>
  <si>
    <t>11;-7</t>
  </si>
  <si>
    <t>11;-6</t>
  </si>
  <si>
    <t>11;-5</t>
  </si>
  <si>
    <t>11;-4</t>
  </si>
  <si>
    <t>11;-3</t>
  </si>
  <si>
    <t>11;-2</t>
  </si>
  <si>
    <t>11;-1</t>
  </si>
  <si>
    <t>11;0</t>
  </si>
  <si>
    <t>11;1</t>
  </si>
  <si>
    <t>11;2</t>
  </si>
  <si>
    <t>11;3</t>
  </si>
  <si>
    <t>11;4</t>
  </si>
  <si>
    <t>11;5</t>
  </si>
  <si>
    <t>11;6</t>
  </si>
  <si>
    <t>11;7</t>
  </si>
  <si>
    <t>11;8</t>
  </si>
  <si>
    <t>11;9</t>
  </si>
  <si>
    <t>11;10</t>
  </si>
  <si>
    <t>11;11</t>
  </si>
  <si>
    <t>11;12</t>
  </si>
  <si>
    <t>11;13</t>
  </si>
  <si>
    <t>11;14</t>
  </si>
  <si>
    <t>11;15</t>
  </si>
  <si>
    <t>11;16</t>
  </si>
  <si>
    <t>11;17</t>
  </si>
  <si>
    <t>11;18</t>
  </si>
  <si>
    <t>11;19</t>
  </si>
  <si>
    <t>11;20</t>
  </si>
  <si>
    <t>11;21</t>
  </si>
  <si>
    <t>11;22</t>
  </si>
  <si>
    <t>11;23</t>
  </si>
  <si>
    <t>10;-15</t>
  </si>
  <si>
    <t>10;-14</t>
  </si>
  <si>
    <t>10;-13</t>
  </si>
  <si>
    <t>10;-12</t>
  </si>
  <si>
    <t>10;-11</t>
  </si>
  <si>
    <t>10;-10</t>
  </si>
  <si>
    <t>10;-9</t>
  </si>
  <si>
    <t>10;-8</t>
  </si>
  <si>
    <t>10;-7</t>
  </si>
  <si>
    <t>10;-6</t>
  </si>
  <si>
    <t>10;-5</t>
  </si>
  <si>
    <t>10;-4</t>
  </si>
  <si>
    <t>10;-3</t>
  </si>
  <si>
    <t>10;-2</t>
  </si>
  <si>
    <t>10;-1</t>
  </si>
  <si>
    <t>10;0</t>
  </si>
  <si>
    <t>10;1</t>
  </si>
  <si>
    <t>10;2</t>
  </si>
  <si>
    <t>10;3</t>
  </si>
  <si>
    <t>10;4</t>
  </si>
  <si>
    <t>10;5</t>
  </si>
  <si>
    <t>10;6</t>
  </si>
  <si>
    <t>10;7</t>
  </si>
  <si>
    <t>10;8</t>
  </si>
  <si>
    <t>10;9</t>
  </si>
  <si>
    <t>10;10</t>
  </si>
  <si>
    <t>10;11</t>
  </si>
  <si>
    <t>10;12</t>
  </si>
  <si>
    <t>10;13</t>
  </si>
  <si>
    <t>10;14</t>
  </si>
  <si>
    <t>10;15</t>
  </si>
  <si>
    <t>10;16</t>
  </si>
  <si>
    <t>10;17</t>
  </si>
  <si>
    <t>10;18</t>
  </si>
  <si>
    <t>10;19</t>
  </si>
  <si>
    <t>10;20</t>
  </si>
  <si>
    <t>10;21</t>
  </si>
  <si>
    <t>10;22</t>
  </si>
  <si>
    <t>10;23</t>
  </si>
  <si>
    <t>9;-15</t>
  </si>
  <si>
    <t>9;-14</t>
  </si>
  <si>
    <t>9;-13</t>
  </si>
  <si>
    <t>9;-12</t>
  </si>
  <si>
    <t>9;-11</t>
  </si>
  <si>
    <t>9;-10</t>
  </si>
  <si>
    <t>9;-9</t>
  </si>
  <si>
    <t>9;-8</t>
  </si>
  <si>
    <t>9;-7</t>
  </si>
  <si>
    <t>9;-6</t>
  </si>
  <si>
    <t>9;-5</t>
  </si>
  <si>
    <t>9;-4</t>
  </si>
  <si>
    <t>9;-3</t>
  </si>
  <si>
    <t>9;-2</t>
  </si>
  <si>
    <t>9;-1</t>
  </si>
  <si>
    <t>9;0</t>
  </si>
  <si>
    <t>9;1</t>
  </si>
  <si>
    <t>9;2</t>
  </si>
  <si>
    <t>9;3</t>
  </si>
  <si>
    <t>9;4</t>
  </si>
  <si>
    <t>9;5</t>
  </si>
  <si>
    <t>9;6</t>
  </si>
  <si>
    <t>9;7</t>
  </si>
  <si>
    <t>9;8</t>
  </si>
  <si>
    <t>9;9</t>
  </si>
  <si>
    <t>9;10</t>
  </si>
  <si>
    <t>9;11</t>
  </si>
  <si>
    <t>9;12</t>
  </si>
  <si>
    <t>9;13</t>
  </si>
  <si>
    <t>9;14</t>
  </si>
  <si>
    <t>9;15</t>
  </si>
  <si>
    <t>9;16</t>
  </si>
  <si>
    <t>9;17</t>
  </si>
  <si>
    <t>9;18</t>
  </si>
  <si>
    <t>9;19</t>
  </si>
  <si>
    <t>9;20</t>
  </si>
  <si>
    <t>9;21</t>
  </si>
  <si>
    <t>9;22</t>
  </si>
  <si>
    <t>9;23</t>
  </si>
  <si>
    <t>8;-15</t>
  </si>
  <si>
    <t>8;-14</t>
  </si>
  <si>
    <t>8;-13</t>
  </si>
  <si>
    <t>8;-12</t>
  </si>
  <si>
    <t>8;-11</t>
  </si>
  <si>
    <t>8;-10</t>
  </si>
  <si>
    <t>8;-9</t>
  </si>
  <si>
    <t>8;-8</t>
  </si>
  <si>
    <t>8;-7</t>
  </si>
  <si>
    <t>8;-6</t>
  </si>
  <si>
    <t>8;-5</t>
  </si>
  <si>
    <t>8;-4</t>
  </si>
  <si>
    <t>8;-3</t>
  </si>
  <si>
    <t>8;-2</t>
  </si>
  <si>
    <t>8;-1</t>
  </si>
  <si>
    <t>8;0</t>
  </si>
  <si>
    <t>8;1</t>
  </si>
  <si>
    <t>8;2</t>
  </si>
  <si>
    <t>8;3</t>
  </si>
  <si>
    <t>8;4</t>
  </si>
  <si>
    <t>8;5</t>
  </si>
  <si>
    <t>8;6</t>
  </si>
  <si>
    <t>8;7</t>
  </si>
  <si>
    <t>8;8</t>
  </si>
  <si>
    <t>8;9</t>
  </si>
  <si>
    <t>8;10</t>
  </si>
  <si>
    <t>8;11</t>
  </si>
  <si>
    <t>8;12</t>
  </si>
  <si>
    <t>8;13</t>
  </si>
  <si>
    <t>8;14</t>
  </si>
  <si>
    <t>8;15</t>
  </si>
  <si>
    <t>8;16</t>
  </si>
  <si>
    <t>8;17</t>
  </si>
  <si>
    <t>8;18</t>
  </si>
  <si>
    <t>8;19</t>
  </si>
  <si>
    <t>8;20</t>
  </si>
  <si>
    <t>8;21</t>
  </si>
  <si>
    <t>8;22</t>
  </si>
  <si>
    <t>8;23</t>
  </si>
  <si>
    <t>7;-15</t>
  </si>
  <si>
    <t>7;-14</t>
  </si>
  <si>
    <t>7;-13</t>
  </si>
  <si>
    <t>7;-12</t>
  </si>
  <si>
    <t>7;-11</t>
  </si>
  <si>
    <t>7;-10</t>
  </si>
  <si>
    <t>7;-9</t>
  </si>
  <si>
    <t>7;-8</t>
  </si>
  <si>
    <t>7;-7</t>
  </si>
  <si>
    <t>7;-6</t>
  </si>
  <si>
    <t>7;-5</t>
  </si>
  <si>
    <t>7;-4</t>
  </si>
  <si>
    <t>7;-3</t>
  </si>
  <si>
    <t>7;-2</t>
  </si>
  <si>
    <t>7;-1</t>
  </si>
  <si>
    <t>7;0</t>
  </si>
  <si>
    <t>7;1</t>
  </si>
  <si>
    <t>7;2</t>
  </si>
  <si>
    <t>7;3</t>
  </si>
  <si>
    <t>7;4</t>
  </si>
  <si>
    <t>7;5</t>
  </si>
  <si>
    <t>7;6</t>
  </si>
  <si>
    <t>7;7</t>
  </si>
  <si>
    <t>7;8</t>
  </si>
  <si>
    <t>7;9</t>
  </si>
  <si>
    <t>7;10</t>
  </si>
  <si>
    <t>7;11</t>
  </si>
  <si>
    <t>7;12</t>
  </si>
  <si>
    <t>7;13</t>
  </si>
  <si>
    <t>7;14</t>
  </si>
  <si>
    <t>7;15</t>
  </si>
  <si>
    <t>7;16</t>
  </si>
  <si>
    <t>7;17</t>
  </si>
  <si>
    <t>7;18</t>
  </si>
  <si>
    <t>7;19</t>
  </si>
  <si>
    <t>7;20</t>
  </si>
  <si>
    <t>7;21</t>
  </si>
  <si>
    <t>7;22</t>
  </si>
  <si>
    <t>7;23</t>
  </si>
  <si>
    <t>6;-15</t>
  </si>
  <si>
    <t>6;-14</t>
  </si>
  <si>
    <t>6;-13</t>
  </si>
  <si>
    <t>6;-12</t>
  </si>
  <si>
    <t>6;-11</t>
  </si>
  <si>
    <t>6;-10</t>
  </si>
  <si>
    <t>6;-9</t>
  </si>
  <si>
    <t>6;-8</t>
  </si>
  <si>
    <t>6;-7</t>
  </si>
  <si>
    <t>6;-6</t>
  </si>
  <si>
    <t>6;-5</t>
  </si>
  <si>
    <t>6;-4</t>
  </si>
  <si>
    <t>6;-3</t>
  </si>
  <si>
    <t>6;-2</t>
  </si>
  <si>
    <t>6;-1</t>
  </si>
  <si>
    <t>6;0</t>
  </si>
  <si>
    <t>6;1</t>
  </si>
  <si>
    <t>6;2</t>
  </si>
  <si>
    <t>6;3</t>
  </si>
  <si>
    <t>6;4</t>
  </si>
  <si>
    <t>6;5</t>
  </si>
  <si>
    <t>6;6</t>
  </si>
  <si>
    <t>6;7</t>
  </si>
  <si>
    <t>6;8</t>
  </si>
  <si>
    <t>6;9</t>
  </si>
  <si>
    <t>6;10</t>
  </si>
  <si>
    <t>6;11</t>
  </si>
  <si>
    <t>6;12</t>
  </si>
  <si>
    <t>6;13</t>
  </si>
  <si>
    <t>6;14</t>
  </si>
  <si>
    <t>6;15</t>
  </si>
  <si>
    <t>6;16</t>
  </si>
  <si>
    <t>6;17</t>
  </si>
  <si>
    <t>6;18</t>
  </si>
  <si>
    <t>6;19</t>
  </si>
  <si>
    <t>6;20</t>
  </si>
  <si>
    <t>6;21</t>
  </si>
  <si>
    <t>6;22</t>
  </si>
  <si>
    <t>6;23</t>
  </si>
  <si>
    <t>5;-15</t>
  </si>
  <si>
    <t>5;-14</t>
  </si>
  <si>
    <t>5;-13</t>
  </si>
  <si>
    <t>5;-12</t>
  </si>
  <si>
    <t>5;-11</t>
  </si>
  <si>
    <t>5;-10</t>
  </si>
  <si>
    <t>5;-9</t>
  </si>
  <si>
    <t>5;-8</t>
  </si>
  <si>
    <t>5;-7</t>
  </si>
  <si>
    <t>5;-6</t>
  </si>
  <si>
    <t>5;-5</t>
  </si>
  <si>
    <t>5;-4</t>
  </si>
  <si>
    <t>5;-3</t>
  </si>
  <si>
    <t>5;-2</t>
  </si>
  <si>
    <t>5;-1</t>
  </si>
  <si>
    <t>5;0</t>
  </si>
  <si>
    <t>5;1</t>
  </si>
  <si>
    <t>5;2</t>
  </si>
  <si>
    <t>5;3</t>
  </si>
  <si>
    <t>5;4</t>
  </si>
  <si>
    <t>5;5</t>
  </si>
  <si>
    <t>5;6</t>
  </si>
  <si>
    <t>5;7</t>
  </si>
  <si>
    <t>5;8</t>
  </si>
  <si>
    <t>5;9</t>
  </si>
  <si>
    <t>5;10</t>
  </si>
  <si>
    <t>5;11</t>
  </si>
  <si>
    <t>5;12</t>
  </si>
  <si>
    <t>5;13</t>
  </si>
  <si>
    <t>5;14</t>
  </si>
  <si>
    <t>5;15</t>
  </si>
  <si>
    <t>5;16</t>
  </si>
  <si>
    <t>5;17</t>
  </si>
  <si>
    <t>5;18</t>
  </si>
  <si>
    <t>5;19</t>
  </si>
  <si>
    <t>5;20</t>
  </si>
  <si>
    <t>5;21</t>
  </si>
  <si>
    <t>5;22</t>
  </si>
  <si>
    <t>5;23</t>
  </si>
  <si>
    <t>4;-15</t>
  </si>
  <si>
    <t>4;-14</t>
  </si>
  <si>
    <t>4;-13</t>
  </si>
  <si>
    <t>4;-12</t>
  </si>
  <si>
    <t>4;-11</t>
  </si>
  <si>
    <t>4;-10</t>
  </si>
  <si>
    <t>4;-9</t>
  </si>
  <si>
    <t>4;-8</t>
  </si>
  <si>
    <t>4;-7</t>
  </si>
  <si>
    <t>4;-6</t>
  </si>
  <si>
    <t>4;-5</t>
  </si>
  <si>
    <t>4;-4</t>
  </si>
  <si>
    <t>4;-3</t>
  </si>
  <si>
    <t>4;-2</t>
  </si>
  <si>
    <t>4;-1</t>
  </si>
  <si>
    <t>4;0</t>
  </si>
  <si>
    <t>4;1</t>
  </si>
  <si>
    <t>4;2</t>
  </si>
  <si>
    <t>4;3</t>
  </si>
  <si>
    <t>4;4</t>
  </si>
  <si>
    <t>4;5</t>
  </si>
  <si>
    <t>4;6</t>
  </si>
  <si>
    <t>4;7</t>
  </si>
  <si>
    <t>4;8</t>
  </si>
  <si>
    <t>4;9</t>
  </si>
  <si>
    <t>4;10</t>
  </si>
  <si>
    <t>4;11</t>
  </si>
  <si>
    <t>4;12</t>
  </si>
  <si>
    <t>4;13</t>
  </si>
  <si>
    <t>4;14</t>
  </si>
  <si>
    <t>4;15</t>
  </si>
  <si>
    <t>4;16</t>
  </si>
  <si>
    <t>4;17</t>
  </si>
  <si>
    <t>4;18</t>
  </si>
  <si>
    <t>4;19</t>
  </si>
  <si>
    <t>4;20</t>
  </si>
  <si>
    <t>4;21</t>
  </si>
  <si>
    <t>4;22</t>
  </si>
  <si>
    <t>4;23</t>
  </si>
  <si>
    <t>3;-15</t>
  </si>
  <si>
    <t>3;-14</t>
  </si>
  <si>
    <t>3;-13</t>
  </si>
  <si>
    <t>3;-12</t>
  </si>
  <si>
    <t>3;-11</t>
  </si>
  <si>
    <t>3;-10</t>
  </si>
  <si>
    <t>3;-9</t>
  </si>
  <si>
    <t>3;-8</t>
  </si>
  <si>
    <t>3;-7</t>
  </si>
  <si>
    <t>3;-6</t>
  </si>
  <si>
    <t>3;-5</t>
  </si>
  <si>
    <t>3;-4</t>
  </si>
  <si>
    <t>3;-3</t>
  </si>
  <si>
    <t>3;-2</t>
  </si>
  <si>
    <t>3;-1</t>
  </si>
  <si>
    <t>3;0</t>
  </si>
  <si>
    <t>3;1</t>
  </si>
  <si>
    <t>3;2</t>
  </si>
  <si>
    <t>3;3</t>
  </si>
  <si>
    <t>3;4</t>
  </si>
  <si>
    <t>3;5</t>
  </si>
  <si>
    <t>3;6</t>
  </si>
  <si>
    <t>3;7</t>
  </si>
  <si>
    <t>3;8</t>
  </si>
  <si>
    <t>3;9</t>
  </si>
  <si>
    <t>3;10</t>
  </si>
  <si>
    <t>3;11</t>
  </si>
  <si>
    <t>3;12</t>
  </si>
  <si>
    <t>3;13</t>
  </si>
  <si>
    <t>3;14</t>
  </si>
  <si>
    <t>3;15</t>
  </si>
  <si>
    <t>3;16</t>
  </si>
  <si>
    <t>3;17</t>
  </si>
  <si>
    <t>3;18</t>
  </si>
  <si>
    <t>3;19</t>
  </si>
  <si>
    <t>3;20</t>
  </si>
  <si>
    <t>3;21</t>
  </si>
  <si>
    <t>3;22</t>
  </si>
  <si>
    <t>3;23</t>
  </si>
  <si>
    <t>2;-15</t>
  </si>
  <si>
    <t>2;-14</t>
  </si>
  <si>
    <t>2;-13</t>
  </si>
  <si>
    <t>2;-12</t>
  </si>
  <si>
    <t>2;-11</t>
  </si>
  <si>
    <t>2;-10</t>
  </si>
  <si>
    <t>2;-9</t>
  </si>
  <si>
    <t>2;-8</t>
  </si>
  <si>
    <t>2;-7</t>
  </si>
  <si>
    <t>2;-6</t>
  </si>
  <si>
    <t>2;-5</t>
  </si>
  <si>
    <t>2;-4</t>
  </si>
  <si>
    <t>2;-3</t>
  </si>
  <si>
    <t>2;-2</t>
  </si>
  <si>
    <t>2;-1</t>
  </si>
  <si>
    <t>2;0</t>
  </si>
  <si>
    <t>2;1</t>
  </si>
  <si>
    <t>2;2</t>
  </si>
  <si>
    <t>2;3</t>
  </si>
  <si>
    <t>2;4</t>
  </si>
  <si>
    <t>2;5</t>
  </si>
  <si>
    <t>2;6</t>
  </si>
  <si>
    <t>2;7</t>
  </si>
  <si>
    <t>2;8</t>
  </si>
  <si>
    <t>2;9</t>
  </si>
  <si>
    <t>2;10</t>
  </si>
  <si>
    <t>2;11</t>
  </si>
  <si>
    <t>2;12</t>
  </si>
  <si>
    <t>2;13</t>
  </si>
  <si>
    <t>2;14</t>
  </si>
  <si>
    <t>2;15</t>
  </si>
  <si>
    <t>2;16</t>
  </si>
  <si>
    <t>2;17</t>
  </si>
  <si>
    <t>2;18</t>
  </si>
  <si>
    <t>2;19</t>
  </si>
  <si>
    <t>2;20</t>
  </si>
  <si>
    <t>2;21</t>
  </si>
  <si>
    <t>2;22</t>
  </si>
  <si>
    <t>2;23</t>
  </si>
  <si>
    <t>1;-15</t>
  </si>
  <si>
    <t>1;-14</t>
  </si>
  <si>
    <t>1;-13</t>
  </si>
  <si>
    <t>1;-12</t>
  </si>
  <si>
    <t>1;-11</t>
  </si>
  <si>
    <t>1;-10</t>
  </si>
  <si>
    <t>1;-9</t>
  </si>
  <si>
    <t>1;-8</t>
  </si>
  <si>
    <t>1;-7</t>
  </si>
  <si>
    <t>1;-6</t>
  </si>
  <si>
    <t>1;-5</t>
  </si>
  <si>
    <t>1;-4</t>
  </si>
  <si>
    <t>1;-3</t>
  </si>
  <si>
    <t>1;-2</t>
  </si>
  <si>
    <t>1;-1</t>
  </si>
  <si>
    <t>1;0</t>
  </si>
  <si>
    <t>1;1</t>
  </si>
  <si>
    <t>1;2</t>
  </si>
  <si>
    <t>1;3</t>
  </si>
  <si>
    <t>1;4</t>
  </si>
  <si>
    <t>1;5</t>
  </si>
  <si>
    <t>1;6</t>
  </si>
  <si>
    <t>1;7</t>
  </si>
  <si>
    <t>1;8</t>
  </si>
  <si>
    <t>1;9</t>
  </si>
  <si>
    <t>1;10</t>
  </si>
  <si>
    <t>1;11</t>
  </si>
  <si>
    <t>1;12</t>
  </si>
  <si>
    <t>1;13</t>
  </si>
  <si>
    <t>1;14</t>
  </si>
  <si>
    <t>1;15</t>
  </si>
  <si>
    <t>1;16</t>
  </si>
  <si>
    <t>1;17</t>
  </si>
  <si>
    <t>1;18</t>
  </si>
  <si>
    <t>1;19</t>
  </si>
  <si>
    <t>1;20</t>
  </si>
  <si>
    <t>1;21</t>
  </si>
  <si>
    <t>1;22</t>
  </si>
  <si>
    <t>1;23</t>
  </si>
  <si>
    <t>0;-15</t>
  </si>
  <si>
    <t>0;-14</t>
  </si>
  <si>
    <t>0;-13</t>
  </si>
  <si>
    <t>0;-12</t>
  </si>
  <si>
    <t>0;-11</t>
  </si>
  <si>
    <t>0;-10</t>
  </si>
  <si>
    <t>0;-9</t>
  </si>
  <si>
    <t>0;-8</t>
  </si>
  <si>
    <t>0;-7</t>
  </si>
  <si>
    <t>0;-6</t>
  </si>
  <si>
    <t>0;-5</t>
  </si>
  <si>
    <t>0;-4</t>
  </si>
  <si>
    <t>0;-3</t>
  </si>
  <si>
    <t>0;-2</t>
  </si>
  <si>
    <t>0;-1</t>
  </si>
  <si>
    <t>0;0</t>
  </si>
  <si>
    <t>0;1</t>
  </si>
  <si>
    <t>0;2</t>
  </si>
  <si>
    <t>0;3</t>
  </si>
  <si>
    <t>0;4</t>
  </si>
  <si>
    <t>0;5</t>
  </si>
  <si>
    <t>0;6</t>
  </si>
  <si>
    <t>0;7</t>
  </si>
  <si>
    <t>0;8</t>
  </si>
  <si>
    <t>0;9</t>
  </si>
  <si>
    <t>0;10</t>
  </si>
  <si>
    <t>0;11</t>
  </si>
  <si>
    <t>0;12</t>
  </si>
  <si>
    <t>0;13</t>
  </si>
  <si>
    <t>0;14</t>
  </si>
  <si>
    <t>0;15</t>
  </si>
  <si>
    <t>0;16</t>
  </si>
  <si>
    <t>0;17</t>
  </si>
  <si>
    <t>0;18</t>
  </si>
  <si>
    <t>0;19</t>
  </si>
  <si>
    <t>0;20</t>
  </si>
  <si>
    <t>0;21</t>
  </si>
  <si>
    <t>0;22</t>
  </si>
  <si>
    <t>0;23</t>
  </si>
  <si>
    <t>-1;-15</t>
  </si>
  <si>
    <t>-1;-14</t>
  </si>
  <si>
    <t>-1;-13</t>
  </si>
  <si>
    <t>-1;-12</t>
  </si>
  <si>
    <t>-1;-11</t>
  </si>
  <si>
    <t>-1;-10</t>
  </si>
  <si>
    <t>-1;-9</t>
  </si>
  <si>
    <t>-1;-8</t>
  </si>
  <si>
    <t>-1;-7</t>
  </si>
  <si>
    <t>-1;-6</t>
  </si>
  <si>
    <t>-1;-5</t>
  </si>
  <si>
    <t>-1;-4</t>
  </si>
  <si>
    <t>-1;-3</t>
  </si>
  <si>
    <t>-1;-2</t>
  </si>
  <si>
    <t>-1;-1</t>
  </si>
  <si>
    <t>-1;0</t>
  </si>
  <si>
    <t>-1;1</t>
  </si>
  <si>
    <t>-1;2</t>
  </si>
  <si>
    <t>-1;3</t>
  </si>
  <si>
    <t>-1;4</t>
  </si>
  <si>
    <t>-1;5</t>
  </si>
  <si>
    <t>-1;6</t>
  </si>
  <si>
    <t>-1;7</t>
  </si>
  <si>
    <t>-1;8</t>
  </si>
  <si>
    <t>-1;9</t>
  </si>
  <si>
    <t>-1;10</t>
  </si>
  <si>
    <t>-1;11</t>
  </si>
  <si>
    <t>-1;12</t>
  </si>
  <si>
    <t>-1;13</t>
  </si>
  <si>
    <t>-1;14</t>
  </si>
  <si>
    <t>-1;15</t>
  </si>
  <si>
    <t>-1;16</t>
  </si>
  <si>
    <t>-1;17</t>
  </si>
  <si>
    <t>-1;18</t>
  </si>
  <si>
    <t>-1;19</t>
  </si>
  <si>
    <t>-1;20</t>
  </si>
  <si>
    <t>-1;21</t>
  </si>
  <si>
    <t>-1;22</t>
  </si>
  <si>
    <t>-1;23</t>
  </si>
  <si>
    <t>-2;-15</t>
  </si>
  <si>
    <t>-2;-14</t>
  </si>
  <si>
    <t>-2;-13</t>
  </si>
  <si>
    <t>-2;-12</t>
  </si>
  <si>
    <t>-2;-11</t>
  </si>
  <si>
    <t>-2;-10</t>
  </si>
  <si>
    <t>-2;-9</t>
  </si>
  <si>
    <t>-2;-8</t>
  </si>
  <si>
    <t>-2;-7</t>
  </si>
  <si>
    <t>-2;-6</t>
  </si>
  <si>
    <t>-2;-5</t>
  </si>
  <si>
    <t>-2;-4</t>
  </si>
  <si>
    <t>-2;-3</t>
  </si>
  <si>
    <t>-2;-2</t>
  </si>
  <si>
    <t>-2;-1</t>
  </si>
  <si>
    <t>-2;0</t>
  </si>
  <si>
    <t>-2;1</t>
  </si>
  <si>
    <t>-2;2</t>
  </si>
  <si>
    <t>-2;3</t>
  </si>
  <si>
    <t>-2;4</t>
  </si>
  <si>
    <t>-2;5</t>
  </si>
  <si>
    <t>-2;6</t>
  </si>
  <si>
    <t>-2;7</t>
  </si>
  <si>
    <t>-2;8</t>
  </si>
  <si>
    <t>-2;9</t>
  </si>
  <si>
    <t>-2;10</t>
  </si>
  <si>
    <t>-2;11</t>
  </si>
  <si>
    <t>-2;12</t>
  </si>
  <si>
    <t>-2;13</t>
  </si>
  <si>
    <t>-2;14</t>
  </si>
  <si>
    <t>-2;15</t>
  </si>
  <si>
    <t>-2;16</t>
  </si>
  <si>
    <t>-2;17</t>
  </si>
  <si>
    <t>-2;18</t>
  </si>
  <si>
    <t>-2;19</t>
  </si>
  <si>
    <t>-2;20</t>
  </si>
  <si>
    <t>-2;21</t>
  </si>
  <si>
    <t>-2;22</t>
  </si>
  <si>
    <t>-2;23</t>
  </si>
  <si>
    <t>-3;-15</t>
  </si>
  <si>
    <t>-3;-14</t>
  </si>
  <si>
    <t>-3;-13</t>
  </si>
  <si>
    <t>-3;-12</t>
  </si>
  <si>
    <t>-3;-11</t>
  </si>
  <si>
    <t>-3;-10</t>
  </si>
  <si>
    <t>-3;-9</t>
  </si>
  <si>
    <t>-3;-8</t>
  </si>
  <si>
    <t>-3;-7</t>
  </si>
  <si>
    <t>-3;-6</t>
  </si>
  <si>
    <t>-3;-5</t>
  </si>
  <si>
    <t>-3;-4</t>
  </si>
  <si>
    <t>-3;-3</t>
  </si>
  <si>
    <t>-3;-2</t>
  </si>
  <si>
    <t>-3;-1</t>
  </si>
  <si>
    <t>-3;0</t>
  </si>
  <si>
    <t>-3;1</t>
  </si>
  <si>
    <t>-3;2</t>
  </si>
  <si>
    <t>-3;3</t>
  </si>
  <si>
    <t>-3;4</t>
  </si>
  <si>
    <t>-3;5</t>
  </si>
  <si>
    <t>-3;6</t>
  </si>
  <si>
    <t>-3;7</t>
  </si>
  <si>
    <t>-3;8</t>
  </si>
  <si>
    <t>-3;9</t>
  </si>
  <si>
    <t>-3;10</t>
  </si>
  <si>
    <t>-3;11</t>
  </si>
  <si>
    <t>-3;12</t>
  </si>
  <si>
    <t>-3;13</t>
  </si>
  <si>
    <t>-3;14</t>
  </si>
  <si>
    <t>-3;15</t>
  </si>
  <si>
    <t>-3;16</t>
  </si>
  <si>
    <t>-3;17</t>
  </si>
  <si>
    <t>-3;18</t>
  </si>
  <si>
    <t>-3;19</t>
  </si>
  <si>
    <t>-3;20</t>
  </si>
  <si>
    <t>-3;21</t>
  </si>
  <si>
    <t>-3;22</t>
  </si>
  <si>
    <t>-3;23</t>
  </si>
  <si>
    <t>-4;-15</t>
  </si>
  <si>
    <t>-4;-14</t>
  </si>
  <si>
    <t>-4;-13</t>
  </si>
  <si>
    <t>-4;-12</t>
  </si>
  <si>
    <t>-4;-11</t>
  </si>
  <si>
    <t>-4;-10</t>
  </si>
  <si>
    <t>-4;-9</t>
  </si>
  <si>
    <t>-4;-8</t>
  </si>
  <si>
    <t>-4;-7</t>
  </si>
  <si>
    <t>-4;-6</t>
  </si>
  <si>
    <t>-4;-5</t>
  </si>
  <si>
    <t>-4;-4</t>
  </si>
  <si>
    <t>-4;-3</t>
  </si>
  <si>
    <t>-4;-2</t>
  </si>
  <si>
    <t>-4;-1</t>
  </si>
  <si>
    <t>-4;0</t>
  </si>
  <si>
    <t>-4;1</t>
  </si>
  <si>
    <t>-4;2</t>
  </si>
  <si>
    <t>-4;3</t>
  </si>
  <si>
    <t>-4;4</t>
  </si>
  <si>
    <t>-4;5</t>
  </si>
  <si>
    <t>-4;6</t>
  </si>
  <si>
    <t>-4;7</t>
  </si>
  <si>
    <t>-4;8</t>
  </si>
  <si>
    <t>-4;9</t>
  </si>
  <si>
    <t>-4;10</t>
  </si>
  <si>
    <t>-4;11</t>
  </si>
  <si>
    <t>-4;12</t>
  </si>
  <si>
    <t>-4;13</t>
  </si>
  <si>
    <t>-4;14</t>
  </si>
  <si>
    <t>-4;15</t>
  </si>
  <si>
    <t>-4;16</t>
  </si>
  <si>
    <t>-4;17</t>
  </si>
  <si>
    <t>-4;18</t>
  </si>
  <si>
    <t>-4;19</t>
  </si>
  <si>
    <t>-4;20</t>
  </si>
  <si>
    <t>-4;21</t>
  </si>
  <si>
    <t>-4;22</t>
  </si>
  <si>
    <t>-4;23</t>
  </si>
  <si>
    <t>-5;-15</t>
  </si>
  <si>
    <t>-5;-14</t>
  </si>
  <si>
    <t>-5;-13</t>
  </si>
  <si>
    <t>-5;-12</t>
  </si>
  <si>
    <t>-5;-11</t>
  </si>
  <si>
    <t>-5;-10</t>
  </si>
  <si>
    <t>-5;-9</t>
  </si>
  <si>
    <t>-5;-8</t>
  </si>
  <si>
    <t>-5;-7</t>
  </si>
  <si>
    <t>-5;-6</t>
  </si>
  <si>
    <t>-5;-5</t>
  </si>
  <si>
    <t>-5;-4</t>
  </si>
  <si>
    <t>-5;-3</t>
  </si>
  <si>
    <t>-5;-2</t>
  </si>
  <si>
    <t>-5;-1</t>
  </si>
  <si>
    <t>-5;0</t>
  </si>
  <si>
    <t>-5;1</t>
  </si>
  <si>
    <t>-5;2</t>
  </si>
  <si>
    <t>-5;3</t>
  </si>
  <si>
    <t>-5;4</t>
  </si>
  <si>
    <t>-5;5</t>
  </si>
  <si>
    <t>-5;6</t>
  </si>
  <si>
    <t>-5;7</t>
  </si>
  <si>
    <t>-5;8</t>
  </si>
  <si>
    <t>-5;9</t>
  </si>
  <si>
    <t>-5;10</t>
  </si>
  <si>
    <t>-5;11</t>
  </si>
  <si>
    <t>-5;12</t>
  </si>
  <si>
    <t>-5;13</t>
  </si>
  <si>
    <t>-5;14</t>
  </si>
  <si>
    <t>-5;15</t>
  </si>
  <si>
    <t>-5;16</t>
  </si>
  <si>
    <t>-5;17</t>
  </si>
  <si>
    <t>-5;18</t>
  </si>
  <si>
    <t>-5;19</t>
  </si>
  <si>
    <t>-5;20</t>
  </si>
  <si>
    <t>-5;21</t>
  </si>
  <si>
    <t>-5;22</t>
  </si>
  <si>
    <t>-5;23</t>
  </si>
  <si>
    <t>-6;-15</t>
  </si>
  <si>
    <t>-6;-14</t>
  </si>
  <si>
    <t>-6;-13</t>
  </si>
  <si>
    <t>-6;-12</t>
  </si>
  <si>
    <t>-6;-11</t>
  </si>
  <si>
    <t>-6;-10</t>
  </si>
  <si>
    <t>-6;-9</t>
  </si>
  <si>
    <t>-6;-8</t>
  </si>
  <si>
    <t>-6;-7</t>
  </si>
  <si>
    <t>-6;-6</t>
  </si>
  <si>
    <t>-6;-5</t>
  </si>
  <si>
    <t>-6;-4</t>
  </si>
  <si>
    <t>-6;-3</t>
  </si>
  <si>
    <t>-6;-2</t>
  </si>
  <si>
    <t>-6;-1</t>
  </si>
  <si>
    <t>-6;0</t>
  </si>
  <si>
    <t>-6;1</t>
  </si>
  <si>
    <t>-6;2</t>
  </si>
  <si>
    <t>-6;3</t>
  </si>
  <si>
    <t>-6;4</t>
  </si>
  <si>
    <t>-6;5</t>
  </si>
  <si>
    <t>-6;6</t>
  </si>
  <si>
    <t>-6;7</t>
  </si>
  <si>
    <t>-6;8</t>
  </si>
  <si>
    <t>-6;9</t>
  </si>
  <si>
    <t>-6;10</t>
  </si>
  <si>
    <t>-6;11</t>
  </si>
  <si>
    <t>-6;12</t>
  </si>
  <si>
    <t>-6;13</t>
  </si>
  <si>
    <t>-6;14</t>
  </si>
  <si>
    <t>-6;15</t>
  </si>
  <si>
    <t>-6;16</t>
  </si>
  <si>
    <t>-6;17</t>
  </si>
  <si>
    <t>-6;18</t>
  </si>
  <si>
    <t>-6;19</t>
  </si>
  <si>
    <t>-6;20</t>
  </si>
  <si>
    <t>-6;21</t>
  </si>
  <si>
    <t>-6;22</t>
  </si>
  <si>
    <t>-6;23</t>
  </si>
  <si>
    <t>-7;-15</t>
  </si>
  <si>
    <t>-7;-14</t>
  </si>
  <si>
    <t>-7;-13</t>
  </si>
  <si>
    <t>-7;-12</t>
  </si>
  <si>
    <t>-7;-11</t>
  </si>
  <si>
    <t>-7;-10</t>
  </si>
  <si>
    <t>-7;-9</t>
  </si>
  <si>
    <t>-7;-8</t>
  </si>
  <si>
    <t>-7;-7</t>
  </si>
  <si>
    <t>-7;-6</t>
  </si>
  <si>
    <t>-7;-5</t>
  </si>
  <si>
    <t>-7;-4</t>
  </si>
  <si>
    <t>-7;-3</t>
  </si>
  <si>
    <t>-7;-2</t>
  </si>
  <si>
    <t>-7;-1</t>
  </si>
  <si>
    <t>-7;0</t>
  </si>
  <si>
    <t>-7;1</t>
  </si>
  <si>
    <t>-7;2</t>
  </si>
  <si>
    <t>-7;3</t>
  </si>
  <si>
    <t>-7;4</t>
  </si>
  <si>
    <t>-7;5</t>
  </si>
  <si>
    <t>-7;6</t>
  </si>
  <si>
    <t>-7;7</t>
  </si>
  <si>
    <t>-7;8</t>
  </si>
  <si>
    <t>-7;9</t>
  </si>
  <si>
    <t>-7;10</t>
  </si>
  <si>
    <t>-7;11</t>
  </si>
  <si>
    <t>-7;12</t>
  </si>
  <si>
    <t>-7;13</t>
  </si>
  <si>
    <t>-7;14</t>
  </si>
  <si>
    <t>-7;15</t>
  </si>
  <si>
    <t>-7;16</t>
  </si>
  <si>
    <t>-7;17</t>
  </si>
  <si>
    <t>-7;18</t>
  </si>
  <si>
    <t>-7;19</t>
  </si>
  <si>
    <t>-7;20</t>
  </si>
  <si>
    <t>-7;21</t>
  </si>
  <si>
    <t>-7;22</t>
  </si>
  <si>
    <t>-8;-15</t>
  </si>
  <si>
    <t>-8;-14</t>
  </si>
  <si>
    <t>-8;-13</t>
  </si>
  <si>
    <t>-8;-12</t>
  </si>
  <si>
    <t>-8;-11</t>
  </si>
  <si>
    <t>-8;-10</t>
  </si>
  <si>
    <t>-8;-9</t>
  </si>
  <si>
    <t>-8;-8</t>
  </si>
  <si>
    <t>-8;-7</t>
  </si>
  <si>
    <t>-8;-6</t>
  </si>
  <si>
    <t>-8;-5</t>
  </si>
  <si>
    <t>-8;-4</t>
  </si>
  <si>
    <t>-8;-3</t>
  </si>
  <si>
    <t>-8;-2</t>
  </si>
  <si>
    <t>-8;-1</t>
  </si>
  <si>
    <t>-8;0</t>
  </si>
  <si>
    <t>-8;1</t>
  </si>
  <si>
    <t>-8;2</t>
  </si>
  <si>
    <t>-8;3</t>
  </si>
  <si>
    <t>-8;4</t>
  </si>
  <si>
    <t>-8;5</t>
  </si>
  <si>
    <t>-8;6</t>
  </si>
  <si>
    <t>-8;7</t>
  </si>
  <si>
    <t>-8;8</t>
  </si>
  <si>
    <t>-8;9</t>
  </si>
  <si>
    <t>-8;10</t>
  </si>
  <si>
    <t>-8;11</t>
  </si>
  <si>
    <t>-8;12</t>
  </si>
  <si>
    <t>-8;13</t>
  </si>
  <si>
    <t>-8;14</t>
  </si>
  <si>
    <t>-8;15</t>
  </si>
  <si>
    <t>-8;16</t>
  </si>
  <si>
    <t>-8;17</t>
  </si>
  <si>
    <t>-8;18</t>
  </si>
  <si>
    <t>-8;19</t>
  </si>
  <si>
    <t>-8;20</t>
  </si>
  <si>
    <t>-8;21</t>
  </si>
  <si>
    <t>-8;22</t>
  </si>
  <si>
    <t>-9;-15</t>
  </si>
  <si>
    <t>-9;-14</t>
  </si>
  <si>
    <t>-9;-13</t>
  </si>
  <si>
    <t>-9;-12</t>
  </si>
  <si>
    <t>-9;-11</t>
  </si>
  <si>
    <t>-9;-10</t>
  </si>
  <si>
    <t>-9;-9</t>
  </si>
  <si>
    <t>-9;-8</t>
  </si>
  <si>
    <t>-9;-7</t>
  </si>
  <si>
    <t>-9;-6</t>
  </si>
  <si>
    <t>-9;-5</t>
  </si>
  <si>
    <t>-9;-4</t>
  </si>
  <si>
    <t>-9;-3</t>
  </si>
  <si>
    <t>-9;-2</t>
  </si>
  <si>
    <t>-9;-1</t>
  </si>
  <si>
    <t>-9;0</t>
  </si>
  <si>
    <t>-9;1</t>
  </si>
  <si>
    <t>-9;2</t>
  </si>
  <si>
    <t>-9;3</t>
  </si>
  <si>
    <t>-9;4</t>
  </si>
  <si>
    <t>-9;5</t>
  </si>
  <si>
    <t>-9;6</t>
  </si>
  <si>
    <t>-9;7</t>
  </si>
  <si>
    <t>-9;8</t>
  </si>
  <si>
    <t>-9;9</t>
  </si>
  <si>
    <t>-9;10</t>
  </si>
  <si>
    <t>-9;11</t>
  </si>
  <si>
    <t>-9;12</t>
  </si>
  <si>
    <t>-9;13</t>
  </si>
  <si>
    <t>-9;14</t>
  </si>
  <si>
    <t>-9;15</t>
  </si>
  <si>
    <t>-9;16</t>
  </si>
  <si>
    <t>-9;17</t>
  </si>
  <si>
    <t>-9;18</t>
  </si>
  <si>
    <t>-9;19</t>
  </si>
  <si>
    <t>-9;20</t>
  </si>
  <si>
    <t>-9;21</t>
  </si>
  <si>
    <t>-10;-15</t>
  </si>
  <si>
    <t>-10;-14</t>
  </si>
  <si>
    <t>-10;-13</t>
  </si>
  <si>
    <t>-10;-12</t>
  </si>
  <si>
    <t>-10;-11</t>
  </si>
  <si>
    <t>-10;-10</t>
  </si>
  <si>
    <t>-10;-9</t>
  </si>
  <si>
    <t>-10;-8</t>
  </si>
  <si>
    <t>-10;-7</t>
  </si>
  <si>
    <t>-10;-6</t>
  </si>
  <si>
    <t>-10;-5</t>
  </si>
  <si>
    <t>-10;-4</t>
  </si>
  <si>
    <t>-10;-3</t>
  </si>
  <si>
    <t>-10;-2</t>
  </si>
  <si>
    <t>-10;-1</t>
  </si>
  <si>
    <t>-10;0</t>
  </si>
  <si>
    <t>-10;1</t>
  </si>
  <si>
    <t>-10;2</t>
  </si>
  <si>
    <t>-10;3</t>
  </si>
  <si>
    <t>-10;4</t>
  </si>
  <si>
    <t>-10;5</t>
  </si>
  <si>
    <t>-10;6</t>
  </si>
  <si>
    <t>-10;7</t>
  </si>
  <si>
    <t>-10;8</t>
  </si>
  <si>
    <t>-10;9</t>
  </si>
  <si>
    <t>-10;10</t>
  </si>
  <si>
    <t>-10;11</t>
  </si>
  <si>
    <t>-10;12</t>
  </si>
  <si>
    <t>-10;13</t>
  </si>
  <si>
    <t>-10;14</t>
  </si>
  <si>
    <t>-10;15</t>
  </si>
  <si>
    <t>-10;16</t>
  </si>
  <si>
    <t>-10;17</t>
  </si>
  <si>
    <t>-10;18</t>
  </si>
  <si>
    <t>-10;19</t>
  </si>
  <si>
    <t>-10;20</t>
  </si>
  <si>
    <t>-11;-15</t>
  </si>
  <si>
    <t>-11;-14</t>
  </si>
  <si>
    <t>-11;-13</t>
  </si>
  <si>
    <t>-11;-12</t>
  </si>
  <si>
    <t>-11;-11</t>
  </si>
  <si>
    <t>-11;-10</t>
  </si>
  <si>
    <t>-11;-9</t>
  </si>
  <si>
    <t>-11;-8</t>
  </si>
  <si>
    <t>-11;-7</t>
  </si>
  <si>
    <t>-11;-6</t>
  </si>
  <si>
    <t>-11;-5</t>
  </si>
  <si>
    <t>-11;-4</t>
  </si>
  <si>
    <t>-11;-3</t>
  </si>
  <si>
    <t>-11;-2</t>
  </si>
  <si>
    <t>-11;-1</t>
  </si>
  <si>
    <t>-11;0</t>
  </si>
  <si>
    <t>-11;1</t>
  </si>
  <si>
    <t>-11;2</t>
  </si>
  <si>
    <t>-11;3</t>
  </si>
  <si>
    <t>-11;4</t>
  </si>
  <si>
    <t>-11;5</t>
  </si>
  <si>
    <t>-11;6</t>
  </si>
  <si>
    <t>-11;7</t>
  </si>
  <si>
    <t>-11;8</t>
  </si>
  <si>
    <t>-11;9</t>
  </si>
  <si>
    <t>-11;10</t>
  </si>
  <si>
    <t>-11;11</t>
  </si>
  <si>
    <t>-11;12</t>
  </si>
  <si>
    <t>-11;13</t>
  </si>
  <si>
    <t>-11;14</t>
  </si>
  <si>
    <t>-11;15</t>
  </si>
  <si>
    <t>-11;16</t>
  </si>
  <si>
    <t>-11;17</t>
  </si>
  <si>
    <t>-11;18</t>
  </si>
  <si>
    <t>-11;19</t>
  </si>
  <si>
    <t>-12;-15</t>
  </si>
  <si>
    <t>-12;-14</t>
  </si>
  <si>
    <t>-12;-13</t>
  </si>
  <si>
    <t>-12;-12</t>
  </si>
  <si>
    <t>-12;-11</t>
  </si>
  <si>
    <t>-12;-10</t>
  </si>
  <si>
    <t>-12;-9</t>
  </si>
  <si>
    <t>-12;-8</t>
  </si>
  <si>
    <t>-12;-7</t>
  </si>
  <si>
    <t>-12;-6</t>
  </si>
  <si>
    <t>-12;-5</t>
  </si>
  <si>
    <t>-12;-4</t>
  </si>
  <si>
    <t>-12;-3</t>
  </si>
  <si>
    <t>-12;-2</t>
  </si>
  <si>
    <t>-12;-1</t>
  </si>
  <si>
    <t>-12;0</t>
  </si>
  <si>
    <t>-12;1</t>
  </si>
  <si>
    <t>-12;2</t>
  </si>
  <si>
    <t>-12;3</t>
  </si>
  <si>
    <t>-12;4</t>
  </si>
  <si>
    <t>-12;5</t>
  </si>
  <si>
    <t>-12;6</t>
  </si>
  <si>
    <t>-12;7</t>
  </si>
  <si>
    <t>-12;8</t>
  </si>
  <si>
    <t>-12;9</t>
  </si>
  <si>
    <t>-12;10</t>
  </si>
  <si>
    <t>-12;11</t>
  </si>
  <si>
    <t>-12;12</t>
  </si>
  <si>
    <t>-12;13</t>
  </si>
  <si>
    <t>-12;14</t>
  </si>
  <si>
    <t>-12;15</t>
  </si>
  <si>
    <t>-12;16</t>
  </si>
  <si>
    <t>-12;17</t>
  </si>
  <si>
    <t>-12;18</t>
  </si>
  <si>
    <t>-13;-14</t>
  </si>
  <si>
    <t>-13;-13</t>
  </si>
  <si>
    <t>-13;-12</t>
  </si>
  <si>
    <t>-13;-11</t>
  </si>
  <si>
    <t>-13;-10</t>
  </si>
  <si>
    <t>-13;-9</t>
  </si>
  <si>
    <t>-13;-8</t>
  </si>
  <si>
    <t>-13;-7</t>
  </si>
  <si>
    <t>-13;-6</t>
  </si>
  <si>
    <t>-13;-5</t>
  </si>
  <si>
    <t>-13;-4</t>
  </si>
  <si>
    <t>-13;-3</t>
  </si>
  <si>
    <t>-13;-2</t>
  </si>
  <si>
    <t>-13;-1</t>
  </si>
  <si>
    <t>-13;0</t>
  </si>
  <si>
    <t>-13;1</t>
  </si>
  <si>
    <t>-13;2</t>
  </si>
  <si>
    <t>-13;3</t>
  </si>
  <si>
    <t>-13;4</t>
  </si>
  <si>
    <t>-13;5</t>
  </si>
  <si>
    <t>-13;6</t>
  </si>
  <si>
    <t>-13;7</t>
  </si>
  <si>
    <t>-13;8</t>
  </si>
  <si>
    <t>-13;9</t>
  </si>
  <si>
    <t>-13;10</t>
  </si>
  <si>
    <t>-13;11</t>
  </si>
  <si>
    <t>-13;12</t>
  </si>
  <si>
    <t>-13;13</t>
  </si>
  <si>
    <t>-13;14</t>
  </si>
  <si>
    <t>-13;15</t>
  </si>
  <si>
    <t>-13;16</t>
  </si>
  <si>
    <t>-13;17</t>
  </si>
  <si>
    <t>-14;-14</t>
  </si>
  <si>
    <t>-14;-13</t>
  </si>
  <si>
    <t>-14;-12</t>
  </si>
  <si>
    <t>-14;-11</t>
  </si>
  <si>
    <t>-14;-10</t>
  </si>
  <si>
    <t>-14;-9</t>
  </si>
  <si>
    <t>-14;-8</t>
  </si>
  <si>
    <t>-14;-7</t>
  </si>
  <si>
    <t>-14;-6</t>
  </si>
  <si>
    <t>-14;-5</t>
  </si>
  <si>
    <t>-14;-4</t>
  </si>
  <si>
    <t>-14;-3</t>
  </si>
  <si>
    <t>-14;-2</t>
  </si>
  <si>
    <t>-14;-1</t>
  </si>
  <si>
    <t>-14;0</t>
  </si>
  <si>
    <t>-14;1</t>
  </si>
  <si>
    <t>-14;2</t>
  </si>
  <si>
    <t>-14;3</t>
  </si>
  <si>
    <t>-14;4</t>
  </si>
  <si>
    <t>-14;5</t>
  </si>
  <si>
    <t>-14;6</t>
  </si>
  <si>
    <t>-14;7</t>
  </si>
  <si>
    <t>-14;8</t>
  </si>
  <si>
    <t>-14;9</t>
  </si>
  <si>
    <t>-14;10</t>
  </si>
  <si>
    <t>-14;11</t>
  </si>
  <si>
    <t>-14;12</t>
  </si>
  <si>
    <t>-14;13</t>
  </si>
  <si>
    <t>-14;14</t>
  </si>
  <si>
    <t>-14;15</t>
  </si>
  <si>
    <t>-15;-11</t>
  </si>
  <si>
    <t>-15;-10</t>
  </si>
  <si>
    <t>-15;-9</t>
  </si>
  <si>
    <t>-15;-8</t>
  </si>
  <si>
    <t>-15;-7</t>
  </si>
  <si>
    <t>-15;-6</t>
  </si>
  <si>
    <t>-15;-5</t>
  </si>
  <si>
    <t>-15;-4</t>
  </si>
  <si>
    <t>-15;-3</t>
  </si>
  <si>
    <t>-15;-2</t>
  </si>
  <si>
    <t>-15;-1</t>
  </si>
  <si>
    <t>-15;0</t>
  </si>
  <si>
    <t>-15;1</t>
  </si>
  <si>
    <t>-15;2</t>
  </si>
  <si>
    <t>-15;3</t>
  </si>
  <si>
    <t>-15;4</t>
  </si>
  <si>
    <t>-15;5</t>
  </si>
  <si>
    <t>-15;6</t>
  </si>
  <si>
    <t>-15;7</t>
  </si>
  <si>
    <t>-15;8</t>
  </si>
  <si>
    <t>-15;9</t>
  </si>
  <si>
    <t>-15;10</t>
  </si>
  <si>
    <t>-15;11</t>
  </si>
  <si>
    <t>-15;12</t>
  </si>
  <si>
    <t>32;25</t>
  </si>
  <si>
    <t>33;25</t>
  </si>
  <si>
    <t>34;25</t>
  </si>
  <si>
    <t>35;25</t>
  </si>
  <si>
    <t>36;25</t>
  </si>
  <si>
    <t>37;25</t>
  </si>
  <si>
    <t>31;24</t>
  </si>
  <si>
    <t>32;24</t>
  </si>
  <si>
    <t>33;24</t>
  </si>
  <si>
    <t>34;24</t>
  </si>
  <si>
    <t>35;24</t>
  </si>
  <si>
    <t>36;24</t>
  </si>
  <si>
    <t>24;23</t>
  </si>
  <si>
    <t>25;23</t>
  </si>
  <si>
    <t>26;23</t>
  </si>
  <si>
    <t>27;23</t>
  </si>
  <si>
    <t>28;23</t>
  </si>
  <si>
    <t>29;23</t>
  </si>
  <si>
    <t>30;23</t>
  </si>
  <si>
    <t>31;23</t>
  </si>
  <si>
    <t>32;23</t>
  </si>
  <si>
    <t>33;23</t>
  </si>
  <si>
    <t>34;23</t>
  </si>
  <si>
    <t>35;23</t>
  </si>
  <si>
    <t>36;23</t>
  </si>
  <si>
    <t>37;23</t>
  </si>
  <si>
    <t>38;23</t>
  </si>
  <si>
    <t>39;23</t>
  </si>
  <si>
    <t>40;23</t>
  </si>
  <si>
    <t>41;23</t>
  </si>
  <si>
    <t>42;23</t>
  </si>
  <si>
    <t>43;23</t>
  </si>
  <si>
    <t>44;23</t>
  </si>
  <si>
    <t>45;23</t>
  </si>
  <si>
    <t>46;23</t>
  </si>
  <si>
    <t>47;23</t>
  </si>
  <si>
    <t>48;23</t>
  </si>
  <si>
    <t>49;23</t>
  </si>
  <si>
    <t>50;23</t>
  </si>
  <si>
    <t>51;23</t>
  </si>
  <si>
    <t>52;23</t>
  </si>
  <si>
    <t>53;23</t>
  </si>
  <si>
    <t>54;23</t>
  </si>
  <si>
    <t>55;23</t>
  </si>
  <si>
    <t>56;23</t>
  </si>
  <si>
    <t>57;23</t>
  </si>
  <si>
    <t>58;23</t>
  </si>
  <si>
    <t>59;23</t>
  </si>
  <si>
    <t>60;23</t>
  </si>
  <si>
    <t>61;23</t>
  </si>
  <si>
    <t>62;23</t>
  </si>
  <si>
    <t>63;23</t>
  </si>
  <si>
    <t>64;23</t>
  </si>
  <si>
    <t>65;23</t>
  </si>
  <si>
    <t>66;23</t>
  </si>
  <si>
    <t>67;23</t>
  </si>
  <si>
    <t>68;23</t>
  </si>
  <si>
    <t>69;23</t>
  </si>
  <si>
    <t>70;23</t>
  </si>
  <si>
    <t>71;23</t>
  </si>
  <si>
    <t>72;23</t>
  </si>
  <si>
    <t>73;23</t>
  </si>
  <si>
    <t>74;23</t>
  </si>
  <si>
    <t>75;23</t>
  </si>
  <si>
    <t>76;23</t>
  </si>
  <si>
    <t>77;23</t>
  </si>
  <si>
    <t>78;23</t>
  </si>
  <si>
    <t>79;23</t>
  </si>
  <si>
    <t>80;23</t>
  </si>
  <si>
    <t>81;23</t>
  </si>
  <si>
    <t>82;23</t>
  </si>
  <si>
    <t>83;23</t>
  </si>
  <si>
    <t>84;23</t>
  </si>
  <si>
    <t>85;23</t>
  </si>
  <si>
    <t>86;23</t>
  </si>
  <si>
    <t>87;23</t>
  </si>
  <si>
    <t>88;23</t>
  </si>
  <si>
    <t>89;23</t>
  </si>
  <si>
    <t>90;23</t>
  </si>
  <si>
    <t>91;23</t>
  </si>
  <si>
    <t>92;23</t>
  </si>
  <si>
    <t>93;23</t>
  </si>
  <si>
    <t>94;23</t>
  </si>
  <si>
    <t>95;23</t>
  </si>
  <si>
    <t>96;23</t>
  </si>
  <si>
    <t>97;23</t>
  </si>
  <si>
    <t>98;23</t>
  </si>
  <si>
    <t>99;23</t>
  </si>
  <si>
    <t>100;23</t>
  </si>
  <si>
    <t>101;23</t>
  </si>
  <si>
    <t>102;23</t>
  </si>
  <si>
    <t>103;23</t>
  </si>
  <si>
    <t>104;23</t>
  </si>
  <si>
    <t>105;23</t>
  </si>
  <si>
    <t>106;23</t>
  </si>
  <si>
    <t>107;23</t>
  </si>
  <si>
    <t>108;23</t>
  </si>
  <si>
    <t>109;23</t>
  </si>
  <si>
    <t>110;23</t>
  </si>
  <si>
    <t>111;23</t>
  </si>
  <si>
    <t>112;23</t>
  </si>
  <si>
    <t>113;23</t>
  </si>
  <si>
    <t>114;23</t>
  </si>
  <si>
    <t>115;23</t>
  </si>
  <si>
    <t>116;23</t>
  </si>
  <si>
    <t>24;22</t>
  </si>
  <si>
    <t>25;22</t>
  </si>
  <si>
    <t>26;22</t>
  </si>
  <si>
    <t>27;22</t>
  </si>
  <si>
    <t>28;22</t>
  </si>
  <si>
    <t>29;22</t>
  </si>
  <si>
    <t>30;22</t>
  </si>
  <si>
    <t>31;22</t>
  </si>
  <si>
    <t>32;22</t>
  </si>
  <si>
    <t>33;22</t>
  </si>
  <si>
    <t>34;22</t>
  </si>
  <si>
    <t>35;22</t>
  </si>
  <si>
    <t>36;22</t>
  </si>
  <si>
    <t>37;22</t>
  </si>
  <si>
    <t>38;22</t>
  </si>
  <si>
    <t>39;22</t>
  </si>
  <si>
    <t>40;22</t>
  </si>
  <si>
    <t>41;22</t>
  </si>
  <si>
    <t>42;22</t>
  </si>
  <si>
    <t>43;22</t>
  </si>
  <si>
    <t>44;22</t>
  </si>
  <si>
    <t>45;22</t>
  </si>
  <si>
    <t>46;22</t>
  </si>
  <si>
    <t>47;22</t>
  </si>
  <si>
    <t>48;22</t>
  </si>
  <si>
    <t>49;22</t>
  </si>
  <si>
    <t>50;22</t>
  </si>
  <si>
    <t>51;22</t>
  </si>
  <si>
    <t>52;22</t>
  </si>
  <si>
    <t>53;22</t>
  </si>
  <si>
    <t>54;22</t>
  </si>
  <si>
    <t>55;22</t>
  </si>
  <si>
    <t>56;22</t>
  </si>
  <si>
    <t>57;22</t>
  </si>
  <si>
    <t>58;22</t>
  </si>
  <si>
    <t>59;22</t>
  </si>
  <si>
    <t>60;22</t>
  </si>
  <si>
    <t>61;22</t>
  </si>
  <si>
    <t>62;22</t>
  </si>
  <si>
    <t>63;22</t>
  </si>
  <si>
    <t>64;22</t>
  </si>
  <si>
    <t>65;22</t>
  </si>
  <si>
    <t>66;22</t>
  </si>
  <si>
    <t>67;22</t>
  </si>
  <si>
    <t>68;22</t>
  </si>
  <si>
    <t>69;22</t>
  </si>
  <si>
    <t>70;22</t>
  </si>
  <si>
    <t>71;22</t>
  </si>
  <si>
    <t>72;22</t>
  </si>
  <si>
    <t>73;22</t>
  </si>
  <si>
    <t>74;22</t>
  </si>
  <si>
    <t>75;22</t>
  </si>
  <si>
    <t>76;22</t>
  </si>
  <si>
    <t>77;22</t>
  </si>
  <si>
    <t>78;22</t>
  </si>
  <si>
    <t>79;22</t>
  </si>
  <si>
    <t>80;22</t>
  </si>
  <si>
    <t>81;22</t>
  </si>
  <si>
    <t>82;22</t>
  </si>
  <si>
    <t>83;22</t>
  </si>
  <si>
    <t>84;22</t>
  </si>
  <si>
    <t>85;22</t>
  </si>
  <si>
    <t>86;22</t>
  </si>
  <si>
    <t>87;22</t>
  </si>
  <si>
    <t>88;22</t>
  </si>
  <si>
    <t>89;22</t>
  </si>
  <si>
    <t>90;22</t>
  </si>
  <si>
    <t>91;22</t>
  </si>
  <si>
    <t>92;22</t>
  </si>
  <si>
    <t>93;22</t>
  </si>
  <si>
    <t>94;22</t>
  </si>
  <si>
    <t>95;22</t>
  </si>
  <si>
    <t>96;22</t>
  </si>
  <si>
    <t>97;22</t>
  </si>
  <si>
    <t>98;22</t>
  </si>
  <si>
    <t>99;22</t>
  </si>
  <si>
    <t>100;22</t>
  </si>
  <si>
    <t>101;22</t>
  </si>
  <si>
    <t>102;22</t>
  </si>
  <si>
    <t>103;22</t>
  </si>
  <si>
    <t>104;22</t>
  </si>
  <si>
    <t>105;22</t>
  </si>
  <si>
    <t>106;22</t>
  </si>
  <si>
    <t>107;22</t>
  </si>
  <si>
    <t>108;22</t>
  </si>
  <si>
    <t>109;22</t>
  </si>
  <si>
    <t>110;22</t>
  </si>
  <si>
    <t>111;22</t>
  </si>
  <si>
    <t>112;22</t>
  </si>
  <si>
    <t>113;22</t>
  </si>
  <si>
    <t>114;22</t>
  </si>
  <si>
    <t>115;22</t>
  </si>
  <si>
    <t>116;22</t>
  </si>
  <si>
    <t>24;21</t>
  </si>
  <si>
    <t>25;21</t>
  </si>
  <si>
    <t>26;21</t>
  </si>
  <si>
    <t>27;21</t>
  </si>
  <si>
    <t>28;21</t>
  </si>
  <si>
    <t>29;21</t>
  </si>
  <si>
    <t>30;21</t>
  </si>
  <si>
    <t>31;21</t>
  </si>
  <si>
    <t>32;21</t>
  </si>
  <si>
    <t>33;21</t>
  </si>
  <si>
    <t>34;21</t>
  </si>
  <si>
    <t>35;21</t>
  </si>
  <si>
    <t>36;21</t>
  </si>
  <si>
    <t>37;21</t>
  </si>
  <si>
    <t>38;21</t>
  </si>
  <si>
    <t>39;21</t>
  </si>
  <si>
    <t>40;21</t>
  </si>
  <si>
    <t>41;21</t>
  </si>
  <si>
    <t>42;21</t>
  </si>
  <si>
    <t>43;21</t>
  </si>
  <si>
    <t>44;21</t>
  </si>
  <si>
    <t>45;21</t>
  </si>
  <si>
    <t>46;21</t>
  </si>
  <si>
    <t>47;21</t>
  </si>
  <si>
    <t>48;21</t>
  </si>
  <si>
    <t>49;21</t>
  </si>
  <si>
    <t>50;21</t>
  </si>
  <si>
    <t>51;21</t>
  </si>
  <si>
    <t>52;21</t>
  </si>
  <si>
    <t>53;21</t>
  </si>
  <si>
    <t>54;21</t>
  </si>
  <si>
    <t>55;21</t>
  </si>
  <si>
    <t>56;21</t>
  </si>
  <si>
    <t>57;21</t>
  </si>
  <si>
    <t>58;21</t>
  </si>
  <si>
    <t>59;21</t>
  </si>
  <si>
    <t>60;21</t>
  </si>
  <si>
    <t>61;21</t>
  </si>
  <si>
    <t>62;21</t>
  </si>
  <si>
    <t>63;21</t>
  </si>
  <si>
    <t>64;21</t>
  </si>
  <si>
    <t>65;21</t>
  </si>
  <si>
    <t>66;21</t>
  </si>
  <si>
    <t>67;21</t>
  </si>
  <si>
    <t>68;21</t>
  </si>
  <si>
    <t>69;21</t>
  </si>
  <si>
    <t>70;21</t>
  </si>
  <si>
    <t>71;21</t>
  </si>
  <si>
    <t>72;21</t>
  </si>
  <si>
    <t>73;21</t>
  </si>
  <si>
    <t>74;21</t>
  </si>
  <si>
    <t>75;21</t>
  </si>
  <si>
    <t>76;21</t>
  </si>
  <si>
    <t>77;21</t>
  </si>
  <si>
    <t>78;21</t>
  </si>
  <si>
    <t>79;21</t>
  </si>
  <si>
    <t>80;21</t>
  </si>
  <si>
    <t>81;21</t>
  </si>
  <si>
    <t>82;21</t>
  </si>
  <si>
    <t>83;21</t>
  </si>
  <si>
    <t>84;21</t>
  </si>
  <si>
    <t>85;21</t>
  </si>
  <si>
    <t>86;21</t>
  </si>
  <si>
    <t>87;21</t>
  </si>
  <si>
    <t>88;21</t>
  </si>
  <si>
    <t>89;21</t>
  </si>
  <si>
    <t>90;21</t>
  </si>
  <si>
    <t>91;21</t>
  </si>
  <si>
    <t>92;21</t>
  </si>
  <si>
    <t>93;21</t>
  </si>
  <si>
    <t>94;21</t>
  </si>
  <si>
    <t>95;21</t>
  </si>
  <si>
    <t>96;21</t>
  </si>
  <si>
    <t>97;21</t>
  </si>
  <si>
    <t>98;21</t>
  </si>
  <si>
    <t>99;21</t>
  </si>
  <si>
    <t>100;21</t>
  </si>
  <si>
    <t>101;21</t>
  </si>
  <si>
    <t>102;21</t>
  </si>
  <si>
    <t>103;21</t>
  </si>
  <si>
    <t>104;21</t>
  </si>
  <si>
    <t>105;21</t>
  </si>
  <si>
    <t>106;21</t>
  </si>
  <si>
    <t>107;21</t>
  </si>
  <si>
    <t>108;21</t>
  </si>
  <si>
    <t>109;21</t>
  </si>
  <si>
    <t>110;21</t>
  </si>
  <si>
    <t>111;21</t>
  </si>
  <si>
    <t>112;21</t>
  </si>
  <si>
    <t>113;21</t>
  </si>
  <si>
    <t>114;21</t>
  </si>
  <si>
    <t>115;21</t>
  </si>
  <si>
    <t>116;21</t>
  </si>
  <si>
    <t>24;20</t>
  </si>
  <si>
    <t>25;20</t>
  </si>
  <si>
    <t>26;20</t>
  </si>
  <si>
    <t>27;20</t>
  </si>
  <si>
    <t>28;20</t>
  </si>
  <si>
    <t>29;20</t>
  </si>
  <si>
    <t>30;20</t>
  </si>
  <si>
    <t>31;20</t>
  </si>
  <si>
    <t>32;20</t>
  </si>
  <si>
    <t>33;20</t>
  </si>
  <si>
    <t>34;20</t>
  </si>
  <si>
    <t>35;20</t>
  </si>
  <si>
    <t>36;20</t>
  </si>
  <si>
    <t>37;20</t>
  </si>
  <si>
    <t>38;20</t>
  </si>
  <si>
    <t>39;20</t>
  </si>
  <si>
    <t>40;20</t>
  </si>
  <si>
    <t>41;20</t>
  </si>
  <si>
    <t>42;20</t>
  </si>
  <si>
    <t>43;20</t>
  </si>
  <si>
    <t>44;20</t>
  </si>
  <si>
    <t>45;20</t>
  </si>
  <si>
    <t>46;20</t>
  </si>
  <si>
    <t>47;20</t>
  </si>
  <si>
    <t>48;20</t>
  </si>
  <si>
    <t>49;20</t>
  </si>
  <si>
    <t>50;20</t>
  </si>
  <si>
    <t>51;20</t>
  </si>
  <si>
    <t>52;20</t>
  </si>
  <si>
    <t>53;20</t>
  </si>
  <si>
    <t>54;20</t>
  </si>
  <si>
    <t>55;20</t>
  </si>
  <si>
    <t>56;20</t>
  </si>
  <si>
    <t>57;20</t>
  </si>
  <si>
    <t>58;20</t>
  </si>
  <si>
    <t>59;20</t>
  </si>
  <si>
    <t>60;20</t>
  </si>
  <si>
    <t>61;20</t>
  </si>
  <si>
    <t>62;20</t>
  </si>
  <si>
    <t>63;20</t>
  </si>
  <si>
    <t>64;20</t>
  </si>
  <si>
    <t>65;20</t>
  </si>
  <si>
    <t>66;20</t>
  </si>
  <si>
    <t>67;20</t>
  </si>
  <si>
    <t>68;20</t>
  </si>
  <si>
    <t>69;20</t>
  </si>
  <si>
    <t>70;20</t>
  </si>
  <si>
    <t>71;20</t>
  </si>
  <si>
    <t>72;20</t>
  </si>
  <si>
    <t>73;20</t>
  </si>
  <si>
    <t>74;20</t>
  </si>
  <si>
    <t>75;20</t>
  </si>
  <si>
    <t>76;20</t>
  </si>
  <si>
    <t>77;20</t>
  </si>
  <si>
    <t>78;20</t>
  </si>
  <si>
    <t>79;20</t>
  </si>
  <si>
    <t>80;20</t>
  </si>
  <si>
    <t>81;20</t>
  </si>
  <si>
    <t>82;20</t>
  </si>
  <si>
    <t>83;20</t>
  </si>
  <si>
    <t>84;20</t>
  </si>
  <si>
    <t>85;20</t>
  </si>
  <si>
    <t>86;20</t>
  </si>
  <si>
    <t>87;20</t>
  </si>
  <si>
    <t>88;20</t>
  </si>
  <si>
    <t>89;20</t>
  </si>
  <si>
    <t>90;20</t>
  </si>
  <si>
    <t>91;20</t>
  </si>
  <si>
    <t>92;20</t>
  </si>
  <si>
    <t>93;20</t>
  </si>
  <si>
    <t>94;20</t>
  </si>
  <si>
    <t>95;20</t>
  </si>
  <si>
    <t>96;20</t>
  </si>
  <si>
    <t>97;20</t>
  </si>
  <si>
    <t>98;20</t>
  </si>
  <si>
    <t>99;20</t>
  </si>
  <si>
    <t>100;20</t>
  </si>
  <si>
    <t>101;20</t>
  </si>
  <si>
    <t>102;20</t>
  </si>
  <si>
    <t>103;20</t>
  </si>
  <si>
    <t>104;20</t>
  </si>
  <si>
    <t>105;20</t>
  </si>
  <si>
    <t>106;20</t>
  </si>
  <si>
    <t>107;20</t>
  </si>
  <si>
    <t>108;20</t>
  </si>
  <si>
    <t>109;20</t>
  </si>
  <si>
    <t>110;20</t>
  </si>
  <si>
    <t>111;20</t>
  </si>
  <si>
    <t>112;20</t>
  </si>
  <si>
    <t>113;20</t>
  </si>
  <si>
    <t>114;20</t>
  </si>
  <si>
    <t>115;20</t>
  </si>
  <si>
    <t>116;20</t>
  </si>
  <si>
    <t>24;19</t>
  </si>
  <si>
    <t>25;19</t>
  </si>
  <si>
    <t>26;19</t>
  </si>
  <si>
    <t>27;19</t>
  </si>
  <si>
    <t>28;19</t>
  </si>
  <si>
    <t>29;19</t>
  </si>
  <si>
    <t>30;19</t>
  </si>
  <si>
    <t>31;19</t>
  </si>
  <si>
    <t>32;19</t>
  </si>
  <si>
    <t>33;19</t>
  </si>
  <si>
    <t>34;19</t>
  </si>
  <si>
    <t>35;19</t>
  </si>
  <si>
    <t>36;19</t>
  </si>
  <si>
    <t>37;19</t>
  </si>
  <si>
    <t>38;19</t>
  </si>
  <si>
    <t>39;19</t>
  </si>
  <si>
    <t>40;19</t>
  </si>
  <si>
    <t>41;19</t>
  </si>
  <si>
    <t>42;19</t>
  </si>
  <si>
    <t>43;19</t>
  </si>
  <si>
    <t>44;19</t>
  </si>
  <si>
    <t>45;19</t>
  </si>
  <si>
    <t>46;19</t>
  </si>
  <si>
    <t>47;19</t>
  </si>
  <si>
    <t>48;19</t>
  </si>
  <si>
    <t>49;19</t>
  </si>
  <si>
    <t>50;19</t>
  </si>
  <si>
    <t>51;19</t>
  </si>
  <si>
    <t>52;19</t>
  </si>
  <si>
    <t>53;19</t>
  </si>
  <si>
    <t>54;19</t>
  </si>
  <si>
    <t>55;19</t>
  </si>
  <si>
    <t>56;19</t>
  </si>
  <si>
    <t>57;19</t>
  </si>
  <si>
    <t>58;19</t>
  </si>
  <si>
    <t>59;19</t>
  </si>
  <si>
    <t>60;19</t>
  </si>
  <si>
    <t>61;19</t>
  </si>
  <si>
    <t>62;19</t>
  </si>
  <si>
    <t>63;19</t>
  </si>
  <si>
    <t>64;19</t>
  </si>
  <si>
    <t>65;19</t>
  </si>
  <si>
    <t>66;19</t>
  </si>
  <si>
    <t>67;19</t>
  </si>
  <si>
    <t>68;19</t>
  </si>
  <si>
    <t>69;19</t>
  </si>
  <si>
    <t>70;19</t>
  </si>
  <si>
    <t>71;19</t>
  </si>
  <si>
    <t>72;19</t>
  </si>
  <si>
    <t>73;19</t>
  </si>
  <si>
    <t>74;19</t>
  </si>
  <si>
    <t>75;19</t>
  </si>
  <si>
    <t>76;19</t>
  </si>
  <si>
    <t>77;19</t>
  </si>
  <si>
    <t>78;19</t>
  </si>
  <si>
    <t>79;19</t>
  </si>
  <si>
    <t>80;19</t>
  </si>
  <si>
    <t>81;19</t>
  </si>
  <si>
    <t>82;19</t>
  </si>
  <si>
    <t>83;19</t>
  </si>
  <si>
    <t>84;19</t>
  </si>
  <si>
    <t>85;19</t>
  </si>
  <si>
    <t>86;19</t>
  </si>
  <si>
    <t>87;19</t>
  </si>
  <si>
    <t>88;19</t>
  </si>
  <si>
    <t>89;19</t>
  </si>
  <si>
    <t>90;19</t>
  </si>
  <si>
    <t>91;19</t>
  </si>
  <si>
    <t>92;19</t>
  </si>
  <si>
    <t>93;19</t>
  </si>
  <si>
    <t>94;19</t>
  </si>
  <si>
    <t>95;19</t>
  </si>
  <si>
    <t>96;19</t>
  </si>
  <si>
    <t>97;19</t>
  </si>
  <si>
    <t>98;19</t>
  </si>
  <si>
    <t>99;19</t>
  </si>
  <si>
    <t>100;19</t>
  </si>
  <si>
    <t>101;19</t>
  </si>
  <si>
    <t>102;19</t>
  </si>
  <si>
    <t>103;19</t>
  </si>
  <si>
    <t>104;19</t>
  </si>
  <si>
    <t>105;19</t>
  </si>
  <si>
    <t>106;19</t>
  </si>
  <si>
    <t>107;19</t>
  </si>
  <si>
    <t>108;19</t>
  </si>
  <si>
    <t>109;19</t>
  </si>
  <si>
    <t>110;19</t>
  </si>
  <si>
    <t>111;19</t>
  </si>
  <si>
    <t>112;19</t>
  </si>
  <si>
    <t>113;19</t>
  </si>
  <si>
    <t>114;19</t>
  </si>
  <si>
    <t>115;19</t>
  </si>
  <si>
    <t>116;19</t>
  </si>
  <si>
    <t>24;18</t>
  </si>
  <si>
    <t>25;18</t>
  </si>
  <si>
    <t>26;18</t>
  </si>
  <si>
    <t>27;18</t>
  </si>
  <si>
    <t>28;18</t>
  </si>
  <si>
    <t>29;18</t>
  </si>
  <si>
    <t>30;18</t>
  </si>
  <si>
    <t>31;18</t>
  </si>
  <si>
    <t>32;18</t>
  </si>
  <si>
    <t>33;18</t>
  </si>
  <si>
    <t>34;18</t>
  </si>
  <si>
    <t>35;18</t>
  </si>
  <si>
    <t>36;18</t>
  </si>
  <si>
    <t>37;18</t>
  </si>
  <si>
    <t>38;18</t>
  </si>
  <si>
    <t>39;18</t>
  </si>
  <si>
    <t>40;18</t>
  </si>
  <si>
    <t>41;18</t>
  </si>
  <si>
    <t>42;18</t>
  </si>
  <si>
    <t>43;18</t>
  </si>
  <si>
    <t>44;18</t>
  </si>
  <si>
    <t>45;18</t>
  </si>
  <si>
    <t>46;18</t>
  </si>
  <si>
    <t>47;18</t>
  </si>
  <si>
    <t>48;18</t>
  </si>
  <si>
    <t>49;18</t>
  </si>
  <si>
    <t>50;18</t>
  </si>
  <si>
    <t>51;18</t>
  </si>
  <si>
    <t>52;18</t>
  </si>
  <si>
    <t>53;18</t>
  </si>
  <si>
    <t>54;18</t>
  </si>
  <si>
    <t>55;18</t>
  </si>
  <si>
    <t>56;18</t>
  </si>
  <si>
    <t>57;18</t>
  </si>
  <si>
    <t>58;18</t>
  </si>
  <si>
    <t>59;18</t>
  </si>
  <si>
    <t>60;18</t>
  </si>
  <si>
    <t>61;18</t>
  </si>
  <si>
    <t>62;18</t>
  </si>
  <si>
    <t>63;18</t>
  </si>
  <si>
    <t>64;18</t>
  </si>
  <si>
    <t>65;18</t>
  </si>
  <si>
    <t>66;18</t>
  </si>
  <si>
    <t>67;18</t>
  </si>
  <si>
    <t>68;18</t>
  </si>
  <si>
    <t>69;18</t>
  </si>
  <si>
    <t>70;18</t>
  </si>
  <si>
    <t>71;18</t>
  </si>
  <si>
    <t>72;18</t>
  </si>
  <si>
    <t>73;18</t>
  </si>
  <si>
    <t>74;18</t>
  </si>
  <si>
    <t>75;18</t>
  </si>
  <si>
    <t>76;18</t>
  </si>
  <si>
    <t>77;18</t>
  </si>
  <si>
    <t>78;18</t>
  </si>
  <si>
    <t>79;18</t>
  </si>
  <si>
    <t>80;18</t>
  </si>
  <si>
    <t>81;18</t>
  </si>
  <si>
    <t>82;18</t>
  </si>
  <si>
    <t>83;18</t>
  </si>
  <si>
    <t>84;18</t>
  </si>
  <si>
    <t>85;18</t>
  </si>
  <si>
    <t>86;18</t>
  </si>
  <si>
    <t>87;18</t>
  </si>
  <si>
    <t>88;18</t>
  </si>
  <si>
    <t>89;18</t>
  </si>
  <si>
    <t>90;18</t>
  </si>
  <si>
    <t>91;18</t>
  </si>
  <si>
    <t>92;18</t>
  </si>
  <si>
    <t>93;18</t>
  </si>
  <si>
    <t>94;18</t>
  </si>
  <si>
    <t>95;18</t>
  </si>
  <si>
    <t>96;18</t>
  </si>
  <si>
    <t>97;18</t>
  </si>
  <si>
    <t>98;18</t>
  </si>
  <si>
    <t>99;18</t>
  </si>
  <si>
    <t>100;18</t>
  </si>
  <si>
    <t>101;18</t>
  </si>
  <si>
    <t>102;18</t>
  </si>
  <si>
    <t>103;18</t>
  </si>
  <si>
    <t>104;18</t>
  </si>
  <si>
    <t>105;18</t>
  </si>
  <si>
    <t>106;18</t>
  </si>
  <si>
    <t>107;18</t>
  </si>
  <si>
    <t>108;18</t>
  </si>
  <si>
    <t>109;18</t>
  </si>
  <si>
    <t>110;18</t>
  </si>
  <si>
    <t>111;18</t>
  </si>
  <si>
    <t>112;18</t>
  </si>
  <si>
    <t>113;18</t>
  </si>
  <si>
    <t>114;18</t>
  </si>
  <si>
    <t>115;18</t>
  </si>
  <si>
    <t>116;18</t>
  </si>
  <si>
    <t>24;17</t>
  </si>
  <si>
    <t>25;17</t>
  </si>
  <si>
    <t>26;17</t>
  </si>
  <si>
    <t>27;17</t>
  </si>
  <si>
    <t>28;17</t>
  </si>
  <si>
    <t>29;17</t>
  </si>
  <si>
    <t>30;17</t>
  </si>
  <si>
    <t>31;17</t>
  </si>
  <si>
    <t>32;17</t>
  </si>
  <si>
    <t>33;17</t>
  </si>
  <si>
    <t>34;17</t>
  </si>
  <si>
    <t>35;17</t>
  </si>
  <si>
    <t>36;17</t>
  </si>
  <si>
    <t>37;17</t>
  </si>
  <si>
    <t>38;17</t>
  </si>
  <si>
    <t>39;17</t>
  </si>
  <si>
    <t>40;17</t>
  </si>
  <si>
    <t>41;17</t>
  </si>
  <si>
    <t>42;17</t>
  </si>
  <si>
    <t>43;17</t>
  </si>
  <si>
    <t>44;17</t>
  </si>
  <si>
    <t>45;17</t>
  </si>
  <si>
    <t>46;17</t>
  </si>
  <si>
    <t>47;17</t>
  </si>
  <si>
    <t>48;17</t>
  </si>
  <si>
    <t>49;17</t>
  </si>
  <si>
    <t>50;17</t>
  </si>
  <si>
    <t>51;17</t>
  </si>
  <si>
    <t>52;17</t>
  </si>
  <si>
    <t>53;17</t>
  </si>
  <si>
    <t>54;17</t>
  </si>
  <si>
    <t>55;17</t>
  </si>
  <si>
    <t>56;17</t>
  </si>
  <si>
    <t>57;17</t>
  </si>
  <si>
    <t>58;17</t>
  </si>
  <si>
    <t>59;17</t>
  </si>
  <si>
    <t>60;17</t>
  </si>
  <si>
    <t>61;17</t>
  </si>
  <si>
    <t>62;17</t>
  </si>
  <si>
    <t>63;17</t>
  </si>
  <si>
    <t>64;17</t>
  </si>
  <si>
    <t>65;17</t>
  </si>
  <si>
    <t>66;17</t>
  </si>
  <si>
    <t>67;17</t>
  </si>
  <si>
    <t>68;17</t>
  </si>
  <si>
    <t>69;17</t>
  </si>
  <si>
    <t>70;17</t>
  </si>
  <si>
    <t>71;17</t>
  </si>
  <si>
    <t>72;17</t>
  </si>
  <si>
    <t>73;17</t>
  </si>
  <si>
    <t>74;17</t>
  </si>
  <si>
    <t>75;17</t>
  </si>
  <si>
    <t>76;17</t>
  </si>
  <si>
    <t>77;17</t>
  </si>
  <si>
    <t>78;17</t>
  </si>
  <si>
    <t>79;17</t>
  </si>
  <si>
    <t>80;17</t>
  </si>
  <si>
    <t>81;17</t>
  </si>
  <si>
    <t>82;17</t>
  </si>
  <si>
    <t>83;17</t>
  </si>
  <si>
    <t>84;17</t>
  </si>
  <si>
    <t>85;17</t>
  </si>
  <si>
    <t>86;17</t>
  </si>
  <si>
    <t>87;17</t>
  </si>
  <si>
    <t>88;17</t>
  </si>
  <si>
    <t>89;17</t>
  </si>
  <si>
    <t>90;17</t>
  </si>
  <si>
    <t>91;17</t>
  </si>
  <si>
    <t>92;17</t>
  </si>
  <si>
    <t>93;17</t>
  </si>
  <si>
    <t>94;17</t>
  </si>
  <si>
    <t>95;17</t>
  </si>
  <si>
    <t>96;17</t>
  </si>
  <si>
    <t>97;17</t>
  </si>
  <si>
    <t>98;17</t>
  </si>
  <si>
    <t>99;17</t>
  </si>
  <si>
    <t>100;17</t>
  </si>
  <si>
    <t>101;17</t>
  </si>
  <si>
    <t>102;17</t>
  </si>
  <si>
    <t>103;17</t>
  </si>
  <si>
    <t>104;17</t>
  </si>
  <si>
    <t>105;17</t>
  </si>
  <si>
    <t>106;17</t>
  </si>
  <si>
    <t>107;17</t>
  </si>
  <si>
    <t>108;17</t>
  </si>
  <si>
    <t>109;17</t>
  </si>
  <si>
    <t>110;17</t>
  </si>
  <si>
    <t>111;17</t>
  </si>
  <si>
    <t>112;17</t>
  </si>
  <si>
    <t>113;17</t>
  </si>
  <si>
    <t>114;17</t>
  </si>
  <si>
    <t>115;17</t>
  </si>
  <si>
    <t>116;17</t>
  </si>
  <si>
    <t>24;16</t>
  </si>
  <si>
    <t>25;16</t>
  </si>
  <si>
    <t>26;16</t>
  </si>
  <si>
    <t>27;16</t>
  </si>
  <si>
    <t>28;16</t>
  </si>
  <si>
    <t>29;16</t>
  </si>
  <si>
    <t>30;16</t>
  </si>
  <si>
    <t>31;16</t>
  </si>
  <si>
    <t>32;16</t>
  </si>
  <si>
    <t>33;16</t>
  </si>
  <si>
    <t>34;16</t>
  </si>
  <si>
    <t>35;16</t>
  </si>
  <si>
    <t>36;16</t>
  </si>
  <si>
    <t>37;16</t>
  </si>
  <si>
    <t>38;16</t>
  </si>
  <si>
    <t>39;16</t>
  </si>
  <si>
    <t>40;16</t>
  </si>
  <si>
    <t>41;16</t>
  </si>
  <si>
    <t>42;16</t>
  </si>
  <si>
    <t>43;16</t>
  </si>
  <si>
    <t>44;16</t>
  </si>
  <si>
    <t>45;16</t>
  </si>
  <si>
    <t>46;16</t>
  </si>
  <si>
    <t>47;16</t>
  </si>
  <si>
    <t>48;16</t>
  </si>
  <si>
    <t>49;16</t>
  </si>
  <si>
    <t>50;16</t>
  </si>
  <si>
    <t>51;16</t>
  </si>
  <si>
    <t>52;16</t>
  </si>
  <si>
    <t>53;16</t>
  </si>
  <si>
    <t>54;16</t>
  </si>
  <si>
    <t>55;16</t>
  </si>
  <si>
    <t>56;16</t>
  </si>
  <si>
    <t>57;16</t>
  </si>
  <si>
    <t>58;16</t>
  </si>
  <si>
    <t>59;16</t>
  </si>
  <si>
    <t>60;16</t>
  </si>
  <si>
    <t>61;16</t>
  </si>
  <si>
    <t>62;16</t>
  </si>
  <si>
    <t>63;16</t>
  </si>
  <si>
    <t>64;16</t>
  </si>
  <si>
    <t>65;16</t>
  </si>
  <si>
    <t>66;16</t>
  </si>
  <si>
    <t>67;16</t>
  </si>
  <si>
    <t>68;16</t>
  </si>
  <si>
    <t>69;16</t>
  </si>
  <si>
    <t>70;16</t>
  </si>
  <si>
    <t>71;16</t>
  </si>
  <si>
    <t>72;16</t>
  </si>
  <si>
    <t>73;16</t>
  </si>
  <si>
    <t>74;16</t>
  </si>
  <si>
    <t>75;16</t>
  </si>
  <si>
    <t>76;16</t>
  </si>
  <si>
    <t>77;16</t>
  </si>
  <si>
    <t>78;16</t>
  </si>
  <si>
    <t>79;16</t>
  </si>
  <si>
    <t>80;16</t>
  </si>
  <si>
    <t>81;16</t>
  </si>
  <si>
    <t>82;16</t>
  </si>
  <si>
    <t>83;16</t>
  </si>
  <si>
    <t>84;16</t>
  </si>
  <si>
    <t>85;16</t>
  </si>
  <si>
    <t>86;16</t>
  </si>
  <si>
    <t>87;16</t>
  </si>
  <si>
    <t>88;16</t>
  </si>
  <si>
    <t>89;16</t>
  </si>
  <si>
    <t>90;16</t>
  </si>
  <si>
    <t>91;16</t>
  </si>
  <si>
    <t>92;16</t>
  </si>
  <si>
    <t>93;16</t>
  </si>
  <si>
    <t>94;16</t>
  </si>
  <si>
    <t>95;16</t>
  </si>
  <si>
    <t>96;16</t>
  </si>
  <si>
    <t>97;16</t>
  </si>
  <si>
    <t>98;16</t>
  </si>
  <si>
    <t>99;16</t>
  </si>
  <si>
    <t>100;16</t>
  </si>
  <si>
    <t>101;16</t>
  </si>
  <si>
    <t>102;16</t>
  </si>
  <si>
    <t>103;16</t>
  </si>
  <si>
    <t>104;16</t>
  </si>
  <si>
    <t>105;16</t>
  </si>
  <si>
    <t>106;16</t>
  </si>
  <si>
    <t>107;16</t>
  </si>
  <si>
    <t>108;16</t>
  </si>
  <si>
    <t>109;16</t>
  </si>
  <si>
    <t>110;16</t>
  </si>
  <si>
    <t>111;16</t>
  </si>
  <si>
    <t>112;16</t>
  </si>
  <si>
    <t>113;16</t>
  </si>
  <si>
    <t>114;16</t>
  </si>
  <si>
    <t>115;16</t>
  </si>
  <si>
    <t>116;16</t>
  </si>
  <si>
    <t>24;15</t>
  </si>
  <si>
    <t>25;15</t>
  </si>
  <si>
    <t>26;15</t>
  </si>
  <si>
    <t>27;15</t>
  </si>
  <si>
    <t>28;15</t>
  </si>
  <si>
    <t>29;15</t>
  </si>
  <si>
    <t>30;15</t>
  </si>
  <si>
    <t>31;15</t>
  </si>
  <si>
    <t>32;15</t>
  </si>
  <si>
    <t>33;15</t>
  </si>
  <si>
    <t>34;15</t>
  </si>
  <si>
    <t>35;15</t>
  </si>
  <si>
    <t>36;15</t>
  </si>
  <si>
    <t>37;15</t>
  </si>
  <si>
    <t>38;15</t>
  </si>
  <si>
    <t>39;15</t>
  </si>
  <si>
    <t>40;15</t>
  </si>
  <si>
    <t>41;15</t>
  </si>
  <si>
    <t>42;15</t>
  </si>
  <si>
    <t>43;15</t>
  </si>
  <si>
    <t>44;15</t>
  </si>
  <si>
    <t>45;15</t>
  </si>
  <si>
    <t>46;15</t>
  </si>
  <si>
    <t>47;15</t>
  </si>
  <si>
    <t>48;15</t>
  </si>
  <si>
    <t>49;15</t>
  </si>
  <si>
    <t>50;15</t>
  </si>
  <si>
    <t>51;15</t>
  </si>
  <si>
    <t>52;15</t>
  </si>
  <si>
    <t>53;15</t>
  </si>
  <si>
    <t>54;15</t>
  </si>
  <si>
    <t>55;15</t>
  </si>
  <si>
    <t>56;15</t>
  </si>
  <si>
    <t>57;15</t>
  </si>
  <si>
    <t>58;15</t>
  </si>
  <si>
    <t>59;15</t>
  </si>
  <si>
    <t>60;15</t>
  </si>
  <si>
    <t>61;15</t>
  </si>
  <si>
    <t>62;15</t>
  </si>
  <si>
    <t>63;15</t>
  </si>
  <si>
    <t>64;15</t>
  </si>
  <si>
    <t>65;15</t>
  </si>
  <si>
    <t>66;15</t>
  </si>
  <si>
    <t>67;15</t>
  </si>
  <si>
    <t>68;15</t>
  </si>
  <si>
    <t>69;15</t>
  </si>
  <si>
    <t>70;15</t>
  </si>
  <si>
    <t>71;15</t>
  </si>
  <si>
    <t>72;15</t>
  </si>
  <si>
    <t>73;15</t>
  </si>
  <si>
    <t>74;15</t>
  </si>
  <si>
    <t>75;15</t>
  </si>
  <si>
    <t>76;15</t>
  </si>
  <si>
    <t>77;15</t>
  </si>
  <si>
    <t>78;15</t>
  </si>
  <si>
    <t>79;15</t>
  </si>
  <si>
    <t>80;15</t>
  </si>
  <si>
    <t>81;15</t>
  </si>
  <si>
    <t>82;15</t>
  </si>
  <si>
    <t>83;15</t>
  </si>
  <si>
    <t>84;15</t>
  </si>
  <si>
    <t>85;15</t>
  </si>
  <si>
    <t>86;15</t>
  </si>
  <si>
    <t>87;15</t>
  </si>
  <si>
    <t>88;15</t>
  </si>
  <si>
    <t>89;15</t>
  </si>
  <si>
    <t>90;15</t>
  </si>
  <si>
    <t>91;15</t>
  </si>
  <si>
    <t>92;15</t>
  </si>
  <si>
    <t>93;15</t>
  </si>
  <si>
    <t>94;15</t>
  </si>
  <si>
    <t>95;15</t>
  </si>
  <si>
    <t>96;15</t>
  </si>
  <si>
    <t>97;15</t>
  </si>
  <si>
    <t>98;15</t>
  </si>
  <si>
    <t>99;15</t>
  </si>
  <si>
    <t>100;15</t>
  </si>
  <si>
    <t>101;15</t>
  </si>
  <si>
    <t>102;15</t>
  </si>
  <si>
    <t>103;15</t>
  </si>
  <si>
    <t>104;15</t>
  </si>
  <si>
    <t>105;15</t>
  </si>
  <si>
    <t>106;15</t>
  </si>
  <si>
    <t>107;15</t>
  </si>
  <si>
    <t>108;15</t>
  </si>
  <si>
    <t>109;15</t>
  </si>
  <si>
    <t>110;15</t>
  </si>
  <si>
    <t>111;15</t>
  </si>
  <si>
    <t>112;15</t>
  </si>
  <si>
    <t>113;15</t>
  </si>
  <si>
    <t>114;15</t>
  </si>
  <si>
    <t>115;15</t>
  </si>
  <si>
    <t>116;15</t>
  </si>
  <si>
    <t>24;14</t>
  </si>
  <si>
    <t>25;14</t>
  </si>
  <si>
    <t>26;14</t>
  </si>
  <si>
    <t>27;14</t>
  </si>
  <si>
    <t>28;14</t>
  </si>
  <si>
    <t>29;14</t>
  </si>
  <si>
    <t>30;14</t>
  </si>
  <si>
    <t>31;14</t>
  </si>
  <si>
    <t>32;14</t>
  </si>
  <si>
    <t>33;14</t>
  </si>
  <si>
    <t>34;14</t>
  </si>
  <si>
    <t>35;14</t>
  </si>
  <si>
    <t>36;14</t>
  </si>
  <si>
    <t>37;14</t>
  </si>
  <si>
    <t>38;14</t>
  </si>
  <si>
    <t>39;14</t>
  </si>
  <si>
    <t>40;14</t>
  </si>
  <si>
    <t>41;14</t>
  </si>
  <si>
    <t>42;14</t>
  </si>
  <si>
    <t>43;14</t>
  </si>
  <si>
    <t>44;14</t>
  </si>
  <si>
    <t>45;14</t>
  </si>
  <si>
    <t>46;14</t>
  </si>
  <si>
    <t>47;14</t>
  </si>
  <si>
    <t>48;14</t>
  </si>
  <si>
    <t>49;14</t>
  </si>
  <si>
    <t>50;14</t>
  </si>
  <si>
    <t>51;14</t>
  </si>
  <si>
    <t>52;14</t>
  </si>
  <si>
    <t>53;14</t>
  </si>
  <si>
    <t>54;14</t>
  </si>
  <si>
    <t>55;14</t>
  </si>
  <si>
    <t>56;14</t>
  </si>
  <si>
    <t>57;14</t>
  </si>
  <si>
    <t>58;14</t>
  </si>
  <si>
    <t>59;14</t>
  </si>
  <si>
    <t>60;14</t>
  </si>
  <si>
    <t>61;14</t>
  </si>
  <si>
    <t>62;14</t>
  </si>
  <si>
    <t>63;14</t>
  </si>
  <si>
    <t>64;14</t>
  </si>
  <si>
    <t>65;14</t>
  </si>
  <si>
    <t>66;14</t>
  </si>
  <si>
    <t>67;14</t>
  </si>
  <si>
    <t>68;14</t>
  </si>
  <si>
    <t>69;14</t>
  </si>
  <si>
    <t>70;14</t>
  </si>
  <si>
    <t>71;14</t>
  </si>
  <si>
    <t>72;14</t>
  </si>
  <si>
    <t>73;14</t>
  </si>
  <si>
    <t>74;14</t>
  </si>
  <si>
    <t>75;14</t>
  </si>
  <si>
    <t>76;14</t>
  </si>
  <si>
    <t>77;14</t>
  </si>
  <si>
    <t>78;14</t>
  </si>
  <si>
    <t>79;14</t>
  </si>
  <si>
    <t>80;14</t>
  </si>
  <si>
    <t>81;14</t>
  </si>
  <si>
    <t>82;14</t>
  </si>
  <si>
    <t>83;14</t>
  </si>
  <si>
    <t>84;14</t>
  </si>
  <si>
    <t>85;14</t>
  </si>
  <si>
    <t>86;14</t>
  </si>
  <si>
    <t>87;14</t>
  </si>
  <si>
    <t>88;14</t>
  </si>
  <si>
    <t>89;14</t>
  </si>
  <si>
    <t>90;14</t>
  </si>
  <si>
    <t>91;14</t>
  </si>
  <si>
    <t>92;14</t>
  </si>
  <si>
    <t>93;14</t>
  </si>
  <si>
    <t>94;14</t>
  </si>
  <si>
    <t>95;14</t>
  </si>
  <si>
    <t>96;14</t>
  </si>
  <si>
    <t>97;14</t>
  </si>
  <si>
    <t>98;14</t>
  </si>
  <si>
    <t>99;14</t>
  </si>
  <si>
    <t>100;14</t>
  </si>
  <si>
    <t>101;14</t>
  </si>
  <si>
    <t>102;14</t>
  </si>
  <si>
    <t>103;14</t>
  </si>
  <si>
    <t>104;14</t>
  </si>
  <si>
    <t>105;14</t>
  </si>
  <si>
    <t>106;14</t>
  </si>
  <si>
    <t>107;14</t>
  </si>
  <si>
    <t>108;14</t>
  </si>
  <si>
    <t>109;14</t>
  </si>
  <si>
    <t>110;14</t>
  </si>
  <si>
    <t>111;14</t>
  </si>
  <si>
    <t>112;14</t>
  </si>
  <si>
    <t>113;14</t>
  </si>
  <si>
    <t>114;14</t>
  </si>
  <si>
    <t>115;14</t>
  </si>
  <si>
    <t>116;14</t>
  </si>
  <si>
    <t>24;13</t>
  </si>
  <si>
    <t>25;13</t>
  </si>
  <si>
    <t>26;13</t>
  </si>
  <si>
    <t>27;13</t>
  </si>
  <si>
    <t>28;13</t>
  </si>
  <si>
    <t>29;13</t>
  </si>
  <si>
    <t>30;13</t>
  </si>
  <si>
    <t>31;13</t>
  </si>
  <si>
    <t>32;13</t>
  </si>
  <si>
    <t>33;13</t>
  </si>
  <si>
    <t>34;13</t>
  </si>
  <si>
    <t>35;13</t>
  </si>
  <si>
    <t>36;13</t>
  </si>
  <si>
    <t>37;13</t>
  </si>
  <si>
    <t>38;13</t>
  </si>
  <si>
    <t>39;13</t>
  </si>
  <si>
    <t>40;13</t>
  </si>
  <si>
    <t>41;13</t>
  </si>
  <si>
    <t>42;13</t>
  </si>
  <si>
    <t>43;13</t>
  </si>
  <si>
    <t>44;13</t>
  </si>
  <si>
    <t>45;13</t>
  </si>
  <si>
    <t>46;13</t>
  </si>
  <si>
    <t>47;13</t>
  </si>
  <si>
    <t>48;13</t>
  </si>
  <si>
    <t>49;13</t>
  </si>
  <si>
    <t>50;13</t>
  </si>
  <si>
    <t>51;13</t>
  </si>
  <si>
    <t>52;13</t>
  </si>
  <si>
    <t>53;13</t>
  </si>
  <si>
    <t>54;13</t>
  </si>
  <si>
    <t>55;13</t>
  </si>
  <si>
    <t>56;13</t>
  </si>
  <si>
    <t>57;13</t>
  </si>
  <si>
    <t>58;13</t>
  </si>
  <si>
    <t>59;13</t>
  </si>
  <si>
    <t>60;13</t>
  </si>
  <si>
    <t>61;13</t>
  </si>
  <si>
    <t>62;13</t>
  </si>
  <si>
    <t>63;13</t>
  </si>
  <si>
    <t>64;13</t>
  </si>
  <si>
    <t>65;13</t>
  </si>
  <si>
    <t>66;13</t>
  </si>
  <si>
    <t>67;13</t>
  </si>
  <si>
    <t>68;13</t>
  </si>
  <si>
    <t>69;13</t>
  </si>
  <si>
    <t>70;13</t>
  </si>
  <si>
    <t>71;13</t>
  </si>
  <si>
    <t>72;13</t>
  </si>
  <si>
    <t>73;13</t>
  </si>
  <si>
    <t>74;13</t>
  </si>
  <si>
    <t>75;13</t>
  </si>
  <si>
    <t>76;13</t>
  </si>
  <si>
    <t>77;13</t>
  </si>
  <si>
    <t>78;13</t>
  </si>
  <si>
    <t>79;13</t>
  </si>
  <si>
    <t>80;13</t>
  </si>
  <si>
    <t>81;13</t>
  </si>
  <si>
    <t>82;13</t>
  </si>
  <si>
    <t>83;13</t>
  </si>
  <si>
    <t>84;13</t>
  </si>
  <si>
    <t>85;13</t>
  </si>
  <si>
    <t>86;13</t>
  </si>
  <si>
    <t>87;13</t>
  </si>
  <si>
    <t>88;13</t>
  </si>
  <si>
    <t>89;13</t>
  </si>
  <si>
    <t>90;13</t>
  </si>
  <si>
    <t>91;13</t>
  </si>
  <si>
    <t>92;13</t>
  </si>
  <si>
    <t>93;13</t>
  </si>
  <si>
    <t>94;13</t>
  </si>
  <si>
    <t>95;13</t>
  </si>
  <si>
    <t>96;13</t>
  </si>
  <si>
    <t>97;13</t>
  </si>
  <si>
    <t>98;13</t>
  </si>
  <si>
    <t>99;13</t>
  </si>
  <si>
    <t>100;13</t>
  </si>
  <si>
    <t>101;13</t>
  </si>
  <si>
    <t>102;13</t>
  </si>
  <si>
    <t>103;13</t>
  </si>
  <si>
    <t>104;13</t>
  </si>
  <si>
    <t>105;13</t>
  </si>
  <si>
    <t>106;13</t>
  </si>
  <si>
    <t>107;13</t>
  </si>
  <si>
    <t>108;13</t>
  </si>
  <si>
    <t>109;13</t>
  </si>
  <si>
    <t>110;13</t>
  </si>
  <si>
    <t>111;13</t>
  </si>
  <si>
    <t>112;13</t>
  </si>
  <si>
    <t>113;13</t>
  </si>
  <si>
    <t>114;13</t>
  </si>
  <si>
    <t>115;13</t>
  </si>
  <si>
    <t>116;13</t>
  </si>
  <si>
    <t>24;12</t>
  </si>
  <si>
    <t>25;12</t>
  </si>
  <si>
    <t>26;12</t>
  </si>
  <si>
    <t>27;12</t>
  </si>
  <si>
    <t>28;12</t>
  </si>
  <si>
    <t>29;12</t>
  </si>
  <si>
    <t>30;12</t>
  </si>
  <si>
    <t>31;12</t>
  </si>
  <si>
    <t>32;12</t>
  </si>
  <si>
    <t>33;12</t>
  </si>
  <si>
    <t>34;12</t>
  </si>
  <si>
    <t>35;12</t>
  </si>
  <si>
    <t>36;12</t>
  </si>
  <si>
    <t>37;12</t>
  </si>
  <si>
    <t>38;12</t>
  </si>
  <si>
    <t>39;12</t>
  </si>
  <si>
    <t>40;12</t>
  </si>
  <si>
    <t>41;12</t>
  </si>
  <si>
    <t>42;12</t>
  </si>
  <si>
    <t>43;12</t>
  </si>
  <si>
    <t>44;12</t>
  </si>
  <si>
    <t>45;12</t>
  </si>
  <si>
    <t>46;12</t>
  </si>
  <si>
    <t>47;12</t>
  </si>
  <si>
    <t>48;12</t>
  </si>
  <si>
    <t>49;12</t>
  </si>
  <si>
    <t>50;12</t>
  </si>
  <si>
    <t>51;12</t>
  </si>
  <si>
    <t>52;12</t>
  </si>
  <si>
    <t>53;12</t>
  </si>
  <si>
    <t>54;12</t>
  </si>
  <si>
    <t>55;12</t>
  </si>
  <si>
    <t>56;12</t>
  </si>
  <si>
    <t>57;12</t>
  </si>
  <si>
    <t>58;12</t>
  </si>
  <si>
    <t>59;12</t>
  </si>
  <si>
    <t>60;12</t>
  </si>
  <si>
    <t>61;12</t>
  </si>
  <si>
    <t>62;12</t>
  </si>
  <si>
    <t>63;12</t>
  </si>
  <si>
    <t>64;12</t>
  </si>
  <si>
    <t>65;12</t>
  </si>
  <si>
    <t>66;12</t>
  </si>
  <si>
    <t>67;12</t>
  </si>
  <si>
    <t>68;12</t>
  </si>
  <si>
    <t>69;12</t>
  </si>
  <si>
    <t>70;12</t>
  </si>
  <si>
    <t>71;12</t>
  </si>
  <si>
    <t>72;12</t>
  </si>
  <si>
    <t>73;12</t>
  </si>
  <si>
    <t>74;12</t>
  </si>
  <si>
    <t>75;12</t>
  </si>
  <si>
    <t>76;12</t>
  </si>
  <si>
    <t>77;12</t>
  </si>
  <si>
    <t>78;12</t>
  </si>
  <si>
    <t>79;12</t>
  </si>
  <si>
    <t>80;12</t>
  </si>
  <si>
    <t>81;12</t>
  </si>
  <si>
    <t>82;12</t>
  </si>
  <si>
    <t>83;12</t>
  </si>
  <si>
    <t>84;12</t>
  </si>
  <si>
    <t>85;12</t>
  </si>
  <si>
    <t>86;12</t>
  </si>
  <si>
    <t>87;12</t>
  </si>
  <si>
    <t>88;12</t>
  </si>
  <si>
    <t>89;12</t>
  </si>
  <si>
    <t>90;12</t>
  </si>
  <si>
    <t>91;12</t>
  </si>
  <si>
    <t>92;12</t>
  </si>
  <si>
    <t>93;12</t>
  </si>
  <si>
    <t>94;12</t>
  </si>
  <si>
    <t>95;12</t>
  </si>
  <si>
    <t>96;12</t>
  </si>
  <si>
    <t>97;12</t>
  </si>
  <si>
    <t>98;12</t>
  </si>
  <si>
    <t>99;12</t>
  </si>
  <si>
    <t>100;12</t>
  </si>
  <si>
    <t>101;12</t>
  </si>
  <si>
    <t>102;12</t>
  </si>
  <si>
    <t>103;12</t>
  </si>
  <si>
    <t>104;12</t>
  </si>
  <si>
    <t>105;12</t>
  </si>
  <si>
    <t>106;12</t>
  </si>
  <si>
    <t>107;12</t>
  </si>
  <si>
    <t>108;12</t>
  </si>
  <si>
    <t>109;12</t>
  </si>
  <si>
    <t>110;12</t>
  </si>
  <si>
    <t>111;12</t>
  </si>
  <si>
    <t>112;12</t>
  </si>
  <si>
    <t>113;12</t>
  </si>
  <si>
    <t>114;12</t>
  </si>
  <si>
    <t>115;12</t>
  </si>
  <si>
    <t>116;12</t>
  </si>
  <si>
    <t>24;11</t>
  </si>
  <si>
    <t>25;11</t>
  </si>
  <si>
    <t>26;11</t>
  </si>
  <si>
    <t>27;11</t>
  </si>
  <si>
    <t>28;11</t>
  </si>
  <si>
    <t>29;11</t>
  </si>
  <si>
    <t>30;11</t>
  </si>
  <si>
    <t>31;11</t>
  </si>
  <si>
    <t>32;11</t>
  </si>
  <si>
    <t>33;11</t>
  </si>
  <si>
    <t>34;11</t>
  </si>
  <si>
    <t>35;11</t>
  </si>
  <si>
    <t>36;11</t>
  </si>
  <si>
    <t>37;11</t>
  </si>
  <si>
    <t>38;11</t>
  </si>
  <si>
    <t>39;11</t>
  </si>
  <si>
    <t>40;11</t>
  </si>
  <si>
    <t>41;11</t>
  </si>
  <si>
    <t>42;11</t>
  </si>
  <si>
    <t>43;11</t>
  </si>
  <si>
    <t>44;11</t>
  </si>
  <si>
    <t>45;11</t>
  </si>
  <si>
    <t>46;11</t>
  </si>
  <si>
    <t>47;11</t>
  </si>
  <si>
    <t>48;11</t>
  </si>
  <si>
    <t>49;11</t>
  </si>
  <si>
    <t>50;11</t>
  </si>
  <si>
    <t>51;11</t>
  </si>
  <si>
    <t>52;11</t>
  </si>
  <si>
    <t>53;11</t>
  </si>
  <si>
    <t>54;11</t>
  </si>
  <si>
    <t>55;11</t>
  </si>
  <si>
    <t>56;11</t>
  </si>
  <si>
    <t>57;11</t>
  </si>
  <si>
    <t>58;11</t>
  </si>
  <si>
    <t>59;11</t>
  </si>
  <si>
    <t>60;11</t>
  </si>
  <si>
    <t>61;11</t>
  </si>
  <si>
    <t>62;11</t>
  </si>
  <si>
    <t>63;11</t>
  </si>
  <si>
    <t>64;11</t>
  </si>
  <si>
    <t>65;11</t>
  </si>
  <si>
    <t>66;11</t>
  </si>
  <si>
    <t>67;11</t>
  </si>
  <si>
    <t>68;11</t>
  </si>
  <si>
    <t>69;11</t>
  </si>
  <si>
    <t>70;11</t>
  </si>
  <si>
    <t>71;11</t>
  </si>
  <si>
    <t>72;11</t>
  </si>
  <si>
    <t>73;11</t>
  </si>
  <si>
    <t>74;11</t>
  </si>
  <si>
    <t>75;11</t>
  </si>
  <si>
    <t>76;11</t>
  </si>
  <si>
    <t>77;11</t>
  </si>
  <si>
    <t>78;11</t>
  </si>
  <si>
    <t>79;11</t>
  </si>
  <si>
    <t>80;11</t>
  </si>
  <si>
    <t>81;11</t>
  </si>
  <si>
    <t>82;11</t>
  </si>
  <si>
    <t>83;11</t>
  </si>
  <si>
    <t>84;11</t>
  </si>
  <si>
    <t>85;11</t>
  </si>
  <si>
    <t>86;11</t>
  </si>
  <si>
    <t>87;11</t>
  </si>
  <si>
    <t>88;11</t>
  </si>
  <si>
    <t>89;11</t>
  </si>
  <si>
    <t>90;11</t>
  </si>
  <si>
    <t>91;11</t>
  </si>
  <si>
    <t>92;11</t>
  </si>
  <si>
    <t>93;11</t>
  </si>
  <si>
    <t>94;11</t>
  </si>
  <si>
    <t>95;11</t>
  </si>
  <si>
    <t>96;11</t>
  </si>
  <si>
    <t>97;11</t>
  </si>
  <si>
    <t>98;11</t>
  </si>
  <si>
    <t>99;11</t>
  </si>
  <si>
    <t>100;11</t>
  </si>
  <si>
    <t>101;11</t>
  </si>
  <si>
    <t>102;11</t>
  </si>
  <si>
    <t>103;11</t>
  </si>
  <si>
    <t>104;11</t>
  </si>
  <si>
    <t>105;11</t>
  </si>
  <si>
    <t>106;11</t>
  </si>
  <si>
    <t>107;11</t>
  </si>
  <si>
    <t>108;11</t>
  </si>
  <si>
    <t>109;11</t>
  </si>
  <si>
    <t>110;11</t>
  </si>
  <si>
    <t>111;11</t>
  </si>
  <si>
    <t>112;11</t>
  </si>
  <si>
    <t>113;11</t>
  </si>
  <si>
    <t>114;11</t>
  </si>
  <si>
    <t>115;11</t>
  </si>
  <si>
    <t>116;11</t>
  </si>
  <si>
    <t>24;10</t>
  </si>
  <si>
    <t>25;10</t>
  </si>
  <si>
    <t>26;10</t>
  </si>
  <si>
    <t>27;10</t>
  </si>
  <si>
    <t>28;10</t>
  </si>
  <si>
    <t>29;10</t>
  </si>
  <si>
    <t>30;10</t>
  </si>
  <si>
    <t>31;10</t>
  </si>
  <si>
    <t>32;10</t>
  </si>
  <si>
    <t>33;10</t>
  </si>
  <si>
    <t>34;10</t>
  </si>
  <si>
    <t>35;10</t>
  </si>
  <si>
    <t>36;10</t>
  </si>
  <si>
    <t>37;10</t>
  </si>
  <si>
    <t>38;10</t>
  </si>
  <si>
    <t>39;10</t>
  </si>
  <si>
    <t>40;10</t>
  </si>
  <si>
    <t>41;10</t>
  </si>
  <si>
    <t>42;10</t>
  </si>
  <si>
    <t>43;10</t>
  </si>
  <si>
    <t>44;10</t>
  </si>
  <si>
    <t>45;10</t>
  </si>
  <si>
    <t>46;10</t>
  </si>
  <si>
    <t>47;10</t>
  </si>
  <si>
    <t>48;10</t>
  </si>
  <si>
    <t>49;10</t>
  </si>
  <si>
    <t>50;10</t>
  </si>
  <si>
    <t>51;10</t>
  </si>
  <si>
    <t>52;10</t>
  </si>
  <si>
    <t>53;10</t>
  </si>
  <si>
    <t>54;10</t>
  </si>
  <si>
    <t>55;10</t>
  </si>
  <si>
    <t>56;10</t>
  </si>
  <si>
    <t>57;10</t>
  </si>
  <si>
    <t>58;10</t>
  </si>
  <si>
    <t>59;10</t>
  </si>
  <si>
    <t>60;10</t>
  </si>
  <si>
    <t>61;10</t>
  </si>
  <si>
    <t>62;10</t>
  </si>
  <si>
    <t>63;10</t>
  </si>
  <si>
    <t>64;10</t>
  </si>
  <si>
    <t>65;10</t>
  </si>
  <si>
    <t>66;10</t>
  </si>
  <si>
    <t>67;10</t>
  </si>
  <si>
    <t>68;10</t>
  </si>
  <si>
    <t>69;10</t>
  </si>
  <si>
    <t>70;10</t>
  </si>
  <si>
    <t>71;10</t>
  </si>
  <si>
    <t>72;10</t>
  </si>
  <si>
    <t>73;10</t>
  </si>
  <si>
    <t>74;10</t>
  </si>
  <si>
    <t>75;10</t>
  </si>
  <si>
    <t>76;10</t>
  </si>
  <si>
    <t>77;10</t>
  </si>
  <si>
    <t>78;10</t>
  </si>
  <si>
    <t>79;10</t>
  </si>
  <si>
    <t>80;10</t>
  </si>
  <si>
    <t>81;10</t>
  </si>
  <si>
    <t>82;10</t>
  </si>
  <si>
    <t>83;10</t>
  </si>
  <si>
    <t>84;10</t>
  </si>
  <si>
    <t>85;10</t>
  </si>
  <si>
    <t>86;10</t>
  </si>
  <si>
    <t>87;10</t>
  </si>
  <si>
    <t>88;10</t>
  </si>
  <si>
    <t>89;10</t>
  </si>
  <si>
    <t>90;10</t>
  </si>
  <si>
    <t>91;10</t>
  </si>
  <si>
    <t>92;10</t>
  </si>
  <si>
    <t>93;10</t>
  </si>
  <si>
    <t>94;10</t>
  </si>
  <si>
    <t>95;10</t>
  </si>
  <si>
    <t>96;10</t>
  </si>
  <si>
    <t>97;10</t>
  </si>
  <si>
    <t>98;10</t>
  </si>
  <si>
    <t>99;10</t>
  </si>
  <si>
    <t>100;10</t>
  </si>
  <si>
    <t>101;10</t>
  </si>
  <si>
    <t>102;10</t>
  </si>
  <si>
    <t>103;10</t>
  </si>
  <si>
    <t>104;10</t>
  </si>
  <si>
    <t>105;10</t>
  </si>
  <si>
    <t>106;10</t>
  </si>
  <si>
    <t>107;10</t>
  </si>
  <si>
    <t>108;10</t>
  </si>
  <si>
    <t>109;10</t>
  </si>
  <si>
    <t>110;10</t>
  </si>
  <si>
    <t>111;10</t>
  </si>
  <si>
    <t>112;10</t>
  </si>
  <si>
    <t>113;10</t>
  </si>
  <si>
    <t>114;10</t>
  </si>
  <si>
    <t>115;10</t>
  </si>
  <si>
    <t>116;10</t>
  </si>
  <si>
    <t>24;9</t>
  </si>
  <si>
    <t>25;9</t>
  </si>
  <si>
    <t>26;9</t>
  </si>
  <si>
    <t>27;9</t>
  </si>
  <si>
    <t>28;9</t>
  </si>
  <si>
    <t>29;9</t>
  </si>
  <si>
    <t>30;9</t>
  </si>
  <si>
    <t>31;9</t>
  </si>
  <si>
    <t>32;9</t>
  </si>
  <si>
    <t>33;9</t>
  </si>
  <si>
    <t>34;9</t>
  </si>
  <si>
    <t>35;9</t>
  </si>
  <si>
    <t>36;9</t>
  </si>
  <si>
    <t>37;9</t>
  </si>
  <si>
    <t>38;9</t>
  </si>
  <si>
    <t>39;9</t>
  </si>
  <si>
    <t>40;9</t>
  </si>
  <si>
    <t>41;9</t>
  </si>
  <si>
    <t>42;9</t>
  </si>
  <si>
    <t>43;9</t>
  </si>
  <si>
    <t>44;9</t>
  </si>
  <si>
    <t>45;9</t>
  </si>
  <si>
    <t>46;9</t>
  </si>
  <si>
    <t>47;9</t>
  </si>
  <si>
    <t>48;9</t>
  </si>
  <si>
    <t>49;9</t>
  </si>
  <si>
    <t>50;9</t>
  </si>
  <si>
    <t>51;9</t>
  </si>
  <si>
    <t>52;9</t>
  </si>
  <si>
    <t>53;9</t>
  </si>
  <si>
    <t>54;9</t>
  </si>
  <si>
    <t>55;9</t>
  </si>
  <si>
    <t>56;9</t>
  </si>
  <si>
    <t>57;9</t>
  </si>
  <si>
    <t>58;9</t>
  </si>
  <si>
    <t>59;9</t>
  </si>
  <si>
    <t>60;9</t>
  </si>
  <si>
    <t>61;9</t>
  </si>
  <si>
    <t>62;9</t>
  </si>
  <si>
    <t>63;9</t>
  </si>
  <si>
    <t>64;9</t>
  </si>
  <si>
    <t>65;9</t>
  </si>
  <si>
    <t>66;9</t>
  </si>
  <si>
    <t>67;9</t>
  </si>
  <si>
    <t>68;9</t>
  </si>
  <si>
    <t>69;9</t>
  </si>
  <si>
    <t>70;9</t>
  </si>
  <si>
    <t>71;9</t>
  </si>
  <si>
    <t>72;9</t>
  </si>
  <si>
    <t>73;9</t>
  </si>
  <si>
    <t>74;9</t>
  </si>
  <si>
    <t>75;9</t>
  </si>
  <si>
    <t>76;9</t>
  </si>
  <si>
    <t>77;9</t>
  </si>
  <si>
    <t>78;9</t>
  </si>
  <si>
    <t>79;9</t>
  </si>
  <si>
    <t>80;9</t>
  </si>
  <si>
    <t>81;9</t>
  </si>
  <si>
    <t>82;9</t>
  </si>
  <si>
    <t>83;9</t>
  </si>
  <si>
    <t>84;9</t>
  </si>
  <si>
    <t>85;9</t>
  </si>
  <si>
    <t>86;9</t>
  </si>
  <si>
    <t>87;9</t>
  </si>
  <si>
    <t>88;9</t>
  </si>
  <si>
    <t>89;9</t>
  </si>
  <si>
    <t>90;9</t>
  </si>
  <si>
    <t>91;9</t>
  </si>
  <si>
    <t>92;9</t>
  </si>
  <si>
    <t>93;9</t>
  </si>
  <si>
    <t>94;9</t>
  </si>
  <si>
    <t>95;9</t>
  </si>
  <si>
    <t>96;9</t>
  </si>
  <si>
    <t>97;9</t>
  </si>
  <si>
    <t>98;9</t>
  </si>
  <si>
    <t>99;9</t>
  </si>
  <si>
    <t>100;9</t>
  </si>
  <si>
    <t>101;9</t>
  </si>
  <si>
    <t>102;9</t>
  </si>
  <si>
    <t>103;9</t>
  </si>
  <si>
    <t>104;9</t>
  </si>
  <si>
    <t>105;9</t>
  </si>
  <si>
    <t>106;9</t>
  </si>
  <si>
    <t>107;9</t>
  </si>
  <si>
    <t>108;9</t>
  </si>
  <si>
    <t>109;9</t>
  </si>
  <si>
    <t>110;9</t>
  </si>
  <si>
    <t>111;9</t>
  </si>
  <si>
    <t>112;9</t>
  </si>
  <si>
    <t>113;9</t>
  </si>
  <si>
    <t>114;9</t>
  </si>
  <si>
    <t>115;9</t>
  </si>
  <si>
    <t>116;9</t>
  </si>
  <si>
    <t>24;8</t>
  </si>
  <si>
    <t>25;8</t>
  </si>
  <si>
    <t>26;8</t>
  </si>
  <si>
    <t>27;8</t>
  </si>
  <si>
    <t>28;8</t>
  </si>
  <si>
    <t>29;8</t>
  </si>
  <si>
    <t>30;8</t>
  </si>
  <si>
    <t>31;8</t>
  </si>
  <si>
    <t>32;8</t>
  </si>
  <si>
    <t>33;8</t>
  </si>
  <si>
    <t>34;8</t>
  </si>
  <si>
    <t>35;8</t>
  </si>
  <si>
    <t>36;8</t>
  </si>
  <si>
    <t>37;8</t>
  </si>
  <si>
    <t>38;8</t>
  </si>
  <si>
    <t>39;8</t>
  </si>
  <si>
    <t>40;8</t>
  </si>
  <si>
    <t>41;8</t>
  </si>
  <si>
    <t>42;8</t>
  </si>
  <si>
    <t>43;8</t>
  </si>
  <si>
    <t>44;8</t>
  </si>
  <si>
    <t>45;8</t>
  </si>
  <si>
    <t>46;8</t>
  </si>
  <si>
    <t>47;8</t>
  </si>
  <si>
    <t>48;8</t>
  </si>
  <si>
    <t>49;8</t>
  </si>
  <si>
    <t>50;8</t>
  </si>
  <si>
    <t>51;8</t>
  </si>
  <si>
    <t>52;8</t>
  </si>
  <si>
    <t>53;8</t>
  </si>
  <si>
    <t>54;8</t>
  </si>
  <si>
    <t>55;8</t>
  </si>
  <si>
    <t>56;8</t>
  </si>
  <si>
    <t>57;8</t>
  </si>
  <si>
    <t>58;8</t>
  </si>
  <si>
    <t>59;8</t>
  </si>
  <si>
    <t>60;8</t>
  </si>
  <si>
    <t>61;8</t>
  </si>
  <si>
    <t>62;8</t>
  </si>
  <si>
    <t>63;8</t>
  </si>
  <si>
    <t>64;8</t>
  </si>
  <si>
    <t>65;8</t>
  </si>
  <si>
    <t>66;8</t>
  </si>
  <si>
    <t>67;8</t>
  </si>
  <si>
    <t>68;8</t>
  </si>
  <si>
    <t>69;8</t>
  </si>
  <si>
    <t>70;8</t>
  </si>
  <si>
    <t>71;8</t>
  </si>
  <si>
    <t>72;8</t>
  </si>
  <si>
    <t>73;8</t>
  </si>
  <si>
    <t>74;8</t>
  </si>
  <si>
    <t>75;8</t>
  </si>
  <si>
    <t>76;8</t>
  </si>
  <si>
    <t>77;8</t>
  </si>
  <si>
    <t>78;8</t>
  </si>
  <si>
    <t>79;8</t>
  </si>
  <si>
    <t>80;8</t>
  </si>
  <si>
    <t>81;8</t>
  </si>
  <si>
    <t>82;8</t>
  </si>
  <si>
    <t>83;8</t>
  </si>
  <si>
    <t>84;8</t>
  </si>
  <si>
    <t>85;8</t>
  </si>
  <si>
    <t>86;8</t>
  </si>
  <si>
    <t>87;8</t>
  </si>
  <si>
    <t>88;8</t>
  </si>
  <si>
    <t>89;8</t>
  </si>
  <si>
    <t>90;8</t>
  </si>
  <si>
    <t>91;8</t>
  </si>
  <si>
    <t>92;8</t>
  </si>
  <si>
    <t>93;8</t>
  </si>
  <si>
    <t>94;8</t>
  </si>
  <si>
    <t>95;8</t>
  </si>
  <si>
    <t>96;8</t>
  </si>
  <si>
    <t>97;8</t>
  </si>
  <si>
    <t>98;8</t>
  </si>
  <si>
    <t>99;8</t>
  </si>
  <si>
    <t>100;8</t>
  </si>
  <si>
    <t>101;8</t>
  </si>
  <si>
    <t>102;8</t>
  </si>
  <si>
    <t>103;8</t>
  </si>
  <si>
    <t>104;8</t>
  </si>
  <si>
    <t>105;8</t>
  </si>
  <si>
    <t>106;8</t>
  </si>
  <si>
    <t>107;8</t>
  </si>
  <si>
    <t>108;8</t>
  </si>
  <si>
    <t>109;8</t>
  </si>
  <si>
    <t>110;8</t>
  </si>
  <si>
    <t>111;8</t>
  </si>
  <si>
    <t>112;8</t>
  </si>
  <si>
    <t>113;8</t>
  </si>
  <si>
    <t>114;8</t>
  </si>
  <si>
    <t>115;8</t>
  </si>
  <si>
    <t>116;8</t>
  </si>
  <si>
    <t>24;7</t>
  </si>
  <si>
    <t>25;7</t>
  </si>
  <si>
    <t>26;7</t>
  </si>
  <si>
    <t>27;7</t>
  </si>
  <si>
    <t>28;7</t>
  </si>
  <si>
    <t>29;7</t>
  </si>
  <si>
    <t>30;7</t>
  </si>
  <si>
    <t>31;7</t>
  </si>
  <si>
    <t>32;7</t>
  </si>
  <si>
    <t>33;7</t>
  </si>
  <si>
    <t>34;7</t>
  </si>
  <si>
    <t>35;7</t>
  </si>
  <si>
    <t>36;7</t>
  </si>
  <si>
    <t>37;7</t>
  </si>
  <si>
    <t>38;7</t>
  </si>
  <si>
    <t>39;7</t>
  </si>
  <si>
    <t>40;7</t>
  </si>
  <si>
    <t>41;7</t>
  </si>
  <si>
    <t>42;7</t>
  </si>
  <si>
    <t>43;7</t>
  </si>
  <si>
    <t>44;7</t>
  </si>
  <si>
    <t>45;7</t>
  </si>
  <si>
    <t>46;7</t>
  </si>
  <si>
    <t>47;7</t>
  </si>
  <si>
    <t>48;7</t>
  </si>
  <si>
    <t>49;7</t>
  </si>
  <si>
    <t>50;7</t>
  </si>
  <si>
    <t>51;7</t>
  </si>
  <si>
    <t>52;7</t>
  </si>
  <si>
    <t>53;7</t>
  </si>
  <si>
    <t>54;7</t>
  </si>
  <si>
    <t>55;7</t>
  </si>
  <si>
    <t>56;7</t>
  </si>
  <si>
    <t>57;7</t>
  </si>
  <si>
    <t>58;7</t>
  </si>
  <si>
    <t>59;7</t>
  </si>
  <si>
    <t>60;7</t>
  </si>
  <si>
    <t>61;7</t>
  </si>
  <si>
    <t>62;7</t>
  </si>
  <si>
    <t>63;7</t>
  </si>
  <si>
    <t>64;7</t>
  </si>
  <si>
    <t>65;7</t>
  </si>
  <si>
    <t>66;7</t>
  </si>
  <si>
    <t>67;7</t>
  </si>
  <si>
    <t>68;7</t>
  </si>
  <si>
    <t>69;7</t>
  </si>
  <si>
    <t>70;7</t>
  </si>
  <si>
    <t>71;7</t>
  </si>
  <si>
    <t>72;7</t>
  </si>
  <si>
    <t>73;7</t>
  </si>
  <si>
    <t>74;7</t>
  </si>
  <si>
    <t>75;7</t>
  </si>
  <si>
    <t>76;7</t>
  </si>
  <si>
    <t>77;7</t>
  </si>
  <si>
    <t>78;7</t>
  </si>
  <si>
    <t>79;7</t>
  </si>
  <si>
    <t>80;7</t>
  </si>
  <si>
    <t>81;7</t>
  </si>
  <si>
    <t>82;7</t>
  </si>
  <si>
    <t>83;7</t>
  </si>
  <si>
    <t>84;7</t>
  </si>
  <si>
    <t>85;7</t>
  </si>
  <si>
    <t>86;7</t>
  </si>
  <si>
    <t>87;7</t>
  </si>
  <si>
    <t>88;7</t>
  </si>
  <si>
    <t>89;7</t>
  </si>
  <si>
    <t>90;7</t>
  </si>
  <si>
    <t>91;7</t>
  </si>
  <si>
    <t>92;7</t>
  </si>
  <si>
    <t>93;7</t>
  </si>
  <si>
    <t>94;7</t>
  </si>
  <si>
    <t>95;7</t>
  </si>
  <si>
    <t>96;7</t>
  </si>
  <si>
    <t>97;7</t>
  </si>
  <si>
    <t>98;7</t>
  </si>
  <si>
    <t>99;7</t>
  </si>
  <si>
    <t>100;7</t>
  </si>
  <si>
    <t>101;7</t>
  </si>
  <si>
    <t>102;7</t>
  </si>
  <si>
    <t>103;7</t>
  </si>
  <si>
    <t>104;7</t>
  </si>
  <si>
    <t>105;7</t>
  </si>
  <si>
    <t>106;7</t>
  </si>
  <si>
    <t>107;7</t>
  </si>
  <si>
    <t>108;7</t>
  </si>
  <si>
    <t>109;7</t>
  </si>
  <si>
    <t>110;7</t>
  </si>
  <si>
    <t>111;7</t>
  </si>
  <si>
    <t>112;7</t>
  </si>
  <si>
    <t>113;7</t>
  </si>
  <si>
    <t>114;7</t>
  </si>
  <si>
    <t>115;7</t>
  </si>
  <si>
    <t>116;7</t>
  </si>
  <si>
    <t>24;6</t>
  </si>
  <si>
    <t>25;6</t>
  </si>
  <si>
    <t>26;6</t>
  </si>
  <si>
    <t>27;6</t>
  </si>
  <si>
    <t>28;6</t>
  </si>
  <si>
    <t>29;6</t>
  </si>
  <si>
    <t>30;6</t>
  </si>
  <si>
    <t>31;6</t>
  </si>
  <si>
    <t>32;6</t>
  </si>
  <si>
    <t>33;6</t>
  </si>
  <si>
    <t>34;6</t>
  </si>
  <si>
    <t>35;6</t>
  </si>
  <si>
    <t>36;6</t>
  </si>
  <si>
    <t>37;6</t>
  </si>
  <si>
    <t>38;6</t>
  </si>
  <si>
    <t>39;6</t>
  </si>
  <si>
    <t>40;6</t>
  </si>
  <si>
    <t>41;6</t>
  </si>
  <si>
    <t>42;6</t>
  </si>
  <si>
    <t>43;6</t>
  </si>
  <si>
    <t>44;6</t>
  </si>
  <si>
    <t>45;6</t>
  </si>
  <si>
    <t>46;6</t>
  </si>
  <si>
    <t>47;6</t>
  </si>
  <si>
    <t>48;6</t>
  </si>
  <si>
    <t>49;6</t>
  </si>
  <si>
    <t>50;6</t>
  </si>
  <si>
    <t>51;6</t>
  </si>
  <si>
    <t>52;6</t>
  </si>
  <si>
    <t>53;6</t>
  </si>
  <si>
    <t>54;6</t>
  </si>
  <si>
    <t>55;6</t>
  </si>
  <si>
    <t>56;6</t>
  </si>
  <si>
    <t>57;6</t>
  </si>
  <si>
    <t>58;6</t>
  </si>
  <si>
    <t>59;6</t>
  </si>
  <si>
    <t>60;6</t>
  </si>
  <si>
    <t>61;6</t>
  </si>
  <si>
    <t>62;6</t>
  </si>
  <si>
    <t>63;6</t>
  </si>
  <si>
    <t>64;6</t>
  </si>
  <si>
    <t>65;6</t>
  </si>
  <si>
    <t>66;6</t>
  </si>
  <si>
    <t>67;6</t>
  </si>
  <si>
    <t>68;6</t>
  </si>
  <si>
    <t>69;6</t>
  </si>
  <si>
    <t>70;6</t>
  </si>
  <si>
    <t>71;6</t>
  </si>
  <si>
    <t>72;6</t>
  </si>
  <si>
    <t>73;6</t>
  </si>
  <si>
    <t>74;6</t>
  </si>
  <si>
    <t>75;6</t>
  </si>
  <si>
    <t>76;6</t>
  </si>
  <si>
    <t>77;6</t>
  </si>
  <si>
    <t>78;6</t>
  </si>
  <si>
    <t>79;6</t>
  </si>
  <si>
    <t>80;6</t>
  </si>
  <si>
    <t>81;6</t>
  </si>
  <si>
    <t>82;6</t>
  </si>
  <si>
    <t>83;6</t>
  </si>
  <si>
    <t>84;6</t>
  </si>
  <si>
    <t>85;6</t>
  </si>
  <si>
    <t>86;6</t>
  </si>
  <si>
    <t>87;6</t>
  </si>
  <si>
    <t>88;6</t>
  </si>
  <si>
    <t>89;6</t>
  </si>
  <si>
    <t>90;6</t>
  </si>
  <si>
    <t>91;6</t>
  </si>
  <si>
    <t>92;6</t>
  </si>
  <si>
    <t>93;6</t>
  </si>
  <si>
    <t>94;6</t>
  </si>
  <si>
    <t>95;6</t>
  </si>
  <si>
    <t>96;6</t>
  </si>
  <si>
    <t>97;6</t>
  </si>
  <si>
    <t>98;6</t>
  </si>
  <si>
    <t>99;6</t>
  </si>
  <si>
    <t>100;6</t>
  </si>
  <si>
    <t>101;6</t>
  </si>
  <si>
    <t>102;6</t>
  </si>
  <si>
    <t>103;6</t>
  </si>
  <si>
    <t>104;6</t>
  </si>
  <si>
    <t>105;6</t>
  </si>
  <si>
    <t>106;6</t>
  </si>
  <si>
    <t>107;6</t>
  </si>
  <si>
    <t>108;6</t>
  </si>
  <si>
    <t>109;6</t>
  </si>
  <si>
    <t>110;6</t>
  </si>
  <si>
    <t>111;6</t>
  </si>
  <si>
    <t>112;6</t>
  </si>
  <si>
    <t>113;6</t>
  </si>
  <si>
    <t>114;6</t>
  </si>
  <si>
    <t>115;6</t>
  </si>
  <si>
    <t>116;6</t>
  </si>
  <si>
    <t>24;5</t>
  </si>
  <si>
    <t>25;5</t>
  </si>
  <si>
    <t>26;5</t>
  </si>
  <si>
    <t>27;5</t>
  </si>
  <si>
    <t>28;5</t>
  </si>
  <si>
    <t>29;5</t>
  </si>
  <si>
    <t>30;5</t>
  </si>
  <si>
    <t>31;5</t>
  </si>
  <si>
    <t>32;5</t>
  </si>
  <si>
    <t>33;5</t>
  </si>
  <si>
    <t>34;5</t>
  </si>
  <si>
    <t>35;5</t>
  </si>
  <si>
    <t>36;5</t>
  </si>
  <si>
    <t>37;5</t>
  </si>
  <si>
    <t>38;5</t>
  </si>
  <si>
    <t>39;5</t>
  </si>
  <si>
    <t>40;5</t>
  </si>
  <si>
    <t>41;5</t>
  </si>
  <si>
    <t>42;5</t>
  </si>
  <si>
    <t>43;5</t>
  </si>
  <si>
    <t>44;5</t>
  </si>
  <si>
    <t>45;5</t>
  </si>
  <si>
    <t>46;5</t>
  </si>
  <si>
    <t>47;5</t>
  </si>
  <si>
    <t>48;5</t>
  </si>
  <si>
    <t>49;5</t>
  </si>
  <si>
    <t>50;5</t>
  </si>
  <si>
    <t>51;5</t>
  </si>
  <si>
    <t>52;5</t>
  </si>
  <si>
    <t>53;5</t>
  </si>
  <si>
    <t>54;5</t>
  </si>
  <si>
    <t>55;5</t>
  </si>
  <si>
    <t>56;5</t>
  </si>
  <si>
    <t>57;5</t>
  </si>
  <si>
    <t>58;5</t>
  </si>
  <si>
    <t>59;5</t>
  </si>
  <si>
    <t>60;5</t>
  </si>
  <si>
    <t>61;5</t>
  </si>
  <si>
    <t>62;5</t>
  </si>
  <si>
    <t>63;5</t>
  </si>
  <si>
    <t>64;5</t>
  </si>
  <si>
    <t>65;5</t>
  </si>
  <si>
    <t>66;5</t>
  </si>
  <si>
    <t>67;5</t>
  </si>
  <si>
    <t>68;5</t>
  </si>
  <si>
    <t>69;5</t>
  </si>
  <si>
    <t>70;5</t>
  </si>
  <si>
    <t>71;5</t>
  </si>
  <si>
    <t>72;5</t>
  </si>
  <si>
    <t>73;5</t>
  </si>
  <si>
    <t>74;5</t>
  </si>
  <si>
    <t>75;5</t>
  </si>
  <si>
    <t>76;5</t>
  </si>
  <si>
    <t>77;5</t>
  </si>
  <si>
    <t>78;5</t>
  </si>
  <si>
    <t>79;5</t>
  </si>
  <si>
    <t>80;5</t>
  </si>
  <si>
    <t>81;5</t>
  </si>
  <si>
    <t>82;5</t>
  </si>
  <si>
    <t>83;5</t>
  </si>
  <si>
    <t>84;5</t>
  </si>
  <si>
    <t>85;5</t>
  </si>
  <si>
    <t>86;5</t>
  </si>
  <si>
    <t>87;5</t>
  </si>
  <si>
    <t>88;5</t>
  </si>
  <si>
    <t>89;5</t>
  </si>
  <si>
    <t>90;5</t>
  </si>
  <si>
    <t>91;5</t>
  </si>
  <si>
    <t>92;5</t>
  </si>
  <si>
    <t>93;5</t>
  </si>
  <si>
    <t>94;5</t>
  </si>
  <si>
    <t>95;5</t>
  </si>
  <si>
    <t>96;5</t>
  </si>
  <si>
    <t>97;5</t>
  </si>
  <si>
    <t>98;5</t>
  </si>
  <si>
    <t>99;5</t>
  </si>
  <si>
    <t>100;5</t>
  </si>
  <si>
    <t>101;5</t>
  </si>
  <si>
    <t>102;5</t>
  </si>
  <si>
    <t>103;5</t>
  </si>
  <si>
    <t>104;5</t>
  </si>
  <si>
    <t>105;5</t>
  </si>
  <si>
    <t>106;5</t>
  </si>
  <si>
    <t>107;5</t>
  </si>
  <si>
    <t>108;5</t>
  </si>
  <si>
    <t>109;5</t>
  </si>
  <si>
    <t>110;5</t>
  </si>
  <si>
    <t>111;5</t>
  </si>
  <si>
    <t>112;5</t>
  </si>
  <si>
    <t>113;5</t>
  </si>
  <si>
    <t>114;5</t>
  </si>
  <si>
    <t>115;5</t>
  </si>
  <si>
    <t>116;5</t>
  </si>
  <si>
    <t>24;4</t>
  </si>
  <si>
    <t>25;4</t>
  </si>
  <si>
    <t>26;4</t>
  </si>
  <si>
    <t>27;4</t>
  </si>
  <si>
    <t>28;4</t>
  </si>
  <si>
    <t>29;4</t>
  </si>
  <si>
    <t>30;4</t>
  </si>
  <si>
    <t>31;4</t>
  </si>
  <si>
    <t>32;4</t>
  </si>
  <si>
    <t>33;4</t>
  </si>
  <si>
    <t>34;4</t>
  </si>
  <si>
    <t>35;4</t>
  </si>
  <si>
    <t>36;4</t>
  </si>
  <si>
    <t>37;4</t>
  </si>
  <si>
    <t>38;4</t>
  </si>
  <si>
    <t>39;4</t>
  </si>
  <si>
    <t>40;4</t>
  </si>
  <si>
    <t>41;4</t>
  </si>
  <si>
    <t>42;4</t>
  </si>
  <si>
    <t>43;4</t>
  </si>
  <si>
    <t>44;4</t>
  </si>
  <si>
    <t>45;4</t>
  </si>
  <si>
    <t>46;4</t>
  </si>
  <si>
    <t>47;4</t>
  </si>
  <si>
    <t>48;4</t>
  </si>
  <si>
    <t>49;4</t>
  </si>
  <si>
    <t>50;4</t>
  </si>
  <si>
    <t>51;4</t>
  </si>
  <si>
    <t>52;4</t>
  </si>
  <si>
    <t>53;4</t>
  </si>
  <si>
    <t>54;4</t>
  </si>
  <si>
    <t>55;4</t>
  </si>
  <si>
    <t>56;4</t>
  </si>
  <si>
    <t>57;4</t>
  </si>
  <si>
    <t>58;4</t>
  </si>
  <si>
    <t>59;4</t>
  </si>
  <si>
    <t>60;4</t>
  </si>
  <si>
    <t>61;4</t>
  </si>
  <si>
    <t>62;4</t>
  </si>
  <si>
    <t>63;4</t>
  </si>
  <si>
    <t>64;4</t>
  </si>
  <si>
    <t>65;4</t>
  </si>
  <si>
    <t>66;4</t>
  </si>
  <si>
    <t>67;4</t>
  </si>
  <si>
    <t>68;4</t>
  </si>
  <si>
    <t>69;4</t>
  </si>
  <si>
    <t>70;4</t>
  </si>
  <si>
    <t>71;4</t>
  </si>
  <si>
    <t>72;4</t>
  </si>
  <si>
    <t>73;4</t>
  </si>
  <si>
    <t>74;4</t>
  </si>
  <si>
    <t>75;4</t>
  </si>
  <si>
    <t>76;4</t>
  </si>
  <si>
    <t>77;4</t>
  </si>
  <si>
    <t>78;4</t>
  </si>
  <si>
    <t>79;4</t>
  </si>
  <si>
    <t>80;4</t>
  </si>
  <si>
    <t>81;4</t>
  </si>
  <si>
    <t>82;4</t>
  </si>
  <si>
    <t>83;4</t>
  </si>
  <si>
    <t>84;4</t>
  </si>
  <si>
    <t>85;4</t>
  </si>
  <si>
    <t>86;4</t>
  </si>
  <si>
    <t>87;4</t>
  </si>
  <si>
    <t>88;4</t>
  </si>
  <si>
    <t>89;4</t>
  </si>
  <si>
    <t>90;4</t>
  </si>
  <si>
    <t>91;4</t>
  </si>
  <si>
    <t>92;4</t>
  </si>
  <si>
    <t>93;4</t>
  </si>
  <si>
    <t>94;4</t>
  </si>
  <si>
    <t>95;4</t>
  </si>
  <si>
    <t>96;4</t>
  </si>
  <si>
    <t>97;4</t>
  </si>
  <si>
    <t>98;4</t>
  </si>
  <si>
    <t>99;4</t>
  </si>
  <si>
    <t>100;4</t>
  </si>
  <si>
    <t>101;4</t>
  </si>
  <si>
    <t>102;4</t>
  </si>
  <si>
    <t>103;4</t>
  </si>
  <si>
    <t>104;4</t>
  </si>
  <si>
    <t>105;4</t>
  </si>
  <si>
    <t>106;4</t>
  </si>
  <si>
    <t>107;4</t>
  </si>
  <si>
    <t>108;4</t>
  </si>
  <si>
    <t>109;4</t>
  </si>
  <si>
    <t>110;4</t>
  </si>
  <si>
    <t>111;4</t>
  </si>
  <si>
    <t>112;4</t>
  </si>
  <si>
    <t>113;4</t>
  </si>
  <si>
    <t>114;4</t>
  </si>
  <si>
    <t>115;4</t>
  </si>
  <si>
    <t>116;4</t>
  </si>
  <si>
    <t>24;3</t>
  </si>
  <si>
    <t>25;3</t>
  </si>
  <si>
    <t>26;3</t>
  </si>
  <si>
    <t>27;3</t>
  </si>
  <si>
    <t>28;3</t>
  </si>
  <si>
    <t>29;3</t>
  </si>
  <si>
    <t>30;3</t>
  </si>
  <si>
    <t>31;3</t>
  </si>
  <si>
    <t>32;3</t>
  </si>
  <si>
    <t>33;3</t>
  </si>
  <si>
    <t>34;3</t>
  </si>
  <si>
    <t>35;3</t>
  </si>
  <si>
    <t>36;3</t>
  </si>
  <si>
    <t>37;3</t>
  </si>
  <si>
    <t>38;3</t>
  </si>
  <si>
    <t>39;3</t>
  </si>
  <si>
    <t>40;3</t>
  </si>
  <si>
    <t>41;3</t>
  </si>
  <si>
    <t>42;3</t>
  </si>
  <si>
    <t>43;3</t>
  </si>
  <si>
    <t>44;3</t>
  </si>
  <si>
    <t>45;3</t>
  </si>
  <si>
    <t>46;3</t>
  </si>
  <si>
    <t>47;3</t>
  </si>
  <si>
    <t>48;3</t>
  </si>
  <si>
    <t>49;3</t>
  </si>
  <si>
    <t>50;3</t>
  </si>
  <si>
    <t>51;3</t>
  </si>
  <si>
    <t>52;3</t>
  </si>
  <si>
    <t>53;3</t>
  </si>
  <si>
    <t>54;3</t>
  </si>
  <si>
    <t>55;3</t>
  </si>
  <si>
    <t>56;3</t>
  </si>
  <si>
    <t>57;3</t>
  </si>
  <si>
    <t>58;3</t>
  </si>
  <si>
    <t>59;3</t>
  </si>
  <si>
    <t>60;3</t>
  </si>
  <si>
    <t>61;3</t>
  </si>
  <si>
    <t>62;3</t>
  </si>
  <si>
    <t>63;3</t>
  </si>
  <si>
    <t>64;3</t>
  </si>
  <si>
    <t>65;3</t>
  </si>
  <si>
    <t>66;3</t>
  </si>
  <si>
    <t>67;3</t>
  </si>
  <si>
    <t>68;3</t>
  </si>
  <si>
    <t>69;3</t>
  </si>
  <si>
    <t>70;3</t>
  </si>
  <si>
    <t>71;3</t>
  </si>
  <si>
    <t>72;3</t>
  </si>
  <si>
    <t>73;3</t>
  </si>
  <si>
    <t>74;3</t>
  </si>
  <si>
    <t>75;3</t>
  </si>
  <si>
    <t>76;3</t>
  </si>
  <si>
    <t>77;3</t>
  </si>
  <si>
    <t>78;3</t>
  </si>
  <si>
    <t>79;3</t>
  </si>
  <si>
    <t>80;3</t>
  </si>
  <si>
    <t>81;3</t>
  </si>
  <si>
    <t>82;3</t>
  </si>
  <si>
    <t>83;3</t>
  </si>
  <si>
    <t>84;3</t>
  </si>
  <si>
    <t>85;3</t>
  </si>
  <si>
    <t>86;3</t>
  </si>
  <si>
    <t>87;3</t>
  </si>
  <si>
    <t>88;3</t>
  </si>
  <si>
    <t>89;3</t>
  </si>
  <si>
    <t>90;3</t>
  </si>
  <si>
    <t>91;3</t>
  </si>
  <si>
    <t>92;3</t>
  </si>
  <si>
    <t>93;3</t>
  </si>
  <si>
    <t>94;3</t>
  </si>
  <si>
    <t>95;3</t>
  </si>
  <si>
    <t>96;3</t>
  </si>
  <si>
    <t>97;3</t>
  </si>
  <si>
    <t>98;3</t>
  </si>
  <si>
    <t>99;3</t>
  </si>
  <si>
    <t>100;3</t>
  </si>
  <si>
    <t>101;3</t>
  </si>
  <si>
    <t>102;3</t>
  </si>
  <si>
    <t>103;3</t>
  </si>
  <si>
    <t>104;3</t>
  </si>
  <si>
    <t>105;3</t>
  </si>
  <si>
    <t>106;3</t>
  </si>
  <si>
    <t>107;3</t>
  </si>
  <si>
    <t>108;3</t>
  </si>
  <si>
    <t>109;3</t>
  </si>
  <si>
    <t>110;3</t>
  </si>
  <si>
    <t>111;3</t>
  </si>
  <si>
    <t>112;3</t>
  </si>
  <si>
    <t>113;3</t>
  </si>
  <si>
    <t>114;3</t>
  </si>
  <si>
    <t>115;3</t>
  </si>
  <si>
    <t>116;3</t>
  </si>
  <si>
    <t>24;2</t>
  </si>
  <si>
    <t>25;2</t>
  </si>
  <si>
    <t>26;2</t>
  </si>
  <si>
    <t>27;2</t>
  </si>
  <si>
    <t>28;2</t>
  </si>
  <si>
    <t>29;2</t>
  </si>
  <si>
    <t>30;2</t>
  </si>
  <si>
    <t>31;2</t>
  </si>
  <si>
    <t>32;2</t>
  </si>
  <si>
    <t>33;2</t>
  </si>
  <si>
    <t>34;2</t>
  </si>
  <si>
    <t>35;2</t>
  </si>
  <si>
    <t>36;2</t>
  </si>
  <si>
    <t>37;2</t>
  </si>
  <si>
    <t>38;2</t>
  </si>
  <si>
    <t>39;2</t>
  </si>
  <si>
    <t>40;2</t>
  </si>
  <si>
    <t>41;2</t>
  </si>
  <si>
    <t>42;2</t>
  </si>
  <si>
    <t>43;2</t>
  </si>
  <si>
    <t>44;2</t>
  </si>
  <si>
    <t>45;2</t>
  </si>
  <si>
    <t>46;2</t>
  </si>
  <si>
    <t>47;2</t>
  </si>
  <si>
    <t>48;2</t>
  </si>
  <si>
    <t>49;2</t>
  </si>
  <si>
    <t>50;2</t>
  </si>
  <si>
    <t>51;2</t>
  </si>
  <si>
    <t>52;2</t>
  </si>
  <si>
    <t>53;2</t>
  </si>
  <si>
    <t>54;2</t>
  </si>
  <si>
    <t>55;2</t>
  </si>
  <si>
    <t>56;2</t>
  </si>
  <si>
    <t>57;2</t>
  </si>
  <si>
    <t>58;2</t>
  </si>
  <si>
    <t>59;2</t>
  </si>
  <si>
    <t>60;2</t>
  </si>
  <si>
    <t>61;2</t>
  </si>
  <si>
    <t>62;2</t>
  </si>
  <si>
    <t>63;2</t>
  </si>
  <si>
    <t>64;2</t>
  </si>
  <si>
    <t>65;2</t>
  </si>
  <si>
    <t>66;2</t>
  </si>
  <si>
    <t>67;2</t>
  </si>
  <si>
    <t>68;2</t>
  </si>
  <si>
    <t>69;2</t>
  </si>
  <si>
    <t>70;2</t>
  </si>
  <si>
    <t>71;2</t>
  </si>
  <si>
    <t>72;2</t>
  </si>
  <si>
    <t>73;2</t>
  </si>
  <si>
    <t>74;2</t>
  </si>
  <si>
    <t>75;2</t>
  </si>
  <si>
    <t>76;2</t>
  </si>
  <si>
    <t>77;2</t>
  </si>
  <si>
    <t>78;2</t>
  </si>
  <si>
    <t>79;2</t>
  </si>
  <si>
    <t>80;2</t>
  </si>
  <si>
    <t>81;2</t>
  </si>
  <si>
    <t>82;2</t>
  </si>
  <si>
    <t>83;2</t>
  </si>
  <si>
    <t>84;2</t>
  </si>
  <si>
    <t>85;2</t>
  </si>
  <si>
    <t>86;2</t>
  </si>
  <si>
    <t>87;2</t>
  </si>
  <si>
    <t>88;2</t>
  </si>
  <si>
    <t>89;2</t>
  </si>
  <si>
    <t>90;2</t>
  </si>
  <si>
    <t>91;2</t>
  </si>
  <si>
    <t>92;2</t>
  </si>
  <si>
    <t>93;2</t>
  </si>
  <si>
    <t>94;2</t>
  </si>
  <si>
    <t>95;2</t>
  </si>
  <si>
    <t>96;2</t>
  </si>
  <si>
    <t>97;2</t>
  </si>
  <si>
    <t>98;2</t>
  </si>
  <si>
    <t>99;2</t>
  </si>
  <si>
    <t>100;2</t>
  </si>
  <si>
    <t>101;2</t>
  </si>
  <si>
    <t>102;2</t>
  </si>
  <si>
    <t>103;2</t>
  </si>
  <si>
    <t>104;2</t>
  </si>
  <si>
    <t>105;2</t>
  </si>
  <si>
    <t>106;2</t>
  </si>
  <si>
    <t>107;2</t>
  </si>
  <si>
    <t>108;2</t>
  </si>
  <si>
    <t>109;2</t>
  </si>
  <si>
    <t>110;2</t>
  </si>
  <si>
    <t>111;2</t>
  </si>
  <si>
    <t>112;2</t>
  </si>
  <si>
    <t>113;2</t>
  </si>
  <si>
    <t>114;2</t>
  </si>
  <si>
    <t>115;2</t>
  </si>
  <si>
    <t>116;2</t>
  </si>
  <si>
    <t>24;1</t>
  </si>
  <si>
    <t>25;1</t>
  </si>
  <si>
    <t>26;1</t>
  </si>
  <si>
    <t>27;1</t>
  </si>
  <si>
    <t>28;1</t>
  </si>
  <si>
    <t>29;1</t>
  </si>
  <si>
    <t>30;1</t>
  </si>
  <si>
    <t>31;1</t>
  </si>
  <si>
    <t>32;1</t>
  </si>
  <si>
    <t>33;1</t>
  </si>
  <si>
    <t>34;1</t>
  </si>
  <si>
    <t>35;1</t>
  </si>
  <si>
    <t>36;1</t>
  </si>
  <si>
    <t>37;1</t>
  </si>
  <si>
    <t>38;1</t>
  </si>
  <si>
    <t>39;1</t>
  </si>
  <si>
    <t>40;1</t>
  </si>
  <si>
    <t>41;1</t>
  </si>
  <si>
    <t>42;1</t>
  </si>
  <si>
    <t>43;1</t>
  </si>
  <si>
    <t>44;1</t>
  </si>
  <si>
    <t>45;1</t>
  </si>
  <si>
    <t>46;1</t>
  </si>
  <si>
    <t>47;1</t>
  </si>
  <si>
    <t>48;1</t>
  </si>
  <si>
    <t>49;1</t>
  </si>
  <si>
    <t>50;1</t>
  </si>
  <si>
    <t>51;1</t>
  </si>
  <si>
    <t>52;1</t>
  </si>
  <si>
    <t>53;1</t>
  </si>
  <si>
    <t>54;1</t>
  </si>
  <si>
    <t>55;1</t>
  </si>
  <si>
    <t>56;1</t>
  </si>
  <si>
    <t>57;1</t>
  </si>
  <si>
    <t>58;1</t>
  </si>
  <si>
    <t>59;1</t>
  </si>
  <si>
    <t>60;1</t>
  </si>
  <si>
    <t>61;1</t>
  </si>
  <si>
    <t>62;1</t>
  </si>
  <si>
    <t>63;1</t>
  </si>
  <si>
    <t>64;1</t>
  </si>
  <si>
    <t>65;1</t>
  </si>
  <si>
    <t>66;1</t>
  </si>
  <si>
    <t>67;1</t>
  </si>
  <si>
    <t>68;1</t>
  </si>
  <si>
    <t>69;1</t>
  </si>
  <si>
    <t>70;1</t>
  </si>
  <si>
    <t>71;1</t>
  </si>
  <si>
    <t>72;1</t>
  </si>
  <si>
    <t>73;1</t>
  </si>
  <si>
    <t>74;1</t>
  </si>
  <si>
    <t>75;1</t>
  </si>
  <si>
    <t>76;1</t>
  </si>
  <si>
    <t>77;1</t>
  </si>
  <si>
    <t>78;1</t>
  </si>
  <si>
    <t>79;1</t>
  </si>
  <si>
    <t>80;1</t>
  </si>
  <si>
    <t>81;1</t>
  </si>
  <si>
    <t>82;1</t>
  </si>
  <si>
    <t>83;1</t>
  </si>
  <si>
    <t>84;1</t>
  </si>
  <si>
    <t>85;1</t>
  </si>
  <si>
    <t>86;1</t>
  </si>
  <si>
    <t>87;1</t>
  </si>
  <si>
    <t>88;1</t>
  </si>
  <si>
    <t>89;1</t>
  </si>
  <si>
    <t>90;1</t>
  </si>
  <si>
    <t>91;1</t>
  </si>
  <si>
    <t>92;1</t>
  </si>
  <si>
    <t>93;1</t>
  </si>
  <si>
    <t>94;1</t>
  </si>
  <si>
    <t>95;1</t>
  </si>
  <si>
    <t>96;1</t>
  </si>
  <si>
    <t>97;1</t>
  </si>
  <si>
    <t>98;1</t>
  </si>
  <si>
    <t>99;1</t>
  </si>
  <si>
    <t>100;1</t>
  </si>
  <si>
    <t>101;1</t>
  </si>
  <si>
    <t>102;1</t>
  </si>
  <si>
    <t>103;1</t>
  </si>
  <si>
    <t>104;1</t>
  </si>
  <si>
    <t>105;1</t>
  </si>
  <si>
    <t>106;1</t>
  </si>
  <si>
    <t>107;1</t>
  </si>
  <si>
    <t>108;1</t>
  </si>
  <si>
    <t>109;1</t>
  </si>
  <si>
    <t>110;1</t>
  </si>
  <si>
    <t>111;1</t>
  </si>
  <si>
    <t>112;1</t>
  </si>
  <si>
    <t>113;1</t>
  </si>
  <si>
    <t>114;1</t>
  </si>
  <si>
    <t>115;1</t>
  </si>
  <si>
    <t>116;1</t>
  </si>
  <si>
    <t>24;0</t>
  </si>
  <si>
    <t>25;0</t>
  </si>
  <si>
    <t>26;0</t>
  </si>
  <si>
    <t>27;0</t>
  </si>
  <si>
    <t>28;0</t>
  </si>
  <si>
    <t>29;0</t>
  </si>
  <si>
    <t>30;0</t>
  </si>
  <si>
    <t>31;0</t>
  </si>
  <si>
    <t>32;0</t>
  </si>
  <si>
    <t>33;0</t>
  </si>
  <si>
    <t>34;0</t>
  </si>
  <si>
    <t>35;0</t>
  </si>
  <si>
    <t>36;0</t>
  </si>
  <si>
    <t>37;0</t>
  </si>
  <si>
    <t>38;0</t>
  </si>
  <si>
    <t>39;0</t>
  </si>
  <si>
    <t>40;0</t>
  </si>
  <si>
    <t>41;0</t>
  </si>
  <si>
    <t>42;0</t>
  </si>
  <si>
    <t>43;0</t>
  </si>
  <si>
    <t>44;0</t>
  </si>
  <si>
    <t>45;0</t>
  </si>
  <si>
    <t>46;0</t>
  </si>
  <si>
    <t>47;0</t>
  </si>
  <si>
    <t>48;0</t>
  </si>
  <si>
    <t>49;0</t>
  </si>
  <si>
    <t>50;0</t>
  </si>
  <si>
    <t>51;0</t>
  </si>
  <si>
    <t>52;0</t>
  </si>
  <si>
    <t>53;0</t>
  </si>
  <si>
    <t>54;0</t>
  </si>
  <si>
    <t>55;0</t>
  </si>
  <si>
    <t>56;0</t>
  </si>
  <si>
    <t>57;0</t>
  </si>
  <si>
    <t>58;0</t>
  </si>
  <si>
    <t>59;0</t>
  </si>
  <si>
    <t>60;0</t>
  </si>
  <si>
    <t>61;0</t>
  </si>
  <si>
    <t>62;0</t>
  </si>
  <si>
    <t>63;0</t>
  </si>
  <si>
    <t>64;0</t>
  </si>
  <si>
    <t>65;0</t>
  </si>
  <si>
    <t>66;0</t>
  </si>
  <si>
    <t>67;0</t>
  </si>
  <si>
    <t>68;0</t>
  </si>
  <si>
    <t>69;0</t>
  </si>
  <si>
    <t>70;0</t>
  </si>
  <si>
    <t>71;0</t>
  </si>
  <si>
    <t>72;0</t>
  </si>
  <si>
    <t>73;0</t>
  </si>
  <si>
    <t>74;0</t>
  </si>
  <si>
    <t>75;0</t>
  </si>
  <si>
    <t>76;0</t>
  </si>
  <si>
    <t>77;0</t>
  </si>
  <si>
    <t>78;0</t>
  </si>
  <si>
    <t>79;0</t>
  </si>
  <si>
    <t>80;0</t>
  </si>
  <si>
    <t>81;0</t>
  </si>
  <si>
    <t>82;0</t>
  </si>
  <si>
    <t>83;0</t>
  </si>
  <si>
    <t>84;0</t>
  </si>
  <si>
    <t>85;0</t>
  </si>
  <si>
    <t>86;0</t>
  </si>
  <si>
    <t>87;0</t>
  </si>
  <si>
    <t>88;0</t>
  </si>
  <si>
    <t>89;0</t>
  </si>
  <si>
    <t>90;0</t>
  </si>
  <si>
    <t>91;0</t>
  </si>
  <si>
    <t>92;0</t>
  </si>
  <si>
    <t>93;0</t>
  </si>
  <si>
    <t>94;0</t>
  </si>
  <si>
    <t>95;0</t>
  </si>
  <si>
    <t>96;0</t>
  </si>
  <si>
    <t>97;0</t>
  </si>
  <si>
    <t>98;0</t>
  </si>
  <si>
    <t>99;0</t>
  </si>
  <si>
    <t>100;0</t>
  </si>
  <si>
    <t>101;0</t>
  </si>
  <si>
    <t>102;0</t>
  </si>
  <si>
    <t>103;0</t>
  </si>
  <si>
    <t>104;0</t>
  </si>
  <si>
    <t>105;0</t>
  </si>
  <si>
    <t>106;0</t>
  </si>
  <si>
    <t>107;0</t>
  </si>
  <si>
    <t>108;0</t>
  </si>
  <si>
    <t>109;0</t>
  </si>
  <si>
    <t>110;0</t>
  </si>
  <si>
    <t>111;0</t>
  </si>
  <si>
    <t>112;0</t>
  </si>
  <si>
    <t>113;0</t>
  </si>
  <si>
    <t>114;0</t>
  </si>
  <si>
    <t>115;0</t>
  </si>
  <si>
    <t>116;0</t>
  </si>
  <si>
    <t>24;-1</t>
  </si>
  <si>
    <t>25;-1</t>
  </si>
  <si>
    <t>26;-1</t>
  </si>
  <si>
    <t>27;-1</t>
  </si>
  <si>
    <t>28;-1</t>
  </si>
  <si>
    <t>29;-1</t>
  </si>
  <si>
    <t>30;-1</t>
  </si>
  <si>
    <t>31;-1</t>
  </si>
  <si>
    <t>32;-1</t>
  </si>
  <si>
    <t>33;-1</t>
  </si>
  <si>
    <t>34;-1</t>
  </si>
  <si>
    <t>35;-1</t>
  </si>
  <si>
    <t>36;-1</t>
  </si>
  <si>
    <t>37;-1</t>
  </si>
  <si>
    <t>38;-1</t>
  </si>
  <si>
    <t>39;-1</t>
  </si>
  <si>
    <t>40;-1</t>
  </si>
  <si>
    <t>41;-1</t>
  </si>
  <si>
    <t>42;-1</t>
  </si>
  <si>
    <t>43;-1</t>
  </si>
  <si>
    <t>44;-1</t>
  </si>
  <si>
    <t>45;-1</t>
  </si>
  <si>
    <t>46;-1</t>
  </si>
  <si>
    <t>47;-1</t>
  </si>
  <si>
    <t>48;-1</t>
  </si>
  <si>
    <t>49;-1</t>
  </si>
  <si>
    <t>50;-1</t>
  </si>
  <si>
    <t>51;-1</t>
  </si>
  <si>
    <t>52;-1</t>
  </si>
  <si>
    <t>53;-1</t>
  </si>
  <si>
    <t>54;-1</t>
  </si>
  <si>
    <t>55;-1</t>
  </si>
  <si>
    <t>56;-1</t>
  </si>
  <si>
    <t>57;-1</t>
  </si>
  <si>
    <t>58;-1</t>
  </si>
  <si>
    <t>59;-1</t>
  </si>
  <si>
    <t>60;-1</t>
  </si>
  <si>
    <t>61;-1</t>
  </si>
  <si>
    <t>62;-1</t>
  </si>
  <si>
    <t>63;-1</t>
  </si>
  <si>
    <t>64;-1</t>
  </si>
  <si>
    <t>65;-1</t>
  </si>
  <si>
    <t>66;-1</t>
  </si>
  <si>
    <t>67;-1</t>
  </si>
  <si>
    <t>68;-1</t>
  </si>
  <si>
    <t>69;-1</t>
  </si>
  <si>
    <t>70;-1</t>
  </si>
  <si>
    <t>71;-1</t>
  </si>
  <si>
    <t>72;-1</t>
  </si>
  <si>
    <t>73;-1</t>
  </si>
  <si>
    <t>74;-1</t>
  </si>
  <si>
    <t>75;-1</t>
  </si>
  <si>
    <t>76;-1</t>
  </si>
  <si>
    <t>77;-1</t>
  </si>
  <si>
    <t>78;-1</t>
  </si>
  <si>
    <t>79;-1</t>
  </si>
  <si>
    <t>80;-1</t>
  </si>
  <si>
    <t>81;-1</t>
  </si>
  <si>
    <t>82;-1</t>
  </si>
  <si>
    <t>83;-1</t>
  </si>
  <si>
    <t>84;-1</t>
  </si>
  <si>
    <t>85;-1</t>
  </si>
  <si>
    <t>86;-1</t>
  </si>
  <si>
    <t>87;-1</t>
  </si>
  <si>
    <t>88;-1</t>
  </si>
  <si>
    <t>89;-1</t>
  </si>
  <si>
    <t>90;-1</t>
  </si>
  <si>
    <t>91;-1</t>
  </si>
  <si>
    <t>92;-1</t>
  </si>
  <si>
    <t>93;-1</t>
  </si>
  <si>
    <t>94;-1</t>
  </si>
  <si>
    <t>95;-1</t>
  </si>
  <si>
    <t>96;-1</t>
  </si>
  <si>
    <t>97;-1</t>
  </si>
  <si>
    <t>98;-1</t>
  </si>
  <si>
    <t>99;-1</t>
  </si>
  <si>
    <t>100;-1</t>
  </si>
  <si>
    <t>101;-1</t>
  </si>
  <si>
    <t>102;-1</t>
  </si>
  <si>
    <t>103;-1</t>
  </si>
  <si>
    <t>104;-1</t>
  </si>
  <si>
    <t>105;-1</t>
  </si>
  <si>
    <t>106;-1</t>
  </si>
  <si>
    <t>107;-1</t>
  </si>
  <si>
    <t>108;-1</t>
  </si>
  <si>
    <t>109;-1</t>
  </si>
  <si>
    <t>110;-1</t>
  </si>
  <si>
    <t>111;-1</t>
  </si>
  <si>
    <t>112;-1</t>
  </si>
  <si>
    <t>113;-1</t>
  </si>
  <si>
    <t>114;-1</t>
  </si>
  <si>
    <t>115;-1</t>
  </si>
  <si>
    <t>116;-1</t>
  </si>
  <si>
    <t>24;-2</t>
  </si>
  <si>
    <t>25;-2</t>
  </si>
  <si>
    <t>26;-2</t>
  </si>
  <si>
    <t>27;-2</t>
  </si>
  <si>
    <t>28;-2</t>
  </si>
  <si>
    <t>29;-2</t>
  </si>
  <si>
    <t>30;-2</t>
  </si>
  <si>
    <t>31;-2</t>
  </si>
  <si>
    <t>32;-2</t>
  </si>
  <si>
    <t>33;-2</t>
  </si>
  <si>
    <t>34;-2</t>
  </si>
  <si>
    <t>35;-2</t>
  </si>
  <si>
    <t>36;-2</t>
  </si>
  <si>
    <t>37;-2</t>
  </si>
  <si>
    <t>38;-2</t>
  </si>
  <si>
    <t>39;-2</t>
  </si>
  <si>
    <t>40;-2</t>
  </si>
  <si>
    <t>41;-2</t>
  </si>
  <si>
    <t>42;-2</t>
  </si>
  <si>
    <t>43;-2</t>
  </si>
  <si>
    <t>44;-2</t>
  </si>
  <si>
    <t>45;-2</t>
  </si>
  <si>
    <t>46;-2</t>
  </si>
  <si>
    <t>47;-2</t>
  </si>
  <si>
    <t>48;-2</t>
  </si>
  <si>
    <t>49;-2</t>
  </si>
  <si>
    <t>50;-2</t>
  </si>
  <si>
    <t>51;-2</t>
  </si>
  <si>
    <t>52;-2</t>
  </si>
  <si>
    <t>53;-2</t>
  </si>
  <si>
    <t>54;-2</t>
  </si>
  <si>
    <t>55;-2</t>
  </si>
  <si>
    <t>56;-2</t>
  </si>
  <si>
    <t>57;-2</t>
  </si>
  <si>
    <t>58;-2</t>
  </si>
  <si>
    <t>59;-2</t>
  </si>
  <si>
    <t>60;-2</t>
  </si>
  <si>
    <t>61;-2</t>
  </si>
  <si>
    <t>62;-2</t>
  </si>
  <si>
    <t>63;-2</t>
  </si>
  <si>
    <t>64;-2</t>
  </si>
  <si>
    <t>65;-2</t>
  </si>
  <si>
    <t>66;-2</t>
  </si>
  <si>
    <t>67;-2</t>
  </si>
  <si>
    <t>68;-2</t>
  </si>
  <si>
    <t>69;-2</t>
  </si>
  <si>
    <t>70;-2</t>
  </si>
  <si>
    <t>71;-2</t>
  </si>
  <si>
    <t>72;-2</t>
  </si>
  <si>
    <t>73;-2</t>
  </si>
  <si>
    <t>74;-2</t>
  </si>
  <si>
    <t>75;-2</t>
  </si>
  <si>
    <t>76;-2</t>
  </si>
  <si>
    <t>77;-2</t>
  </si>
  <si>
    <t>78;-2</t>
  </si>
  <si>
    <t>79;-2</t>
  </si>
  <si>
    <t>80;-2</t>
  </si>
  <si>
    <t>81;-2</t>
  </si>
  <si>
    <t>82;-2</t>
  </si>
  <si>
    <t>83;-2</t>
  </si>
  <si>
    <t>84;-2</t>
  </si>
  <si>
    <t>85;-2</t>
  </si>
  <si>
    <t>86;-2</t>
  </si>
  <si>
    <t>87;-2</t>
  </si>
  <si>
    <t>88;-2</t>
  </si>
  <si>
    <t>89;-2</t>
  </si>
  <si>
    <t>90;-2</t>
  </si>
  <si>
    <t>91;-2</t>
  </si>
  <si>
    <t>92;-2</t>
  </si>
  <si>
    <t>93;-2</t>
  </si>
  <si>
    <t>94;-2</t>
  </si>
  <si>
    <t>95;-2</t>
  </si>
  <si>
    <t>96;-2</t>
  </si>
  <si>
    <t>97;-2</t>
  </si>
  <si>
    <t>98;-2</t>
  </si>
  <si>
    <t>99;-2</t>
  </si>
  <si>
    <t>100;-2</t>
  </si>
  <si>
    <t>101;-2</t>
  </si>
  <si>
    <t>102;-2</t>
  </si>
  <si>
    <t>103;-2</t>
  </si>
  <si>
    <t>104;-2</t>
  </si>
  <si>
    <t>105;-2</t>
  </si>
  <si>
    <t>106;-2</t>
  </si>
  <si>
    <t>107;-2</t>
  </si>
  <si>
    <t>108;-2</t>
  </si>
  <si>
    <t>109;-2</t>
  </si>
  <si>
    <t>110;-2</t>
  </si>
  <si>
    <t>111;-2</t>
  </si>
  <si>
    <t>112;-2</t>
  </si>
  <si>
    <t>113;-2</t>
  </si>
  <si>
    <t>114;-2</t>
  </si>
  <si>
    <t>115;-2</t>
  </si>
  <si>
    <t>116;-2</t>
  </si>
  <si>
    <t>24;-3</t>
  </si>
  <si>
    <t>25;-3</t>
  </si>
  <si>
    <t>26;-3</t>
  </si>
  <si>
    <t>27;-3</t>
  </si>
  <si>
    <t>28;-3</t>
  </si>
  <si>
    <t>29;-3</t>
  </si>
  <si>
    <t>30;-3</t>
  </si>
  <si>
    <t>31;-3</t>
  </si>
  <si>
    <t>32;-3</t>
  </si>
  <si>
    <t>33;-3</t>
  </si>
  <si>
    <t>34;-3</t>
  </si>
  <si>
    <t>35;-3</t>
  </si>
  <si>
    <t>36;-3</t>
  </si>
  <si>
    <t>37;-3</t>
  </si>
  <si>
    <t>38;-3</t>
  </si>
  <si>
    <t>39;-3</t>
  </si>
  <si>
    <t>40;-3</t>
  </si>
  <si>
    <t>41;-3</t>
  </si>
  <si>
    <t>42;-3</t>
  </si>
  <si>
    <t>43;-3</t>
  </si>
  <si>
    <t>44;-3</t>
  </si>
  <si>
    <t>45;-3</t>
  </si>
  <si>
    <t>46;-3</t>
  </si>
  <si>
    <t>47;-3</t>
  </si>
  <si>
    <t>48;-3</t>
  </si>
  <si>
    <t>49;-3</t>
  </si>
  <si>
    <t>50;-3</t>
  </si>
  <si>
    <t>51;-3</t>
  </si>
  <si>
    <t>52;-3</t>
  </si>
  <si>
    <t>53;-3</t>
  </si>
  <si>
    <t>54;-3</t>
  </si>
  <si>
    <t>55;-3</t>
  </si>
  <si>
    <t>56;-3</t>
  </si>
  <si>
    <t>57;-3</t>
  </si>
  <si>
    <t>58;-3</t>
  </si>
  <si>
    <t>59;-3</t>
  </si>
  <si>
    <t>60;-3</t>
  </si>
  <si>
    <t>61;-3</t>
  </si>
  <si>
    <t>62;-3</t>
  </si>
  <si>
    <t>63;-3</t>
  </si>
  <si>
    <t>64;-3</t>
  </si>
  <si>
    <t>65;-3</t>
  </si>
  <si>
    <t>66;-3</t>
  </si>
  <si>
    <t>67;-3</t>
  </si>
  <si>
    <t>68;-3</t>
  </si>
  <si>
    <t>69;-3</t>
  </si>
  <si>
    <t>70;-3</t>
  </si>
  <si>
    <t>71;-3</t>
  </si>
  <si>
    <t>72;-3</t>
  </si>
  <si>
    <t>73;-3</t>
  </si>
  <si>
    <t>74;-3</t>
  </si>
  <si>
    <t>75;-3</t>
  </si>
  <si>
    <t>76;-3</t>
  </si>
  <si>
    <t>77;-3</t>
  </si>
  <si>
    <t>78;-3</t>
  </si>
  <si>
    <t>79;-3</t>
  </si>
  <si>
    <t>80;-3</t>
  </si>
  <si>
    <t>81;-3</t>
  </si>
  <si>
    <t>82;-3</t>
  </si>
  <si>
    <t>83;-3</t>
  </si>
  <si>
    <t>84;-3</t>
  </si>
  <si>
    <t>85;-3</t>
  </si>
  <si>
    <t>86;-3</t>
  </si>
  <si>
    <t>87;-3</t>
  </si>
  <si>
    <t>88;-3</t>
  </si>
  <si>
    <t>89;-3</t>
  </si>
  <si>
    <t>90;-3</t>
  </si>
  <si>
    <t>91;-3</t>
  </si>
  <si>
    <t>92;-3</t>
  </si>
  <si>
    <t>93;-3</t>
  </si>
  <si>
    <t>94;-3</t>
  </si>
  <si>
    <t>95;-3</t>
  </si>
  <si>
    <t>96;-3</t>
  </si>
  <si>
    <t>97;-3</t>
  </si>
  <si>
    <t>98;-3</t>
  </si>
  <si>
    <t>99;-3</t>
  </si>
  <si>
    <t>100;-3</t>
  </si>
  <si>
    <t>101;-3</t>
  </si>
  <si>
    <t>102;-3</t>
  </si>
  <si>
    <t>103;-3</t>
  </si>
  <si>
    <t>104;-3</t>
  </si>
  <si>
    <t>105;-3</t>
  </si>
  <si>
    <t>106;-3</t>
  </si>
  <si>
    <t>107;-3</t>
  </si>
  <si>
    <t>108;-3</t>
  </si>
  <si>
    <t>109;-3</t>
  </si>
  <si>
    <t>110;-3</t>
  </si>
  <si>
    <t>111;-3</t>
  </si>
  <si>
    <t>112;-3</t>
  </si>
  <si>
    <t>113;-3</t>
  </si>
  <si>
    <t>114;-3</t>
  </si>
  <si>
    <t>115;-3</t>
  </si>
  <si>
    <t>116;-3</t>
  </si>
  <si>
    <t>24;-4</t>
  </si>
  <si>
    <t>25;-4</t>
  </si>
  <si>
    <t>26;-4</t>
  </si>
  <si>
    <t>27;-4</t>
  </si>
  <si>
    <t>28;-4</t>
  </si>
  <si>
    <t>29;-4</t>
  </si>
  <si>
    <t>30;-4</t>
  </si>
  <si>
    <t>31;-4</t>
  </si>
  <si>
    <t>32;-4</t>
  </si>
  <si>
    <t>33;-4</t>
  </si>
  <si>
    <t>34;-4</t>
  </si>
  <si>
    <t>35;-4</t>
  </si>
  <si>
    <t>36;-4</t>
  </si>
  <si>
    <t>37;-4</t>
  </si>
  <si>
    <t>38;-4</t>
  </si>
  <si>
    <t>39;-4</t>
  </si>
  <si>
    <t>40;-4</t>
  </si>
  <si>
    <t>41;-4</t>
  </si>
  <si>
    <t>42;-4</t>
  </si>
  <si>
    <t>43;-4</t>
  </si>
  <si>
    <t>44;-4</t>
  </si>
  <si>
    <t>45;-4</t>
  </si>
  <si>
    <t>46;-4</t>
  </si>
  <si>
    <t>47;-4</t>
  </si>
  <si>
    <t>48;-4</t>
  </si>
  <si>
    <t>49;-4</t>
  </si>
  <si>
    <t>50;-4</t>
  </si>
  <si>
    <t>51;-4</t>
  </si>
  <si>
    <t>52;-4</t>
  </si>
  <si>
    <t>53;-4</t>
  </si>
  <si>
    <t>54;-4</t>
  </si>
  <si>
    <t>55;-4</t>
  </si>
  <si>
    <t>56;-4</t>
  </si>
  <si>
    <t>57;-4</t>
  </si>
  <si>
    <t>58;-4</t>
  </si>
  <si>
    <t>59;-4</t>
  </si>
  <si>
    <t>60;-4</t>
  </si>
  <si>
    <t>61;-4</t>
  </si>
  <si>
    <t>62;-4</t>
  </si>
  <si>
    <t>63;-4</t>
  </si>
  <si>
    <t>64;-4</t>
  </si>
  <si>
    <t>65;-4</t>
  </si>
  <si>
    <t>66;-4</t>
  </si>
  <si>
    <t>67;-4</t>
  </si>
  <si>
    <t>68;-4</t>
  </si>
  <si>
    <t>69;-4</t>
  </si>
  <si>
    <t>70;-4</t>
  </si>
  <si>
    <t>71;-4</t>
  </si>
  <si>
    <t>72;-4</t>
  </si>
  <si>
    <t>73;-4</t>
  </si>
  <si>
    <t>74;-4</t>
  </si>
  <si>
    <t>75;-4</t>
  </si>
  <si>
    <t>76;-4</t>
  </si>
  <si>
    <t>77;-4</t>
  </si>
  <si>
    <t>78;-4</t>
  </si>
  <si>
    <t>79;-4</t>
  </si>
  <si>
    <t>80;-4</t>
  </si>
  <si>
    <t>81;-4</t>
  </si>
  <si>
    <t>82;-4</t>
  </si>
  <si>
    <t>83;-4</t>
  </si>
  <si>
    <t>84;-4</t>
  </si>
  <si>
    <t>85;-4</t>
  </si>
  <si>
    <t>86;-4</t>
  </si>
  <si>
    <t>87;-4</t>
  </si>
  <si>
    <t>88;-4</t>
  </si>
  <si>
    <t>89;-4</t>
  </si>
  <si>
    <t>90;-4</t>
  </si>
  <si>
    <t>91;-4</t>
  </si>
  <si>
    <t>92;-4</t>
  </si>
  <si>
    <t>93;-4</t>
  </si>
  <si>
    <t>94;-4</t>
  </si>
  <si>
    <t>95;-4</t>
  </si>
  <si>
    <t>96;-4</t>
  </si>
  <si>
    <t>97;-4</t>
  </si>
  <si>
    <t>98;-4</t>
  </si>
  <si>
    <t>99;-4</t>
  </si>
  <si>
    <t>100;-4</t>
  </si>
  <si>
    <t>101;-4</t>
  </si>
  <si>
    <t>102;-4</t>
  </si>
  <si>
    <t>103;-4</t>
  </si>
  <si>
    <t>104;-4</t>
  </si>
  <si>
    <t>105;-4</t>
  </si>
  <si>
    <t>106;-4</t>
  </si>
  <si>
    <t>107;-4</t>
  </si>
  <si>
    <t>108;-4</t>
  </si>
  <si>
    <t>109;-4</t>
  </si>
  <si>
    <t>110;-4</t>
  </si>
  <si>
    <t>111;-4</t>
  </si>
  <si>
    <t>112;-4</t>
  </si>
  <si>
    <t>113;-4</t>
  </si>
  <si>
    <t>114;-4</t>
  </si>
  <si>
    <t>115;-4</t>
  </si>
  <si>
    <t>116;-4</t>
  </si>
  <si>
    <t>24;-5</t>
  </si>
  <si>
    <t>25;-5</t>
  </si>
  <si>
    <t>26;-5</t>
  </si>
  <si>
    <t>27;-5</t>
  </si>
  <si>
    <t>28;-5</t>
  </si>
  <si>
    <t>29;-5</t>
  </si>
  <si>
    <t>30;-5</t>
  </si>
  <si>
    <t>31;-5</t>
  </si>
  <si>
    <t>32;-5</t>
  </si>
  <si>
    <t>33;-5</t>
  </si>
  <si>
    <t>34;-5</t>
  </si>
  <si>
    <t>35;-5</t>
  </si>
  <si>
    <t>36;-5</t>
  </si>
  <si>
    <t>37;-5</t>
  </si>
  <si>
    <t>38;-5</t>
  </si>
  <si>
    <t>39;-5</t>
  </si>
  <si>
    <t>40;-5</t>
  </si>
  <si>
    <t>41;-5</t>
  </si>
  <si>
    <t>42;-5</t>
  </si>
  <si>
    <t>43;-5</t>
  </si>
  <si>
    <t>44;-5</t>
  </si>
  <si>
    <t>45;-5</t>
  </si>
  <si>
    <t>46;-5</t>
  </si>
  <si>
    <t>47;-5</t>
  </si>
  <si>
    <t>48;-5</t>
  </si>
  <si>
    <t>49;-5</t>
  </si>
  <si>
    <t>50;-5</t>
  </si>
  <si>
    <t>51;-5</t>
  </si>
  <si>
    <t>52;-5</t>
  </si>
  <si>
    <t>53;-5</t>
  </si>
  <si>
    <t>54;-5</t>
  </si>
  <si>
    <t>55;-5</t>
  </si>
  <si>
    <t>56;-5</t>
  </si>
  <si>
    <t>57;-5</t>
  </si>
  <si>
    <t>58;-5</t>
  </si>
  <si>
    <t>59;-5</t>
  </si>
  <si>
    <t>60;-5</t>
  </si>
  <si>
    <t>61;-5</t>
  </si>
  <si>
    <t>62;-5</t>
  </si>
  <si>
    <t>63;-5</t>
  </si>
  <si>
    <t>64;-5</t>
  </si>
  <si>
    <t>65;-5</t>
  </si>
  <si>
    <t>66;-5</t>
  </si>
  <si>
    <t>67;-5</t>
  </si>
  <si>
    <t>68;-5</t>
  </si>
  <si>
    <t>69;-5</t>
  </si>
  <si>
    <t>70;-5</t>
  </si>
  <si>
    <t>71;-5</t>
  </si>
  <si>
    <t>72;-5</t>
  </si>
  <si>
    <t>73;-5</t>
  </si>
  <si>
    <t>74;-5</t>
  </si>
  <si>
    <t>75;-5</t>
  </si>
  <si>
    <t>76;-5</t>
  </si>
  <si>
    <t>77;-5</t>
  </si>
  <si>
    <t>78;-5</t>
  </si>
  <si>
    <t>79;-5</t>
  </si>
  <si>
    <t>80;-5</t>
  </si>
  <si>
    <t>81;-5</t>
  </si>
  <si>
    <t>82;-5</t>
  </si>
  <si>
    <t>83;-5</t>
  </si>
  <si>
    <t>84;-5</t>
  </si>
  <si>
    <t>85;-5</t>
  </si>
  <si>
    <t>86;-5</t>
  </si>
  <si>
    <t>87;-5</t>
  </si>
  <si>
    <t>88;-5</t>
  </si>
  <si>
    <t>89;-5</t>
  </si>
  <si>
    <t>90;-5</t>
  </si>
  <si>
    <t>91;-5</t>
  </si>
  <si>
    <t>92;-5</t>
  </si>
  <si>
    <t>93;-5</t>
  </si>
  <si>
    <t>94;-5</t>
  </si>
  <si>
    <t>95;-5</t>
  </si>
  <si>
    <t>96;-5</t>
  </si>
  <si>
    <t>97;-5</t>
  </si>
  <si>
    <t>98;-5</t>
  </si>
  <si>
    <t>99;-5</t>
  </si>
  <si>
    <t>100;-5</t>
  </si>
  <si>
    <t>101;-5</t>
  </si>
  <si>
    <t>102;-5</t>
  </si>
  <si>
    <t>103;-5</t>
  </si>
  <si>
    <t>104;-5</t>
  </si>
  <si>
    <t>105;-5</t>
  </si>
  <si>
    <t>106;-5</t>
  </si>
  <si>
    <t>107;-5</t>
  </si>
  <si>
    <t>108;-5</t>
  </si>
  <si>
    <t>109;-5</t>
  </si>
  <si>
    <t>110;-5</t>
  </si>
  <si>
    <t>111;-5</t>
  </si>
  <si>
    <t>112;-5</t>
  </si>
  <si>
    <t>113;-5</t>
  </si>
  <si>
    <t>114;-5</t>
  </si>
  <si>
    <t>115;-5</t>
  </si>
  <si>
    <t>116;-5</t>
  </si>
  <si>
    <t>23;-6</t>
  </si>
  <si>
    <t>24;-6</t>
  </si>
  <si>
    <t>25;-6</t>
  </si>
  <si>
    <t>26;-6</t>
  </si>
  <si>
    <t>27;-6</t>
  </si>
  <si>
    <t>28;-6</t>
  </si>
  <si>
    <t>29;-6</t>
  </si>
  <si>
    <t>30;-6</t>
  </si>
  <si>
    <t>31;-6</t>
  </si>
  <si>
    <t>32;-6</t>
  </si>
  <si>
    <t>33;-6</t>
  </si>
  <si>
    <t>34;-6</t>
  </si>
  <si>
    <t>35;-6</t>
  </si>
  <si>
    <t>36;-6</t>
  </si>
  <si>
    <t>37;-6</t>
  </si>
  <si>
    <t>38;-6</t>
  </si>
  <si>
    <t>39;-6</t>
  </si>
  <si>
    <t>40;-6</t>
  </si>
  <si>
    <t>41;-6</t>
  </si>
  <si>
    <t>42;-6</t>
  </si>
  <si>
    <t>43;-6</t>
  </si>
  <si>
    <t>44;-6</t>
  </si>
  <si>
    <t>45;-6</t>
  </si>
  <si>
    <t>46;-6</t>
  </si>
  <si>
    <t>47;-6</t>
  </si>
  <si>
    <t>48;-6</t>
  </si>
  <si>
    <t>49;-6</t>
  </si>
  <si>
    <t>50;-6</t>
  </si>
  <si>
    <t>51;-6</t>
  </si>
  <si>
    <t>52;-6</t>
  </si>
  <si>
    <t>53;-6</t>
  </si>
  <si>
    <t>54;-6</t>
  </si>
  <si>
    <t>55;-6</t>
  </si>
  <si>
    <t>56;-6</t>
  </si>
  <si>
    <t>57;-6</t>
  </si>
  <si>
    <t>58;-6</t>
  </si>
  <si>
    <t>59;-6</t>
  </si>
  <si>
    <t>60;-6</t>
  </si>
  <si>
    <t>61;-6</t>
  </si>
  <si>
    <t>62;-6</t>
  </si>
  <si>
    <t>63;-6</t>
  </si>
  <si>
    <t>64;-6</t>
  </si>
  <si>
    <t>65;-6</t>
  </si>
  <si>
    <t>66;-6</t>
  </si>
  <si>
    <t>67;-6</t>
  </si>
  <si>
    <t>68;-6</t>
  </si>
  <si>
    <t>69;-6</t>
  </si>
  <si>
    <t>70;-6</t>
  </si>
  <si>
    <t>71;-6</t>
  </si>
  <si>
    <t>72;-6</t>
  </si>
  <si>
    <t>73;-6</t>
  </si>
  <si>
    <t>74;-6</t>
  </si>
  <si>
    <t>75;-6</t>
  </si>
  <si>
    <t>76;-6</t>
  </si>
  <si>
    <t>77;-6</t>
  </si>
  <si>
    <t>78;-6</t>
  </si>
  <si>
    <t>79;-6</t>
  </si>
  <si>
    <t>80;-6</t>
  </si>
  <si>
    <t>81;-6</t>
  </si>
  <si>
    <t>82;-6</t>
  </si>
  <si>
    <t>83;-6</t>
  </si>
  <si>
    <t>84;-6</t>
  </si>
  <si>
    <t>85;-6</t>
  </si>
  <si>
    <t>86;-6</t>
  </si>
  <si>
    <t>87;-6</t>
  </si>
  <si>
    <t>88;-6</t>
  </si>
  <si>
    <t>89;-6</t>
  </si>
  <si>
    <t>90;-6</t>
  </si>
  <si>
    <t>91;-6</t>
  </si>
  <si>
    <t>92;-6</t>
  </si>
  <si>
    <t>93;-6</t>
  </si>
  <si>
    <t>94;-6</t>
  </si>
  <si>
    <t>95;-6</t>
  </si>
  <si>
    <t>96;-6</t>
  </si>
  <si>
    <t>97;-6</t>
  </si>
  <si>
    <t>98;-6</t>
  </si>
  <si>
    <t>99;-6</t>
  </si>
  <si>
    <t>100;-6</t>
  </si>
  <si>
    <t>101;-6</t>
  </si>
  <si>
    <t>102;-6</t>
  </si>
  <si>
    <t>103;-6</t>
  </si>
  <si>
    <t>104;-6</t>
  </si>
  <si>
    <t>105;-6</t>
  </si>
  <si>
    <t>106;-6</t>
  </si>
  <si>
    <t>107;-6</t>
  </si>
  <si>
    <t>108;-6</t>
  </si>
  <si>
    <t>109;-6</t>
  </si>
  <si>
    <t>110;-6</t>
  </si>
  <si>
    <t>111;-6</t>
  </si>
  <si>
    <t>112;-6</t>
  </si>
  <si>
    <t>113;-6</t>
  </si>
  <si>
    <t>114;-6</t>
  </si>
  <si>
    <t>115;-6</t>
  </si>
  <si>
    <t>116;-6</t>
  </si>
  <si>
    <t>23;-7</t>
  </si>
  <si>
    <t>24;-7</t>
  </si>
  <si>
    <t>25;-7</t>
  </si>
  <si>
    <t>26;-7</t>
  </si>
  <si>
    <t>27;-7</t>
  </si>
  <si>
    <t>28;-7</t>
  </si>
  <si>
    <t>29;-7</t>
  </si>
  <si>
    <t>30;-7</t>
  </si>
  <si>
    <t>31;-7</t>
  </si>
  <si>
    <t>32;-7</t>
  </si>
  <si>
    <t>33;-7</t>
  </si>
  <si>
    <t>34;-7</t>
  </si>
  <si>
    <t>35;-7</t>
  </si>
  <si>
    <t>36;-7</t>
  </si>
  <si>
    <t>37;-7</t>
  </si>
  <si>
    <t>38;-7</t>
  </si>
  <si>
    <t>39;-7</t>
  </si>
  <si>
    <t>40;-7</t>
  </si>
  <si>
    <t>41;-7</t>
  </si>
  <si>
    <t>42;-7</t>
  </si>
  <si>
    <t>43;-7</t>
  </si>
  <si>
    <t>44;-7</t>
  </si>
  <si>
    <t>45;-7</t>
  </si>
  <si>
    <t>46;-7</t>
  </si>
  <si>
    <t>47;-7</t>
  </si>
  <si>
    <t>48;-7</t>
  </si>
  <si>
    <t>49;-7</t>
  </si>
  <si>
    <t>50;-7</t>
  </si>
  <si>
    <t>51;-7</t>
  </si>
  <si>
    <t>52;-7</t>
  </si>
  <si>
    <t>53;-7</t>
  </si>
  <si>
    <t>54;-7</t>
  </si>
  <si>
    <t>55;-7</t>
  </si>
  <si>
    <t>56;-7</t>
  </si>
  <si>
    <t>57;-7</t>
  </si>
  <si>
    <t>58;-7</t>
  </si>
  <si>
    <t>59;-7</t>
  </si>
  <si>
    <t>60;-7</t>
  </si>
  <si>
    <t>61;-7</t>
  </si>
  <si>
    <t>62;-7</t>
  </si>
  <si>
    <t>63;-7</t>
  </si>
  <si>
    <t>64;-7</t>
  </si>
  <si>
    <t>65;-7</t>
  </si>
  <si>
    <t>66;-7</t>
  </si>
  <si>
    <t>67;-7</t>
  </si>
  <si>
    <t>68;-7</t>
  </si>
  <si>
    <t>69;-7</t>
  </si>
  <si>
    <t>70;-7</t>
  </si>
  <si>
    <t>71;-7</t>
  </si>
  <si>
    <t>72;-7</t>
  </si>
  <si>
    <t>73;-7</t>
  </si>
  <si>
    <t>74;-7</t>
  </si>
  <si>
    <t>75;-7</t>
  </si>
  <si>
    <t>76;-7</t>
  </si>
  <si>
    <t>77;-7</t>
  </si>
  <si>
    <t>78;-7</t>
  </si>
  <si>
    <t>79;-7</t>
  </si>
  <si>
    <t>80;-7</t>
  </si>
  <si>
    <t>81;-7</t>
  </si>
  <si>
    <t>82;-7</t>
  </si>
  <si>
    <t>83;-7</t>
  </si>
  <si>
    <t>84;-7</t>
  </si>
  <si>
    <t>85;-7</t>
  </si>
  <si>
    <t>86;-7</t>
  </si>
  <si>
    <t>87;-7</t>
  </si>
  <si>
    <t>88;-7</t>
  </si>
  <si>
    <t>89;-7</t>
  </si>
  <si>
    <t>90;-7</t>
  </si>
  <si>
    <t>91;-7</t>
  </si>
  <si>
    <t>92;-7</t>
  </si>
  <si>
    <t>93;-7</t>
  </si>
  <si>
    <t>94;-7</t>
  </si>
  <si>
    <t>95;-7</t>
  </si>
  <si>
    <t>96;-7</t>
  </si>
  <si>
    <t>97;-7</t>
  </si>
  <si>
    <t>98;-7</t>
  </si>
  <si>
    <t>99;-7</t>
  </si>
  <si>
    <t>100;-7</t>
  </si>
  <si>
    <t>101;-7</t>
  </si>
  <si>
    <t>102;-7</t>
  </si>
  <si>
    <t>103;-7</t>
  </si>
  <si>
    <t>104;-7</t>
  </si>
  <si>
    <t>105;-7</t>
  </si>
  <si>
    <t>106;-7</t>
  </si>
  <si>
    <t>107;-7</t>
  </si>
  <si>
    <t>108;-7</t>
  </si>
  <si>
    <t>109;-7</t>
  </si>
  <si>
    <t>110;-7</t>
  </si>
  <si>
    <t>111;-7</t>
  </si>
  <si>
    <t>112;-7</t>
  </si>
  <si>
    <t>113;-7</t>
  </si>
  <si>
    <t>114;-7</t>
  </si>
  <si>
    <t>115;-7</t>
  </si>
  <si>
    <t>116;-7</t>
  </si>
  <si>
    <t>22;-8</t>
  </si>
  <si>
    <t>23;-8</t>
  </si>
  <si>
    <t>24;-8</t>
  </si>
  <si>
    <t>25;-8</t>
  </si>
  <si>
    <t>26;-8</t>
  </si>
  <si>
    <t>27;-8</t>
  </si>
  <si>
    <t>28;-8</t>
  </si>
  <si>
    <t>29;-8</t>
  </si>
  <si>
    <t>30;-8</t>
  </si>
  <si>
    <t>31;-8</t>
  </si>
  <si>
    <t>32;-8</t>
  </si>
  <si>
    <t>33;-8</t>
  </si>
  <si>
    <t>34;-8</t>
  </si>
  <si>
    <t>35;-8</t>
  </si>
  <si>
    <t>36;-8</t>
  </si>
  <si>
    <t>37;-8</t>
  </si>
  <si>
    <t>38;-8</t>
  </si>
  <si>
    <t>39;-8</t>
  </si>
  <si>
    <t>40;-8</t>
  </si>
  <si>
    <t>41;-8</t>
  </si>
  <si>
    <t>42;-8</t>
  </si>
  <si>
    <t>43;-8</t>
  </si>
  <si>
    <t>44;-8</t>
  </si>
  <si>
    <t>45;-8</t>
  </si>
  <si>
    <t>46;-8</t>
  </si>
  <si>
    <t>47;-8</t>
  </si>
  <si>
    <t>48;-8</t>
  </si>
  <si>
    <t>49;-8</t>
  </si>
  <si>
    <t>50;-8</t>
  </si>
  <si>
    <t>51;-8</t>
  </si>
  <si>
    <t>52;-8</t>
  </si>
  <si>
    <t>53;-8</t>
  </si>
  <si>
    <t>54;-8</t>
  </si>
  <si>
    <t>55;-8</t>
  </si>
  <si>
    <t>56;-8</t>
  </si>
  <si>
    <t>57;-8</t>
  </si>
  <si>
    <t>58;-8</t>
  </si>
  <si>
    <t>59;-8</t>
  </si>
  <si>
    <t>60;-8</t>
  </si>
  <si>
    <t>61;-8</t>
  </si>
  <si>
    <t>62;-8</t>
  </si>
  <si>
    <t>63;-8</t>
  </si>
  <si>
    <t>64;-8</t>
  </si>
  <si>
    <t>65;-8</t>
  </si>
  <si>
    <t>66;-8</t>
  </si>
  <si>
    <t>67;-8</t>
  </si>
  <si>
    <t>68;-8</t>
  </si>
  <si>
    <t>69;-8</t>
  </si>
  <si>
    <t>70;-8</t>
  </si>
  <si>
    <t>71;-8</t>
  </si>
  <si>
    <t>72;-8</t>
  </si>
  <si>
    <t>73;-8</t>
  </si>
  <si>
    <t>74;-8</t>
  </si>
  <si>
    <t>75;-8</t>
  </si>
  <si>
    <t>76;-8</t>
  </si>
  <si>
    <t>77;-8</t>
  </si>
  <si>
    <t>78;-8</t>
  </si>
  <si>
    <t>79;-8</t>
  </si>
  <si>
    <t>80;-8</t>
  </si>
  <si>
    <t>81;-8</t>
  </si>
  <si>
    <t>82;-8</t>
  </si>
  <si>
    <t>83;-8</t>
  </si>
  <si>
    <t>84;-8</t>
  </si>
  <si>
    <t>85;-8</t>
  </si>
  <si>
    <t>86;-8</t>
  </si>
  <si>
    <t>87;-8</t>
  </si>
  <si>
    <t>88;-8</t>
  </si>
  <si>
    <t>89;-8</t>
  </si>
  <si>
    <t>90;-8</t>
  </si>
  <si>
    <t>91;-8</t>
  </si>
  <si>
    <t>92;-8</t>
  </si>
  <si>
    <t>93;-8</t>
  </si>
  <si>
    <t>94;-8</t>
  </si>
  <si>
    <t>95;-8</t>
  </si>
  <si>
    <t>96;-8</t>
  </si>
  <si>
    <t>97;-8</t>
  </si>
  <si>
    <t>98;-8</t>
  </si>
  <si>
    <t>99;-8</t>
  </si>
  <si>
    <t>100;-8</t>
  </si>
  <si>
    <t>101;-8</t>
  </si>
  <si>
    <t>102;-8</t>
  </si>
  <si>
    <t>103;-8</t>
  </si>
  <si>
    <t>104;-8</t>
  </si>
  <si>
    <t>105;-8</t>
  </si>
  <si>
    <t>106;-8</t>
  </si>
  <si>
    <t>107;-8</t>
  </si>
  <si>
    <t>108;-8</t>
  </si>
  <si>
    <t>109;-8</t>
  </si>
  <si>
    <t>110;-8</t>
  </si>
  <si>
    <t>111;-8</t>
  </si>
  <si>
    <t>112;-8</t>
  </si>
  <si>
    <t>113;-8</t>
  </si>
  <si>
    <t>114;-8</t>
  </si>
  <si>
    <t>115;-8</t>
  </si>
  <si>
    <t>116;-8</t>
  </si>
  <si>
    <t>21;-9</t>
  </si>
  <si>
    <t>22;-9</t>
  </si>
  <si>
    <t>23;-9</t>
  </si>
  <si>
    <t>24;-9</t>
  </si>
  <si>
    <t>25;-9</t>
  </si>
  <si>
    <t>26;-9</t>
  </si>
  <si>
    <t>27;-9</t>
  </si>
  <si>
    <t>28;-9</t>
  </si>
  <si>
    <t>29;-9</t>
  </si>
  <si>
    <t>30;-9</t>
  </si>
  <si>
    <t>31;-9</t>
  </si>
  <si>
    <t>32;-9</t>
  </si>
  <si>
    <t>33;-9</t>
  </si>
  <si>
    <t>34;-9</t>
  </si>
  <si>
    <t>35;-9</t>
  </si>
  <si>
    <t>36;-9</t>
  </si>
  <si>
    <t>37;-9</t>
  </si>
  <si>
    <t>38;-9</t>
  </si>
  <si>
    <t>39;-9</t>
  </si>
  <si>
    <t>40;-9</t>
  </si>
  <si>
    <t>41;-9</t>
  </si>
  <si>
    <t>42;-9</t>
  </si>
  <si>
    <t>43;-9</t>
  </si>
  <si>
    <t>44;-9</t>
  </si>
  <si>
    <t>45;-9</t>
  </si>
  <si>
    <t>46;-9</t>
  </si>
  <si>
    <t>47;-9</t>
  </si>
  <si>
    <t>48;-9</t>
  </si>
  <si>
    <t>49;-9</t>
  </si>
  <si>
    <t>50;-9</t>
  </si>
  <si>
    <t>51;-9</t>
  </si>
  <si>
    <t>52;-9</t>
  </si>
  <si>
    <t>53;-9</t>
  </si>
  <si>
    <t>54;-9</t>
  </si>
  <si>
    <t>55;-9</t>
  </si>
  <si>
    <t>56;-9</t>
  </si>
  <si>
    <t>57;-9</t>
  </si>
  <si>
    <t>58;-9</t>
  </si>
  <si>
    <t>59;-9</t>
  </si>
  <si>
    <t>60;-9</t>
  </si>
  <si>
    <t>61;-9</t>
  </si>
  <si>
    <t>62;-9</t>
  </si>
  <si>
    <t>63;-9</t>
  </si>
  <si>
    <t>64;-9</t>
  </si>
  <si>
    <t>65;-9</t>
  </si>
  <si>
    <t>66;-9</t>
  </si>
  <si>
    <t>67;-9</t>
  </si>
  <si>
    <t>68;-9</t>
  </si>
  <si>
    <t>69;-9</t>
  </si>
  <si>
    <t>70;-9</t>
  </si>
  <si>
    <t>71;-9</t>
  </si>
  <si>
    <t>72;-9</t>
  </si>
  <si>
    <t>73;-9</t>
  </si>
  <si>
    <t>74;-9</t>
  </si>
  <si>
    <t>75;-9</t>
  </si>
  <si>
    <t>76;-9</t>
  </si>
  <si>
    <t>77;-9</t>
  </si>
  <si>
    <t>78;-9</t>
  </si>
  <si>
    <t>79;-9</t>
  </si>
  <si>
    <t>80;-9</t>
  </si>
  <si>
    <t>81;-9</t>
  </si>
  <si>
    <t>82;-9</t>
  </si>
  <si>
    <t>83;-9</t>
  </si>
  <si>
    <t>84;-9</t>
  </si>
  <si>
    <t>85;-9</t>
  </si>
  <si>
    <t>86;-9</t>
  </si>
  <si>
    <t>87;-9</t>
  </si>
  <si>
    <t>88;-9</t>
  </si>
  <si>
    <t>89;-9</t>
  </si>
  <si>
    <t>90;-9</t>
  </si>
  <si>
    <t>91;-9</t>
  </si>
  <si>
    <t>92;-9</t>
  </si>
  <si>
    <t>93;-9</t>
  </si>
  <si>
    <t>94;-9</t>
  </si>
  <si>
    <t>95;-9</t>
  </si>
  <si>
    <t>96;-9</t>
  </si>
  <si>
    <t>97;-9</t>
  </si>
  <si>
    <t>98;-9</t>
  </si>
  <si>
    <t>99;-9</t>
  </si>
  <si>
    <t>100;-9</t>
  </si>
  <si>
    <t>101;-9</t>
  </si>
  <si>
    <t>102;-9</t>
  </si>
  <si>
    <t>103;-9</t>
  </si>
  <si>
    <t>104;-9</t>
  </si>
  <si>
    <t>105;-9</t>
  </si>
  <si>
    <t>106;-9</t>
  </si>
  <si>
    <t>107;-9</t>
  </si>
  <si>
    <t>108;-9</t>
  </si>
  <si>
    <t>109;-9</t>
  </si>
  <si>
    <t>110;-9</t>
  </si>
  <si>
    <t>111;-9</t>
  </si>
  <si>
    <t>112;-9</t>
  </si>
  <si>
    <t>113;-9</t>
  </si>
  <si>
    <t>114;-9</t>
  </si>
  <si>
    <t>115;-9</t>
  </si>
  <si>
    <t>116;-9</t>
  </si>
  <si>
    <t>21;-10</t>
  </si>
  <si>
    <t>22;-10</t>
  </si>
  <si>
    <t>23;-10</t>
  </si>
  <si>
    <t>24;-10</t>
  </si>
  <si>
    <t>25;-10</t>
  </si>
  <si>
    <t>26;-10</t>
  </si>
  <si>
    <t>27;-10</t>
  </si>
  <si>
    <t>28;-10</t>
  </si>
  <si>
    <t>29;-10</t>
  </si>
  <si>
    <t>30;-10</t>
  </si>
  <si>
    <t>31;-10</t>
  </si>
  <si>
    <t>32;-10</t>
  </si>
  <si>
    <t>33;-10</t>
  </si>
  <si>
    <t>34;-10</t>
  </si>
  <si>
    <t>35;-10</t>
  </si>
  <si>
    <t>36;-10</t>
  </si>
  <si>
    <t>37;-10</t>
  </si>
  <si>
    <t>38;-10</t>
  </si>
  <si>
    <t>39;-10</t>
  </si>
  <si>
    <t>40;-10</t>
  </si>
  <si>
    <t>41;-10</t>
  </si>
  <si>
    <t>42;-10</t>
  </si>
  <si>
    <t>43;-10</t>
  </si>
  <si>
    <t>44;-10</t>
  </si>
  <si>
    <t>45;-10</t>
  </si>
  <si>
    <t>46;-10</t>
  </si>
  <si>
    <t>47;-10</t>
  </si>
  <si>
    <t>48;-10</t>
  </si>
  <si>
    <t>49;-10</t>
  </si>
  <si>
    <t>50;-10</t>
  </si>
  <si>
    <t>51;-10</t>
  </si>
  <si>
    <t>52;-10</t>
  </si>
  <si>
    <t>53;-10</t>
  </si>
  <si>
    <t>54;-10</t>
  </si>
  <si>
    <t>55;-10</t>
  </si>
  <si>
    <t>56;-10</t>
  </si>
  <si>
    <t>57;-10</t>
  </si>
  <si>
    <t>58;-10</t>
  </si>
  <si>
    <t>59;-10</t>
  </si>
  <si>
    <t>60;-10</t>
  </si>
  <si>
    <t>61;-10</t>
  </si>
  <si>
    <t>62;-10</t>
  </si>
  <si>
    <t>63;-10</t>
  </si>
  <si>
    <t>64;-10</t>
  </si>
  <si>
    <t>65;-10</t>
  </si>
  <si>
    <t>66;-10</t>
  </si>
  <si>
    <t>67;-10</t>
  </si>
  <si>
    <t>68;-10</t>
  </si>
  <si>
    <t>69;-10</t>
  </si>
  <si>
    <t>70;-10</t>
  </si>
  <si>
    <t>71;-10</t>
  </si>
  <si>
    <t>72;-10</t>
  </si>
  <si>
    <t>73;-10</t>
  </si>
  <si>
    <t>74;-10</t>
  </si>
  <si>
    <t>75;-10</t>
  </si>
  <si>
    <t>76;-10</t>
  </si>
  <si>
    <t>77;-10</t>
  </si>
  <si>
    <t>78;-10</t>
  </si>
  <si>
    <t>79;-10</t>
  </si>
  <si>
    <t>80;-10</t>
  </si>
  <si>
    <t>81;-10</t>
  </si>
  <si>
    <t>82;-10</t>
  </si>
  <si>
    <t>83;-10</t>
  </si>
  <si>
    <t>84;-10</t>
  </si>
  <si>
    <t>85;-10</t>
  </si>
  <si>
    <t>86;-10</t>
  </si>
  <si>
    <t>87;-10</t>
  </si>
  <si>
    <t>88;-10</t>
  </si>
  <si>
    <t>89;-10</t>
  </si>
  <si>
    <t>90;-10</t>
  </si>
  <si>
    <t>91;-10</t>
  </si>
  <si>
    <t>92;-10</t>
  </si>
  <si>
    <t>93;-10</t>
  </si>
  <si>
    <t>94;-10</t>
  </si>
  <si>
    <t>95;-10</t>
  </si>
  <si>
    <t>96;-10</t>
  </si>
  <si>
    <t>97;-10</t>
  </si>
  <si>
    <t>98;-10</t>
  </si>
  <si>
    <t>99;-10</t>
  </si>
  <si>
    <t>100;-10</t>
  </si>
  <si>
    <t>101;-10</t>
  </si>
  <si>
    <t>102;-10</t>
  </si>
  <si>
    <t>103;-10</t>
  </si>
  <si>
    <t>104;-10</t>
  </si>
  <si>
    <t>105;-10</t>
  </si>
  <si>
    <t>106;-10</t>
  </si>
  <si>
    <t>107;-10</t>
  </si>
  <si>
    <t>108;-10</t>
  </si>
  <si>
    <t>109;-10</t>
  </si>
  <si>
    <t>110;-10</t>
  </si>
  <si>
    <t>111;-10</t>
  </si>
  <si>
    <t>112;-10</t>
  </si>
  <si>
    <t>113;-10</t>
  </si>
  <si>
    <t>114;-10</t>
  </si>
  <si>
    <t>115;-10</t>
  </si>
  <si>
    <t>116;-10</t>
  </si>
  <si>
    <t>20;-11</t>
  </si>
  <si>
    <t>21;-11</t>
  </si>
  <si>
    <t>22;-11</t>
  </si>
  <si>
    <t>23;-11</t>
  </si>
  <si>
    <t>24;-11</t>
  </si>
  <si>
    <t>25;-11</t>
  </si>
  <si>
    <t>26;-11</t>
  </si>
  <si>
    <t>27;-11</t>
  </si>
  <si>
    <t>28;-11</t>
  </si>
  <si>
    <t>29;-11</t>
  </si>
  <si>
    <t>30;-11</t>
  </si>
  <si>
    <t>31;-11</t>
  </si>
  <si>
    <t>32;-11</t>
  </si>
  <si>
    <t>33;-11</t>
  </si>
  <si>
    <t>34;-11</t>
  </si>
  <si>
    <t>35;-11</t>
  </si>
  <si>
    <t>36;-11</t>
  </si>
  <si>
    <t>37;-11</t>
  </si>
  <si>
    <t>38;-11</t>
  </si>
  <si>
    <t>39;-11</t>
  </si>
  <si>
    <t>40;-11</t>
  </si>
  <si>
    <t>41;-11</t>
  </si>
  <si>
    <t>42;-11</t>
  </si>
  <si>
    <t>43;-11</t>
  </si>
  <si>
    <t>44;-11</t>
  </si>
  <si>
    <t>45;-11</t>
  </si>
  <si>
    <t>46;-11</t>
  </si>
  <si>
    <t>47;-11</t>
  </si>
  <si>
    <t>48;-11</t>
  </si>
  <si>
    <t>49;-11</t>
  </si>
  <si>
    <t>50;-11</t>
  </si>
  <si>
    <t>51;-11</t>
  </si>
  <si>
    <t>52;-11</t>
  </si>
  <si>
    <t>53;-11</t>
  </si>
  <si>
    <t>54;-11</t>
  </si>
  <si>
    <t>55;-11</t>
  </si>
  <si>
    <t>56;-11</t>
  </si>
  <si>
    <t>57;-11</t>
  </si>
  <si>
    <t>58;-11</t>
  </si>
  <si>
    <t>59;-11</t>
  </si>
  <si>
    <t>60;-11</t>
  </si>
  <si>
    <t>61;-11</t>
  </si>
  <si>
    <t>62;-11</t>
  </si>
  <si>
    <t>63;-11</t>
  </si>
  <si>
    <t>64;-11</t>
  </si>
  <si>
    <t>65;-11</t>
  </si>
  <si>
    <t>66;-11</t>
  </si>
  <si>
    <t>67;-11</t>
  </si>
  <si>
    <t>68;-11</t>
  </si>
  <si>
    <t>69;-11</t>
  </si>
  <si>
    <t>70;-11</t>
  </si>
  <si>
    <t>71;-11</t>
  </si>
  <si>
    <t>72;-11</t>
  </si>
  <si>
    <t>73;-11</t>
  </si>
  <si>
    <t>74;-11</t>
  </si>
  <si>
    <t>75;-11</t>
  </si>
  <si>
    <t>76;-11</t>
  </si>
  <si>
    <t>77;-11</t>
  </si>
  <si>
    <t>78;-11</t>
  </si>
  <si>
    <t>79;-11</t>
  </si>
  <si>
    <t>80;-11</t>
  </si>
  <si>
    <t>81;-11</t>
  </si>
  <si>
    <t>82;-11</t>
  </si>
  <si>
    <t>83;-11</t>
  </si>
  <si>
    <t>84;-11</t>
  </si>
  <si>
    <t>85;-11</t>
  </si>
  <si>
    <t>86;-11</t>
  </si>
  <si>
    <t>87;-11</t>
  </si>
  <si>
    <t>88;-11</t>
  </si>
  <si>
    <t>89;-11</t>
  </si>
  <si>
    <t>90;-11</t>
  </si>
  <si>
    <t>91;-11</t>
  </si>
  <si>
    <t>92;-11</t>
  </si>
  <si>
    <t>93;-11</t>
  </si>
  <si>
    <t>94;-11</t>
  </si>
  <si>
    <t>95;-11</t>
  </si>
  <si>
    <t>96;-11</t>
  </si>
  <si>
    <t>97;-11</t>
  </si>
  <si>
    <t>98;-11</t>
  </si>
  <si>
    <t>99;-11</t>
  </si>
  <si>
    <t>100;-11</t>
  </si>
  <si>
    <t>101;-11</t>
  </si>
  <si>
    <t>102;-11</t>
  </si>
  <si>
    <t>103;-11</t>
  </si>
  <si>
    <t>104;-11</t>
  </si>
  <si>
    <t>105;-11</t>
  </si>
  <si>
    <t>106;-11</t>
  </si>
  <si>
    <t>107;-11</t>
  </si>
  <si>
    <t>108;-11</t>
  </si>
  <si>
    <t>109;-11</t>
  </si>
  <si>
    <t>110;-11</t>
  </si>
  <si>
    <t>111;-11</t>
  </si>
  <si>
    <t>112;-11</t>
  </si>
  <si>
    <t>113;-11</t>
  </si>
  <si>
    <t>114;-11</t>
  </si>
  <si>
    <t>115;-11</t>
  </si>
  <si>
    <t>116;-11</t>
  </si>
  <si>
    <t>19;-12</t>
  </si>
  <si>
    <t>20;-12</t>
  </si>
  <si>
    <t>21;-12</t>
  </si>
  <si>
    <t>22;-12</t>
  </si>
  <si>
    <t>23;-12</t>
  </si>
  <si>
    <t>24;-12</t>
  </si>
  <si>
    <t>25;-12</t>
  </si>
  <si>
    <t>26;-12</t>
  </si>
  <si>
    <t>27;-12</t>
  </si>
  <si>
    <t>28;-12</t>
  </si>
  <si>
    <t>29;-12</t>
  </si>
  <si>
    <t>30;-12</t>
  </si>
  <si>
    <t>31;-12</t>
  </si>
  <si>
    <t>32;-12</t>
  </si>
  <si>
    <t>33;-12</t>
  </si>
  <si>
    <t>34;-12</t>
  </si>
  <si>
    <t>35;-12</t>
  </si>
  <si>
    <t>36;-12</t>
  </si>
  <si>
    <t>37;-12</t>
  </si>
  <si>
    <t>38;-12</t>
  </si>
  <si>
    <t>39;-12</t>
  </si>
  <si>
    <t>40;-12</t>
  </si>
  <si>
    <t>41;-12</t>
  </si>
  <si>
    <t>42;-12</t>
  </si>
  <si>
    <t>43;-12</t>
  </si>
  <si>
    <t>44;-12</t>
  </si>
  <si>
    <t>45;-12</t>
  </si>
  <si>
    <t>46;-12</t>
  </si>
  <si>
    <t>47;-12</t>
  </si>
  <si>
    <t>48;-12</t>
  </si>
  <si>
    <t>49;-12</t>
  </si>
  <si>
    <t>50;-12</t>
  </si>
  <si>
    <t>51;-12</t>
  </si>
  <si>
    <t>52;-12</t>
  </si>
  <si>
    <t>53;-12</t>
  </si>
  <si>
    <t>54;-12</t>
  </si>
  <si>
    <t>55;-12</t>
  </si>
  <si>
    <t>56;-12</t>
  </si>
  <si>
    <t>57;-12</t>
  </si>
  <si>
    <t>58;-12</t>
  </si>
  <si>
    <t>59;-12</t>
  </si>
  <si>
    <t>60;-12</t>
  </si>
  <si>
    <t>61;-12</t>
  </si>
  <si>
    <t>62;-12</t>
  </si>
  <si>
    <t>63;-12</t>
  </si>
  <si>
    <t>64;-12</t>
  </si>
  <si>
    <t>65;-12</t>
  </si>
  <si>
    <t>66;-12</t>
  </si>
  <si>
    <t>67;-12</t>
  </si>
  <si>
    <t>68;-12</t>
  </si>
  <si>
    <t>69;-12</t>
  </si>
  <si>
    <t>70;-12</t>
  </si>
  <si>
    <t>71;-12</t>
  </si>
  <si>
    <t>72;-12</t>
  </si>
  <si>
    <t>73;-12</t>
  </si>
  <si>
    <t>74;-12</t>
  </si>
  <si>
    <t>75;-12</t>
  </si>
  <si>
    <t>76;-12</t>
  </si>
  <si>
    <t>77;-12</t>
  </si>
  <si>
    <t>78;-12</t>
  </si>
  <si>
    <t>79;-12</t>
  </si>
  <si>
    <t>80;-12</t>
  </si>
  <si>
    <t>81;-12</t>
  </si>
  <si>
    <t>82;-12</t>
  </si>
  <si>
    <t>83;-12</t>
  </si>
  <si>
    <t>84;-12</t>
  </si>
  <si>
    <t>85;-12</t>
  </si>
  <si>
    <t>86;-12</t>
  </si>
  <si>
    <t>87;-12</t>
  </si>
  <si>
    <t>88;-12</t>
  </si>
  <si>
    <t>89;-12</t>
  </si>
  <si>
    <t>90;-12</t>
  </si>
  <si>
    <t>91;-12</t>
  </si>
  <si>
    <t>92;-12</t>
  </si>
  <si>
    <t>93;-12</t>
  </si>
  <si>
    <t>94;-12</t>
  </si>
  <si>
    <t>95;-12</t>
  </si>
  <si>
    <t>96;-12</t>
  </si>
  <si>
    <t>97;-12</t>
  </si>
  <si>
    <t>98;-12</t>
  </si>
  <si>
    <t>99;-12</t>
  </si>
  <si>
    <t>100;-12</t>
  </si>
  <si>
    <t>101;-12</t>
  </si>
  <si>
    <t>102;-12</t>
  </si>
  <si>
    <t>103;-12</t>
  </si>
  <si>
    <t>104;-12</t>
  </si>
  <si>
    <t>105;-12</t>
  </si>
  <si>
    <t>106;-12</t>
  </si>
  <si>
    <t>107;-12</t>
  </si>
  <si>
    <t>108;-12</t>
  </si>
  <si>
    <t>109;-12</t>
  </si>
  <si>
    <t>110;-12</t>
  </si>
  <si>
    <t>111;-12</t>
  </si>
  <si>
    <t>112;-12</t>
  </si>
  <si>
    <t>113;-12</t>
  </si>
  <si>
    <t>114;-12</t>
  </si>
  <si>
    <t>115;-12</t>
  </si>
  <si>
    <t>116;-12</t>
  </si>
  <si>
    <t>17;-13</t>
  </si>
  <si>
    <t>18;-13</t>
  </si>
  <si>
    <t>19;-13</t>
  </si>
  <si>
    <t>20;-13</t>
  </si>
  <si>
    <t>21;-13</t>
  </si>
  <si>
    <t>22;-13</t>
  </si>
  <si>
    <t>23;-13</t>
  </si>
  <si>
    <t>24;-13</t>
  </si>
  <si>
    <t>25;-13</t>
  </si>
  <si>
    <t>26;-13</t>
  </si>
  <si>
    <t>27;-13</t>
  </si>
  <si>
    <t>28;-13</t>
  </si>
  <si>
    <t>29;-13</t>
  </si>
  <si>
    <t>30;-13</t>
  </si>
  <si>
    <t>31;-13</t>
  </si>
  <si>
    <t>32;-13</t>
  </si>
  <si>
    <t>33;-13</t>
  </si>
  <si>
    <t>34;-13</t>
  </si>
  <si>
    <t>35;-13</t>
  </si>
  <si>
    <t>36;-13</t>
  </si>
  <si>
    <t>37;-13</t>
  </si>
  <si>
    <t>38;-13</t>
  </si>
  <si>
    <t>39;-13</t>
  </si>
  <si>
    <t>40;-13</t>
  </si>
  <si>
    <t>41;-13</t>
  </si>
  <si>
    <t>42;-13</t>
  </si>
  <si>
    <t>43;-13</t>
  </si>
  <si>
    <t>44;-13</t>
  </si>
  <si>
    <t>45;-13</t>
  </si>
  <si>
    <t>46;-13</t>
  </si>
  <si>
    <t>47;-13</t>
  </si>
  <si>
    <t>48;-13</t>
  </si>
  <si>
    <t>49;-13</t>
  </si>
  <si>
    <t>50;-13</t>
  </si>
  <si>
    <t>51;-13</t>
  </si>
  <si>
    <t>52;-13</t>
  </si>
  <si>
    <t>53;-13</t>
  </si>
  <si>
    <t>54;-13</t>
  </si>
  <si>
    <t>55;-13</t>
  </si>
  <si>
    <t>56;-13</t>
  </si>
  <si>
    <t>57;-13</t>
  </si>
  <si>
    <t>58;-13</t>
  </si>
  <si>
    <t>59;-13</t>
  </si>
  <si>
    <t>60;-13</t>
  </si>
  <si>
    <t>61;-13</t>
  </si>
  <si>
    <t>62;-13</t>
  </si>
  <si>
    <t>63;-13</t>
  </si>
  <si>
    <t>64;-13</t>
  </si>
  <si>
    <t>65;-13</t>
  </si>
  <si>
    <t>66;-13</t>
  </si>
  <si>
    <t>67;-13</t>
  </si>
  <si>
    <t>68;-13</t>
  </si>
  <si>
    <t>69;-13</t>
  </si>
  <si>
    <t>70;-13</t>
  </si>
  <si>
    <t>71;-13</t>
  </si>
  <si>
    <t>72;-13</t>
  </si>
  <si>
    <t>73;-13</t>
  </si>
  <si>
    <t>74;-13</t>
  </si>
  <si>
    <t>75;-13</t>
  </si>
  <si>
    <t>76;-13</t>
  </si>
  <si>
    <t>77;-13</t>
  </si>
  <si>
    <t>78;-13</t>
  </si>
  <si>
    <t>79;-13</t>
  </si>
  <si>
    <t>80;-13</t>
  </si>
  <si>
    <t>81;-13</t>
  </si>
  <si>
    <t>82;-13</t>
  </si>
  <si>
    <t>83;-13</t>
  </si>
  <si>
    <t>84;-13</t>
  </si>
  <si>
    <t>85;-13</t>
  </si>
  <si>
    <t>86;-13</t>
  </si>
  <si>
    <t>87;-13</t>
  </si>
  <si>
    <t>88;-13</t>
  </si>
  <si>
    <t>89;-13</t>
  </si>
  <si>
    <t>90;-13</t>
  </si>
  <si>
    <t>91;-13</t>
  </si>
  <si>
    <t>92;-13</t>
  </si>
  <si>
    <t>93;-13</t>
  </si>
  <si>
    <t>94;-13</t>
  </si>
  <si>
    <t>95;-13</t>
  </si>
  <si>
    <t>96;-13</t>
  </si>
  <si>
    <t>97;-13</t>
  </si>
  <si>
    <t>98;-13</t>
  </si>
  <si>
    <t>99;-13</t>
  </si>
  <si>
    <t>100;-13</t>
  </si>
  <si>
    <t>101;-13</t>
  </si>
  <si>
    <t>102;-13</t>
  </si>
  <si>
    <t>103;-13</t>
  </si>
  <si>
    <t>104;-13</t>
  </si>
  <si>
    <t>105;-13</t>
  </si>
  <si>
    <t>106;-13</t>
  </si>
  <si>
    <t>107;-13</t>
  </si>
  <si>
    <t>108;-13</t>
  </si>
  <si>
    <t>109;-13</t>
  </si>
  <si>
    <t>110;-13</t>
  </si>
  <si>
    <t>111;-13</t>
  </si>
  <si>
    <t>112;-13</t>
  </si>
  <si>
    <t>113;-13</t>
  </si>
  <si>
    <t>114;-13</t>
  </si>
  <si>
    <t>115;-13</t>
  </si>
  <si>
    <t>15;-14</t>
  </si>
  <si>
    <t>16;-14</t>
  </si>
  <si>
    <t>17;-14</t>
  </si>
  <si>
    <t>18;-14</t>
  </si>
  <si>
    <t>19;-14</t>
  </si>
  <si>
    <t>20;-14</t>
  </si>
  <si>
    <t>21;-14</t>
  </si>
  <si>
    <t>22;-14</t>
  </si>
  <si>
    <t>23;-14</t>
  </si>
  <si>
    <t>24;-14</t>
  </si>
  <si>
    <t>25;-14</t>
  </si>
  <si>
    <t>26;-14</t>
  </si>
  <si>
    <t>27;-14</t>
  </si>
  <si>
    <t>28;-14</t>
  </si>
  <si>
    <t>29;-14</t>
  </si>
  <si>
    <t>30;-14</t>
  </si>
  <si>
    <t>31;-14</t>
  </si>
  <si>
    <t>32;-14</t>
  </si>
  <si>
    <t>33;-14</t>
  </si>
  <si>
    <t>34;-14</t>
  </si>
  <si>
    <t>35;-14</t>
  </si>
  <si>
    <t>36;-14</t>
  </si>
  <si>
    <t>37;-14</t>
  </si>
  <si>
    <t>38;-14</t>
  </si>
  <si>
    <t>39;-14</t>
  </si>
  <si>
    <t>40;-14</t>
  </si>
  <si>
    <t>41;-14</t>
  </si>
  <si>
    <t>42;-14</t>
  </si>
  <si>
    <t>43;-14</t>
  </si>
  <si>
    <t>44;-14</t>
  </si>
  <si>
    <t>45;-14</t>
  </si>
  <si>
    <t>46;-14</t>
  </si>
  <si>
    <t>47;-14</t>
  </si>
  <si>
    <t>48;-14</t>
  </si>
  <si>
    <t>49;-14</t>
  </si>
  <si>
    <t>50;-14</t>
  </si>
  <si>
    <t>51;-14</t>
  </si>
  <si>
    <t>52;-14</t>
  </si>
  <si>
    <t>53;-14</t>
  </si>
  <si>
    <t>54;-14</t>
  </si>
  <si>
    <t>55;-14</t>
  </si>
  <si>
    <t>56;-14</t>
  </si>
  <si>
    <t>57;-14</t>
  </si>
  <si>
    <t>58;-14</t>
  </si>
  <si>
    <t>59;-14</t>
  </si>
  <si>
    <t>60;-14</t>
  </si>
  <si>
    <t>61;-14</t>
  </si>
  <si>
    <t>62;-14</t>
  </si>
  <si>
    <t>63;-14</t>
  </si>
  <si>
    <t>64;-14</t>
  </si>
  <si>
    <t>65;-14</t>
  </si>
  <si>
    <t>66;-14</t>
  </si>
  <si>
    <t>67;-14</t>
  </si>
  <si>
    <t>68;-14</t>
  </si>
  <si>
    <t>69;-14</t>
  </si>
  <si>
    <t>70;-14</t>
  </si>
  <si>
    <t>71;-14</t>
  </si>
  <si>
    <t>72;-14</t>
  </si>
  <si>
    <t>73;-14</t>
  </si>
  <si>
    <t>74;-14</t>
  </si>
  <si>
    <t>75;-14</t>
  </si>
  <si>
    <t>76;-14</t>
  </si>
  <si>
    <t>77;-14</t>
  </si>
  <si>
    <t>78;-14</t>
  </si>
  <si>
    <t>79;-14</t>
  </si>
  <si>
    <t>80;-14</t>
  </si>
  <si>
    <t>81;-14</t>
  </si>
  <si>
    <t>82;-14</t>
  </si>
  <si>
    <t>83;-14</t>
  </si>
  <si>
    <t>84;-14</t>
  </si>
  <si>
    <t>85;-14</t>
  </si>
  <si>
    <t>86;-14</t>
  </si>
  <si>
    <t>87;-14</t>
  </si>
  <si>
    <t>88;-14</t>
  </si>
  <si>
    <t>89;-14</t>
  </si>
  <si>
    <t>90;-14</t>
  </si>
  <si>
    <t>91;-14</t>
  </si>
  <si>
    <t>92;-14</t>
  </si>
  <si>
    <t>93;-14</t>
  </si>
  <si>
    <t>94;-14</t>
  </si>
  <si>
    <t>95;-14</t>
  </si>
  <si>
    <t>96;-14</t>
  </si>
  <si>
    <t>97;-14</t>
  </si>
  <si>
    <t>98;-14</t>
  </si>
  <si>
    <t>99;-14</t>
  </si>
  <si>
    <t>100;-14</t>
  </si>
  <si>
    <t>101;-14</t>
  </si>
  <si>
    <t>102;-14</t>
  </si>
  <si>
    <t>103;-14</t>
  </si>
  <si>
    <t>104;-14</t>
  </si>
  <si>
    <t>105;-14</t>
  </si>
  <si>
    <t>106;-14</t>
  </si>
  <si>
    <t>107;-14</t>
  </si>
  <si>
    <t>108;-14</t>
  </si>
  <si>
    <t>109;-14</t>
  </si>
  <si>
    <t>110;-14</t>
  </si>
  <si>
    <t>111;-14</t>
  </si>
  <si>
    <t>112;-14</t>
  </si>
  <si>
    <t>113;-14</t>
  </si>
  <si>
    <t>114;-14</t>
  </si>
  <si>
    <t>115;-14</t>
  </si>
  <si>
    <t>-13;-15</t>
  </si>
  <si>
    <t>13;-15</t>
  </si>
  <si>
    <t>14;-15</t>
  </si>
  <si>
    <t>15;-15</t>
  </si>
  <si>
    <t>16;-15</t>
  </si>
  <si>
    <t>17;-15</t>
  </si>
  <si>
    <t>18;-15</t>
  </si>
  <si>
    <t>19;-15</t>
  </si>
  <si>
    <t>20;-15</t>
  </si>
  <si>
    <t>21;-15</t>
  </si>
  <si>
    <t>22;-15</t>
  </si>
  <si>
    <t>23;-15</t>
  </si>
  <si>
    <t>24;-15</t>
  </si>
  <si>
    <t>25;-15</t>
  </si>
  <si>
    <t>26;-15</t>
  </si>
  <si>
    <t>27;-15</t>
  </si>
  <si>
    <t>28;-15</t>
  </si>
  <si>
    <t>29;-15</t>
  </si>
  <si>
    <t>30;-15</t>
  </si>
  <si>
    <t>31;-15</t>
  </si>
  <si>
    <t>32;-15</t>
  </si>
  <si>
    <t>33;-15</t>
  </si>
  <si>
    <t>34;-15</t>
  </si>
  <si>
    <t>35;-15</t>
  </si>
  <si>
    <t>36;-15</t>
  </si>
  <si>
    <t>37;-15</t>
  </si>
  <si>
    <t>38;-15</t>
  </si>
  <si>
    <t>39;-15</t>
  </si>
  <si>
    <t>40;-15</t>
  </si>
  <si>
    <t>41;-15</t>
  </si>
  <si>
    <t>42;-15</t>
  </si>
  <si>
    <t>43;-15</t>
  </si>
  <si>
    <t>44;-15</t>
  </si>
  <si>
    <t>45;-15</t>
  </si>
  <si>
    <t>46;-15</t>
  </si>
  <si>
    <t>47;-15</t>
  </si>
  <si>
    <t>48;-15</t>
  </si>
  <si>
    <t>49;-15</t>
  </si>
  <si>
    <t>50;-15</t>
  </si>
  <si>
    <t>51;-15</t>
  </si>
  <si>
    <t>52;-15</t>
  </si>
  <si>
    <t>53;-15</t>
  </si>
  <si>
    <t>54;-15</t>
  </si>
  <si>
    <t>55;-15</t>
  </si>
  <si>
    <t>56;-15</t>
  </si>
  <si>
    <t>57;-15</t>
  </si>
  <si>
    <t>58;-15</t>
  </si>
  <si>
    <t>59;-15</t>
  </si>
  <si>
    <t>60;-15</t>
  </si>
  <si>
    <t>61;-15</t>
  </si>
  <si>
    <t>62;-15</t>
  </si>
  <si>
    <t>63;-15</t>
  </si>
  <si>
    <t>64;-15</t>
  </si>
  <si>
    <t>65;-15</t>
  </si>
  <si>
    <t>66;-15</t>
  </si>
  <si>
    <t>67;-15</t>
  </si>
  <si>
    <t>68;-15</t>
  </si>
  <si>
    <t>69;-15</t>
  </si>
  <si>
    <t>70;-15</t>
  </si>
  <si>
    <t>71;-15</t>
  </si>
  <si>
    <t>72;-15</t>
  </si>
  <si>
    <t>73;-15</t>
  </si>
  <si>
    <t>74;-15</t>
  </si>
  <si>
    <t>75;-15</t>
  </si>
  <si>
    <t>76;-15</t>
  </si>
  <si>
    <t>77;-15</t>
  </si>
  <si>
    <t>78;-15</t>
  </si>
  <si>
    <t>79;-15</t>
  </si>
  <si>
    <t>80;-15</t>
  </si>
  <si>
    <t>81;-15</t>
  </si>
  <si>
    <t>82;-15</t>
  </si>
  <si>
    <t>83;-15</t>
  </si>
  <si>
    <t>84;-15</t>
  </si>
  <si>
    <t>85;-15</t>
  </si>
  <si>
    <t>86;-15</t>
  </si>
  <si>
    <t>87;-15</t>
  </si>
  <si>
    <t>88;-15</t>
  </si>
  <si>
    <t>89;-15</t>
  </si>
  <si>
    <t>90;-15</t>
  </si>
  <si>
    <t>91;-15</t>
  </si>
  <si>
    <t>92;-15</t>
  </si>
  <si>
    <t>93;-15</t>
  </si>
  <si>
    <t>94;-15</t>
  </si>
  <si>
    <t>95;-15</t>
  </si>
  <si>
    <t>96;-15</t>
  </si>
  <si>
    <t>97;-15</t>
  </si>
  <si>
    <t>98;-15</t>
  </si>
  <si>
    <t>99;-15</t>
  </si>
  <si>
    <t>100;-15</t>
  </si>
  <si>
    <t>101;-15</t>
  </si>
  <si>
    <t>102;-15</t>
  </si>
  <si>
    <t>103;-15</t>
  </si>
  <si>
    <t>104;-15</t>
  </si>
  <si>
    <t>105;-15</t>
  </si>
  <si>
    <t>106;-15</t>
  </si>
  <si>
    <t>107;-15</t>
  </si>
  <si>
    <t>108;-15</t>
  </si>
  <si>
    <t>109;-15</t>
  </si>
  <si>
    <t>110;-15</t>
  </si>
  <si>
    <t>111;-15</t>
  </si>
  <si>
    <t>112;-15</t>
  </si>
  <si>
    <t>113;-15</t>
  </si>
  <si>
    <t>114;-15</t>
  </si>
  <si>
    <t>115;-15</t>
  </si>
  <si>
    <t>-13;-16</t>
  </si>
  <si>
    <t>-12;-16</t>
  </si>
  <si>
    <t>-11;-16</t>
  </si>
  <si>
    <t>-10;-16</t>
  </si>
  <si>
    <t>-9;-16</t>
  </si>
  <si>
    <t>-8;-16</t>
  </si>
  <si>
    <t>-7;-16</t>
  </si>
  <si>
    <t>-6;-16</t>
  </si>
  <si>
    <t>-5;-16</t>
  </si>
  <si>
    <t>-4;-16</t>
  </si>
  <si>
    <t>-3;-16</t>
  </si>
  <si>
    <t>-2;-16</t>
  </si>
  <si>
    <t>-1;-16</t>
  </si>
  <si>
    <t>0;-16</t>
  </si>
  <si>
    <t>1;-16</t>
  </si>
  <si>
    <t>2;-16</t>
  </si>
  <si>
    <t>3;-16</t>
  </si>
  <si>
    <t>4;-16</t>
  </si>
  <si>
    <t>5;-16</t>
  </si>
  <si>
    <t>6;-16</t>
  </si>
  <si>
    <t>7;-16</t>
  </si>
  <si>
    <t>8;-16</t>
  </si>
  <si>
    <t>9;-16</t>
  </si>
  <si>
    <t>10;-16</t>
  </si>
  <si>
    <t>11;-16</t>
  </si>
  <si>
    <t>12;-16</t>
  </si>
  <si>
    <t>13;-16</t>
  </si>
  <si>
    <t>14;-16</t>
  </si>
  <si>
    <t>15;-16</t>
  </si>
  <si>
    <t>16;-16</t>
  </si>
  <si>
    <t>17;-16</t>
  </si>
  <si>
    <t>18;-16</t>
  </si>
  <si>
    <t>19;-16</t>
  </si>
  <si>
    <t>20;-16</t>
  </si>
  <si>
    <t>21;-16</t>
  </si>
  <si>
    <t>22;-16</t>
  </si>
  <si>
    <t>23;-16</t>
  </si>
  <si>
    <t>24;-16</t>
  </si>
  <si>
    <t>25;-16</t>
  </si>
  <si>
    <t>26;-16</t>
  </si>
  <si>
    <t>27;-16</t>
  </si>
  <si>
    <t>28;-16</t>
  </si>
  <si>
    <t>29;-16</t>
  </si>
  <si>
    <t>30;-16</t>
  </si>
  <si>
    <t>31;-16</t>
  </si>
  <si>
    <t>32;-16</t>
  </si>
  <si>
    <t>33;-16</t>
  </si>
  <si>
    <t>34;-16</t>
  </si>
  <si>
    <t>35;-16</t>
  </si>
  <si>
    <t>36;-16</t>
  </si>
  <si>
    <t>37;-16</t>
  </si>
  <si>
    <t>38;-16</t>
  </si>
  <si>
    <t>39;-16</t>
  </si>
  <si>
    <t>40;-16</t>
  </si>
  <si>
    <t>41;-16</t>
  </si>
  <si>
    <t>42;-16</t>
  </si>
  <si>
    <t>43;-16</t>
  </si>
  <si>
    <t>44;-16</t>
  </si>
  <si>
    <t>45;-16</t>
  </si>
  <si>
    <t>46;-16</t>
  </si>
  <si>
    <t>47;-16</t>
  </si>
  <si>
    <t>48;-16</t>
  </si>
  <si>
    <t>49;-16</t>
  </si>
  <si>
    <t>50;-16</t>
  </si>
  <si>
    <t>51;-16</t>
  </si>
  <si>
    <t>52;-16</t>
  </si>
  <si>
    <t>53;-16</t>
  </si>
  <si>
    <t>54;-16</t>
  </si>
  <si>
    <t>55;-16</t>
  </si>
  <si>
    <t>56;-16</t>
  </si>
  <si>
    <t>57;-16</t>
  </si>
  <si>
    <t>58;-16</t>
  </si>
  <si>
    <t>59;-16</t>
  </si>
  <si>
    <t>60;-16</t>
  </si>
  <si>
    <t>61;-16</t>
  </si>
  <si>
    <t>62;-16</t>
  </si>
  <si>
    <t>63;-16</t>
  </si>
  <si>
    <t>64;-16</t>
  </si>
  <si>
    <t>65;-16</t>
  </si>
  <si>
    <t>66;-16</t>
  </si>
  <si>
    <t>67;-16</t>
  </si>
  <si>
    <t>68;-16</t>
  </si>
  <si>
    <t>69;-16</t>
  </si>
  <si>
    <t>70;-16</t>
  </si>
  <si>
    <t>71;-16</t>
  </si>
  <si>
    <t>72;-16</t>
  </si>
  <si>
    <t>73;-16</t>
  </si>
  <si>
    <t>74;-16</t>
  </si>
  <si>
    <t>75;-16</t>
  </si>
  <si>
    <t>76;-16</t>
  </si>
  <si>
    <t>77;-16</t>
  </si>
  <si>
    <t>78;-16</t>
  </si>
  <si>
    <t>79;-16</t>
  </si>
  <si>
    <t>80;-16</t>
  </si>
  <si>
    <t>81;-16</t>
  </si>
  <si>
    <t>82;-16</t>
  </si>
  <si>
    <t>83;-16</t>
  </si>
  <si>
    <t>84;-16</t>
  </si>
  <si>
    <t>85;-16</t>
  </si>
  <si>
    <t>86;-16</t>
  </si>
  <si>
    <t>87;-16</t>
  </si>
  <si>
    <t>88;-16</t>
  </si>
  <si>
    <t>89;-16</t>
  </si>
  <si>
    <t>90;-16</t>
  </si>
  <si>
    <t>91;-16</t>
  </si>
  <si>
    <t>92;-16</t>
  </si>
  <si>
    <t>93;-16</t>
  </si>
  <si>
    <t>94;-16</t>
  </si>
  <si>
    <t>95;-16</t>
  </si>
  <si>
    <t>96;-16</t>
  </si>
  <si>
    <t>97;-16</t>
  </si>
  <si>
    <t>98;-16</t>
  </si>
  <si>
    <t>99;-16</t>
  </si>
  <si>
    <t>100;-16</t>
  </si>
  <si>
    <t>101;-16</t>
  </si>
  <si>
    <t>102;-16</t>
  </si>
  <si>
    <t>103;-16</t>
  </si>
  <si>
    <t>104;-16</t>
  </si>
  <si>
    <t>105;-16</t>
  </si>
  <si>
    <t>106;-16</t>
  </si>
  <si>
    <t>107;-16</t>
  </si>
  <si>
    <t>108;-16</t>
  </si>
  <si>
    <t>109;-16</t>
  </si>
  <si>
    <t>110;-16</t>
  </si>
  <si>
    <t>111;-16</t>
  </si>
  <si>
    <t>112;-16</t>
  </si>
  <si>
    <t>113;-16</t>
  </si>
  <si>
    <t>114;-16</t>
  </si>
  <si>
    <t>-12;-17</t>
  </si>
  <si>
    <t>-11;-17</t>
  </si>
  <si>
    <t>-10;-17</t>
  </si>
  <si>
    <t>-9;-17</t>
  </si>
  <si>
    <t>-8;-17</t>
  </si>
  <si>
    <t>-7;-17</t>
  </si>
  <si>
    <t>-6;-17</t>
  </si>
  <si>
    <t>-5;-17</t>
  </si>
  <si>
    <t>-4;-17</t>
  </si>
  <si>
    <t>-3;-17</t>
  </si>
  <si>
    <t>-2;-17</t>
  </si>
  <si>
    <t>-1;-17</t>
  </si>
  <si>
    <t>0;-17</t>
  </si>
  <si>
    <t>1;-17</t>
  </si>
  <si>
    <t>2;-17</t>
  </si>
  <si>
    <t>3;-17</t>
  </si>
  <si>
    <t>4;-17</t>
  </si>
  <si>
    <t>5;-17</t>
  </si>
  <si>
    <t>6;-17</t>
  </si>
  <si>
    <t>7;-17</t>
  </si>
  <si>
    <t>8;-17</t>
  </si>
  <si>
    <t>9;-17</t>
  </si>
  <si>
    <t>10;-17</t>
  </si>
  <si>
    <t>11;-17</t>
  </si>
  <si>
    <t>12;-17</t>
  </si>
  <si>
    <t>13;-17</t>
  </si>
  <si>
    <t>14;-17</t>
  </si>
  <si>
    <t>15;-17</t>
  </si>
  <si>
    <t>16;-17</t>
  </si>
  <si>
    <t>17;-17</t>
  </si>
  <si>
    <t>18;-17</t>
  </si>
  <si>
    <t>19;-17</t>
  </si>
  <si>
    <t>20;-17</t>
  </si>
  <si>
    <t>21;-17</t>
  </si>
  <si>
    <t>22;-17</t>
  </si>
  <si>
    <t>23;-17</t>
  </si>
  <si>
    <t>24;-17</t>
  </si>
  <si>
    <t>25;-17</t>
  </si>
  <si>
    <t>26;-17</t>
  </si>
  <si>
    <t>27;-17</t>
  </si>
  <si>
    <t>28;-17</t>
  </si>
  <si>
    <t>29;-17</t>
  </si>
  <si>
    <t>30;-17</t>
  </si>
  <si>
    <t>31;-17</t>
  </si>
  <si>
    <t>32;-17</t>
  </si>
  <si>
    <t>33;-17</t>
  </si>
  <si>
    <t>34;-17</t>
  </si>
  <si>
    <t>35;-17</t>
  </si>
  <si>
    <t>36;-17</t>
  </si>
  <si>
    <t>37;-17</t>
  </si>
  <si>
    <t>38;-17</t>
  </si>
  <si>
    <t>39;-17</t>
  </si>
  <si>
    <t>40;-17</t>
  </si>
  <si>
    <t>41;-17</t>
  </si>
  <si>
    <t>42;-17</t>
  </si>
  <si>
    <t>43;-17</t>
  </si>
  <si>
    <t>44;-17</t>
  </si>
  <si>
    <t>45;-17</t>
  </si>
  <si>
    <t>46;-17</t>
  </si>
  <si>
    <t>47;-17</t>
  </si>
  <si>
    <t>48;-17</t>
  </si>
  <si>
    <t>49;-17</t>
  </si>
  <si>
    <t>50;-17</t>
  </si>
  <si>
    <t>51;-17</t>
  </si>
  <si>
    <t>52;-17</t>
  </si>
  <si>
    <t>53;-17</t>
  </si>
  <si>
    <t>54;-17</t>
  </si>
  <si>
    <t>55;-17</t>
  </si>
  <si>
    <t>56;-17</t>
  </si>
  <si>
    <t>57;-17</t>
  </si>
  <si>
    <t>58;-17</t>
  </si>
  <si>
    <t>59;-17</t>
  </si>
  <si>
    <t>60;-17</t>
  </si>
  <si>
    <t>61;-17</t>
  </si>
  <si>
    <t>62;-17</t>
  </si>
  <si>
    <t>63;-17</t>
  </si>
  <si>
    <t>64;-17</t>
  </si>
  <si>
    <t>65;-17</t>
  </si>
  <si>
    <t>66;-17</t>
  </si>
  <si>
    <t>67;-17</t>
  </si>
  <si>
    <t>68;-17</t>
  </si>
  <si>
    <t>69;-17</t>
  </si>
  <si>
    <t>70;-17</t>
  </si>
  <si>
    <t>71;-17</t>
  </si>
  <si>
    <t>72;-17</t>
  </si>
  <si>
    <t>73;-17</t>
  </si>
  <si>
    <t>74;-17</t>
  </si>
  <si>
    <t>75;-17</t>
  </si>
  <si>
    <t>76;-17</t>
  </si>
  <si>
    <t>77;-17</t>
  </si>
  <si>
    <t>78;-17</t>
  </si>
  <si>
    <t>79;-17</t>
  </si>
  <si>
    <t>80;-17</t>
  </si>
  <si>
    <t>81;-17</t>
  </si>
  <si>
    <t>82;-17</t>
  </si>
  <si>
    <t>83;-17</t>
  </si>
  <si>
    <t>84;-17</t>
  </si>
  <si>
    <t>85;-17</t>
  </si>
  <si>
    <t>86;-17</t>
  </si>
  <si>
    <t>87;-17</t>
  </si>
  <si>
    <t>88;-17</t>
  </si>
  <si>
    <t>89;-17</t>
  </si>
  <si>
    <t>90;-17</t>
  </si>
  <si>
    <t>91;-17</t>
  </si>
  <si>
    <t>92;-17</t>
  </si>
  <si>
    <t>93;-17</t>
  </si>
  <si>
    <t>94;-17</t>
  </si>
  <si>
    <t>95;-17</t>
  </si>
  <si>
    <t>96;-17</t>
  </si>
  <si>
    <t>97;-17</t>
  </si>
  <si>
    <t>98;-17</t>
  </si>
  <si>
    <t>99;-17</t>
  </si>
  <si>
    <t>100;-17</t>
  </si>
  <si>
    <t>101;-17</t>
  </si>
  <si>
    <t>102;-17</t>
  </si>
  <si>
    <t>103;-17</t>
  </si>
  <si>
    <t>104;-17</t>
  </si>
  <si>
    <t>105;-17</t>
  </si>
  <si>
    <t>106;-17</t>
  </si>
  <si>
    <t>107;-17</t>
  </si>
  <si>
    <t>108;-17</t>
  </si>
  <si>
    <t>109;-17</t>
  </si>
  <si>
    <t>110;-17</t>
  </si>
  <si>
    <t>111;-17</t>
  </si>
  <si>
    <t>112;-17</t>
  </si>
  <si>
    <t>113;-17</t>
  </si>
  <si>
    <t>114;-17</t>
  </si>
  <si>
    <t>-12;-18</t>
  </si>
  <si>
    <t>-11;-18</t>
  </si>
  <si>
    <t>-10;-18</t>
  </si>
  <si>
    <t>-9;-18</t>
  </si>
  <si>
    <t>-8;-18</t>
  </si>
  <si>
    <t>-7;-18</t>
  </si>
  <si>
    <t>-6;-18</t>
  </si>
  <si>
    <t>-5;-18</t>
  </si>
  <si>
    <t>-4;-18</t>
  </si>
  <si>
    <t>-3;-18</t>
  </si>
  <si>
    <t>-2;-18</t>
  </si>
  <si>
    <t>-1;-18</t>
  </si>
  <si>
    <t>0;-18</t>
  </si>
  <si>
    <t>1;-18</t>
  </si>
  <si>
    <t>2;-18</t>
  </si>
  <si>
    <t>3;-18</t>
  </si>
  <si>
    <t>4;-18</t>
  </si>
  <si>
    <t>5;-18</t>
  </si>
  <si>
    <t>6;-18</t>
  </si>
  <si>
    <t>7;-18</t>
  </si>
  <si>
    <t>8;-18</t>
  </si>
  <si>
    <t>9;-18</t>
  </si>
  <si>
    <t>10;-18</t>
  </si>
  <si>
    <t>11;-18</t>
  </si>
  <si>
    <t>12;-18</t>
  </si>
  <si>
    <t>13;-18</t>
  </si>
  <si>
    <t>14;-18</t>
  </si>
  <si>
    <t>15;-18</t>
  </si>
  <si>
    <t>16;-18</t>
  </si>
  <si>
    <t>17;-18</t>
  </si>
  <si>
    <t>18;-18</t>
  </si>
  <si>
    <t>19;-18</t>
  </si>
  <si>
    <t>20;-18</t>
  </si>
  <si>
    <t>21;-18</t>
  </si>
  <si>
    <t>22;-18</t>
  </si>
  <si>
    <t>23;-18</t>
  </si>
  <si>
    <t>24;-18</t>
  </si>
  <si>
    <t>25;-18</t>
  </si>
  <si>
    <t>26;-18</t>
  </si>
  <si>
    <t>27;-18</t>
  </si>
  <si>
    <t>28;-18</t>
  </si>
  <si>
    <t>29;-18</t>
  </si>
  <si>
    <t>30;-18</t>
  </si>
  <si>
    <t>31;-18</t>
  </si>
  <si>
    <t>32;-18</t>
  </si>
  <si>
    <t>33;-18</t>
  </si>
  <si>
    <t>34;-18</t>
  </si>
  <si>
    <t>35;-18</t>
  </si>
  <si>
    <t>36;-18</t>
  </si>
  <si>
    <t>37;-18</t>
  </si>
  <si>
    <t>38;-18</t>
  </si>
  <si>
    <t>39;-18</t>
  </si>
  <si>
    <t>40;-18</t>
  </si>
  <si>
    <t>41;-18</t>
  </si>
  <si>
    <t>42;-18</t>
  </si>
  <si>
    <t>43;-18</t>
  </si>
  <si>
    <t>44;-18</t>
  </si>
  <si>
    <t>45;-18</t>
  </si>
  <si>
    <t>46;-18</t>
  </si>
  <si>
    <t>47;-18</t>
  </si>
  <si>
    <t>48;-18</t>
  </si>
  <si>
    <t>49;-18</t>
  </si>
  <si>
    <t>50;-18</t>
  </si>
  <si>
    <t>51;-18</t>
  </si>
  <si>
    <t>52;-18</t>
  </si>
  <si>
    <t>53;-18</t>
  </si>
  <si>
    <t>54;-18</t>
  </si>
  <si>
    <t>55;-18</t>
  </si>
  <si>
    <t>56;-18</t>
  </si>
  <si>
    <t>57;-18</t>
  </si>
  <si>
    <t>58;-18</t>
  </si>
  <si>
    <t>59;-18</t>
  </si>
  <si>
    <t>60;-18</t>
  </si>
  <si>
    <t>61;-18</t>
  </si>
  <si>
    <t>62;-18</t>
  </si>
  <si>
    <t>63;-18</t>
  </si>
  <si>
    <t>64;-18</t>
  </si>
  <si>
    <t>65;-18</t>
  </si>
  <si>
    <t>66;-18</t>
  </si>
  <si>
    <t>67;-18</t>
  </si>
  <si>
    <t>68;-18</t>
  </si>
  <si>
    <t>69;-18</t>
  </si>
  <si>
    <t>70;-18</t>
  </si>
  <si>
    <t>71;-18</t>
  </si>
  <si>
    <t>72;-18</t>
  </si>
  <si>
    <t>73;-18</t>
  </si>
  <si>
    <t>74;-18</t>
  </si>
  <si>
    <t>75;-18</t>
  </si>
  <si>
    <t>76;-18</t>
  </si>
  <si>
    <t>77;-18</t>
  </si>
  <si>
    <t>78;-18</t>
  </si>
  <si>
    <t>79;-18</t>
  </si>
  <si>
    <t>80;-18</t>
  </si>
  <si>
    <t>81;-18</t>
  </si>
  <si>
    <t>82;-18</t>
  </si>
  <si>
    <t>83;-18</t>
  </si>
  <si>
    <t>84;-18</t>
  </si>
  <si>
    <t>85;-18</t>
  </si>
  <si>
    <t>86;-18</t>
  </si>
  <si>
    <t>87;-18</t>
  </si>
  <si>
    <t>88;-18</t>
  </si>
  <si>
    <t>89;-18</t>
  </si>
  <si>
    <t>90;-18</t>
  </si>
  <si>
    <t>91;-18</t>
  </si>
  <si>
    <t>92;-18</t>
  </si>
  <si>
    <t>93;-18</t>
  </si>
  <si>
    <t>94;-18</t>
  </si>
  <si>
    <t>95;-18</t>
  </si>
  <si>
    <t>96;-18</t>
  </si>
  <si>
    <t>97;-18</t>
  </si>
  <si>
    <t>98;-18</t>
  </si>
  <si>
    <t>99;-18</t>
  </si>
  <si>
    <t>100;-18</t>
  </si>
  <si>
    <t>101;-18</t>
  </si>
  <si>
    <t>102;-18</t>
  </si>
  <si>
    <t>103;-18</t>
  </si>
  <si>
    <t>104;-18</t>
  </si>
  <si>
    <t>105;-18</t>
  </si>
  <si>
    <t>106;-18</t>
  </si>
  <si>
    <t>107;-18</t>
  </si>
  <si>
    <t>108;-18</t>
  </si>
  <si>
    <t>109;-18</t>
  </si>
  <si>
    <t>110;-18</t>
  </si>
  <si>
    <t>111;-18</t>
  </si>
  <si>
    <t>112;-18</t>
  </si>
  <si>
    <t>113;-18</t>
  </si>
  <si>
    <t>-11;-19</t>
  </si>
  <si>
    <t>-10;-19</t>
  </si>
  <si>
    <t>-9;-19</t>
  </si>
  <si>
    <t>-8;-19</t>
  </si>
  <si>
    <t>-7;-19</t>
  </si>
  <si>
    <t>-6;-19</t>
  </si>
  <si>
    <t>-5;-19</t>
  </si>
  <si>
    <t>-4;-19</t>
  </si>
  <si>
    <t>-3;-19</t>
  </si>
  <si>
    <t>-2;-19</t>
  </si>
  <si>
    <t>-1;-19</t>
  </si>
  <si>
    <t>0;-19</t>
  </si>
  <si>
    <t>1;-19</t>
  </si>
  <si>
    <t>2;-19</t>
  </si>
  <si>
    <t>3;-19</t>
  </si>
  <si>
    <t>4;-19</t>
  </si>
  <si>
    <t>5;-19</t>
  </si>
  <si>
    <t>6;-19</t>
  </si>
  <si>
    <t>7;-19</t>
  </si>
  <si>
    <t>8;-19</t>
  </si>
  <si>
    <t>9;-19</t>
  </si>
  <si>
    <t>10;-19</t>
  </si>
  <si>
    <t>11;-19</t>
  </si>
  <si>
    <t>12;-19</t>
  </si>
  <si>
    <t>13;-19</t>
  </si>
  <si>
    <t>14;-19</t>
  </si>
  <si>
    <t>15;-19</t>
  </si>
  <si>
    <t>16;-19</t>
  </si>
  <si>
    <t>17;-19</t>
  </si>
  <si>
    <t>18;-19</t>
  </si>
  <si>
    <t>19;-19</t>
  </si>
  <si>
    <t>20;-19</t>
  </si>
  <si>
    <t>21;-19</t>
  </si>
  <si>
    <t>22;-19</t>
  </si>
  <si>
    <t>23;-19</t>
  </si>
  <si>
    <t>24;-19</t>
  </si>
  <si>
    <t>25;-19</t>
  </si>
  <si>
    <t>26;-19</t>
  </si>
  <si>
    <t>27;-19</t>
  </si>
  <si>
    <t>28;-19</t>
  </si>
  <si>
    <t>29;-19</t>
  </si>
  <si>
    <t>30;-19</t>
  </si>
  <si>
    <t>31;-19</t>
  </si>
  <si>
    <t>32;-19</t>
  </si>
  <si>
    <t>33;-19</t>
  </si>
  <si>
    <t>34;-19</t>
  </si>
  <si>
    <t>35;-19</t>
  </si>
  <si>
    <t>36;-19</t>
  </si>
  <si>
    <t>37;-19</t>
  </si>
  <si>
    <t>38;-19</t>
  </si>
  <si>
    <t>39;-19</t>
  </si>
  <si>
    <t>40;-19</t>
  </si>
  <si>
    <t>41;-19</t>
  </si>
  <si>
    <t>42;-19</t>
  </si>
  <si>
    <t>43;-19</t>
  </si>
  <si>
    <t>44;-19</t>
  </si>
  <si>
    <t>45;-19</t>
  </si>
  <si>
    <t>46;-19</t>
  </si>
  <si>
    <t>47;-19</t>
  </si>
  <si>
    <t>48;-19</t>
  </si>
  <si>
    <t>49;-19</t>
  </si>
  <si>
    <t>50;-19</t>
  </si>
  <si>
    <t>51;-19</t>
  </si>
  <si>
    <t>52;-19</t>
  </si>
  <si>
    <t>53;-19</t>
  </si>
  <si>
    <t>54;-19</t>
  </si>
  <si>
    <t>55;-19</t>
  </si>
  <si>
    <t>56;-19</t>
  </si>
  <si>
    <t>57;-19</t>
  </si>
  <si>
    <t>58;-19</t>
  </si>
  <si>
    <t>59;-19</t>
  </si>
  <si>
    <t>60;-19</t>
  </si>
  <si>
    <t>61;-19</t>
  </si>
  <si>
    <t>62;-19</t>
  </si>
  <si>
    <t>63;-19</t>
  </si>
  <si>
    <t>64;-19</t>
  </si>
  <si>
    <t>65;-19</t>
  </si>
  <si>
    <t>66;-19</t>
  </si>
  <si>
    <t>67;-19</t>
  </si>
  <si>
    <t>68;-19</t>
  </si>
  <si>
    <t>69;-19</t>
  </si>
  <si>
    <t>70;-19</t>
  </si>
  <si>
    <t>71;-19</t>
  </si>
  <si>
    <t>72;-19</t>
  </si>
  <si>
    <t>73;-19</t>
  </si>
  <si>
    <t>74;-19</t>
  </si>
  <si>
    <t>75;-19</t>
  </si>
  <si>
    <t>76;-19</t>
  </si>
  <si>
    <t>77;-19</t>
  </si>
  <si>
    <t>78;-19</t>
  </si>
  <si>
    <t>79;-19</t>
  </si>
  <si>
    <t>80;-19</t>
  </si>
  <si>
    <t>81;-19</t>
  </si>
  <si>
    <t>82;-19</t>
  </si>
  <si>
    <t>83;-19</t>
  </si>
  <si>
    <t>84;-19</t>
  </si>
  <si>
    <t>85;-19</t>
  </si>
  <si>
    <t>86;-19</t>
  </si>
  <si>
    <t>87;-19</t>
  </si>
  <si>
    <t>88;-19</t>
  </si>
  <si>
    <t>89;-19</t>
  </si>
  <si>
    <t>90;-19</t>
  </si>
  <si>
    <t>91;-19</t>
  </si>
  <si>
    <t>92;-19</t>
  </si>
  <si>
    <t>93;-19</t>
  </si>
  <si>
    <t>94;-19</t>
  </si>
  <si>
    <t>95;-19</t>
  </si>
  <si>
    <t>96;-19</t>
  </si>
  <si>
    <t>97;-19</t>
  </si>
  <si>
    <t>98;-19</t>
  </si>
  <si>
    <t>99;-19</t>
  </si>
  <si>
    <t>100;-19</t>
  </si>
  <si>
    <t>101;-19</t>
  </si>
  <si>
    <t>102;-19</t>
  </si>
  <si>
    <t>103;-19</t>
  </si>
  <si>
    <t>104;-19</t>
  </si>
  <si>
    <t>105;-19</t>
  </si>
  <si>
    <t>106;-19</t>
  </si>
  <si>
    <t>107;-19</t>
  </si>
  <si>
    <t>108;-19</t>
  </si>
  <si>
    <t>109;-19</t>
  </si>
  <si>
    <t>110;-19</t>
  </si>
  <si>
    <t>111;-19</t>
  </si>
  <si>
    <t>112;-19</t>
  </si>
  <si>
    <t>113;-19</t>
  </si>
  <si>
    <t>-11;-20</t>
  </si>
  <si>
    <t>-10;-20</t>
  </si>
  <si>
    <t>-9;-20</t>
  </si>
  <si>
    <t>-8;-20</t>
  </si>
  <si>
    <t>-7;-20</t>
  </si>
  <si>
    <t>-6;-20</t>
  </si>
  <si>
    <t>-5;-20</t>
  </si>
  <si>
    <t>-4;-20</t>
  </si>
  <si>
    <t>-3;-20</t>
  </si>
  <si>
    <t>-2;-20</t>
  </si>
  <si>
    <t>-1;-20</t>
  </si>
  <si>
    <t>0;-20</t>
  </si>
  <si>
    <t>1;-20</t>
  </si>
  <si>
    <t>2;-20</t>
  </si>
  <si>
    <t>3;-20</t>
  </si>
  <si>
    <t>4;-20</t>
  </si>
  <si>
    <t>5;-20</t>
  </si>
  <si>
    <t>6;-20</t>
  </si>
  <si>
    <t>7;-20</t>
  </si>
  <si>
    <t>8;-20</t>
  </si>
  <si>
    <t>9;-20</t>
  </si>
  <si>
    <t>10;-20</t>
  </si>
  <si>
    <t>11;-20</t>
  </si>
  <si>
    <t>12;-20</t>
  </si>
  <si>
    <t>13;-20</t>
  </si>
  <si>
    <t>14;-20</t>
  </si>
  <si>
    <t>15;-20</t>
  </si>
  <si>
    <t>16;-20</t>
  </si>
  <si>
    <t>17;-20</t>
  </si>
  <si>
    <t>18;-20</t>
  </si>
  <si>
    <t>19;-20</t>
  </si>
  <si>
    <t>20;-20</t>
  </si>
  <si>
    <t>21;-20</t>
  </si>
  <si>
    <t>22;-20</t>
  </si>
  <si>
    <t>23;-20</t>
  </si>
  <si>
    <t>24;-20</t>
  </si>
  <si>
    <t>25;-20</t>
  </si>
  <si>
    <t>26;-20</t>
  </si>
  <si>
    <t>27;-20</t>
  </si>
  <si>
    <t>28;-20</t>
  </si>
  <si>
    <t>29;-20</t>
  </si>
  <si>
    <t>30;-20</t>
  </si>
  <si>
    <t>31;-20</t>
  </si>
  <si>
    <t>32;-20</t>
  </si>
  <si>
    <t>33;-20</t>
  </si>
  <si>
    <t>34;-20</t>
  </si>
  <si>
    <t>35;-20</t>
  </si>
  <si>
    <t>36;-20</t>
  </si>
  <si>
    <t>37;-20</t>
  </si>
  <si>
    <t>38;-20</t>
  </si>
  <si>
    <t>39;-20</t>
  </si>
  <si>
    <t>40;-20</t>
  </si>
  <si>
    <t>41;-20</t>
  </si>
  <si>
    <t>42;-20</t>
  </si>
  <si>
    <t>43;-20</t>
  </si>
  <si>
    <t>44;-20</t>
  </si>
  <si>
    <t>45;-20</t>
  </si>
  <si>
    <t>46;-20</t>
  </si>
  <si>
    <t>47;-20</t>
  </si>
  <si>
    <t>48;-20</t>
  </si>
  <si>
    <t>49;-20</t>
  </si>
  <si>
    <t>50;-20</t>
  </si>
  <si>
    <t>51;-20</t>
  </si>
  <si>
    <t>52;-20</t>
  </si>
  <si>
    <t>53;-20</t>
  </si>
  <si>
    <t>54;-20</t>
  </si>
  <si>
    <t>55;-20</t>
  </si>
  <si>
    <t>56;-20</t>
  </si>
  <si>
    <t>57;-20</t>
  </si>
  <si>
    <t>58;-20</t>
  </si>
  <si>
    <t>59;-20</t>
  </si>
  <si>
    <t>60;-20</t>
  </si>
  <si>
    <t>61;-20</t>
  </si>
  <si>
    <t>62;-20</t>
  </si>
  <si>
    <t>63;-20</t>
  </si>
  <si>
    <t>64;-20</t>
  </si>
  <si>
    <t>65;-20</t>
  </si>
  <si>
    <t>66;-20</t>
  </si>
  <si>
    <t>67;-20</t>
  </si>
  <si>
    <t>68;-20</t>
  </si>
  <si>
    <t>69;-20</t>
  </si>
  <si>
    <t>70;-20</t>
  </si>
  <si>
    <t>71;-20</t>
  </si>
  <si>
    <t>72;-20</t>
  </si>
  <si>
    <t>73;-20</t>
  </si>
  <si>
    <t>74;-20</t>
  </si>
  <si>
    <t>75;-20</t>
  </si>
  <si>
    <t>76;-20</t>
  </si>
  <si>
    <t>77;-20</t>
  </si>
  <si>
    <t>78;-20</t>
  </si>
  <si>
    <t>79;-20</t>
  </si>
  <si>
    <t>80;-20</t>
  </si>
  <si>
    <t>81;-20</t>
  </si>
  <si>
    <t>82;-20</t>
  </si>
  <si>
    <t>83;-20</t>
  </si>
  <si>
    <t>84;-20</t>
  </si>
  <si>
    <t>85;-20</t>
  </si>
  <si>
    <t>86;-20</t>
  </si>
  <si>
    <t>87;-20</t>
  </si>
  <si>
    <t>88;-20</t>
  </si>
  <si>
    <t>89;-20</t>
  </si>
  <si>
    <t>90;-20</t>
  </si>
  <si>
    <t>91;-20</t>
  </si>
  <si>
    <t>92;-20</t>
  </si>
  <si>
    <t>93;-20</t>
  </si>
  <si>
    <t>94;-20</t>
  </si>
  <si>
    <t>95;-20</t>
  </si>
  <si>
    <t>96;-20</t>
  </si>
  <si>
    <t>97;-20</t>
  </si>
  <si>
    <t>98;-20</t>
  </si>
  <si>
    <t>99;-20</t>
  </si>
  <si>
    <t>100;-20</t>
  </si>
  <si>
    <t>101;-20</t>
  </si>
  <si>
    <t>102;-20</t>
  </si>
  <si>
    <t>103;-20</t>
  </si>
  <si>
    <t>104;-20</t>
  </si>
  <si>
    <t>105;-20</t>
  </si>
  <si>
    <t>106;-20</t>
  </si>
  <si>
    <t>107;-20</t>
  </si>
  <si>
    <t>108;-20</t>
  </si>
  <si>
    <t>109;-20</t>
  </si>
  <si>
    <t>110;-20</t>
  </si>
  <si>
    <t>111;-20</t>
  </si>
  <si>
    <t>112;-20</t>
  </si>
  <si>
    <t>-9;-21</t>
  </si>
  <si>
    <t>-8;-21</t>
  </si>
  <si>
    <t>-7;-21</t>
  </si>
  <si>
    <t>-6;-21</t>
  </si>
  <si>
    <t>-5;-21</t>
  </si>
  <si>
    <t>-4;-21</t>
  </si>
  <si>
    <t>-3;-21</t>
  </si>
  <si>
    <t>-2;-21</t>
  </si>
  <si>
    <t>-1;-21</t>
  </si>
  <si>
    <t>0;-21</t>
  </si>
  <si>
    <t>1;-21</t>
  </si>
  <si>
    <t>2;-21</t>
  </si>
  <si>
    <t>3;-21</t>
  </si>
  <si>
    <t>4;-21</t>
  </si>
  <si>
    <t>5;-21</t>
  </si>
  <si>
    <t>6;-21</t>
  </si>
  <si>
    <t>7;-21</t>
  </si>
  <si>
    <t>8;-21</t>
  </si>
  <si>
    <t>9;-21</t>
  </si>
  <si>
    <t>10;-21</t>
  </si>
  <si>
    <t>11;-21</t>
  </si>
  <si>
    <t>12;-21</t>
  </si>
  <si>
    <t>13;-21</t>
  </si>
  <si>
    <t>14;-21</t>
  </si>
  <si>
    <t>15;-21</t>
  </si>
  <si>
    <t>16;-21</t>
  </si>
  <si>
    <t>17;-21</t>
  </si>
  <si>
    <t>18;-21</t>
  </si>
  <si>
    <t>19;-21</t>
  </si>
  <si>
    <t>20;-21</t>
  </si>
  <si>
    <t>21;-21</t>
  </si>
  <si>
    <t>22;-21</t>
  </si>
  <si>
    <t>23;-21</t>
  </si>
  <si>
    <t>24;-21</t>
  </si>
  <si>
    <t>25;-21</t>
  </si>
  <si>
    <t>26;-21</t>
  </si>
  <si>
    <t>27;-21</t>
  </si>
  <si>
    <t>28;-21</t>
  </si>
  <si>
    <t>29;-21</t>
  </si>
  <si>
    <t>30;-21</t>
  </si>
  <si>
    <t>31;-21</t>
  </si>
  <si>
    <t>32;-21</t>
  </si>
  <si>
    <t>33;-21</t>
  </si>
  <si>
    <t>34;-21</t>
  </si>
  <si>
    <t>35;-21</t>
  </si>
  <si>
    <t>36;-21</t>
  </si>
  <si>
    <t>37;-21</t>
  </si>
  <si>
    <t>38;-21</t>
  </si>
  <si>
    <t>39;-21</t>
  </si>
  <si>
    <t>40;-21</t>
  </si>
  <si>
    <t>41;-21</t>
  </si>
  <si>
    <t>42;-21</t>
  </si>
  <si>
    <t>43;-21</t>
  </si>
  <si>
    <t>44;-21</t>
  </si>
  <si>
    <t>45;-21</t>
  </si>
  <si>
    <t>46;-21</t>
  </si>
  <si>
    <t>47;-21</t>
  </si>
  <si>
    <t>48;-21</t>
  </si>
  <si>
    <t>49;-21</t>
  </si>
  <si>
    <t>50;-21</t>
  </si>
  <si>
    <t>51;-21</t>
  </si>
  <si>
    <t>52;-21</t>
  </si>
  <si>
    <t>53;-21</t>
  </si>
  <si>
    <t>54;-21</t>
  </si>
  <si>
    <t>55;-21</t>
  </si>
  <si>
    <t>56;-21</t>
  </si>
  <si>
    <t>57;-21</t>
  </si>
  <si>
    <t>58;-21</t>
  </si>
  <si>
    <t>59;-21</t>
  </si>
  <si>
    <t>60;-21</t>
  </si>
  <si>
    <t>61;-21</t>
  </si>
  <si>
    <t>62;-21</t>
  </si>
  <si>
    <t>63;-21</t>
  </si>
  <si>
    <t>64;-21</t>
  </si>
  <si>
    <t>65;-21</t>
  </si>
  <si>
    <t>66;-21</t>
  </si>
  <si>
    <t>67;-21</t>
  </si>
  <si>
    <t>68;-21</t>
  </si>
  <si>
    <t>69;-21</t>
  </si>
  <si>
    <t>70;-21</t>
  </si>
  <si>
    <t>71;-21</t>
  </si>
  <si>
    <t>72;-21</t>
  </si>
  <si>
    <t>73;-21</t>
  </si>
  <si>
    <t>74;-21</t>
  </si>
  <si>
    <t>75;-21</t>
  </si>
  <si>
    <t>76;-21</t>
  </si>
  <si>
    <t>77;-21</t>
  </si>
  <si>
    <t>78;-21</t>
  </si>
  <si>
    <t>79;-21</t>
  </si>
  <si>
    <t>80;-21</t>
  </si>
  <si>
    <t>81;-21</t>
  </si>
  <si>
    <t>82;-21</t>
  </si>
  <si>
    <t>83;-21</t>
  </si>
  <si>
    <t>84;-21</t>
  </si>
  <si>
    <t>85;-21</t>
  </si>
  <si>
    <t>86;-21</t>
  </si>
  <si>
    <t>87;-21</t>
  </si>
  <si>
    <t>88;-21</t>
  </si>
  <si>
    <t>89;-21</t>
  </si>
  <si>
    <t>90;-21</t>
  </si>
  <si>
    <t>91;-21</t>
  </si>
  <si>
    <t>92;-21</t>
  </si>
  <si>
    <t>93;-21</t>
  </si>
  <si>
    <t>94;-21</t>
  </si>
  <si>
    <t>95;-21</t>
  </si>
  <si>
    <t>96;-21</t>
  </si>
  <si>
    <t>97;-21</t>
  </si>
  <si>
    <t>98;-21</t>
  </si>
  <si>
    <t>99;-21</t>
  </si>
  <si>
    <t>100;-21</t>
  </si>
  <si>
    <t>101;-21</t>
  </si>
  <si>
    <t>102;-21</t>
  </si>
  <si>
    <t>103;-21</t>
  </si>
  <si>
    <t>104;-21</t>
  </si>
  <si>
    <t>105;-21</t>
  </si>
  <si>
    <t>106;-21</t>
  </si>
  <si>
    <t>107;-21</t>
  </si>
  <si>
    <t>108;-21</t>
  </si>
  <si>
    <t>109;-21</t>
  </si>
  <si>
    <t>-7;-22</t>
  </si>
  <si>
    <t>-6;-22</t>
  </si>
  <si>
    <t>-5;-22</t>
  </si>
  <si>
    <t>-4;-22</t>
  </si>
  <si>
    <t>-3;-22</t>
  </si>
  <si>
    <t>-2;-22</t>
  </si>
  <si>
    <t>-1;-22</t>
  </si>
  <si>
    <t>0;-22</t>
  </si>
  <si>
    <t>1;-22</t>
  </si>
  <si>
    <t>2;-22</t>
  </si>
  <si>
    <t>3;-22</t>
  </si>
  <si>
    <t>4;-22</t>
  </si>
  <si>
    <t>5;-22</t>
  </si>
  <si>
    <t>6;-22</t>
  </si>
  <si>
    <t>7;-22</t>
  </si>
  <si>
    <t>8;-22</t>
  </si>
  <si>
    <t>9;-22</t>
  </si>
  <si>
    <t>10;-22</t>
  </si>
  <si>
    <t>11;-22</t>
  </si>
  <si>
    <t>12;-22</t>
  </si>
  <si>
    <t>13;-22</t>
  </si>
  <si>
    <t>14;-22</t>
  </si>
  <si>
    <t>15;-22</t>
  </si>
  <si>
    <t>16;-22</t>
  </si>
  <si>
    <t>17;-22</t>
  </si>
  <si>
    <t>18;-22</t>
  </si>
  <si>
    <t>19;-22</t>
  </si>
  <si>
    <t>20;-22</t>
  </si>
  <si>
    <t>21;-22</t>
  </si>
  <si>
    <t>22;-22</t>
  </si>
  <si>
    <t>23;-22</t>
  </si>
  <si>
    <t>24;-22</t>
  </si>
  <si>
    <t>25;-22</t>
  </si>
  <si>
    <t>26;-22</t>
  </si>
  <si>
    <t>27;-22</t>
  </si>
  <si>
    <t>28;-22</t>
  </si>
  <si>
    <t>29;-22</t>
  </si>
  <si>
    <t>30;-22</t>
  </si>
  <si>
    <t>31;-22</t>
  </si>
  <si>
    <t>32;-22</t>
  </si>
  <si>
    <t>33;-22</t>
  </si>
  <si>
    <t>34;-22</t>
  </si>
  <si>
    <t>35;-22</t>
  </si>
  <si>
    <t>36;-22</t>
  </si>
  <si>
    <t>37;-22</t>
  </si>
  <si>
    <t>38;-22</t>
  </si>
  <si>
    <t>39;-22</t>
  </si>
  <si>
    <t>40;-22</t>
  </si>
  <si>
    <t>41;-22</t>
  </si>
  <si>
    <t>42;-22</t>
  </si>
  <si>
    <t>43;-22</t>
  </si>
  <si>
    <t>44;-22</t>
  </si>
  <si>
    <t>45;-22</t>
  </si>
  <si>
    <t>46;-22</t>
  </si>
  <si>
    <t>47;-22</t>
  </si>
  <si>
    <t>48;-22</t>
  </si>
  <si>
    <t>49;-22</t>
  </si>
  <si>
    <t>50;-22</t>
  </si>
  <si>
    <t>51;-22</t>
  </si>
  <si>
    <t>52;-22</t>
  </si>
  <si>
    <t>53;-22</t>
  </si>
  <si>
    <t>54;-22</t>
  </si>
  <si>
    <t>55;-22</t>
  </si>
  <si>
    <t>56;-22</t>
  </si>
  <si>
    <t>57;-22</t>
  </si>
  <si>
    <t>58;-22</t>
  </si>
  <si>
    <t>59;-22</t>
  </si>
  <si>
    <t>60;-22</t>
  </si>
  <si>
    <t>61;-22</t>
  </si>
  <si>
    <t>62;-22</t>
  </si>
  <si>
    <t>63;-22</t>
  </si>
  <si>
    <t>64;-22</t>
  </si>
  <si>
    <t>65;-22</t>
  </si>
  <si>
    <t>66;-22</t>
  </si>
  <si>
    <t>67;-22</t>
  </si>
  <si>
    <t>68;-22</t>
  </si>
  <si>
    <t>69;-22</t>
  </si>
  <si>
    <t>70;-22</t>
  </si>
  <si>
    <t>71;-22</t>
  </si>
  <si>
    <t>72;-22</t>
  </si>
  <si>
    <t>73;-22</t>
  </si>
  <si>
    <t>74;-22</t>
  </si>
  <si>
    <t>75;-22</t>
  </si>
  <si>
    <t>76;-22</t>
  </si>
  <si>
    <t>77;-22</t>
  </si>
  <si>
    <t>78;-22</t>
  </si>
  <si>
    <t>79;-22</t>
  </si>
  <si>
    <t>80;-22</t>
  </si>
  <si>
    <t>81;-22</t>
  </si>
  <si>
    <t>82;-22</t>
  </si>
  <si>
    <t>83;-22</t>
  </si>
  <si>
    <t>84;-22</t>
  </si>
  <si>
    <t>85;-22</t>
  </si>
  <si>
    <t>86;-22</t>
  </si>
  <si>
    <t>87;-22</t>
  </si>
  <si>
    <t>88;-22</t>
  </si>
  <si>
    <t>89;-22</t>
  </si>
  <si>
    <t>90;-22</t>
  </si>
  <si>
    <t>91;-22</t>
  </si>
  <si>
    <t>92;-22</t>
  </si>
  <si>
    <t>93;-22</t>
  </si>
  <si>
    <t>94;-22</t>
  </si>
  <si>
    <t>95;-22</t>
  </si>
  <si>
    <t>96;-22</t>
  </si>
  <si>
    <t>97;-22</t>
  </si>
  <si>
    <t>98;-22</t>
  </si>
  <si>
    <t>99;-22</t>
  </si>
  <si>
    <t>100;-22</t>
  </si>
  <si>
    <t>101;-22</t>
  </si>
  <si>
    <t>102;-22</t>
  </si>
  <si>
    <t>103;-22</t>
  </si>
  <si>
    <t>-6;-23</t>
  </si>
  <si>
    <t>-5;-23</t>
  </si>
  <si>
    <t>-4;-23</t>
  </si>
  <si>
    <t>-3;-23</t>
  </si>
  <si>
    <t>-2;-23</t>
  </si>
  <si>
    <t>-1;-23</t>
  </si>
  <si>
    <t>0;-23</t>
  </si>
  <si>
    <t>1;-23</t>
  </si>
  <si>
    <t>2;-23</t>
  </si>
  <si>
    <t>3;-23</t>
  </si>
  <si>
    <t>4;-23</t>
  </si>
  <si>
    <t>5;-23</t>
  </si>
  <si>
    <t>6;-23</t>
  </si>
  <si>
    <t>7;-23</t>
  </si>
  <si>
    <t>8;-23</t>
  </si>
  <si>
    <t>9;-23</t>
  </si>
  <si>
    <t>10;-23</t>
  </si>
  <si>
    <t>11;-23</t>
  </si>
  <si>
    <t>12;-23</t>
  </si>
  <si>
    <t>13;-23</t>
  </si>
  <si>
    <t>14;-23</t>
  </si>
  <si>
    <t>15;-23</t>
  </si>
  <si>
    <t>16;-23</t>
  </si>
  <si>
    <t>17;-23</t>
  </si>
  <si>
    <t>18;-23</t>
  </si>
  <si>
    <t>19;-23</t>
  </si>
  <si>
    <t>20;-23</t>
  </si>
  <si>
    <t>21;-23</t>
  </si>
  <si>
    <t>22;-23</t>
  </si>
  <si>
    <t>23;-23</t>
  </si>
  <si>
    <t>24;-23</t>
  </si>
  <si>
    <t>25;-23</t>
  </si>
  <si>
    <t>26;-23</t>
  </si>
  <si>
    <t>27;-23</t>
  </si>
  <si>
    <t>28;-23</t>
  </si>
  <si>
    <t>29;-23</t>
  </si>
  <si>
    <t>30;-23</t>
  </si>
  <si>
    <t>31;-23</t>
  </si>
  <si>
    <t>32;-23</t>
  </si>
  <si>
    <t>33;-23</t>
  </si>
  <si>
    <t>34;-23</t>
  </si>
  <si>
    <t>35;-23</t>
  </si>
  <si>
    <t>36;-23</t>
  </si>
  <si>
    <t>37;-23</t>
  </si>
  <si>
    <t>38;-23</t>
  </si>
  <si>
    <t>39;-23</t>
  </si>
  <si>
    <t>40;-23</t>
  </si>
  <si>
    <t>41;-23</t>
  </si>
  <si>
    <t>42;-23</t>
  </si>
  <si>
    <t>43;-23</t>
  </si>
  <si>
    <t>44;-23</t>
  </si>
  <si>
    <t>45;-23</t>
  </si>
  <si>
    <t>46;-23</t>
  </si>
  <si>
    <t>47;-23</t>
  </si>
  <si>
    <t>48;-23</t>
  </si>
  <si>
    <t>49;-23</t>
  </si>
  <si>
    <t>50;-23</t>
  </si>
  <si>
    <t>51;-23</t>
  </si>
  <si>
    <t>52;-23</t>
  </si>
  <si>
    <t>53;-23</t>
  </si>
  <si>
    <t>54;-23</t>
  </si>
  <si>
    <t>55;-23</t>
  </si>
  <si>
    <t>56;-23</t>
  </si>
  <si>
    <t>57;-23</t>
  </si>
  <si>
    <t>58;-23</t>
  </si>
  <si>
    <t>59;-23</t>
  </si>
  <si>
    <t>60;-23</t>
  </si>
  <si>
    <t>61;-23</t>
  </si>
  <si>
    <t>62;-23</t>
  </si>
  <si>
    <t>63;-23</t>
  </si>
  <si>
    <t>64;-23</t>
  </si>
  <si>
    <t>65;-23</t>
  </si>
  <si>
    <t>66;-23</t>
  </si>
  <si>
    <t>67;-23</t>
  </si>
  <si>
    <t>68;-23</t>
  </si>
  <si>
    <t>69;-23</t>
  </si>
  <si>
    <t>70;-23</t>
  </si>
  <si>
    <t>71;-23</t>
  </si>
  <si>
    <t>72;-23</t>
  </si>
  <si>
    <t>73;-23</t>
  </si>
  <si>
    <t>74;-23</t>
  </si>
  <si>
    <t>75;-23</t>
  </si>
  <si>
    <t>76;-23</t>
  </si>
  <si>
    <t>77;-23</t>
  </si>
  <si>
    <t>78;-23</t>
  </si>
  <si>
    <t>79;-23</t>
  </si>
  <si>
    <t>80;-23</t>
  </si>
  <si>
    <t>81;-23</t>
  </si>
  <si>
    <t>82;-23</t>
  </si>
  <si>
    <t>83;-23</t>
  </si>
  <si>
    <t>84;-23</t>
  </si>
  <si>
    <t>85;-23</t>
  </si>
  <si>
    <t>86;-23</t>
  </si>
  <si>
    <t>87;-23</t>
  </si>
  <si>
    <t>88;-23</t>
  </si>
  <si>
    <t>89;-23</t>
  </si>
  <si>
    <t>90;-23</t>
  </si>
  <si>
    <t>91;-23</t>
  </si>
  <si>
    <t>92;-23</t>
  </si>
  <si>
    <t>93;-23</t>
  </si>
  <si>
    <t>94;-23</t>
  </si>
  <si>
    <t>95;-23</t>
  </si>
  <si>
    <t>96;-23</t>
  </si>
  <si>
    <t>97;-23</t>
  </si>
  <si>
    <t>98;-23</t>
  </si>
  <si>
    <t>31;-24</t>
  </si>
  <si>
    <t>32;-24</t>
  </si>
  <si>
    <t>33;-24</t>
  </si>
  <si>
    <t>34;-24</t>
  </si>
  <si>
    <t>35;-24</t>
  </si>
  <si>
    <t>36;-24</t>
  </si>
  <si>
    <t>32;-25</t>
  </si>
  <si>
    <t>33;-25</t>
  </si>
  <si>
    <t>34;-25</t>
  </si>
  <si>
    <t>35;-25</t>
  </si>
  <si>
    <t>36;-25</t>
  </si>
  <si>
    <t>37;-25</t>
  </si>
  <si>
    <t>1452584-1</t>
  </si>
  <si>
    <t>Rear View Left</t>
  </si>
  <si>
    <t>Rear View Right</t>
  </si>
  <si>
    <t>Heater +</t>
  </si>
  <si>
    <t>Blind Spot Warning</t>
  </si>
  <si>
    <t>with Power Mirror</t>
  </si>
  <si>
    <t>with Foldable Mirror</t>
  </si>
  <si>
    <t>Door Lighting Outside, Outer Mirror</t>
  </si>
  <si>
    <t>LEDs integrated into outer mirror to illuminate the ground underneath the vehicle.</t>
  </si>
  <si>
    <t>Outer Rear View Mirror Assembly Left</t>
  </si>
  <si>
    <t>Foldable Mirror Left</t>
  </si>
  <si>
    <t>External Rear View Mirror Left</t>
  </si>
  <si>
    <t>External Rear View Mirror Right</t>
  </si>
  <si>
    <t>Outer Rear View Mirror Assembly Right</t>
  </si>
  <si>
    <t>Status Coordinates:</t>
  </si>
  <si>
    <t>with Front Axle Height Adjustment</t>
  </si>
  <si>
    <t>with Dynamic Stabilization</t>
  </si>
  <si>
    <t>Vehicle Height Adjustment</t>
  </si>
  <si>
    <t>with Vehicle Height Adjustment</t>
  </si>
  <si>
    <t>1-967644-1</t>
  </si>
  <si>
    <t>2141467-1</t>
  </si>
  <si>
    <t>2282151-1</t>
  </si>
  <si>
    <t>1 Pos. Fakra Sealed</t>
  </si>
  <si>
    <t>1452299-1</t>
  </si>
  <si>
    <t>2109441-2</t>
  </si>
  <si>
    <t>2-2005159-1</t>
  </si>
  <si>
    <t>493577-1</t>
  </si>
  <si>
    <t>4-1454396-7</t>
  </si>
  <si>
    <t>Reception of televison channels transmission, displayed in the available infotainment displays. Common feature in Japan and USA</t>
  </si>
  <si>
    <t>Fx100</t>
  </si>
  <si>
    <t>2282151-2</t>
  </si>
  <si>
    <t>Windshield Heater L</t>
  </si>
  <si>
    <t>936619-2</t>
  </si>
  <si>
    <t>1-2236898-1</t>
  </si>
  <si>
    <t>2819150-6</t>
  </si>
  <si>
    <t>Eyelet M8x16</t>
  </si>
  <si>
    <t>Eyelet M8x35</t>
  </si>
  <si>
    <t>2133344-3</t>
  </si>
  <si>
    <t>with Keyless Entry and Start  System</t>
  </si>
  <si>
    <t>2333102-1</t>
  </si>
  <si>
    <t>NR</t>
  </si>
  <si>
    <t>1-1801178-4</t>
  </si>
  <si>
    <t>2141627-1</t>
  </si>
  <si>
    <t>1743164-2</t>
  </si>
  <si>
    <t>1-1718624-1</t>
  </si>
  <si>
    <t>Relief Valve FL</t>
  </si>
  <si>
    <t>Turn Signal L</t>
  </si>
  <si>
    <t>Turn Signal R</t>
  </si>
  <si>
    <t>1823679-1</t>
  </si>
  <si>
    <t>1-2302450-1</t>
  </si>
  <si>
    <t>Loudspeaker - Door Rear Right / Rear Seat Right Trim</t>
  </si>
  <si>
    <t>2312106-1</t>
  </si>
  <si>
    <t>1452581-2</t>
  </si>
  <si>
    <t>1-2312022-1</t>
  </si>
  <si>
    <t>Gray Coordinates: rouitng permitted in all layers (floor and roof)</t>
  </si>
  <si>
    <t>Red Coordinates: routing prohibited</t>
  </si>
  <si>
    <t>L4/L5</t>
  </si>
  <si>
    <t>L2/L2+/L3</t>
  </si>
  <si>
    <t>L1/L1+</t>
  </si>
  <si>
    <t>L3/L4/L5</t>
  </si>
  <si>
    <t>L3</t>
  </si>
  <si>
    <t>L1+/L2/L2+/L3</t>
  </si>
  <si>
    <t>L1+/L2/L2+/L3/L4/L5</t>
  </si>
  <si>
    <t>L5</t>
  </si>
  <si>
    <t>L1+/L2/L2+/L3/L4</t>
  </si>
  <si>
    <t>L4</t>
  </si>
  <si>
    <t>L1+/L2/L2+</t>
  </si>
  <si>
    <t>X</t>
  </si>
  <si>
    <t>Diagnostic Interface for Databus</t>
  </si>
  <si>
    <t>Service and Maintenance</t>
  </si>
  <si>
    <t>Tailgate Lock Cylinder Unlocking Button</t>
  </si>
  <si>
    <t>Charger for Mobile Devices</t>
  </si>
  <si>
    <t>Tailgate Remote Opening Button</t>
  </si>
  <si>
    <t>E-Call Communication Module</t>
  </si>
  <si>
    <t>LV Battery Management</t>
  </si>
  <si>
    <t>Stepper  Motor - Front Trunk Release</t>
  </si>
  <si>
    <t>Panel Combined Switches</t>
  </si>
  <si>
    <t>Quantity of Index:</t>
  </si>
  <si>
    <t>License Plate Lamp Left</t>
  </si>
  <si>
    <t>License Plate Lamp Right</t>
  </si>
  <si>
    <t>Hood Switch Left</t>
  </si>
  <si>
    <t>Hood Switch Right</t>
  </si>
  <si>
    <t>Audio Amplifier</t>
  </si>
  <si>
    <t>Rain and Light Detection</t>
  </si>
  <si>
    <t>Driving Scenarios</t>
  </si>
  <si>
    <t>Sunny Day</t>
  </si>
  <si>
    <t>Rainy Night</t>
  </si>
  <si>
    <t>Highway Traffic</t>
  </si>
  <si>
    <t>City Idle Traffic</t>
  </si>
  <si>
    <t>Statistics:</t>
  </si>
  <si>
    <t>Features (Mkt. Ref.)</t>
  </si>
  <si>
    <t>Variant</t>
  </si>
  <si>
    <t>Type</t>
  </si>
  <si>
    <t>Detail</t>
  </si>
  <si>
    <t>Detail + Function</t>
  </si>
  <si>
    <t>Mkt. Ref.</t>
  </si>
  <si>
    <t>Pinout</t>
  </si>
  <si>
    <t>Nr.</t>
  </si>
  <si>
    <t>Vehicle</t>
  </si>
  <si>
    <t>Summer</t>
  </si>
  <si>
    <t>Winter</t>
  </si>
  <si>
    <t>W</t>
  </si>
  <si>
    <t>Column</t>
  </si>
  <si>
    <t>Check Power and Place</t>
  </si>
  <si>
    <t>E</t>
  </si>
  <si>
    <t>F</t>
  </si>
  <si>
    <t>G</t>
  </si>
  <si>
    <t>H</t>
  </si>
  <si>
    <t>I</t>
  </si>
  <si>
    <t>J</t>
  </si>
  <si>
    <t>K</t>
  </si>
  <si>
    <t>L</t>
  </si>
  <si>
    <t>M</t>
  </si>
  <si>
    <t>N</t>
  </si>
  <si>
    <t>O</t>
  </si>
  <si>
    <t>P</t>
  </si>
  <si>
    <t>Q</t>
  </si>
  <si>
    <t>S</t>
  </si>
  <si>
    <t>T</t>
  </si>
  <si>
    <t>U</t>
  </si>
  <si>
    <t>V</t>
  </si>
  <si>
    <t>Y</t>
  </si>
  <si>
    <t>Z</t>
  </si>
  <si>
    <t>AA</t>
  </si>
  <si>
    <t>AB</t>
  </si>
  <si>
    <t>AC</t>
  </si>
  <si>
    <t>AD</t>
  </si>
  <si>
    <t>AE</t>
  </si>
  <si>
    <t>AF</t>
  </si>
  <si>
    <t>AG</t>
  </si>
  <si>
    <t>AH</t>
  </si>
  <si>
    <t>AI</t>
  </si>
  <si>
    <t>AJ</t>
  </si>
  <si>
    <t>AK</t>
  </si>
  <si>
    <t>AL</t>
  </si>
  <si>
    <t>AM</t>
  </si>
  <si>
    <t>AN</t>
  </si>
  <si>
    <t>AO</t>
  </si>
  <si>
    <t>ASIL Level</t>
  </si>
  <si>
    <t>Components List Meanings</t>
  </si>
  <si>
    <t>Item</t>
  </si>
  <si>
    <t>Formula to check missing information and to support spreadsheet management.</t>
  </si>
  <si>
    <t>An unique number attributted to each component. It can be used as a part-number.</t>
  </si>
  <si>
    <t>Higher level of the features classification.</t>
  </si>
  <si>
    <t>A sub-category of each domain, also aiming for feature classification.</t>
  </si>
  <si>
    <t>An unique code attributed to each feature.</t>
  </si>
  <si>
    <t>The feature description. It is used to describe a functionality and also to select a vehicle configuration.</t>
  </si>
  <si>
    <t>"Automotive Safety Integrity Level": risk classification of each feature/functionality according to ISO 26262.</t>
  </si>
  <si>
    <t>The operational purpose of the component in the vehicle and/or system.</t>
  </si>
  <si>
    <t>Component application according to the type of vehicle and/or system.</t>
  </si>
  <si>
    <t>Classification of the component according to ist basic function.</t>
  </si>
  <si>
    <t>Description of the component.</t>
  </si>
  <si>
    <t>Combination of the two fields above (only for spreadsheet management purposes).</t>
  </si>
  <si>
    <t>A public catalog part number of the component, as a market reference (benchmarking).</t>
  </si>
  <si>
    <t>Communication protocol bandwidth and speed, when applied.</t>
  </si>
  <si>
    <t>"Failure In Time": represents failure rates and how many failures occur every 109 hours. See ISO 26262.</t>
  </si>
  <si>
    <t>General and typical location of the component in a vehicle topology.</t>
  </si>
  <si>
    <t>More specific location of the component in a general topology in a simplified 2D representation (see spreadsheet "Coordinates").</t>
  </si>
  <si>
    <t>Nominal Power (W)</t>
  </si>
  <si>
    <t>Duration (s)</t>
  </si>
  <si>
    <t>Typical Operating Time</t>
  </si>
  <si>
    <t>Nominal power consumption of the component in normal conditions (typically @ 20°C)</t>
  </si>
  <si>
    <t>Nominal current consumption of the component in normal conditions (typically @ 20°C)</t>
  </si>
  <si>
    <t>Nominal Current (A)</t>
  </si>
  <si>
    <t>Stall Current (A)</t>
  </si>
  <si>
    <t>Current (A)</t>
  </si>
  <si>
    <t>Current consumption of the component in a blocked condition - electromechanical parts (typically @ 20°C)</t>
  </si>
  <si>
    <t>Current peak consumption of the component in the moment of its operation start (typically @ 20°C)</t>
  </si>
  <si>
    <t>Time duration of the above mentioned peak.</t>
  </si>
  <si>
    <t>Description of the typical usage of the component.</t>
  </si>
  <si>
    <t>Electric connection pin number</t>
  </si>
  <si>
    <t>Electrical connection signal type driven by the above mentioned pin.</t>
  </si>
  <si>
    <t>Supplier name of a suggested connection to the component</t>
  </si>
  <si>
    <t>Connection part number suggestion for the component</t>
  </si>
  <si>
    <t>Short description of the connector</t>
  </si>
  <si>
    <t>Allowance to be used in 48V electrical systems (arc protection)</t>
  </si>
  <si>
    <t>Component usage in entry market vehicle models</t>
  </si>
  <si>
    <t>Component usage in the best selling vehicle models</t>
  </si>
  <si>
    <t>Component usage in the full equiped vehicle models</t>
  </si>
  <si>
    <t>Percentage of the average operation of a component when the vehicle is used in a sunny summer day in a jammed urban traffic</t>
  </si>
  <si>
    <t>Percentage of the average operation of a component when the vehicle is used in a sunny summer day driving in highways at their speed limits.</t>
  </si>
  <si>
    <t>Percentage of the average operation of a component when the vehicle is used in a rainny winter night, driving in highways at their speed limits.</t>
  </si>
  <si>
    <t>Percentage of the average operation of a component when the vehicle is used in a rainny winter night, driving in a jammed urban traffic.</t>
  </si>
  <si>
    <t>Magnetic Valve for Engine Mounting Left</t>
  </si>
  <si>
    <t>Magnetic Valve for Engine Mounting Right</t>
  </si>
  <si>
    <t>Vehicle Level Information</t>
  </si>
  <si>
    <t>2337619-2</t>
  </si>
  <si>
    <t>1745096-1</t>
  </si>
  <si>
    <t>1-1452693-1</t>
  </si>
  <si>
    <t>LED Lamp in Door Handle FL</t>
  </si>
  <si>
    <t>LED Lamp in Door Handle FR</t>
  </si>
  <si>
    <t>LED Lamp in Door Handle RL</t>
  </si>
  <si>
    <t>LED Lamp in Door Handle RR</t>
  </si>
  <si>
    <t>LED Lamp in Door Trim Bottom FL</t>
  </si>
  <si>
    <t>LED Lamp in Door Trim Bottom FR</t>
  </si>
  <si>
    <t>LED Lamp in Door Trim Bottom RL</t>
  </si>
  <si>
    <t>LED Lamp in Door Trim Bottom RR</t>
  </si>
  <si>
    <t>1379029-1</t>
  </si>
  <si>
    <t>Cooling Fan Motor 400W</t>
  </si>
  <si>
    <t>Cooling Fan Motor 600W</t>
  </si>
  <si>
    <t>Cooling Fan Motor 2x400W</t>
  </si>
  <si>
    <t>Cooling Fan Motor 2x600W</t>
  </si>
  <si>
    <t>F0x70</t>
  </si>
  <si>
    <t>F0x71</t>
  </si>
  <si>
    <t>F0x72</t>
  </si>
  <si>
    <t>Thermal Management for ICE Vehicles - Low Power Engines</t>
  </si>
  <si>
    <t>Cooling system for ICE vehicles with engine power up to 100HP</t>
  </si>
  <si>
    <t>Thermal Management for ICE Vehicles - Mid Power Engines</t>
  </si>
  <si>
    <t>Thermal Management for ICE Vehicles - High Power Engines</t>
  </si>
  <si>
    <t>Cooling system for ICE vehicles with engine power higher than 200HP</t>
  </si>
  <si>
    <t>Cooling system for ICE vehicles with engine power between 100HP and 200HP</t>
  </si>
  <si>
    <t>953697-1</t>
  </si>
  <si>
    <t>1376235-1</t>
  </si>
  <si>
    <t>1-1670459-2</t>
  </si>
  <si>
    <t>1897214-1</t>
  </si>
  <si>
    <t>High Performance</t>
  </si>
  <si>
    <t>Redundant</t>
  </si>
  <si>
    <t>1-2294261-5</t>
  </si>
  <si>
    <t>2343344-2</t>
  </si>
  <si>
    <t>Dynamic Motor</t>
  </si>
  <si>
    <t>9-1355493-3</t>
  </si>
  <si>
    <t>2219501-2</t>
  </si>
  <si>
    <t>Gear Shifting - Clutch Pedal Sensor</t>
  </si>
  <si>
    <t>Boardnet</t>
  </si>
  <si>
    <t>AP</t>
  </si>
  <si>
    <t>AQ</t>
  </si>
  <si>
    <t>Suggested/Reference Melting Fuse [A] @85°C @12V</t>
  </si>
  <si>
    <t>Suggested/Reference Wire Gauge [mm²] @85°C @12V</t>
  </si>
  <si>
    <t>Suggested/Reference Melting Fuse [A] @85°C @48V</t>
  </si>
  <si>
    <t>Suggested/Reference Wire Gauge [mm²] @85°C @48V</t>
  </si>
  <si>
    <t>Typical melting fuse type and value used to protect the component power supply when @12V.</t>
  </si>
  <si>
    <t>Typical wire type and value used to the component power supply when @12V.</t>
  </si>
  <si>
    <t>Typical melting fuse type and value used to protect the component power supply when @48V.</t>
  </si>
  <si>
    <t>Typical wire type and value used to the component power supply when @48V.</t>
  </si>
  <si>
    <t>Zone Controller Connection</t>
  </si>
  <si>
    <t>AR</t>
  </si>
  <si>
    <t xml:space="preserve">Electrical connection pin that must be connected to the Zone Controller for power supply </t>
  </si>
  <si>
    <t>Electrical connection pin that must be connected to the Zone Controller for data and signals transfer</t>
  </si>
  <si>
    <t>Taillamp Assy' LED Left - Body</t>
  </si>
  <si>
    <t>Taillamp Assy' LED Right - Body</t>
  </si>
  <si>
    <t>Taillamp Assy' LED Left - Tailgate</t>
  </si>
  <si>
    <t>Taillamp Assy' LED Right - Tailgate</t>
  </si>
  <si>
    <t>Taillamp Assy' LED Dynamic Blinker Left - Tailgate</t>
  </si>
  <si>
    <t>Taillamp Assy' LED Dynamic Blinker Right - Tailgate</t>
  </si>
  <si>
    <t>Taillamp Assy' P21W + P10W Left - Body</t>
  </si>
  <si>
    <t>Taillamp Assy' P21W + P10W Right - Body</t>
  </si>
  <si>
    <t>Taillamp Assy' LED Dynamic Blinker Left - Body</t>
  </si>
  <si>
    <t>Taillamp Assy' LED Dynamic Blinker Right - Body</t>
  </si>
  <si>
    <t>Taillamp Assy' P21W + P10W Left - Single</t>
  </si>
  <si>
    <t>Taillamp Assy' LED Left - Single</t>
  </si>
  <si>
    <t>Taillamp Assy' LED Dynamic Blinker Left - Single</t>
  </si>
  <si>
    <t>Taillamp Assy' P21W + P10W Left - Tailgate</t>
  </si>
  <si>
    <t>Taillamp Assy' P21W + P10W Right - Single</t>
  </si>
  <si>
    <t>Taillamp Assy' LED Right - Single</t>
  </si>
  <si>
    <t>Taillamp Assy' LED Dynamic Blinker Right - Single</t>
  </si>
  <si>
    <t>Taillamp Assy' P21W + P10W Right - Tailgate</t>
  </si>
  <si>
    <t>Taillamp Assy' Full LED - Center</t>
  </si>
  <si>
    <t>Taillamp Assy' - Center</t>
  </si>
  <si>
    <t>Repeater Cam Left</t>
  </si>
  <si>
    <t>Repeater Cam Right</t>
  </si>
  <si>
    <t>Rear Seat Touch Screen Left</t>
  </si>
  <si>
    <t>Rear Seat Touch Screen Right</t>
  </si>
  <si>
    <t>Mirror Camera Heating Right</t>
  </si>
  <si>
    <t>Mirror Camera Heater Left</t>
  </si>
  <si>
    <t>Rear Axle Steering Motor Right</t>
  </si>
  <si>
    <t>Rear Axle Steering Motor Left</t>
  </si>
  <si>
    <t>Footwell Temperature Sensor Front Left</t>
  </si>
  <si>
    <t>Footwell Temperature Sensor Front Right</t>
  </si>
  <si>
    <t>Seat Memory Switch</t>
  </si>
  <si>
    <t>Memory Selector - Driver Seat</t>
  </si>
  <si>
    <t>Washer Pump Mono</t>
  </si>
  <si>
    <t>Washer Pump Dual</t>
  </si>
  <si>
    <t>Windshield Washer</t>
  </si>
  <si>
    <t>Night Vision Camera Washer</t>
  </si>
  <si>
    <t>Door Contour Illumination Lamp [passenger]</t>
  </si>
  <si>
    <t>Additional Heating Control Unit (Valve and Fuel Pump)</t>
  </si>
  <si>
    <t>Mid-range Loudspeaker 2 [passenger door]</t>
  </si>
  <si>
    <t>Tank Ventilation Pressure Sensor 1</t>
  </si>
  <si>
    <t>Radiator Coolant Outlet Temperature Sensor</t>
  </si>
  <si>
    <t>Air Deflector Temperature Sensor [rear]</t>
  </si>
  <si>
    <t>Surrounding Camera Control Unit</t>
  </si>
  <si>
    <t>Exhaust Temperature Sensor 3 (OPF DUAL sensor)</t>
  </si>
  <si>
    <t>Low Tone Loudspeaker [front left]</t>
  </si>
  <si>
    <t>Seat Belt Tensioner Igniter 1 [passenger side]</t>
  </si>
  <si>
    <t>Seat Belt Tensioner Igniter 1 [driver side]</t>
  </si>
  <si>
    <t>Door External Handle Illumination [passenger]</t>
  </si>
  <si>
    <t>Door External Handle Illumination [rear left]</t>
  </si>
  <si>
    <t>Windshield Washer Fluid Level Sensor</t>
  </si>
  <si>
    <t>Wiper Motor</t>
  </si>
  <si>
    <t>Battery Interruption Device (Pyro Fuse)</t>
  </si>
  <si>
    <t>Instrument Cluster (Main)</t>
  </si>
  <si>
    <t>Emergency Call Module Antenna (not at +IV0/IV9)</t>
  </si>
  <si>
    <t>Roof Antenna (RdW)</t>
  </si>
  <si>
    <t>Charger 1 for Mobile Devices</t>
  </si>
  <si>
    <t>Antenna Amplifier 2 (Module B FM2) [rear window top left]</t>
  </si>
  <si>
    <t>All Wheel Drive Unit (Valves Block 1)</t>
  </si>
  <si>
    <t>All Wheel Drive Unit (Valves Block 2)</t>
  </si>
  <si>
    <t>All Wheel Drive Unit (Motor)</t>
  </si>
  <si>
    <t>All Wheel Drive Unit (Sensors Block 2)</t>
  </si>
  <si>
    <t>All Wheel Drive Unit (Sensors Block 1)</t>
  </si>
  <si>
    <t>Lane Change Assist</t>
  </si>
  <si>
    <t>Required Feature</t>
  </si>
  <si>
    <t>12V Battery</t>
  </si>
  <si>
    <t>Vanity Mirror Illumination RL</t>
  </si>
  <si>
    <t>Vanity Mirror Illumination RR</t>
  </si>
  <si>
    <t>Wind Deflector Motor</t>
  </si>
  <si>
    <t>Electric Brake Booster</t>
  </si>
  <si>
    <t>https://www.6speedonline.com/forums/attachment.php?attachmentid=378681&amp;d=1401093166</t>
  </si>
  <si>
    <t>Sources</t>
  </si>
  <si>
    <t>https://dfkitcar.com/forum/index.php?threads/diagram-for-brake-booster-vacuum-sensor-lnf.2721/</t>
  </si>
  <si>
    <t>Parking Heater Antenna</t>
  </si>
  <si>
    <t>Garage Opener Intern Antenna</t>
  </si>
  <si>
    <t>E-Call Antenna</t>
  </si>
  <si>
    <t>Bluetooth Antenna</t>
  </si>
  <si>
    <t>Satellite Antenna - SDARS</t>
  </si>
  <si>
    <t>RC Parking Antenna</t>
  </si>
  <si>
    <t>Gesamtergebnis</t>
  </si>
  <si>
    <t>Zeilenbeschriftungen</t>
  </si>
  <si>
    <t>https://auth.tesla.com/oauth2/v1/authorize?client_id=teslaservice-prd&amp;response_type=code&amp;redirect_uri=https://service.tesla.com/auth/callback&amp;scope=openid%20email%20profile%20employee%20offline_access&amp;state=27dff142-bb36-6e29-345b-67b1c74692ba&amp;locale=en-US</t>
  </si>
  <si>
    <t>Charge Port Inlet</t>
  </si>
  <si>
    <t>Vehicle Charging</t>
  </si>
  <si>
    <t>Charge Port Flap</t>
  </si>
  <si>
    <t>93-1</t>
  </si>
  <si>
    <t>Charging Access</t>
  </si>
  <si>
    <t>1-1534229-1</t>
  </si>
  <si>
    <t>6 Pos. MQS 0,63mm Sealed</t>
  </si>
  <si>
    <t>8 Pos. MQS 0,63mm Sealed</t>
  </si>
  <si>
    <t>2282150-1</t>
  </si>
  <si>
    <t>with Map Light Rear</t>
  </si>
  <si>
    <t>https://service.tesla.com/docs/Model3/ElectricalReference/</t>
  </si>
  <si>
    <t>1-2141627-1</t>
  </si>
  <si>
    <t>Door Speaker Illumination RR</t>
  </si>
  <si>
    <t>Door Speaker Illumination RL</t>
  </si>
  <si>
    <t>https://www.industrystock.de/de/unternehmen/Fahrzeuge/Fahrzeugtechnik/Autotuning/Frontspoiler</t>
  </si>
  <si>
    <t>1897726-2</t>
  </si>
  <si>
    <t>RHD</t>
  </si>
  <si>
    <t>1-2299071-1</t>
  </si>
  <si>
    <t>2 Pos. MCON 1,2mm Sealed</t>
  </si>
  <si>
    <t>936120-2</t>
  </si>
  <si>
    <t>Seat Occupancy Detection 1st Row L</t>
  </si>
  <si>
    <t>Seat Occupancy Detection 1st Row R</t>
  </si>
  <si>
    <t>2 Pos. Superseal 1,5mm Sealed</t>
  </si>
  <si>
    <t>Steering - Steering Motor Unit</t>
  </si>
  <si>
    <t>1-1924067-1</t>
  </si>
  <si>
    <t>4-1488991-1</t>
  </si>
  <si>
    <t>3 Pos. MCON 1,2mm Sealed</t>
  </si>
  <si>
    <t>Hydraulic Pump Motor</t>
  </si>
  <si>
    <t>Rear Axle Anti-roll Bar Decoupling Valve</t>
  </si>
  <si>
    <t>Front Axle Anti-roll Bar Decoupling Valve</t>
  </si>
  <si>
    <t>1-2282337-5</t>
  </si>
  <si>
    <t>10 Pos. MCON 1,2mm Sealed</t>
  </si>
  <si>
    <t>1-2323170-5</t>
  </si>
  <si>
    <t>12 Pos. MCON 1,2mm Sealed</t>
  </si>
  <si>
    <t>1-2112035-1</t>
  </si>
  <si>
    <t>1-1355696-1</t>
  </si>
  <si>
    <t>2203464-2</t>
  </si>
  <si>
    <t>2320020-1</t>
  </si>
  <si>
    <t>High Sound</t>
  </si>
  <si>
    <t>2301812-1</t>
  </si>
  <si>
    <t>0-1823898-1</t>
  </si>
  <si>
    <t>0-1823853-1</t>
  </si>
  <si>
    <t>0-2208145-1</t>
  </si>
  <si>
    <t>0-2208145-2</t>
  </si>
  <si>
    <t>0-2208145-3</t>
  </si>
  <si>
    <t>0-2208145-4</t>
  </si>
  <si>
    <t>1 Pos. Fakra II Unsealed</t>
  </si>
  <si>
    <t>8 Pos. MQS 0,63mm Unsealed</t>
  </si>
  <si>
    <t>4 Pos. MQS 0,63mm Unsealed</t>
  </si>
  <si>
    <t>5 Pos. JPT 2,8mm Sealed</t>
  </si>
  <si>
    <t>2 Pos. MQS 0,63mm Unsealed</t>
  </si>
  <si>
    <t>2 Pos. MCP 2,8mm Sealed</t>
  </si>
  <si>
    <t>4 Pos. MQS 0,63mm / MCON 1,2mm Unsealed</t>
  </si>
  <si>
    <t>2 Pos. NanoMQS 0,5mm Unsealed</t>
  </si>
  <si>
    <t>5 Pos. HSD Ass'y Sealed</t>
  </si>
  <si>
    <t>5 Pos. HSD Ass'y Unsealed</t>
  </si>
  <si>
    <t>2 Pos. NanoMQS 0,5mm Sealed</t>
  </si>
  <si>
    <t>8 Pos. MCP 2,8mm Sealed</t>
  </si>
  <si>
    <t>4 Pos. MCP 2,8mm Sealed</t>
  </si>
  <si>
    <t>2 Pos. MCP 9,5mm Unselaed</t>
  </si>
  <si>
    <t>2 Pos. MQS 0,63mm Sealed</t>
  </si>
  <si>
    <t>3 Pos. MCP 1,5mm Sealed</t>
  </si>
  <si>
    <t>3 Pos. NanoMQS 0,5mm Unsealed</t>
  </si>
  <si>
    <t>6 Pos. MQS 0,63mm Unsealed</t>
  </si>
  <si>
    <t>4 Pos. MCP 2,8mm / 6,3mm Sealed</t>
  </si>
  <si>
    <t>4 Pos. MCP 1,5mm Sealed</t>
  </si>
  <si>
    <t>10 Pos. JPT 2,8mm Sealed</t>
  </si>
  <si>
    <t>3 Pos. Lamp Socket T20</t>
  </si>
  <si>
    <t>2 Pos. Lamp Socket T3 1/4 / T5</t>
  </si>
  <si>
    <t>6 Pos. MCON 1,2mm Sealed</t>
  </si>
  <si>
    <t>4 Pos. MCP 2,8mm Unsealed</t>
  </si>
  <si>
    <t>5 Pos. MCON 1,2mm Sealed</t>
  </si>
  <si>
    <t>3 Pos. MQS 0,63mm Sealed</t>
  </si>
  <si>
    <t>3 Pos. MQS 0,63mm Unsealed</t>
  </si>
  <si>
    <t>2 Pos. JPT 2,8mm Unsealed</t>
  </si>
  <si>
    <t>4 Pos. Multilock 1,5mm Unsealed</t>
  </si>
  <si>
    <t>12 Pos. MCP 1,5mm / 2,8mm Sealed</t>
  </si>
  <si>
    <t>2 Pos. MPT 1,5mm Unsealed</t>
  </si>
  <si>
    <t>3 Pos. SFC 1,5mm Sealed</t>
  </si>
  <si>
    <t>16 Pos. MCON 1,2mm / MCP 2,8mm Unsealed</t>
  </si>
  <si>
    <t>20 Pos. NanoMQS 0,5mm Unsealed</t>
  </si>
  <si>
    <t>2 Pos. SPT 4,8mm Unsealed</t>
  </si>
  <si>
    <t>14 Pos. MCON 1,2mm Unsealed</t>
  </si>
  <si>
    <t>3 Pos. MCP 1,5mm Unsealed</t>
  </si>
  <si>
    <t>2 Pos. MCP 6,3mm Sealed</t>
  </si>
  <si>
    <t>2 Pos. MCP 1,5mm Sealed</t>
  </si>
  <si>
    <t>6 Pos. NanoMQS 0,5mm Unsealed</t>
  </si>
  <si>
    <t>5 Pos. MQS 0,63mm / MPQ 2,8mm Unsealed</t>
  </si>
  <si>
    <t>10 Pos. MCP 1,5mm Sealed</t>
  </si>
  <si>
    <t>6 Pos. JPT 2,8mm Sealed</t>
  </si>
  <si>
    <t>26 Pos. MCP 1,5mm / 2,8mm / 6,3mm Sealed</t>
  </si>
  <si>
    <t>2356394-1</t>
  </si>
  <si>
    <t>2 Pos. MCON 1,2mm Unsealed</t>
  </si>
  <si>
    <t>Microphone Front Middle</t>
  </si>
  <si>
    <t>1326490-5</t>
  </si>
  <si>
    <t>4 Pos. MPT 1.6mm / JPT 2.8mm Unsealed</t>
  </si>
  <si>
    <t>Potentiomenter - User Selector Driver</t>
  </si>
  <si>
    <t>Potentiomenter - User Selector Passenger</t>
  </si>
  <si>
    <t>Potentiomenter - User Selector Rear Left</t>
  </si>
  <si>
    <t>Potentiomenter - User Selector Rear Right</t>
  </si>
  <si>
    <t>Valve - Driver Seat</t>
  </si>
  <si>
    <t>Valve - Passenger Seat</t>
  </si>
  <si>
    <t>2-1241370-3</t>
  </si>
  <si>
    <t>Massage Switch - User Selector - Driver</t>
  </si>
  <si>
    <t>Massage Switch - User Selector - Passenger</t>
  </si>
  <si>
    <t>Seat Backrest Motor - Driver</t>
  </si>
  <si>
    <t>Seat Backrest Motor - Passenger</t>
  </si>
  <si>
    <t>Sensor Hall Seat Backrest - Passenger</t>
  </si>
  <si>
    <t>Sensor Hall Seat Backrest - Driver</t>
  </si>
  <si>
    <t>Sensor Hall Length - Driver</t>
  </si>
  <si>
    <t>Seat Length Motor - Driver</t>
  </si>
  <si>
    <t>Sensor Hall Length - Passenger</t>
  </si>
  <si>
    <t>Seat Length Motor - Passenger</t>
  </si>
  <si>
    <t>Sensor Hall Height - Driver</t>
  </si>
  <si>
    <t>Seat Height Motor - Driver</t>
  </si>
  <si>
    <t>Sensor Hall Height - Passenger</t>
  </si>
  <si>
    <t>Seat Height Motor - Passenger</t>
  </si>
  <si>
    <t>Sensor Hall Tilt - Driver</t>
  </si>
  <si>
    <t>Sensor Hall Tilt - Passenger</t>
  </si>
  <si>
    <t>Seat Tilt Motor - Driver</t>
  </si>
  <si>
    <t>Seat Tilt Motor - Passenger</t>
  </si>
  <si>
    <t>Seat Depth Motor - Driver</t>
  </si>
  <si>
    <t>Sensor Hall Depth - Driver</t>
  </si>
  <si>
    <t>Seat Depth Motor - Passenger</t>
  </si>
  <si>
    <t>Sensor Hall Depth - Passenger</t>
  </si>
  <si>
    <t>Seat Backrest Tilting 2nd Row Right</t>
  </si>
  <si>
    <t>Seat Backrest Tilting 3rd Row Left</t>
  </si>
  <si>
    <t>Seat Backrest Tilting 3rd Row Right</t>
  </si>
  <si>
    <t>seat Backrest Tilting 2nd Row Right</t>
  </si>
  <si>
    <t>Seat Backrest Tilting 2nd Row Left</t>
  </si>
  <si>
    <t>0-2177694-1</t>
  </si>
  <si>
    <t>7 Pos. HSD Ass'y / MQS 0,63mm Unsealed</t>
  </si>
  <si>
    <t>2307383-1</t>
  </si>
  <si>
    <t>8 Pos. MQS 0,63mm / MPQ 2,8mm Unsealed</t>
  </si>
  <si>
    <t>Tailgate Opening and Closing</t>
  </si>
  <si>
    <t>Stepper Motor Left</t>
  </si>
  <si>
    <t>Stepper Motor Right</t>
  </si>
  <si>
    <t>Luggage Compartment Covering</t>
  </si>
  <si>
    <t>Stepper Motor Cover</t>
  </si>
  <si>
    <t>Tailgate Release Handle Switch</t>
  </si>
  <si>
    <t>Tailgate Opening and Closing External Command (Virtual Pedal)</t>
  </si>
  <si>
    <t>1801823-1</t>
  </si>
  <si>
    <t>4 Pos. MCON 0,50mm Sealed</t>
  </si>
  <si>
    <t>Tailgate Opening and Closing Internal Command (Trunk)</t>
  </si>
  <si>
    <t>Tailgate Opening and Closing Internal Command (Panel)</t>
  </si>
  <si>
    <t>Intrusion Detection</t>
  </si>
  <si>
    <t>Hood Stepper Motor</t>
  </si>
  <si>
    <t>Hood Latch Sensor</t>
  </si>
  <si>
    <t>Stepper Motor - Emergency Hood Release</t>
  </si>
  <si>
    <t>Near Field Communication Interface Device</t>
  </si>
  <si>
    <t>Near Field Communication Center Console Antenna</t>
  </si>
  <si>
    <t>Near Field Communication Trunk Antenna</t>
  </si>
  <si>
    <t>https://www.electronicproducts.com/car-access-system-block-diagram/</t>
  </si>
  <si>
    <t>https://www.nxp.com/products/security-and-authentication/secure-car-access/passive-keyless-entry-chip:NCF29AG-H</t>
  </si>
  <si>
    <t>Near Field Communication Unit - Driver Door</t>
  </si>
  <si>
    <t>Key Recogniton and User Hand Detection</t>
  </si>
  <si>
    <t>Near Field Communication Unit - Passenger Door</t>
  </si>
  <si>
    <t>Near Field Communication Unit - Door Rear Left</t>
  </si>
  <si>
    <t>Near Field Communication Unit - Door Rear Right</t>
  </si>
  <si>
    <t>Key Recognition</t>
  </si>
  <si>
    <t>Near Field Communication Antenna - Driver Door</t>
  </si>
  <si>
    <t>Near Field Communication Antenna - Passenger Door</t>
  </si>
  <si>
    <t>User Hand Detection</t>
  </si>
  <si>
    <t>Interior Compartment Rear Receiving</t>
  </si>
  <si>
    <t>Rear Bumber Receiving</t>
  </si>
  <si>
    <t>Near Field Communication Interior Rear Antenna</t>
  </si>
  <si>
    <t>Near Field Communication Rear Bumber Antenna</t>
  </si>
  <si>
    <t>1534579-1</t>
  </si>
  <si>
    <t>16 Pos. MQS 0,63mm Unsealed</t>
  </si>
  <si>
    <t>Standard for 12 Volt Cigarette Lighters, Power Outlets, and Accessory Plugs SAE International. Retrieved 2016-02-16</t>
  </si>
  <si>
    <t>Entire Vehicle</t>
  </si>
  <si>
    <t>https://en.wikipedia.org/wiki/Automobile_auxiliary_power_outlet</t>
  </si>
  <si>
    <t>Electrical Transients</t>
  </si>
  <si>
    <t>ISO 7637 - Electrical Disturbances from Conduction and Coupling</t>
  </si>
  <si>
    <t>https://hyundai.oempartsonline.com/oem-parts/hyundai-12-volt-accessory-power-outlet-95120ar000</t>
  </si>
  <si>
    <t>https://www.cascoauto.com/products/connectivity-products/</t>
  </si>
  <si>
    <t>Personal Device Charging and Connecting - USB Outlet</t>
  </si>
  <si>
    <t>External Temperature - Particle Filter Temperature Sensor [Duo Sensor]</t>
  </si>
  <si>
    <t>Air Recycling - User Selector</t>
  </si>
  <si>
    <t>Heat Pump System Operation - Coolant Temperature Sensor for A/C</t>
  </si>
  <si>
    <t>Heat Pump System Operation - Valve - Heater Coolant Shut-off</t>
  </si>
  <si>
    <t>Radiator Ventilation - Cooling Fan Motor 600W</t>
  </si>
  <si>
    <t>Radiator Ventilation - Cooling Fan Motor 2x400W</t>
  </si>
  <si>
    <t>Heat Pump System Operation - Pressure and Temperature After Compressor</t>
  </si>
  <si>
    <t>Heat Pump System Operation - Pressure and Temperature After Heating Condenser</t>
  </si>
  <si>
    <t>Heat Pump System Operation - Pressure and Temperature After AC Condenser</t>
  </si>
  <si>
    <t>Heat Pump System Operation - Pressure and Temperature Before AC Condenser</t>
  </si>
  <si>
    <t>Heat Pump System Operation - Expansion Valve for Refrigerant After Heating Condenser</t>
  </si>
  <si>
    <t>Heat Pump System Operation - Expansion Valve for Refrigerant After Evaporator</t>
  </si>
  <si>
    <t>Heat Pump System Operation - Expansion Valve for Refrigerant Before Chiller</t>
  </si>
  <si>
    <t>Heat Pump System Operation - Valve - Refrigerant Shut-off After Heating Condenser</t>
  </si>
  <si>
    <t>Heat Pump System Operation - Valve - Refrigerant Shut-off After Evaporator</t>
  </si>
  <si>
    <t>Internal Temperature - Footwell Temperature Sensor Front Left</t>
  </si>
  <si>
    <t>Internal Temperature - Footwell Temperature Sensor Front Right</t>
  </si>
  <si>
    <t>Internal Temperature - Room Temperature Rear</t>
  </si>
  <si>
    <t>Air Flow Control - Stepper Motor - Cockpit Flap</t>
  </si>
  <si>
    <t>Command Panel - Front Control Unit with User Selector</t>
  </si>
  <si>
    <t>Computing - Heat Pump - Heat Pump Control Unit</t>
  </si>
  <si>
    <t>Command Panel - User Selector - Blower Speed</t>
  </si>
  <si>
    <t>Blower Speed Control - Blower Resistance</t>
  </si>
  <si>
    <t>Air Heating - Electrical Air Heater PTC</t>
  </si>
  <si>
    <t>Air Flow Control - Stepper Motor - B-Pillar</t>
  </si>
  <si>
    <t>Air Flow Deflection - Air Diffuser Stepper Motor - Cockpit Flap Center</t>
  </si>
  <si>
    <t>Air Flow Deflection - User Selector Potentiometer - Cockpit Center Air Diffuser</t>
  </si>
  <si>
    <t>Air Ionizer Front - Ionizer Front</t>
  </si>
  <si>
    <t>Air Ionizer Front - User Selector Front</t>
  </si>
  <si>
    <t>Air Ionizer Rear - Ionizer Rear</t>
  </si>
  <si>
    <t>Air Ionizer Rear - User Selector Rear</t>
  </si>
  <si>
    <t>Solar Intensity - Solar Sensor</t>
  </si>
  <si>
    <t>Air Recycling - Stepper Motor</t>
  </si>
  <si>
    <t>Widshield Deffog and Defrost - User Selector</t>
  </si>
  <si>
    <t>Radiator Ventilation - Cooling Fan Motor 400W</t>
  </si>
  <si>
    <t>Environment Recognition - Acoustic Sensor Front Left</t>
  </si>
  <si>
    <t>Environment Recognition - Acoustic Sensor Front Right</t>
  </si>
  <si>
    <t>Environment Recognition - Acoustic Sensor Rear Left</t>
  </si>
  <si>
    <t>Environment Recognition - Acoustic Sensor Rear Right</t>
  </si>
  <si>
    <t>Computing - Thermal Management Control Unit</t>
  </si>
  <si>
    <t>Inlet - Inlet</t>
  </si>
  <si>
    <t>Onboard Power Generation - Control Unit</t>
  </si>
  <si>
    <t>Radiator Additional Ventilation - Motor</t>
  </si>
  <si>
    <t>Refrigerant Pump - Refrigerant Pump</t>
  </si>
  <si>
    <t>Onboard Power Generation - Fuel Pump</t>
  </si>
  <si>
    <t>Card Reading - Card Reader</t>
  </si>
  <si>
    <t>Sun Roof Opening and Closing - Motor</t>
  </si>
  <si>
    <t>Computing - Control Unit</t>
  </si>
  <si>
    <t>Rear View Right - Outer Rear View Mirror Assembly Right</t>
  </si>
  <si>
    <t>Tailgate Opening and Closing Internal Command (Trunk) - User Selector</t>
  </si>
  <si>
    <t>Onboard Power Generation - User Selector</t>
  </si>
  <si>
    <t>Front Wiper - Motor L</t>
  </si>
  <si>
    <t>Front Wiper - Motor R</t>
  </si>
  <si>
    <t>Heating - Heater</t>
  </si>
  <si>
    <t>Luggage Compartment Covering - Stepper Motor Cover</t>
  </si>
  <si>
    <t>Tailgate Opening and Closing Internal Command (Panel) - User Selector</t>
  </si>
  <si>
    <t>Turn Signal FL - Assy' Full LED</t>
  </si>
  <si>
    <t>Tailgate Wiper - Motor</t>
  </si>
  <si>
    <t>License Plate Lamp Left - Assy' Full LED</t>
  </si>
  <si>
    <t>License Plate Lamp Right - Assy' Full LED</t>
  </si>
  <si>
    <t>Door External Handle Command FR - User Selector</t>
  </si>
  <si>
    <t>Door External Handle Command FL - User Selector</t>
  </si>
  <si>
    <t>Heated Backlite - Heater</t>
  </si>
  <si>
    <t>Hazard - Switch - User Selector</t>
  </si>
  <si>
    <t>Operation Management Redundant - Computing - Management</t>
  </si>
  <si>
    <t>Front View - Mono Camera</t>
  </si>
  <si>
    <t>Wide Rear View - Fisheye Camera</t>
  </si>
  <si>
    <t>Center Console Receiving - Near Field Communication Center Console Antenna</t>
  </si>
  <si>
    <t>Short Range Distance Measurement - Ultrasonic Sensor</t>
  </si>
  <si>
    <t>Driver Monitoring - Steering Wheel Sensor</t>
  </si>
  <si>
    <t>Airbag - Airbag Driver</t>
  </si>
  <si>
    <t>Airbag - Airbag Passenger</t>
  </si>
  <si>
    <t>Airbag - Knee Airbag Driver</t>
  </si>
  <si>
    <t>Airbag - Seat Airbag 1st Row L</t>
  </si>
  <si>
    <t>Airbag - Seat Airbag 1st Row R</t>
  </si>
  <si>
    <t>Pretensioner - Lap Pretensioner L</t>
  </si>
  <si>
    <t>Pretensioner - Lap Pretensioner R</t>
  </si>
  <si>
    <t>Key Recognition - Near Field Communication Antenna - Driver Door</t>
  </si>
  <si>
    <t>Seat Position - Seat Position 1st Row L</t>
  </si>
  <si>
    <t>Seat Position - Seat Position 1st Row R</t>
  </si>
  <si>
    <t>Key Recognition - Near Field Communication Antenna - Passenger Door</t>
  </si>
  <si>
    <t>User Hand Detection - Near Field Communication Antenna - Driver Door</t>
  </si>
  <si>
    <t>User Hand Detection - Near Field Communication Antenna - Passenger Door</t>
  </si>
  <si>
    <t>Turn Signal Activation - Steering Wheel Column Switches</t>
  </si>
  <si>
    <t>Steering Column Movement - Stepper Motor</t>
  </si>
  <si>
    <t>Glove Box Openning - Stepper Motor</t>
  </si>
  <si>
    <t>Glove Box illumination - Ajar Switch</t>
  </si>
  <si>
    <t>Glove Box illumination - LED Lamp</t>
  </si>
  <si>
    <t>Airbag - Knee Airbag Passenger</t>
  </si>
  <si>
    <t>Footwell Illumination FL - LED Lamp</t>
  </si>
  <si>
    <t>Footwell Illumination FR - LED Lamp</t>
  </si>
  <si>
    <t>User Interaction - Touch Screen Monitor</t>
  </si>
  <si>
    <t>Air Flow Deflection - Air Diffuser Stepper Motor - Cockpit Flap Left</t>
  </si>
  <si>
    <t>Air Flow Deflection - Air Diffuser Stepper Motor - Cockpit Flap Right</t>
  </si>
  <si>
    <t>Headlamps L - Assy' Xenon + LED</t>
  </si>
  <si>
    <t>Headlamps L - Assy' H4 + P21W + P5W</t>
  </si>
  <si>
    <t>Headlamps L - Assy' H1 + H7 + P21W + P5W</t>
  </si>
  <si>
    <t>License Plate Lamp Left - P5W</t>
  </si>
  <si>
    <t>License Plate Lamp Right - P5W</t>
  </si>
  <si>
    <t>High Mounted Brake Lights - P5W</t>
  </si>
  <si>
    <t>Lights Switch - Power Switch</t>
  </si>
  <si>
    <t>Hazard - Signal Switch</t>
  </si>
  <si>
    <t>Hazard - Power Switch</t>
  </si>
  <si>
    <t>Side Marker Rear Right - LED Lamp</t>
  </si>
  <si>
    <t>Reverse Gear Lamp - LED Lamp</t>
  </si>
  <si>
    <t>Reverse Gear Lamp - P21W</t>
  </si>
  <si>
    <t>Rear Fog Lamp - LED Lamp</t>
  </si>
  <si>
    <t>Rear Fog Lamp - P21W</t>
  </si>
  <si>
    <t>Front Fog Lamp FL - LED Lamp</t>
  </si>
  <si>
    <t>Front Fog Lamp FL - P21W</t>
  </si>
  <si>
    <t>Fog Lamps Switch - Signal Switch</t>
  </si>
  <si>
    <t>Fog Lamps Switch - Power Switch</t>
  </si>
  <si>
    <t>Fog Lamps Switch - LIN Switch</t>
  </si>
  <si>
    <t>Side Blinker Left - P21W</t>
  </si>
  <si>
    <t>Beacon - LED Lamp</t>
  </si>
  <si>
    <t>Beacon - P21W</t>
  </si>
  <si>
    <t>Beacon - Signal Switch</t>
  </si>
  <si>
    <t>Beacon - Power Switch</t>
  </si>
  <si>
    <t>Beacon - LIN Switch</t>
  </si>
  <si>
    <t>Front Grille Illumination - LED Lamp</t>
  </si>
  <si>
    <t>Manual Parking Brake - Lever Signal Switch - User Selector</t>
  </si>
  <si>
    <t>Headlamps Leveling - Leveling Potentiometer</t>
  </si>
  <si>
    <t>Headlamps Leveling - Leveling Motor L</t>
  </si>
  <si>
    <t>Headlamps Leveling - Leveling Motor R</t>
  </si>
  <si>
    <t>Vehicle Start and Stop - User Selector</t>
  </si>
  <si>
    <t>Onboard Charger - Power Convertion System</t>
  </si>
  <si>
    <t>Operation Management - Computing - Monitoring</t>
  </si>
  <si>
    <t>12V SR1 High Current Distribution - High Current Power Distributor</t>
  </si>
  <si>
    <t>Coolant Temperature - Coolant Temperature - Battery Intake</t>
  </si>
  <si>
    <t>Coolant Temperature - Coolant Temperature - Battery Outlet</t>
  </si>
  <si>
    <t>Battery Discharge Monitoring - Shunt</t>
  </si>
  <si>
    <t>Battery Shut-Off - Pyro-Fuse</t>
  </si>
  <si>
    <t>Cells Balancing Monitor - Cells Balancing Boards</t>
  </si>
  <si>
    <t>Safety Switch-Off Positive - Contactor Switch - Positive</t>
  </si>
  <si>
    <t>Safety Switch-Off Negative - Contactor Switch - Negative</t>
  </si>
  <si>
    <t>Charging Management - Fast Charging Control Unit</t>
  </si>
  <si>
    <t>Operation Management - Computing - High Voltage Control Unit</t>
  </si>
  <si>
    <t>Operation Management - Computing - BMS Control Unit</t>
  </si>
  <si>
    <t>Pad Warning - Wear Sensor Rear Right</t>
  </si>
  <si>
    <t>Retractor Load Limiter - Retractor 1st Row R 2 - Load Limiter</t>
  </si>
  <si>
    <t>Retractor - Retractor 2nd Row R</t>
  </si>
  <si>
    <t>Pretensioner Retractor - Retractor 1st Row R 1 - Pretensioner</t>
  </si>
  <si>
    <t>Airbag - Curtain Airbag R</t>
  </si>
  <si>
    <t>Rear Lamps R - Taillamp Assy' LED Right - Body</t>
  </si>
  <si>
    <t>Navigation - GPS Antenna</t>
  </si>
  <si>
    <t>Computing - LTE</t>
  </si>
  <si>
    <t>Computing - WiFi</t>
  </si>
  <si>
    <t>External Communication - LTE Antenna</t>
  </si>
  <si>
    <t>Rear View - Back-up Camera</t>
  </si>
  <si>
    <t>Wide Forward View - Fisheye/Narrow Camera</t>
  </si>
  <si>
    <t>Command Driver Door - User Selector</t>
  </si>
  <si>
    <t>Brake Actuator - ESP Unit</t>
  </si>
  <si>
    <t>Brake Actuator - ESP Unit Redundant</t>
  </si>
  <si>
    <t>12V QM High Current Distribution - High Current Power Distributor</t>
  </si>
  <si>
    <t>V2X Interface - V2X Transceiver</t>
  </si>
  <si>
    <t>Driver Information - Instrument Cluster</t>
  </si>
  <si>
    <t>Drive Assistance - Long Range Radar Front / Radar 0°</t>
  </si>
  <si>
    <t>Environment Mapping - Lidar_LRL</t>
  </si>
  <si>
    <t>Environment Mapping - Lidar_SRL1</t>
  </si>
  <si>
    <t>Environment Mapping - Lidar_SRL5</t>
  </si>
  <si>
    <t>Distance Measurements - Short/Mid Range Radar R / Radar -108°</t>
  </si>
  <si>
    <t>Distance Measurements - Short/Mid Range Radar L / Radar +108°</t>
  </si>
  <si>
    <t>Drive Assistance - Short/Mid Range Radar RR / Radar -176°</t>
  </si>
  <si>
    <t>Drive Assistance - Short/Mid Range Radar RL / Radar +176°</t>
  </si>
  <si>
    <t>Door Pocket Illumination FL - LED Lamp</t>
  </si>
  <si>
    <t>Power Distribution Management - Power Distribution Control Unit</t>
  </si>
  <si>
    <t>Puddle Illumination - LED Lamp in Door Trim Bottom FL</t>
  </si>
  <si>
    <t>Side Marker Front Left - Bulb</t>
  </si>
  <si>
    <t>Power Window Driver - Window Motor</t>
  </si>
  <si>
    <t>Maplight RL - LED Lamp</t>
  </si>
  <si>
    <t>Maplight RR - LED Lamp</t>
  </si>
  <si>
    <t>Dome Illumination - LED Lamp</t>
  </si>
  <si>
    <t>Foldable Mirror Left - Outer Rear View Mirror Assembly Left</t>
  </si>
  <si>
    <t>Power Convertion - Inverter Front</t>
  </si>
  <si>
    <t>Door Opening and Closing Latch - Stepper Motor FL</t>
  </si>
  <si>
    <t>Oil Flow - FR Drive Unit Oil Pump</t>
  </si>
  <si>
    <t>Puddle Illumination - LED Lamp in Door Trim Bottom FR</t>
  </si>
  <si>
    <t>Command Passenger Door - User Selector</t>
  </si>
  <si>
    <t>Door Pocket Illumination FR - LED Lamp</t>
  </si>
  <si>
    <t>Power Window Passenger - Window Motor</t>
  </si>
  <si>
    <t>Door Opening and Closing Latch - Stepper Motor FR</t>
  </si>
  <si>
    <t>Puddle Illumination - LED Lamp in Door Trim Bottom RL</t>
  </si>
  <si>
    <t>Crash Sensor - Side Impact Sensor RL</t>
  </si>
  <si>
    <t>Door External Handle Command RL - User Selector RL</t>
  </si>
  <si>
    <t>Door Opening and Closing Latch - Stepper Motor RR</t>
  </si>
  <si>
    <t>Command Rear Door Left - User Selector</t>
  </si>
  <si>
    <t>Power Window Rear Left - Window Motor</t>
  </si>
  <si>
    <t>Door Pocket Illumination RL - LED Lamp</t>
  </si>
  <si>
    <t>Puddle Illumination - LED Lamp in Door Trim Bottom RR</t>
  </si>
  <si>
    <t>Steering Ratio Variation - Dynamic Motor</t>
  </si>
  <si>
    <t>Sensing - Sensor - Rotor Signal</t>
  </si>
  <si>
    <t>Steering Wheel Column Locking - Solenoid Lock</t>
  </si>
  <si>
    <t>Ramp Assistance - Signal Switch - User Selector</t>
  </si>
  <si>
    <t>Hitch Folding - User Command</t>
  </si>
  <si>
    <t>Exhaust Flow Control - Valve</t>
  </si>
  <si>
    <t>Hitch Folding - Motor</t>
  </si>
  <si>
    <t>Crash Sensor - Side Impact Sensor RR</t>
  </si>
  <si>
    <t>External Communication - GSM Antenna</t>
  </si>
  <si>
    <t>Trailer Outlet - Trailer Outlet</t>
  </si>
  <si>
    <t>Door External Handle Command RR - User Selector RR</t>
  </si>
  <si>
    <t>Hop Off Warning FR - LED Lamp</t>
  </si>
  <si>
    <t>Hop Off Warning FL - LED Lamp</t>
  </si>
  <si>
    <t>Hop Off Warning RL - LED Lamp</t>
  </si>
  <si>
    <t>Hop Off Warning RR - LED Lamp</t>
  </si>
  <si>
    <t>External Temperature - Sensor</t>
  </si>
  <si>
    <t>Relief Valve - Relief Valve FL</t>
  </si>
  <si>
    <t>Relief Valve - Relief Valve FR</t>
  </si>
  <si>
    <t>12V Battery Redundant - Storage</t>
  </si>
  <si>
    <t>Door Opening and Closing Latch - Stepper Motor RL</t>
  </si>
  <si>
    <t>Pedal - Pressure (Vaccum) Sensor</t>
  </si>
  <si>
    <t>Pedal - Pedal Switch</t>
  </si>
  <si>
    <t>Door Speaker Illumination RR - LED Lamp</t>
  </si>
  <si>
    <t>Door Speaker Illumination RL - LED Lamp</t>
  </si>
  <si>
    <t>Door Speaker Illumination FR - LED Lamp</t>
  </si>
  <si>
    <t>Door Speaker Illumination FL - LED Lamp</t>
  </si>
  <si>
    <t>Warning - Brake Fluid Sensor</t>
  </si>
  <si>
    <t>High Mounted Brake Lights - Assy' Full LED</t>
  </si>
  <si>
    <t>Crash Sensor - Side Impact Sensor R B-Pillar</t>
  </si>
  <si>
    <t>Command Rear Door Right - User Selector</t>
  </si>
  <si>
    <t>Crash Sensor - Side Impact Sensor L B-Pillar</t>
  </si>
  <si>
    <t>External Communication - Telephone Signal Amplifier</t>
  </si>
  <si>
    <t>Full Range Speaker - Loudspeaker - Door Front Left</t>
  </si>
  <si>
    <t>Full Range Speaker - Loudspeaker - Door Front Right</t>
  </si>
  <si>
    <t>Console Illumination - LED Lamp</t>
  </si>
  <si>
    <t>Power Window Rear Right - Window Motor</t>
  </si>
  <si>
    <t>Full Range Speaker - Loudspeaker - Door Rear Left / Rear Seat Left Trim</t>
  </si>
  <si>
    <t>Full Range Speaker - Loudspeaker - Door Rear Right / Rear Seat Right Trim</t>
  </si>
  <si>
    <t>Intake Air Pressure - Sensor</t>
  </si>
  <si>
    <t>Diagnose Service Port - OBD Outlet</t>
  </si>
  <si>
    <t>Air Heating - Parking Heater Pump</t>
  </si>
  <si>
    <t>Door Pocket Illumination RR - LED Lamp</t>
  </si>
  <si>
    <t>Crash Sensor - Side Impact Sensor FR</t>
  </si>
  <si>
    <t>Crash Sensor - Side Impact Sensor FL</t>
  </si>
  <si>
    <t>Pressure Sensor - Pressure Sensor Passenger</t>
  </si>
  <si>
    <t>Pressure Sensor - Pressure Sensor Driver</t>
  </si>
  <si>
    <t>Refrigerant Flow - Pressure Sensor</t>
  </si>
  <si>
    <t>Crash Sensor - Front Impact Sensor Front Mid</t>
  </si>
  <si>
    <t>Television Receiving - TV Receiver</t>
  </si>
  <si>
    <t>Rear View - LCD</t>
  </si>
  <si>
    <t>Steering Locking - Solenoid</t>
  </si>
  <si>
    <t>Electric Parking Brake - Signal Switch - User Selector</t>
  </si>
  <si>
    <t>Door Sill Illumination FR - LED Lamp</t>
  </si>
  <si>
    <t>Door Sill Illumination FL - LED Lamp</t>
  </si>
  <si>
    <t>Door Sill Illumination RL - LED Lamp</t>
  </si>
  <si>
    <t>Door Sill Illumination RR - LED Lamp</t>
  </si>
  <si>
    <t>Command Receiving - Parking Heater Antenna</t>
  </si>
  <si>
    <t>Warning - High Tone Horn</t>
  </si>
  <si>
    <t>Vehicle Acceleration and Deceleration - Accelerator Pedal</t>
  </si>
  <si>
    <t>Warning - Low Tone Horn</t>
  </si>
  <si>
    <t>Service and Maintenance - Diagnostic Interface for Databus</t>
  </si>
  <si>
    <t>Command Emmiting - Garage Opener Intern Antenna</t>
  </si>
  <si>
    <t>Seat Belt - Seat Belt Sensor 1st Row R</t>
  </si>
  <si>
    <t>Seat Belt - Seat Belt Sensor 1st Row L</t>
  </si>
  <si>
    <t>Retractor - Retractor 1st Row R</t>
  </si>
  <si>
    <t>Retractor - Retractor 1st Row L</t>
  </si>
  <si>
    <t>Personal Device Charging and Connecting - Charger for Mobile Devices</t>
  </si>
  <si>
    <t>Rear Lamps L - Taillamp Assy' LED Dynamic Blinker Left - Tailgate</t>
  </si>
  <si>
    <t>Rear Lamps R - Taillamp Assy' LED Dynamic Blinker Right - Tailgate</t>
  </si>
  <si>
    <t>Rear Lamps L - Taillamp Assy' P21W + P10W Left - Body</t>
  </si>
  <si>
    <t>Rear Lamps R - Taillamp Assy' P21W + P10W Right - Body</t>
  </si>
  <si>
    <t>Rear Lamps L - Taillamp Assy' LED Left - Tailgate</t>
  </si>
  <si>
    <t>Headlamps L - Assy' Full LED Matrix</t>
  </si>
  <si>
    <t>High Tone Speaker - Loudspeaker - Front Left</t>
  </si>
  <si>
    <t>High Tone Speaker - Loudspeaker - Front Right</t>
  </si>
  <si>
    <t>Rear Bumber Receiving - Near Field Communication Rear Bumber Antenna</t>
  </si>
  <si>
    <t>Rear Lamps R - Taillamp Assy' LED Right - Tailgate</t>
  </si>
  <si>
    <t>Head-Up Display - Head-Up Display</t>
  </si>
  <si>
    <t>Internal Ventilation Front - Internal Blower Motor Front</t>
  </si>
  <si>
    <t>Internal Compartment Monitoring - Sensor</t>
  </si>
  <si>
    <t>Mid Range Speaker - Loudspeaker - Door Front Left</t>
  </si>
  <si>
    <t>Mid Range Speaker - Loudspeaker - Door Rear Left / Rear Seat Left Trim</t>
  </si>
  <si>
    <t>Trunk Compartment Receiving - Near Field Communication Trunk Antenna</t>
  </si>
  <si>
    <t>Interior Compartment Rear Receiving - Near Field Communication Interior Rear Antenna</t>
  </si>
  <si>
    <t>Left Side View - Surround Camera Left</t>
  </si>
  <si>
    <t>Right Side View - Surround Camera Right</t>
  </si>
  <si>
    <t>Command Panel and Computing - Rear Control Unit with User Selector</t>
  </si>
  <si>
    <t>Tailgate Open and Close Warning - Buzzer</t>
  </si>
  <si>
    <t>Fuel Pump - Pump</t>
  </si>
  <si>
    <t>Fuel Level - Pump</t>
  </si>
  <si>
    <t>Luggage Compartment Illumination - LED Lamp</t>
  </si>
  <si>
    <t>License Plate Lamp Left - LED Lamp</t>
  </si>
  <si>
    <t>Refrigerant Flow - Clutch Compressor</t>
  </si>
  <si>
    <t>Refrigerant Flow - Air Conditioning Compressor Control Valve</t>
  </si>
  <si>
    <t>License Plate Lamp Right - LED Lamp</t>
  </si>
  <si>
    <t>Command Panel and Computing - Front Control Unit with User Selector</t>
  </si>
  <si>
    <t>Airbag - Seat Airbag 1st Row R Outboard</t>
  </si>
  <si>
    <t>Radio Receiving - Noise Filter</t>
  </si>
  <si>
    <t>Tailgate Opening and Closing External Command (Virtual Pedal) - User Selector</t>
  </si>
  <si>
    <t>Heating Seat Back Passenger - Seat Heater FR</t>
  </si>
  <si>
    <t>User Interaction - Rear Seat Touch Screen Left</t>
  </si>
  <si>
    <t>Heating Seat Back Driver - Seat Heater FL</t>
  </si>
  <si>
    <t>Radio Receiving - FM/DAB Antenna</t>
  </si>
  <si>
    <t>User Interaction - Rear Seat Touch Screen Right</t>
  </si>
  <si>
    <t>Heating Seat Pan Passenger - Seat Heater FR</t>
  </si>
  <si>
    <t>Radiator Air Flow Control - Louver Stepper Motor</t>
  </si>
  <si>
    <t>Start-Stop Motor - Start</t>
  </si>
  <si>
    <t>12V Battery Main - 12V Li-Ion Battery BMS</t>
  </si>
  <si>
    <t>Fuel Tank Pressure - Fuel Tank Pressure</t>
  </si>
  <si>
    <t>Sensing - Sensor</t>
  </si>
  <si>
    <t>Coolant Level - Level Sensor</t>
  </si>
  <si>
    <t>Lights Switch - LIN Switch</t>
  </si>
  <si>
    <t>CO2 Detection - Air Quality</t>
  </si>
  <si>
    <t>Windshield Heating - Windshield Heating Relay</t>
  </si>
  <si>
    <t>Exhaust Measurement - Oxigen Sensor</t>
  </si>
  <si>
    <t>Console Illumination FL - LED Lamp</t>
  </si>
  <si>
    <t>Console Illumination FR - LED Lamp</t>
  </si>
  <si>
    <t>Door Panel Illumination FR - LED Lamp RGB</t>
  </si>
  <si>
    <t>Door Panel Illumination FL - LED Lamp RGB</t>
  </si>
  <si>
    <t>Door Panel Illumination RL - LED Lamp RGB</t>
  </si>
  <si>
    <t>Door Panel Illumination RR - LED Lamp RGB</t>
  </si>
  <si>
    <t>Emergency Call - Loudspeaker</t>
  </si>
  <si>
    <t>Short Range Distance Warning - Buzzer</t>
  </si>
  <si>
    <t>Vehicle Level Information - Vehicle Level Rear Left</t>
  </si>
  <si>
    <t>Computing - Engine Control Unit</t>
  </si>
  <si>
    <t>12V Battery Main - 12V Lead-Acid Battery BMS</t>
  </si>
  <si>
    <t>Crash Sensor - Pedestrian Impact Sensor FR</t>
  </si>
  <si>
    <t>Crash Sensor - Pedestrian Impact Sensor FL</t>
  </si>
  <si>
    <t>Air Flow Deflection - User Selector Potentiometer - Cockpit Center Air Diffuser Left</t>
  </si>
  <si>
    <t>Intrusion Detection - Hood Switch Left</t>
  </si>
  <si>
    <t>Intrusion Detection - Hood Switch Right</t>
  </si>
  <si>
    <t>Emergency Call - Microphone</t>
  </si>
  <si>
    <t>Computing - Radio Head Unit und Information Electronics</t>
  </si>
  <si>
    <t>Voice Capturing - Microphone Left</t>
  </si>
  <si>
    <t>Voice Capturing - Microphone Right</t>
  </si>
  <si>
    <t>Radiator Ventilation - Cooling Fan Motor 2x600W</t>
  </si>
  <si>
    <t>Mid Range Speaker - Loudspeaker - Door Front Right</t>
  </si>
  <si>
    <t>Mid Range Speaker - Loudspeaker - Door Rear Right / Rear Seat Right Trim</t>
  </si>
  <si>
    <t>Vanity Mirror Illumination FL - LED Lamp</t>
  </si>
  <si>
    <t>Vanity Mirror Illumination FR - LED Lamp</t>
  </si>
  <si>
    <t>Key Recogniton and User Hand Detection - Near Field Communication Unit - Driver Door</t>
  </si>
  <si>
    <t>Key Recogniton and User Hand Detection - Near Field Communication Unit - Passenger Door</t>
  </si>
  <si>
    <t>Key Recogniton and User Hand Detection - Near Field Communication Unit - Door Rear Left</t>
  </si>
  <si>
    <t>Key Recogniton and User Hand Detection - Near Field Communication Unit - Door Rear Right</t>
  </si>
  <si>
    <t>Vehicle Level Information - Vehicle Level Rear Right</t>
  </si>
  <si>
    <t>Fuel Pressure Sensor for Lag Pump - Fuel System</t>
  </si>
  <si>
    <t>Vehicle Level Information - Vehicle Level Front Right</t>
  </si>
  <si>
    <t>Differential Lockout - All Wheel Drive Unit (Valves Block 1)</t>
  </si>
  <si>
    <t>Differential Lockout - All Wheel Drive Unit (Valves Block 2)</t>
  </si>
  <si>
    <t>Differential Lockout - All Wheel Drive Unit (Motor)</t>
  </si>
  <si>
    <t>Differential Lockout - All Wheel Drive Unit (Sensors Block 2)</t>
  </si>
  <si>
    <t>Differential Lockout - All Wheel Drive Unit (Sensors Block 1)</t>
  </si>
  <si>
    <t>Differential Lockout - Differential Lockout Solenoid</t>
  </si>
  <si>
    <t>Start-Stop Control - Starter Relay</t>
  </si>
  <si>
    <t>Computing - Command Relay - Rear Window Heater</t>
  </si>
  <si>
    <t>Computing - Windshield Heater</t>
  </si>
  <si>
    <t>Starter Generator - Electical Machine</t>
  </si>
  <si>
    <t>Airbag - Side Airbag RR</t>
  </si>
  <si>
    <t>Airbag - Side Airbag RL</t>
  </si>
  <si>
    <t>Gear Selection - Shift Lever - User Selector</t>
  </si>
  <si>
    <t>Vanity Mirror Illumination FL - Switch</t>
  </si>
  <si>
    <t>Vanity Mirror Illumination FR - Switch</t>
  </si>
  <si>
    <t>Personal Device Charging - 12V Outlet</t>
  </si>
  <si>
    <t>Command - User Selector</t>
  </si>
  <si>
    <t>Computing - Automatic Transmission Control Unit</t>
  </si>
  <si>
    <t>Coolant Flow - Coolant Shut-Off Valve</t>
  </si>
  <si>
    <t>Electric Parking Brake - Parking Brake Motor L</t>
  </si>
  <si>
    <t>Electric Parking Brake - Parking Brake Motor R</t>
  </si>
  <si>
    <t>Tailgate Release - Stepper Motor</t>
  </si>
  <si>
    <t>Driving Commands Power Supply - Steering Wheel Column Switches</t>
  </si>
  <si>
    <t>Spray Nozzle Heater - Spray Nozzle Heater L</t>
  </si>
  <si>
    <t>Spray Nozzle Heater - Spray Nozzle Heater R</t>
  </si>
  <si>
    <t>Headlamps Washer - Pump</t>
  </si>
  <si>
    <t>Memory Selector - Driver Seat - Seat Memory Switch</t>
  </si>
  <si>
    <t>Woofer Speaker - Loudspeaker - Door Front Left</t>
  </si>
  <si>
    <t>Woofer Speaker - Loudspeaker - Door Front Right</t>
  </si>
  <si>
    <t>Woofer Speaker - Loudspeaker - Door Rear Left / Rear Seat Left Trim</t>
  </si>
  <si>
    <t>Woofer Speaker - Loudspeaker - Door Rear Right / Rear Seat Right Trim</t>
  </si>
  <si>
    <t>Full Range Speaker - Loudspeaker - I/P Center Wideband</t>
  </si>
  <si>
    <t>Full Range Speaker - Loudspeaker - Surround Left</t>
  </si>
  <si>
    <t>Full Range Speaker - Loudspeaker - Surround Right</t>
  </si>
  <si>
    <t>Heating Seat Pan Driver - Seat Heater FL</t>
  </si>
  <si>
    <t>External Rear View Mirror Fold - User Selector</t>
  </si>
  <si>
    <t>Rear Lamps L - Taillamp Assy' LED Dynamic Blinker Left - Body</t>
  </si>
  <si>
    <t>Rear Lamps R - Taillamp Assy' LED Dynamic Blinker Right - Body</t>
  </si>
  <si>
    <t>Door Internal Handle Illumination RL - LED Lamp</t>
  </si>
  <si>
    <t>Door Internal Handle Illumination RR - LED Lamp</t>
  </si>
  <si>
    <t>Door Internal Handle Command FR - User Selector</t>
  </si>
  <si>
    <t>Door Internal Handle Command RL - User Selector</t>
  </si>
  <si>
    <t>Door Internal Handle Command RR - User Selector</t>
  </si>
  <si>
    <t>Door Internal Handle Illumination FR - LED Lamp</t>
  </si>
  <si>
    <t>Door Internal Handle Illumination FL - LED Lamp</t>
  </si>
  <si>
    <t>Internal Temperature Detection - Deflector Temperature Sensor Rear</t>
  </si>
  <si>
    <t>Door Lock and Unlock - Stepper Motor FR</t>
  </si>
  <si>
    <t>Door Lock and Unlock - Stepper Motor FL</t>
  </si>
  <si>
    <t>Indicator LED - Indicator LED</t>
  </si>
  <si>
    <t>Door Lock and Unlock - Stepper Motor RL</t>
  </si>
  <si>
    <t>Mid Range and Woofer Speaker - Loudspeaker - Door Front Left</t>
  </si>
  <si>
    <t>Mid Range and Woofer Speaker - Loudspeaker - Door Front Right</t>
  </si>
  <si>
    <t>Mid Range and Woofer Speaker - Loudspeaker - Door Rear Left / Rear Seat Left Trim</t>
  </si>
  <si>
    <t>Mid Range and Woofer Speaker - Loudspeaker - Door Rear Right / Rear Seat Right Trim</t>
  </si>
  <si>
    <t>Crash Sensor - Front Impact Sensor R</t>
  </si>
  <si>
    <t>Crash Sensor - Front Impact Sensor L</t>
  </si>
  <si>
    <t>Audio Volume Control - Potentiometer - User Selector</t>
  </si>
  <si>
    <t>Noise Cancelling - Microphone</t>
  </si>
  <si>
    <t>Coolant Pump - Pump</t>
  </si>
  <si>
    <t>Windshield Washer - Washer Pump Mono</t>
  </si>
  <si>
    <t>Internal Locking Command - User Selector</t>
  </si>
  <si>
    <t>Rear Lamps L - Taillamp Assy' P21W + P10W Left - Single</t>
  </si>
  <si>
    <t>Rear Lamps L - Taillamp Assy' LED Left - Single</t>
  </si>
  <si>
    <t>Rear Lamps L - Taillamp Assy' LED Dynamic Blinker Left - Single</t>
  </si>
  <si>
    <t>Rear Lamps L - Taillamp Assy' P21W + P10W Left - Tailgate</t>
  </si>
  <si>
    <t>Rear Lamps R - Taillamp Assy' P21W + P10W Right - Single</t>
  </si>
  <si>
    <t>Rear Lamps R - Taillamp Assy' LED Right - Single</t>
  </si>
  <si>
    <t>Rear Lamps R - Taillamp Assy' LED Dynamic Blinker Right - Single</t>
  </si>
  <si>
    <t>Rear Lamps R - Taillamp Assy' P21W + P10W Right - Tailgate</t>
  </si>
  <si>
    <t>Lumbar Massage - Valve - Driver Seat</t>
  </si>
  <si>
    <t>12V Battery Management - LIN Device - BMS</t>
  </si>
  <si>
    <t>12V Bordnet Supply - 12V Supply</t>
  </si>
  <si>
    <t>Lumbar Massage - Pump - Driver Seat</t>
  </si>
  <si>
    <t>Emergency Call - E-Call Antenna</t>
  </si>
  <si>
    <t>Internal Wireless Digital Data - Bluetooth Antenna</t>
  </si>
  <si>
    <t>Radio Receiving - AM/FM1 Antenna</t>
  </si>
  <si>
    <t>Power Supply - Power Supply Kl.30</t>
  </si>
  <si>
    <t>High Tone Speaker - Loudspeaker - Rear Left</t>
  </si>
  <si>
    <t>High Tone Speaker - Loudspeaker - Rear Right</t>
  </si>
  <si>
    <t>Antenna Management - Control Unit</t>
  </si>
  <si>
    <t>Rear View - Surround Camera Rear</t>
  </si>
  <si>
    <t>Front View - Surround Camera Front</t>
  </si>
  <si>
    <t>Internal Temperature Detection - Deflector Temperature Sensor FL</t>
  </si>
  <si>
    <t>Internal Temperature Detection - Deflector Temperature Sensor FR</t>
  </si>
  <si>
    <t>Start-Stop Solenoid - Start</t>
  </si>
  <si>
    <t>Headlamps L - Assy' Full LED</t>
  </si>
  <si>
    <t>Turn Signal L - Side Repeater FL</t>
  </si>
  <si>
    <t>Turn Signal R - Side Repeater FR</t>
  </si>
  <si>
    <t>Front Wiper - Motor</t>
  </si>
  <si>
    <t>Windshield and Rear Window Washer - Washer Pump Dual</t>
  </si>
  <si>
    <t>Computing - Differential Lockout</t>
  </si>
  <si>
    <t>Windshield and Rear Window Washer - Washer Fluid Level Sensor</t>
  </si>
  <si>
    <t>Seat Occupancy Classification - Seat Occupancy Classification</t>
  </si>
  <si>
    <t>Windshield Deffogging - Windshield Heater L</t>
  </si>
  <si>
    <t>Pedestrian Warning - Warning</t>
  </si>
  <si>
    <t>Door Lock and Unlock - Stepper Motor RR</t>
  </si>
  <si>
    <t>Reward View Left - Repeater Cam Left</t>
  </si>
  <si>
    <t>Computing - Wifi Antenna General - WLAN</t>
  </si>
  <si>
    <t>Reward View Right - Repeater Cam Right</t>
  </si>
  <si>
    <t>Internal Communication - Microphone</t>
  </si>
  <si>
    <t>Driver Commands - Combined Panel Switches</t>
  </si>
  <si>
    <t>Battery Disconnect - Contactor Disconnect</t>
  </si>
  <si>
    <t>Fluid Transfer - Fluid Line</t>
  </si>
  <si>
    <t>Rear Doors Internal Handle/Window Disabling - User Selector</t>
  </si>
  <si>
    <t>Tailgate Lock and Unlock - Stepper Motor</t>
  </si>
  <si>
    <t>Tailgate Release Handle Switch - User Selector</t>
  </si>
  <si>
    <t>Footwell Illumination RL - LED Lamp</t>
  </si>
  <si>
    <t>Footwell Illumination RR - LED Lamp</t>
  </si>
  <si>
    <t>Heating Seat Pan Rear L - Seat Heater RL</t>
  </si>
  <si>
    <t>Heating Seat Back Rear L - Seat Heater RL</t>
  </si>
  <si>
    <t>Heating Seat Pan Rear R - Seat Heater RR</t>
  </si>
  <si>
    <t>Heating Seat Back Rear R - Seat Heater RR</t>
  </si>
  <si>
    <t>Seat Ventilation Driver - Ventilator Motor Seat Back FL</t>
  </si>
  <si>
    <t>Seat Ventilation Driver - Ventilator Motor Seat Pan FL</t>
  </si>
  <si>
    <t>Seat Ventilation Passenger - Ventilator Motor Seat Back FR</t>
  </si>
  <si>
    <t>Seat Ventilation Passenger - Ventilator Motor Seat Pan FR</t>
  </si>
  <si>
    <t>Multi-Contour Seat Driver - Compressor Motor for Multi-contour FL</t>
  </si>
  <si>
    <t>Multi-Contour Seat Passenger - Compressor Motor for Multi-contour FR</t>
  </si>
  <si>
    <t>Seat Height Adjustment Driver - Sensor Hall Height - Driver</t>
  </si>
  <si>
    <t>Seat Tilt Adjustment Driver - Sensor Hall Tilt - Driver</t>
  </si>
  <si>
    <t>Seat Length Adjustment Driver - Sensor Hall Length - Driver</t>
  </si>
  <si>
    <t>Seat Tilt Adjustment Driver - Seat Tilt Motor - Driver</t>
  </si>
  <si>
    <t>Seat Length Adjustment Driver - Seat Length Motor - Driver</t>
  </si>
  <si>
    <t>Seat Depth Adjustment Driver - Seat Depth Motor - Driver</t>
  </si>
  <si>
    <t>Seat Height Adjustment Driver - Seat Height Motor - Driver</t>
  </si>
  <si>
    <t>Seat Depth Adjustment Driver - Sensor Hall Depth - Driver</t>
  </si>
  <si>
    <t>Command Driver - Massage Switch - User Selector - Driver</t>
  </si>
  <si>
    <t>Command Driver - Mutifunction Switch - User Selector</t>
  </si>
  <si>
    <t>Seat Backrest Adjustment Driver - Seat Backrest Motor - Driver</t>
  </si>
  <si>
    <t>Easy Entry Driver - Easy Entry Switch - User Selector</t>
  </si>
  <si>
    <t>Seat Backrest Adjustment Driver - Sensor Hall Seat Backrest - Driver</t>
  </si>
  <si>
    <t>Seat Height Adjustment Passenger - Sensor Hall Height - Passenger</t>
  </si>
  <si>
    <t>Seat Tilt Adjustment Passenger - Sensor Hall Tilt - Passenger</t>
  </si>
  <si>
    <t>Seat Length Adjustment Passenger - Sensor Hall Length - Passenger</t>
  </si>
  <si>
    <t>Seat Tilt Adjustment Passenger - Seat Tilt Motor - Passenger</t>
  </si>
  <si>
    <t>Seat Length Adjustment Passenger - Seat Length Motor - Passenger</t>
  </si>
  <si>
    <t>Seat Depth Adjustment Passenger - Seat Depth Motor - Passenger</t>
  </si>
  <si>
    <t>Seat Height Adjustment Passenger - Seat Height Motor - Passenger</t>
  </si>
  <si>
    <t>Command Passenger - Massage Switch - User Selector - Passenger</t>
  </si>
  <si>
    <t>Command Passenger - Mutifunction Switch - User Selector</t>
  </si>
  <si>
    <t>Seat Backrest Adjustment Passenger - Seat Backrest Motor - Passenger</t>
  </si>
  <si>
    <t>Seat Depth Adjustment Passenger - Sensor Hall Depth - Passenger</t>
  </si>
  <si>
    <t>Seat Backrest Adjustment Passenger - Sensor Hall Seat Backrest - Passenger</t>
  </si>
  <si>
    <t>Easy Entry Passenger - Easy Entry Switch - User Selector</t>
  </si>
  <si>
    <t>Temperature Adjustment - Potentiomenter - User Selector Driver</t>
  </si>
  <si>
    <t>Temperature Adjustment - Potentiomenter - User Selector Passenger</t>
  </si>
  <si>
    <t>Temperature Adjustment Rear L - Potentiomenter - User Selector Rear Left</t>
  </si>
  <si>
    <t>Temperature Adjustment Rear R - Potentiomenter - User Selector Rear Right</t>
  </si>
  <si>
    <t>Steering Angle - Sensor</t>
  </si>
  <si>
    <t>Charge Port Light - LED Lamp</t>
  </si>
  <si>
    <t>Daytime Running Light FL - LED Lamp</t>
  </si>
  <si>
    <t>Daytime Running Light FR - LED Lamp</t>
  </si>
  <si>
    <t>Front Fog Lamp FR - P21W</t>
  </si>
  <si>
    <t>Front Fog Lamp FR - H1, H4, H7</t>
  </si>
  <si>
    <t>Front Fog Lamp FR - LED Lamp</t>
  </si>
  <si>
    <t>Headlamps Leveling - Leveling Sensor L</t>
  </si>
  <si>
    <t>Headlamps Leveling - Leveling Sensor R</t>
  </si>
  <si>
    <t>Headlamps R - Assy' H1 + H7 + P21W + P5W</t>
  </si>
  <si>
    <t>Headlamps R - Assy' Full LED</t>
  </si>
  <si>
    <t>Headlamps R - Assy' Full LED Matrix</t>
  </si>
  <si>
    <t>Headlamps R - Assy' H4 + P21W + P5W</t>
  </si>
  <si>
    <t>Headlamps R - Assy' Xenon + LED</t>
  </si>
  <si>
    <t>Puddle Illumination - LED Lamp in Door Handle FL</t>
  </si>
  <si>
    <t>Puddle Illumination - LED Lamp in Door Handle FR</t>
  </si>
  <si>
    <t>Puddle Illumination - LED Lamp in Door Handle RL</t>
  </si>
  <si>
    <t>Puddle Illumination - LED Lamp in Door Handle RR</t>
  </si>
  <si>
    <t>Turn Signal FR - Assy' Full LED</t>
  </si>
  <si>
    <t>Turn Signal RL - Assy' Full LED</t>
  </si>
  <si>
    <t>Turn Signal RR - Assy' Full LED</t>
  </si>
  <si>
    <t>Turn Signal SL - Assy' Full LED</t>
  </si>
  <si>
    <t>Turn Signal SR - Assy' Full LED</t>
  </si>
  <si>
    <t>Door Lock and Unlock - Door Ajar Switch FL</t>
  </si>
  <si>
    <t>Door Lock and Unlock - Door Ajar Switch FR</t>
  </si>
  <si>
    <t>Door Lock and Unlock - Door Ajar Switch RL</t>
  </si>
  <si>
    <t>Door Lock and Unlock - Door Ajar Switch RR</t>
  </si>
  <si>
    <t>Seat Release 2nd Row Left - Motor</t>
  </si>
  <si>
    <t>seat Backrest Tilting 2nd Row Right - Sensor</t>
  </si>
  <si>
    <t>Seat Backrest Tilting 2nd Row Left - User Selector</t>
  </si>
  <si>
    <t>Seat Backrest Tilting 2nd Row Left - Sensor</t>
  </si>
  <si>
    <t>Seat Backrest Tilting 2nd Row Left - Motor</t>
  </si>
  <si>
    <t>Seat Depth 2nd Row Right - Motor</t>
  </si>
  <si>
    <t>Seat Depth 2nd Row Right - User Selector</t>
  </si>
  <si>
    <t>Seat Depth 2nd Row Right - Sensor</t>
  </si>
  <si>
    <t>Seat Depth 2nd Row Left - User Selector</t>
  </si>
  <si>
    <t>Seat Depth 2nd Row Left - Sensor</t>
  </si>
  <si>
    <t>Seat Depth 2nd Row Left - Motor</t>
  </si>
  <si>
    <t>Seat Backrest Tilting 3rd Row Left - Sensor</t>
  </si>
  <si>
    <t>Seat Backrest Tilting 3rd Row Right - Sensor</t>
  </si>
  <si>
    <t>Roof Rack Detection - Weight Sensor</t>
  </si>
  <si>
    <t>Rear View Left - A-Pillar Video Display L</t>
  </si>
  <si>
    <t>Rear View Right - A-Pillar Video Display R</t>
  </si>
  <si>
    <t>Rear Washer - Washer Pump Mono</t>
  </si>
  <si>
    <t>Camera Washer - Washer Pump Mono</t>
  </si>
  <si>
    <t>Heated Washer Fluid - Heater</t>
  </si>
  <si>
    <t>Heater - Mirror Camera Heating Right</t>
  </si>
  <si>
    <t>Heater - Mirror Camera Heater Left</t>
  </si>
  <si>
    <t>Rear Spray Nozzle Heater - Rear Spray Nozzle Heater</t>
  </si>
  <si>
    <t>Maplight FL - Switch</t>
  </si>
  <si>
    <t>Maplight FR - Switch</t>
  </si>
  <si>
    <t>Maplight FL - LED Lamp</t>
  </si>
  <si>
    <t>Maplight FR - LED Lamp</t>
  </si>
  <si>
    <t>Maplight RL - Switch</t>
  </si>
  <si>
    <t>Maplight RR - Switch</t>
  </si>
  <si>
    <t>Heater - Steering Wheel Heater</t>
  </si>
  <si>
    <t>Steering Wheel Temperature Sensor - Steering Wheel Temperature Sensor</t>
  </si>
  <si>
    <t>Light Failure Detection - Current Sensor</t>
  </si>
  <si>
    <t>Motor Speed - Rear Motor Speed Sensor</t>
  </si>
  <si>
    <t>Motor Speed - Front Motor Speed Sensor</t>
  </si>
  <si>
    <t>USB 3.0 - USB 3.0 Outlet</t>
  </si>
  <si>
    <t>Steering Wheel Vibration - Vibration Generator</t>
  </si>
  <si>
    <t>Long Range Distance Measurement - Front Lidar</t>
  </si>
  <si>
    <t>Environment Mapping - Lidar_SRL2</t>
  </si>
  <si>
    <t>Environment Mapping - Lidar_SRL3</t>
  </si>
  <si>
    <t>Environment Mapping - Lidar_SRL4</t>
  </si>
  <si>
    <t>Sound Detection - Microphone Front Left</t>
  </si>
  <si>
    <t>Sound Detection - Microphone Front Middle</t>
  </si>
  <si>
    <t>Sound Detection - Microphone Front Right</t>
  </si>
  <si>
    <t>Sound Detection - Microphone Rear Left</t>
  </si>
  <si>
    <t>Sound Detection - Microphone Rear Middle</t>
  </si>
  <si>
    <t>Sound Detection - Microphone Rear Right</t>
  </si>
  <si>
    <t>Side Marker Front Right - Bulb</t>
  </si>
  <si>
    <t>Side Marker Rear Left - LED Lamp</t>
  </si>
  <si>
    <t>Side Blinker Right - P21W</t>
  </si>
  <si>
    <t>Data storage - Hard Disk Drive</t>
  </si>
  <si>
    <t>Lumbar Massage - Pump - Passenger Seat</t>
  </si>
  <si>
    <t>Lumbar Massage - Valve - Passenger Seat</t>
  </si>
  <si>
    <t>Rear View - Rear Light Sensor</t>
  </si>
  <si>
    <t>Steering Column Movement - Adjustment Switch</t>
  </si>
  <si>
    <t>Glove Box Openning - Opening Switch</t>
  </si>
  <si>
    <t>Tailgate Illumination - LED Lamp</t>
  </si>
  <si>
    <t>Seat Release 2nd Row Right - Sensor</t>
  </si>
  <si>
    <t>Seat Backrest Tilting 2nd Row Right - Motor</t>
  </si>
  <si>
    <t>Seat Backrest Tilting 2nd Row Right - User Selector</t>
  </si>
  <si>
    <t>Seat Backrest Tilting 3rd Row Left - User Selector</t>
  </si>
  <si>
    <t>Seat Backrest Tilting 3rd Row Right - User Selector</t>
  </si>
  <si>
    <t>Seat Backrest Tilting 3rd Row Left - Motor</t>
  </si>
  <si>
    <t>Seat Backrest Tilting 3rd Row Right - Motor</t>
  </si>
  <si>
    <t>Seat Belt - Seat Belt Sensor 3rd Row L</t>
  </si>
  <si>
    <t>Seat Belt - Seat Belt Sensor 3rd Row R</t>
  </si>
  <si>
    <t>Seat Release 2nd Row Left - Sensor</t>
  </si>
  <si>
    <t>Seat Release 2nd Row Right - User Selector</t>
  </si>
  <si>
    <t>Seat Position - Seat Position 2nd Row</t>
  </si>
  <si>
    <t>Seat Belt - Seat Belt Sensor 2nd Row L</t>
  </si>
  <si>
    <t>Seat Belt - Seat Belt Sensor 2nd Row C</t>
  </si>
  <si>
    <t>Seat Release 2nd Row Right - Motor</t>
  </si>
  <si>
    <t>Seat Belt - Seat Belt Sensor 2nd Row R</t>
  </si>
  <si>
    <t>Battery Coolant Pump - Battery Coolant Pump</t>
  </si>
  <si>
    <t>Motor Coolant Pump - Pump</t>
  </si>
  <si>
    <t>Refrigerant Pressure and Temperature - Refrigerant Subcool PT</t>
  </si>
  <si>
    <t>Refrigerant Flow Control - Refrigerant Shut-Off Valve</t>
  </si>
  <si>
    <t>Motor Coolant Temperature - Coolant Temperature</t>
  </si>
  <si>
    <t>Coolant Flow Control - Coolant Valve</t>
  </si>
  <si>
    <t>Refrigerant Pressure and Temperature - Refrigerant Suction PT</t>
  </si>
  <si>
    <t>Refrigerant Pressure and Temperature - Refrigerant Discharge PT</t>
  </si>
  <si>
    <t>Crash Sensor - Front Impact Sensor Mid RH</t>
  </si>
  <si>
    <t>Crash Sensor - Front Impact Sensor Mid LH</t>
  </si>
  <si>
    <t>Hood Lock and Unlock - Hood Stepper Motor</t>
  </si>
  <si>
    <t>Hood Opening - Hood Latch Sensor</t>
  </si>
  <si>
    <t>Hood Opening - User Selector</t>
  </si>
  <si>
    <t>Alarm Horn - Horn</t>
  </si>
  <si>
    <t>Internal Wireless Digital Data - Bluetooth</t>
  </si>
  <si>
    <t>Computing - Charge Port Unit</t>
  </si>
  <si>
    <t>Pad Warning - Wear Sensor Front Left</t>
  </si>
  <si>
    <t>Rain and Light Sensor - Sensor</t>
  </si>
  <si>
    <t>Driver Monitoring - Interior Camera</t>
  </si>
  <si>
    <t>Power Convertion - Inverter Rear</t>
  </si>
  <si>
    <t>Computing - Motor Control Unit Rear</t>
  </si>
  <si>
    <t>Oil Flow - Drive Unit Oil Pump Rear</t>
  </si>
  <si>
    <t>Airbag - Seat Airbag 1st Row L Outboard</t>
  </si>
  <si>
    <t>Pretensioner Retractor - Retractor 1st Row L 1 - Pretensioner</t>
  </si>
  <si>
    <t>Retractor - Retractor 2nd Row L</t>
  </si>
  <si>
    <t>Telephone Charging - Charger</t>
  </si>
  <si>
    <t>Retractor Load Limiter - Retractor 1st Row L 2 - Load Limiter</t>
  </si>
  <si>
    <t>Mounting Vibration Control - Valve 1 - Actuator 1 for assembly mounting</t>
  </si>
  <si>
    <t>Mounting Vibration Control - Valve 2 - Actuator 2 for assembly mounting</t>
  </si>
  <si>
    <t>Emergency Power Supply - Connection for emergency power supply</t>
  </si>
  <si>
    <t>Internal Wireless Digital Data - Wifi Antenna 2 - WLAN</t>
  </si>
  <si>
    <t>Internal Wireless Digital Data - Wifi Antenna 1 - WLAN</t>
  </si>
  <si>
    <t>Satellite Digital Audio Radio Service - Satellite Antenna - SDARS</t>
  </si>
  <si>
    <t>Vanity Mirror Illumination RL - Switch</t>
  </si>
  <si>
    <t>Vanity Mirror Illumination RL - LED Lamp</t>
  </si>
  <si>
    <t>Vanity Mirror Illumination RR - LED Lamp</t>
  </si>
  <si>
    <t>Vanity Mirror Illumination RR - Switch</t>
  </si>
  <si>
    <t>Fuel Pump - Fuel system diagnostic pump</t>
  </si>
  <si>
    <t>Exhaust Differential Pressure - Differential pressure sensor [OPF B1]</t>
  </si>
  <si>
    <t>Exhaust Differential Pressure - Differential pressure sensor 2 [OPF B2]</t>
  </si>
  <si>
    <t>Fire Extinguishing System - Fire Extinguishing Valve</t>
  </si>
  <si>
    <t>Vehicle Level Information - Vehicle Level Front Left</t>
  </si>
  <si>
    <t>Neutral Position - Sender - Transmission Neutral Position</t>
  </si>
  <si>
    <t>Oil Temperature - Transmission oil temperature sensor</t>
  </si>
  <si>
    <t>Speed Sensor - transmission speed sensor</t>
  </si>
  <si>
    <t>Heating - Pump - Heating Support</t>
  </si>
  <si>
    <t>Convertible Top Movement - Hydraulic pump for convertible top operation</t>
  </si>
  <si>
    <t>All Wheel Dirve - Hydraulic temperature sensor for all-wheel drive</t>
  </si>
  <si>
    <t>Dynamic Stabilization - Body Acceleration Sensor RL</t>
  </si>
  <si>
    <t>Dynamic Stabilization - Body Acceleration Sensor FL</t>
  </si>
  <si>
    <t>Dynamic Stabilization - Body Acceleration Sensor FR</t>
  </si>
  <si>
    <t>Front Trunk Illumination - LED Lamp</t>
  </si>
  <si>
    <t>Front Spoiler Adjustment - Compressor for front spoiler adjustment</t>
  </si>
  <si>
    <t>Fuel Pump - Fuel Pump</t>
  </si>
  <si>
    <t>Exhaust Measurement - Oxigen Sensor - After Catalyzer</t>
  </si>
  <si>
    <t>Exhaust Measurement - Oxigen Sensor - Before Catalyzer</t>
  </si>
  <si>
    <t>Airbag - Curtain Airbag L</t>
  </si>
  <si>
    <t>Front Axle Height Adjustment - Hydraulic Pump Motor</t>
  </si>
  <si>
    <t>Wind Deflection - Wind Deflector Motor</t>
  </si>
  <si>
    <t>Emergency Stop Switch - User Selector</t>
  </si>
  <si>
    <t>Reverse Gear Switch - Reverse Gear Switch</t>
  </si>
  <si>
    <t>Convertible Top Locking - User Selector</t>
  </si>
  <si>
    <t>Rear Axle Anti-roll Bar Decoupling - Rear Axle Anti-roll Bar Decoupling Valve</t>
  </si>
  <si>
    <t>Front Axle Anti-roll Bar Decoupling - Front Axle Anti-roll Bar Decoupling Valve</t>
  </si>
  <si>
    <t>Front Sensors Heating - Heater - Window heating for front sensors</t>
  </si>
  <si>
    <t>Rear Lamps - Central - Taillamp Assy' Full LED - Center</t>
  </si>
  <si>
    <t>Rear Lamps - Central - Taillamp Assy' - Center</t>
  </si>
  <si>
    <t>Aquaplaning Warning - Acoustic Sensor Left</t>
  </si>
  <si>
    <t>Aquaplaning Warning - Acoustic Sensor Right</t>
  </si>
  <si>
    <t>Socket for Radio Data Communication - Socket for Radio Data Communication</t>
  </si>
  <si>
    <t>Hood Emergency Release - Stepper Motor - Emergency Hood Release</t>
  </si>
  <si>
    <t>Rear Axle Steering - Rear Axle Steering Motor Right</t>
  </si>
  <si>
    <t>Engine Noise Generation [E-Sound] - Engine noise generation control unit [E-Sound]</t>
  </si>
  <si>
    <t>Lane Change Assist - Lane Change Assist Radar [Left, Slave]</t>
  </si>
  <si>
    <t>Brake Actuator - Electric Brake Booster</t>
  </si>
  <si>
    <t>Front Spoiler Adjustment - Spolier Position</t>
  </si>
  <si>
    <t xml:space="preserve">Computing - Redundance - Driver Assistance Systems Control Unit </t>
  </si>
  <si>
    <t>Radio-Controlled Parking - RC Parking Antenna</t>
  </si>
  <si>
    <t>Command - Control unit for garage door opening</t>
  </si>
  <si>
    <t>Rear Axle Steering - Rear Axle Steering Motor Left</t>
  </si>
  <si>
    <t>Fuel Pump - Computing - Fuel pump control unit</t>
  </si>
  <si>
    <t>Night Vision - Camera for night vision system</t>
  </si>
  <si>
    <t>Tyre Pressure Control - Tyre pressure control unit (Receiver)</t>
  </si>
  <si>
    <t>Change Lane Assistance - Lane Change Assist Radar [Right, Master]</t>
  </si>
  <si>
    <t>Front Axle Height Adjustment - Front axle lift system control unit</t>
  </si>
  <si>
    <t>Subwoofer Speaker - Subwoofer</t>
  </si>
  <si>
    <t>Subwoofer Speaker - Subwoofer [cargo floor]</t>
  </si>
  <si>
    <t>Hood Emergency Release - User Selector - Emergency Hood Release Button</t>
  </si>
  <si>
    <t>Rear Lamps L - Taillamp Assy' LED Left - Body</t>
  </si>
  <si>
    <t>Vehicle Height Adjustment - Damping Adjustment Valve RL</t>
  </si>
  <si>
    <t>Vehicle Height Adjustment - Damping Adjustment Valve RR</t>
  </si>
  <si>
    <t>Vehicle Height Adjustment - Damping Adjustment Valve FL</t>
  </si>
  <si>
    <t>Vehicle Height Adjustment - Damping Adjustment Valve FR</t>
  </si>
  <si>
    <t>Hood Flap - hood flap on the left</t>
  </si>
  <si>
    <t>Sub-Woofer - Amplifier for bass speakers</t>
  </si>
  <si>
    <t>Digital Sound Package - Amplifier for digital sound package</t>
  </si>
  <si>
    <t>Telephone - Mobile phone amplifier</t>
  </si>
  <si>
    <t>Telephone - Mobile phone amplifier [compensator coupling box]</t>
  </si>
  <si>
    <t>Night Vision Camera Washer - Washer Pump Mono</t>
  </si>
  <si>
    <t>Airbag - Rollover Protection Passenger's Side [Convertible]</t>
  </si>
  <si>
    <t>Airbag - Rollover Protection Driver's Side [Convertible]</t>
  </si>
  <si>
    <t>Airbag - Head Airbag Passenger's Side [Coupe]</t>
  </si>
  <si>
    <t>Airbag - Head Airbag Driver's Side [Coupe]</t>
  </si>
  <si>
    <t>Chip Card Reader - Chip Card Reader</t>
  </si>
  <si>
    <t>Passenger Airbag Deactivation - User Selector</t>
  </si>
  <si>
    <t>Rear Spoiler Adjustment - Rear Spoiler Motor</t>
  </si>
  <si>
    <t>Rear Spoiler Adjustment - Rear Spoiler Position Sensor Hall</t>
  </si>
  <si>
    <t>Convertible Top Operation - Top closing unit</t>
  </si>
  <si>
    <t>Sun Roof Opening and Closing - User Selector</t>
  </si>
  <si>
    <t>Sun Roof Courtain Opening and Closing - User Selector</t>
  </si>
  <si>
    <t>Sun Roof Wind Deflection - Motor for Wind Deflection</t>
  </si>
  <si>
    <t>Fuel Tank / Charge Port Cap Opening and Closing Latch - Stepper Motor</t>
  </si>
  <si>
    <t>Charging Access - Charge Port Flap</t>
  </si>
  <si>
    <t>Vehicle Charging - Charge Port Inlet</t>
  </si>
  <si>
    <t>Tailgate Opening and Closing - Stepper Motor Left</t>
  </si>
  <si>
    <t>Center Console Receiving - Near Field Communication Interface Device</t>
  </si>
  <si>
    <t>Tailgate Opening and Closing - Stepper Motor Right</t>
  </si>
  <si>
    <t>Seat Release 2nd Row Left - User Selector</t>
  </si>
  <si>
    <t>Ventilation and Air Conditioning</t>
  </si>
  <si>
    <t>Active Steering Control UnitKl.30</t>
  </si>
  <si>
    <t>Index Ref</t>
  </si>
  <si>
    <t>https://techinfo.honda.com/rjanisis/pubs/om/ah/b3s52424iom/enu/details/131236047-2625.html</t>
  </si>
  <si>
    <t>https://techinfo.honda.com/rjanisis/pubs/om/ah/b3s52424iom/enu/details/131236047-3664.html</t>
  </si>
  <si>
    <t>https://conti-engineering.com/components/airbag-control-unit-t25/</t>
  </si>
  <si>
    <t>Airbag Control Unit</t>
  </si>
  <si>
    <t>https://www.bosch-mobility.com/media/global/solutions/passenger-cars-and-light-commercial-vehicles/driving-safety-systems/pedestrian-protection/integrated-safety-unit/product_data_sheet_integrated_safety_unit.pdf</t>
  </si>
  <si>
    <t>https://zf-lifetec.com/products</t>
  </si>
  <si>
    <t>https://toshiba.semicon-storage.com/us/semiconductor/design-development/referencedesign/detail.RD209.html</t>
  </si>
  <si>
    <t>https://toshiba.semicon-storage.com/info/docget.jsp?did=151210</t>
  </si>
  <si>
    <t>https://www.infineon.com/cms/en/applications/automotive/led-lighting/full-led-headlamps/?gatedContentFileId=~%275546d46272aa54c00172b850df584e15#!designsupport</t>
  </si>
  <si>
    <t>https://www.ti.com/solution/automotive-rear-light</t>
  </si>
  <si>
    <t>https://www.ti.com/solution/front-camera</t>
  </si>
  <si>
    <t>https://www.ti.com/solution/automotive-rear-camera</t>
  </si>
  <si>
    <t>https://www.ti.com/solution/automotive-long-range-radar-76-to-81ghz-with-rfcmos</t>
  </si>
  <si>
    <t>https://www.ti.com/solution/driver-occupant-monitoring-camera-module</t>
  </si>
  <si>
    <t>https://www.ti.com/solution/short-medium-range-radar-76-to-81ghz-with-rfcmos</t>
  </si>
  <si>
    <t>https://www.ti.com/solution/automotive-ultra-short-range-radar</t>
  </si>
  <si>
    <t>https://www.ti.com/solution/seat-heating-module</t>
  </si>
  <si>
    <t>https://www.ti.com/solution/seat-lumbar-massage-module</t>
  </si>
  <si>
    <t>https://www.ti.com/solution/automotive-seat-position-comfort-module</t>
  </si>
  <si>
    <t>https://www.ti.com/solution/active-noise-cancellation-anc-microphone</t>
  </si>
  <si>
    <t>https://www.ti.com/solution/automotive-head-unit</t>
  </si>
  <si>
    <t>https://www.google.de/url?sa=t&amp;rct=j&amp;q=&amp;esrc=s&amp;source=web&amp;cd=&amp;cad=rja&amp;uact=8&amp;ved=2ahUKEwj6y5LQuM2LAxV2RPEDHQV6MlsQFnoECC8QAQ&amp;url=https%3A%2F%2Fwww.ti.com%2Flit%2Fszzy011&amp;usg=AOvVaw22TGDsw-Jiva0qu5-WZ23Q&amp;opi=89978449</t>
  </si>
  <si>
    <t>https://www.ti.com/solution/automotive-kick-to-open-module</t>
  </si>
  <si>
    <t>https://www.ti.com/solution/wiper-module</t>
  </si>
  <si>
    <t>https://www.ti.com/solution/automotive-window-module</t>
  </si>
  <si>
    <t>https://www.ti.com/solution/roof-motor-module</t>
  </si>
  <si>
    <t>https://www.ti.com/solution/automotive-door-handle-module</t>
  </si>
  <si>
    <t>https://de.scribd.com/doc/146061862/02800</t>
  </si>
  <si>
    <t>https://www.ti.com/solution/boosted-audio-amplifier-with-anc</t>
  </si>
  <si>
    <t>https://www.ti.com/solution/trunk-module</t>
  </si>
  <si>
    <t>http://www.autlog-germany.de/en/products/sensors/interior-temperature-sensor/</t>
  </si>
  <si>
    <t>https://sensirion-automotive.com/products/cabin-air-temperature-sensor</t>
  </si>
  <si>
    <t>Rear Internal Temperature Detection - Footwell Temperature Sensor Rear</t>
  </si>
  <si>
    <t>https://sensirion-automotive.com/products/co2-sensor</t>
  </si>
  <si>
    <t>http://www.autlog-germany.de/en/products/sensors/external-air-temperature-sensor/</t>
  </si>
  <si>
    <t>https://sensirion-automotive.com/products/particulate-matter-sensor</t>
  </si>
  <si>
    <t>http://www.autlog-germany.de/en/products/sensors/wheel-speed-sensors/</t>
  </si>
  <si>
    <t>https://www.continental-automotive.com/de/komponenten/sensoren/speed-and-position-sensors/wheel-speed-sensor/wheel-speed-sensor-with-epb-cable.html</t>
  </si>
  <si>
    <t>Wheel Speed Sensor</t>
  </si>
  <si>
    <t>508, 509, 832, 833</t>
  </si>
  <si>
    <t>https://www.zf.com/products/de/cv/products_72898.html?pageLink=details_divider658792</t>
  </si>
  <si>
    <t>Source 1</t>
  </si>
  <si>
    <t>Source 2</t>
  </si>
  <si>
    <t>Source 3</t>
  </si>
  <si>
    <t>Source 4</t>
  </si>
  <si>
    <t>4358, 4359, 4563</t>
  </si>
  <si>
    <t>Seat Occupancy Detection - Seat Occupancy Detection</t>
  </si>
  <si>
    <t>65, 66, 742, 743, 749, 750, 764</t>
  </si>
  <si>
    <t>http://www.autlog-germany.de/en/products/sensors/intake-air-sensor/</t>
  </si>
  <si>
    <t>http://www.autlog-germany.de/en/products/sensors/coolant-temperature-sensors/</t>
  </si>
  <si>
    <t>4508, 4509</t>
  </si>
  <si>
    <t>Distance Measurements - Short/Mid Range Radar</t>
  </si>
  <si>
    <t>3211, 3212, 3213, 3214, 3217, 3218</t>
  </si>
  <si>
    <t>Wires and Cables</t>
  </si>
  <si>
    <t>https://www.google.de/url?sa=t&amp;rct=j&amp;q=&amp;esrc=s&amp;source=web&amp;cd=&amp;cad=rja&amp;uact=8&amp;ved=2ahUKEwiYzv2Uw9KLAxWZXvEDHa6gJvA4ChAWegQICxAB&amp;url=https%3A%2F%2Fcatalogs.coficab.com%2Fgeneralpurpose_specificaplications_tailormade.pdf&amp;usg=AOvVaw3WUEXEZ9sK2Nk71L3dG4IE&amp;opi=89978449</t>
  </si>
  <si>
    <t>https://www.kroschu-cable.de/de/downloads.html</t>
  </si>
  <si>
    <t>https://www.digikey.co.th/htmldatasheets/production/545376/0/0/1/c702-card-readers.html</t>
  </si>
  <si>
    <t>https://www.google.de/url?sa=i&amp;url=https%3A%2F%2Fautosystemy.eu%2Fdownload.php%3Fatt%3D83&amp;psig=AOvVaw2un_R-PaAset5OIjz40Q08&amp;ust=1741695440452000&amp;source=images&amp;cd=vfe&amp;opi=89978449&amp;ved=0CAcQr5oMahcKEwjQ5Nqhv_-LAxUAAAAAHQAAAAAQBA</t>
  </si>
  <si>
    <t>Telephone Connection</t>
  </si>
  <si>
    <t>Driving Scenarios (Activation time during 20Min drive)</t>
  </si>
  <si>
    <t>Bluetooth Transceiver</t>
  </si>
  <si>
    <t>https://www.st.com/resource/en/datasheet/st25r3918.pdf</t>
  </si>
  <si>
    <t>https://fcc.report/FCC-ID/2AJW515891/7757407.pdf</t>
  </si>
  <si>
    <t>https://www.renesas.com/en/blogs/explore-cost-effective-way-support-mandatory-adas-systems?srsltid=AfmBOopJ0c_9b893Rwha6e5Nf19oZmnRW8k3fOj5QP0qXEmpKRuOkKT3</t>
  </si>
  <si>
    <t>https://www.continental-automotive.com/en/components/cameras/multi-function-mono-camera-mfc527.html</t>
  </si>
  <si>
    <t xml:space="preserve"> https://apecautomotive.co.uk/techmate-guides/abs-sensors/</t>
  </si>
  <si>
    <t>https://www.ovt.com/wp-content/uploads/2022/01/OV7955-PB-v1.5-WEB.pdf</t>
  </si>
  <si>
    <t>268, 9260</t>
  </si>
  <si>
    <t>https://digiflec.com/wp-content/uploads/2024/04/Automotive_Camera_C2_Spec_Sheet_2023.pdf</t>
  </si>
  <si>
    <t>101, 262, 537, 538</t>
  </si>
  <si>
    <t>Short Range View - Camera_NFC</t>
  </si>
  <si>
    <t>3227, 3228, 3229, 3230, 3231, 3232, 3233, 3234, 3235, 3236</t>
  </si>
  <si>
    <t>3222, 3223, 3224, 3225, 3226</t>
  </si>
  <si>
    <t>Long Range View - Camera_FFC</t>
  </si>
  <si>
    <t>Ethernet</t>
  </si>
  <si>
    <t>https://opensig.org/wp-content/uploads/2024/01/1000BASE-T1_SystemImplementationSpecification_v1.6.pdf</t>
  </si>
  <si>
    <t>Concept</t>
  </si>
  <si>
    <t>https://www.ti.com/lit/an/slla383a/slla383a.pdf</t>
  </si>
  <si>
    <t>https://www.prodigytechno.com/difference-between-lin-can-and-flexray-protocols</t>
  </si>
  <si>
    <t>CAN</t>
  </si>
  <si>
    <t>FlexRay</t>
  </si>
  <si>
    <t>https://www.evcreate.com/wiring-the-ibooster/</t>
  </si>
  <si>
    <t>https://www.evcreate.com/ibooster-can-bus/</t>
  </si>
  <si>
    <t>Vehicle Level Sensor Rear Left</t>
  </si>
  <si>
    <t>Bulb P5W</t>
  </si>
  <si>
    <t>Bulb P10W</t>
  </si>
  <si>
    <t>12V Lead-Acid Battery Main</t>
  </si>
  <si>
    <t>12V Energy Storage</t>
  </si>
  <si>
    <t>1-1670917-1</t>
  </si>
  <si>
    <t>1-1670916-1</t>
  </si>
  <si>
    <t>2 POS. MCON_SEALED</t>
  </si>
  <si>
    <t>1355328-1</t>
  </si>
  <si>
    <t>2 Pos. MCP 9,5mm Sealed</t>
  </si>
  <si>
    <t>Anzahl von Index</t>
  </si>
  <si>
    <t>1801600-1</t>
  </si>
  <si>
    <t>2-2310137-1</t>
  </si>
  <si>
    <t>1 pos. MATE-AX Socket Housing Cod. A 180°</t>
  </si>
  <si>
    <t>2-2312192-1</t>
  </si>
  <si>
    <t>1 pos. MATE-AX Socket Housing Cod. A 180° Sealed</t>
  </si>
  <si>
    <t>965601-2</t>
  </si>
  <si>
    <t>Air Flow Temperature Detection Front Left</t>
  </si>
  <si>
    <t>Air Flow Temperature Detection Front Right</t>
  </si>
  <si>
    <t>Air Flow Temperature Detection Front Middle</t>
  </si>
  <si>
    <t>Power Window Command Driver Door</t>
  </si>
  <si>
    <t>Power Window Command Passenger Door</t>
  </si>
  <si>
    <t>Power Window Command Rear Door Left</t>
  </si>
  <si>
    <t>Power Window Command Rear Door Right</t>
  </si>
  <si>
    <t>Environment Detection</t>
  </si>
  <si>
    <t>Fuel Tank</t>
  </si>
  <si>
    <t>Hydraulic Vibration Damping</t>
  </si>
  <si>
    <t>Parking Heater</t>
  </si>
  <si>
    <t>Additional Heating Unit (Valve and Fuel Pump)</t>
  </si>
  <si>
    <t>Footwell  Temperature Detection Rear Left</t>
  </si>
  <si>
    <t>Footwell Temperature Sensor Rear Left</t>
  </si>
  <si>
    <t>Air Flow Temperature Detection Rear Left</t>
  </si>
  <si>
    <t>Air Flow Temperature Detection Rear Right</t>
  </si>
  <si>
    <t>Temperature Measurement</t>
  </si>
  <si>
    <t>Air Conditioning Fluid Sensor</t>
  </si>
  <si>
    <t>Seat Temperature Adjustment FL</t>
  </si>
  <si>
    <t>Seat Temperature Adjustment FR</t>
  </si>
  <si>
    <t>Seat Temperature Adjustment RL</t>
  </si>
  <si>
    <t>Seat Temperature Adjustment RR</t>
  </si>
  <si>
    <t>Driving Commands</t>
  </si>
  <si>
    <t>Emergency Switch-Off Switch</t>
  </si>
  <si>
    <t>with Aquaplaning Warning</t>
  </si>
  <si>
    <t>Source</t>
  </si>
  <si>
    <t>48V Boardnet Supply</t>
  </si>
  <si>
    <t>12V Boardnet Supply</t>
  </si>
  <si>
    <t>1-1564514-1</t>
  </si>
  <si>
    <t>8 Pos. MCP 1,5mm Sealed - Heavy Duty</t>
  </si>
  <si>
    <t>2-1418479-1</t>
  </si>
  <si>
    <t>Traction</t>
  </si>
  <si>
    <t>Traction Motor Rear</t>
  </si>
  <si>
    <t>Traction Motor Front</t>
  </si>
  <si>
    <t>EV with Air Conditioning</t>
  </si>
  <si>
    <t>Clutch Compressor HV</t>
  </si>
  <si>
    <t>Pre-Heating Valve Inlet</t>
  </si>
  <si>
    <t>Pre-Heating Valve Outlet</t>
  </si>
  <si>
    <t>Electrical Air Heater PTC Low Voltage</t>
  </si>
  <si>
    <t>PTC Heater High Voltage</t>
  </si>
  <si>
    <t>Battery  Heating</t>
  </si>
  <si>
    <t>PTC Heater 1 High Voltage</t>
  </si>
  <si>
    <t>PTC Heater 2 High Voltage</t>
  </si>
  <si>
    <t>Tailgate Open</t>
  </si>
  <si>
    <t>Front Trunk Open</t>
  </si>
  <si>
    <t>Wiper Motor L</t>
  </si>
  <si>
    <t>Wiper Motor R</t>
  </si>
  <si>
    <t>Windshield Heater R</t>
  </si>
  <si>
    <t>Amplifier</t>
  </si>
  <si>
    <t>AM+FM Antenna (w/ Amplifier)</t>
  </si>
  <si>
    <t>AM+FM+DAB Antenna (w/ Amplifier)</t>
  </si>
  <si>
    <t>FM Antenna (w/ Amplifier)</t>
  </si>
  <si>
    <t>DAB Antenna (w/ Amplifier)</t>
  </si>
  <si>
    <t>TV Antenna 1</t>
  </si>
  <si>
    <t>TV Antenna 2</t>
  </si>
  <si>
    <t>TV Antenna 3</t>
  </si>
  <si>
    <t>GSM+E-Call Antenna</t>
  </si>
  <si>
    <t>Wifi+Bluetooth Antenna</t>
  </si>
  <si>
    <t>USB Charging Port</t>
  </si>
  <si>
    <t>Personal Device Charging FL</t>
  </si>
  <si>
    <t>Personal Device Charging FR</t>
  </si>
  <si>
    <t>Personal Device Charging RL</t>
  </si>
  <si>
    <t>Personal Device Charging RR</t>
  </si>
  <si>
    <t>Personal Device Charging RL - 3rd Seat Row</t>
  </si>
  <si>
    <t>Personal Device Charging RR - 3rd Seat Row</t>
  </si>
  <si>
    <t>Mid-Range Speaker HR</t>
  </si>
  <si>
    <t>Mid-Range Speaker HL</t>
  </si>
  <si>
    <t>Heater -</t>
  </si>
  <si>
    <t>Ultrasonic Sensor FSL</t>
  </si>
  <si>
    <t>Ultrasonic Sensor FL</t>
  </si>
  <si>
    <t>Ultrasonic Sensor FML</t>
  </si>
  <si>
    <t>Ultrasonic Sensor FMR</t>
  </si>
  <si>
    <t>Ultrasonic Sensor FR</t>
  </si>
  <si>
    <t>Ultrasonic Sensor FSR</t>
  </si>
  <si>
    <t>Ultrasonic Sensor RSL</t>
  </si>
  <si>
    <t>Ultrasonic Sensor RL</t>
  </si>
  <si>
    <t>Ultrasonic Sensor RML</t>
  </si>
  <si>
    <t>Ultrasonic Sensor RMR</t>
  </si>
  <si>
    <t>Ultrasonic Sensor RR</t>
  </si>
  <si>
    <t>Ultrasonic Sensor RSR</t>
  </si>
  <si>
    <t>LV Battery Shut-Off</t>
  </si>
  <si>
    <t>48V-12V DC/DC Converter</t>
  </si>
  <si>
    <t>HV-48V DC/DC Converter</t>
  </si>
  <si>
    <t>HV-12V DC/DC Converter</t>
  </si>
  <si>
    <t>12V LiIon Battery</t>
  </si>
  <si>
    <t>48V Energy Storage</t>
  </si>
  <si>
    <t>48V LiIon Battery</t>
  </si>
  <si>
    <t>Stepper Motor - Cockpit Deflector FL 1</t>
  </si>
  <si>
    <t>Stepper Motor - Cockpit Deflector FL 2</t>
  </si>
  <si>
    <t>Stepper Motor - Cockpit Deflector ML 2</t>
  </si>
  <si>
    <t>Stepper Motor - Cockpit Deflector ML 1</t>
  </si>
  <si>
    <t>Stepper Motor - Cockpit Deflector MR 1</t>
  </si>
  <si>
    <t>Stepper Motor - Cockpit Deflector MR 2</t>
  </si>
  <si>
    <t>Stepper Motor - Cockpit Deflector FR 1</t>
  </si>
  <si>
    <t>Stepper Motor - Cockpit Deflector FR 2</t>
  </si>
  <si>
    <t>Pressure Switch</t>
  </si>
  <si>
    <t>Air Deflector Temperature Sensor FL</t>
  </si>
  <si>
    <t>Air Deflector Temperature Sensor FR</t>
  </si>
  <si>
    <t>Air Deflector Temperature Sensor FM</t>
  </si>
  <si>
    <t>Air Deflector Temperature Sensor RL</t>
  </si>
  <si>
    <t>Air Deflector Temperature Sensor RR</t>
  </si>
  <si>
    <t>User Selector Potentiometer - Cockpit Center Air Diffuser Right</t>
  </si>
  <si>
    <t>User Selector Potentiometer - Cockpit Left Air Diffuser</t>
  </si>
  <si>
    <t>User Selector Potentiometer - Cockpit Right Air Diffuser</t>
  </si>
  <si>
    <t>Stepper Motor - B-Pillar L</t>
  </si>
  <si>
    <t>Stepper Motor - B-Pillar R</t>
  </si>
  <si>
    <t>Heat Pump</t>
  </si>
  <si>
    <t>Valve - Refrigerant Shut-off Before Reservoir</t>
  </si>
  <si>
    <t>Pressure and Temperature Sensor 1 before Compressor</t>
  </si>
  <si>
    <t>Pressure and Temperature Sensor 2 before Compressor</t>
  </si>
  <si>
    <t>Pressure and Temperature Sensor 1 After AC Condenser</t>
  </si>
  <si>
    <t>Pressure and Temperature Sensor 2 After AC Condenser</t>
  </si>
  <si>
    <t>Pressure and Temperature Sensor Before AC Condenser</t>
  </si>
  <si>
    <t>Steering Column Movement Horizontal</t>
  </si>
  <si>
    <t>Steering Column Movement Vertical</t>
  </si>
  <si>
    <t>Head Airbag Passenger's Side</t>
  </si>
  <si>
    <t>Head Airbag Driver's Side</t>
  </si>
  <si>
    <t>Louver Stepper Motor 2</t>
  </si>
  <si>
    <t>Washer Pump</t>
  </si>
  <si>
    <t>Air Pump - Driver Seat</t>
  </si>
  <si>
    <t>Oil Pump - Front Drive Unit</t>
  </si>
  <si>
    <t>Oil Pump - Rear Drive Unit</t>
  </si>
  <si>
    <t>Engine Coolant Pump</t>
  </si>
  <si>
    <t>Air Pump - Passenger Seat</t>
  </si>
  <si>
    <t>2301127-2</t>
  </si>
  <si>
    <t>3 Pos. MCP 2,8mm Sealed</t>
  </si>
  <si>
    <t>Vehicle provided of an internal combustion engine drivetrain</t>
  </si>
  <si>
    <t>Internal Combustion Engine 3 Cyl. 1,0L</t>
  </si>
  <si>
    <t>Internal Combustion Engine 4 Cyl. 2,0L</t>
  </si>
  <si>
    <t>F0x80</t>
  </si>
  <si>
    <t>F0x81</t>
  </si>
  <si>
    <t>Fuel Injection</t>
  </si>
  <si>
    <t>Injection Valve Cylinder 1</t>
  </si>
  <si>
    <t>Injection Valve Cylinder 2</t>
  </si>
  <si>
    <t>Injection Valve Cylinder 3</t>
  </si>
  <si>
    <t>Injection Valve Cylinder 4</t>
  </si>
  <si>
    <t>Fuel Gallery Pressure Sensor</t>
  </si>
  <si>
    <t>Fuel Gallery Pressure</t>
  </si>
  <si>
    <t>Crankschaft Rotation Sensor</t>
  </si>
  <si>
    <t>Crankschaft Rotation</t>
  </si>
  <si>
    <t>Camshaft Position</t>
  </si>
  <si>
    <t>Camshaft Position Sensor</t>
  </si>
  <si>
    <t>Fuel Pressure and Temperature</t>
  </si>
  <si>
    <t>Fuel Pressure and Temperature Sensor</t>
  </si>
  <si>
    <t>Electronic Thermostatic Valve</t>
  </si>
  <si>
    <t>Engine Temperature Management</t>
  </si>
  <si>
    <t>Exhaust Gas Control Motor for Turbo</t>
  </si>
  <si>
    <t>Exhaust Gas Admission Control</t>
  </si>
  <si>
    <t>Exhaust Gas Control - High Pressure Side</t>
  </si>
  <si>
    <t>Exhaust Gas Control - Low Pressure Side</t>
  </si>
  <si>
    <t>High Pressure Exhaust Gas Control Motor</t>
  </si>
  <si>
    <t>Low Pressure Exhaust Gas Control Motor</t>
  </si>
  <si>
    <t>Intake Air Control</t>
  </si>
  <si>
    <t>Throttle Body Intake Control Motor</t>
  </si>
  <si>
    <t>Exhaust Gas Temperature Sensor</t>
  </si>
  <si>
    <t>Fuel Admission Control</t>
  </si>
  <si>
    <t>Fuel Admission Control Valve</t>
  </si>
  <si>
    <t>Motorhead Temperature Sensor</t>
  </si>
  <si>
    <t>Camshaft Chamber Temperature Sensor</t>
  </si>
  <si>
    <t>Intercooler Temperature Sensor</t>
  </si>
  <si>
    <t>Admitted Air Temperature</t>
  </si>
  <si>
    <t>Admitted Air Temperature Sensor</t>
  </si>
  <si>
    <t>Exhaust Gas Temperature Front</t>
  </si>
  <si>
    <t>Exhaust Gas Temperature Mid</t>
  </si>
  <si>
    <t>Exhaust Gas Temperature Rear</t>
  </si>
  <si>
    <t>Exhaust Gas Temperature Front Sensor</t>
  </si>
  <si>
    <t>Exhaust Gas Temperature Mid Sensor</t>
  </si>
  <si>
    <t>Exhaust Gas Temperature Rear Sensor</t>
  </si>
  <si>
    <t>Oil Pressure Sensor</t>
  </si>
  <si>
    <t>Exhaust Gas Pressure</t>
  </si>
  <si>
    <t>Exhaust Gas Pressure Sensor</t>
  </si>
  <si>
    <t>Fuel Pressure Control</t>
  </si>
  <si>
    <t>Fuel Pressure Control Valve</t>
  </si>
  <si>
    <t>Cooling Fluid Circulation Control</t>
  </si>
  <si>
    <t>Motorhead Cooling Fluid Control Valve</t>
  </si>
  <si>
    <t>Engine Oil Circulation Control</t>
  </si>
  <si>
    <t>Engine Oil Circulation Control Valve</t>
  </si>
  <si>
    <t>Piston Cooling</t>
  </si>
  <si>
    <t>Piston Cooling Injector</t>
  </si>
  <si>
    <t>Ignition Cylinder 1</t>
  </si>
  <si>
    <t>Ignition Cylinder 2</t>
  </si>
  <si>
    <t>Ignition Cylinder 3</t>
  </si>
  <si>
    <t>Ignition Cylinder 4</t>
  </si>
  <si>
    <t>Ignition Coil Cylinder 1</t>
  </si>
  <si>
    <t>Ignition Coil Cylinder 2</t>
  </si>
  <si>
    <t>Ignition Coil Cylinder 3</t>
  </si>
  <si>
    <t>Ignition Coil Cylinder 4</t>
  </si>
  <si>
    <t>Engine Oil Pressure</t>
  </si>
  <si>
    <t>Engine Oil Level and Temperature</t>
  </si>
  <si>
    <t>Engine Oil Level and Temperature Sensor</t>
  </si>
  <si>
    <t>Crankschaft Chamber Air Relief</t>
  </si>
  <si>
    <t>Crankschaft Chamber Air Relief Heater</t>
  </si>
  <si>
    <t>Power Generation and Engine Start</t>
  </si>
  <si>
    <t>12V Belt Start Generator</t>
  </si>
  <si>
    <t>48V Belt Start Generator</t>
  </si>
  <si>
    <t>48V Integrated Start Generator</t>
  </si>
  <si>
    <t>High Temperature Coolant Pump</t>
  </si>
  <si>
    <t>F0x90</t>
  </si>
  <si>
    <t>Outside Lighting, Vehicle Contours</t>
  </si>
  <si>
    <t>Decorative lighting devices, typically light guide strips, designed to highlight body lines and logos when the vehicle is driven in dark environments. Typically used on front grilles and tailgates.</t>
  </si>
  <si>
    <t>Vehicle Level Sensor Rear Right</t>
  </si>
  <si>
    <t>Vehicle Level Sensor Front Right</t>
  </si>
  <si>
    <t>Vehicle Level Sensor Front Left</t>
  </si>
  <si>
    <t>Coolant Level Sensor</t>
  </si>
  <si>
    <t>Curtain/Head Airbag</t>
  </si>
  <si>
    <t>Seat Position 2nd Row L</t>
  </si>
  <si>
    <t>Seat Position 2nd Row C</t>
  </si>
  <si>
    <t>Seat Position 2nd Row R</t>
  </si>
  <si>
    <t>Side Repeater P21W</t>
  </si>
  <si>
    <t>Taillamp Assy' Full LED</t>
  </si>
  <si>
    <t>Side Repeater Bulb P10W</t>
  </si>
  <si>
    <t>License Plate Assy' Full LED</t>
  </si>
  <si>
    <t>High Mounted Brake Light Assy' Full LED</t>
  </si>
  <si>
    <t>Side Marker Bulb P5W</t>
  </si>
  <si>
    <t>Side Marker LED Lamp</t>
  </si>
  <si>
    <t>License Plate Assy' LED Lamp</t>
  </si>
  <si>
    <t>License Plate Assy' P5W</t>
  </si>
  <si>
    <t>Position Lamp Right</t>
  </si>
  <si>
    <t>Position Lamp Left</t>
  </si>
  <si>
    <t>Description + Function</t>
  </si>
  <si>
    <t>Headlamp Assy' Full LED Left</t>
  </si>
  <si>
    <t>Turn Signal Left</t>
  </si>
  <si>
    <t>Turn Signal Right</t>
  </si>
  <si>
    <t>Headlamp Assy' Xenon + LED Left</t>
  </si>
  <si>
    <t>Headlamp Assy' Xenon + LED Right</t>
  </si>
  <si>
    <t>Headlamp Assy' Full LED Matrix Left</t>
  </si>
  <si>
    <t>Headlamp Assy' Full LED Right</t>
  </si>
  <si>
    <t>Headlamp Assy' Full LED Matrix Right</t>
  </si>
  <si>
    <t>Headlamp Assy' H4 + P21W + P5W Left</t>
  </si>
  <si>
    <t>Headlamp Assy' H4 + P21W + P5W Right</t>
  </si>
  <si>
    <t>Headlamp Assy' H1 + H7 + P21W + P5W Left</t>
  </si>
  <si>
    <t>Headlamp Assy' H1 + H7 + P21W + P5W Right</t>
  </si>
  <si>
    <t>Grounding</t>
  </si>
  <si>
    <t>High Beam Left</t>
  </si>
  <si>
    <t>High Beam Right</t>
  </si>
  <si>
    <t>Low Beam Left</t>
  </si>
  <si>
    <t>Low Beam Right</t>
  </si>
  <si>
    <t>Daytime Runlight</t>
  </si>
  <si>
    <t>Foldable Mirror Right</t>
  </si>
  <si>
    <t>Blind Spot Warning Left</t>
  </si>
  <si>
    <t>Blind Spot Warning Right</t>
  </si>
  <si>
    <t>Mirror Positioning Left</t>
  </si>
  <si>
    <t>Mirror Positioning Right</t>
  </si>
  <si>
    <t>Side Turn Signal Left</t>
  </si>
  <si>
    <t>Side Turn Signal Right</t>
  </si>
  <si>
    <t>Puddle Illumination/Projection Left</t>
  </si>
  <si>
    <t>Puddle Illumination/Projection Right</t>
  </si>
  <si>
    <t>Mirror Dimming Left</t>
  </si>
  <si>
    <t>Mirror Dimming Right</t>
  </si>
  <si>
    <t>Mirror Heating Left</t>
  </si>
  <si>
    <t>Mirror Heating Right</t>
  </si>
  <si>
    <t>ISO 17987</t>
  </si>
  <si>
    <t>2 Pos. MCON 12,0mm Sealed</t>
  </si>
  <si>
    <t>Fuel Tank Level Sensor</t>
  </si>
  <si>
    <t>872</t>
  </si>
  <si>
    <t>- Cleanup for publication
- Check and release for publication</t>
  </si>
  <si>
    <t>Nogueira, Buchta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</si>
</sst>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v. &quot;dd/mm/yyyy"/>
    <numFmt numFmtId="165" formatCode="#,##0_ ;[Red]\-#,##0\ "/>
    <numFmt numFmtId="166" formatCode="&quot;Progress: &quot;0%"/>
    <numFmt numFmtId="167" formatCode="0.0%"/>
  </numFmts>
  <fonts count="41" x14ac:knownFonts="1">
    <font>
      <sz val="11"/>
      <color theme="1"/>
      <name val="Tahom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Tahoma"/>
      <family val="2"/>
    </font>
    <font>
      <b/>
      <sz val="18"/>
      <color theme="1"/>
      <name val="Calibri"/>
      <family val="2"/>
      <scheme val="minor"/>
    </font>
    <font>
      <sz val="11"/>
      <color rgb="FF000000"/>
      <name val="Calibri"/>
      <family val="2"/>
      <scheme val="minor"/>
    </font>
    <font>
      <b/>
      <sz val="22"/>
      <color rgb="FF595959"/>
      <name val="Arial"/>
      <family val="2"/>
    </font>
    <font>
      <sz val="14"/>
      <color rgb="FF000000"/>
      <name val="Arial"/>
      <family val="2"/>
    </font>
    <font>
      <b/>
      <sz val="14"/>
      <color theme="0"/>
      <name val="Calibri"/>
      <family val="2"/>
      <scheme val="minor"/>
    </font>
    <font>
      <b/>
      <sz val="11"/>
      <color theme="1"/>
      <name val="Arial"/>
      <family val="2"/>
    </font>
    <font>
      <sz val="10"/>
      <color theme="1"/>
      <name val="Arial"/>
      <family val="2"/>
    </font>
    <font>
      <sz val="10"/>
      <color rgb="FF00B050"/>
      <name val="Arial"/>
      <family val="2"/>
    </font>
    <font>
      <sz val="10"/>
      <color rgb="FFFF0000"/>
      <name val="Arial"/>
      <family val="2"/>
    </font>
    <font>
      <sz val="8"/>
      <name val="Arial"/>
      <family val="2"/>
      <charset val="1"/>
    </font>
    <font>
      <sz val="10"/>
      <color rgb="FF0070C0"/>
      <name val="Arial"/>
      <family val="2"/>
    </font>
    <font>
      <sz val="11"/>
      <color rgb="FF0070C0"/>
      <name val="Calibri"/>
      <family val="2"/>
      <scheme val="minor"/>
    </font>
    <font>
      <sz val="8"/>
      <name val="Tahoma"/>
      <family val="2"/>
    </font>
    <font>
      <sz val="10"/>
      <color rgb="FF00B0F0"/>
      <name val="Arial"/>
      <family val="2"/>
    </font>
    <font>
      <sz val="10"/>
      <color rgb="FF0066FF"/>
      <name val="Arial"/>
      <family val="2"/>
    </font>
    <font>
      <sz val="10"/>
      <color theme="1"/>
      <name val="Arial"/>
      <family val="2"/>
    </font>
    <font>
      <sz val="10"/>
      <name val="Arial"/>
      <family val="2"/>
    </font>
    <font>
      <sz val="10"/>
      <color rgb="FF0070C0"/>
      <name val="Arial"/>
      <family val="2"/>
    </font>
    <font>
      <sz val="11"/>
      <color theme="0"/>
      <name val="Calibri"/>
      <family val="2"/>
      <scheme val="minor"/>
    </font>
    <font>
      <sz val="11"/>
      <color theme="0" tint="-0.249977111117893"/>
      <name val="Calibri"/>
      <family val="2"/>
      <scheme val="minor"/>
    </font>
    <font>
      <sz val="11"/>
      <name val="Calibri"/>
      <family val="2"/>
      <scheme val="minor"/>
    </font>
    <font>
      <sz val="8"/>
      <color theme="1"/>
      <name val="Arial Narrow"/>
      <family val="2"/>
    </font>
    <font>
      <b/>
      <sz val="12"/>
      <color theme="1"/>
      <name val="Arial Narrow"/>
      <family val="2"/>
    </font>
    <font>
      <sz val="12"/>
      <color theme="1"/>
      <name val="Arial Narrow"/>
      <family val="2"/>
    </font>
    <font>
      <sz val="8"/>
      <color theme="0" tint="-0.249977111117893"/>
      <name val="Arial Narrow"/>
      <family val="2"/>
    </font>
    <font>
      <sz val="11"/>
      <name val="Calibri"/>
      <family val="2"/>
    </font>
    <font>
      <sz val="8"/>
      <color rgb="FFFF0000"/>
      <name val="Arial Narrow"/>
      <family val="2"/>
    </font>
    <font>
      <b/>
      <sz val="22"/>
      <name val="Calibri"/>
      <family val="2"/>
      <scheme val="minor"/>
    </font>
    <font>
      <u/>
      <sz val="11"/>
      <name val="Calibri"/>
      <family val="2"/>
      <scheme val="minor"/>
    </font>
    <font>
      <b/>
      <sz val="11"/>
      <color theme="1"/>
      <name val="Calibri"/>
      <family val="2"/>
      <scheme val="minor"/>
    </font>
    <font>
      <sz val="10"/>
      <color theme="1"/>
      <name val="Arial"/>
      <family val="2"/>
    </font>
    <font>
      <b/>
      <sz val="11"/>
      <color theme="1"/>
      <name val="Tahoma"/>
      <family val="2"/>
    </font>
    <font>
      <u/>
      <sz val="11"/>
      <color theme="10"/>
      <name val="Tahoma"/>
      <family val="2"/>
    </font>
    <font>
      <sz val="10"/>
      <color theme="1"/>
      <name val="Arial"/>
    </font>
  </fonts>
  <fills count="10">
    <fill>
      <patternFill patternType="none"/>
    </fill>
    <fill>
      <patternFill patternType="gray125"/>
    </fill>
    <fill>
      <patternFill patternType="solid">
        <fgColor theme="0" tint="-0.14999847407452621"/>
        <bgColor indexed="64"/>
      </patternFill>
    </fill>
    <fill>
      <patternFill patternType="solid">
        <fgColor rgb="FFD71946"/>
        <bgColor indexed="64"/>
      </patternFill>
    </fill>
    <fill>
      <patternFill patternType="solid">
        <fgColor rgb="FF455561"/>
        <bgColor indexed="64"/>
      </patternFill>
    </fill>
    <fill>
      <patternFill patternType="solid">
        <fgColor indexed="41"/>
        <bgColor indexed="27"/>
      </patternFill>
    </fill>
    <fill>
      <patternFill patternType="solid">
        <fgColor rgb="FFD9D9D9"/>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0000"/>
        <bgColor indexed="64"/>
      </patternFill>
    </fill>
  </fills>
  <borders count="30">
    <border>
      <left/>
      <right/>
      <top/>
      <bottom/>
      <diagonal/>
    </border>
    <border>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bottom/>
      <diagonal/>
    </border>
    <border>
      <left/>
      <right/>
      <top/>
      <bottom style="medium">
        <color indexed="64"/>
      </bottom>
      <diagonal/>
    </border>
    <border>
      <left/>
      <right/>
      <top style="medium">
        <color indexed="64"/>
      </top>
      <bottom/>
      <diagonal/>
    </border>
    <border>
      <left/>
      <right/>
      <top style="thick">
        <color rgb="FFC00000"/>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diagonal/>
    </border>
    <border>
      <left/>
      <right/>
      <top/>
      <bottom style="medium">
        <color rgb="FF000000"/>
      </bottom>
      <diagonal/>
    </border>
    <border>
      <left/>
      <right/>
      <top/>
      <bottom style="thin">
        <color theme="0"/>
      </bottom>
      <diagonal/>
    </border>
    <border>
      <left style="thin">
        <color theme="0"/>
      </left>
      <right/>
      <top style="thin">
        <color theme="0"/>
      </top>
      <bottom/>
      <diagonal/>
    </border>
    <border>
      <left style="thin">
        <color rgb="FFFFFFFF"/>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s>
  <cellStyleXfs count="5">
    <xf numFmtId="0" fontId="0" fillId="0" borderId="0"/>
    <xf numFmtId="9" fontId="6" fillId="0" borderId="0" applyFont="0" applyFill="0" applyBorder="0" applyAlignment="0" applyProtection="0"/>
    <xf numFmtId="0" fontId="4" fillId="0" borderId="0"/>
    <xf numFmtId="165" fontId="16" fillId="5" borderId="15">
      <alignment vertical="center"/>
      <protection locked="0"/>
    </xf>
    <xf numFmtId="0" fontId="39" fillId="0" borderId="0" applyNumberFormat="0" applyFill="0" applyBorder="0" applyAlignment="0" applyProtection="0"/>
  </cellStyleXfs>
  <cellXfs count="225">
    <xf numFmtId="0" fontId="0" fillId="0" borderId="0" xfId="0"/>
    <xf numFmtId="49" fontId="5" fillId="0" borderId="0" xfId="0" applyNumberFormat="1" applyFont="1" applyAlignment="1">
      <alignment vertical="center"/>
    </xf>
    <xf numFmtId="49" fontId="7" fillId="0" borderId="7" xfId="0" applyNumberFormat="1" applyFont="1" applyBorder="1" applyAlignment="1">
      <alignment horizontal="left" vertical="center"/>
    </xf>
    <xf numFmtId="0" fontId="0" fillId="0" borderId="0" xfId="0" applyAlignment="1">
      <alignment vertical="center"/>
    </xf>
    <xf numFmtId="0" fontId="0" fillId="2" borderId="1"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0" xfId="0" quotePrefix="1" applyAlignment="1">
      <alignment vertical="top" wrapText="1"/>
    </xf>
    <xf numFmtId="0" fontId="8" fillId="0" borderId="0" xfId="2" applyFont="1"/>
    <xf numFmtId="0" fontId="9" fillId="0" borderId="0" xfId="2" applyFont="1" applyAlignment="1">
      <alignment horizontal="left"/>
    </xf>
    <xf numFmtId="0" fontId="8" fillId="0" borderId="0" xfId="2" applyFont="1" applyAlignment="1">
      <alignment horizontal="center"/>
    </xf>
    <xf numFmtId="0" fontId="8" fillId="0" borderId="0" xfId="2" applyFont="1" applyAlignment="1">
      <alignment horizontal="center" vertical="center"/>
    </xf>
    <xf numFmtId="0" fontId="4" fillId="0" borderId="0" xfId="2"/>
    <xf numFmtId="0" fontId="10" fillId="0" borderId="9" xfId="2" applyFont="1" applyBorder="1"/>
    <xf numFmtId="0" fontId="8" fillId="0" borderId="9" xfId="2" applyFont="1" applyBorder="1"/>
    <xf numFmtId="0" fontId="10" fillId="0" borderId="0" xfId="2" applyFont="1" applyAlignment="1">
      <alignment vertical="top"/>
    </xf>
    <xf numFmtId="0" fontId="10" fillId="0" borderId="0" xfId="2" applyFont="1"/>
    <xf numFmtId="14" fontId="10" fillId="0" borderId="0" xfId="2" applyNumberFormat="1" applyFont="1" applyAlignment="1">
      <alignment horizontal="left"/>
    </xf>
    <xf numFmtId="0" fontId="10" fillId="0" borderId="0" xfId="2" applyFont="1" applyAlignment="1">
      <alignment horizontal="left"/>
    </xf>
    <xf numFmtId="0" fontId="4" fillId="0" borderId="0" xfId="2" applyAlignment="1">
      <alignment wrapText="1"/>
    </xf>
    <xf numFmtId="0" fontId="4" fillId="0" borderId="0" xfId="2" applyAlignment="1">
      <alignment horizontal="center" wrapText="1"/>
    </xf>
    <xf numFmtId="0" fontId="4" fillId="0" borderId="0" xfId="2" applyAlignment="1">
      <alignment horizontal="center" vertical="center" wrapText="1"/>
    </xf>
    <xf numFmtId="0" fontId="12" fillId="4" borderId="11" xfId="2" applyFont="1" applyFill="1" applyBorder="1" applyAlignment="1">
      <alignment horizontal="center" vertical="center"/>
    </xf>
    <xf numFmtId="0" fontId="12" fillId="4" borderId="12" xfId="2" applyFont="1" applyFill="1" applyBorder="1" applyAlignment="1">
      <alignment horizontal="center" vertical="center"/>
    </xf>
    <xf numFmtId="0" fontId="12" fillId="4" borderId="12" xfId="2" applyFont="1" applyFill="1" applyBorder="1" applyAlignment="1">
      <alignment horizontal="center" vertical="center" wrapText="1"/>
    </xf>
    <xf numFmtId="0" fontId="12" fillId="4" borderId="13" xfId="2" applyFont="1" applyFill="1" applyBorder="1" applyAlignment="1">
      <alignment horizontal="center" vertical="center" wrapText="1"/>
    </xf>
    <xf numFmtId="0" fontId="12" fillId="4" borderId="14" xfId="2" applyFont="1" applyFill="1" applyBorder="1" applyAlignment="1">
      <alignment horizontal="center" vertical="center"/>
    </xf>
    <xf numFmtId="0" fontId="13" fillId="0" borderId="14" xfId="2" applyFont="1" applyBorder="1" applyAlignment="1">
      <alignment horizontal="left" vertical="center"/>
    </xf>
    <xf numFmtId="0" fontId="13" fillId="0" borderId="14" xfId="2" applyFont="1" applyBorder="1" applyAlignment="1">
      <alignment horizontal="left" vertical="center" wrapText="1"/>
    </xf>
    <xf numFmtId="0" fontId="13" fillId="0" borderId="14" xfId="2" applyFont="1" applyBorder="1" applyAlignment="1">
      <alignment horizontal="center" vertical="center"/>
    </xf>
    <xf numFmtId="0" fontId="15" fillId="0" borderId="14" xfId="2" applyFont="1" applyBorder="1" applyAlignment="1">
      <alignment horizontal="left" vertical="center" wrapText="1"/>
    </xf>
    <xf numFmtId="0" fontId="13" fillId="0" borderId="14" xfId="2" applyFont="1" applyBorder="1" applyAlignment="1">
      <alignment horizontal="center" vertical="center" wrapText="1"/>
    </xf>
    <xf numFmtId="165" fontId="13" fillId="0" borderId="14" xfId="3" applyFont="1" applyFill="1" applyBorder="1" applyAlignment="1">
      <alignment horizontal="left" vertical="center" wrapText="1"/>
      <protection locked="0"/>
    </xf>
    <xf numFmtId="0" fontId="18" fillId="0" borderId="0" xfId="2" applyFont="1"/>
    <xf numFmtId="0" fontId="4" fillId="0" borderId="0" xfId="2" applyAlignment="1">
      <alignment horizontal="center"/>
    </xf>
    <xf numFmtId="0" fontId="13" fillId="0" borderId="14" xfId="0" applyFont="1" applyBorder="1" applyAlignment="1">
      <alignment horizontal="center" vertical="center"/>
    </xf>
    <xf numFmtId="0" fontId="13" fillId="0" borderId="14" xfId="0" applyFont="1" applyBorder="1" applyAlignment="1">
      <alignment horizontal="left" vertical="center" wrapText="1"/>
    </xf>
    <xf numFmtId="0" fontId="0" fillId="0" borderId="0" xfId="0" applyAlignment="1">
      <alignment horizontal="left" vertical="top" wrapText="1" indent="1"/>
    </xf>
    <xf numFmtId="0" fontId="17" fillId="0" borderId="14" xfId="2" applyFont="1" applyBorder="1" applyAlignment="1">
      <alignment horizontal="left" vertical="center" wrapText="1"/>
    </xf>
    <xf numFmtId="0" fontId="13" fillId="0" borderId="16" xfId="2" applyFont="1" applyBorder="1" applyAlignment="1">
      <alignment horizontal="left" vertical="center"/>
    </xf>
    <xf numFmtId="0" fontId="13" fillId="0" borderId="16" xfId="2" applyFont="1" applyBorder="1" applyAlignment="1">
      <alignment horizontal="left" vertical="center" wrapText="1"/>
    </xf>
    <xf numFmtId="0" fontId="17" fillId="0" borderId="14" xfId="2" applyFont="1" applyBorder="1" applyAlignment="1">
      <alignment horizontal="center" vertical="center"/>
    </xf>
    <xf numFmtId="0" fontId="13" fillId="0" borderId="16" xfId="2" applyFont="1" applyBorder="1" applyAlignment="1">
      <alignment horizontal="center" vertical="center"/>
    </xf>
    <xf numFmtId="0" fontId="14" fillId="0" borderId="14" xfId="2" applyFont="1" applyBorder="1" applyAlignment="1">
      <alignment horizontal="left" vertical="center" wrapText="1"/>
    </xf>
    <xf numFmtId="0" fontId="17" fillId="0" borderId="16" xfId="2" applyFont="1" applyBorder="1" applyAlignment="1">
      <alignment horizontal="left" vertical="center" wrapText="1"/>
    </xf>
    <xf numFmtId="0" fontId="14" fillId="0" borderId="16" xfId="2" applyFont="1" applyBorder="1" applyAlignment="1">
      <alignment horizontal="left" vertical="center" wrapText="1"/>
    </xf>
    <xf numFmtId="0" fontId="17" fillId="0" borderId="16" xfId="2" applyFont="1" applyBorder="1" applyAlignment="1">
      <alignment horizontal="center" vertical="center"/>
    </xf>
    <xf numFmtId="0" fontId="13" fillId="0" borderId="14" xfId="0" applyFont="1" applyBorder="1" applyAlignment="1">
      <alignment horizontal="left" vertical="center"/>
    </xf>
    <xf numFmtId="0" fontId="20" fillId="0" borderId="14" xfId="2" applyFont="1" applyBorder="1" applyAlignment="1">
      <alignment horizontal="center" vertical="center"/>
    </xf>
    <xf numFmtId="0" fontId="21" fillId="0" borderId="14" xfId="2" applyFont="1" applyBorder="1" applyAlignment="1">
      <alignment horizontal="center" vertical="center"/>
    </xf>
    <xf numFmtId="14" fontId="0" fillId="0" borderId="0" xfId="0" applyNumberFormat="1" applyAlignment="1">
      <alignment horizontal="center" vertical="top" wrapText="1"/>
    </xf>
    <xf numFmtId="0" fontId="14" fillId="0" borderId="14" xfId="0" applyFont="1" applyBorder="1" applyAlignment="1">
      <alignment horizontal="left" vertical="center" wrapText="1"/>
    </xf>
    <xf numFmtId="0" fontId="22" fillId="0" borderId="14" xfId="2" applyFont="1" applyBorder="1" applyAlignment="1">
      <alignment horizontal="center" vertical="center"/>
    </xf>
    <xf numFmtId="0" fontId="23" fillId="0" borderId="14" xfId="2" applyFont="1" applyBorder="1" applyAlignment="1">
      <alignment horizontal="center" vertical="center" wrapText="1"/>
    </xf>
    <xf numFmtId="0" fontId="17" fillId="0" borderId="14" xfId="2" applyFont="1" applyBorder="1" applyAlignment="1">
      <alignment horizontal="center" vertical="center" wrapText="1"/>
    </xf>
    <xf numFmtId="0" fontId="20" fillId="0" borderId="14" xfId="2" applyFont="1" applyBorder="1" applyAlignment="1">
      <alignment horizontal="center" vertical="center" wrapText="1"/>
    </xf>
    <xf numFmtId="0" fontId="22" fillId="0" borderId="14" xfId="2" applyFont="1" applyBorder="1" applyAlignment="1">
      <alignment horizontal="center" vertical="center" wrapText="1"/>
    </xf>
    <xf numFmtId="0" fontId="21" fillId="0" borderId="14" xfId="2" applyFont="1" applyBorder="1" applyAlignment="1">
      <alignment horizontal="center" vertical="center" wrapText="1"/>
    </xf>
    <xf numFmtId="0" fontId="13" fillId="0" borderId="14" xfId="0" applyFont="1" applyBorder="1" applyAlignment="1">
      <alignment horizontal="center" vertical="center" wrapText="1"/>
    </xf>
    <xf numFmtId="0" fontId="13" fillId="0" borderId="16" xfId="2" applyFont="1" applyBorder="1" applyAlignment="1">
      <alignment horizontal="center" vertical="center" wrapText="1"/>
    </xf>
    <xf numFmtId="0" fontId="17" fillId="0" borderId="16" xfId="2" applyFont="1" applyBorder="1" applyAlignment="1">
      <alignment horizontal="center" vertical="center" wrapText="1"/>
    </xf>
    <xf numFmtId="0" fontId="22" fillId="0" borderId="14" xfId="2" applyFont="1" applyBorder="1" applyAlignment="1">
      <alignment horizontal="left" vertical="center" wrapText="1"/>
    </xf>
    <xf numFmtId="49" fontId="3" fillId="0" borderId="7" xfId="0" applyNumberFormat="1" applyFont="1" applyBorder="1" applyAlignment="1">
      <alignment vertical="center"/>
    </xf>
    <xf numFmtId="49" fontId="3" fillId="0" borderId="0" xfId="0" applyNumberFormat="1" applyFont="1" applyAlignment="1">
      <alignment vertical="center"/>
    </xf>
    <xf numFmtId="49" fontId="3" fillId="0" borderId="0" xfId="0" applyNumberFormat="1" applyFont="1" applyAlignment="1">
      <alignment horizontal="left" vertical="center"/>
    </xf>
    <xf numFmtId="164" fontId="3" fillId="0" borderId="0" xfId="0" applyNumberFormat="1" applyFont="1" applyAlignment="1">
      <alignment horizontal="left" vertical="center"/>
    </xf>
    <xf numFmtId="166" fontId="3" fillId="0" borderId="0" xfId="1" applyNumberFormat="1" applyFont="1" applyAlignment="1">
      <alignment vertical="center"/>
    </xf>
    <xf numFmtId="0" fontId="3" fillId="0" borderId="14" xfId="2" applyFont="1" applyBorder="1" applyAlignment="1">
      <alignment wrapText="1"/>
    </xf>
    <xf numFmtId="0" fontId="3" fillId="0" borderId="0" xfId="2" applyFont="1"/>
    <xf numFmtId="0" fontId="17" fillId="0" borderId="14" xfId="2" applyFont="1" applyBorder="1" applyAlignment="1">
      <alignment horizontal="left" vertical="center"/>
    </xf>
    <xf numFmtId="0" fontId="13" fillId="0" borderId="16" xfId="0" applyFont="1" applyBorder="1" applyAlignment="1">
      <alignment horizontal="left" vertical="center"/>
    </xf>
    <xf numFmtId="0" fontId="25" fillId="0" borderId="0" xfId="2" applyFont="1"/>
    <xf numFmtId="0" fontId="24" fillId="0" borderId="14" xfId="2" applyFont="1" applyBorder="1" applyAlignment="1">
      <alignment horizontal="left" vertical="center"/>
    </xf>
    <xf numFmtId="0" fontId="22" fillId="0" borderId="14" xfId="2" applyFont="1" applyBorder="1" applyAlignment="1">
      <alignment horizontal="left" vertical="center"/>
    </xf>
    <xf numFmtId="0" fontId="2" fillId="0" borderId="0" xfId="0" applyFont="1" applyAlignment="1">
      <alignment vertical="center"/>
    </xf>
    <xf numFmtId="49" fontId="26" fillId="6" borderId="5" xfId="0" applyNumberFormat="1" applyFont="1" applyFill="1" applyBorder="1" applyAlignment="1">
      <alignment horizontal="left" vertical="center"/>
    </xf>
    <xf numFmtId="0" fontId="28" fillId="0" borderId="0" xfId="0" applyFont="1" applyAlignment="1">
      <alignment horizontal="center" vertical="center"/>
    </xf>
    <xf numFmtId="0" fontId="29" fillId="0" borderId="0" xfId="0" applyFont="1" applyAlignment="1">
      <alignment horizontal="left" vertical="center"/>
    </xf>
    <xf numFmtId="0" fontId="30" fillId="0" borderId="0" xfId="0" applyFont="1" applyAlignment="1">
      <alignment horizontal="left" vertical="center"/>
    </xf>
    <xf numFmtId="0" fontId="31" fillId="0" borderId="0" xfId="0" applyFont="1" applyAlignment="1">
      <alignment horizontal="center" vertical="center"/>
    </xf>
    <xf numFmtId="49" fontId="27" fillId="0" borderId="0" xfId="0" applyNumberFormat="1" applyFont="1" applyAlignment="1">
      <alignment vertical="center"/>
    </xf>
    <xf numFmtId="0" fontId="27" fillId="0" borderId="0" xfId="0" applyFont="1" applyAlignment="1">
      <alignment vertical="center"/>
    </xf>
    <xf numFmtId="0" fontId="27" fillId="0" borderId="0" xfId="0" applyFont="1" applyAlignment="1">
      <alignment horizontal="center" vertical="center"/>
    </xf>
    <xf numFmtId="49" fontId="27" fillId="0" borderId="0" xfId="0" applyNumberFormat="1" applyFont="1" applyAlignment="1">
      <alignment horizontal="center" vertical="center"/>
    </xf>
    <xf numFmtId="49" fontId="27" fillId="0" borderId="0" xfId="0" applyNumberFormat="1" applyFont="1" applyAlignment="1">
      <alignment vertical="center" wrapText="1"/>
    </xf>
    <xf numFmtId="1" fontId="27" fillId="0" borderId="0" xfId="0" applyNumberFormat="1" applyFont="1" applyAlignment="1">
      <alignment horizontal="center" vertical="center"/>
    </xf>
    <xf numFmtId="49" fontId="34" fillId="0" borderId="7" xfId="0" applyNumberFormat="1" applyFont="1" applyBorder="1" applyAlignment="1">
      <alignment vertical="center"/>
    </xf>
    <xf numFmtId="1" fontId="27" fillId="0" borderId="7" xfId="0" applyNumberFormat="1" applyFont="1" applyBorder="1" applyAlignment="1">
      <alignment horizontal="center" vertical="center"/>
    </xf>
    <xf numFmtId="49" fontId="27" fillId="0" borderId="7" xfId="0" applyNumberFormat="1" applyFont="1" applyBorder="1" applyAlignment="1">
      <alignment vertical="center"/>
    </xf>
    <xf numFmtId="49" fontId="27" fillId="0" borderId="17" xfId="0" applyNumberFormat="1" applyFont="1" applyBorder="1" applyAlignment="1">
      <alignment vertical="center"/>
    </xf>
    <xf numFmtId="49" fontId="27" fillId="0" borderId="17" xfId="0" applyNumberFormat="1" applyFont="1" applyBorder="1" applyAlignment="1">
      <alignment horizontal="center" vertical="center"/>
    </xf>
    <xf numFmtId="0" fontId="27" fillId="0" borderId="17" xfId="0" applyFont="1" applyBorder="1" applyAlignment="1">
      <alignment horizontal="center" vertical="center"/>
    </xf>
    <xf numFmtId="164" fontId="27" fillId="0" borderId="0" xfId="0" applyNumberFormat="1" applyFont="1" applyAlignment="1">
      <alignment horizontal="left" vertical="center"/>
    </xf>
    <xf numFmtId="49" fontId="27" fillId="2" borderId="5" xfId="0" applyNumberFormat="1" applyFont="1" applyFill="1" applyBorder="1" applyAlignment="1">
      <alignment horizontal="center" vertical="center"/>
    </xf>
    <xf numFmtId="49" fontId="27" fillId="2" borderId="6" xfId="0" applyNumberFormat="1" applyFont="1" applyFill="1" applyBorder="1" applyAlignment="1">
      <alignment horizontal="center" vertical="center"/>
    </xf>
    <xf numFmtId="49" fontId="27" fillId="2" borderId="4" xfId="0" applyNumberFormat="1" applyFont="1" applyFill="1" applyBorder="1" applyAlignment="1">
      <alignment horizontal="center" vertical="center"/>
    </xf>
    <xf numFmtId="49" fontId="27" fillId="2" borderId="4" xfId="0" applyNumberFormat="1" applyFont="1" applyFill="1" applyBorder="1" applyAlignment="1">
      <alignment horizontal="center" vertical="center" wrapText="1"/>
    </xf>
    <xf numFmtId="0" fontId="27" fillId="0" borderId="0" xfId="0" applyFont="1" applyAlignment="1">
      <alignment horizontal="left" vertical="center"/>
    </xf>
    <xf numFmtId="49" fontId="27" fillId="2" borderId="0" xfId="0" applyNumberFormat="1" applyFont="1" applyFill="1" applyAlignment="1">
      <alignment horizontal="center" vertical="center"/>
    </xf>
    <xf numFmtId="49" fontId="27" fillId="2" borderId="1" xfId="0" applyNumberFormat="1" applyFont="1" applyFill="1" applyBorder="1" applyAlignment="1">
      <alignment horizontal="center" vertical="center"/>
    </xf>
    <xf numFmtId="49" fontId="27" fillId="2" borderId="19" xfId="0" applyNumberFormat="1" applyFont="1" applyFill="1" applyBorder="1" applyAlignment="1">
      <alignment horizontal="center" vertical="center"/>
    </xf>
    <xf numFmtId="49" fontId="27" fillId="0" borderId="22" xfId="0" applyNumberFormat="1" applyFont="1" applyBorder="1" applyAlignment="1">
      <alignment vertical="center"/>
    </xf>
    <xf numFmtId="49" fontId="27" fillId="0" borderId="22" xfId="0" applyNumberFormat="1" applyFont="1" applyBorder="1" applyAlignment="1">
      <alignment horizontal="right" vertical="center"/>
    </xf>
    <xf numFmtId="49" fontId="27" fillId="0" borderId="10" xfId="0" applyNumberFormat="1" applyFont="1" applyBorder="1" applyAlignment="1">
      <alignment vertical="center"/>
    </xf>
    <xf numFmtId="49" fontId="27" fillId="0" borderId="10" xfId="0" applyNumberFormat="1" applyFont="1" applyBorder="1" applyAlignment="1">
      <alignment horizontal="right" vertical="center"/>
    </xf>
    <xf numFmtId="164" fontId="27" fillId="0" borderId="8" xfId="0" applyNumberFormat="1" applyFont="1" applyBorder="1" applyAlignment="1">
      <alignment vertical="center"/>
    </xf>
    <xf numFmtId="164" fontId="27" fillId="0" borderId="8" xfId="0" applyNumberFormat="1" applyFont="1" applyBorder="1" applyAlignment="1">
      <alignment horizontal="center" vertical="center"/>
    </xf>
    <xf numFmtId="49" fontId="27" fillId="2" borderId="5" xfId="0" applyNumberFormat="1" applyFont="1" applyFill="1" applyBorder="1" applyAlignment="1">
      <alignment horizontal="center" vertical="center" wrapText="1"/>
    </xf>
    <xf numFmtId="49" fontId="34" fillId="0" borderId="7" xfId="0" applyNumberFormat="1" applyFont="1" applyBorder="1" applyAlignment="1">
      <alignment horizontal="center" vertical="center"/>
    </xf>
    <xf numFmtId="164" fontId="27" fillId="0" borderId="0" xfId="0" applyNumberFormat="1" applyFont="1" applyAlignment="1">
      <alignment horizontal="center" vertical="center"/>
    </xf>
    <xf numFmtId="49" fontId="27" fillId="2" borderId="20" xfId="0" applyNumberFormat="1" applyFont="1" applyFill="1" applyBorder="1" applyAlignment="1">
      <alignment vertical="center"/>
    </xf>
    <xf numFmtId="49" fontId="27" fillId="0" borderId="22" xfId="0" applyNumberFormat="1" applyFont="1" applyBorder="1" applyAlignment="1">
      <alignment horizontal="left" vertical="center"/>
    </xf>
    <xf numFmtId="167" fontId="27" fillId="0" borderId="10" xfId="0" applyNumberFormat="1" applyFont="1" applyBorder="1" applyAlignment="1">
      <alignment horizontal="left" vertical="center"/>
    </xf>
    <xf numFmtId="167" fontId="27" fillId="0" borderId="23" xfId="0" applyNumberFormat="1" applyFont="1" applyBorder="1" applyAlignment="1">
      <alignment horizontal="left" vertical="center"/>
    </xf>
    <xf numFmtId="167" fontId="27" fillId="0" borderId="11" xfId="0" applyNumberFormat="1" applyFont="1" applyBorder="1" applyAlignment="1">
      <alignment horizontal="left" vertical="center"/>
    </xf>
    <xf numFmtId="0" fontId="27" fillId="2" borderId="5" xfId="0" applyFont="1" applyFill="1" applyBorder="1" applyAlignment="1">
      <alignment horizontal="left" vertical="center"/>
    </xf>
    <xf numFmtId="49" fontId="27" fillId="6" borderId="4" xfId="0" applyNumberFormat="1" applyFont="1" applyFill="1" applyBorder="1" applyAlignment="1">
      <alignment horizontal="center" vertical="center"/>
    </xf>
    <xf numFmtId="49" fontId="34" fillId="0" borderId="7" xfId="0" applyNumberFormat="1" applyFont="1" applyBorder="1" applyAlignment="1">
      <alignment horizontal="left" vertical="center"/>
    </xf>
    <xf numFmtId="0" fontId="2" fillId="0" borderId="0" xfId="0" applyFont="1" applyAlignment="1">
      <alignment horizontal="center" vertical="center"/>
    </xf>
    <xf numFmtId="0" fontId="2" fillId="0" borderId="14" xfId="0" applyFont="1" applyBorder="1" applyAlignment="1">
      <alignment horizontal="center" vertical="center"/>
    </xf>
    <xf numFmtId="0" fontId="2" fillId="0" borderId="14" xfId="0" applyFont="1" applyBorder="1" applyAlignment="1">
      <alignment vertical="center"/>
    </xf>
    <xf numFmtId="0" fontId="2" fillId="2" borderId="11" xfId="0" applyFont="1" applyFill="1" applyBorder="1" applyAlignment="1">
      <alignment horizontal="center" vertical="center"/>
    </xf>
    <xf numFmtId="0" fontId="2" fillId="2" borderId="13" xfId="0" applyFont="1" applyFill="1" applyBorder="1" applyAlignment="1">
      <alignment horizontal="center" vertical="center"/>
    </xf>
    <xf numFmtId="0" fontId="2" fillId="0" borderId="16" xfId="0" applyFont="1" applyBorder="1" applyAlignment="1">
      <alignment vertical="center"/>
    </xf>
    <xf numFmtId="0" fontId="2" fillId="0" borderId="12" xfId="0" applyFont="1" applyBorder="1" applyAlignment="1">
      <alignment vertical="center"/>
    </xf>
    <xf numFmtId="0" fontId="2" fillId="0" borderId="26" xfId="0" applyFont="1" applyBorder="1" applyAlignment="1">
      <alignment vertical="center"/>
    </xf>
    <xf numFmtId="49" fontId="27" fillId="0" borderId="26" xfId="0" applyNumberFormat="1" applyFont="1" applyBorder="1" applyAlignment="1">
      <alignment horizontal="left" vertical="center"/>
    </xf>
    <xf numFmtId="0" fontId="27" fillId="0" borderId="26" xfId="0" applyFont="1" applyBorder="1" applyAlignment="1">
      <alignment horizontal="left" vertical="center"/>
    </xf>
    <xf numFmtId="49" fontId="27" fillId="0" borderId="16" xfId="0" applyNumberFormat="1" applyFont="1" applyBorder="1" applyAlignment="1">
      <alignment horizontal="left" vertical="center"/>
    </xf>
    <xf numFmtId="0" fontId="27" fillId="0" borderId="16" xfId="0" applyFont="1" applyBorder="1" applyAlignment="1">
      <alignment horizontal="left" vertical="center"/>
    </xf>
    <xf numFmtId="49" fontId="27" fillId="0" borderId="12" xfId="0" applyNumberFormat="1" applyFont="1" applyBorder="1" applyAlignment="1">
      <alignment horizontal="left" vertical="center"/>
    </xf>
    <xf numFmtId="0" fontId="27" fillId="0" borderId="12" xfId="0" applyFont="1" applyBorder="1" applyAlignment="1">
      <alignment horizontal="left" vertical="center"/>
    </xf>
    <xf numFmtId="49" fontId="27" fillId="0" borderId="24" xfId="0" applyNumberFormat="1" applyFont="1" applyBorder="1" applyAlignment="1">
      <alignment horizontal="left" vertical="center"/>
    </xf>
    <xf numFmtId="49" fontId="27" fillId="0" borderId="21" xfId="0" applyNumberFormat="1" applyFont="1" applyBorder="1" applyAlignment="1">
      <alignment horizontal="left" vertical="center"/>
    </xf>
    <xf numFmtId="49" fontId="27" fillId="0" borderId="13" xfId="0" applyNumberFormat="1" applyFont="1" applyBorder="1" applyAlignment="1">
      <alignment horizontal="left" vertical="center"/>
    </xf>
    <xf numFmtId="0" fontId="37" fillId="0" borderId="16" xfId="2" applyFont="1" applyBorder="1" applyAlignment="1">
      <alignment horizontal="center" vertical="center" wrapText="1"/>
    </xf>
    <xf numFmtId="1" fontId="27" fillId="8" borderId="5" xfId="0" applyNumberFormat="1" applyFont="1" applyFill="1" applyBorder="1" applyAlignment="1">
      <alignment horizontal="center" vertical="center"/>
    </xf>
    <xf numFmtId="49" fontId="27" fillId="8" borderId="5" xfId="0" applyNumberFormat="1" applyFont="1" applyFill="1" applyBorder="1" applyAlignment="1">
      <alignment horizontal="center" vertical="center"/>
    </xf>
    <xf numFmtId="49" fontId="26" fillId="2" borderId="0" xfId="0" applyNumberFormat="1" applyFont="1" applyFill="1" applyAlignment="1">
      <alignment horizontal="left" vertical="center"/>
    </xf>
    <xf numFmtId="1" fontId="26" fillId="8" borderId="5" xfId="0" applyNumberFormat="1" applyFont="1" applyFill="1" applyBorder="1" applyAlignment="1">
      <alignment horizontal="left" vertical="center"/>
    </xf>
    <xf numFmtId="49" fontId="26" fillId="8" borderId="0" xfId="0" applyNumberFormat="1" applyFont="1" applyFill="1" applyAlignment="1">
      <alignment horizontal="left" vertical="center"/>
    </xf>
    <xf numFmtId="0" fontId="27" fillId="2" borderId="6" xfId="0" applyFont="1" applyFill="1" applyBorder="1" applyAlignment="1">
      <alignment horizontal="left" vertical="center"/>
    </xf>
    <xf numFmtId="0" fontId="0" fillId="0" borderId="0" xfId="0" applyAlignment="1">
      <alignment horizontal="center" vertical="center"/>
    </xf>
    <xf numFmtId="49" fontId="26" fillId="8" borderId="5" xfId="0" applyNumberFormat="1" applyFont="1" applyFill="1" applyBorder="1" applyAlignment="1">
      <alignment horizontal="left" vertical="center"/>
    </xf>
    <xf numFmtId="0" fontId="33" fillId="9" borderId="0" xfId="0" applyFont="1" applyFill="1" applyAlignment="1">
      <alignment horizontal="center" vertical="center"/>
    </xf>
    <xf numFmtId="49" fontId="27" fillId="8" borderId="19" xfId="0" applyNumberFormat="1" applyFont="1" applyFill="1" applyBorder="1" applyAlignment="1">
      <alignment horizontal="center" vertical="center"/>
    </xf>
    <xf numFmtId="49" fontId="27" fillId="8" borderId="4" xfId="0" applyNumberFormat="1" applyFont="1" applyFill="1" applyBorder="1" applyAlignment="1">
      <alignment horizontal="center" vertical="center"/>
    </xf>
    <xf numFmtId="49" fontId="26" fillId="8" borderId="6" xfId="0" applyNumberFormat="1" applyFont="1" applyFill="1" applyBorder="1" applyAlignment="1">
      <alignment horizontal="left" vertical="center"/>
    </xf>
    <xf numFmtId="0" fontId="38" fillId="0" borderId="0" xfId="0" applyFont="1" applyAlignment="1">
      <alignment vertical="center"/>
    </xf>
    <xf numFmtId="0" fontId="39" fillId="0" borderId="0" xfId="4" applyAlignment="1">
      <alignment vertical="center"/>
    </xf>
    <xf numFmtId="0" fontId="0" fillId="2" borderId="0" xfId="0" applyFill="1" applyAlignment="1">
      <alignment horizontal="center" vertical="center"/>
    </xf>
    <xf numFmtId="0" fontId="38"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vertical="center"/>
    </xf>
    <xf numFmtId="0" fontId="38" fillId="0" borderId="0" xfId="0" applyFont="1" applyAlignment="1">
      <alignment horizontal="left" vertical="center"/>
    </xf>
    <xf numFmtId="0" fontId="0" fillId="0" borderId="0" xfId="0" applyAlignment="1">
      <alignment horizontal="left" vertical="center" indent="1"/>
    </xf>
    <xf numFmtId="0" fontId="32" fillId="0" borderId="0" xfId="0" applyFont="1" applyAlignment="1">
      <alignment vertical="center"/>
    </xf>
    <xf numFmtId="0" fontId="32" fillId="0" borderId="0" xfId="0" applyFont="1" applyAlignment="1">
      <alignment horizontal="left" vertical="center"/>
    </xf>
    <xf numFmtId="0" fontId="32" fillId="0" borderId="0" xfId="0" applyFont="1" applyAlignment="1">
      <alignment horizontal="center" vertical="center"/>
    </xf>
    <xf numFmtId="9" fontId="32" fillId="0" borderId="0" xfId="0" applyNumberFormat="1" applyFont="1" applyAlignment="1">
      <alignment horizontal="center" vertical="center"/>
    </xf>
    <xf numFmtId="0" fontId="32" fillId="0" borderId="0" xfId="0" quotePrefix="1" applyFont="1" applyAlignment="1">
      <alignment vertical="center"/>
    </xf>
    <xf numFmtId="0" fontId="0" fillId="0" borderId="0" xfId="0" quotePrefix="1" applyAlignment="1">
      <alignment vertical="center"/>
    </xf>
    <xf numFmtId="0" fontId="32" fillId="7" borderId="0" xfId="0" applyFont="1" applyFill="1" applyAlignment="1">
      <alignment vertical="center"/>
    </xf>
    <xf numFmtId="49" fontId="32" fillId="0" borderId="0" xfId="0" applyNumberFormat="1" applyFont="1" applyAlignment="1">
      <alignment vertical="center"/>
    </xf>
    <xf numFmtId="49" fontId="32" fillId="0" borderId="0" xfId="0" applyNumberFormat="1" applyFont="1" applyAlignment="1">
      <alignment horizontal="center" vertical="center"/>
    </xf>
    <xf numFmtId="1" fontId="32" fillId="0" borderId="0" xfId="0" applyNumberFormat="1" applyFont="1" applyAlignment="1">
      <alignment horizontal="center" vertical="center"/>
    </xf>
    <xf numFmtId="0" fontId="32" fillId="0" borderId="0" xfId="0" quotePrefix="1" applyFont="1" applyAlignment="1">
      <alignment horizontal="center" vertical="center"/>
    </xf>
    <xf numFmtId="0" fontId="1" fillId="0" borderId="0" xfId="0" applyFont="1" applyAlignment="1">
      <alignment vertical="center"/>
    </xf>
    <xf numFmtId="0" fontId="40" fillId="0" borderId="14" xfId="2" applyFont="1" applyBorder="1" applyAlignment="1">
      <alignment horizontal="left" vertical="center"/>
    </xf>
    <xf numFmtId="0" fontId="40" fillId="0" borderId="14" xfId="2" applyFont="1" applyBorder="1" applyAlignment="1">
      <alignment horizontal="left" vertical="center" wrapText="1"/>
    </xf>
    <xf numFmtId="0" fontId="40" fillId="0" borderId="14" xfId="2" applyFont="1" applyBorder="1" applyAlignment="1">
      <alignment horizontal="center" vertical="center"/>
    </xf>
    <xf numFmtId="0" fontId="24" fillId="0" borderId="16" xfId="2" applyFont="1" applyBorder="1" applyAlignment="1">
      <alignment horizontal="left" vertical="center"/>
    </xf>
    <xf numFmtId="0" fontId="24" fillId="0" borderId="16" xfId="2" applyFont="1" applyBorder="1" applyAlignment="1">
      <alignment horizontal="left" vertical="center" wrapText="1"/>
    </xf>
    <xf numFmtId="0" fontId="24" fillId="0" borderId="16" xfId="2" applyFont="1" applyBorder="1" applyAlignment="1">
      <alignment horizontal="center" vertical="center"/>
    </xf>
    <xf numFmtId="0" fontId="40" fillId="0" borderId="14" xfId="2" applyFont="1" applyBorder="1" applyAlignment="1">
      <alignment horizontal="center" vertical="center" wrapText="1"/>
    </xf>
    <xf numFmtId="0" fontId="24" fillId="0" borderId="16" xfId="2" applyFont="1" applyBorder="1" applyAlignment="1">
      <alignment horizontal="center" vertical="center" wrapText="1"/>
    </xf>
    <xf numFmtId="0" fontId="37" fillId="0" borderId="16" xfId="2" applyFont="1" applyBorder="1" applyAlignment="1">
      <alignment horizontal="center" vertical="center"/>
    </xf>
    <xf numFmtId="0" fontId="23" fillId="0" borderId="16" xfId="2" applyFont="1" applyBorder="1" applyAlignment="1">
      <alignment horizontal="center" vertical="center"/>
    </xf>
    <xf numFmtId="0" fontId="37" fillId="0" borderId="16" xfId="2" applyFont="1" applyBorder="1" applyAlignment="1">
      <alignment horizontal="left" vertical="center" wrapText="1"/>
    </xf>
    <xf numFmtId="0" fontId="24" fillId="0" borderId="16" xfId="0" applyFont="1" applyBorder="1"/>
    <xf numFmtId="49" fontId="27" fillId="2" borderId="2" xfId="0" applyNumberFormat="1" applyFont="1" applyFill="1" applyBorder="1" applyAlignment="1">
      <alignment vertical="center"/>
    </xf>
    <xf numFmtId="49" fontId="27" fillId="2" borderId="18" xfId="0" applyNumberFormat="1" applyFont="1" applyFill="1" applyBorder="1" applyAlignment="1">
      <alignment vertical="center"/>
    </xf>
    <xf numFmtId="49" fontId="27" fillId="2" borderId="3" xfId="0" applyNumberFormat="1" applyFont="1" applyFill="1" applyBorder="1" applyAlignment="1">
      <alignment vertical="center"/>
    </xf>
    <xf numFmtId="0" fontId="0" fillId="0" borderId="0" xfId="0" applyNumberFormat="1"/>
    <xf numFmtId="49" fontId="35" fillId="0" borderId="21" xfId="0" applyNumberFormat="1" applyFont="1" applyBorder="1" applyAlignment="1">
      <alignment vertical="center"/>
    </xf>
    <xf numFmtId="49" fontId="35" fillId="0" borderId="13" xfId="0" applyNumberFormat="1" applyFont="1" applyBorder="1" applyAlignment="1">
      <alignment vertical="center"/>
    </xf>
    <xf numFmtId="0" fontId="11" fillId="3" borderId="0" xfId="2" applyFont="1" applyFill="1" applyAlignment="1">
      <alignment horizontal="center" vertical="center"/>
    </xf>
    <xf numFmtId="0" fontId="11" fillId="3" borderId="10" xfId="2" applyFont="1" applyFill="1" applyBorder="1" applyAlignment="1">
      <alignment horizontal="center" vertical="center"/>
    </xf>
    <xf numFmtId="164" fontId="27" fillId="0" borderId="8" xfId="0" applyNumberFormat="1" applyFont="1" applyBorder="1" applyAlignment="1">
      <alignment horizontal="left" vertical="center"/>
    </xf>
    <xf numFmtId="49" fontId="27" fillId="2" borderId="6" xfId="0" applyNumberFormat="1" applyFont="1" applyFill="1" applyBorder="1" applyAlignment="1">
      <alignment horizontal="center" vertical="center"/>
    </xf>
    <xf numFmtId="49" fontId="27" fillId="2" borderId="0" xfId="0" applyNumberFormat="1" applyFont="1" applyFill="1" applyAlignment="1">
      <alignment horizontal="center" vertical="center"/>
    </xf>
    <xf numFmtId="49" fontId="27" fillId="8" borderId="2" xfId="0" applyNumberFormat="1" applyFont="1" applyFill="1" applyBorder="1" applyAlignment="1">
      <alignment horizontal="center" vertical="center"/>
    </xf>
    <xf numFmtId="49" fontId="27" fillId="8" borderId="18" xfId="0" applyNumberFormat="1" applyFont="1" applyFill="1" applyBorder="1" applyAlignment="1">
      <alignment horizontal="center" vertical="center"/>
    </xf>
    <xf numFmtId="49" fontId="27" fillId="2" borderId="2" xfId="0" applyNumberFormat="1" applyFont="1" applyFill="1" applyBorder="1" applyAlignment="1">
      <alignment horizontal="center" vertical="center"/>
    </xf>
    <xf numFmtId="49" fontId="27" fillId="2" borderId="3" xfId="0" applyNumberFormat="1" applyFont="1" applyFill="1" applyBorder="1" applyAlignment="1">
      <alignment horizontal="center" vertical="center"/>
    </xf>
    <xf numFmtId="49" fontId="27" fillId="2" borderId="27" xfId="0" applyNumberFormat="1" applyFont="1" applyFill="1" applyBorder="1" applyAlignment="1">
      <alignment horizontal="center" vertical="center"/>
    </xf>
    <xf numFmtId="49" fontId="27" fillId="2" borderId="29" xfId="0" applyNumberFormat="1" applyFont="1" applyFill="1" applyBorder="1" applyAlignment="1">
      <alignment horizontal="center" vertical="center"/>
    </xf>
    <xf numFmtId="49" fontId="27" fillId="2" borderId="28" xfId="0" applyNumberFormat="1" applyFont="1" applyFill="1" applyBorder="1" applyAlignment="1">
      <alignment horizontal="center" vertical="center"/>
    </xf>
    <xf numFmtId="0" fontId="27" fillId="2" borderId="6" xfId="0" applyFont="1" applyFill="1" applyBorder="1" applyAlignment="1">
      <alignment horizontal="center" vertical="center"/>
    </xf>
    <xf numFmtId="0" fontId="27" fillId="2" borderId="0" xfId="0" applyFont="1" applyFill="1" applyAlignment="1">
      <alignment horizontal="center" vertical="center"/>
    </xf>
    <xf numFmtId="0" fontId="27" fillId="2" borderId="1" xfId="0" applyFont="1" applyFill="1" applyBorder="1" applyAlignment="1">
      <alignment horizontal="center" vertical="center"/>
    </xf>
    <xf numFmtId="49" fontId="27" fillId="2" borderId="18" xfId="0" applyNumberFormat="1" applyFont="1" applyFill="1" applyBorder="1" applyAlignment="1">
      <alignment horizontal="center" vertical="center"/>
    </xf>
    <xf numFmtId="49" fontId="27" fillId="0" borderId="16" xfId="0" applyNumberFormat="1" applyFont="1" applyBorder="1" applyAlignment="1">
      <alignment horizontal="center" vertical="center"/>
    </xf>
    <xf numFmtId="49" fontId="27" fillId="0" borderId="26" xfId="0" applyNumberFormat="1" applyFont="1" applyBorder="1" applyAlignment="1">
      <alignment horizontal="center" vertical="center"/>
    </xf>
    <xf numFmtId="49" fontId="27" fillId="0" borderId="12" xfId="0" applyNumberFormat="1" applyFont="1" applyBorder="1" applyAlignment="1">
      <alignment horizontal="center" vertical="center"/>
    </xf>
    <xf numFmtId="49" fontId="27" fillId="0" borderId="24" xfId="0" applyNumberFormat="1" applyFont="1" applyBorder="1" applyAlignment="1">
      <alignment horizontal="left" vertical="center"/>
    </xf>
    <xf numFmtId="49" fontId="27" fillId="0" borderId="0" xfId="0" applyNumberFormat="1" applyFont="1" applyAlignment="1">
      <alignment horizontal="left" vertical="center"/>
    </xf>
    <xf numFmtId="49" fontId="27" fillId="0" borderId="25" xfId="0" applyNumberFormat="1" applyFont="1" applyBorder="1" applyAlignment="1">
      <alignment horizontal="left" vertical="center"/>
    </xf>
    <xf numFmtId="49" fontId="27" fillId="0" borderId="24" xfId="0" applyNumberFormat="1" applyFont="1" applyBorder="1" applyAlignment="1">
      <alignment horizontal="left" vertical="center" wrapText="1"/>
    </xf>
    <xf numFmtId="0" fontId="27" fillId="0" borderId="14" xfId="0" applyFont="1" applyBorder="1" applyAlignment="1">
      <alignment horizontal="center" vertical="center"/>
    </xf>
    <xf numFmtId="49" fontId="27" fillId="0" borderId="14" xfId="0" applyNumberFormat="1" applyFont="1" applyBorder="1" applyAlignment="1">
      <alignment horizontal="left" vertical="center"/>
    </xf>
    <xf numFmtId="49" fontId="27" fillId="0" borderId="14" xfId="0" applyNumberFormat="1" applyFont="1" applyBorder="1" applyAlignment="1">
      <alignment horizontal="center" vertical="center"/>
    </xf>
    <xf numFmtId="1" fontId="27" fillId="0" borderId="14" xfId="0" applyNumberFormat="1" applyFont="1" applyBorder="1" applyAlignment="1">
      <alignment horizontal="left" vertical="center"/>
    </xf>
    <xf numFmtId="49" fontId="27" fillId="0" borderId="21" xfId="0" applyNumberFormat="1" applyFont="1" applyBorder="1" applyAlignment="1">
      <alignment horizontal="left" vertical="center"/>
    </xf>
    <xf numFmtId="49" fontId="27" fillId="0" borderId="22" xfId="0" applyNumberFormat="1" applyFont="1" applyBorder="1" applyAlignment="1">
      <alignment horizontal="left" vertical="center"/>
    </xf>
    <xf numFmtId="49" fontId="27" fillId="0" borderId="23" xfId="0" applyNumberFormat="1" applyFont="1" applyBorder="1" applyAlignment="1">
      <alignment horizontal="left" vertical="center"/>
    </xf>
    <xf numFmtId="49" fontId="27" fillId="0" borderId="26" xfId="0" applyNumberFormat="1" applyFont="1" applyBorder="1" applyAlignment="1">
      <alignment horizontal="left" vertical="center"/>
    </xf>
    <xf numFmtId="49" fontId="27" fillId="0" borderId="12" xfId="0" applyNumberFormat="1" applyFont="1" applyBorder="1" applyAlignment="1">
      <alignment horizontal="left" vertical="center"/>
    </xf>
    <xf numFmtId="49" fontId="27" fillId="0" borderId="13" xfId="0" applyNumberFormat="1" applyFont="1" applyBorder="1" applyAlignment="1">
      <alignment horizontal="left" vertical="center"/>
    </xf>
    <xf numFmtId="49" fontId="27" fillId="0" borderId="10" xfId="0" applyNumberFormat="1" applyFont="1" applyBorder="1" applyAlignment="1">
      <alignment horizontal="left" vertical="center"/>
    </xf>
    <xf numFmtId="49" fontId="27" fillId="0" borderId="11" xfId="0" applyNumberFormat="1" applyFont="1" applyBorder="1" applyAlignment="1">
      <alignment horizontal="left" vertical="center"/>
    </xf>
    <xf numFmtId="0" fontId="2" fillId="2" borderId="12" xfId="0" applyFont="1" applyFill="1" applyBorder="1" applyAlignment="1">
      <alignment horizontal="center" vertical="center"/>
    </xf>
    <xf numFmtId="0" fontId="36" fillId="0" borderId="0" xfId="0" applyFont="1" applyAlignment="1">
      <alignment horizontal="left" vertical="center"/>
    </xf>
    <xf numFmtId="14" fontId="0" fillId="0" borderId="0" xfId="0" applyNumberFormat="1" applyAlignment="1">
      <alignment horizontal="center" vertical="center"/>
    </xf>
  </cellXfs>
  <cellStyles count="5">
    <cellStyle name="EINGABEFELD" xfId="3" xr:uid="{00000000-0005-0000-0000-000000000000}"/>
    <cellStyle name="Link" xfId="4" builtinId="8"/>
    <cellStyle name="Prozent" xfId="1" builtinId="5"/>
    <cellStyle name="Standard" xfId="0" builtinId="0"/>
    <cellStyle name="Standard 2" xfId="2" xr:uid="{00000000-0005-0000-0000-000004000000}"/>
  </cellStyles>
  <dxfs count="17">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left" vertical="center" textRotation="0" indent="0" justifyLastLine="0" shrinkToFit="0" readingOrder="0"/>
    </dxf>
    <dxf>
      <border>
        <bottom style="thin">
          <color indexed="64"/>
        </bottom>
      </border>
    </dxf>
    <dxf>
      <font>
        <b/>
        <strike val="0"/>
        <outline val="0"/>
        <shadow val="0"/>
        <u val="none"/>
        <vertAlign val="baseline"/>
        <sz val="11"/>
        <color theme="1"/>
        <name val="Arial"/>
        <scheme val="none"/>
      </font>
      <fill>
        <patternFill patternType="solid">
          <fgColor indexed="64"/>
          <bgColor rgb="FF455561"/>
        </patternFill>
      </fill>
      <alignment horizontal="center"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CCFF"/>
      <color rgb="FFCC99FF"/>
      <color rgb="FFFFFF99"/>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jpe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xdr:col>
      <xdr:colOff>6195809</xdr:colOff>
      <xdr:row>0</xdr:row>
      <xdr:rowOff>151108</xdr:rowOff>
    </xdr:from>
    <xdr:to>
      <xdr:col>1</xdr:col>
      <xdr:colOff>7966834</xdr:colOff>
      <xdr:row>0</xdr:row>
      <xdr:rowOff>619276</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89113" y="151108"/>
          <a:ext cx="1771025" cy="468168"/>
        </a:xfrm>
        <a:prstGeom prst="rect">
          <a:avLst/>
        </a:prstGeom>
      </xdr:spPr>
    </xdr:pic>
    <xdr:clientData/>
  </xdr:twoCellAnchor>
  <xdr:twoCellAnchor editAs="oneCell">
    <xdr:from>
      <xdr:col>1</xdr:col>
      <xdr:colOff>4437238</xdr:colOff>
      <xdr:row>0</xdr:row>
      <xdr:rowOff>191060</xdr:rowOff>
    </xdr:from>
    <xdr:to>
      <xdr:col>1</xdr:col>
      <xdr:colOff>5949823</xdr:colOff>
      <xdr:row>0</xdr:row>
      <xdr:rowOff>587839</xdr:rowOff>
    </xdr:to>
    <xdr:pic>
      <xdr:nvPicPr>
        <xdr:cNvPr id="3" name="Grafik 2" descr="Ein Bild, das Text, Schild, Geschirr, ClipArt enthält.&#10;&#10;Automatisch generierte Beschreibu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30542" y="191060"/>
          <a:ext cx="1512585" cy="396779"/>
        </a:xfrm>
        <a:prstGeom prst="rect">
          <a:avLst/>
        </a:prstGeom>
      </xdr:spPr>
    </xdr:pic>
    <xdr:clientData/>
  </xdr:twoCellAnchor>
  <xdr:twoCellAnchor editAs="oneCell">
    <xdr:from>
      <xdr:col>1</xdr:col>
      <xdr:colOff>8068210</xdr:colOff>
      <xdr:row>0</xdr:row>
      <xdr:rowOff>94250</xdr:rowOff>
    </xdr:from>
    <xdr:to>
      <xdr:col>2</xdr:col>
      <xdr:colOff>1522646</xdr:colOff>
      <xdr:row>1</xdr:row>
      <xdr:rowOff>8384</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9161514" y="94250"/>
          <a:ext cx="2051784" cy="6678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338665</xdr:colOff>
      <xdr:row>0</xdr:row>
      <xdr:rowOff>116416</xdr:rowOff>
    </xdr:from>
    <xdr:to>
      <xdr:col>9</xdr:col>
      <xdr:colOff>428478</xdr:colOff>
      <xdr:row>3</xdr:row>
      <xdr:rowOff>148167</xdr:rowOff>
    </xdr:to>
    <xdr:pic>
      <xdr:nvPicPr>
        <xdr:cNvPr id="7" name="Grafik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01" t="25432" r="14369" b="20624"/>
        <a:stretch/>
      </xdr:blipFill>
      <xdr:spPr>
        <a:xfrm>
          <a:off x="11345332" y="116416"/>
          <a:ext cx="3000229" cy="867834"/>
        </a:xfrm>
        <a:prstGeom prst="rect">
          <a:avLst/>
        </a:prstGeom>
      </xdr:spPr>
    </xdr:pic>
    <xdr:clientData/>
  </xdr:twoCellAnchor>
  <xdr:oneCellAnchor>
    <xdr:from>
      <xdr:col>3</xdr:col>
      <xdr:colOff>2554816</xdr:colOff>
      <xdr:row>2</xdr:row>
      <xdr:rowOff>74083</xdr:rowOff>
    </xdr:from>
    <xdr:ext cx="4356100" cy="748241"/>
    <xdr:sp macro="" textlink="">
      <xdr:nvSpPr>
        <xdr:cNvPr id="3" name="Textfeld 2">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SpPr txBox="1"/>
      </xdr:nvSpPr>
      <xdr:spPr>
        <a:xfrm>
          <a:off x="7042149" y="709083"/>
          <a:ext cx="4356100" cy="74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de-DE" sz="4000" b="1" cap="none" spc="0">
              <a:ln/>
              <a:solidFill>
                <a:srgbClr val="D71946"/>
              </a:solidFill>
              <a:effectLst>
                <a:outerShdw blurRad="38100" dist="19050" dir="2700000" algn="tl" rotWithShape="0">
                  <a:schemeClr val="dk1">
                    <a:lumMod val="50000"/>
                    <a:alpha val="40000"/>
                  </a:schemeClr>
                </a:outerShdw>
              </a:effectLst>
            </a:rPr>
            <a:t>CONFIDENTIAL</a:t>
          </a:r>
        </a:p>
      </xdr:txBody>
    </xdr:sp>
    <xdr:clientData/>
  </xdr:oneCellAnchor>
  <xdr:twoCellAnchor editAs="oneCell">
    <xdr:from>
      <xdr:col>9</xdr:col>
      <xdr:colOff>533516</xdr:colOff>
      <xdr:row>0</xdr:row>
      <xdr:rowOff>211666</xdr:rowOff>
    </xdr:from>
    <xdr:to>
      <xdr:col>10</xdr:col>
      <xdr:colOff>1269999</xdr:colOff>
      <xdr:row>2</xdr:row>
      <xdr:rowOff>190903</xdr:rowOff>
    </xdr:to>
    <xdr:pic>
      <xdr:nvPicPr>
        <xdr:cNvPr id="4" name="Grafik 3">
          <a:extLst>
            <a:ext uri="{FF2B5EF4-FFF2-40B4-BE49-F238E27FC236}">
              <a16:creationId xmlns:a16="http://schemas.microsoft.com/office/drawing/2014/main" id="{5B8F8C46-A54F-498B-B221-CA3A7268892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450599" y="211666"/>
          <a:ext cx="2080567" cy="582487"/>
        </a:xfrm>
        <a:prstGeom prst="rect">
          <a:avLst/>
        </a:prstGeom>
      </xdr:spPr>
    </xdr:pic>
    <xdr:clientData/>
  </xdr:twoCellAnchor>
  <xdr:oneCellAnchor>
    <xdr:from>
      <xdr:col>10</xdr:col>
      <xdr:colOff>1363134</xdr:colOff>
      <xdr:row>0</xdr:row>
      <xdr:rowOff>74083</xdr:rowOff>
    </xdr:from>
    <xdr:ext cx="2768288" cy="910385"/>
    <xdr:pic>
      <xdr:nvPicPr>
        <xdr:cNvPr id="9" name="Grafik 3">
          <a:extLst>
            <a:ext uri="{FF2B5EF4-FFF2-40B4-BE49-F238E27FC236}">
              <a16:creationId xmlns:a16="http://schemas.microsoft.com/office/drawing/2014/main" id="{8BE94D9C-55E9-47D8-8B4C-F6F9FBEC1868}"/>
            </a:ext>
          </a:extLst>
        </xdr:cNvPr>
        <xdr:cNvPicPr>
          <a:picLocks noChangeAspect="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6624301" y="74083"/>
          <a:ext cx="2768288" cy="91038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22</xdr:col>
      <xdr:colOff>121743</xdr:colOff>
      <xdr:row>0</xdr:row>
      <xdr:rowOff>165154</xdr:rowOff>
    </xdr:from>
    <xdr:to>
      <xdr:col>24</xdr:col>
      <xdr:colOff>150040</xdr:colOff>
      <xdr:row>0</xdr:row>
      <xdr:rowOff>642239</xdr:rowOff>
    </xdr:to>
    <xdr:pic>
      <xdr:nvPicPr>
        <xdr:cNvPr id="2" name="Grafik 1">
          <a:extLst>
            <a:ext uri="{FF2B5EF4-FFF2-40B4-BE49-F238E27FC236}">
              <a16:creationId xmlns:a16="http://schemas.microsoft.com/office/drawing/2014/main" id="{48E1C126-79DD-43A5-AAA2-98F95F5AA0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356314" y="165154"/>
          <a:ext cx="1797226" cy="477085"/>
        </a:xfrm>
        <a:prstGeom prst="rect">
          <a:avLst/>
        </a:prstGeom>
      </xdr:spPr>
    </xdr:pic>
    <xdr:clientData/>
  </xdr:twoCellAnchor>
  <xdr:twoCellAnchor editAs="oneCell">
    <xdr:from>
      <xdr:col>20</xdr:col>
      <xdr:colOff>193747</xdr:colOff>
      <xdr:row>0</xdr:row>
      <xdr:rowOff>190980</xdr:rowOff>
    </xdr:from>
    <xdr:to>
      <xdr:col>21</xdr:col>
      <xdr:colOff>783967</xdr:colOff>
      <xdr:row>0</xdr:row>
      <xdr:rowOff>625680</xdr:rowOff>
    </xdr:to>
    <xdr:pic>
      <xdr:nvPicPr>
        <xdr:cNvPr id="3" name="Grafik 2" descr="Ein Bild, das Text, Schild, Geschirr, ClipArt enthält.&#10;&#10;Automatisch generierte Beschreibung">
          <a:extLst>
            <a:ext uri="{FF2B5EF4-FFF2-40B4-BE49-F238E27FC236}">
              <a16:creationId xmlns:a16="http://schemas.microsoft.com/office/drawing/2014/main" id="{9822C4D0-ADE8-4593-889F-A15CB1550BFD}"/>
            </a:ext>
            <a:ext uri="{147F2762-F138-4A5C-976F-8EAC2B608ADB}">
              <a16:predDERef xmlns:a16="http://schemas.microsoft.com/office/drawing/2014/main" pred="{48E1C126-79DD-43A5-AAA2-98F95F5AA0A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59390" y="190980"/>
          <a:ext cx="1474684" cy="434700"/>
        </a:xfrm>
        <a:prstGeom prst="rect">
          <a:avLst/>
        </a:prstGeom>
      </xdr:spPr>
    </xdr:pic>
    <xdr:clientData/>
  </xdr:twoCellAnchor>
  <xdr:oneCellAnchor>
    <xdr:from>
      <xdr:col>24</xdr:col>
      <xdr:colOff>183455</xdr:colOff>
      <xdr:row>0</xdr:row>
      <xdr:rowOff>54428</xdr:rowOff>
    </xdr:from>
    <xdr:ext cx="2401417" cy="789735"/>
    <xdr:pic>
      <xdr:nvPicPr>
        <xdr:cNvPr id="4" name="Grafik 3">
          <a:extLst>
            <a:ext uri="{FF2B5EF4-FFF2-40B4-BE49-F238E27FC236}">
              <a16:creationId xmlns:a16="http://schemas.microsoft.com/office/drawing/2014/main" id="{1922A1C2-0BE1-4401-A32A-5F842540B651}"/>
            </a:ext>
            <a:ext uri="{147F2762-F138-4A5C-976F-8EAC2B608ADB}">
              <a16:predDERef xmlns:a16="http://schemas.microsoft.com/office/drawing/2014/main" pred="{9822C4D0-ADE8-4593-889F-A15CB1550BFD}"/>
            </a:ext>
          </a:extLst>
        </xdr:cNvPr>
        <xdr:cNvPicPr>
          <a:picLocks noChangeAspect="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8186955" y="54428"/>
          <a:ext cx="2401417" cy="78973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5</xdr:col>
      <xdr:colOff>190500</xdr:colOff>
      <xdr:row>6</xdr:row>
      <xdr:rowOff>167366</xdr:rowOff>
    </xdr:from>
    <xdr:to>
      <xdr:col>138</xdr:col>
      <xdr:colOff>13607</xdr:colOff>
      <xdr:row>58</xdr:row>
      <xdr:rowOff>22591</xdr:rowOff>
    </xdr:to>
    <xdr:grpSp>
      <xdr:nvGrpSpPr>
        <xdr:cNvPr id="2" name="Gruppieren 1">
          <a:extLst>
            <a:ext uri="{FF2B5EF4-FFF2-40B4-BE49-F238E27FC236}">
              <a16:creationId xmlns:a16="http://schemas.microsoft.com/office/drawing/2014/main" id="{00000000-0008-0000-0500-000002000000}"/>
            </a:ext>
          </a:extLst>
        </xdr:cNvPr>
        <xdr:cNvGrpSpPr>
          <a:grpSpLocks noChangeAspect="1"/>
        </xdr:cNvGrpSpPr>
      </xdr:nvGrpSpPr>
      <xdr:grpSpPr>
        <a:xfrm>
          <a:off x="1160318" y="1663657"/>
          <a:ext cx="26008198" cy="12823079"/>
          <a:chOff x="3000376" y="904874"/>
          <a:chExt cx="9115803" cy="3909062"/>
        </a:xfrm>
      </xdr:grpSpPr>
      <xdr:sp macro="" textlink="">
        <xdr:nvSpPr>
          <xdr:cNvPr id="3" name="Freihandform 2">
            <a:extLst>
              <a:ext uri="{FF2B5EF4-FFF2-40B4-BE49-F238E27FC236}">
                <a16:creationId xmlns:a16="http://schemas.microsoft.com/office/drawing/2014/main" id="{17D05C1E-37DD-43C4-B9D8-8424E6CA1A62}"/>
              </a:ext>
            </a:extLst>
          </xdr:cNvPr>
          <xdr:cNvSpPr/>
        </xdr:nvSpPr>
        <xdr:spPr>
          <a:xfrm>
            <a:off x="6426191" y="1654172"/>
            <a:ext cx="77246" cy="1561686"/>
          </a:xfrm>
          <a:custGeom>
            <a:avLst/>
            <a:gdLst>
              <a:gd name="connsiteX0" fmla="*/ 28575 w 64388"/>
              <a:gd name="connsiteY0" fmla="*/ 0 h 1404938"/>
              <a:gd name="connsiteX1" fmla="*/ 52388 w 64388"/>
              <a:gd name="connsiteY1" fmla="*/ 154782 h 1404938"/>
              <a:gd name="connsiteX2" fmla="*/ 64294 w 64388"/>
              <a:gd name="connsiteY2" fmla="*/ 447675 h 1404938"/>
              <a:gd name="connsiteX3" fmla="*/ 57150 w 64388"/>
              <a:gd name="connsiteY3" fmla="*/ 800100 h 1404938"/>
              <a:gd name="connsiteX4" fmla="*/ 42863 w 64388"/>
              <a:gd name="connsiteY4" fmla="*/ 1085850 h 1404938"/>
              <a:gd name="connsiteX5" fmla="*/ 19050 w 64388"/>
              <a:gd name="connsiteY5" fmla="*/ 1323975 h 1404938"/>
              <a:gd name="connsiteX6" fmla="*/ 0 w 64388"/>
              <a:gd name="connsiteY6" fmla="*/ 1404938 h 14049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64388" h="1404938">
                <a:moveTo>
                  <a:pt x="28575" y="0"/>
                </a:moveTo>
                <a:cubicBezTo>
                  <a:pt x="37505" y="40085"/>
                  <a:pt x="46435" y="80170"/>
                  <a:pt x="52388" y="154782"/>
                </a:cubicBezTo>
                <a:cubicBezTo>
                  <a:pt x="58341" y="229394"/>
                  <a:pt x="63500" y="340122"/>
                  <a:pt x="64294" y="447675"/>
                </a:cubicBezTo>
                <a:cubicBezTo>
                  <a:pt x="65088" y="555228"/>
                  <a:pt x="60722" y="693738"/>
                  <a:pt x="57150" y="800100"/>
                </a:cubicBezTo>
                <a:cubicBezTo>
                  <a:pt x="53578" y="906463"/>
                  <a:pt x="49213" y="998538"/>
                  <a:pt x="42863" y="1085850"/>
                </a:cubicBezTo>
                <a:cubicBezTo>
                  <a:pt x="36513" y="1173163"/>
                  <a:pt x="26194" y="1270794"/>
                  <a:pt x="19050" y="1323975"/>
                </a:cubicBezTo>
                <a:cubicBezTo>
                  <a:pt x="11906" y="1377156"/>
                  <a:pt x="5953" y="1391047"/>
                  <a:pt x="0" y="1404938"/>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Freihandform 3">
            <a:extLst>
              <a:ext uri="{FF2B5EF4-FFF2-40B4-BE49-F238E27FC236}">
                <a16:creationId xmlns:a16="http://schemas.microsoft.com/office/drawing/2014/main" id="{E1842424-E253-4881-A640-62D85E105BA2}"/>
              </a:ext>
            </a:extLst>
          </xdr:cNvPr>
          <xdr:cNvSpPr/>
        </xdr:nvSpPr>
        <xdr:spPr>
          <a:xfrm>
            <a:off x="6314656" y="1627703"/>
            <a:ext cx="163074" cy="2286943"/>
          </a:xfrm>
          <a:custGeom>
            <a:avLst/>
            <a:gdLst>
              <a:gd name="connsiteX0" fmla="*/ 52489 w 135930"/>
              <a:gd name="connsiteY0" fmla="*/ 0 h 2057400"/>
              <a:gd name="connsiteX1" fmla="*/ 69158 w 135930"/>
              <a:gd name="connsiteY1" fmla="*/ 161925 h 2057400"/>
              <a:gd name="connsiteX2" fmla="*/ 78683 w 135930"/>
              <a:gd name="connsiteY2" fmla="*/ 469106 h 2057400"/>
              <a:gd name="connsiteX3" fmla="*/ 78683 w 135930"/>
              <a:gd name="connsiteY3" fmla="*/ 716756 h 2057400"/>
              <a:gd name="connsiteX4" fmla="*/ 47726 w 135930"/>
              <a:gd name="connsiteY4" fmla="*/ 752475 h 2057400"/>
              <a:gd name="connsiteX5" fmla="*/ 47726 w 135930"/>
              <a:gd name="connsiteY5" fmla="*/ 873919 h 2057400"/>
              <a:gd name="connsiteX6" fmla="*/ 23914 w 135930"/>
              <a:gd name="connsiteY6" fmla="*/ 1047750 h 2057400"/>
              <a:gd name="connsiteX7" fmla="*/ 101 w 135930"/>
              <a:gd name="connsiteY7" fmla="*/ 1309687 h 2057400"/>
              <a:gd name="connsiteX8" fmla="*/ 33439 w 135930"/>
              <a:gd name="connsiteY8" fmla="*/ 1373981 h 2057400"/>
              <a:gd name="connsiteX9" fmla="*/ 78683 w 135930"/>
              <a:gd name="connsiteY9" fmla="*/ 1435894 h 2057400"/>
              <a:gd name="connsiteX10" fmla="*/ 126308 w 135930"/>
              <a:gd name="connsiteY10" fmla="*/ 1566862 h 2057400"/>
              <a:gd name="connsiteX11" fmla="*/ 135833 w 135930"/>
              <a:gd name="connsiteY11" fmla="*/ 1750219 h 2057400"/>
              <a:gd name="connsiteX12" fmla="*/ 123926 w 135930"/>
              <a:gd name="connsiteY12" fmla="*/ 1916906 h 2057400"/>
              <a:gd name="connsiteX13" fmla="*/ 90589 w 135930"/>
              <a:gd name="connsiteY13" fmla="*/ 2057400 h 2057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135930" h="2057400">
                <a:moveTo>
                  <a:pt x="52489" y="0"/>
                </a:moveTo>
                <a:cubicBezTo>
                  <a:pt x="58640" y="41870"/>
                  <a:pt x="64792" y="83741"/>
                  <a:pt x="69158" y="161925"/>
                </a:cubicBezTo>
                <a:cubicBezTo>
                  <a:pt x="73524" y="240109"/>
                  <a:pt x="77096" y="376634"/>
                  <a:pt x="78683" y="469106"/>
                </a:cubicBezTo>
                <a:cubicBezTo>
                  <a:pt x="80271" y="561578"/>
                  <a:pt x="83842" y="669528"/>
                  <a:pt x="78683" y="716756"/>
                </a:cubicBezTo>
                <a:cubicBezTo>
                  <a:pt x="73524" y="763984"/>
                  <a:pt x="52886" y="726281"/>
                  <a:pt x="47726" y="752475"/>
                </a:cubicBezTo>
                <a:cubicBezTo>
                  <a:pt x="42566" y="778669"/>
                  <a:pt x="51695" y="824707"/>
                  <a:pt x="47726" y="873919"/>
                </a:cubicBezTo>
                <a:cubicBezTo>
                  <a:pt x="43757" y="923131"/>
                  <a:pt x="31851" y="975122"/>
                  <a:pt x="23914" y="1047750"/>
                </a:cubicBezTo>
                <a:cubicBezTo>
                  <a:pt x="15977" y="1120378"/>
                  <a:pt x="-1486" y="1255315"/>
                  <a:pt x="101" y="1309687"/>
                </a:cubicBezTo>
                <a:cubicBezTo>
                  <a:pt x="1688" y="1364059"/>
                  <a:pt x="20342" y="1352947"/>
                  <a:pt x="33439" y="1373981"/>
                </a:cubicBezTo>
                <a:cubicBezTo>
                  <a:pt x="46536" y="1395016"/>
                  <a:pt x="63205" y="1403747"/>
                  <a:pt x="78683" y="1435894"/>
                </a:cubicBezTo>
                <a:cubicBezTo>
                  <a:pt x="94161" y="1468041"/>
                  <a:pt x="116783" y="1514475"/>
                  <a:pt x="126308" y="1566862"/>
                </a:cubicBezTo>
                <a:cubicBezTo>
                  <a:pt x="135833" y="1619249"/>
                  <a:pt x="136230" y="1691878"/>
                  <a:pt x="135833" y="1750219"/>
                </a:cubicBezTo>
                <a:cubicBezTo>
                  <a:pt x="135436" y="1808560"/>
                  <a:pt x="131467" y="1865709"/>
                  <a:pt x="123926" y="1916906"/>
                </a:cubicBezTo>
                <a:cubicBezTo>
                  <a:pt x="116385" y="1968103"/>
                  <a:pt x="109242" y="2016522"/>
                  <a:pt x="90589" y="205740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Ellipse 4">
            <a:extLst>
              <a:ext uri="{FF2B5EF4-FFF2-40B4-BE49-F238E27FC236}">
                <a16:creationId xmlns:a16="http://schemas.microsoft.com/office/drawing/2014/main" id="{95A0A455-06A3-45D9-BB5E-5D356AD470D5}"/>
              </a:ext>
            </a:extLst>
          </xdr:cNvPr>
          <xdr:cNvSpPr/>
        </xdr:nvSpPr>
        <xdr:spPr>
          <a:xfrm>
            <a:off x="6602729" y="3201741"/>
            <a:ext cx="314827" cy="733198"/>
          </a:xfrm>
          <a:prstGeom prst="ellipse">
            <a:avLst/>
          </a:pr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Ellipse 5">
            <a:extLst>
              <a:ext uri="{FF2B5EF4-FFF2-40B4-BE49-F238E27FC236}">
                <a16:creationId xmlns:a16="http://schemas.microsoft.com/office/drawing/2014/main" id="{AFC0E2F3-CD12-450D-81B2-D147A1EA3895}"/>
              </a:ext>
            </a:extLst>
          </xdr:cNvPr>
          <xdr:cNvSpPr/>
        </xdr:nvSpPr>
        <xdr:spPr>
          <a:xfrm>
            <a:off x="6654908" y="3282030"/>
            <a:ext cx="225703" cy="589382"/>
          </a:xfrm>
          <a:prstGeom prst="ellipse">
            <a:avLst/>
          </a:pr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Freihandform 6">
            <a:extLst>
              <a:ext uri="{FF2B5EF4-FFF2-40B4-BE49-F238E27FC236}">
                <a16:creationId xmlns:a16="http://schemas.microsoft.com/office/drawing/2014/main" id="{25CA3F35-EA6F-4845-8E4D-7F08FA32E645}"/>
              </a:ext>
            </a:extLst>
          </xdr:cNvPr>
          <xdr:cNvSpPr/>
        </xdr:nvSpPr>
        <xdr:spPr>
          <a:xfrm>
            <a:off x="6475709" y="3380849"/>
            <a:ext cx="144743" cy="25581"/>
          </a:xfrm>
          <a:custGeom>
            <a:avLst/>
            <a:gdLst>
              <a:gd name="connsiteX0" fmla="*/ 0 w 120650"/>
              <a:gd name="connsiteY0" fmla="*/ 15875 h 23013"/>
              <a:gd name="connsiteX1" fmla="*/ 79375 w 120650"/>
              <a:gd name="connsiteY1" fmla="*/ 22225 h 23013"/>
              <a:gd name="connsiteX2" fmla="*/ 120650 w 120650"/>
              <a:gd name="connsiteY2" fmla="*/ 0 h 23013"/>
            </a:gdLst>
            <a:ahLst/>
            <a:cxnLst>
              <a:cxn ang="0">
                <a:pos x="connsiteX0" y="connsiteY0"/>
              </a:cxn>
              <a:cxn ang="0">
                <a:pos x="connsiteX1" y="connsiteY1"/>
              </a:cxn>
              <a:cxn ang="0">
                <a:pos x="connsiteX2" y="connsiteY2"/>
              </a:cxn>
            </a:cxnLst>
            <a:rect l="l" t="t" r="r" b="b"/>
            <a:pathLst>
              <a:path w="120650" h="23013">
                <a:moveTo>
                  <a:pt x="0" y="15875"/>
                </a:moveTo>
                <a:cubicBezTo>
                  <a:pt x="29633" y="20373"/>
                  <a:pt x="59267" y="24871"/>
                  <a:pt x="79375" y="22225"/>
                </a:cubicBezTo>
                <a:cubicBezTo>
                  <a:pt x="99483" y="19579"/>
                  <a:pt x="110066" y="9789"/>
                  <a:pt x="120650" y="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Freihandform 7">
            <a:extLst>
              <a:ext uri="{FF2B5EF4-FFF2-40B4-BE49-F238E27FC236}">
                <a16:creationId xmlns:a16="http://schemas.microsoft.com/office/drawing/2014/main" id="{31E599B3-28BA-4C1D-8FEF-3ECA3C8345E5}"/>
              </a:ext>
            </a:extLst>
          </xdr:cNvPr>
          <xdr:cNvSpPr/>
        </xdr:nvSpPr>
        <xdr:spPr>
          <a:xfrm>
            <a:off x="6479518" y="3739976"/>
            <a:ext cx="144743" cy="18501"/>
          </a:xfrm>
          <a:custGeom>
            <a:avLst/>
            <a:gdLst>
              <a:gd name="connsiteX0" fmla="*/ 0 w 120650"/>
              <a:gd name="connsiteY0" fmla="*/ 3944 h 16644"/>
              <a:gd name="connsiteX1" fmla="*/ 57150 w 120650"/>
              <a:gd name="connsiteY1" fmla="*/ 769 h 16644"/>
              <a:gd name="connsiteX2" fmla="*/ 120650 w 120650"/>
              <a:gd name="connsiteY2" fmla="*/ 16644 h 16644"/>
            </a:gdLst>
            <a:ahLst/>
            <a:cxnLst>
              <a:cxn ang="0">
                <a:pos x="connsiteX0" y="connsiteY0"/>
              </a:cxn>
              <a:cxn ang="0">
                <a:pos x="connsiteX1" y="connsiteY1"/>
              </a:cxn>
              <a:cxn ang="0">
                <a:pos x="connsiteX2" y="connsiteY2"/>
              </a:cxn>
            </a:cxnLst>
            <a:rect l="l" t="t" r="r" b="b"/>
            <a:pathLst>
              <a:path w="120650" h="16644">
                <a:moveTo>
                  <a:pt x="0" y="3944"/>
                </a:moveTo>
                <a:cubicBezTo>
                  <a:pt x="18521" y="1298"/>
                  <a:pt x="37042" y="-1348"/>
                  <a:pt x="57150" y="769"/>
                </a:cubicBezTo>
                <a:cubicBezTo>
                  <a:pt x="77258" y="2886"/>
                  <a:pt x="98954" y="9765"/>
                  <a:pt x="120650" y="16644"/>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Freihandform 8">
            <a:extLst>
              <a:ext uri="{FF2B5EF4-FFF2-40B4-BE49-F238E27FC236}">
                <a16:creationId xmlns:a16="http://schemas.microsoft.com/office/drawing/2014/main" id="{ECF13B6F-55B3-4FB3-9C28-0332C613FAD1}"/>
              </a:ext>
            </a:extLst>
          </xdr:cNvPr>
          <xdr:cNvSpPr/>
        </xdr:nvSpPr>
        <xdr:spPr>
          <a:xfrm>
            <a:off x="6323065" y="3920821"/>
            <a:ext cx="103127" cy="165874"/>
          </a:xfrm>
          <a:custGeom>
            <a:avLst/>
            <a:gdLst>
              <a:gd name="connsiteX0" fmla="*/ 3411 w 85961"/>
              <a:gd name="connsiteY0" fmla="*/ 149225 h 149225"/>
              <a:gd name="connsiteX1" fmla="*/ 9761 w 85961"/>
              <a:gd name="connsiteY1" fmla="*/ 76200 h 149225"/>
              <a:gd name="connsiteX2" fmla="*/ 85961 w 85961"/>
              <a:gd name="connsiteY2" fmla="*/ 0 h 149225"/>
            </a:gdLst>
            <a:ahLst/>
            <a:cxnLst>
              <a:cxn ang="0">
                <a:pos x="connsiteX0" y="connsiteY0"/>
              </a:cxn>
              <a:cxn ang="0">
                <a:pos x="connsiteX1" y="connsiteY1"/>
              </a:cxn>
              <a:cxn ang="0">
                <a:pos x="connsiteX2" y="connsiteY2"/>
              </a:cxn>
            </a:cxnLst>
            <a:rect l="l" t="t" r="r" b="b"/>
            <a:pathLst>
              <a:path w="85961" h="149225">
                <a:moveTo>
                  <a:pt x="3411" y="149225"/>
                </a:moveTo>
                <a:cubicBezTo>
                  <a:pt x="-293" y="125148"/>
                  <a:pt x="-3997" y="101071"/>
                  <a:pt x="9761" y="76200"/>
                </a:cubicBezTo>
                <a:cubicBezTo>
                  <a:pt x="23519" y="51329"/>
                  <a:pt x="54740" y="25664"/>
                  <a:pt x="85961" y="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10" name="Gerade Verbindung 100">
            <a:extLst>
              <a:ext uri="{FF2B5EF4-FFF2-40B4-BE49-F238E27FC236}">
                <a16:creationId xmlns:a16="http://schemas.microsoft.com/office/drawing/2014/main" id="{67267A75-F2DD-443A-A3D6-0398EC73662D}"/>
              </a:ext>
            </a:extLst>
          </xdr:cNvPr>
          <xdr:cNvCxnSpPr/>
        </xdr:nvCxnSpPr>
        <xdr:spPr>
          <a:xfrm flipH="1" flipV="1">
            <a:off x="6422382" y="3920822"/>
            <a:ext cx="32852" cy="137640"/>
          </a:xfrm>
          <a:prstGeom prst="line">
            <a:avLst/>
          </a:pr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cxnSp>
      <xdr:sp macro="" textlink="">
        <xdr:nvSpPr>
          <xdr:cNvPr id="11" name="Freihandform 10">
            <a:extLst>
              <a:ext uri="{FF2B5EF4-FFF2-40B4-BE49-F238E27FC236}">
                <a16:creationId xmlns:a16="http://schemas.microsoft.com/office/drawing/2014/main" id="{AA655C96-22D9-449E-9D2C-C7AF16D37FE1}"/>
              </a:ext>
            </a:extLst>
          </xdr:cNvPr>
          <xdr:cNvSpPr/>
        </xdr:nvSpPr>
        <xdr:spPr>
          <a:xfrm>
            <a:off x="5675813" y="2452661"/>
            <a:ext cx="693243" cy="899954"/>
          </a:xfrm>
          <a:custGeom>
            <a:avLst/>
            <a:gdLst>
              <a:gd name="connsiteX0" fmla="*/ 577850 w 577850"/>
              <a:gd name="connsiteY0" fmla="*/ 0 h 809625"/>
              <a:gd name="connsiteX1" fmla="*/ 476250 w 577850"/>
              <a:gd name="connsiteY1" fmla="*/ 22225 h 809625"/>
              <a:gd name="connsiteX2" fmla="*/ 295275 w 577850"/>
              <a:gd name="connsiteY2" fmla="*/ 95250 h 809625"/>
              <a:gd name="connsiteX3" fmla="*/ 171450 w 577850"/>
              <a:gd name="connsiteY3" fmla="*/ 409575 h 809625"/>
              <a:gd name="connsiteX4" fmla="*/ 120650 w 577850"/>
              <a:gd name="connsiteY4" fmla="*/ 714375 h 809625"/>
              <a:gd name="connsiteX5" fmla="*/ 0 w 577850"/>
              <a:gd name="connsiteY5" fmla="*/ 809625 h 8096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7850" h="809625">
                <a:moveTo>
                  <a:pt x="577850" y="0"/>
                </a:moveTo>
                <a:cubicBezTo>
                  <a:pt x="550598" y="3175"/>
                  <a:pt x="523346" y="6350"/>
                  <a:pt x="476250" y="22225"/>
                </a:cubicBezTo>
                <a:cubicBezTo>
                  <a:pt x="429154" y="38100"/>
                  <a:pt x="346075" y="30692"/>
                  <a:pt x="295275" y="95250"/>
                </a:cubicBezTo>
                <a:cubicBezTo>
                  <a:pt x="244475" y="159808"/>
                  <a:pt x="200554" y="306388"/>
                  <a:pt x="171450" y="409575"/>
                </a:cubicBezTo>
                <a:cubicBezTo>
                  <a:pt x="142346" y="512763"/>
                  <a:pt x="149225" y="647700"/>
                  <a:pt x="120650" y="714375"/>
                </a:cubicBezTo>
                <a:cubicBezTo>
                  <a:pt x="92075" y="781050"/>
                  <a:pt x="46037" y="795337"/>
                  <a:pt x="0" y="809625"/>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Freihandform 11">
            <a:extLst>
              <a:ext uri="{FF2B5EF4-FFF2-40B4-BE49-F238E27FC236}">
                <a16:creationId xmlns:a16="http://schemas.microsoft.com/office/drawing/2014/main" id="{CFA55A5C-AC86-423E-BED8-FCCAF23A58BB}"/>
              </a:ext>
            </a:extLst>
          </xdr:cNvPr>
          <xdr:cNvSpPr/>
        </xdr:nvSpPr>
        <xdr:spPr>
          <a:xfrm>
            <a:off x="5914831" y="1313450"/>
            <a:ext cx="4377754" cy="400296"/>
          </a:xfrm>
          <a:custGeom>
            <a:avLst/>
            <a:gdLst>
              <a:gd name="connsiteX0" fmla="*/ 0 w 3649061"/>
              <a:gd name="connsiteY0" fmla="*/ 30297 h 360118"/>
              <a:gd name="connsiteX1" fmla="*/ 140494 w 3649061"/>
              <a:gd name="connsiteY1" fmla="*/ 75541 h 360118"/>
              <a:gd name="connsiteX2" fmla="*/ 585788 w 3649061"/>
              <a:gd name="connsiteY2" fmla="*/ 194604 h 360118"/>
              <a:gd name="connsiteX3" fmla="*/ 966788 w 3649061"/>
              <a:gd name="connsiteY3" fmla="*/ 282710 h 360118"/>
              <a:gd name="connsiteX4" fmla="*/ 1121569 w 3649061"/>
              <a:gd name="connsiteY4" fmla="*/ 311285 h 360118"/>
              <a:gd name="connsiteX5" fmla="*/ 1381125 w 3649061"/>
              <a:gd name="connsiteY5" fmla="*/ 335097 h 360118"/>
              <a:gd name="connsiteX6" fmla="*/ 1926432 w 3649061"/>
              <a:gd name="connsiteY6" fmla="*/ 356529 h 360118"/>
              <a:gd name="connsiteX7" fmla="*/ 2609850 w 3649061"/>
              <a:gd name="connsiteY7" fmla="*/ 354147 h 360118"/>
              <a:gd name="connsiteX8" fmla="*/ 3083719 w 3649061"/>
              <a:gd name="connsiteY8" fmla="*/ 299379 h 360118"/>
              <a:gd name="connsiteX9" fmla="*/ 3405188 w 3649061"/>
              <a:gd name="connsiteY9" fmla="*/ 213654 h 360118"/>
              <a:gd name="connsiteX10" fmla="*/ 3602832 w 3649061"/>
              <a:gd name="connsiteY10" fmla="*/ 149360 h 360118"/>
              <a:gd name="connsiteX11" fmla="*/ 3645694 w 3649061"/>
              <a:gd name="connsiteY11" fmla="*/ 125547 h 360118"/>
              <a:gd name="connsiteX12" fmla="*/ 3643313 w 3649061"/>
              <a:gd name="connsiteY12" fmla="*/ 108879 h 360118"/>
              <a:gd name="connsiteX13" fmla="*/ 3619500 w 3649061"/>
              <a:gd name="connsiteY13" fmla="*/ 96972 h 360118"/>
              <a:gd name="connsiteX14" fmla="*/ 3576638 w 3649061"/>
              <a:gd name="connsiteY14" fmla="*/ 94591 h 360118"/>
              <a:gd name="connsiteX15" fmla="*/ 3295650 w 3649061"/>
              <a:gd name="connsiteY15" fmla="*/ 73160 h 360118"/>
              <a:gd name="connsiteX16" fmla="*/ 2786063 w 3649061"/>
              <a:gd name="connsiteY16" fmla="*/ 46966 h 360118"/>
              <a:gd name="connsiteX17" fmla="*/ 1962150 w 3649061"/>
              <a:gd name="connsiteY17" fmla="*/ 4104 h 360118"/>
              <a:gd name="connsiteX18" fmla="*/ 1526382 w 3649061"/>
              <a:gd name="connsiteY18" fmla="*/ 1722 h 360118"/>
              <a:gd name="connsiteX19" fmla="*/ 778669 w 3649061"/>
              <a:gd name="connsiteY19" fmla="*/ 6485 h 360118"/>
              <a:gd name="connsiteX20" fmla="*/ 133350 w 3649061"/>
              <a:gd name="connsiteY20" fmla="*/ 11247 h 360118"/>
              <a:gd name="connsiteX21" fmla="*/ 0 w 3649061"/>
              <a:gd name="connsiteY21" fmla="*/ 30297 h 360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49061" h="360118">
                <a:moveTo>
                  <a:pt x="0" y="30297"/>
                </a:moveTo>
                <a:cubicBezTo>
                  <a:pt x="21431" y="39227"/>
                  <a:pt x="42863" y="48157"/>
                  <a:pt x="140494" y="75541"/>
                </a:cubicBezTo>
                <a:cubicBezTo>
                  <a:pt x="238125" y="102925"/>
                  <a:pt x="448072" y="160076"/>
                  <a:pt x="585788" y="194604"/>
                </a:cubicBezTo>
                <a:cubicBezTo>
                  <a:pt x="723504" y="229132"/>
                  <a:pt x="877491" y="263263"/>
                  <a:pt x="966788" y="282710"/>
                </a:cubicBezTo>
                <a:cubicBezTo>
                  <a:pt x="1056085" y="302157"/>
                  <a:pt x="1052513" y="302554"/>
                  <a:pt x="1121569" y="311285"/>
                </a:cubicBezTo>
                <a:cubicBezTo>
                  <a:pt x="1190625" y="320016"/>
                  <a:pt x="1246981" y="327556"/>
                  <a:pt x="1381125" y="335097"/>
                </a:cubicBezTo>
                <a:cubicBezTo>
                  <a:pt x="1515269" y="342638"/>
                  <a:pt x="1721645" y="353354"/>
                  <a:pt x="1926432" y="356529"/>
                </a:cubicBezTo>
                <a:cubicBezTo>
                  <a:pt x="2131219" y="359704"/>
                  <a:pt x="2416969" y="363672"/>
                  <a:pt x="2609850" y="354147"/>
                </a:cubicBezTo>
                <a:cubicBezTo>
                  <a:pt x="2802731" y="344622"/>
                  <a:pt x="2951163" y="322795"/>
                  <a:pt x="3083719" y="299379"/>
                </a:cubicBezTo>
                <a:cubicBezTo>
                  <a:pt x="3216275" y="275964"/>
                  <a:pt x="3318669" y="238657"/>
                  <a:pt x="3405188" y="213654"/>
                </a:cubicBezTo>
                <a:cubicBezTo>
                  <a:pt x="3491707" y="188651"/>
                  <a:pt x="3562748" y="164045"/>
                  <a:pt x="3602832" y="149360"/>
                </a:cubicBezTo>
                <a:cubicBezTo>
                  <a:pt x="3642916" y="134675"/>
                  <a:pt x="3638947" y="132294"/>
                  <a:pt x="3645694" y="125547"/>
                </a:cubicBezTo>
                <a:cubicBezTo>
                  <a:pt x="3652441" y="118800"/>
                  <a:pt x="3647679" y="113641"/>
                  <a:pt x="3643313" y="108879"/>
                </a:cubicBezTo>
                <a:cubicBezTo>
                  <a:pt x="3638947" y="104117"/>
                  <a:pt x="3630612" y="99353"/>
                  <a:pt x="3619500" y="96972"/>
                </a:cubicBezTo>
                <a:cubicBezTo>
                  <a:pt x="3608388" y="94591"/>
                  <a:pt x="3576638" y="94591"/>
                  <a:pt x="3576638" y="94591"/>
                </a:cubicBezTo>
                <a:lnTo>
                  <a:pt x="3295650" y="73160"/>
                </a:lnTo>
                <a:lnTo>
                  <a:pt x="2786063" y="46966"/>
                </a:lnTo>
                <a:lnTo>
                  <a:pt x="1962150" y="4104"/>
                </a:lnTo>
                <a:cubicBezTo>
                  <a:pt x="1752203" y="-3437"/>
                  <a:pt x="1526382" y="1722"/>
                  <a:pt x="1526382" y="1722"/>
                </a:cubicBezTo>
                <a:lnTo>
                  <a:pt x="778669" y="6485"/>
                </a:lnTo>
                <a:lnTo>
                  <a:pt x="133350" y="11247"/>
                </a:lnTo>
                <a:lnTo>
                  <a:pt x="0" y="30297"/>
                </a:lnTo>
                <a:close/>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Freihandform 12">
            <a:extLst>
              <a:ext uri="{FF2B5EF4-FFF2-40B4-BE49-F238E27FC236}">
                <a16:creationId xmlns:a16="http://schemas.microsoft.com/office/drawing/2014/main" id="{5732A7F4-6C00-4437-A458-3E7331CBDE84}"/>
              </a:ext>
            </a:extLst>
          </xdr:cNvPr>
          <xdr:cNvSpPr/>
        </xdr:nvSpPr>
        <xdr:spPr>
          <a:xfrm>
            <a:off x="6003378" y="1336459"/>
            <a:ext cx="4175046" cy="348956"/>
          </a:xfrm>
          <a:custGeom>
            <a:avLst/>
            <a:gdLst>
              <a:gd name="connsiteX0" fmla="*/ 0 w 3649061"/>
              <a:gd name="connsiteY0" fmla="*/ 30297 h 360118"/>
              <a:gd name="connsiteX1" fmla="*/ 140494 w 3649061"/>
              <a:gd name="connsiteY1" fmla="*/ 75541 h 360118"/>
              <a:gd name="connsiteX2" fmla="*/ 585788 w 3649061"/>
              <a:gd name="connsiteY2" fmla="*/ 194604 h 360118"/>
              <a:gd name="connsiteX3" fmla="*/ 966788 w 3649061"/>
              <a:gd name="connsiteY3" fmla="*/ 282710 h 360118"/>
              <a:gd name="connsiteX4" fmla="*/ 1121569 w 3649061"/>
              <a:gd name="connsiteY4" fmla="*/ 311285 h 360118"/>
              <a:gd name="connsiteX5" fmla="*/ 1381125 w 3649061"/>
              <a:gd name="connsiteY5" fmla="*/ 335097 h 360118"/>
              <a:gd name="connsiteX6" fmla="*/ 1926432 w 3649061"/>
              <a:gd name="connsiteY6" fmla="*/ 356529 h 360118"/>
              <a:gd name="connsiteX7" fmla="*/ 2609850 w 3649061"/>
              <a:gd name="connsiteY7" fmla="*/ 354147 h 360118"/>
              <a:gd name="connsiteX8" fmla="*/ 3083719 w 3649061"/>
              <a:gd name="connsiteY8" fmla="*/ 299379 h 360118"/>
              <a:gd name="connsiteX9" fmla="*/ 3405188 w 3649061"/>
              <a:gd name="connsiteY9" fmla="*/ 213654 h 360118"/>
              <a:gd name="connsiteX10" fmla="*/ 3602832 w 3649061"/>
              <a:gd name="connsiteY10" fmla="*/ 149360 h 360118"/>
              <a:gd name="connsiteX11" fmla="*/ 3645694 w 3649061"/>
              <a:gd name="connsiteY11" fmla="*/ 125547 h 360118"/>
              <a:gd name="connsiteX12" fmla="*/ 3643313 w 3649061"/>
              <a:gd name="connsiteY12" fmla="*/ 108879 h 360118"/>
              <a:gd name="connsiteX13" fmla="*/ 3619500 w 3649061"/>
              <a:gd name="connsiteY13" fmla="*/ 96972 h 360118"/>
              <a:gd name="connsiteX14" fmla="*/ 3576638 w 3649061"/>
              <a:gd name="connsiteY14" fmla="*/ 94591 h 360118"/>
              <a:gd name="connsiteX15" fmla="*/ 3295650 w 3649061"/>
              <a:gd name="connsiteY15" fmla="*/ 73160 h 360118"/>
              <a:gd name="connsiteX16" fmla="*/ 2786063 w 3649061"/>
              <a:gd name="connsiteY16" fmla="*/ 46966 h 360118"/>
              <a:gd name="connsiteX17" fmla="*/ 1962150 w 3649061"/>
              <a:gd name="connsiteY17" fmla="*/ 4104 h 360118"/>
              <a:gd name="connsiteX18" fmla="*/ 1526382 w 3649061"/>
              <a:gd name="connsiteY18" fmla="*/ 1722 h 360118"/>
              <a:gd name="connsiteX19" fmla="*/ 778669 w 3649061"/>
              <a:gd name="connsiteY19" fmla="*/ 6485 h 360118"/>
              <a:gd name="connsiteX20" fmla="*/ 133350 w 3649061"/>
              <a:gd name="connsiteY20" fmla="*/ 11247 h 360118"/>
              <a:gd name="connsiteX21" fmla="*/ 0 w 3649061"/>
              <a:gd name="connsiteY21" fmla="*/ 30297 h 360118"/>
              <a:gd name="connsiteX0" fmla="*/ 0 w 3649061"/>
              <a:gd name="connsiteY0" fmla="*/ 45848 h 375669"/>
              <a:gd name="connsiteX1" fmla="*/ 140494 w 3649061"/>
              <a:gd name="connsiteY1" fmla="*/ 91092 h 375669"/>
              <a:gd name="connsiteX2" fmla="*/ 585788 w 3649061"/>
              <a:gd name="connsiteY2" fmla="*/ 210155 h 375669"/>
              <a:gd name="connsiteX3" fmla="*/ 966788 w 3649061"/>
              <a:gd name="connsiteY3" fmla="*/ 298261 h 375669"/>
              <a:gd name="connsiteX4" fmla="*/ 1121569 w 3649061"/>
              <a:gd name="connsiteY4" fmla="*/ 326836 h 375669"/>
              <a:gd name="connsiteX5" fmla="*/ 1381125 w 3649061"/>
              <a:gd name="connsiteY5" fmla="*/ 350648 h 375669"/>
              <a:gd name="connsiteX6" fmla="*/ 1926432 w 3649061"/>
              <a:gd name="connsiteY6" fmla="*/ 372080 h 375669"/>
              <a:gd name="connsiteX7" fmla="*/ 2609850 w 3649061"/>
              <a:gd name="connsiteY7" fmla="*/ 369698 h 375669"/>
              <a:gd name="connsiteX8" fmla="*/ 3083719 w 3649061"/>
              <a:gd name="connsiteY8" fmla="*/ 314930 h 375669"/>
              <a:gd name="connsiteX9" fmla="*/ 3405188 w 3649061"/>
              <a:gd name="connsiteY9" fmla="*/ 229205 h 375669"/>
              <a:gd name="connsiteX10" fmla="*/ 3602832 w 3649061"/>
              <a:gd name="connsiteY10" fmla="*/ 164911 h 375669"/>
              <a:gd name="connsiteX11" fmla="*/ 3645694 w 3649061"/>
              <a:gd name="connsiteY11" fmla="*/ 141098 h 375669"/>
              <a:gd name="connsiteX12" fmla="*/ 3643313 w 3649061"/>
              <a:gd name="connsiteY12" fmla="*/ 124430 h 375669"/>
              <a:gd name="connsiteX13" fmla="*/ 3619500 w 3649061"/>
              <a:gd name="connsiteY13" fmla="*/ 112523 h 375669"/>
              <a:gd name="connsiteX14" fmla="*/ 3576638 w 3649061"/>
              <a:gd name="connsiteY14" fmla="*/ 110142 h 375669"/>
              <a:gd name="connsiteX15" fmla="*/ 3295650 w 3649061"/>
              <a:gd name="connsiteY15" fmla="*/ 88711 h 375669"/>
              <a:gd name="connsiteX16" fmla="*/ 2786063 w 3649061"/>
              <a:gd name="connsiteY16" fmla="*/ 62517 h 375669"/>
              <a:gd name="connsiteX17" fmla="*/ 1962150 w 3649061"/>
              <a:gd name="connsiteY17" fmla="*/ 19655 h 375669"/>
              <a:gd name="connsiteX18" fmla="*/ 1526382 w 3649061"/>
              <a:gd name="connsiteY18" fmla="*/ 17273 h 375669"/>
              <a:gd name="connsiteX19" fmla="*/ 778669 w 3649061"/>
              <a:gd name="connsiteY19" fmla="*/ 22036 h 375669"/>
              <a:gd name="connsiteX20" fmla="*/ 118420 w 3649061"/>
              <a:gd name="connsiteY20" fmla="*/ 0 h 375669"/>
              <a:gd name="connsiteX21" fmla="*/ 0 w 3649061"/>
              <a:gd name="connsiteY21" fmla="*/ 45848 h 375669"/>
              <a:gd name="connsiteX0" fmla="*/ 0 w 3639108"/>
              <a:gd name="connsiteY0" fmla="*/ 7140 h 375669"/>
              <a:gd name="connsiteX1" fmla="*/ 130541 w 3639108"/>
              <a:gd name="connsiteY1" fmla="*/ 91092 h 375669"/>
              <a:gd name="connsiteX2" fmla="*/ 575835 w 3639108"/>
              <a:gd name="connsiteY2" fmla="*/ 210155 h 375669"/>
              <a:gd name="connsiteX3" fmla="*/ 956835 w 3639108"/>
              <a:gd name="connsiteY3" fmla="*/ 298261 h 375669"/>
              <a:gd name="connsiteX4" fmla="*/ 1111616 w 3639108"/>
              <a:gd name="connsiteY4" fmla="*/ 326836 h 375669"/>
              <a:gd name="connsiteX5" fmla="*/ 1371172 w 3639108"/>
              <a:gd name="connsiteY5" fmla="*/ 350648 h 375669"/>
              <a:gd name="connsiteX6" fmla="*/ 1916479 w 3639108"/>
              <a:gd name="connsiteY6" fmla="*/ 372080 h 375669"/>
              <a:gd name="connsiteX7" fmla="*/ 2599897 w 3639108"/>
              <a:gd name="connsiteY7" fmla="*/ 369698 h 375669"/>
              <a:gd name="connsiteX8" fmla="*/ 3073766 w 3639108"/>
              <a:gd name="connsiteY8" fmla="*/ 314930 h 375669"/>
              <a:gd name="connsiteX9" fmla="*/ 3395235 w 3639108"/>
              <a:gd name="connsiteY9" fmla="*/ 229205 h 375669"/>
              <a:gd name="connsiteX10" fmla="*/ 3592879 w 3639108"/>
              <a:gd name="connsiteY10" fmla="*/ 164911 h 375669"/>
              <a:gd name="connsiteX11" fmla="*/ 3635741 w 3639108"/>
              <a:gd name="connsiteY11" fmla="*/ 141098 h 375669"/>
              <a:gd name="connsiteX12" fmla="*/ 3633360 w 3639108"/>
              <a:gd name="connsiteY12" fmla="*/ 124430 h 375669"/>
              <a:gd name="connsiteX13" fmla="*/ 3609547 w 3639108"/>
              <a:gd name="connsiteY13" fmla="*/ 112523 h 375669"/>
              <a:gd name="connsiteX14" fmla="*/ 3566685 w 3639108"/>
              <a:gd name="connsiteY14" fmla="*/ 110142 h 375669"/>
              <a:gd name="connsiteX15" fmla="*/ 3285697 w 3639108"/>
              <a:gd name="connsiteY15" fmla="*/ 88711 h 375669"/>
              <a:gd name="connsiteX16" fmla="*/ 2776110 w 3639108"/>
              <a:gd name="connsiteY16" fmla="*/ 62517 h 375669"/>
              <a:gd name="connsiteX17" fmla="*/ 1952197 w 3639108"/>
              <a:gd name="connsiteY17" fmla="*/ 19655 h 375669"/>
              <a:gd name="connsiteX18" fmla="*/ 1516429 w 3639108"/>
              <a:gd name="connsiteY18" fmla="*/ 17273 h 375669"/>
              <a:gd name="connsiteX19" fmla="*/ 768716 w 3639108"/>
              <a:gd name="connsiteY19" fmla="*/ 22036 h 375669"/>
              <a:gd name="connsiteX20" fmla="*/ 108467 w 3639108"/>
              <a:gd name="connsiteY20" fmla="*/ 0 h 375669"/>
              <a:gd name="connsiteX21" fmla="*/ 0 w 3639108"/>
              <a:gd name="connsiteY21" fmla="*/ 7140 h 375669"/>
              <a:gd name="connsiteX0" fmla="*/ 0 w 3639108"/>
              <a:gd name="connsiteY0" fmla="*/ 7140 h 375669"/>
              <a:gd name="connsiteX1" fmla="*/ 145471 w 3639108"/>
              <a:gd name="connsiteY1" fmla="*/ 58339 h 375669"/>
              <a:gd name="connsiteX2" fmla="*/ 575835 w 3639108"/>
              <a:gd name="connsiteY2" fmla="*/ 210155 h 375669"/>
              <a:gd name="connsiteX3" fmla="*/ 956835 w 3639108"/>
              <a:gd name="connsiteY3" fmla="*/ 298261 h 375669"/>
              <a:gd name="connsiteX4" fmla="*/ 1111616 w 3639108"/>
              <a:gd name="connsiteY4" fmla="*/ 326836 h 375669"/>
              <a:gd name="connsiteX5" fmla="*/ 1371172 w 3639108"/>
              <a:gd name="connsiteY5" fmla="*/ 350648 h 375669"/>
              <a:gd name="connsiteX6" fmla="*/ 1916479 w 3639108"/>
              <a:gd name="connsiteY6" fmla="*/ 372080 h 375669"/>
              <a:gd name="connsiteX7" fmla="*/ 2599897 w 3639108"/>
              <a:gd name="connsiteY7" fmla="*/ 369698 h 375669"/>
              <a:gd name="connsiteX8" fmla="*/ 3073766 w 3639108"/>
              <a:gd name="connsiteY8" fmla="*/ 314930 h 375669"/>
              <a:gd name="connsiteX9" fmla="*/ 3395235 w 3639108"/>
              <a:gd name="connsiteY9" fmla="*/ 229205 h 375669"/>
              <a:gd name="connsiteX10" fmla="*/ 3592879 w 3639108"/>
              <a:gd name="connsiteY10" fmla="*/ 164911 h 375669"/>
              <a:gd name="connsiteX11" fmla="*/ 3635741 w 3639108"/>
              <a:gd name="connsiteY11" fmla="*/ 141098 h 375669"/>
              <a:gd name="connsiteX12" fmla="*/ 3633360 w 3639108"/>
              <a:gd name="connsiteY12" fmla="*/ 124430 h 375669"/>
              <a:gd name="connsiteX13" fmla="*/ 3609547 w 3639108"/>
              <a:gd name="connsiteY13" fmla="*/ 112523 h 375669"/>
              <a:gd name="connsiteX14" fmla="*/ 3566685 w 3639108"/>
              <a:gd name="connsiteY14" fmla="*/ 110142 h 375669"/>
              <a:gd name="connsiteX15" fmla="*/ 3285697 w 3639108"/>
              <a:gd name="connsiteY15" fmla="*/ 88711 h 375669"/>
              <a:gd name="connsiteX16" fmla="*/ 2776110 w 3639108"/>
              <a:gd name="connsiteY16" fmla="*/ 62517 h 375669"/>
              <a:gd name="connsiteX17" fmla="*/ 1952197 w 3639108"/>
              <a:gd name="connsiteY17" fmla="*/ 19655 h 375669"/>
              <a:gd name="connsiteX18" fmla="*/ 1516429 w 3639108"/>
              <a:gd name="connsiteY18" fmla="*/ 17273 h 375669"/>
              <a:gd name="connsiteX19" fmla="*/ 768716 w 3639108"/>
              <a:gd name="connsiteY19" fmla="*/ 22036 h 375669"/>
              <a:gd name="connsiteX20" fmla="*/ 108467 w 3639108"/>
              <a:gd name="connsiteY20" fmla="*/ 0 h 375669"/>
              <a:gd name="connsiteX21" fmla="*/ 0 w 3639108"/>
              <a:gd name="connsiteY21" fmla="*/ 7140 h 375669"/>
              <a:gd name="connsiteX0" fmla="*/ 0 w 3639108"/>
              <a:gd name="connsiteY0" fmla="*/ 7140 h 375669"/>
              <a:gd name="connsiteX1" fmla="*/ 145471 w 3639108"/>
              <a:gd name="connsiteY1" fmla="*/ 58339 h 375669"/>
              <a:gd name="connsiteX2" fmla="*/ 590765 w 3639108"/>
              <a:gd name="connsiteY2" fmla="*/ 186335 h 375669"/>
              <a:gd name="connsiteX3" fmla="*/ 956835 w 3639108"/>
              <a:gd name="connsiteY3" fmla="*/ 298261 h 375669"/>
              <a:gd name="connsiteX4" fmla="*/ 1111616 w 3639108"/>
              <a:gd name="connsiteY4" fmla="*/ 326836 h 375669"/>
              <a:gd name="connsiteX5" fmla="*/ 1371172 w 3639108"/>
              <a:gd name="connsiteY5" fmla="*/ 350648 h 375669"/>
              <a:gd name="connsiteX6" fmla="*/ 1916479 w 3639108"/>
              <a:gd name="connsiteY6" fmla="*/ 372080 h 375669"/>
              <a:gd name="connsiteX7" fmla="*/ 2599897 w 3639108"/>
              <a:gd name="connsiteY7" fmla="*/ 369698 h 375669"/>
              <a:gd name="connsiteX8" fmla="*/ 3073766 w 3639108"/>
              <a:gd name="connsiteY8" fmla="*/ 314930 h 375669"/>
              <a:gd name="connsiteX9" fmla="*/ 3395235 w 3639108"/>
              <a:gd name="connsiteY9" fmla="*/ 229205 h 375669"/>
              <a:gd name="connsiteX10" fmla="*/ 3592879 w 3639108"/>
              <a:gd name="connsiteY10" fmla="*/ 164911 h 375669"/>
              <a:gd name="connsiteX11" fmla="*/ 3635741 w 3639108"/>
              <a:gd name="connsiteY11" fmla="*/ 141098 h 375669"/>
              <a:gd name="connsiteX12" fmla="*/ 3633360 w 3639108"/>
              <a:gd name="connsiteY12" fmla="*/ 124430 h 375669"/>
              <a:gd name="connsiteX13" fmla="*/ 3609547 w 3639108"/>
              <a:gd name="connsiteY13" fmla="*/ 112523 h 375669"/>
              <a:gd name="connsiteX14" fmla="*/ 3566685 w 3639108"/>
              <a:gd name="connsiteY14" fmla="*/ 110142 h 375669"/>
              <a:gd name="connsiteX15" fmla="*/ 3285697 w 3639108"/>
              <a:gd name="connsiteY15" fmla="*/ 88711 h 375669"/>
              <a:gd name="connsiteX16" fmla="*/ 2776110 w 3639108"/>
              <a:gd name="connsiteY16" fmla="*/ 62517 h 375669"/>
              <a:gd name="connsiteX17" fmla="*/ 1952197 w 3639108"/>
              <a:gd name="connsiteY17" fmla="*/ 19655 h 375669"/>
              <a:gd name="connsiteX18" fmla="*/ 1516429 w 3639108"/>
              <a:gd name="connsiteY18" fmla="*/ 17273 h 375669"/>
              <a:gd name="connsiteX19" fmla="*/ 768716 w 3639108"/>
              <a:gd name="connsiteY19" fmla="*/ 22036 h 375669"/>
              <a:gd name="connsiteX20" fmla="*/ 108467 w 3639108"/>
              <a:gd name="connsiteY20" fmla="*/ 0 h 375669"/>
              <a:gd name="connsiteX21" fmla="*/ 0 w 3639108"/>
              <a:gd name="connsiteY21" fmla="*/ 7140 h 375669"/>
              <a:gd name="connsiteX0" fmla="*/ 0 w 3639108"/>
              <a:gd name="connsiteY0" fmla="*/ 7140 h 375669"/>
              <a:gd name="connsiteX1" fmla="*/ 145471 w 3639108"/>
              <a:gd name="connsiteY1" fmla="*/ 58339 h 375669"/>
              <a:gd name="connsiteX2" fmla="*/ 590765 w 3639108"/>
              <a:gd name="connsiteY2" fmla="*/ 186335 h 375669"/>
              <a:gd name="connsiteX3" fmla="*/ 956835 w 3639108"/>
              <a:gd name="connsiteY3" fmla="*/ 298261 h 375669"/>
              <a:gd name="connsiteX4" fmla="*/ 1111616 w 3639108"/>
              <a:gd name="connsiteY4" fmla="*/ 326836 h 375669"/>
              <a:gd name="connsiteX5" fmla="*/ 1371172 w 3639108"/>
              <a:gd name="connsiteY5" fmla="*/ 350648 h 375669"/>
              <a:gd name="connsiteX6" fmla="*/ 1916479 w 3639108"/>
              <a:gd name="connsiteY6" fmla="*/ 372080 h 375669"/>
              <a:gd name="connsiteX7" fmla="*/ 2599897 w 3639108"/>
              <a:gd name="connsiteY7" fmla="*/ 369698 h 375669"/>
              <a:gd name="connsiteX8" fmla="*/ 3073766 w 3639108"/>
              <a:gd name="connsiteY8" fmla="*/ 314930 h 375669"/>
              <a:gd name="connsiteX9" fmla="*/ 3395235 w 3639108"/>
              <a:gd name="connsiteY9" fmla="*/ 229205 h 375669"/>
              <a:gd name="connsiteX10" fmla="*/ 3592879 w 3639108"/>
              <a:gd name="connsiteY10" fmla="*/ 164911 h 375669"/>
              <a:gd name="connsiteX11" fmla="*/ 3635741 w 3639108"/>
              <a:gd name="connsiteY11" fmla="*/ 141098 h 375669"/>
              <a:gd name="connsiteX12" fmla="*/ 3633360 w 3639108"/>
              <a:gd name="connsiteY12" fmla="*/ 124430 h 375669"/>
              <a:gd name="connsiteX13" fmla="*/ 3609547 w 3639108"/>
              <a:gd name="connsiteY13" fmla="*/ 112523 h 375669"/>
              <a:gd name="connsiteX14" fmla="*/ 3566685 w 3639108"/>
              <a:gd name="connsiteY14" fmla="*/ 110142 h 375669"/>
              <a:gd name="connsiteX15" fmla="*/ 3285697 w 3639108"/>
              <a:gd name="connsiteY15" fmla="*/ 88711 h 375669"/>
              <a:gd name="connsiteX16" fmla="*/ 2776110 w 3639108"/>
              <a:gd name="connsiteY16" fmla="*/ 62517 h 375669"/>
              <a:gd name="connsiteX17" fmla="*/ 1952197 w 3639108"/>
              <a:gd name="connsiteY17" fmla="*/ 19655 h 375669"/>
              <a:gd name="connsiteX18" fmla="*/ 1516429 w 3639108"/>
              <a:gd name="connsiteY18" fmla="*/ 17273 h 375669"/>
              <a:gd name="connsiteX19" fmla="*/ 768716 w 3639108"/>
              <a:gd name="connsiteY19" fmla="*/ 22036 h 375669"/>
              <a:gd name="connsiteX20" fmla="*/ 108467 w 3639108"/>
              <a:gd name="connsiteY20" fmla="*/ 0 h 375669"/>
              <a:gd name="connsiteX21" fmla="*/ 0 w 3639108"/>
              <a:gd name="connsiteY21" fmla="*/ 7140 h 375669"/>
              <a:gd name="connsiteX0" fmla="*/ 0 w 3639108"/>
              <a:gd name="connsiteY0" fmla="*/ 7140 h 375669"/>
              <a:gd name="connsiteX1" fmla="*/ 138006 w 3639108"/>
              <a:gd name="connsiteY1" fmla="*/ 71997 h 375669"/>
              <a:gd name="connsiteX2" fmla="*/ 590765 w 3639108"/>
              <a:gd name="connsiteY2" fmla="*/ 186335 h 375669"/>
              <a:gd name="connsiteX3" fmla="*/ 956835 w 3639108"/>
              <a:gd name="connsiteY3" fmla="*/ 298261 h 375669"/>
              <a:gd name="connsiteX4" fmla="*/ 1111616 w 3639108"/>
              <a:gd name="connsiteY4" fmla="*/ 326836 h 375669"/>
              <a:gd name="connsiteX5" fmla="*/ 1371172 w 3639108"/>
              <a:gd name="connsiteY5" fmla="*/ 350648 h 375669"/>
              <a:gd name="connsiteX6" fmla="*/ 1916479 w 3639108"/>
              <a:gd name="connsiteY6" fmla="*/ 372080 h 375669"/>
              <a:gd name="connsiteX7" fmla="*/ 2599897 w 3639108"/>
              <a:gd name="connsiteY7" fmla="*/ 369698 h 375669"/>
              <a:gd name="connsiteX8" fmla="*/ 3073766 w 3639108"/>
              <a:gd name="connsiteY8" fmla="*/ 314930 h 375669"/>
              <a:gd name="connsiteX9" fmla="*/ 3395235 w 3639108"/>
              <a:gd name="connsiteY9" fmla="*/ 229205 h 375669"/>
              <a:gd name="connsiteX10" fmla="*/ 3592879 w 3639108"/>
              <a:gd name="connsiteY10" fmla="*/ 164911 h 375669"/>
              <a:gd name="connsiteX11" fmla="*/ 3635741 w 3639108"/>
              <a:gd name="connsiteY11" fmla="*/ 141098 h 375669"/>
              <a:gd name="connsiteX12" fmla="*/ 3633360 w 3639108"/>
              <a:gd name="connsiteY12" fmla="*/ 124430 h 375669"/>
              <a:gd name="connsiteX13" fmla="*/ 3609547 w 3639108"/>
              <a:gd name="connsiteY13" fmla="*/ 112523 h 375669"/>
              <a:gd name="connsiteX14" fmla="*/ 3566685 w 3639108"/>
              <a:gd name="connsiteY14" fmla="*/ 110142 h 375669"/>
              <a:gd name="connsiteX15" fmla="*/ 3285697 w 3639108"/>
              <a:gd name="connsiteY15" fmla="*/ 88711 h 375669"/>
              <a:gd name="connsiteX16" fmla="*/ 2776110 w 3639108"/>
              <a:gd name="connsiteY16" fmla="*/ 62517 h 375669"/>
              <a:gd name="connsiteX17" fmla="*/ 1952197 w 3639108"/>
              <a:gd name="connsiteY17" fmla="*/ 19655 h 375669"/>
              <a:gd name="connsiteX18" fmla="*/ 1516429 w 3639108"/>
              <a:gd name="connsiteY18" fmla="*/ 17273 h 375669"/>
              <a:gd name="connsiteX19" fmla="*/ 768716 w 3639108"/>
              <a:gd name="connsiteY19" fmla="*/ 22036 h 375669"/>
              <a:gd name="connsiteX20" fmla="*/ 108467 w 3639108"/>
              <a:gd name="connsiteY20" fmla="*/ 0 h 375669"/>
              <a:gd name="connsiteX21" fmla="*/ 0 w 3639108"/>
              <a:gd name="connsiteY21" fmla="*/ 7140 h 375669"/>
              <a:gd name="connsiteX0" fmla="*/ 0 w 3639108"/>
              <a:gd name="connsiteY0" fmla="*/ 7140 h 375669"/>
              <a:gd name="connsiteX1" fmla="*/ 138006 w 3639108"/>
              <a:gd name="connsiteY1" fmla="*/ 71997 h 375669"/>
              <a:gd name="connsiteX2" fmla="*/ 580812 w 3639108"/>
              <a:gd name="connsiteY2" fmla="*/ 199992 h 375669"/>
              <a:gd name="connsiteX3" fmla="*/ 956835 w 3639108"/>
              <a:gd name="connsiteY3" fmla="*/ 298261 h 375669"/>
              <a:gd name="connsiteX4" fmla="*/ 1111616 w 3639108"/>
              <a:gd name="connsiteY4" fmla="*/ 326836 h 375669"/>
              <a:gd name="connsiteX5" fmla="*/ 1371172 w 3639108"/>
              <a:gd name="connsiteY5" fmla="*/ 350648 h 375669"/>
              <a:gd name="connsiteX6" fmla="*/ 1916479 w 3639108"/>
              <a:gd name="connsiteY6" fmla="*/ 372080 h 375669"/>
              <a:gd name="connsiteX7" fmla="*/ 2599897 w 3639108"/>
              <a:gd name="connsiteY7" fmla="*/ 369698 h 375669"/>
              <a:gd name="connsiteX8" fmla="*/ 3073766 w 3639108"/>
              <a:gd name="connsiteY8" fmla="*/ 314930 h 375669"/>
              <a:gd name="connsiteX9" fmla="*/ 3395235 w 3639108"/>
              <a:gd name="connsiteY9" fmla="*/ 229205 h 375669"/>
              <a:gd name="connsiteX10" fmla="*/ 3592879 w 3639108"/>
              <a:gd name="connsiteY10" fmla="*/ 164911 h 375669"/>
              <a:gd name="connsiteX11" fmla="*/ 3635741 w 3639108"/>
              <a:gd name="connsiteY11" fmla="*/ 141098 h 375669"/>
              <a:gd name="connsiteX12" fmla="*/ 3633360 w 3639108"/>
              <a:gd name="connsiteY12" fmla="*/ 124430 h 375669"/>
              <a:gd name="connsiteX13" fmla="*/ 3609547 w 3639108"/>
              <a:gd name="connsiteY13" fmla="*/ 112523 h 375669"/>
              <a:gd name="connsiteX14" fmla="*/ 3566685 w 3639108"/>
              <a:gd name="connsiteY14" fmla="*/ 110142 h 375669"/>
              <a:gd name="connsiteX15" fmla="*/ 3285697 w 3639108"/>
              <a:gd name="connsiteY15" fmla="*/ 88711 h 375669"/>
              <a:gd name="connsiteX16" fmla="*/ 2776110 w 3639108"/>
              <a:gd name="connsiteY16" fmla="*/ 62517 h 375669"/>
              <a:gd name="connsiteX17" fmla="*/ 1952197 w 3639108"/>
              <a:gd name="connsiteY17" fmla="*/ 19655 h 375669"/>
              <a:gd name="connsiteX18" fmla="*/ 1516429 w 3639108"/>
              <a:gd name="connsiteY18" fmla="*/ 17273 h 375669"/>
              <a:gd name="connsiteX19" fmla="*/ 768716 w 3639108"/>
              <a:gd name="connsiteY19" fmla="*/ 22036 h 375669"/>
              <a:gd name="connsiteX20" fmla="*/ 108467 w 3639108"/>
              <a:gd name="connsiteY20" fmla="*/ 0 h 375669"/>
              <a:gd name="connsiteX21" fmla="*/ 0 w 3639108"/>
              <a:gd name="connsiteY21" fmla="*/ 7140 h 375669"/>
              <a:gd name="connsiteX0" fmla="*/ 0 w 3636620"/>
              <a:gd name="connsiteY0" fmla="*/ 34455 h 375669"/>
              <a:gd name="connsiteX1" fmla="*/ 135518 w 3636620"/>
              <a:gd name="connsiteY1" fmla="*/ 71997 h 375669"/>
              <a:gd name="connsiteX2" fmla="*/ 578324 w 3636620"/>
              <a:gd name="connsiteY2" fmla="*/ 199992 h 375669"/>
              <a:gd name="connsiteX3" fmla="*/ 954347 w 3636620"/>
              <a:gd name="connsiteY3" fmla="*/ 298261 h 375669"/>
              <a:gd name="connsiteX4" fmla="*/ 1109128 w 3636620"/>
              <a:gd name="connsiteY4" fmla="*/ 326836 h 375669"/>
              <a:gd name="connsiteX5" fmla="*/ 1368684 w 3636620"/>
              <a:gd name="connsiteY5" fmla="*/ 350648 h 375669"/>
              <a:gd name="connsiteX6" fmla="*/ 1913991 w 3636620"/>
              <a:gd name="connsiteY6" fmla="*/ 372080 h 375669"/>
              <a:gd name="connsiteX7" fmla="*/ 2597409 w 3636620"/>
              <a:gd name="connsiteY7" fmla="*/ 369698 h 375669"/>
              <a:gd name="connsiteX8" fmla="*/ 3071278 w 3636620"/>
              <a:gd name="connsiteY8" fmla="*/ 314930 h 375669"/>
              <a:gd name="connsiteX9" fmla="*/ 3392747 w 3636620"/>
              <a:gd name="connsiteY9" fmla="*/ 229205 h 375669"/>
              <a:gd name="connsiteX10" fmla="*/ 3590391 w 3636620"/>
              <a:gd name="connsiteY10" fmla="*/ 164911 h 375669"/>
              <a:gd name="connsiteX11" fmla="*/ 3633253 w 3636620"/>
              <a:gd name="connsiteY11" fmla="*/ 141098 h 375669"/>
              <a:gd name="connsiteX12" fmla="*/ 3630872 w 3636620"/>
              <a:gd name="connsiteY12" fmla="*/ 124430 h 375669"/>
              <a:gd name="connsiteX13" fmla="*/ 3607059 w 3636620"/>
              <a:gd name="connsiteY13" fmla="*/ 112523 h 375669"/>
              <a:gd name="connsiteX14" fmla="*/ 3564197 w 3636620"/>
              <a:gd name="connsiteY14" fmla="*/ 110142 h 375669"/>
              <a:gd name="connsiteX15" fmla="*/ 3283209 w 3636620"/>
              <a:gd name="connsiteY15" fmla="*/ 88711 h 375669"/>
              <a:gd name="connsiteX16" fmla="*/ 2773622 w 3636620"/>
              <a:gd name="connsiteY16" fmla="*/ 62517 h 375669"/>
              <a:gd name="connsiteX17" fmla="*/ 1949709 w 3636620"/>
              <a:gd name="connsiteY17" fmla="*/ 19655 h 375669"/>
              <a:gd name="connsiteX18" fmla="*/ 1513941 w 3636620"/>
              <a:gd name="connsiteY18" fmla="*/ 17273 h 375669"/>
              <a:gd name="connsiteX19" fmla="*/ 766228 w 3636620"/>
              <a:gd name="connsiteY19" fmla="*/ 22036 h 375669"/>
              <a:gd name="connsiteX20" fmla="*/ 105979 w 3636620"/>
              <a:gd name="connsiteY20" fmla="*/ 0 h 375669"/>
              <a:gd name="connsiteX21" fmla="*/ 0 w 3636620"/>
              <a:gd name="connsiteY21" fmla="*/ 34455 h 375669"/>
              <a:gd name="connsiteX0" fmla="*/ 0 w 3636620"/>
              <a:gd name="connsiteY0" fmla="*/ 18905 h 360119"/>
              <a:gd name="connsiteX1" fmla="*/ 135518 w 3636620"/>
              <a:gd name="connsiteY1" fmla="*/ 56447 h 360119"/>
              <a:gd name="connsiteX2" fmla="*/ 578324 w 3636620"/>
              <a:gd name="connsiteY2" fmla="*/ 184442 h 360119"/>
              <a:gd name="connsiteX3" fmla="*/ 954347 w 3636620"/>
              <a:gd name="connsiteY3" fmla="*/ 282711 h 360119"/>
              <a:gd name="connsiteX4" fmla="*/ 1109128 w 3636620"/>
              <a:gd name="connsiteY4" fmla="*/ 311286 h 360119"/>
              <a:gd name="connsiteX5" fmla="*/ 1368684 w 3636620"/>
              <a:gd name="connsiteY5" fmla="*/ 335098 h 360119"/>
              <a:gd name="connsiteX6" fmla="*/ 1913991 w 3636620"/>
              <a:gd name="connsiteY6" fmla="*/ 356530 h 360119"/>
              <a:gd name="connsiteX7" fmla="*/ 2597409 w 3636620"/>
              <a:gd name="connsiteY7" fmla="*/ 354148 h 360119"/>
              <a:gd name="connsiteX8" fmla="*/ 3071278 w 3636620"/>
              <a:gd name="connsiteY8" fmla="*/ 299380 h 360119"/>
              <a:gd name="connsiteX9" fmla="*/ 3392747 w 3636620"/>
              <a:gd name="connsiteY9" fmla="*/ 213655 h 360119"/>
              <a:gd name="connsiteX10" fmla="*/ 3590391 w 3636620"/>
              <a:gd name="connsiteY10" fmla="*/ 149361 h 360119"/>
              <a:gd name="connsiteX11" fmla="*/ 3633253 w 3636620"/>
              <a:gd name="connsiteY11" fmla="*/ 125548 h 360119"/>
              <a:gd name="connsiteX12" fmla="*/ 3630872 w 3636620"/>
              <a:gd name="connsiteY12" fmla="*/ 108880 h 360119"/>
              <a:gd name="connsiteX13" fmla="*/ 3607059 w 3636620"/>
              <a:gd name="connsiteY13" fmla="*/ 96973 h 360119"/>
              <a:gd name="connsiteX14" fmla="*/ 3564197 w 3636620"/>
              <a:gd name="connsiteY14" fmla="*/ 94592 h 360119"/>
              <a:gd name="connsiteX15" fmla="*/ 3283209 w 3636620"/>
              <a:gd name="connsiteY15" fmla="*/ 73161 h 360119"/>
              <a:gd name="connsiteX16" fmla="*/ 2773622 w 3636620"/>
              <a:gd name="connsiteY16" fmla="*/ 46967 h 360119"/>
              <a:gd name="connsiteX17" fmla="*/ 1949709 w 3636620"/>
              <a:gd name="connsiteY17" fmla="*/ 4105 h 360119"/>
              <a:gd name="connsiteX18" fmla="*/ 1513941 w 3636620"/>
              <a:gd name="connsiteY18" fmla="*/ 1723 h 360119"/>
              <a:gd name="connsiteX19" fmla="*/ 766228 w 3636620"/>
              <a:gd name="connsiteY19" fmla="*/ 6486 h 360119"/>
              <a:gd name="connsiteX20" fmla="*/ 148281 w 3636620"/>
              <a:gd name="connsiteY20" fmla="*/ 840 h 360119"/>
              <a:gd name="connsiteX21" fmla="*/ 0 w 3636620"/>
              <a:gd name="connsiteY21" fmla="*/ 18905 h 3601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6620" h="360119">
                <a:moveTo>
                  <a:pt x="0" y="18905"/>
                </a:moveTo>
                <a:cubicBezTo>
                  <a:pt x="21431" y="27835"/>
                  <a:pt x="39131" y="28858"/>
                  <a:pt x="135518" y="56447"/>
                </a:cubicBezTo>
                <a:lnTo>
                  <a:pt x="578324" y="184442"/>
                </a:lnTo>
                <a:cubicBezTo>
                  <a:pt x="714796" y="222153"/>
                  <a:pt x="865880" y="261570"/>
                  <a:pt x="954347" y="282711"/>
                </a:cubicBezTo>
                <a:cubicBezTo>
                  <a:pt x="1042814" y="303852"/>
                  <a:pt x="1040072" y="302555"/>
                  <a:pt x="1109128" y="311286"/>
                </a:cubicBezTo>
                <a:cubicBezTo>
                  <a:pt x="1178184" y="320017"/>
                  <a:pt x="1234540" y="327557"/>
                  <a:pt x="1368684" y="335098"/>
                </a:cubicBezTo>
                <a:cubicBezTo>
                  <a:pt x="1502828" y="342639"/>
                  <a:pt x="1709204" y="353355"/>
                  <a:pt x="1913991" y="356530"/>
                </a:cubicBezTo>
                <a:cubicBezTo>
                  <a:pt x="2118778" y="359705"/>
                  <a:pt x="2404528" y="363673"/>
                  <a:pt x="2597409" y="354148"/>
                </a:cubicBezTo>
                <a:cubicBezTo>
                  <a:pt x="2790290" y="344623"/>
                  <a:pt x="2938722" y="322796"/>
                  <a:pt x="3071278" y="299380"/>
                </a:cubicBezTo>
                <a:cubicBezTo>
                  <a:pt x="3203834" y="275965"/>
                  <a:pt x="3306228" y="238658"/>
                  <a:pt x="3392747" y="213655"/>
                </a:cubicBezTo>
                <a:cubicBezTo>
                  <a:pt x="3479266" y="188652"/>
                  <a:pt x="3550307" y="164046"/>
                  <a:pt x="3590391" y="149361"/>
                </a:cubicBezTo>
                <a:cubicBezTo>
                  <a:pt x="3630475" y="134676"/>
                  <a:pt x="3626506" y="132295"/>
                  <a:pt x="3633253" y="125548"/>
                </a:cubicBezTo>
                <a:cubicBezTo>
                  <a:pt x="3640000" y="118801"/>
                  <a:pt x="3635238" y="113642"/>
                  <a:pt x="3630872" y="108880"/>
                </a:cubicBezTo>
                <a:cubicBezTo>
                  <a:pt x="3626506" y="104118"/>
                  <a:pt x="3618171" y="99354"/>
                  <a:pt x="3607059" y="96973"/>
                </a:cubicBezTo>
                <a:cubicBezTo>
                  <a:pt x="3595947" y="94592"/>
                  <a:pt x="3564197" y="94592"/>
                  <a:pt x="3564197" y="94592"/>
                </a:cubicBezTo>
                <a:lnTo>
                  <a:pt x="3283209" y="73161"/>
                </a:lnTo>
                <a:lnTo>
                  <a:pt x="2773622" y="46967"/>
                </a:lnTo>
                <a:lnTo>
                  <a:pt x="1949709" y="4105"/>
                </a:lnTo>
                <a:cubicBezTo>
                  <a:pt x="1739762" y="-3436"/>
                  <a:pt x="1513941" y="1723"/>
                  <a:pt x="1513941" y="1723"/>
                </a:cubicBezTo>
                <a:lnTo>
                  <a:pt x="766228" y="6486"/>
                </a:lnTo>
                <a:lnTo>
                  <a:pt x="148281" y="840"/>
                </a:lnTo>
                <a:lnTo>
                  <a:pt x="0" y="18905"/>
                </a:lnTo>
                <a:close/>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Freihandform 13">
            <a:extLst>
              <a:ext uri="{FF2B5EF4-FFF2-40B4-BE49-F238E27FC236}">
                <a16:creationId xmlns:a16="http://schemas.microsoft.com/office/drawing/2014/main" id="{7D4907F3-9015-4CCA-AAFB-451A17F8A85A}"/>
              </a:ext>
            </a:extLst>
          </xdr:cNvPr>
          <xdr:cNvSpPr/>
        </xdr:nvSpPr>
        <xdr:spPr>
          <a:xfrm>
            <a:off x="7823153" y="1336540"/>
            <a:ext cx="219972" cy="338806"/>
          </a:xfrm>
          <a:custGeom>
            <a:avLst/>
            <a:gdLst>
              <a:gd name="connsiteX0" fmla="*/ 0 w 183357"/>
              <a:gd name="connsiteY0" fmla="*/ 0 h 304800"/>
              <a:gd name="connsiteX1" fmla="*/ 78582 w 183357"/>
              <a:gd name="connsiteY1" fmla="*/ 109538 h 304800"/>
              <a:gd name="connsiteX2" fmla="*/ 157163 w 183357"/>
              <a:gd name="connsiteY2" fmla="*/ 247650 h 304800"/>
              <a:gd name="connsiteX3" fmla="*/ 183357 w 183357"/>
              <a:gd name="connsiteY3" fmla="*/ 304800 h 304800"/>
            </a:gdLst>
            <a:ahLst/>
            <a:cxnLst>
              <a:cxn ang="0">
                <a:pos x="connsiteX0" y="connsiteY0"/>
              </a:cxn>
              <a:cxn ang="0">
                <a:pos x="connsiteX1" y="connsiteY1"/>
              </a:cxn>
              <a:cxn ang="0">
                <a:pos x="connsiteX2" y="connsiteY2"/>
              </a:cxn>
              <a:cxn ang="0">
                <a:pos x="connsiteX3" y="connsiteY3"/>
              </a:cxn>
            </a:cxnLst>
            <a:rect l="l" t="t" r="r" b="b"/>
            <a:pathLst>
              <a:path w="183357" h="304800">
                <a:moveTo>
                  <a:pt x="0" y="0"/>
                </a:moveTo>
                <a:cubicBezTo>
                  <a:pt x="26194" y="34131"/>
                  <a:pt x="52388" y="68263"/>
                  <a:pt x="78582" y="109538"/>
                </a:cubicBezTo>
                <a:cubicBezTo>
                  <a:pt x="104776" y="150813"/>
                  <a:pt x="139701" y="215106"/>
                  <a:pt x="157163" y="247650"/>
                </a:cubicBezTo>
                <a:cubicBezTo>
                  <a:pt x="174626" y="280194"/>
                  <a:pt x="178991" y="292497"/>
                  <a:pt x="183357" y="30480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 name="Freihandform 14">
            <a:extLst>
              <a:ext uri="{FF2B5EF4-FFF2-40B4-BE49-F238E27FC236}">
                <a16:creationId xmlns:a16="http://schemas.microsoft.com/office/drawing/2014/main" id="{8D70BF3B-E056-4AF2-8E4D-6162CF2D8D1E}"/>
              </a:ext>
            </a:extLst>
          </xdr:cNvPr>
          <xdr:cNvSpPr/>
        </xdr:nvSpPr>
        <xdr:spPr>
          <a:xfrm>
            <a:off x="7871719" y="1085083"/>
            <a:ext cx="271392" cy="587617"/>
          </a:xfrm>
          <a:custGeom>
            <a:avLst/>
            <a:gdLst>
              <a:gd name="connsiteX0" fmla="*/ 0 w 226218"/>
              <a:gd name="connsiteY0" fmla="*/ 0 h 528637"/>
              <a:gd name="connsiteX1" fmla="*/ 35718 w 226218"/>
              <a:gd name="connsiteY1" fmla="*/ 71437 h 528637"/>
              <a:gd name="connsiteX2" fmla="*/ 66675 w 226218"/>
              <a:gd name="connsiteY2" fmla="*/ 161925 h 528637"/>
              <a:gd name="connsiteX3" fmla="*/ 78581 w 226218"/>
              <a:gd name="connsiteY3" fmla="*/ 226218 h 528637"/>
              <a:gd name="connsiteX4" fmla="*/ 121443 w 226218"/>
              <a:gd name="connsiteY4" fmla="*/ 290512 h 528637"/>
              <a:gd name="connsiteX5" fmla="*/ 183356 w 226218"/>
              <a:gd name="connsiteY5" fmla="*/ 419100 h 528637"/>
              <a:gd name="connsiteX6" fmla="*/ 226218 w 226218"/>
              <a:gd name="connsiteY6" fmla="*/ 528637 h 5286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218" h="528637">
                <a:moveTo>
                  <a:pt x="0" y="0"/>
                </a:moveTo>
                <a:cubicBezTo>
                  <a:pt x="12303" y="22225"/>
                  <a:pt x="24606" y="44450"/>
                  <a:pt x="35718" y="71437"/>
                </a:cubicBezTo>
                <a:cubicBezTo>
                  <a:pt x="46830" y="98424"/>
                  <a:pt x="59531" y="136128"/>
                  <a:pt x="66675" y="161925"/>
                </a:cubicBezTo>
                <a:cubicBezTo>
                  <a:pt x="73819" y="187722"/>
                  <a:pt x="69453" y="204787"/>
                  <a:pt x="78581" y="226218"/>
                </a:cubicBezTo>
                <a:cubicBezTo>
                  <a:pt x="87709" y="247649"/>
                  <a:pt x="103981" y="258365"/>
                  <a:pt x="121443" y="290512"/>
                </a:cubicBezTo>
                <a:cubicBezTo>
                  <a:pt x="138905" y="322659"/>
                  <a:pt x="165894" y="379413"/>
                  <a:pt x="183356" y="419100"/>
                </a:cubicBezTo>
                <a:cubicBezTo>
                  <a:pt x="200819" y="458788"/>
                  <a:pt x="213518" y="493712"/>
                  <a:pt x="226218" y="528637"/>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6" name="Freihandform 15">
            <a:extLst>
              <a:ext uri="{FF2B5EF4-FFF2-40B4-BE49-F238E27FC236}">
                <a16:creationId xmlns:a16="http://schemas.microsoft.com/office/drawing/2014/main" id="{DF4E92BF-0FD7-428F-8A8E-DD07C3571D8B}"/>
              </a:ext>
            </a:extLst>
          </xdr:cNvPr>
          <xdr:cNvSpPr/>
        </xdr:nvSpPr>
        <xdr:spPr>
          <a:xfrm>
            <a:off x="8128827" y="1344481"/>
            <a:ext cx="109822" cy="334495"/>
          </a:xfrm>
          <a:custGeom>
            <a:avLst/>
            <a:gdLst>
              <a:gd name="connsiteX0" fmla="*/ 0 w 91542"/>
              <a:gd name="connsiteY0" fmla="*/ 0 h 300921"/>
              <a:gd name="connsiteX1" fmla="*/ 52388 w 91542"/>
              <a:gd name="connsiteY1" fmla="*/ 135731 h 300921"/>
              <a:gd name="connsiteX2" fmla="*/ 88106 w 91542"/>
              <a:gd name="connsiteY2" fmla="*/ 276225 h 300921"/>
              <a:gd name="connsiteX3" fmla="*/ 88106 w 91542"/>
              <a:gd name="connsiteY3" fmla="*/ 300038 h 300921"/>
            </a:gdLst>
            <a:ahLst/>
            <a:cxnLst>
              <a:cxn ang="0">
                <a:pos x="connsiteX0" y="connsiteY0"/>
              </a:cxn>
              <a:cxn ang="0">
                <a:pos x="connsiteX1" y="connsiteY1"/>
              </a:cxn>
              <a:cxn ang="0">
                <a:pos x="connsiteX2" y="connsiteY2"/>
              </a:cxn>
              <a:cxn ang="0">
                <a:pos x="connsiteX3" y="connsiteY3"/>
              </a:cxn>
            </a:cxnLst>
            <a:rect l="l" t="t" r="r" b="b"/>
            <a:pathLst>
              <a:path w="91542" h="300921">
                <a:moveTo>
                  <a:pt x="0" y="0"/>
                </a:moveTo>
                <a:cubicBezTo>
                  <a:pt x="18852" y="44847"/>
                  <a:pt x="37704" y="89694"/>
                  <a:pt x="52388" y="135731"/>
                </a:cubicBezTo>
                <a:cubicBezTo>
                  <a:pt x="67072" y="181768"/>
                  <a:pt x="82153" y="248841"/>
                  <a:pt x="88106" y="276225"/>
                </a:cubicBezTo>
                <a:cubicBezTo>
                  <a:pt x="94059" y="303610"/>
                  <a:pt x="91082" y="301824"/>
                  <a:pt x="88106" y="300038"/>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7" name="Freihandform 16">
            <a:extLst>
              <a:ext uri="{FF2B5EF4-FFF2-40B4-BE49-F238E27FC236}">
                <a16:creationId xmlns:a16="http://schemas.microsoft.com/office/drawing/2014/main" id="{534C9C1F-E878-44D7-8DEB-5ACC992FADB4}"/>
              </a:ext>
            </a:extLst>
          </xdr:cNvPr>
          <xdr:cNvSpPr/>
        </xdr:nvSpPr>
        <xdr:spPr>
          <a:xfrm>
            <a:off x="9511504" y="1108905"/>
            <a:ext cx="348174" cy="516151"/>
          </a:xfrm>
          <a:custGeom>
            <a:avLst/>
            <a:gdLst>
              <a:gd name="connsiteX0" fmla="*/ 0 w 290219"/>
              <a:gd name="connsiteY0" fmla="*/ 464344 h 464344"/>
              <a:gd name="connsiteX1" fmla="*/ 107156 w 290219"/>
              <a:gd name="connsiteY1" fmla="*/ 369094 h 464344"/>
              <a:gd name="connsiteX2" fmla="*/ 197644 w 290219"/>
              <a:gd name="connsiteY2" fmla="*/ 300037 h 464344"/>
              <a:gd name="connsiteX3" fmla="*/ 221456 w 290219"/>
              <a:gd name="connsiteY3" fmla="*/ 276225 h 464344"/>
              <a:gd name="connsiteX4" fmla="*/ 235744 w 290219"/>
              <a:gd name="connsiteY4" fmla="*/ 245269 h 464344"/>
              <a:gd name="connsiteX5" fmla="*/ 273844 w 290219"/>
              <a:gd name="connsiteY5" fmla="*/ 164306 h 464344"/>
              <a:gd name="connsiteX6" fmla="*/ 288131 w 290219"/>
              <a:gd name="connsiteY6" fmla="*/ 121444 h 464344"/>
              <a:gd name="connsiteX7" fmla="*/ 283369 w 290219"/>
              <a:gd name="connsiteY7" fmla="*/ 97631 h 464344"/>
              <a:gd name="connsiteX8" fmla="*/ 226219 w 290219"/>
              <a:gd name="connsiteY8" fmla="*/ 66675 h 464344"/>
              <a:gd name="connsiteX9" fmla="*/ 54769 w 290219"/>
              <a:gd name="connsiteY9" fmla="*/ 0 h 4643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90219" h="464344">
                <a:moveTo>
                  <a:pt x="0" y="464344"/>
                </a:moveTo>
                <a:cubicBezTo>
                  <a:pt x="37107" y="430411"/>
                  <a:pt x="74215" y="396478"/>
                  <a:pt x="107156" y="369094"/>
                </a:cubicBezTo>
                <a:cubicBezTo>
                  <a:pt x="140097" y="341710"/>
                  <a:pt x="178594" y="315515"/>
                  <a:pt x="197644" y="300037"/>
                </a:cubicBezTo>
                <a:cubicBezTo>
                  <a:pt x="216694" y="284559"/>
                  <a:pt x="215106" y="285353"/>
                  <a:pt x="221456" y="276225"/>
                </a:cubicBezTo>
                <a:cubicBezTo>
                  <a:pt x="227806" y="267097"/>
                  <a:pt x="227013" y="263922"/>
                  <a:pt x="235744" y="245269"/>
                </a:cubicBezTo>
                <a:cubicBezTo>
                  <a:pt x="244475" y="226616"/>
                  <a:pt x="265113" y="184943"/>
                  <a:pt x="273844" y="164306"/>
                </a:cubicBezTo>
                <a:cubicBezTo>
                  <a:pt x="282575" y="143669"/>
                  <a:pt x="286544" y="132556"/>
                  <a:pt x="288131" y="121444"/>
                </a:cubicBezTo>
                <a:cubicBezTo>
                  <a:pt x="289718" y="110332"/>
                  <a:pt x="293688" y="106759"/>
                  <a:pt x="283369" y="97631"/>
                </a:cubicBezTo>
                <a:cubicBezTo>
                  <a:pt x="273050" y="88503"/>
                  <a:pt x="264319" y="82947"/>
                  <a:pt x="226219" y="66675"/>
                </a:cubicBezTo>
                <a:cubicBezTo>
                  <a:pt x="188119" y="50403"/>
                  <a:pt x="121444" y="25201"/>
                  <a:pt x="54769" y="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 name="Freihandform 17">
            <a:extLst>
              <a:ext uri="{FF2B5EF4-FFF2-40B4-BE49-F238E27FC236}">
                <a16:creationId xmlns:a16="http://schemas.microsoft.com/office/drawing/2014/main" id="{43761E8F-3402-4D88-A807-983395B8D7F3}"/>
              </a:ext>
            </a:extLst>
          </xdr:cNvPr>
          <xdr:cNvSpPr/>
        </xdr:nvSpPr>
        <xdr:spPr>
          <a:xfrm>
            <a:off x="6201435" y="904874"/>
            <a:ext cx="450812" cy="381179"/>
          </a:xfrm>
          <a:custGeom>
            <a:avLst/>
            <a:gdLst>
              <a:gd name="connsiteX0" fmla="*/ 6371 w 375773"/>
              <a:gd name="connsiteY0" fmla="*/ 247846 h 342920"/>
              <a:gd name="connsiteX1" fmla="*/ 89715 w 375773"/>
              <a:gd name="connsiteY1" fmla="*/ 112115 h 342920"/>
              <a:gd name="connsiteX2" fmla="*/ 168296 w 375773"/>
              <a:gd name="connsiteY2" fmla="*/ 38296 h 342920"/>
              <a:gd name="connsiteX3" fmla="*/ 223065 w 375773"/>
              <a:gd name="connsiteY3" fmla="*/ 9721 h 342920"/>
              <a:gd name="connsiteX4" fmla="*/ 313553 w 375773"/>
              <a:gd name="connsiteY4" fmla="*/ 196 h 342920"/>
              <a:gd name="connsiteX5" fmla="*/ 365940 w 375773"/>
              <a:gd name="connsiteY5" fmla="*/ 16865 h 342920"/>
              <a:gd name="connsiteX6" fmla="*/ 368321 w 375773"/>
              <a:gd name="connsiteY6" fmla="*/ 40678 h 342920"/>
              <a:gd name="connsiteX7" fmla="*/ 365940 w 375773"/>
              <a:gd name="connsiteY7" fmla="*/ 47821 h 342920"/>
              <a:gd name="connsiteX8" fmla="*/ 244496 w 375773"/>
              <a:gd name="connsiteY8" fmla="*/ 276421 h 342920"/>
              <a:gd name="connsiteX9" fmla="*/ 208778 w 375773"/>
              <a:gd name="connsiteY9" fmla="*/ 338334 h 342920"/>
              <a:gd name="connsiteX10" fmla="*/ 196871 w 375773"/>
              <a:gd name="connsiteY10" fmla="*/ 338334 h 342920"/>
              <a:gd name="connsiteX11" fmla="*/ 151628 w 375773"/>
              <a:gd name="connsiteY11" fmla="*/ 338334 h 342920"/>
              <a:gd name="connsiteX12" fmla="*/ 63521 w 375773"/>
              <a:gd name="connsiteY12" fmla="*/ 328809 h 342920"/>
              <a:gd name="connsiteX13" fmla="*/ 13515 w 375773"/>
              <a:gd name="connsiteY13" fmla="*/ 297853 h 342920"/>
              <a:gd name="connsiteX14" fmla="*/ 6371 w 375773"/>
              <a:gd name="connsiteY14" fmla="*/ 247846 h 342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375773" h="342920">
                <a:moveTo>
                  <a:pt x="6371" y="247846"/>
                </a:moveTo>
                <a:cubicBezTo>
                  <a:pt x="19071" y="216890"/>
                  <a:pt x="62728" y="147040"/>
                  <a:pt x="89715" y="112115"/>
                </a:cubicBezTo>
                <a:cubicBezTo>
                  <a:pt x="116703" y="77190"/>
                  <a:pt x="146071" y="55362"/>
                  <a:pt x="168296" y="38296"/>
                </a:cubicBezTo>
                <a:cubicBezTo>
                  <a:pt x="190521" y="21230"/>
                  <a:pt x="198856" y="16071"/>
                  <a:pt x="223065" y="9721"/>
                </a:cubicBezTo>
                <a:cubicBezTo>
                  <a:pt x="247275" y="3371"/>
                  <a:pt x="289741" y="-995"/>
                  <a:pt x="313553" y="196"/>
                </a:cubicBezTo>
                <a:cubicBezTo>
                  <a:pt x="337365" y="1387"/>
                  <a:pt x="356812" y="10118"/>
                  <a:pt x="365940" y="16865"/>
                </a:cubicBezTo>
                <a:cubicBezTo>
                  <a:pt x="375068" y="23612"/>
                  <a:pt x="368321" y="35519"/>
                  <a:pt x="368321" y="40678"/>
                </a:cubicBezTo>
                <a:cubicBezTo>
                  <a:pt x="368321" y="45837"/>
                  <a:pt x="386578" y="8530"/>
                  <a:pt x="365940" y="47821"/>
                </a:cubicBezTo>
                <a:cubicBezTo>
                  <a:pt x="345303" y="87111"/>
                  <a:pt x="270690" y="228002"/>
                  <a:pt x="244496" y="276421"/>
                </a:cubicBezTo>
                <a:cubicBezTo>
                  <a:pt x="218302" y="324840"/>
                  <a:pt x="216715" y="328015"/>
                  <a:pt x="208778" y="338334"/>
                </a:cubicBezTo>
                <a:cubicBezTo>
                  <a:pt x="200841" y="348653"/>
                  <a:pt x="196871" y="338334"/>
                  <a:pt x="196871" y="338334"/>
                </a:cubicBezTo>
                <a:cubicBezTo>
                  <a:pt x="187346" y="338334"/>
                  <a:pt x="173853" y="339921"/>
                  <a:pt x="151628" y="338334"/>
                </a:cubicBezTo>
                <a:cubicBezTo>
                  <a:pt x="129403" y="336747"/>
                  <a:pt x="86540" y="335556"/>
                  <a:pt x="63521" y="328809"/>
                </a:cubicBezTo>
                <a:cubicBezTo>
                  <a:pt x="40502" y="322062"/>
                  <a:pt x="25024" y="309759"/>
                  <a:pt x="13515" y="297853"/>
                </a:cubicBezTo>
                <a:cubicBezTo>
                  <a:pt x="2006" y="285947"/>
                  <a:pt x="-6329" y="278802"/>
                  <a:pt x="6371" y="247846"/>
                </a:cubicBezTo>
                <a:close/>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 name="Freihandform 18">
            <a:extLst>
              <a:ext uri="{FF2B5EF4-FFF2-40B4-BE49-F238E27FC236}">
                <a16:creationId xmlns:a16="http://schemas.microsoft.com/office/drawing/2014/main" id="{68FEDE2B-2836-4D8F-A6DE-6794C871B4C7}"/>
              </a:ext>
            </a:extLst>
          </xdr:cNvPr>
          <xdr:cNvSpPr/>
        </xdr:nvSpPr>
        <xdr:spPr>
          <a:xfrm>
            <a:off x="7003261" y="1754754"/>
            <a:ext cx="2751068" cy="105804"/>
          </a:xfrm>
          <a:custGeom>
            <a:avLst/>
            <a:gdLst>
              <a:gd name="connsiteX0" fmla="*/ 0 w 2293143"/>
              <a:gd name="connsiteY0" fmla="*/ 0 h 95184"/>
              <a:gd name="connsiteX1" fmla="*/ 533400 w 2293143"/>
              <a:gd name="connsiteY1" fmla="*/ 64294 h 95184"/>
              <a:gd name="connsiteX2" fmla="*/ 1066800 w 2293143"/>
              <a:gd name="connsiteY2" fmla="*/ 92869 h 95184"/>
              <a:gd name="connsiteX3" fmla="*/ 1657350 w 2293143"/>
              <a:gd name="connsiteY3" fmla="*/ 90487 h 95184"/>
              <a:gd name="connsiteX4" fmla="*/ 2293143 w 2293143"/>
              <a:gd name="connsiteY4" fmla="*/ 66675 h 95184"/>
              <a:gd name="connsiteX0" fmla="*/ 0 w 2293143"/>
              <a:gd name="connsiteY0" fmla="*/ 0 h 95184"/>
              <a:gd name="connsiteX1" fmla="*/ 533400 w 2293143"/>
              <a:gd name="connsiteY1" fmla="*/ 64294 h 95184"/>
              <a:gd name="connsiteX2" fmla="*/ 1066800 w 2293143"/>
              <a:gd name="connsiteY2" fmla="*/ 92869 h 95184"/>
              <a:gd name="connsiteX3" fmla="*/ 1657350 w 2293143"/>
              <a:gd name="connsiteY3" fmla="*/ 90487 h 95184"/>
              <a:gd name="connsiteX4" fmla="*/ 2293143 w 2293143"/>
              <a:gd name="connsiteY4" fmla="*/ 66675 h 9518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293143" h="95184">
                <a:moveTo>
                  <a:pt x="0" y="0"/>
                </a:moveTo>
                <a:cubicBezTo>
                  <a:pt x="177800" y="24408"/>
                  <a:pt x="355600" y="48816"/>
                  <a:pt x="533400" y="64294"/>
                </a:cubicBezTo>
                <a:cubicBezTo>
                  <a:pt x="711200" y="79772"/>
                  <a:pt x="879475" y="88504"/>
                  <a:pt x="1066800" y="92869"/>
                </a:cubicBezTo>
                <a:cubicBezTo>
                  <a:pt x="1254125" y="97234"/>
                  <a:pt x="1452960" y="94853"/>
                  <a:pt x="1657350" y="90487"/>
                </a:cubicBezTo>
                <a:cubicBezTo>
                  <a:pt x="1861740" y="86121"/>
                  <a:pt x="2102246" y="79374"/>
                  <a:pt x="2293143" y="66675"/>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0" name="Freihandform 19">
            <a:extLst>
              <a:ext uri="{FF2B5EF4-FFF2-40B4-BE49-F238E27FC236}">
                <a16:creationId xmlns:a16="http://schemas.microsoft.com/office/drawing/2014/main" id="{8B90BE98-CE04-43D2-9B16-2F78B20F67AB}"/>
              </a:ext>
            </a:extLst>
          </xdr:cNvPr>
          <xdr:cNvSpPr/>
        </xdr:nvSpPr>
        <xdr:spPr>
          <a:xfrm>
            <a:off x="5298721" y="1348010"/>
            <a:ext cx="586590" cy="1535216"/>
          </a:xfrm>
          <a:custGeom>
            <a:avLst/>
            <a:gdLst>
              <a:gd name="connsiteX0" fmla="*/ 488950 w 488950"/>
              <a:gd name="connsiteY0" fmla="*/ 0 h 1381125"/>
              <a:gd name="connsiteX1" fmla="*/ 393700 w 488950"/>
              <a:gd name="connsiteY1" fmla="*/ 44450 h 1381125"/>
              <a:gd name="connsiteX2" fmla="*/ 269875 w 488950"/>
              <a:gd name="connsiteY2" fmla="*/ 139700 h 1381125"/>
              <a:gd name="connsiteX3" fmla="*/ 161925 w 488950"/>
              <a:gd name="connsiteY3" fmla="*/ 317500 h 1381125"/>
              <a:gd name="connsiteX4" fmla="*/ 60325 w 488950"/>
              <a:gd name="connsiteY4" fmla="*/ 688975 h 1381125"/>
              <a:gd name="connsiteX5" fmla="*/ 12700 w 488950"/>
              <a:gd name="connsiteY5" fmla="*/ 1120775 h 1381125"/>
              <a:gd name="connsiteX6" fmla="*/ 0 w 488950"/>
              <a:gd name="connsiteY6" fmla="*/ 1381125 h 13811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88950" h="1381125">
                <a:moveTo>
                  <a:pt x="488950" y="0"/>
                </a:moveTo>
                <a:cubicBezTo>
                  <a:pt x="459581" y="10583"/>
                  <a:pt x="430212" y="21167"/>
                  <a:pt x="393700" y="44450"/>
                </a:cubicBezTo>
                <a:cubicBezTo>
                  <a:pt x="357187" y="67733"/>
                  <a:pt x="308504" y="94192"/>
                  <a:pt x="269875" y="139700"/>
                </a:cubicBezTo>
                <a:cubicBezTo>
                  <a:pt x="231246" y="185208"/>
                  <a:pt x="196850" y="225954"/>
                  <a:pt x="161925" y="317500"/>
                </a:cubicBezTo>
                <a:cubicBezTo>
                  <a:pt x="127000" y="409046"/>
                  <a:pt x="85196" y="555096"/>
                  <a:pt x="60325" y="688975"/>
                </a:cubicBezTo>
                <a:cubicBezTo>
                  <a:pt x="35454" y="822854"/>
                  <a:pt x="22754" y="1005417"/>
                  <a:pt x="12700" y="1120775"/>
                </a:cubicBezTo>
                <a:cubicBezTo>
                  <a:pt x="2646" y="1236133"/>
                  <a:pt x="1323" y="1308629"/>
                  <a:pt x="0" y="1381125"/>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 name="Freihandform 20">
            <a:extLst>
              <a:ext uri="{FF2B5EF4-FFF2-40B4-BE49-F238E27FC236}">
                <a16:creationId xmlns:a16="http://schemas.microsoft.com/office/drawing/2014/main" id="{F2FB4FDC-9810-4820-9EB8-287F9D38E764}"/>
              </a:ext>
            </a:extLst>
          </xdr:cNvPr>
          <xdr:cNvSpPr/>
        </xdr:nvSpPr>
        <xdr:spPr>
          <a:xfrm>
            <a:off x="5694860" y="1453887"/>
            <a:ext cx="1316407" cy="1439927"/>
          </a:xfrm>
          <a:custGeom>
            <a:avLst/>
            <a:gdLst>
              <a:gd name="connsiteX0" fmla="*/ 0 w 1097286"/>
              <a:gd name="connsiteY0" fmla="*/ 0 h 1295400"/>
              <a:gd name="connsiteX1" fmla="*/ 339725 w 1097286"/>
              <a:gd name="connsiteY1" fmla="*/ 82550 h 1295400"/>
              <a:gd name="connsiteX2" fmla="*/ 993775 w 1097286"/>
              <a:gd name="connsiteY2" fmla="*/ 238125 h 1295400"/>
              <a:gd name="connsiteX3" fmla="*/ 1092200 w 1097286"/>
              <a:gd name="connsiteY3" fmla="*/ 263525 h 1295400"/>
              <a:gd name="connsiteX4" fmla="*/ 1079500 w 1097286"/>
              <a:gd name="connsiteY4" fmla="*/ 304800 h 1295400"/>
              <a:gd name="connsiteX5" fmla="*/ 1047750 w 1097286"/>
              <a:gd name="connsiteY5" fmla="*/ 488950 h 1295400"/>
              <a:gd name="connsiteX6" fmla="*/ 1003300 w 1097286"/>
              <a:gd name="connsiteY6" fmla="*/ 860425 h 1295400"/>
              <a:gd name="connsiteX7" fmla="*/ 990600 w 1097286"/>
              <a:gd name="connsiteY7" fmla="*/ 1196975 h 1295400"/>
              <a:gd name="connsiteX8" fmla="*/ 993775 w 1097286"/>
              <a:gd name="connsiteY8" fmla="*/ 1295400 h 1295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097286" h="1295400">
                <a:moveTo>
                  <a:pt x="0" y="0"/>
                </a:moveTo>
                <a:lnTo>
                  <a:pt x="339725" y="82550"/>
                </a:lnTo>
                <a:lnTo>
                  <a:pt x="993775" y="238125"/>
                </a:lnTo>
                <a:cubicBezTo>
                  <a:pt x="1119187" y="268287"/>
                  <a:pt x="1077913" y="252413"/>
                  <a:pt x="1092200" y="263525"/>
                </a:cubicBezTo>
                <a:cubicBezTo>
                  <a:pt x="1106488" y="274638"/>
                  <a:pt x="1086908" y="267229"/>
                  <a:pt x="1079500" y="304800"/>
                </a:cubicBezTo>
                <a:cubicBezTo>
                  <a:pt x="1072092" y="342371"/>
                  <a:pt x="1060450" y="396346"/>
                  <a:pt x="1047750" y="488950"/>
                </a:cubicBezTo>
                <a:cubicBezTo>
                  <a:pt x="1035050" y="581554"/>
                  <a:pt x="1012825" y="742421"/>
                  <a:pt x="1003300" y="860425"/>
                </a:cubicBezTo>
                <a:cubicBezTo>
                  <a:pt x="993775" y="978429"/>
                  <a:pt x="992187" y="1124479"/>
                  <a:pt x="990600" y="1196975"/>
                </a:cubicBezTo>
                <a:cubicBezTo>
                  <a:pt x="989013" y="1269471"/>
                  <a:pt x="991394" y="1282435"/>
                  <a:pt x="993775" y="129540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2" name="Freihandform 21">
            <a:extLst>
              <a:ext uri="{FF2B5EF4-FFF2-40B4-BE49-F238E27FC236}">
                <a16:creationId xmlns:a16="http://schemas.microsoft.com/office/drawing/2014/main" id="{84C9E6BB-9E2C-492B-B50E-76A4879B1BC3}"/>
              </a:ext>
            </a:extLst>
          </xdr:cNvPr>
          <xdr:cNvSpPr/>
        </xdr:nvSpPr>
        <xdr:spPr>
          <a:xfrm>
            <a:off x="5755804" y="1418595"/>
            <a:ext cx="5896373" cy="376734"/>
          </a:xfrm>
          <a:custGeom>
            <a:avLst/>
            <a:gdLst>
              <a:gd name="connsiteX0" fmla="*/ 0 w 4914900"/>
              <a:gd name="connsiteY0" fmla="*/ 0 h 338921"/>
              <a:gd name="connsiteX1" fmla="*/ 215900 w 4914900"/>
              <a:gd name="connsiteY1" fmla="*/ 57150 h 338921"/>
              <a:gd name="connsiteX2" fmla="*/ 746125 w 4914900"/>
              <a:gd name="connsiteY2" fmla="*/ 190500 h 338921"/>
              <a:gd name="connsiteX3" fmla="*/ 1222375 w 4914900"/>
              <a:gd name="connsiteY3" fmla="*/ 276225 h 338921"/>
              <a:gd name="connsiteX4" fmla="*/ 1870075 w 4914900"/>
              <a:gd name="connsiteY4" fmla="*/ 330200 h 338921"/>
              <a:gd name="connsiteX5" fmla="*/ 2247900 w 4914900"/>
              <a:gd name="connsiteY5" fmla="*/ 336550 h 338921"/>
              <a:gd name="connsiteX6" fmla="*/ 2838450 w 4914900"/>
              <a:gd name="connsiteY6" fmla="*/ 336550 h 338921"/>
              <a:gd name="connsiteX7" fmla="*/ 3260725 w 4914900"/>
              <a:gd name="connsiteY7" fmla="*/ 307975 h 338921"/>
              <a:gd name="connsiteX8" fmla="*/ 3829050 w 4914900"/>
              <a:gd name="connsiteY8" fmla="*/ 215900 h 338921"/>
              <a:gd name="connsiteX9" fmla="*/ 4130675 w 4914900"/>
              <a:gd name="connsiteY9" fmla="*/ 168275 h 338921"/>
              <a:gd name="connsiteX10" fmla="*/ 4305300 w 4914900"/>
              <a:gd name="connsiteY10" fmla="*/ 152400 h 338921"/>
              <a:gd name="connsiteX11" fmla="*/ 4673600 w 4914900"/>
              <a:gd name="connsiteY11" fmla="*/ 187325 h 338921"/>
              <a:gd name="connsiteX12" fmla="*/ 4914900 w 4914900"/>
              <a:gd name="connsiteY12" fmla="*/ 215900 h 3389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4914900" h="338921">
                <a:moveTo>
                  <a:pt x="0" y="0"/>
                </a:moveTo>
                <a:lnTo>
                  <a:pt x="215900" y="57150"/>
                </a:lnTo>
                <a:cubicBezTo>
                  <a:pt x="340254" y="88900"/>
                  <a:pt x="578379" y="153987"/>
                  <a:pt x="746125" y="190500"/>
                </a:cubicBezTo>
                <a:cubicBezTo>
                  <a:pt x="913871" y="227013"/>
                  <a:pt x="1035050" y="252942"/>
                  <a:pt x="1222375" y="276225"/>
                </a:cubicBezTo>
                <a:cubicBezTo>
                  <a:pt x="1409700" y="299508"/>
                  <a:pt x="1699154" y="320146"/>
                  <a:pt x="1870075" y="330200"/>
                </a:cubicBezTo>
                <a:cubicBezTo>
                  <a:pt x="2040996" y="340254"/>
                  <a:pt x="2247900" y="336550"/>
                  <a:pt x="2247900" y="336550"/>
                </a:cubicBezTo>
                <a:cubicBezTo>
                  <a:pt x="2409296" y="337608"/>
                  <a:pt x="2669646" y="341312"/>
                  <a:pt x="2838450" y="336550"/>
                </a:cubicBezTo>
                <a:cubicBezTo>
                  <a:pt x="3007254" y="331788"/>
                  <a:pt x="3095625" y="328083"/>
                  <a:pt x="3260725" y="307975"/>
                </a:cubicBezTo>
                <a:cubicBezTo>
                  <a:pt x="3425825" y="287867"/>
                  <a:pt x="3829050" y="215900"/>
                  <a:pt x="3829050" y="215900"/>
                </a:cubicBezTo>
                <a:lnTo>
                  <a:pt x="4130675" y="168275"/>
                </a:lnTo>
                <a:cubicBezTo>
                  <a:pt x="4210050" y="157692"/>
                  <a:pt x="4214813" y="149225"/>
                  <a:pt x="4305300" y="152400"/>
                </a:cubicBezTo>
                <a:cubicBezTo>
                  <a:pt x="4395787" y="155575"/>
                  <a:pt x="4572000" y="176742"/>
                  <a:pt x="4673600" y="187325"/>
                </a:cubicBezTo>
                <a:cubicBezTo>
                  <a:pt x="4775200" y="197908"/>
                  <a:pt x="4845050" y="206904"/>
                  <a:pt x="4914900" y="21590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 name="Freihandform 22">
            <a:extLst>
              <a:ext uri="{FF2B5EF4-FFF2-40B4-BE49-F238E27FC236}">
                <a16:creationId xmlns:a16="http://schemas.microsoft.com/office/drawing/2014/main" id="{7D7A71FA-7C49-4937-9D4F-2949E13FD880}"/>
              </a:ext>
            </a:extLst>
          </xdr:cNvPr>
          <xdr:cNvSpPr/>
        </xdr:nvSpPr>
        <xdr:spPr>
          <a:xfrm>
            <a:off x="9763538" y="1660380"/>
            <a:ext cx="1353005" cy="1198142"/>
          </a:xfrm>
          <a:custGeom>
            <a:avLst/>
            <a:gdLst>
              <a:gd name="connsiteX0" fmla="*/ 120118 w 1127792"/>
              <a:gd name="connsiteY0" fmla="*/ 1077883 h 1077883"/>
              <a:gd name="connsiteX1" fmla="*/ 116943 w 1127792"/>
              <a:gd name="connsiteY1" fmla="*/ 776258 h 1077883"/>
              <a:gd name="connsiteX2" fmla="*/ 59793 w 1127792"/>
              <a:gd name="connsiteY2" fmla="*/ 347633 h 1077883"/>
              <a:gd name="connsiteX3" fmla="*/ 8993 w 1127792"/>
              <a:gd name="connsiteY3" fmla="*/ 160308 h 1077883"/>
              <a:gd name="connsiteX4" fmla="*/ 5818 w 1127792"/>
              <a:gd name="connsiteY4" fmla="*/ 131733 h 1077883"/>
              <a:gd name="connsiteX5" fmla="*/ 69318 w 1127792"/>
              <a:gd name="connsiteY5" fmla="*/ 122208 h 1077883"/>
              <a:gd name="connsiteX6" fmla="*/ 551918 w 1127792"/>
              <a:gd name="connsiteY6" fmla="*/ 52358 h 1077883"/>
              <a:gd name="connsiteX7" fmla="*/ 812268 w 1127792"/>
              <a:gd name="connsiteY7" fmla="*/ 1558 h 1077883"/>
              <a:gd name="connsiteX8" fmla="*/ 907518 w 1127792"/>
              <a:gd name="connsiteY8" fmla="*/ 17433 h 1077883"/>
              <a:gd name="connsiteX9" fmla="*/ 961493 w 1127792"/>
              <a:gd name="connsiteY9" fmla="*/ 61883 h 1077883"/>
              <a:gd name="connsiteX10" fmla="*/ 1069443 w 1127792"/>
              <a:gd name="connsiteY10" fmla="*/ 376208 h 1077883"/>
              <a:gd name="connsiteX11" fmla="*/ 1120243 w 1127792"/>
              <a:gd name="connsiteY11" fmla="*/ 804833 h 1077883"/>
              <a:gd name="connsiteX12" fmla="*/ 1126593 w 1127792"/>
              <a:gd name="connsiteY12" fmla="*/ 1071533 h 10778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127792" h="1077883">
                <a:moveTo>
                  <a:pt x="120118" y="1077883"/>
                </a:moveTo>
                <a:cubicBezTo>
                  <a:pt x="123557" y="987924"/>
                  <a:pt x="126997" y="897966"/>
                  <a:pt x="116943" y="776258"/>
                </a:cubicBezTo>
                <a:cubicBezTo>
                  <a:pt x="106889" y="654550"/>
                  <a:pt x="77785" y="450291"/>
                  <a:pt x="59793" y="347633"/>
                </a:cubicBezTo>
                <a:cubicBezTo>
                  <a:pt x="41801" y="244975"/>
                  <a:pt x="17989" y="196291"/>
                  <a:pt x="8993" y="160308"/>
                </a:cubicBezTo>
                <a:cubicBezTo>
                  <a:pt x="-3" y="124325"/>
                  <a:pt x="-4236" y="138083"/>
                  <a:pt x="5818" y="131733"/>
                </a:cubicBezTo>
                <a:cubicBezTo>
                  <a:pt x="15872" y="125383"/>
                  <a:pt x="69318" y="122208"/>
                  <a:pt x="69318" y="122208"/>
                </a:cubicBezTo>
                <a:lnTo>
                  <a:pt x="551918" y="52358"/>
                </a:lnTo>
                <a:cubicBezTo>
                  <a:pt x="675743" y="32250"/>
                  <a:pt x="753001" y="7379"/>
                  <a:pt x="812268" y="1558"/>
                </a:cubicBezTo>
                <a:cubicBezTo>
                  <a:pt x="871535" y="-4263"/>
                  <a:pt x="882647" y="7379"/>
                  <a:pt x="907518" y="17433"/>
                </a:cubicBezTo>
                <a:cubicBezTo>
                  <a:pt x="932389" y="27487"/>
                  <a:pt x="934506" y="2087"/>
                  <a:pt x="961493" y="61883"/>
                </a:cubicBezTo>
                <a:cubicBezTo>
                  <a:pt x="988480" y="121679"/>
                  <a:pt x="1042985" y="252383"/>
                  <a:pt x="1069443" y="376208"/>
                </a:cubicBezTo>
                <a:cubicBezTo>
                  <a:pt x="1095901" y="500033"/>
                  <a:pt x="1110718" y="688945"/>
                  <a:pt x="1120243" y="804833"/>
                </a:cubicBezTo>
                <a:cubicBezTo>
                  <a:pt x="1129768" y="920720"/>
                  <a:pt x="1128180" y="996126"/>
                  <a:pt x="1126593" y="1071533"/>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 name="Freihandform 23">
            <a:extLst>
              <a:ext uri="{FF2B5EF4-FFF2-40B4-BE49-F238E27FC236}">
                <a16:creationId xmlns:a16="http://schemas.microsoft.com/office/drawing/2014/main" id="{F23DA9B8-556D-49AE-89E6-BC3E20749253}"/>
              </a:ext>
            </a:extLst>
          </xdr:cNvPr>
          <xdr:cNvSpPr/>
        </xdr:nvSpPr>
        <xdr:spPr>
          <a:xfrm>
            <a:off x="6582363" y="1079788"/>
            <a:ext cx="5530706" cy="1787068"/>
          </a:xfrm>
          <a:custGeom>
            <a:avLst/>
            <a:gdLst>
              <a:gd name="connsiteX0" fmla="*/ 0 w 4613224"/>
              <a:gd name="connsiteY0" fmla="*/ 0 h 1587500"/>
              <a:gd name="connsiteX1" fmla="*/ 1082675 w 4613224"/>
              <a:gd name="connsiteY1" fmla="*/ 6350 h 1587500"/>
              <a:gd name="connsiteX2" fmla="*/ 2124075 w 4613224"/>
              <a:gd name="connsiteY2" fmla="*/ 38100 h 1587500"/>
              <a:gd name="connsiteX3" fmla="*/ 2368550 w 4613224"/>
              <a:gd name="connsiteY3" fmla="*/ 22225 h 1587500"/>
              <a:gd name="connsiteX4" fmla="*/ 2670175 w 4613224"/>
              <a:gd name="connsiteY4" fmla="*/ 22225 h 1587500"/>
              <a:gd name="connsiteX5" fmla="*/ 3057525 w 4613224"/>
              <a:gd name="connsiteY5" fmla="*/ 22225 h 1587500"/>
              <a:gd name="connsiteX6" fmla="*/ 3454400 w 4613224"/>
              <a:gd name="connsiteY6" fmla="*/ 44450 h 1587500"/>
              <a:gd name="connsiteX7" fmla="*/ 3517900 w 4613224"/>
              <a:gd name="connsiteY7" fmla="*/ 44450 h 1587500"/>
              <a:gd name="connsiteX8" fmla="*/ 3552825 w 4613224"/>
              <a:gd name="connsiteY8" fmla="*/ 53975 h 1587500"/>
              <a:gd name="connsiteX9" fmla="*/ 3673475 w 4613224"/>
              <a:gd name="connsiteY9" fmla="*/ 98425 h 1587500"/>
              <a:gd name="connsiteX10" fmla="*/ 3914775 w 4613224"/>
              <a:gd name="connsiteY10" fmla="*/ 146050 h 1587500"/>
              <a:gd name="connsiteX11" fmla="*/ 4111625 w 4613224"/>
              <a:gd name="connsiteY11" fmla="*/ 187325 h 1587500"/>
              <a:gd name="connsiteX12" fmla="*/ 4251325 w 4613224"/>
              <a:gd name="connsiteY12" fmla="*/ 244475 h 1587500"/>
              <a:gd name="connsiteX13" fmla="*/ 4346575 w 4613224"/>
              <a:gd name="connsiteY13" fmla="*/ 323850 h 1587500"/>
              <a:gd name="connsiteX14" fmla="*/ 4441825 w 4613224"/>
              <a:gd name="connsiteY14" fmla="*/ 444500 h 1587500"/>
              <a:gd name="connsiteX15" fmla="*/ 4530725 w 4613224"/>
              <a:gd name="connsiteY15" fmla="*/ 727075 h 1587500"/>
              <a:gd name="connsiteX16" fmla="*/ 4603750 w 4613224"/>
              <a:gd name="connsiteY16" fmla="*/ 1374775 h 1587500"/>
              <a:gd name="connsiteX17" fmla="*/ 4610100 w 4613224"/>
              <a:gd name="connsiteY17" fmla="*/ 1587500 h 1587500"/>
              <a:gd name="connsiteX0" fmla="*/ 0 w 4610100"/>
              <a:gd name="connsiteY0" fmla="*/ 0 h 1587500"/>
              <a:gd name="connsiteX1" fmla="*/ 1082675 w 4610100"/>
              <a:gd name="connsiteY1" fmla="*/ 6350 h 1587500"/>
              <a:gd name="connsiteX2" fmla="*/ 2124075 w 4610100"/>
              <a:gd name="connsiteY2" fmla="*/ 38100 h 1587500"/>
              <a:gd name="connsiteX3" fmla="*/ 2368550 w 4610100"/>
              <a:gd name="connsiteY3" fmla="*/ 22225 h 1587500"/>
              <a:gd name="connsiteX4" fmla="*/ 2670175 w 4610100"/>
              <a:gd name="connsiteY4" fmla="*/ 22225 h 1587500"/>
              <a:gd name="connsiteX5" fmla="*/ 3057525 w 4610100"/>
              <a:gd name="connsiteY5" fmla="*/ 22225 h 1587500"/>
              <a:gd name="connsiteX6" fmla="*/ 3454400 w 4610100"/>
              <a:gd name="connsiteY6" fmla="*/ 44450 h 1587500"/>
              <a:gd name="connsiteX7" fmla="*/ 3517900 w 4610100"/>
              <a:gd name="connsiteY7" fmla="*/ 44450 h 1587500"/>
              <a:gd name="connsiteX8" fmla="*/ 3552825 w 4610100"/>
              <a:gd name="connsiteY8" fmla="*/ 53975 h 1587500"/>
              <a:gd name="connsiteX9" fmla="*/ 3673475 w 4610100"/>
              <a:gd name="connsiteY9" fmla="*/ 98425 h 1587500"/>
              <a:gd name="connsiteX10" fmla="*/ 3914775 w 4610100"/>
              <a:gd name="connsiteY10" fmla="*/ 146050 h 1587500"/>
              <a:gd name="connsiteX11" fmla="*/ 4111625 w 4610100"/>
              <a:gd name="connsiteY11" fmla="*/ 187325 h 1587500"/>
              <a:gd name="connsiteX12" fmla="*/ 4251325 w 4610100"/>
              <a:gd name="connsiteY12" fmla="*/ 244475 h 1587500"/>
              <a:gd name="connsiteX13" fmla="*/ 4346575 w 4610100"/>
              <a:gd name="connsiteY13" fmla="*/ 323850 h 1587500"/>
              <a:gd name="connsiteX14" fmla="*/ 4441825 w 4610100"/>
              <a:gd name="connsiteY14" fmla="*/ 444500 h 1587500"/>
              <a:gd name="connsiteX15" fmla="*/ 4530725 w 4610100"/>
              <a:gd name="connsiteY15" fmla="*/ 727075 h 1587500"/>
              <a:gd name="connsiteX16" fmla="*/ 4603750 w 4610100"/>
              <a:gd name="connsiteY16" fmla="*/ 1374775 h 1587500"/>
              <a:gd name="connsiteX17" fmla="*/ 4610100 w 4610100"/>
              <a:gd name="connsiteY17" fmla="*/ 1587500 h 1587500"/>
              <a:gd name="connsiteX0" fmla="*/ 0 w 4610100"/>
              <a:gd name="connsiteY0" fmla="*/ 0 h 1607698"/>
              <a:gd name="connsiteX1" fmla="*/ 1082675 w 4610100"/>
              <a:gd name="connsiteY1" fmla="*/ 6350 h 1607698"/>
              <a:gd name="connsiteX2" fmla="*/ 2124075 w 4610100"/>
              <a:gd name="connsiteY2" fmla="*/ 38100 h 1607698"/>
              <a:gd name="connsiteX3" fmla="*/ 2368550 w 4610100"/>
              <a:gd name="connsiteY3" fmla="*/ 22225 h 1607698"/>
              <a:gd name="connsiteX4" fmla="*/ 2670175 w 4610100"/>
              <a:gd name="connsiteY4" fmla="*/ 22225 h 1607698"/>
              <a:gd name="connsiteX5" fmla="*/ 3057525 w 4610100"/>
              <a:gd name="connsiteY5" fmla="*/ 22225 h 1607698"/>
              <a:gd name="connsiteX6" fmla="*/ 3454400 w 4610100"/>
              <a:gd name="connsiteY6" fmla="*/ 44450 h 1607698"/>
              <a:gd name="connsiteX7" fmla="*/ 3517900 w 4610100"/>
              <a:gd name="connsiteY7" fmla="*/ 44450 h 1607698"/>
              <a:gd name="connsiteX8" fmla="*/ 3552825 w 4610100"/>
              <a:gd name="connsiteY8" fmla="*/ 53975 h 1607698"/>
              <a:gd name="connsiteX9" fmla="*/ 3673475 w 4610100"/>
              <a:gd name="connsiteY9" fmla="*/ 98425 h 1607698"/>
              <a:gd name="connsiteX10" fmla="*/ 3914775 w 4610100"/>
              <a:gd name="connsiteY10" fmla="*/ 146050 h 1607698"/>
              <a:gd name="connsiteX11" fmla="*/ 4111625 w 4610100"/>
              <a:gd name="connsiteY11" fmla="*/ 187325 h 1607698"/>
              <a:gd name="connsiteX12" fmla="*/ 4251325 w 4610100"/>
              <a:gd name="connsiteY12" fmla="*/ 244475 h 1607698"/>
              <a:gd name="connsiteX13" fmla="*/ 4346575 w 4610100"/>
              <a:gd name="connsiteY13" fmla="*/ 323850 h 1607698"/>
              <a:gd name="connsiteX14" fmla="*/ 4441825 w 4610100"/>
              <a:gd name="connsiteY14" fmla="*/ 444500 h 1607698"/>
              <a:gd name="connsiteX15" fmla="*/ 4530725 w 4610100"/>
              <a:gd name="connsiteY15" fmla="*/ 727075 h 1607698"/>
              <a:gd name="connsiteX16" fmla="*/ 4603750 w 4610100"/>
              <a:gd name="connsiteY16" fmla="*/ 1374775 h 1607698"/>
              <a:gd name="connsiteX17" fmla="*/ 4610100 w 4610100"/>
              <a:gd name="connsiteY17" fmla="*/ 1607698 h 16076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4610100" h="1607698">
                <a:moveTo>
                  <a:pt x="0" y="0"/>
                </a:moveTo>
                <a:lnTo>
                  <a:pt x="1082675" y="6350"/>
                </a:lnTo>
                <a:cubicBezTo>
                  <a:pt x="1436687" y="12700"/>
                  <a:pt x="1909763" y="35454"/>
                  <a:pt x="2124075" y="38100"/>
                </a:cubicBezTo>
                <a:cubicBezTo>
                  <a:pt x="2338387" y="40746"/>
                  <a:pt x="2277533" y="24871"/>
                  <a:pt x="2368550" y="22225"/>
                </a:cubicBezTo>
                <a:cubicBezTo>
                  <a:pt x="2459567" y="19579"/>
                  <a:pt x="2670175" y="22225"/>
                  <a:pt x="2670175" y="22225"/>
                </a:cubicBezTo>
                <a:cubicBezTo>
                  <a:pt x="2785004" y="22225"/>
                  <a:pt x="2926821" y="18521"/>
                  <a:pt x="3057525" y="22225"/>
                </a:cubicBezTo>
                <a:cubicBezTo>
                  <a:pt x="3188229" y="25929"/>
                  <a:pt x="3377671" y="40746"/>
                  <a:pt x="3454400" y="44450"/>
                </a:cubicBezTo>
                <a:cubicBezTo>
                  <a:pt x="3531129" y="48154"/>
                  <a:pt x="3501496" y="42863"/>
                  <a:pt x="3517900" y="44450"/>
                </a:cubicBezTo>
                <a:cubicBezTo>
                  <a:pt x="3534304" y="46037"/>
                  <a:pt x="3526896" y="44979"/>
                  <a:pt x="3552825" y="53975"/>
                </a:cubicBezTo>
                <a:cubicBezTo>
                  <a:pt x="3578754" y="62971"/>
                  <a:pt x="3613150" y="83079"/>
                  <a:pt x="3673475" y="98425"/>
                </a:cubicBezTo>
                <a:cubicBezTo>
                  <a:pt x="3733800" y="113771"/>
                  <a:pt x="3914775" y="146050"/>
                  <a:pt x="3914775" y="146050"/>
                </a:cubicBezTo>
                <a:cubicBezTo>
                  <a:pt x="3987800" y="160867"/>
                  <a:pt x="4055533" y="170921"/>
                  <a:pt x="4111625" y="187325"/>
                </a:cubicBezTo>
                <a:cubicBezTo>
                  <a:pt x="4167717" y="203729"/>
                  <a:pt x="4212167" y="221721"/>
                  <a:pt x="4251325" y="244475"/>
                </a:cubicBezTo>
                <a:cubicBezTo>
                  <a:pt x="4290483" y="267229"/>
                  <a:pt x="4314825" y="290513"/>
                  <a:pt x="4346575" y="323850"/>
                </a:cubicBezTo>
                <a:cubicBezTo>
                  <a:pt x="4378325" y="357187"/>
                  <a:pt x="4411133" y="377296"/>
                  <a:pt x="4441825" y="444500"/>
                </a:cubicBezTo>
                <a:cubicBezTo>
                  <a:pt x="4472517" y="511704"/>
                  <a:pt x="4503738" y="572029"/>
                  <a:pt x="4530725" y="727075"/>
                </a:cubicBezTo>
                <a:cubicBezTo>
                  <a:pt x="4557713" y="882121"/>
                  <a:pt x="4590521" y="1231371"/>
                  <a:pt x="4603750" y="1374775"/>
                </a:cubicBezTo>
                <a:cubicBezTo>
                  <a:pt x="4616979" y="1518179"/>
                  <a:pt x="4603321" y="1468684"/>
                  <a:pt x="4610100" y="1607698"/>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 name="Freihandform 24">
            <a:extLst>
              <a:ext uri="{FF2B5EF4-FFF2-40B4-BE49-F238E27FC236}">
                <a16:creationId xmlns:a16="http://schemas.microsoft.com/office/drawing/2014/main" id="{CF3F2D90-96D6-466A-B679-8BE5AA0670DB}"/>
              </a:ext>
            </a:extLst>
          </xdr:cNvPr>
          <xdr:cNvSpPr/>
        </xdr:nvSpPr>
        <xdr:spPr>
          <a:xfrm>
            <a:off x="10882755" y="1630348"/>
            <a:ext cx="1070632" cy="1230299"/>
          </a:xfrm>
          <a:custGeom>
            <a:avLst/>
            <a:gdLst>
              <a:gd name="connsiteX0" fmla="*/ 0 w 889101"/>
              <a:gd name="connsiteY0" fmla="*/ 50800 h 1073150"/>
              <a:gd name="connsiteX1" fmla="*/ 57150 w 889101"/>
              <a:gd name="connsiteY1" fmla="*/ 12700 h 1073150"/>
              <a:gd name="connsiteX2" fmla="*/ 111125 w 889101"/>
              <a:gd name="connsiteY2" fmla="*/ 0 h 1073150"/>
              <a:gd name="connsiteX3" fmla="*/ 263525 w 889101"/>
              <a:gd name="connsiteY3" fmla="*/ 12700 h 1073150"/>
              <a:gd name="connsiteX4" fmla="*/ 657225 w 889101"/>
              <a:gd name="connsiteY4" fmla="*/ 57150 h 1073150"/>
              <a:gd name="connsiteX5" fmla="*/ 708025 w 889101"/>
              <a:gd name="connsiteY5" fmla="*/ 69850 h 1073150"/>
              <a:gd name="connsiteX6" fmla="*/ 768350 w 889101"/>
              <a:gd name="connsiteY6" fmla="*/ 88900 h 1073150"/>
              <a:gd name="connsiteX7" fmla="*/ 790575 w 889101"/>
              <a:gd name="connsiteY7" fmla="*/ 142875 h 1073150"/>
              <a:gd name="connsiteX8" fmla="*/ 847725 w 889101"/>
              <a:gd name="connsiteY8" fmla="*/ 377825 h 1073150"/>
              <a:gd name="connsiteX9" fmla="*/ 882650 w 889101"/>
              <a:gd name="connsiteY9" fmla="*/ 692150 h 1073150"/>
              <a:gd name="connsiteX10" fmla="*/ 889000 w 889101"/>
              <a:gd name="connsiteY10" fmla="*/ 1073150 h 1073150"/>
              <a:gd name="connsiteX0" fmla="*/ 0 w 892421"/>
              <a:gd name="connsiteY0" fmla="*/ 50800 h 1106813"/>
              <a:gd name="connsiteX1" fmla="*/ 57150 w 892421"/>
              <a:gd name="connsiteY1" fmla="*/ 12700 h 1106813"/>
              <a:gd name="connsiteX2" fmla="*/ 111125 w 892421"/>
              <a:gd name="connsiteY2" fmla="*/ 0 h 1106813"/>
              <a:gd name="connsiteX3" fmla="*/ 263525 w 892421"/>
              <a:gd name="connsiteY3" fmla="*/ 12700 h 1106813"/>
              <a:gd name="connsiteX4" fmla="*/ 657225 w 892421"/>
              <a:gd name="connsiteY4" fmla="*/ 57150 h 1106813"/>
              <a:gd name="connsiteX5" fmla="*/ 708025 w 892421"/>
              <a:gd name="connsiteY5" fmla="*/ 69850 h 1106813"/>
              <a:gd name="connsiteX6" fmla="*/ 768350 w 892421"/>
              <a:gd name="connsiteY6" fmla="*/ 88900 h 1106813"/>
              <a:gd name="connsiteX7" fmla="*/ 790575 w 892421"/>
              <a:gd name="connsiteY7" fmla="*/ 142875 h 1106813"/>
              <a:gd name="connsiteX8" fmla="*/ 847725 w 892421"/>
              <a:gd name="connsiteY8" fmla="*/ 377825 h 1106813"/>
              <a:gd name="connsiteX9" fmla="*/ 882650 w 892421"/>
              <a:gd name="connsiteY9" fmla="*/ 692150 h 1106813"/>
              <a:gd name="connsiteX10" fmla="*/ 892406 w 892421"/>
              <a:gd name="connsiteY10" fmla="*/ 1106813 h 11068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892421" h="1106813">
                <a:moveTo>
                  <a:pt x="0" y="50800"/>
                </a:moveTo>
                <a:cubicBezTo>
                  <a:pt x="19314" y="35983"/>
                  <a:pt x="38629" y="21167"/>
                  <a:pt x="57150" y="12700"/>
                </a:cubicBezTo>
                <a:cubicBezTo>
                  <a:pt x="75671" y="4233"/>
                  <a:pt x="76729" y="0"/>
                  <a:pt x="111125" y="0"/>
                </a:cubicBezTo>
                <a:cubicBezTo>
                  <a:pt x="145521" y="0"/>
                  <a:pt x="263525" y="12700"/>
                  <a:pt x="263525" y="12700"/>
                </a:cubicBezTo>
                <a:lnTo>
                  <a:pt x="657225" y="57150"/>
                </a:lnTo>
                <a:cubicBezTo>
                  <a:pt x="731308" y="66675"/>
                  <a:pt x="689504" y="64558"/>
                  <a:pt x="708025" y="69850"/>
                </a:cubicBezTo>
                <a:cubicBezTo>
                  <a:pt x="726546" y="75142"/>
                  <a:pt x="754592" y="76729"/>
                  <a:pt x="768350" y="88900"/>
                </a:cubicBezTo>
                <a:cubicBezTo>
                  <a:pt x="782108" y="101071"/>
                  <a:pt x="777346" y="94721"/>
                  <a:pt x="790575" y="142875"/>
                </a:cubicBezTo>
                <a:cubicBezTo>
                  <a:pt x="803804" y="191029"/>
                  <a:pt x="832379" y="286279"/>
                  <a:pt x="847725" y="377825"/>
                </a:cubicBezTo>
                <a:cubicBezTo>
                  <a:pt x="863071" y="469371"/>
                  <a:pt x="875771" y="576263"/>
                  <a:pt x="882650" y="692150"/>
                </a:cubicBezTo>
                <a:cubicBezTo>
                  <a:pt x="889529" y="808037"/>
                  <a:pt x="892670" y="974256"/>
                  <a:pt x="892406" y="1106813"/>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6" name="Freihandform 25">
            <a:extLst>
              <a:ext uri="{FF2B5EF4-FFF2-40B4-BE49-F238E27FC236}">
                <a16:creationId xmlns:a16="http://schemas.microsoft.com/office/drawing/2014/main" id="{6D1FD0DC-C5C3-45F1-BF1A-A1F0EC5311DE}"/>
              </a:ext>
            </a:extLst>
          </xdr:cNvPr>
          <xdr:cNvSpPr/>
        </xdr:nvSpPr>
        <xdr:spPr>
          <a:xfrm>
            <a:off x="11239289" y="1341344"/>
            <a:ext cx="618575" cy="631340"/>
          </a:xfrm>
          <a:custGeom>
            <a:avLst/>
            <a:gdLst>
              <a:gd name="connsiteX0" fmla="*/ 515611 w 515611"/>
              <a:gd name="connsiteY0" fmla="*/ 567972 h 567972"/>
              <a:gd name="connsiteX1" fmla="*/ 458461 w 515611"/>
              <a:gd name="connsiteY1" fmla="*/ 367947 h 567972"/>
              <a:gd name="connsiteX2" fmla="*/ 414011 w 515611"/>
              <a:gd name="connsiteY2" fmla="*/ 250472 h 567972"/>
              <a:gd name="connsiteX3" fmla="*/ 363211 w 515611"/>
              <a:gd name="connsiteY3" fmla="*/ 183797 h 567972"/>
              <a:gd name="connsiteX4" fmla="*/ 252086 w 515611"/>
              <a:gd name="connsiteY4" fmla="*/ 91722 h 567972"/>
              <a:gd name="connsiteX5" fmla="*/ 163186 w 515611"/>
              <a:gd name="connsiteY5" fmla="*/ 53622 h 567972"/>
              <a:gd name="connsiteX6" fmla="*/ 93336 w 515611"/>
              <a:gd name="connsiteY6" fmla="*/ 40922 h 567972"/>
              <a:gd name="connsiteX7" fmla="*/ 36186 w 515611"/>
              <a:gd name="connsiteY7" fmla="*/ 21872 h 567972"/>
              <a:gd name="connsiteX8" fmla="*/ 1261 w 515611"/>
              <a:gd name="connsiteY8" fmla="*/ 2822 h 567972"/>
              <a:gd name="connsiteX9" fmla="*/ 80636 w 515611"/>
              <a:gd name="connsiteY9" fmla="*/ 2822 h 567972"/>
              <a:gd name="connsiteX10" fmla="*/ 169536 w 515611"/>
              <a:gd name="connsiteY10" fmla="*/ 2822 h 567972"/>
              <a:gd name="connsiteX11" fmla="*/ 248911 w 515611"/>
              <a:gd name="connsiteY11" fmla="*/ 40922 h 567972"/>
              <a:gd name="connsiteX12" fmla="*/ 366386 w 515611"/>
              <a:gd name="connsiteY12" fmla="*/ 129822 h 567972"/>
              <a:gd name="connsiteX13" fmla="*/ 461636 w 515611"/>
              <a:gd name="connsiteY13" fmla="*/ 294922 h 567972"/>
              <a:gd name="connsiteX14" fmla="*/ 490211 w 515611"/>
              <a:gd name="connsiteY14" fmla="*/ 371122 h 567972"/>
              <a:gd name="connsiteX0" fmla="*/ 515611 w 515611"/>
              <a:gd name="connsiteY0" fmla="*/ 567972 h 567972"/>
              <a:gd name="connsiteX1" fmla="*/ 458461 w 515611"/>
              <a:gd name="connsiteY1" fmla="*/ 367947 h 567972"/>
              <a:gd name="connsiteX2" fmla="*/ 414011 w 515611"/>
              <a:gd name="connsiteY2" fmla="*/ 250472 h 567972"/>
              <a:gd name="connsiteX3" fmla="*/ 363211 w 515611"/>
              <a:gd name="connsiteY3" fmla="*/ 183797 h 567972"/>
              <a:gd name="connsiteX4" fmla="*/ 252086 w 515611"/>
              <a:gd name="connsiteY4" fmla="*/ 91722 h 567972"/>
              <a:gd name="connsiteX5" fmla="*/ 163186 w 515611"/>
              <a:gd name="connsiteY5" fmla="*/ 53622 h 567972"/>
              <a:gd name="connsiteX6" fmla="*/ 93336 w 515611"/>
              <a:gd name="connsiteY6" fmla="*/ 40922 h 567972"/>
              <a:gd name="connsiteX7" fmla="*/ 36186 w 515611"/>
              <a:gd name="connsiteY7" fmla="*/ 21872 h 567972"/>
              <a:gd name="connsiteX8" fmla="*/ 1261 w 515611"/>
              <a:gd name="connsiteY8" fmla="*/ 2822 h 567972"/>
              <a:gd name="connsiteX9" fmla="*/ 80636 w 515611"/>
              <a:gd name="connsiteY9" fmla="*/ 2822 h 567972"/>
              <a:gd name="connsiteX10" fmla="*/ 169536 w 515611"/>
              <a:gd name="connsiteY10" fmla="*/ 2822 h 567972"/>
              <a:gd name="connsiteX11" fmla="*/ 248911 w 515611"/>
              <a:gd name="connsiteY11" fmla="*/ 40922 h 567972"/>
              <a:gd name="connsiteX12" fmla="*/ 366386 w 515611"/>
              <a:gd name="connsiteY12" fmla="*/ 129822 h 567972"/>
              <a:gd name="connsiteX13" fmla="*/ 461636 w 515611"/>
              <a:gd name="connsiteY13" fmla="*/ 294922 h 567972"/>
              <a:gd name="connsiteX14" fmla="*/ 490211 w 515611"/>
              <a:gd name="connsiteY14" fmla="*/ 394934 h 5679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515611" h="567972">
                <a:moveTo>
                  <a:pt x="515611" y="567972"/>
                </a:moveTo>
                <a:cubicBezTo>
                  <a:pt x="495502" y="494418"/>
                  <a:pt x="475394" y="420864"/>
                  <a:pt x="458461" y="367947"/>
                </a:cubicBezTo>
                <a:cubicBezTo>
                  <a:pt x="441528" y="315030"/>
                  <a:pt x="429886" y="281164"/>
                  <a:pt x="414011" y="250472"/>
                </a:cubicBezTo>
                <a:cubicBezTo>
                  <a:pt x="398136" y="219780"/>
                  <a:pt x="390199" y="210255"/>
                  <a:pt x="363211" y="183797"/>
                </a:cubicBezTo>
                <a:cubicBezTo>
                  <a:pt x="336223" y="157339"/>
                  <a:pt x="285423" y="113418"/>
                  <a:pt x="252086" y="91722"/>
                </a:cubicBezTo>
                <a:cubicBezTo>
                  <a:pt x="218748" y="70026"/>
                  <a:pt x="189644" y="62089"/>
                  <a:pt x="163186" y="53622"/>
                </a:cubicBezTo>
                <a:cubicBezTo>
                  <a:pt x="136728" y="45155"/>
                  <a:pt x="114502" y="46214"/>
                  <a:pt x="93336" y="40922"/>
                </a:cubicBezTo>
                <a:cubicBezTo>
                  <a:pt x="72170" y="35630"/>
                  <a:pt x="51532" y="28222"/>
                  <a:pt x="36186" y="21872"/>
                </a:cubicBezTo>
                <a:cubicBezTo>
                  <a:pt x="20840" y="15522"/>
                  <a:pt x="-6147" y="5997"/>
                  <a:pt x="1261" y="2822"/>
                </a:cubicBezTo>
                <a:cubicBezTo>
                  <a:pt x="8669" y="-353"/>
                  <a:pt x="80636" y="2822"/>
                  <a:pt x="80636" y="2822"/>
                </a:cubicBezTo>
                <a:cubicBezTo>
                  <a:pt x="108682" y="2822"/>
                  <a:pt x="141490" y="-3528"/>
                  <a:pt x="169536" y="2822"/>
                </a:cubicBezTo>
                <a:cubicBezTo>
                  <a:pt x="197582" y="9172"/>
                  <a:pt x="216103" y="19755"/>
                  <a:pt x="248911" y="40922"/>
                </a:cubicBezTo>
                <a:cubicBezTo>
                  <a:pt x="281719" y="62089"/>
                  <a:pt x="330932" y="87489"/>
                  <a:pt x="366386" y="129822"/>
                </a:cubicBezTo>
                <a:cubicBezTo>
                  <a:pt x="401840" y="172155"/>
                  <a:pt x="440999" y="250737"/>
                  <a:pt x="461636" y="294922"/>
                </a:cubicBezTo>
                <a:cubicBezTo>
                  <a:pt x="482273" y="339107"/>
                  <a:pt x="486242" y="376942"/>
                  <a:pt x="490211" y="394934"/>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7" name="Freihandform 26">
            <a:extLst>
              <a:ext uri="{FF2B5EF4-FFF2-40B4-BE49-F238E27FC236}">
                <a16:creationId xmlns:a16="http://schemas.microsoft.com/office/drawing/2014/main" id="{64C597AA-1F2C-4812-9B78-67E76C6D3896}"/>
              </a:ext>
            </a:extLst>
          </xdr:cNvPr>
          <xdr:cNvSpPr/>
        </xdr:nvSpPr>
        <xdr:spPr>
          <a:xfrm>
            <a:off x="11377927" y="1422124"/>
            <a:ext cx="491364" cy="1444945"/>
          </a:xfrm>
          <a:custGeom>
            <a:avLst/>
            <a:gdLst>
              <a:gd name="connsiteX0" fmla="*/ 0 w 409575"/>
              <a:gd name="connsiteY0" fmla="*/ 0 h 1276350"/>
              <a:gd name="connsiteX1" fmla="*/ 79375 w 409575"/>
              <a:gd name="connsiteY1" fmla="*/ 50800 h 1276350"/>
              <a:gd name="connsiteX2" fmla="*/ 152400 w 409575"/>
              <a:gd name="connsiteY2" fmla="*/ 107950 h 1276350"/>
              <a:gd name="connsiteX3" fmla="*/ 222250 w 409575"/>
              <a:gd name="connsiteY3" fmla="*/ 190500 h 1276350"/>
              <a:gd name="connsiteX4" fmla="*/ 260350 w 409575"/>
              <a:gd name="connsiteY4" fmla="*/ 247650 h 1276350"/>
              <a:gd name="connsiteX5" fmla="*/ 260350 w 409575"/>
              <a:gd name="connsiteY5" fmla="*/ 257175 h 1276350"/>
              <a:gd name="connsiteX6" fmla="*/ 292100 w 409575"/>
              <a:gd name="connsiteY6" fmla="*/ 333375 h 1276350"/>
              <a:gd name="connsiteX7" fmla="*/ 336550 w 409575"/>
              <a:gd name="connsiteY7" fmla="*/ 508000 h 1276350"/>
              <a:gd name="connsiteX8" fmla="*/ 371475 w 409575"/>
              <a:gd name="connsiteY8" fmla="*/ 749300 h 1276350"/>
              <a:gd name="connsiteX9" fmla="*/ 403225 w 409575"/>
              <a:gd name="connsiteY9" fmla="*/ 1123950 h 1276350"/>
              <a:gd name="connsiteX10" fmla="*/ 409575 w 409575"/>
              <a:gd name="connsiteY10" fmla="*/ 1276350 h 1276350"/>
              <a:gd name="connsiteX0" fmla="*/ 0 w 413882"/>
              <a:gd name="connsiteY0" fmla="*/ 0 h 1276350"/>
              <a:gd name="connsiteX1" fmla="*/ 79375 w 413882"/>
              <a:gd name="connsiteY1" fmla="*/ 50800 h 1276350"/>
              <a:gd name="connsiteX2" fmla="*/ 152400 w 413882"/>
              <a:gd name="connsiteY2" fmla="*/ 107950 h 1276350"/>
              <a:gd name="connsiteX3" fmla="*/ 222250 w 413882"/>
              <a:gd name="connsiteY3" fmla="*/ 190500 h 1276350"/>
              <a:gd name="connsiteX4" fmla="*/ 260350 w 413882"/>
              <a:gd name="connsiteY4" fmla="*/ 247650 h 1276350"/>
              <a:gd name="connsiteX5" fmla="*/ 260350 w 413882"/>
              <a:gd name="connsiteY5" fmla="*/ 257175 h 1276350"/>
              <a:gd name="connsiteX6" fmla="*/ 292100 w 413882"/>
              <a:gd name="connsiteY6" fmla="*/ 333375 h 1276350"/>
              <a:gd name="connsiteX7" fmla="*/ 336550 w 413882"/>
              <a:gd name="connsiteY7" fmla="*/ 508000 h 1276350"/>
              <a:gd name="connsiteX8" fmla="*/ 371475 w 413882"/>
              <a:gd name="connsiteY8" fmla="*/ 749300 h 1276350"/>
              <a:gd name="connsiteX9" fmla="*/ 403225 w 413882"/>
              <a:gd name="connsiteY9" fmla="*/ 1123950 h 1276350"/>
              <a:gd name="connsiteX10" fmla="*/ 409575 w 413882"/>
              <a:gd name="connsiteY10" fmla="*/ 1276350 h 1276350"/>
              <a:gd name="connsiteX0" fmla="*/ 0 w 409575"/>
              <a:gd name="connsiteY0" fmla="*/ 0 h 1276350"/>
              <a:gd name="connsiteX1" fmla="*/ 79375 w 409575"/>
              <a:gd name="connsiteY1" fmla="*/ 50800 h 1276350"/>
              <a:gd name="connsiteX2" fmla="*/ 152400 w 409575"/>
              <a:gd name="connsiteY2" fmla="*/ 107950 h 1276350"/>
              <a:gd name="connsiteX3" fmla="*/ 222250 w 409575"/>
              <a:gd name="connsiteY3" fmla="*/ 190500 h 1276350"/>
              <a:gd name="connsiteX4" fmla="*/ 260350 w 409575"/>
              <a:gd name="connsiteY4" fmla="*/ 247650 h 1276350"/>
              <a:gd name="connsiteX5" fmla="*/ 260350 w 409575"/>
              <a:gd name="connsiteY5" fmla="*/ 257175 h 1276350"/>
              <a:gd name="connsiteX6" fmla="*/ 292100 w 409575"/>
              <a:gd name="connsiteY6" fmla="*/ 333375 h 1276350"/>
              <a:gd name="connsiteX7" fmla="*/ 336550 w 409575"/>
              <a:gd name="connsiteY7" fmla="*/ 508000 h 1276350"/>
              <a:gd name="connsiteX8" fmla="*/ 371475 w 409575"/>
              <a:gd name="connsiteY8" fmla="*/ 749300 h 1276350"/>
              <a:gd name="connsiteX9" fmla="*/ 403225 w 409575"/>
              <a:gd name="connsiteY9" fmla="*/ 1123950 h 1276350"/>
              <a:gd name="connsiteX10" fmla="*/ 409575 w 409575"/>
              <a:gd name="connsiteY10" fmla="*/ 1276350 h 1276350"/>
              <a:gd name="connsiteX0" fmla="*/ 0 w 409575"/>
              <a:gd name="connsiteY0" fmla="*/ 0 h 1299914"/>
              <a:gd name="connsiteX1" fmla="*/ 79375 w 409575"/>
              <a:gd name="connsiteY1" fmla="*/ 50800 h 1299914"/>
              <a:gd name="connsiteX2" fmla="*/ 152400 w 409575"/>
              <a:gd name="connsiteY2" fmla="*/ 107950 h 1299914"/>
              <a:gd name="connsiteX3" fmla="*/ 222250 w 409575"/>
              <a:gd name="connsiteY3" fmla="*/ 190500 h 1299914"/>
              <a:gd name="connsiteX4" fmla="*/ 260350 w 409575"/>
              <a:gd name="connsiteY4" fmla="*/ 247650 h 1299914"/>
              <a:gd name="connsiteX5" fmla="*/ 260350 w 409575"/>
              <a:gd name="connsiteY5" fmla="*/ 257175 h 1299914"/>
              <a:gd name="connsiteX6" fmla="*/ 292100 w 409575"/>
              <a:gd name="connsiteY6" fmla="*/ 333375 h 1299914"/>
              <a:gd name="connsiteX7" fmla="*/ 336550 w 409575"/>
              <a:gd name="connsiteY7" fmla="*/ 508000 h 1299914"/>
              <a:gd name="connsiteX8" fmla="*/ 371475 w 409575"/>
              <a:gd name="connsiteY8" fmla="*/ 749300 h 1299914"/>
              <a:gd name="connsiteX9" fmla="*/ 403225 w 409575"/>
              <a:gd name="connsiteY9" fmla="*/ 1123950 h 1299914"/>
              <a:gd name="connsiteX10" fmla="*/ 409575 w 409575"/>
              <a:gd name="connsiteY10" fmla="*/ 1299914 h 1299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09575" h="1299914">
                <a:moveTo>
                  <a:pt x="0" y="0"/>
                </a:moveTo>
                <a:cubicBezTo>
                  <a:pt x="26987" y="16404"/>
                  <a:pt x="53975" y="32808"/>
                  <a:pt x="79375" y="50800"/>
                </a:cubicBezTo>
                <a:cubicBezTo>
                  <a:pt x="104775" y="68792"/>
                  <a:pt x="128588" y="84667"/>
                  <a:pt x="152400" y="107950"/>
                </a:cubicBezTo>
                <a:cubicBezTo>
                  <a:pt x="176213" y="131233"/>
                  <a:pt x="204258" y="167217"/>
                  <a:pt x="222250" y="190500"/>
                </a:cubicBezTo>
                <a:cubicBezTo>
                  <a:pt x="240242" y="213783"/>
                  <a:pt x="254000" y="236538"/>
                  <a:pt x="260350" y="247650"/>
                </a:cubicBezTo>
                <a:cubicBezTo>
                  <a:pt x="266700" y="258762"/>
                  <a:pt x="255058" y="242888"/>
                  <a:pt x="260350" y="257175"/>
                </a:cubicBezTo>
                <a:cubicBezTo>
                  <a:pt x="265642" y="271462"/>
                  <a:pt x="279400" y="291571"/>
                  <a:pt x="292100" y="333375"/>
                </a:cubicBezTo>
                <a:cubicBezTo>
                  <a:pt x="304800" y="375179"/>
                  <a:pt x="323321" y="438679"/>
                  <a:pt x="336550" y="508000"/>
                </a:cubicBezTo>
                <a:cubicBezTo>
                  <a:pt x="349779" y="577321"/>
                  <a:pt x="360363" y="646642"/>
                  <a:pt x="371475" y="749300"/>
                </a:cubicBezTo>
                <a:cubicBezTo>
                  <a:pt x="382587" y="851958"/>
                  <a:pt x="396875" y="1036108"/>
                  <a:pt x="403225" y="1123950"/>
                </a:cubicBezTo>
                <a:cubicBezTo>
                  <a:pt x="409575" y="1211792"/>
                  <a:pt x="409508" y="1178482"/>
                  <a:pt x="409575" y="1299914"/>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8" name="Freihandform 27">
            <a:extLst>
              <a:ext uri="{FF2B5EF4-FFF2-40B4-BE49-F238E27FC236}">
                <a16:creationId xmlns:a16="http://schemas.microsoft.com/office/drawing/2014/main" id="{FB0D74A8-B80A-49A3-A804-F74AD4799178}"/>
              </a:ext>
            </a:extLst>
          </xdr:cNvPr>
          <xdr:cNvSpPr/>
        </xdr:nvSpPr>
        <xdr:spPr>
          <a:xfrm>
            <a:off x="3906522" y="1156140"/>
            <a:ext cx="2279702" cy="140697"/>
          </a:xfrm>
          <a:custGeom>
            <a:avLst/>
            <a:gdLst>
              <a:gd name="connsiteX0" fmla="*/ 0 w 1900237"/>
              <a:gd name="connsiteY0" fmla="*/ 126575 h 126575"/>
              <a:gd name="connsiteX1" fmla="*/ 180975 w 1900237"/>
              <a:gd name="connsiteY1" fmla="*/ 98000 h 126575"/>
              <a:gd name="connsiteX2" fmla="*/ 942975 w 1900237"/>
              <a:gd name="connsiteY2" fmla="*/ 31325 h 126575"/>
              <a:gd name="connsiteX3" fmla="*/ 1628775 w 1900237"/>
              <a:gd name="connsiteY3" fmla="*/ 2750 h 126575"/>
              <a:gd name="connsiteX4" fmla="*/ 1900237 w 1900237"/>
              <a:gd name="connsiteY4" fmla="*/ 2750 h 1265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900237" h="126575">
                <a:moveTo>
                  <a:pt x="0" y="126575"/>
                </a:moveTo>
                <a:cubicBezTo>
                  <a:pt x="11906" y="120225"/>
                  <a:pt x="23813" y="113875"/>
                  <a:pt x="180975" y="98000"/>
                </a:cubicBezTo>
                <a:cubicBezTo>
                  <a:pt x="338138" y="82125"/>
                  <a:pt x="701675" y="47200"/>
                  <a:pt x="942975" y="31325"/>
                </a:cubicBezTo>
                <a:cubicBezTo>
                  <a:pt x="1184275" y="15450"/>
                  <a:pt x="1469231" y="7513"/>
                  <a:pt x="1628775" y="2750"/>
                </a:cubicBezTo>
                <a:cubicBezTo>
                  <a:pt x="1788319" y="-2013"/>
                  <a:pt x="1844278" y="368"/>
                  <a:pt x="1900237" y="275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9" name="Freihandform 28">
            <a:extLst>
              <a:ext uri="{FF2B5EF4-FFF2-40B4-BE49-F238E27FC236}">
                <a16:creationId xmlns:a16="http://schemas.microsoft.com/office/drawing/2014/main" id="{6560CF84-661A-474D-899C-56F4A8BA183E}"/>
              </a:ext>
            </a:extLst>
          </xdr:cNvPr>
          <xdr:cNvSpPr/>
        </xdr:nvSpPr>
        <xdr:spPr>
          <a:xfrm>
            <a:off x="6580459" y="1153902"/>
            <a:ext cx="4616540" cy="185285"/>
          </a:xfrm>
          <a:custGeom>
            <a:avLst/>
            <a:gdLst>
              <a:gd name="connsiteX0" fmla="*/ 0 w 3848100"/>
              <a:gd name="connsiteY0" fmla="*/ 0 h 166688"/>
              <a:gd name="connsiteX1" fmla="*/ 885825 w 3848100"/>
              <a:gd name="connsiteY1" fmla="*/ 14288 h 166688"/>
              <a:gd name="connsiteX2" fmla="*/ 1495425 w 3848100"/>
              <a:gd name="connsiteY2" fmla="*/ 23813 h 166688"/>
              <a:gd name="connsiteX3" fmla="*/ 2214562 w 3848100"/>
              <a:gd name="connsiteY3" fmla="*/ 52388 h 166688"/>
              <a:gd name="connsiteX4" fmla="*/ 2862262 w 3848100"/>
              <a:gd name="connsiteY4" fmla="*/ 85725 h 166688"/>
              <a:gd name="connsiteX5" fmla="*/ 3419475 w 3848100"/>
              <a:gd name="connsiteY5" fmla="*/ 123825 h 166688"/>
              <a:gd name="connsiteX6" fmla="*/ 3757612 w 3848100"/>
              <a:gd name="connsiteY6" fmla="*/ 157163 h 166688"/>
              <a:gd name="connsiteX7" fmla="*/ 3848100 w 3848100"/>
              <a:gd name="connsiteY7" fmla="*/ 166688 h 1666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848100" h="166688">
                <a:moveTo>
                  <a:pt x="0" y="0"/>
                </a:moveTo>
                <a:lnTo>
                  <a:pt x="885825" y="14288"/>
                </a:lnTo>
                <a:lnTo>
                  <a:pt x="1495425" y="23813"/>
                </a:lnTo>
                <a:cubicBezTo>
                  <a:pt x="1716881" y="30163"/>
                  <a:pt x="2214562" y="52388"/>
                  <a:pt x="2214562" y="52388"/>
                </a:cubicBezTo>
                <a:lnTo>
                  <a:pt x="2862262" y="85725"/>
                </a:lnTo>
                <a:lnTo>
                  <a:pt x="3419475" y="123825"/>
                </a:lnTo>
                <a:cubicBezTo>
                  <a:pt x="3568700" y="135731"/>
                  <a:pt x="3757612" y="157163"/>
                  <a:pt x="3757612" y="157163"/>
                </a:cubicBezTo>
                <a:lnTo>
                  <a:pt x="3848100" y="166688"/>
                </a:ln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0" name="Freihandform 29">
            <a:extLst>
              <a:ext uri="{FF2B5EF4-FFF2-40B4-BE49-F238E27FC236}">
                <a16:creationId xmlns:a16="http://schemas.microsoft.com/office/drawing/2014/main" id="{6FCCD9F8-A958-420C-B5A0-8D7C5B5E63CE}"/>
              </a:ext>
            </a:extLst>
          </xdr:cNvPr>
          <xdr:cNvSpPr/>
        </xdr:nvSpPr>
        <xdr:spPr>
          <a:xfrm>
            <a:off x="7388834" y="1057864"/>
            <a:ext cx="420388" cy="74911"/>
          </a:xfrm>
          <a:custGeom>
            <a:avLst/>
            <a:gdLst>
              <a:gd name="connsiteX0" fmla="*/ 75 w 350413"/>
              <a:gd name="connsiteY0" fmla="*/ 43537 h 67392"/>
              <a:gd name="connsiteX1" fmla="*/ 78657 w 350413"/>
              <a:gd name="connsiteY1" fmla="*/ 14962 h 67392"/>
              <a:gd name="connsiteX2" fmla="*/ 162000 w 350413"/>
              <a:gd name="connsiteY2" fmla="*/ 3055 h 67392"/>
              <a:gd name="connsiteX3" fmla="*/ 285825 w 350413"/>
              <a:gd name="connsiteY3" fmla="*/ 5437 h 67392"/>
              <a:gd name="connsiteX4" fmla="*/ 350119 w 350413"/>
              <a:gd name="connsiteY4" fmla="*/ 60205 h 67392"/>
              <a:gd name="connsiteX5" fmla="*/ 262013 w 350413"/>
              <a:gd name="connsiteY5" fmla="*/ 64968 h 67392"/>
              <a:gd name="connsiteX6" fmla="*/ 216769 w 350413"/>
              <a:gd name="connsiteY6" fmla="*/ 43537 h 67392"/>
              <a:gd name="connsiteX7" fmla="*/ 111994 w 350413"/>
              <a:gd name="connsiteY7" fmla="*/ 41155 h 67392"/>
              <a:gd name="connsiteX8" fmla="*/ 64369 w 350413"/>
              <a:gd name="connsiteY8" fmla="*/ 62587 h 67392"/>
              <a:gd name="connsiteX9" fmla="*/ 75 w 350413"/>
              <a:gd name="connsiteY9" fmla="*/ 43537 h 67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50413" h="67392">
                <a:moveTo>
                  <a:pt x="75" y="43537"/>
                </a:moveTo>
                <a:cubicBezTo>
                  <a:pt x="2456" y="35600"/>
                  <a:pt x="51670" y="21709"/>
                  <a:pt x="78657" y="14962"/>
                </a:cubicBezTo>
                <a:cubicBezTo>
                  <a:pt x="105644" y="8215"/>
                  <a:pt x="127472" y="4642"/>
                  <a:pt x="162000" y="3055"/>
                </a:cubicBezTo>
                <a:cubicBezTo>
                  <a:pt x="196528" y="1468"/>
                  <a:pt x="254472" y="-4088"/>
                  <a:pt x="285825" y="5437"/>
                </a:cubicBezTo>
                <a:cubicBezTo>
                  <a:pt x="317178" y="14962"/>
                  <a:pt x="354088" y="50283"/>
                  <a:pt x="350119" y="60205"/>
                </a:cubicBezTo>
                <a:cubicBezTo>
                  <a:pt x="346150" y="70127"/>
                  <a:pt x="284238" y="67746"/>
                  <a:pt x="262013" y="64968"/>
                </a:cubicBezTo>
                <a:cubicBezTo>
                  <a:pt x="239788" y="62190"/>
                  <a:pt x="241772" y="47506"/>
                  <a:pt x="216769" y="43537"/>
                </a:cubicBezTo>
                <a:cubicBezTo>
                  <a:pt x="191766" y="39568"/>
                  <a:pt x="137394" y="37980"/>
                  <a:pt x="111994" y="41155"/>
                </a:cubicBezTo>
                <a:cubicBezTo>
                  <a:pt x="86594" y="44330"/>
                  <a:pt x="76275" y="58618"/>
                  <a:pt x="64369" y="62587"/>
                </a:cubicBezTo>
                <a:cubicBezTo>
                  <a:pt x="52463" y="66556"/>
                  <a:pt x="-2306" y="51474"/>
                  <a:pt x="75" y="43537"/>
                </a:cubicBezTo>
                <a:close/>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1" name="Freihandform 30">
            <a:extLst>
              <a:ext uri="{FF2B5EF4-FFF2-40B4-BE49-F238E27FC236}">
                <a16:creationId xmlns:a16="http://schemas.microsoft.com/office/drawing/2014/main" id="{7659B976-4D17-4C7D-BF62-8BE8175BB450}"/>
              </a:ext>
            </a:extLst>
          </xdr:cNvPr>
          <xdr:cNvSpPr/>
        </xdr:nvSpPr>
        <xdr:spPr>
          <a:xfrm>
            <a:off x="9174315" y="1108905"/>
            <a:ext cx="420388" cy="74911"/>
          </a:xfrm>
          <a:custGeom>
            <a:avLst/>
            <a:gdLst>
              <a:gd name="connsiteX0" fmla="*/ 75 w 350413"/>
              <a:gd name="connsiteY0" fmla="*/ 43537 h 67392"/>
              <a:gd name="connsiteX1" fmla="*/ 78657 w 350413"/>
              <a:gd name="connsiteY1" fmla="*/ 14962 h 67392"/>
              <a:gd name="connsiteX2" fmla="*/ 162000 w 350413"/>
              <a:gd name="connsiteY2" fmla="*/ 3055 h 67392"/>
              <a:gd name="connsiteX3" fmla="*/ 285825 w 350413"/>
              <a:gd name="connsiteY3" fmla="*/ 5437 h 67392"/>
              <a:gd name="connsiteX4" fmla="*/ 350119 w 350413"/>
              <a:gd name="connsiteY4" fmla="*/ 60205 h 67392"/>
              <a:gd name="connsiteX5" fmla="*/ 262013 w 350413"/>
              <a:gd name="connsiteY5" fmla="*/ 64968 h 67392"/>
              <a:gd name="connsiteX6" fmla="*/ 216769 w 350413"/>
              <a:gd name="connsiteY6" fmla="*/ 43537 h 67392"/>
              <a:gd name="connsiteX7" fmla="*/ 111994 w 350413"/>
              <a:gd name="connsiteY7" fmla="*/ 41155 h 67392"/>
              <a:gd name="connsiteX8" fmla="*/ 64369 w 350413"/>
              <a:gd name="connsiteY8" fmla="*/ 62587 h 67392"/>
              <a:gd name="connsiteX9" fmla="*/ 75 w 350413"/>
              <a:gd name="connsiteY9" fmla="*/ 43537 h 67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50413" h="67392">
                <a:moveTo>
                  <a:pt x="75" y="43537"/>
                </a:moveTo>
                <a:cubicBezTo>
                  <a:pt x="2456" y="35600"/>
                  <a:pt x="51670" y="21709"/>
                  <a:pt x="78657" y="14962"/>
                </a:cubicBezTo>
                <a:cubicBezTo>
                  <a:pt x="105644" y="8215"/>
                  <a:pt x="127472" y="4642"/>
                  <a:pt x="162000" y="3055"/>
                </a:cubicBezTo>
                <a:cubicBezTo>
                  <a:pt x="196528" y="1468"/>
                  <a:pt x="254472" y="-4088"/>
                  <a:pt x="285825" y="5437"/>
                </a:cubicBezTo>
                <a:cubicBezTo>
                  <a:pt x="317178" y="14962"/>
                  <a:pt x="354088" y="50283"/>
                  <a:pt x="350119" y="60205"/>
                </a:cubicBezTo>
                <a:cubicBezTo>
                  <a:pt x="346150" y="70127"/>
                  <a:pt x="284238" y="67746"/>
                  <a:pt x="262013" y="64968"/>
                </a:cubicBezTo>
                <a:cubicBezTo>
                  <a:pt x="239788" y="62190"/>
                  <a:pt x="241772" y="47506"/>
                  <a:pt x="216769" y="43537"/>
                </a:cubicBezTo>
                <a:cubicBezTo>
                  <a:pt x="191766" y="39568"/>
                  <a:pt x="137394" y="37980"/>
                  <a:pt x="111994" y="41155"/>
                </a:cubicBezTo>
                <a:cubicBezTo>
                  <a:pt x="86594" y="44330"/>
                  <a:pt x="76275" y="58618"/>
                  <a:pt x="64369" y="62587"/>
                </a:cubicBezTo>
                <a:cubicBezTo>
                  <a:pt x="52463" y="66556"/>
                  <a:pt x="-2306" y="51474"/>
                  <a:pt x="75" y="43537"/>
                </a:cubicBezTo>
                <a:close/>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2" name="Freihandform 31">
            <a:extLst>
              <a:ext uri="{FF2B5EF4-FFF2-40B4-BE49-F238E27FC236}">
                <a16:creationId xmlns:a16="http://schemas.microsoft.com/office/drawing/2014/main" id="{1DB09148-8F40-4563-A595-56C681305D82}"/>
              </a:ext>
            </a:extLst>
          </xdr:cNvPr>
          <xdr:cNvSpPr/>
        </xdr:nvSpPr>
        <xdr:spPr>
          <a:xfrm>
            <a:off x="9400090" y="1418595"/>
            <a:ext cx="251396" cy="211754"/>
          </a:xfrm>
          <a:custGeom>
            <a:avLst/>
            <a:gdLst>
              <a:gd name="connsiteX0" fmla="*/ 0 w 209550"/>
              <a:gd name="connsiteY0" fmla="*/ 190500 h 190500"/>
              <a:gd name="connsiteX1" fmla="*/ 76200 w 209550"/>
              <a:gd name="connsiteY1" fmla="*/ 102394 h 190500"/>
              <a:gd name="connsiteX2" fmla="*/ 209550 w 209550"/>
              <a:gd name="connsiteY2" fmla="*/ 0 h 190500"/>
            </a:gdLst>
            <a:ahLst/>
            <a:cxnLst>
              <a:cxn ang="0">
                <a:pos x="connsiteX0" y="connsiteY0"/>
              </a:cxn>
              <a:cxn ang="0">
                <a:pos x="connsiteX1" y="connsiteY1"/>
              </a:cxn>
              <a:cxn ang="0">
                <a:pos x="connsiteX2" y="connsiteY2"/>
              </a:cxn>
            </a:cxnLst>
            <a:rect l="l" t="t" r="r" b="b"/>
            <a:pathLst>
              <a:path w="209550" h="190500">
                <a:moveTo>
                  <a:pt x="0" y="190500"/>
                </a:moveTo>
                <a:cubicBezTo>
                  <a:pt x="20637" y="162322"/>
                  <a:pt x="41275" y="134144"/>
                  <a:pt x="76200" y="102394"/>
                </a:cubicBezTo>
                <a:cubicBezTo>
                  <a:pt x="111125" y="70644"/>
                  <a:pt x="160337" y="35322"/>
                  <a:pt x="209550" y="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3" name="Freihandform 32">
            <a:extLst>
              <a:ext uri="{FF2B5EF4-FFF2-40B4-BE49-F238E27FC236}">
                <a16:creationId xmlns:a16="http://schemas.microsoft.com/office/drawing/2014/main" id="{AF2D1A1B-1817-457E-9DD5-476093E4BBCD}"/>
              </a:ext>
            </a:extLst>
          </xdr:cNvPr>
          <xdr:cNvSpPr/>
        </xdr:nvSpPr>
        <xdr:spPr>
          <a:xfrm>
            <a:off x="9674340" y="1451533"/>
            <a:ext cx="397091" cy="131172"/>
          </a:xfrm>
          <a:custGeom>
            <a:avLst/>
            <a:gdLst>
              <a:gd name="connsiteX0" fmla="*/ 0 w 330994"/>
              <a:gd name="connsiteY0" fmla="*/ 118006 h 118006"/>
              <a:gd name="connsiteX1" fmla="*/ 95250 w 330994"/>
              <a:gd name="connsiteY1" fmla="*/ 29899 h 118006"/>
              <a:gd name="connsiteX2" fmla="*/ 135732 w 330994"/>
              <a:gd name="connsiteY2" fmla="*/ 1324 h 118006"/>
              <a:gd name="connsiteX3" fmla="*/ 252413 w 330994"/>
              <a:gd name="connsiteY3" fmla="*/ 6087 h 118006"/>
              <a:gd name="connsiteX4" fmla="*/ 330994 w 330994"/>
              <a:gd name="connsiteY4" fmla="*/ 17993 h 1180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0994" h="118006">
                <a:moveTo>
                  <a:pt x="0" y="118006"/>
                </a:moveTo>
                <a:cubicBezTo>
                  <a:pt x="36314" y="83676"/>
                  <a:pt x="72628" y="49346"/>
                  <a:pt x="95250" y="29899"/>
                </a:cubicBezTo>
                <a:cubicBezTo>
                  <a:pt x="117872" y="10452"/>
                  <a:pt x="109538" y="5293"/>
                  <a:pt x="135732" y="1324"/>
                </a:cubicBezTo>
                <a:cubicBezTo>
                  <a:pt x="161926" y="-2645"/>
                  <a:pt x="219869" y="3309"/>
                  <a:pt x="252413" y="6087"/>
                </a:cubicBezTo>
                <a:cubicBezTo>
                  <a:pt x="284957" y="8865"/>
                  <a:pt x="307975" y="13429"/>
                  <a:pt x="330994" y="17993"/>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4" name="Freihandform 33">
            <a:extLst>
              <a:ext uri="{FF2B5EF4-FFF2-40B4-BE49-F238E27FC236}">
                <a16:creationId xmlns:a16="http://schemas.microsoft.com/office/drawing/2014/main" id="{4117F4F2-4669-4FA8-88B5-23022B9A8B4F}"/>
              </a:ext>
            </a:extLst>
          </xdr:cNvPr>
          <xdr:cNvSpPr/>
        </xdr:nvSpPr>
        <xdr:spPr>
          <a:xfrm>
            <a:off x="7797442" y="1368303"/>
            <a:ext cx="219971" cy="293809"/>
          </a:xfrm>
          <a:custGeom>
            <a:avLst/>
            <a:gdLst>
              <a:gd name="connsiteX0" fmla="*/ 0 w 183356"/>
              <a:gd name="connsiteY0" fmla="*/ 0 h 264319"/>
              <a:gd name="connsiteX1" fmla="*/ 92869 w 183356"/>
              <a:gd name="connsiteY1" fmla="*/ 116682 h 264319"/>
              <a:gd name="connsiteX2" fmla="*/ 157163 w 183356"/>
              <a:gd name="connsiteY2" fmla="*/ 228600 h 264319"/>
              <a:gd name="connsiteX3" fmla="*/ 183356 w 183356"/>
              <a:gd name="connsiteY3" fmla="*/ 264319 h 264319"/>
            </a:gdLst>
            <a:ahLst/>
            <a:cxnLst>
              <a:cxn ang="0">
                <a:pos x="connsiteX0" y="connsiteY0"/>
              </a:cxn>
              <a:cxn ang="0">
                <a:pos x="connsiteX1" y="connsiteY1"/>
              </a:cxn>
              <a:cxn ang="0">
                <a:pos x="connsiteX2" y="connsiteY2"/>
              </a:cxn>
              <a:cxn ang="0">
                <a:pos x="connsiteX3" y="connsiteY3"/>
              </a:cxn>
            </a:cxnLst>
            <a:rect l="l" t="t" r="r" b="b"/>
            <a:pathLst>
              <a:path w="183356" h="264319">
                <a:moveTo>
                  <a:pt x="0" y="0"/>
                </a:moveTo>
                <a:cubicBezTo>
                  <a:pt x="33337" y="39291"/>
                  <a:pt x="66675" y="78582"/>
                  <a:pt x="92869" y="116682"/>
                </a:cubicBezTo>
                <a:cubicBezTo>
                  <a:pt x="119063" y="154782"/>
                  <a:pt x="142082" y="203994"/>
                  <a:pt x="157163" y="228600"/>
                </a:cubicBezTo>
                <a:cubicBezTo>
                  <a:pt x="172244" y="253206"/>
                  <a:pt x="177800" y="258762"/>
                  <a:pt x="183356" y="264319"/>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35" name="Gerade Verbindung 159">
            <a:extLst>
              <a:ext uri="{FF2B5EF4-FFF2-40B4-BE49-F238E27FC236}">
                <a16:creationId xmlns:a16="http://schemas.microsoft.com/office/drawing/2014/main" id="{89134E36-FD50-4B9F-B406-4169F8EF788E}"/>
              </a:ext>
            </a:extLst>
          </xdr:cNvPr>
          <xdr:cNvCxnSpPr/>
        </xdr:nvCxnSpPr>
        <xdr:spPr>
          <a:xfrm flipV="1">
            <a:off x="6374771" y="960678"/>
            <a:ext cx="168549" cy="285868"/>
          </a:xfrm>
          <a:prstGeom prst="line">
            <a:avLst/>
          </a:pr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cxnSp>
      <xdr:sp macro="" textlink="">
        <xdr:nvSpPr>
          <xdr:cNvPr id="36" name="Freihandform 35">
            <a:extLst>
              <a:ext uri="{FF2B5EF4-FFF2-40B4-BE49-F238E27FC236}">
                <a16:creationId xmlns:a16="http://schemas.microsoft.com/office/drawing/2014/main" id="{B38813ED-FCA5-476A-ADE6-1081FF6BC881}"/>
              </a:ext>
            </a:extLst>
          </xdr:cNvPr>
          <xdr:cNvSpPr/>
        </xdr:nvSpPr>
        <xdr:spPr>
          <a:xfrm>
            <a:off x="3418014" y="1410654"/>
            <a:ext cx="2288272" cy="373217"/>
          </a:xfrm>
          <a:custGeom>
            <a:avLst/>
            <a:gdLst>
              <a:gd name="connsiteX0" fmla="*/ 0 w 1907381"/>
              <a:gd name="connsiteY0" fmla="*/ 335757 h 335757"/>
              <a:gd name="connsiteX1" fmla="*/ 226219 w 1907381"/>
              <a:gd name="connsiteY1" fmla="*/ 259557 h 335757"/>
              <a:gd name="connsiteX2" fmla="*/ 590550 w 1907381"/>
              <a:gd name="connsiteY2" fmla="*/ 171450 h 335757"/>
              <a:gd name="connsiteX3" fmla="*/ 909637 w 1907381"/>
              <a:gd name="connsiteY3" fmla="*/ 109538 h 335757"/>
              <a:gd name="connsiteX4" fmla="*/ 1538287 w 1907381"/>
              <a:gd name="connsiteY4" fmla="*/ 28575 h 335757"/>
              <a:gd name="connsiteX5" fmla="*/ 1907381 w 1907381"/>
              <a:gd name="connsiteY5" fmla="*/ 0 h 3357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907381" h="335757">
                <a:moveTo>
                  <a:pt x="0" y="335757"/>
                </a:moveTo>
                <a:cubicBezTo>
                  <a:pt x="63897" y="311349"/>
                  <a:pt x="127794" y="286941"/>
                  <a:pt x="226219" y="259557"/>
                </a:cubicBezTo>
                <a:cubicBezTo>
                  <a:pt x="324644" y="232173"/>
                  <a:pt x="476647" y="196453"/>
                  <a:pt x="590550" y="171450"/>
                </a:cubicBezTo>
                <a:cubicBezTo>
                  <a:pt x="704453" y="146447"/>
                  <a:pt x="751681" y="133350"/>
                  <a:pt x="909637" y="109538"/>
                </a:cubicBezTo>
                <a:cubicBezTo>
                  <a:pt x="1067593" y="85726"/>
                  <a:pt x="1371996" y="46831"/>
                  <a:pt x="1538287" y="28575"/>
                </a:cubicBezTo>
                <a:cubicBezTo>
                  <a:pt x="1704578" y="10319"/>
                  <a:pt x="1845468" y="5556"/>
                  <a:pt x="1907381" y="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7" name="Freihandform 36">
            <a:extLst>
              <a:ext uri="{FF2B5EF4-FFF2-40B4-BE49-F238E27FC236}">
                <a16:creationId xmlns:a16="http://schemas.microsoft.com/office/drawing/2014/main" id="{0C6D060D-3DC7-462B-A513-B06F6FD26E99}"/>
              </a:ext>
            </a:extLst>
          </xdr:cNvPr>
          <xdr:cNvSpPr/>
        </xdr:nvSpPr>
        <xdr:spPr>
          <a:xfrm>
            <a:off x="3000376" y="1079440"/>
            <a:ext cx="3248698" cy="1792316"/>
          </a:xfrm>
          <a:custGeom>
            <a:avLst/>
            <a:gdLst>
              <a:gd name="connsiteX0" fmla="*/ 2707940 w 2707940"/>
              <a:gd name="connsiteY0" fmla="*/ 5076 h 1612419"/>
              <a:gd name="connsiteX1" fmla="*/ 2295983 w 2707940"/>
              <a:gd name="connsiteY1" fmla="*/ 14601 h 1612419"/>
              <a:gd name="connsiteX2" fmla="*/ 2093577 w 2707940"/>
              <a:gd name="connsiteY2" fmla="*/ 24126 h 1612419"/>
              <a:gd name="connsiteX3" fmla="*/ 2003090 w 2707940"/>
              <a:gd name="connsiteY3" fmla="*/ 2694 h 1612419"/>
              <a:gd name="connsiteX4" fmla="*/ 1881646 w 2707940"/>
              <a:gd name="connsiteY4" fmla="*/ 313 h 1612419"/>
              <a:gd name="connsiteX5" fmla="*/ 824371 w 2707940"/>
              <a:gd name="connsiteY5" fmla="*/ 31269 h 1612419"/>
              <a:gd name="connsiteX6" fmla="*/ 338596 w 2707940"/>
              <a:gd name="connsiteY6" fmla="*/ 300351 h 1612419"/>
              <a:gd name="connsiteX7" fmla="*/ 52846 w 2707940"/>
              <a:gd name="connsiteY7" fmla="*/ 826607 h 1612419"/>
              <a:gd name="connsiteX8" fmla="*/ 7602 w 2707940"/>
              <a:gd name="connsiteY8" fmla="*/ 1314763 h 1612419"/>
              <a:gd name="connsiteX9" fmla="*/ 458 w 2707940"/>
              <a:gd name="connsiteY9" fmla="*/ 1612419 h 1612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707940" h="1612419">
                <a:moveTo>
                  <a:pt x="2707940" y="5076"/>
                </a:moveTo>
                <a:lnTo>
                  <a:pt x="2295983" y="14601"/>
                </a:lnTo>
                <a:cubicBezTo>
                  <a:pt x="2193589" y="17776"/>
                  <a:pt x="2142392" y="26110"/>
                  <a:pt x="2093577" y="24126"/>
                </a:cubicBezTo>
                <a:cubicBezTo>
                  <a:pt x="2044762" y="22142"/>
                  <a:pt x="2038412" y="6663"/>
                  <a:pt x="2003090" y="2694"/>
                </a:cubicBezTo>
                <a:cubicBezTo>
                  <a:pt x="1967768" y="-1275"/>
                  <a:pt x="1881646" y="313"/>
                  <a:pt x="1881646" y="313"/>
                </a:cubicBezTo>
                <a:lnTo>
                  <a:pt x="824371" y="31269"/>
                </a:lnTo>
                <a:cubicBezTo>
                  <a:pt x="567196" y="81275"/>
                  <a:pt x="467183" y="167795"/>
                  <a:pt x="338596" y="300351"/>
                </a:cubicBezTo>
                <a:cubicBezTo>
                  <a:pt x="210008" y="432907"/>
                  <a:pt x="108012" y="657538"/>
                  <a:pt x="52846" y="826607"/>
                </a:cubicBezTo>
                <a:cubicBezTo>
                  <a:pt x="-2320" y="995676"/>
                  <a:pt x="16333" y="1183794"/>
                  <a:pt x="7602" y="1314763"/>
                </a:cubicBezTo>
                <a:cubicBezTo>
                  <a:pt x="-1129" y="1445732"/>
                  <a:pt x="-336" y="1529075"/>
                  <a:pt x="458" y="1612419"/>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8" name="Freihandform 37">
            <a:extLst>
              <a:ext uri="{FF2B5EF4-FFF2-40B4-BE49-F238E27FC236}">
                <a16:creationId xmlns:a16="http://schemas.microsoft.com/office/drawing/2014/main" id="{CEE202AA-4967-4DD4-9FDC-B3A43C82FF47}"/>
              </a:ext>
            </a:extLst>
          </xdr:cNvPr>
          <xdr:cNvSpPr/>
        </xdr:nvSpPr>
        <xdr:spPr>
          <a:xfrm>
            <a:off x="3183759" y="1286859"/>
            <a:ext cx="941794" cy="835818"/>
          </a:xfrm>
          <a:custGeom>
            <a:avLst/>
            <a:gdLst>
              <a:gd name="connsiteX0" fmla="*/ 0 w 785029"/>
              <a:gd name="connsiteY0" fmla="*/ 751926 h 751926"/>
              <a:gd name="connsiteX1" fmla="*/ 135732 w 785029"/>
              <a:gd name="connsiteY1" fmla="*/ 506657 h 751926"/>
              <a:gd name="connsiteX2" fmla="*/ 290513 w 785029"/>
              <a:gd name="connsiteY2" fmla="*/ 330444 h 751926"/>
              <a:gd name="connsiteX3" fmla="*/ 561975 w 785029"/>
              <a:gd name="connsiteY3" fmla="*/ 128038 h 751926"/>
              <a:gd name="connsiteX4" fmla="*/ 714375 w 785029"/>
              <a:gd name="connsiteY4" fmla="*/ 39932 h 751926"/>
              <a:gd name="connsiteX5" fmla="*/ 781050 w 785029"/>
              <a:gd name="connsiteY5" fmla="*/ 4213 h 751926"/>
              <a:gd name="connsiteX6" fmla="*/ 604838 w 785029"/>
              <a:gd name="connsiteY6" fmla="*/ 13738 h 751926"/>
              <a:gd name="connsiteX7" fmla="*/ 538163 w 785029"/>
              <a:gd name="connsiteY7" fmla="*/ 11357 h 751926"/>
              <a:gd name="connsiteX8" fmla="*/ 502444 w 785029"/>
              <a:gd name="connsiteY8" fmla="*/ 1832 h 751926"/>
              <a:gd name="connsiteX9" fmla="*/ 435769 w 785029"/>
              <a:gd name="connsiteY9" fmla="*/ 1832 h 751926"/>
              <a:gd name="connsiteX10" fmla="*/ 378619 w 785029"/>
              <a:gd name="connsiteY10" fmla="*/ 20882 h 751926"/>
              <a:gd name="connsiteX11" fmla="*/ 264319 w 785029"/>
              <a:gd name="connsiteY11" fmla="*/ 135182 h 751926"/>
              <a:gd name="connsiteX12" fmla="*/ 140494 w 785029"/>
              <a:gd name="connsiteY12" fmla="*/ 313776 h 751926"/>
              <a:gd name="connsiteX13" fmla="*/ 38100 w 785029"/>
              <a:gd name="connsiteY13" fmla="*/ 513801 h 751926"/>
              <a:gd name="connsiteX14" fmla="*/ 28575 w 785029"/>
              <a:gd name="connsiteY14" fmla="*/ 556663 h 751926"/>
              <a:gd name="connsiteX15" fmla="*/ 78582 w 785029"/>
              <a:gd name="connsiteY15" fmla="*/ 549519 h 7519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785029" h="751926">
                <a:moveTo>
                  <a:pt x="0" y="751926"/>
                </a:moveTo>
                <a:cubicBezTo>
                  <a:pt x="43656" y="664415"/>
                  <a:pt x="87313" y="576904"/>
                  <a:pt x="135732" y="506657"/>
                </a:cubicBezTo>
                <a:cubicBezTo>
                  <a:pt x="184151" y="436410"/>
                  <a:pt x="219472" y="393547"/>
                  <a:pt x="290513" y="330444"/>
                </a:cubicBezTo>
                <a:cubicBezTo>
                  <a:pt x="361554" y="267341"/>
                  <a:pt x="491331" y="176457"/>
                  <a:pt x="561975" y="128038"/>
                </a:cubicBezTo>
                <a:cubicBezTo>
                  <a:pt x="632619" y="79619"/>
                  <a:pt x="677863" y="60569"/>
                  <a:pt x="714375" y="39932"/>
                </a:cubicBezTo>
                <a:cubicBezTo>
                  <a:pt x="750888" y="19294"/>
                  <a:pt x="799306" y="8579"/>
                  <a:pt x="781050" y="4213"/>
                </a:cubicBezTo>
                <a:cubicBezTo>
                  <a:pt x="762794" y="-153"/>
                  <a:pt x="645319" y="12547"/>
                  <a:pt x="604838" y="13738"/>
                </a:cubicBezTo>
                <a:cubicBezTo>
                  <a:pt x="564357" y="14929"/>
                  <a:pt x="555229" y="13341"/>
                  <a:pt x="538163" y="11357"/>
                </a:cubicBezTo>
                <a:cubicBezTo>
                  <a:pt x="521097" y="9373"/>
                  <a:pt x="519510" y="3419"/>
                  <a:pt x="502444" y="1832"/>
                </a:cubicBezTo>
                <a:cubicBezTo>
                  <a:pt x="485378" y="245"/>
                  <a:pt x="456407" y="-1343"/>
                  <a:pt x="435769" y="1832"/>
                </a:cubicBezTo>
                <a:cubicBezTo>
                  <a:pt x="415132" y="5007"/>
                  <a:pt x="407194" y="-1343"/>
                  <a:pt x="378619" y="20882"/>
                </a:cubicBezTo>
                <a:cubicBezTo>
                  <a:pt x="350044" y="43107"/>
                  <a:pt x="304007" y="86366"/>
                  <a:pt x="264319" y="135182"/>
                </a:cubicBezTo>
                <a:cubicBezTo>
                  <a:pt x="224632" y="183998"/>
                  <a:pt x="178197" y="250673"/>
                  <a:pt x="140494" y="313776"/>
                </a:cubicBezTo>
                <a:cubicBezTo>
                  <a:pt x="102791" y="376879"/>
                  <a:pt x="56753" y="473320"/>
                  <a:pt x="38100" y="513801"/>
                </a:cubicBezTo>
                <a:cubicBezTo>
                  <a:pt x="19447" y="554282"/>
                  <a:pt x="21828" y="550710"/>
                  <a:pt x="28575" y="556663"/>
                </a:cubicBezTo>
                <a:cubicBezTo>
                  <a:pt x="35322" y="562616"/>
                  <a:pt x="56952" y="556067"/>
                  <a:pt x="78582" y="549519"/>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9" name="Freihandform 38">
            <a:extLst>
              <a:ext uri="{FF2B5EF4-FFF2-40B4-BE49-F238E27FC236}">
                <a16:creationId xmlns:a16="http://schemas.microsoft.com/office/drawing/2014/main" id="{33642E6F-6BCA-4559-BEDC-1266EF3AD999}"/>
              </a:ext>
            </a:extLst>
          </xdr:cNvPr>
          <xdr:cNvSpPr/>
        </xdr:nvSpPr>
        <xdr:spPr>
          <a:xfrm>
            <a:off x="3089486" y="2006213"/>
            <a:ext cx="52256" cy="862897"/>
          </a:xfrm>
          <a:custGeom>
            <a:avLst/>
            <a:gdLst>
              <a:gd name="connsiteX0" fmla="*/ 21431 w 43558"/>
              <a:gd name="connsiteY0" fmla="*/ 776287 h 776287"/>
              <a:gd name="connsiteX1" fmla="*/ 26194 w 43558"/>
              <a:gd name="connsiteY1" fmla="*/ 419100 h 776287"/>
              <a:gd name="connsiteX2" fmla="*/ 42863 w 43558"/>
              <a:gd name="connsiteY2" fmla="*/ 88106 h 776287"/>
              <a:gd name="connsiteX3" fmla="*/ 0 w 43558"/>
              <a:gd name="connsiteY3" fmla="*/ 0 h 776287"/>
            </a:gdLst>
            <a:ahLst/>
            <a:cxnLst>
              <a:cxn ang="0">
                <a:pos x="connsiteX0" y="connsiteY0"/>
              </a:cxn>
              <a:cxn ang="0">
                <a:pos x="connsiteX1" y="connsiteY1"/>
              </a:cxn>
              <a:cxn ang="0">
                <a:pos x="connsiteX2" y="connsiteY2"/>
              </a:cxn>
              <a:cxn ang="0">
                <a:pos x="connsiteX3" y="connsiteY3"/>
              </a:cxn>
            </a:cxnLst>
            <a:rect l="l" t="t" r="r" b="b"/>
            <a:pathLst>
              <a:path w="43558" h="776287">
                <a:moveTo>
                  <a:pt x="21431" y="776287"/>
                </a:moveTo>
                <a:cubicBezTo>
                  <a:pt x="22026" y="655042"/>
                  <a:pt x="22622" y="533797"/>
                  <a:pt x="26194" y="419100"/>
                </a:cubicBezTo>
                <a:cubicBezTo>
                  <a:pt x="29766" y="304403"/>
                  <a:pt x="47229" y="157956"/>
                  <a:pt x="42863" y="88106"/>
                </a:cubicBezTo>
                <a:cubicBezTo>
                  <a:pt x="38497" y="18256"/>
                  <a:pt x="19248" y="9128"/>
                  <a:pt x="0" y="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0" name="Freihandform 39">
            <a:extLst>
              <a:ext uri="{FF2B5EF4-FFF2-40B4-BE49-F238E27FC236}">
                <a16:creationId xmlns:a16="http://schemas.microsoft.com/office/drawing/2014/main" id="{246327F9-A10D-4F4E-B902-1301309E940E}"/>
              </a:ext>
            </a:extLst>
          </xdr:cNvPr>
          <xdr:cNvSpPr/>
        </xdr:nvSpPr>
        <xdr:spPr>
          <a:xfrm>
            <a:off x="5791990" y="1103610"/>
            <a:ext cx="111413" cy="230283"/>
          </a:xfrm>
          <a:custGeom>
            <a:avLst/>
            <a:gdLst>
              <a:gd name="connsiteX0" fmla="*/ 0 w 92868"/>
              <a:gd name="connsiteY0" fmla="*/ 0 h 207169"/>
              <a:gd name="connsiteX1" fmla="*/ 42862 w 92868"/>
              <a:gd name="connsiteY1" fmla="*/ 126207 h 207169"/>
              <a:gd name="connsiteX2" fmla="*/ 92868 w 92868"/>
              <a:gd name="connsiteY2" fmla="*/ 207169 h 207169"/>
            </a:gdLst>
            <a:ahLst/>
            <a:cxnLst>
              <a:cxn ang="0">
                <a:pos x="connsiteX0" y="connsiteY0"/>
              </a:cxn>
              <a:cxn ang="0">
                <a:pos x="connsiteX1" y="connsiteY1"/>
              </a:cxn>
              <a:cxn ang="0">
                <a:pos x="connsiteX2" y="connsiteY2"/>
              </a:cxn>
            </a:cxnLst>
            <a:rect l="l" t="t" r="r" b="b"/>
            <a:pathLst>
              <a:path w="92868" h="207169">
                <a:moveTo>
                  <a:pt x="0" y="0"/>
                </a:moveTo>
                <a:cubicBezTo>
                  <a:pt x="13692" y="45839"/>
                  <a:pt x="27384" y="91679"/>
                  <a:pt x="42862" y="126207"/>
                </a:cubicBezTo>
                <a:cubicBezTo>
                  <a:pt x="58340" y="160735"/>
                  <a:pt x="92868" y="207169"/>
                  <a:pt x="92868" y="207169"/>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 name="Freihandform 40">
            <a:extLst>
              <a:ext uri="{FF2B5EF4-FFF2-40B4-BE49-F238E27FC236}">
                <a16:creationId xmlns:a16="http://schemas.microsoft.com/office/drawing/2014/main" id="{471E7174-FBB5-4D30-A060-FBE46F817363}"/>
              </a:ext>
            </a:extLst>
          </xdr:cNvPr>
          <xdr:cNvSpPr/>
        </xdr:nvSpPr>
        <xdr:spPr>
          <a:xfrm>
            <a:off x="9914519" y="1762815"/>
            <a:ext cx="1116786" cy="1099234"/>
          </a:xfrm>
          <a:custGeom>
            <a:avLst/>
            <a:gdLst>
              <a:gd name="connsiteX0" fmla="*/ 114918 w 930893"/>
              <a:gd name="connsiteY0" fmla="*/ 980037 h 986387"/>
              <a:gd name="connsiteX1" fmla="*/ 108568 w 930893"/>
              <a:gd name="connsiteY1" fmla="*/ 729212 h 986387"/>
              <a:gd name="connsiteX2" fmla="*/ 76818 w 930893"/>
              <a:gd name="connsiteY2" fmla="*/ 681587 h 986387"/>
              <a:gd name="connsiteX3" fmla="*/ 60943 w 930893"/>
              <a:gd name="connsiteY3" fmla="*/ 675237 h 986387"/>
              <a:gd name="connsiteX4" fmla="*/ 57768 w 930893"/>
              <a:gd name="connsiteY4" fmla="*/ 618087 h 986387"/>
              <a:gd name="connsiteX5" fmla="*/ 26018 w 930893"/>
              <a:gd name="connsiteY5" fmla="*/ 360912 h 986387"/>
              <a:gd name="connsiteX6" fmla="*/ 618 w 930893"/>
              <a:gd name="connsiteY6" fmla="*/ 164062 h 986387"/>
              <a:gd name="connsiteX7" fmla="*/ 10143 w 930893"/>
              <a:gd name="connsiteY7" fmla="*/ 122787 h 986387"/>
              <a:gd name="connsiteX8" fmla="*/ 35543 w 930893"/>
              <a:gd name="connsiteY8" fmla="*/ 97387 h 986387"/>
              <a:gd name="connsiteX9" fmla="*/ 86343 w 930893"/>
              <a:gd name="connsiteY9" fmla="*/ 87862 h 986387"/>
              <a:gd name="connsiteX10" fmla="*/ 368918 w 930893"/>
              <a:gd name="connsiteY10" fmla="*/ 59287 h 986387"/>
              <a:gd name="connsiteX11" fmla="*/ 740393 w 930893"/>
              <a:gd name="connsiteY11" fmla="*/ 2137 h 986387"/>
              <a:gd name="connsiteX12" fmla="*/ 832468 w 930893"/>
              <a:gd name="connsiteY12" fmla="*/ 141837 h 986387"/>
              <a:gd name="connsiteX13" fmla="*/ 915018 w 930893"/>
              <a:gd name="connsiteY13" fmla="*/ 516487 h 986387"/>
              <a:gd name="connsiteX14" fmla="*/ 927718 w 930893"/>
              <a:gd name="connsiteY14" fmla="*/ 837162 h 986387"/>
              <a:gd name="connsiteX15" fmla="*/ 930893 w 930893"/>
              <a:gd name="connsiteY15" fmla="*/ 986387 h 986387"/>
              <a:gd name="connsiteX0" fmla="*/ 114918 w 930893"/>
              <a:gd name="connsiteY0" fmla="*/ 983130 h 989480"/>
              <a:gd name="connsiteX1" fmla="*/ 108568 w 930893"/>
              <a:gd name="connsiteY1" fmla="*/ 732305 h 989480"/>
              <a:gd name="connsiteX2" fmla="*/ 76818 w 930893"/>
              <a:gd name="connsiteY2" fmla="*/ 684680 h 989480"/>
              <a:gd name="connsiteX3" fmla="*/ 60943 w 930893"/>
              <a:gd name="connsiteY3" fmla="*/ 678330 h 989480"/>
              <a:gd name="connsiteX4" fmla="*/ 57768 w 930893"/>
              <a:gd name="connsiteY4" fmla="*/ 621180 h 989480"/>
              <a:gd name="connsiteX5" fmla="*/ 26018 w 930893"/>
              <a:gd name="connsiteY5" fmla="*/ 364005 h 989480"/>
              <a:gd name="connsiteX6" fmla="*/ 618 w 930893"/>
              <a:gd name="connsiteY6" fmla="*/ 167155 h 989480"/>
              <a:gd name="connsiteX7" fmla="*/ 10143 w 930893"/>
              <a:gd name="connsiteY7" fmla="*/ 125880 h 989480"/>
              <a:gd name="connsiteX8" fmla="*/ 35543 w 930893"/>
              <a:gd name="connsiteY8" fmla="*/ 100480 h 989480"/>
              <a:gd name="connsiteX9" fmla="*/ 86343 w 930893"/>
              <a:gd name="connsiteY9" fmla="*/ 90955 h 989480"/>
              <a:gd name="connsiteX10" fmla="*/ 368918 w 930893"/>
              <a:gd name="connsiteY10" fmla="*/ 62380 h 989480"/>
              <a:gd name="connsiteX11" fmla="*/ 711818 w 930893"/>
              <a:gd name="connsiteY11" fmla="*/ 2055 h 989480"/>
              <a:gd name="connsiteX12" fmla="*/ 832468 w 930893"/>
              <a:gd name="connsiteY12" fmla="*/ 144930 h 989480"/>
              <a:gd name="connsiteX13" fmla="*/ 915018 w 930893"/>
              <a:gd name="connsiteY13" fmla="*/ 519580 h 989480"/>
              <a:gd name="connsiteX14" fmla="*/ 927718 w 930893"/>
              <a:gd name="connsiteY14" fmla="*/ 840255 h 989480"/>
              <a:gd name="connsiteX15" fmla="*/ 930893 w 930893"/>
              <a:gd name="connsiteY15" fmla="*/ 989480 h 989480"/>
              <a:gd name="connsiteX0" fmla="*/ 114918 w 930893"/>
              <a:gd name="connsiteY0" fmla="*/ 981782 h 988132"/>
              <a:gd name="connsiteX1" fmla="*/ 108568 w 930893"/>
              <a:gd name="connsiteY1" fmla="*/ 730957 h 988132"/>
              <a:gd name="connsiteX2" fmla="*/ 76818 w 930893"/>
              <a:gd name="connsiteY2" fmla="*/ 683332 h 988132"/>
              <a:gd name="connsiteX3" fmla="*/ 60943 w 930893"/>
              <a:gd name="connsiteY3" fmla="*/ 676982 h 988132"/>
              <a:gd name="connsiteX4" fmla="*/ 57768 w 930893"/>
              <a:gd name="connsiteY4" fmla="*/ 619832 h 988132"/>
              <a:gd name="connsiteX5" fmla="*/ 26018 w 930893"/>
              <a:gd name="connsiteY5" fmla="*/ 362657 h 988132"/>
              <a:gd name="connsiteX6" fmla="*/ 618 w 930893"/>
              <a:gd name="connsiteY6" fmla="*/ 165807 h 988132"/>
              <a:gd name="connsiteX7" fmla="*/ 10143 w 930893"/>
              <a:gd name="connsiteY7" fmla="*/ 124532 h 988132"/>
              <a:gd name="connsiteX8" fmla="*/ 35543 w 930893"/>
              <a:gd name="connsiteY8" fmla="*/ 99132 h 988132"/>
              <a:gd name="connsiteX9" fmla="*/ 86343 w 930893"/>
              <a:gd name="connsiteY9" fmla="*/ 89607 h 988132"/>
              <a:gd name="connsiteX10" fmla="*/ 368918 w 930893"/>
              <a:gd name="connsiteY10" fmla="*/ 61032 h 988132"/>
              <a:gd name="connsiteX11" fmla="*/ 711818 w 930893"/>
              <a:gd name="connsiteY11" fmla="*/ 707 h 988132"/>
              <a:gd name="connsiteX12" fmla="*/ 819768 w 930893"/>
              <a:gd name="connsiteY12" fmla="*/ 105482 h 988132"/>
              <a:gd name="connsiteX13" fmla="*/ 915018 w 930893"/>
              <a:gd name="connsiteY13" fmla="*/ 518232 h 988132"/>
              <a:gd name="connsiteX14" fmla="*/ 927718 w 930893"/>
              <a:gd name="connsiteY14" fmla="*/ 838907 h 988132"/>
              <a:gd name="connsiteX15" fmla="*/ 930893 w 930893"/>
              <a:gd name="connsiteY15" fmla="*/ 988132 h 988132"/>
              <a:gd name="connsiteX0" fmla="*/ 114918 w 930893"/>
              <a:gd name="connsiteY0" fmla="*/ 982553 h 988903"/>
              <a:gd name="connsiteX1" fmla="*/ 108568 w 930893"/>
              <a:gd name="connsiteY1" fmla="*/ 731728 h 988903"/>
              <a:gd name="connsiteX2" fmla="*/ 76818 w 930893"/>
              <a:gd name="connsiteY2" fmla="*/ 684103 h 988903"/>
              <a:gd name="connsiteX3" fmla="*/ 60943 w 930893"/>
              <a:gd name="connsiteY3" fmla="*/ 677753 h 988903"/>
              <a:gd name="connsiteX4" fmla="*/ 57768 w 930893"/>
              <a:gd name="connsiteY4" fmla="*/ 620603 h 988903"/>
              <a:gd name="connsiteX5" fmla="*/ 26018 w 930893"/>
              <a:gd name="connsiteY5" fmla="*/ 363428 h 988903"/>
              <a:gd name="connsiteX6" fmla="*/ 618 w 930893"/>
              <a:gd name="connsiteY6" fmla="*/ 166578 h 988903"/>
              <a:gd name="connsiteX7" fmla="*/ 10143 w 930893"/>
              <a:gd name="connsiteY7" fmla="*/ 125303 h 988903"/>
              <a:gd name="connsiteX8" fmla="*/ 35543 w 930893"/>
              <a:gd name="connsiteY8" fmla="*/ 99903 h 988903"/>
              <a:gd name="connsiteX9" fmla="*/ 86343 w 930893"/>
              <a:gd name="connsiteY9" fmla="*/ 90378 h 988903"/>
              <a:gd name="connsiteX10" fmla="*/ 368918 w 930893"/>
              <a:gd name="connsiteY10" fmla="*/ 61803 h 988903"/>
              <a:gd name="connsiteX11" fmla="*/ 711818 w 930893"/>
              <a:gd name="connsiteY11" fmla="*/ 1478 h 988903"/>
              <a:gd name="connsiteX12" fmla="*/ 819768 w 930893"/>
              <a:gd name="connsiteY12" fmla="*/ 106253 h 988903"/>
              <a:gd name="connsiteX13" fmla="*/ 915018 w 930893"/>
              <a:gd name="connsiteY13" fmla="*/ 519003 h 988903"/>
              <a:gd name="connsiteX14" fmla="*/ 927718 w 930893"/>
              <a:gd name="connsiteY14" fmla="*/ 839678 h 988903"/>
              <a:gd name="connsiteX15" fmla="*/ 930893 w 930893"/>
              <a:gd name="connsiteY15" fmla="*/ 988903 h 9889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930893" h="988903">
                <a:moveTo>
                  <a:pt x="114918" y="982553"/>
                </a:moveTo>
                <a:cubicBezTo>
                  <a:pt x="114918" y="882011"/>
                  <a:pt x="114918" y="781470"/>
                  <a:pt x="108568" y="731728"/>
                </a:cubicBezTo>
                <a:cubicBezTo>
                  <a:pt x="102218" y="681986"/>
                  <a:pt x="84755" y="693099"/>
                  <a:pt x="76818" y="684103"/>
                </a:cubicBezTo>
                <a:cubicBezTo>
                  <a:pt x="68880" y="675107"/>
                  <a:pt x="64118" y="688336"/>
                  <a:pt x="60943" y="677753"/>
                </a:cubicBezTo>
                <a:cubicBezTo>
                  <a:pt x="57768" y="667170"/>
                  <a:pt x="63589" y="672990"/>
                  <a:pt x="57768" y="620603"/>
                </a:cubicBezTo>
                <a:cubicBezTo>
                  <a:pt x="51947" y="568216"/>
                  <a:pt x="35543" y="439099"/>
                  <a:pt x="26018" y="363428"/>
                </a:cubicBezTo>
                <a:cubicBezTo>
                  <a:pt x="16493" y="287757"/>
                  <a:pt x="3264" y="206265"/>
                  <a:pt x="618" y="166578"/>
                </a:cubicBezTo>
                <a:cubicBezTo>
                  <a:pt x="-2028" y="126891"/>
                  <a:pt x="4322" y="136415"/>
                  <a:pt x="10143" y="125303"/>
                </a:cubicBezTo>
                <a:cubicBezTo>
                  <a:pt x="15964" y="114191"/>
                  <a:pt x="22843" y="105724"/>
                  <a:pt x="35543" y="99903"/>
                </a:cubicBezTo>
                <a:cubicBezTo>
                  <a:pt x="48243" y="94082"/>
                  <a:pt x="30781" y="96728"/>
                  <a:pt x="86343" y="90378"/>
                </a:cubicBezTo>
                <a:cubicBezTo>
                  <a:pt x="141905" y="84028"/>
                  <a:pt x="264672" y="76620"/>
                  <a:pt x="368918" y="61803"/>
                </a:cubicBezTo>
                <a:cubicBezTo>
                  <a:pt x="473164" y="46986"/>
                  <a:pt x="643026" y="9945"/>
                  <a:pt x="711818" y="1478"/>
                </a:cubicBezTo>
                <a:cubicBezTo>
                  <a:pt x="780610" y="-6989"/>
                  <a:pt x="785901" y="19999"/>
                  <a:pt x="819768" y="106253"/>
                </a:cubicBezTo>
                <a:cubicBezTo>
                  <a:pt x="853635" y="192507"/>
                  <a:pt x="897026" y="396766"/>
                  <a:pt x="915018" y="519003"/>
                </a:cubicBezTo>
                <a:cubicBezTo>
                  <a:pt x="933010" y="641240"/>
                  <a:pt x="925072" y="761361"/>
                  <a:pt x="927718" y="839678"/>
                </a:cubicBezTo>
                <a:cubicBezTo>
                  <a:pt x="930364" y="917995"/>
                  <a:pt x="930628" y="953449"/>
                  <a:pt x="930893" y="988903"/>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2" name="Freihandform 41">
            <a:extLst>
              <a:ext uri="{FF2B5EF4-FFF2-40B4-BE49-F238E27FC236}">
                <a16:creationId xmlns:a16="http://schemas.microsoft.com/office/drawing/2014/main" id="{6ACF2EFE-D24F-46A7-A1A8-B87B348489BD}"/>
              </a:ext>
            </a:extLst>
          </xdr:cNvPr>
          <xdr:cNvSpPr/>
        </xdr:nvSpPr>
        <xdr:spPr>
          <a:xfrm>
            <a:off x="5641533" y="1542118"/>
            <a:ext cx="281868" cy="1323462"/>
          </a:xfrm>
          <a:custGeom>
            <a:avLst/>
            <a:gdLst>
              <a:gd name="connsiteX0" fmla="*/ 234950 w 234950"/>
              <a:gd name="connsiteY0" fmla="*/ 0 h 1190625"/>
              <a:gd name="connsiteX1" fmla="*/ 180975 w 234950"/>
              <a:gd name="connsiteY1" fmla="*/ 50800 h 1190625"/>
              <a:gd name="connsiteX2" fmla="*/ 136525 w 234950"/>
              <a:gd name="connsiteY2" fmla="*/ 149225 h 1190625"/>
              <a:gd name="connsiteX3" fmla="*/ 57150 w 234950"/>
              <a:gd name="connsiteY3" fmla="*/ 520700 h 1190625"/>
              <a:gd name="connsiteX4" fmla="*/ 19050 w 234950"/>
              <a:gd name="connsiteY4" fmla="*/ 815975 h 1190625"/>
              <a:gd name="connsiteX5" fmla="*/ 0 w 234950"/>
              <a:gd name="connsiteY5" fmla="*/ 1190625 h 11906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34950" h="1190625">
                <a:moveTo>
                  <a:pt x="234950" y="0"/>
                </a:moveTo>
                <a:cubicBezTo>
                  <a:pt x="216164" y="12964"/>
                  <a:pt x="197379" y="25929"/>
                  <a:pt x="180975" y="50800"/>
                </a:cubicBezTo>
                <a:cubicBezTo>
                  <a:pt x="164571" y="75671"/>
                  <a:pt x="157162" y="70908"/>
                  <a:pt x="136525" y="149225"/>
                </a:cubicBezTo>
                <a:cubicBezTo>
                  <a:pt x="115888" y="227542"/>
                  <a:pt x="76729" y="409575"/>
                  <a:pt x="57150" y="520700"/>
                </a:cubicBezTo>
                <a:cubicBezTo>
                  <a:pt x="37571" y="631825"/>
                  <a:pt x="28575" y="704321"/>
                  <a:pt x="19050" y="815975"/>
                </a:cubicBezTo>
                <a:cubicBezTo>
                  <a:pt x="9525" y="927629"/>
                  <a:pt x="4233" y="1117600"/>
                  <a:pt x="0" y="1190625"/>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3" name="Freihandform 42">
            <a:extLst>
              <a:ext uri="{FF2B5EF4-FFF2-40B4-BE49-F238E27FC236}">
                <a16:creationId xmlns:a16="http://schemas.microsoft.com/office/drawing/2014/main" id="{45C24DE8-1122-4975-AAC0-7B0365C600BE}"/>
              </a:ext>
            </a:extLst>
          </xdr:cNvPr>
          <xdr:cNvSpPr/>
        </xdr:nvSpPr>
        <xdr:spPr>
          <a:xfrm flipV="1">
            <a:off x="5917172" y="4005064"/>
            <a:ext cx="4377754" cy="400296"/>
          </a:xfrm>
          <a:custGeom>
            <a:avLst/>
            <a:gdLst>
              <a:gd name="connsiteX0" fmla="*/ 0 w 3649061"/>
              <a:gd name="connsiteY0" fmla="*/ 30297 h 360118"/>
              <a:gd name="connsiteX1" fmla="*/ 140494 w 3649061"/>
              <a:gd name="connsiteY1" fmla="*/ 75541 h 360118"/>
              <a:gd name="connsiteX2" fmla="*/ 585788 w 3649061"/>
              <a:gd name="connsiteY2" fmla="*/ 194604 h 360118"/>
              <a:gd name="connsiteX3" fmla="*/ 966788 w 3649061"/>
              <a:gd name="connsiteY3" fmla="*/ 282710 h 360118"/>
              <a:gd name="connsiteX4" fmla="*/ 1121569 w 3649061"/>
              <a:gd name="connsiteY4" fmla="*/ 311285 h 360118"/>
              <a:gd name="connsiteX5" fmla="*/ 1381125 w 3649061"/>
              <a:gd name="connsiteY5" fmla="*/ 335097 h 360118"/>
              <a:gd name="connsiteX6" fmla="*/ 1926432 w 3649061"/>
              <a:gd name="connsiteY6" fmla="*/ 356529 h 360118"/>
              <a:gd name="connsiteX7" fmla="*/ 2609850 w 3649061"/>
              <a:gd name="connsiteY7" fmla="*/ 354147 h 360118"/>
              <a:gd name="connsiteX8" fmla="*/ 3083719 w 3649061"/>
              <a:gd name="connsiteY8" fmla="*/ 299379 h 360118"/>
              <a:gd name="connsiteX9" fmla="*/ 3405188 w 3649061"/>
              <a:gd name="connsiteY9" fmla="*/ 213654 h 360118"/>
              <a:gd name="connsiteX10" fmla="*/ 3602832 w 3649061"/>
              <a:gd name="connsiteY10" fmla="*/ 149360 h 360118"/>
              <a:gd name="connsiteX11" fmla="*/ 3645694 w 3649061"/>
              <a:gd name="connsiteY11" fmla="*/ 125547 h 360118"/>
              <a:gd name="connsiteX12" fmla="*/ 3643313 w 3649061"/>
              <a:gd name="connsiteY12" fmla="*/ 108879 h 360118"/>
              <a:gd name="connsiteX13" fmla="*/ 3619500 w 3649061"/>
              <a:gd name="connsiteY13" fmla="*/ 96972 h 360118"/>
              <a:gd name="connsiteX14" fmla="*/ 3576638 w 3649061"/>
              <a:gd name="connsiteY14" fmla="*/ 94591 h 360118"/>
              <a:gd name="connsiteX15" fmla="*/ 3295650 w 3649061"/>
              <a:gd name="connsiteY15" fmla="*/ 73160 h 360118"/>
              <a:gd name="connsiteX16" fmla="*/ 2786063 w 3649061"/>
              <a:gd name="connsiteY16" fmla="*/ 46966 h 360118"/>
              <a:gd name="connsiteX17" fmla="*/ 1962150 w 3649061"/>
              <a:gd name="connsiteY17" fmla="*/ 4104 h 360118"/>
              <a:gd name="connsiteX18" fmla="*/ 1526382 w 3649061"/>
              <a:gd name="connsiteY18" fmla="*/ 1722 h 360118"/>
              <a:gd name="connsiteX19" fmla="*/ 778669 w 3649061"/>
              <a:gd name="connsiteY19" fmla="*/ 6485 h 360118"/>
              <a:gd name="connsiteX20" fmla="*/ 133350 w 3649061"/>
              <a:gd name="connsiteY20" fmla="*/ 11247 h 360118"/>
              <a:gd name="connsiteX21" fmla="*/ 0 w 3649061"/>
              <a:gd name="connsiteY21" fmla="*/ 30297 h 360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49061" h="360118">
                <a:moveTo>
                  <a:pt x="0" y="30297"/>
                </a:moveTo>
                <a:cubicBezTo>
                  <a:pt x="21431" y="39227"/>
                  <a:pt x="42863" y="48157"/>
                  <a:pt x="140494" y="75541"/>
                </a:cubicBezTo>
                <a:cubicBezTo>
                  <a:pt x="238125" y="102925"/>
                  <a:pt x="448072" y="160076"/>
                  <a:pt x="585788" y="194604"/>
                </a:cubicBezTo>
                <a:cubicBezTo>
                  <a:pt x="723504" y="229132"/>
                  <a:pt x="877491" y="263263"/>
                  <a:pt x="966788" y="282710"/>
                </a:cubicBezTo>
                <a:cubicBezTo>
                  <a:pt x="1056085" y="302157"/>
                  <a:pt x="1052513" y="302554"/>
                  <a:pt x="1121569" y="311285"/>
                </a:cubicBezTo>
                <a:cubicBezTo>
                  <a:pt x="1190625" y="320016"/>
                  <a:pt x="1246981" y="327556"/>
                  <a:pt x="1381125" y="335097"/>
                </a:cubicBezTo>
                <a:cubicBezTo>
                  <a:pt x="1515269" y="342638"/>
                  <a:pt x="1721645" y="353354"/>
                  <a:pt x="1926432" y="356529"/>
                </a:cubicBezTo>
                <a:cubicBezTo>
                  <a:pt x="2131219" y="359704"/>
                  <a:pt x="2416969" y="363672"/>
                  <a:pt x="2609850" y="354147"/>
                </a:cubicBezTo>
                <a:cubicBezTo>
                  <a:pt x="2802731" y="344622"/>
                  <a:pt x="2951163" y="322795"/>
                  <a:pt x="3083719" y="299379"/>
                </a:cubicBezTo>
                <a:cubicBezTo>
                  <a:pt x="3216275" y="275964"/>
                  <a:pt x="3318669" y="238657"/>
                  <a:pt x="3405188" y="213654"/>
                </a:cubicBezTo>
                <a:cubicBezTo>
                  <a:pt x="3491707" y="188651"/>
                  <a:pt x="3562748" y="164045"/>
                  <a:pt x="3602832" y="149360"/>
                </a:cubicBezTo>
                <a:cubicBezTo>
                  <a:pt x="3642916" y="134675"/>
                  <a:pt x="3638947" y="132294"/>
                  <a:pt x="3645694" y="125547"/>
                </a:cubicBezTo>
                <a:cubicBezTo>
                  <a:pt x="3652441" y="118800"/>
                  <a:pt x="3647679" y="113641"/>
                  <a:pt x="3643313" y="108879"/>
                </a:cubicBezTo>
                <a:cubicBezTo>
                  <a:pt x="3638947" y="104117"/>
                  <a:pt x="3630612" y="99353"/>
                  <a:pt x="3619500" y="96972"/>
                </a:cubicBezTo>
                <a:cubicBezTo>
                  <a:pt x="3608388" y="94591"/>
                  <a:pt x="3576638" y="94591"/>
                  <a:pt x="3576638" y="94591"/>
                </a:cubicBezTo>
                <a:lnTo>
                  <a:pt x="3295650" y="73160"/>
                </a:lnTo>
                <a:lnTo>
                  <a:pt x="2786063" y="46966"/>
                </a:lnTo>
                <a:lnTo>
                  <a:pt x="1962150" y="4104"/>
                </a:lnTo>
                <a:cubicBezTo>
                  <a:pt x="1752203" y="-3437"/>
                  <a:pt x="1526382" y="1722"/>
                  <a:pt x="1526382" y="1722"/>
                </a:cubicBezTo>
                <a:lnTo>
                  <a:pt x="778669" y="6485"/>
                </a:lnTo>
                <a:lnTo>
                  <a:pt x="133350" y="11247"/>
                </a:lnTo>
                <a:lnTo>
                  <a:pt x="0" y="30297"/>
                </a:lnTo>
                <a:close/>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4" name="Freihandform 43">
            <a:extLst>
              <a:ext uri="{FF2B5EF4-FFF2-40B4-BE49-F238E27FC236}">
                <a16:creationId xmlns:a16="http://schemas.microsoft.com/office/drawing/2014/main" id="{5BC1B444-3B0D-4B1B-B9EC-273B545E0674}"/>
              </a:ext>
            </a:extLst>
          </xdr:cNvPr>
          <xdr:cNvSpPr/>
        </xdr:nvSpPr>
        <xdr:spPr>
          <a:xfrm flipV="1">
            <a:off x="6005719" y="4033395"/>
            <a:ext cx="4175046" cy="348956"/>
          </a:xfrm>
          <a:custGeom>
            <a:avLst/>
            <a:gdLst>
              <a:gd name="connsiteX0" fmla="*/ 0 w 3649061"/>
              <a:gd name="connsiteY0" fmla="*/ 30297 h 360118"/>
              <a:gd name="connsiteX1" fmla="*/ 140494 w 3649061"/>
              <a:gd name="connsiteY1" fmla="*/ 75541 h 360118"/>
              <a:gd name="connsiteX2" fmla="*/ 585788 w 3649061"/>
              <a:gd name="connsiteY2" fmla="*/ 194604 h 360118"/>
              <a:gd name="connsiteX3" fmla="*/ 966788 w 3649061"/>
              <a:gd name="connsiteY3" fmla="*/ 282710 h 360118"/>
              <a:gd name="connsiteX4" fmla="*/ 1121569 w 3649061"/>
              <a:gd name="connsiteY4" fmla="*/ 311285 h 360118"/>
              <a:gd name="connsiteX5" fmla="*/ 1381125 w 3649061"/>
              <a:gd name="connsiteY5" fmla="*/ 335097 h 360118"/>
              <a:gd name="connsiteX6" fmla="*/ 1926432 w 3649061"/>
              <a:gd name="connsiteY6" fmla="*/ 356529 h 360118"/>
              <a:gd name="connsiteX7" fmla="*/ 2609850 w 3649061"/>
              <a:gd name="connsiteY7" fmla="*/ 354147 h 360118"/>
              <a:gd name="connsiteX8" fmla="*/ 3083719 w 3649061"/>
              <a:gd name="connsiteY8" fmla="*/ 299379 h 360118"/>
              <a:gd name="connsiteX9" fmla="*/ 3405188 w 3649061"/>
              <a:gd name="connsiteY9" fmla="*/ 213654 h 360118"/>
              <a:gd name="connsiteX10" fmla="*/ 3602832 w 3649061"/>
              <a:gd name="connsiteY10" fmla="*/ 149360 h 360118"/>
              <a:gd name="connsiteX11" fmla="*/ 3645694 w 3649061"/>
              <a:gd name="connsiteY11" fmla="*/ 125547 h 360118"/>
              <a:gd name="connsiteX12" fmla="*/ 3643313 w 3649061"/>
              <a:gd name="connsiteY12" fmla="*/ 108879 h 360118"/>
              <a:gd name="connsiteX13" fmla="*/ 3619500 w 3649061"/>
              <a:gd name="connsiteY13" fmla="*/ 96972 h 360118"/>
              <a:gd name="connsiteX14" fmla="*/ 3576638 w 3649061"/>
              <a:gd name="connsiteY14" fmla="*/ 94591 h 360118"/>
              <a:gd name="connsiteX15" fmla="*/ 3295650 w 3649061"/>
              <a:gd name="connsiteY15" fmla="*/ 73160 h 360118"/>
              <a:gd name="connsiteX16" fmla="*/ 2786063 w 3649061"/>
              <a:gd name="connsiteY16" fmla="*/ 46966 h 360118"/>
              <a:gd name="connsiteX17" fmla="*/ 1962150 w 3649061"/>
              <a:gd name="connsiteY17" fmla="*/ 4104 h 360118"/>
              <a:gd name="connsiteX18" fmla="*/ 1526382 w 3649061"/>
              <a:gd name="connsiteY18" fmla="*/ 1722 h 360118"/>
              <a:gd name="connsiteX19" fmla="*/ 778669 w 3649061"/>
              <a:gd name="connsiteY19" fmla="*/ 6485 h 360118"/>
              <a:gd name="connsiteX20" fmla="*/ 133350 w 3649061"/>
              <a:gd name="connsiteY20" fmla="*/ 11247 h 360118"/>
              <a:gd name="connsiteX21" fmla="*/ 0 w 3649061"/>
              <a:gd name="connsiteY21" fmla="*/ 30297 h 360118"/>
              <a:gd name="connsiteX0" fmla="*/ 0 w 3649061"/>
              <a:gd name="connsiteY0" fmla="*/ 45848 h 375669"/>
              <a:gd name="connsiteX1" fmla="*/ 140494 w 3649061"/>
              <a:gd name="connsiteY1" fmla="*/ 91092 h 375669"/>
              <a:gd name="connsiteX2" fmla="*/ 585788 w 3649061"/>
              <a:gd name="connsiteY2" fmla="*/ 210155 h 375669"/>
              <a:gd name="connsiteX3" fmla="*/ 966788 w 3649061"/>
              <a:gd name="connsiteY3" fmla="*/ 298261 h 375669"/>
              <a:gd name="connsiteX4" fmla="*/ 1121569 w 3649061"/>
              <a:gd name="connsiteY4" fmla="*/ 326836 h 375669"/>
              <a:gd name="connsiteX5" fmla="*/ 1381125 w 3649061"/>
              <a:gd name="connsiteY5" fmla="*/ 350648 h 375669"/>
              <a:gd name="connsiteX6" fmla="*/ 1926432 w 3649061"/>
              <a:gd name="connsiteY6" fmla="*/ 372080 h 375669"/>
              <a:gd name="connsiteX7" fmla="*/ 2609850 w 3649061"/>
              <a:gd name="connsiteY7" fmla="*/ 369698 h 375669"/>
              <a:gd name="connsiteX8" fmla="*/ 3083719 w 3649061"/>
              <a:gd name="connsiteY8" fmla="*/ 314930 h 375669"/>
              <a:gd name="connsiteX9" fmla="*/ 3405188 w 3649061"/>
              <a:gd name="connsiteY9" fmla="*/ 229205 h 375669"/>
              <a:gd name="connsiteX10" fmla="*/ 3602832 w 3649061"/>
              <a:gd name="connsiteY10" fmla="*/ 164911 h 375669"/>
              <a:gd name="connsiteX11" fmla="*/ 3645694 w 3649061"/>
              <a:gd name="connsiteY11" fmla="*/ 141098 h 375669"/>
              <a:gd name="connsiteX12" fmla="*/ 3643313 w 3649061"/>
              <a:gd name="connsiteY12" fmla="*/ 124430 h 375669"/>
              <a:gd name="connsiteX13" fmla="*/ 3619500 w 3649061"/>
              <a:gd name="connsiteY13" fmla="*/ 112523 h 375669"/>
              <a:gd name="connsiteX14" fmla="*/ 3576638 w 3649061"/>
              <a:gd name="connsiteY14" fmla="*/ 110142 h 375669"/>
              <a:gd name="connsiteX15" fmla="*/ 3295650 w 3649061"/>
              <a:gd name="connsiteY15" fmla="*/ 88711 h 375669"/>
              <a:gd name="connsiteX16" fmla="*/ 2786063 w 3649061"/>
              <a:gd name="connsiteY16" fmla="*/ 62517 h 375669"/>
              <a:gd name="connsiteX17" fmla="*/ 1962150 w 3649061"/>
              <a:gd name="connsiteY17" fmla="*/ 19655 h 375669"/>
              <a:gd name="connsiteX18" fmla="*/ 1526382 w 3649061"/>
              <a:gd name="connsiteY18" fmla="*/ 17273 h 375669"/>
              <a:gd name="connsiteX19" fmla="*/ 778669 w 3649061"/>
              <a:gd name="connsiteY19" fmla="*/ 22036 h 375669"/>
              <a:gd name="connsiteX20" fmla="*/ 118420 w 3649061"/>
              <a:gd name="connsiteY20" fmla="*/ 0 h 375669"/>
              <a:gd name="connsiteX21" fmla="*/ 0 w 3649061"/>
              <a:gd name="connsiteY21" fmla="*/ 45848 h 375669"/>
              <a:gd name="connsiteX0" fmla="*/ 0 w 3639108"/>
              <a:gd name="connsiteY0" fmla="*/ 7140 h 375669"/>
              <a:gd name="connsiteX1" fmla="*/ 130541 w 3639108"/>
              <a:gd name="connsiteY1" fmla="*/ 91092 h 375669"/>
              <a:gd name="connsiteX2" fmla="*/ 575835 w 3639108"/>
              <a:gd name="connsiteY2" fmla="*/ 210155 h 375669"/>
              <a:gd name="connsiteX3" fmla="*/ 956835 w 3639108"/>
              <a:gd name="connsiteY3" fmla="*/ 298261 h 375669"/>
              <a:gd name="connsiteX4" fmla="*/ 1111616 w 3639108"/>
              <a:gd name="connsiteY4" fmla="*/ 326836 h 375669"/>
              <a:gd name="connsiteX5" fmla="*/ 1371172 w 3639108"/>
              <a:gd name="connsiteY5" fmla="*/ 350648 h 375669"/>
              <a:gd name="connsiteX6" fmla="*/ 1916479 w 3639108"/>
              <a:gd name="connsiteY6" fmla="*/ 372080 h 375669"/>
              <a:gd name="connsiteX7" fmla="*/ 2599897 w 3639108"/>
              <a:gd name="connsiteY7" fmla="*/ 369698 h 375669"/>
              <a:gd name="connsiteX8" fmla="*/ 3073766 w 3639108"/>
              <a:gd name="connsiteY8" fmla="*/ 314930 h 375669"/>
              <a:gd name="connsiteX9" fmla="*/ 3395235 w 3639108"/>
              <a:gd name="connsiteY9" fmla="*/ 229205 h 375669"/>
              <a:gd name="connsiteX10" fmla="*/ 3592879 w 3639108"/>
              <a:gd name="connsiteY10" fmla="*/ 164911 h 375669"/>
              <a:gd name="connsiteX11" fmla="*/ 3635741 w 3639108"/>
              <a:gd name="connsiteY11" fmla="*/ 141098 h 375669"/>
              <a:gd name="connsiteX12" fmla="*/ 3633360 w 3639108"/>
              <a:gd name="connsiteY12" fmla="*/ 124430 h 375669"/>
              <a:gd name="connsiteX13" fmla="*/ 3609547 w 3639108"/>
              <a:gd name="connsiteY13" fmla="*/ 112523 h 375669"/>
              <a:gd name="connsiteX14" fmla="*/ 3566685 w 3639108"/>
              <a:gd name="connsiteY14" fmla="*/ 110142 h 375669"/>
              <a:gd name="connsiteX15" fmla="*/ 3285697 w 3639108"/>
              <a:gd name="connsiteY15" fmla="*/ 88711 h 375669"/>
              <a:gd name="connsiteX16" fmla="*/ 2776110 w 3639108"/>
              <a:gd name="connsiteY16" fmla="*/ 62517 h 375669"/>
              <a:gd name="connsiteX17" fmla="*/ 1952197 w 3639108"/>
              <a:gd name="connsiteY17" fmla="*/ 19655 h 375669"/>
              <a:gd name="connsiteX18" fmla="*/ 1516429 w 3639108"/>
              <a:gd name="connsiteY18" fmla="*/ 17273 h 375669"/>
              <a:gd name="connsiteX19" fmla="*/ 768716 w 3639108"/>
              <a:gd name="connsiteY19" fmla="*/ 22036 h 375669"/>
              <a:gd name="connsiteX20" fmla="*/ 108467 w 3639108"/>
              <a:gd name="connsiteY20" fmla="*/ 0 h 375669"/>
              <a:gd name="connsiteX21" fmla="*/ 0 w 3639108"/>
              <a:gd name="connsiteY21" fmla="*/ 7140 h 375669"/>
              <a:gd name="connsiteX0" fmla="*/ 0 w 3639108"/>
              <a:gd name="connsiteY0" fmla="*/ 7140 h 375669"/>
              <a:gd name="connsiteX1" fmla="*/ 145471 w 3639108"/>
              <a:gd name="connsiteY1" fmla="*/ 58339 h 375669"/>
              <a:gd name="connsiteX2" fmla="*/ 575835 w 3639108"/>
              <a:gd name="connsiteY2" fmla="*/ 210155 h 375669"/>
              <a:gd name="connsiteX3" fmla="*/ 956835 w 3639108"/>
              <a:gd name="connsiteY3" fmla="*/ 298261 h 375669"/>
              <a:gd name="connsiteX4" fmla="*/ 1111616 w 3639108"/>
              <a:gd name="connsiteY4" fmla="*/ 326836 h 375669"/>
              <a:gd name="connsiteX5" fmla="*/ 1371172 w 3639108"/>
              <a:gd name="connsiteY5" fmla="*/ 350648 h 375669"/>
              <a:gd name="connsiteX6" fmla="*/ 1916479 w 3639108"/>
              <a:gd name="connsiteY6" fmla="*/ 372080 h 375669"/>
              <a:gd name="connsiteX7" fmla="*/ 2599897 w 3639108"/>
              <a:gd name="connsiteY7" fmla="*/ 369698 h 375669"/>
              <a:gd name="connsiteX8" fmla="*/ 3073766 w 3639108"/>
              <a:gd name="connsiteY8" fmla="*/ 314930 h 375669"/>
              <a:gd name="connsiteX9" fmla="*/ 3395235 w 3639108"/>
              <a:gd name="connsiteY9" fmla="*/ 229205 h 375669"/>
              <a:gd name="connsiteX10" fmla="*/ 3592879 w 3639108"/>
              <a:gd name="connsiteY10" fmla="*/ 164911 h 375669"/>
              <a:gd name="connsiteX11" fmla="*/ 3635741 w 3639108"/>
              <a:gd name="connsiteY11" fmla="*/ 141098 h 375669"/>
              <a:gd name="connsiteX12" fmla="*/ 3633360 w 3639108"/>
              <a:gd name="connsiteY12" fmla="*/ 124430 h 375669"/>
              <a:gd name="connsiteX13" fmla="*/ 3609547 w 3639108"/>
              <a:gd name="connsiteY13" fmla="*/ 112523 h 375669"/>
              <a:gd name="connsiteX14" fmla="*/ 3566685 w 3639108"/>
              <a:gd name="connsiteY14" fmla="*/ 110142 h 375669"/>
              <a:gd name="connsiteX15" fmla="*/ 3285697 w 3639108"/>
              <a:gd name="connsiteY15" fmla="*/ 88711 h 375669"/>
              <a:gd name="connsiteX16" fmla="*/ 2776110 w 3639108"/>
              <a:gd name="connsiteY16" fmla="*/ 62517 h 375669"/>
              <a:gd name="connsiteX17" fmla="*/ 1952197 w 3639108"/>
              <a:gd name="connsiteY17" fmla="*/ 19655 h 375669"/>
              <a:gd name="connsiteX18" fmla="*/ 1516429 w 3639108"/>
              <a:gd name="connsiteY18" fmla="*/ 17273 h 375669"/>
              <a:gd name="connsiteX19" fmla="*/ 768716 w 3639108"/>
              <a:gd name="connsiteY19" fmla="*/ 22036 h 375669"/>
              <a:gd name="connsiteX20" fmla="*/ 108467 w 3639108"/>
              <a:gd name="connsiteY20" fmla="*/ 0 h 375669"/>
              <a:gd name="connsiteX21" fmla="*/ 0 w 3639108"/>
              <a:gd name="connsiteY21" fmla="*/ 7140 h 375669"/>
              <a:gd name="connsiteX0" fmla="*/ 0 w 3639108"/>
              <a:gd name="connsiteY0" fmla="*/ 7140 h 375669"/>
              <a:gd name="connsiteX1" fmla="*/ 145471 w 3639108"/>
              <a:gd name="connsiteY1" fmla="*/ 58339 h 375669"/>
              <a:gd name="connsiteX2" fmla="*/ 590765 w 3639108"/>
              <a:gd name="connsiteY2" fmla="*/ 186335 h 375669"/>
              <a:gd name="connsiteX3" fmla="*/ 956835 w 3639108"/>
              <a:gd name="connsiteY3" fmla="*/ 298261 h 375669"/>
              <a:gd name="connsiteX4" fmla="*/ 1111616 w 3639108"/>
              <a:gd name="connsiteY4" fmla="*/ 326836 h 375669"/>
              <a:gd name="connsiteX5" fmla="*/ 1371172 w 3639108"/>
              <a:gd name="connsiteY5" fmla="*/ 350648 h 375669"/>
              <a:gd name="connsiteX6" fmla="*/ 1916479 w 3639108"/>
              <a:gd name="connsiteY6" fmla="*/ 372080 h 375669"/>
              <a:gd name="connsiteX7" fmla="*/ 2599897 w 3639108"/>
              <a:gd name="connsiteY7" fmla="*/ 369698 h 375669"/>
              <a:gd name="connsiteX8" fmla="*/ 3073766 w 3639108"/>
              <a:gd name="connsiteY8" fmla="*/ 314930 h 375669"/>
              <a:gd name="connsiteX9" fmla="*/ 3395235 w 3639108"/>
              <a:gd name="connsiteY9" fmla="*/ 229205 h 375669"/>
              <a:gd name="connsiteX10" fmla="*/ 3592879 w 3639108"/>
              <a:gd name="connsiteY10" fmla="*/ 164911 h 375669"/>
              <a:gd name="connsiteX11" fmla="*/ 3635741 w 3639108"/>
              <a:gd name="connsiteY11" fmla="*/ 141098 h 375669"/>
              <a:gd name="connsiteX12" fmla="*/ 3633360 w 3639108"/>
              <a:gd name="connsiteY12" fmla="*/ 124430 h 375669"/>
              <a:gd name="connsiteX13" fmla="*/ 3609547 w 3639108"/>
              <a:gd name="connsiteY13" fmla="*/ 112523 h 375669"/>
              <a:gd name="connsiteX14" fmla="*/ 3566685 w 3639108"/>
              <a:gd name="connsiteY14" fmla="*/ 110142 h 375669"/>
              <a:gd name="connsiteX15" fmla="*/ 3285697 w 3639108"/>
              <a:gd name="connsiteY15" fmla="*/ 88711 h 375669"/>
              <a:gd name="connsiteX16" fmla="*/ 2776110 w 3639108"/>
              <a:gd name="connsiteY16" fmla="*/ 62517 h 375669"/>
              <a:gd name="connsiteX17" fmla="*/ 1952197 w 3639108"/>
              <a:gd name="connsiteY17" fmla="*/ 19655 h 375669"/>
              <a:gd name="connsiteX18" fmla="*/ 1516429 w 3639108"/>
              <a:gd name="connsiteY18" fmla="*/ 17273 h 375669"/>
              <a:gd name="connsiteX19" fmla="*/ 768716 w 3639108"/>
              <a:gd name="connsiteY19" fmla="*/ 22036 h 375669"/>
              <a:gd name="connsiteX20" fmla="*/ 108467 w 3639108"/>
              <a:gd name="connsiteY20" fmla="*/ 0 h 375669"/>
              <a:gd name="connsiteX21" fmla="*/ 0 w 3639108"/>
              <a:gd name="connsiteY21" fmla="*/ 7140 h 375669"/>
              <a:gd name="connsiteX0" fmla="*/ 0 w 3639108"/>
              <a:gd name="connsiteY0" fmla="*/ 7140 h 375669"/>
              <a:gd name="connsiteX1" fmla="*/ 145471 w 3639108"/>
              <a:gd name="connsiteY1" fmla="*/ 58339 h 375669"/>
              <a:gd name="connsiteX2" fmla="*/ 590765 w 3639108"/>
              <a:gd name="connsiteY2" fmla="*/ 186335 h 375669"/>
              <a:gd name="connsiteX3" fmla="*/ 956835 w 3639108"/>
              <a:gd name="connsiteY3" fmla="*/ 298261 h 375669"/>
              <a:gd name="connsiteX4" fmla="*/ 1111616 w 3639108"/>
              <a:gd name="connsiteY4" fmla="*/ 326836 h 375669"/>
              <a:gd name="connsiteX5" fmla="*/ 1371172 w 3639108"/>
              <a:gd name="connsiteY5" fmla="*/ 350648 h 375669"/>
              <a:gd name="connsiteX6" fmla="*/ 1916479 w 3639108"/>
              <a:gd name="connsiteY6" fmla="*/ 372080 h 375669"/>
              <a:gd name="connsiteX7" fmla="*/ 2599897 w 3639108"/>
              <a:gd name="connsiteY7" fmla="*/ 369698 h 375669"/>
              <a:gd name="connsiteX8" fmla="*/ 3073766 w 3639108"/>
              <a:gd name="connsiteY8" fmla="*/ 314930 h 375669"/>
              <a:gd name="connsiteX9" fmla="*/ 3395235 w 3639108"/>
              <a:gd name="connsiteY9" fmla="*/ 229205 h 375669"/>
              <a:gd name="connsiteX10" fmla="*/ 3592879 w 3639108"/>
              <a:gd name="connsiteY10" fmla="*/ 164911 h 375669"/>
              <a:gd name="connsiteX11" fmla="*/ 3635741 w 3639108"/>
              <a:gd name="connsiteY11" fmla="*/ 141098 h 375669"/>
              <a:gd name="connsiteX12" fmla="*/ 3633360 w 3639108"/>
              <a:gd name="connsiteY12" fmla="*/ 124430 h 375669"/>
              <a:gd name="connsiteX13" fmla="*/ 3609547 w 3639108"/>
              <a:gd name="connsiteY13" fmla="*/ 112523 h 375669"/>
              <a:gd name="connsiteX14" fmla="*/ 3566685 w 3639108"/>
              <a:gd name="connsiteY14" fmla="*/ 110142 h 375669"/>
              <a:gd name="connsiteX15" fmla="*/ 3285697 w 3639108"/>
              <a:gd name="connsiteY15" fmla="*/ 88711 h 375669"/>
              <a:gd name="connsiteX16" fmla="*/ 2776110 w 3639108"/>
              <a:gd name="connsiteY16" fmla="*/ 62517 h 375669"/>
              <a:gd name="connsiteX17" fmla="*/ 1952197 w 3639108"/>
              <a:gd name="connsiteY17" fmla="*/ 19655 h 375669"/>
              <a:gd name="connsiteX18" fmla="*/ 1516429 w 3639108"/>
              <a:gd name="connsiteY18" fmla="*/ 17273 h 375669"/>
              <a:gd name="connsiteX19" fmla="*/ 768716 w 3639108"/>
              <a:gd name="connsiteY19" fmla="*/ 22036 h 375669"/>
              <a:gd name="connsiteX20" fmla="*/ 108467 w 3639108"/>
              <a:gd name="connsiteY20" fmla="*/ 0 h 375669"/>
              <a:gd name="connsiteX21" fmla="*/ 0 w 3639108"/>
              <a:gd name="connsiteY21" fmla="*/ 7140 h 375669"/>
              <a:gd name="connsiteX0" fmla="*/ 0 w 3639108"/>
              <a:gd name="connsiteY0" fmla="*/ 7140 h 375669"/>
              <a:gd name="connsiteX1" fmla="*/ 138006 w 3639108"/>
              <a:gd name="connsiteY1" fmla="*/ 71997 h 375669"/>
              <a:gd name="connsiteX2" fmla="*/ 590765 w 3639108"/>
              <a:gd name="connsiteY2" fmla="*/ 186335 h 375669"/>
              <a:gd name="connsiteX3" fmla="*/ 956835 w 3639108"/>
              <a:gd name="connsiteY3" fmla="*/ 298261 h 375669"/>
              <a:gd name="connsiteX4" fmla="*/ 1111616 w 3639108"/>
              <a:gd name="connsiteY4" fmla="*/ 326836 h 375669"/>
              <a:gd name="connsiteX5" fmla="*/ 1371172 w 3639108"/>
              <a:gd name="connsiteY5" fmla="*/ 350648 h 375669"/>
              <a:gd name="connsiteX6" fmla="*/ 1916479 w 3639108"/>
              <a:gd name="connsiteY6" fmla="*/ 372080 h 375669"/>
              <a:gd name="connsiteX7" fmla="*/ 2599897 w 3639108"/>
              <a:gd name="connsiteY7" fmla="*/ 369698 h 375669"/>
              <a:gd name="connsiteX8" fmla="*/ 3073766 w 3639108"/>
              <a:gd name="connsiteY8" fmla="*/ 314930 h 375669"/>
              <a:gd name="connsiteX9" fmla="*/ 3395235 w 3639108"/>
              <a:gd name="connsiteY9" fmla="*/ 229205 h 375669"/>
              <a:gd name="connsiteX10" fmla="*/ 3592879 w 3639108"/>
              <a:gd name="connsiteY10" fmla="*/ 164911 h 375669"/>
              <a:gd name="connsiteX11" fmla="*/ 3635741 w 3639108"/>
              <a:gd name="connsiteY11" fmla="*/ 141098 h 375669"/>
              <a:gd name="connsiteX12" fmla="*/ 3633360 w 3639108"/>
              <a:gd name="connsiteY12" fmla="*/ 124430 h 375669"/>
              <a:gd name="connsiteX13" fmla="*/ 3609547 w 3639108"/>
              <a:gd name="connsiteY13" fmla="*/ 112523 h 375669"/>
              <a:gd name="connsiteX14" fmla="*/ 3566685 w 3639108"/>
              <a:gd name="connsiteY14" fmla="*/ 110142 h 375669"/>
              <a:gd name="connsiteX15" fmla="*/ 3285697 w 3639108"/>
              <a:gd name="connsiteY15" fmla="*/ 88711 h 375669"/>
              <a:gd name="connsiteX16" fmla="*/ 2776110 w 3639108"/>
              <a:gd name="connsiteY16" fmla="*/ 62517 h 375669"/>
              <a:gd name="connsiteX17" fmla="*/ 1952197 w 3639108"/>
              <a:gd name="connsiteY17" fmla="*/ 19655 h 375669"/>
              <a:gd name="connsiteX18" fmla="*/ 1516429 w 3639108"/>
              <a:gd name="connsiteY18" fmla="*/ 17273 h 375669"/>
              <a:gd name="connsiteX19" fmla="*/ 768716 w 3639108"/>
              <a:gd name="connsiteY19" fmla="*/ 22036 h 375669"/>
              <a:gd name="connsiteX20" fmla="*/ 108467 w 3639108"/>
              <a:gd name="connsiteY20" fmla="*/ 0 h 375669"/>
              <a:gd name="connsiteX21" fmla="*/ 0 w 3639108"/>
              <a:gd name="connsiteY21" fmla="*/ 7140 h 375669"/>
              <a:gd name="connsiteX0" fmla="*/ 0 w 3639108"/>
              <a:gd name="connsiteY0" fmla="*/ 7140 h 375669"/>
              <a:gd name="connsiteX1" fmla="*/ 138006 w 3639108"/>
              <a:gd name="connsiteY1" fmla="*/ 71997 h 375669"/>
              <a:gd name="connsiteX2" fmla="*/ 580812 w 3639108"/>
              <a:gd name="connsiteY2" fmla="*/ 199992 h 375669"/>
              <a:gd name="connsiteX3" fmla="*/ 956835 w 3639108"/>
              <a:gd name="connsiteY3" fmla="*/ 298261 h 375669"/>
              <a:gd name="connsiteX4" fmla="*/ 1111616 w 3639108"/>
              <a:gd name="connsiteY4" fmla="*/ 326836 h 375669"/>
              <a:gd name="connsiteX5" fmla="*/ 1371172 w 3639108"/>
              <a:gd name="connsiteY5" fmla="*/ 350648 h 375669"/>
              <a:gd name="connsiteX6" fmla="*/ 1916479 w 3639108"/>
              <a:gd name="connsiteY6" fmla="*/ 372080 h 375669"/>
              <a:gd name="connsiteX7" fmla="*/ 2599897 w 3639108"/>
              <a:gd name="connsiteY7" fmla="*/ 369698 h 375669"/>
              <a:gd name="connsiteX8" fmla="*/ 3073766 w 3639108"/>
              <a:gd name="connsiteY8" fmla="*/ 314930 h 375669"/>
              <a:gd name="connsiteX9" fmla="*/ 3395235 w 3639108"/>
              <a:gd name="connsiteY9" fmla="*/ 229205 h 375669"/>
              <a:gd name="connsiteX10" fmla="*/ 3592879 w 3639108"/>
              <a:gd name="connsiteY10" fmla="*/ 164911 h 375669"/>
              <a:gd name="connsiteX11" fmla="*/ 3635741 w 3639108"/>
              <a:gd name="connsiteY11" fmla="*/ 141098 h 375669"/>
              <a:gd name="connsiteX12" fmla="*/ 3633360 w 3639108"/>
              <a:gd name="connsiteY12" fmla="*/ 124430 h 375669"/>
              <a:gd name="connsiteX13" fmla="*/ 3609547 w 3639108"/>
              <a:gd name="connsiteY13" fmla="*/ 112523 h 375669"/>
              <a:gd name="connsiteX14" fmla="*/ 3566685 w 3639108"/>
              <a:gd name="connsiteY14" fmla="*/ 110142 h 375669"/>
              <a:gd name="connsiteX15" fmla="*/ 3285697 w 3639108"/>
              <a:gd name="connsiteY15" fmla="*/ 88711 h 375669"/>
              <a:gd name="connsiteX16" fmla="*/ 2776110 w 3639108"/>
              <a:gd name="connsiteY16" fmla="*/ 62517 h 375669"/>
              <a:gd name="connsiteX17" fmla="*/ 1952197 w 3639108"/>
              <a:gd name="connsiteY17" fmla="*/ 19655 h 375669"/>
              <a:gd name="connsiteX18" fmla="*/ 1516429 w 3639108"/>
              <a:gd name="connsiteY18" fmla="*/ 17273 h 375669"/>
              <a:gd name="connsiteX19" fmla="*/ 768716 w 3639108"/>
              <a:gd name="connsiteY19" fmla="*/ 22036 h 375669"/>
              <a:gd name="connsiteX20" fmla="*/ 108467 w 3639108"/>
              <a:gd name="connsiteY20" fmla="*/ 0 h 375669"/>
              <a:gd name="connsiteX21" fmla="*/ 0 w 3639108"/>
              <a:gd name="connsiteY21" fmla="*/ 7140 h 375669"/>
              <a:gd name="connsiteX0" fmla="*/ 0 w 3636620"/>
              <a:gd name="connsiteY0" fmla="*/ 34455 h 375669"/>
              <a:gd name="connsiteX1" fmla="*/ 135518 w 3636620"/>
              <a:gd name="connsiteY1" fmla="*/ 71997 h 375669"/>
              <a:gd name="connsiteX2" fmla="*/ 578324 w 3636620"/>
              <a:gd name="connsiteY2" fmla="*/ 199992 h 375669"/>
              <a:gd name="connsiteX3" fmla="*/ 954347 w 3636620"/>
              <a:gd name="connsiteY3" fmla="*/ 298261 h 375669"/>
              <a:gd name="connsiteX4" fmla="*/ 1109128 w 3636620"/>
              <a:gd name="connsiteY4" fmla="*/ 326836 h 375669"/>
              <a:gd name="connsiteX5" fmla="*/ 1368684 w 3636620"/>
              <a:gd name="connsiteY5" fmla="*/ 350648 h 375669"/>
              <a:gd name="connsiteX6" fmla="*/ 1913991 w 3636620"/>
              <a:gd name="connsiteY6" fmla="*/ 372080 h 375669"/>
              <a:gd name="connsiteX7" fmla="*/ 2597409 w 3636620"/>
              <a:gd name="connsiteY7" fmla="*/ 369698 h 375669"/>
              <a:gd name="connsiteX8" fmla="*/ 3071278 w 3636620"/>
              <a:gd name="connsiteY8" fmla="*/ 314930 h 375669"/>
              <a:gd name="connsiteX9" fmla="*/ 3392747 w 3636620"/>
              <a:gd name="connsiteY9" fmla="*/ 229205 h 375669"/>
              <a:gd name="connsiteX10" fmla="*/ 3590391 w 3636620"/>
              <a:gd name="connsiteY10" fmla="*/ 164911 h 375669"/>
              <a:gd name="connsiteX11" fmla="*/ 3633253 w 3636620"/>
              <a:gd name="connsiteY11" fmla="*/ 141098 h 375669"/>
              <a:gd name="connsiteX12" fmla="*/ 3630872 w 3636620"/>
              <a:gd name="connsiteY12" fmla="*/ 124430 h 375669"/>
              <a:gd name="connsiteX13" fmla="*/ 3607059 w 3636620"/>
              <a:gd name="connsiteY13" fmla="*/ 112523 h 375669"/>
              <a:gd name="connsiteX14" fmla="*/ 3564197 w 3636620"/>
              <a:gd name="connsiteY14" fmla="*/ 110142 h 375669"/>
              <a:gd name="connsiteX15" fmla="*/ 3283209 w 3636620"/>
              <a:gd name="connsiteY15" fmla="*/ 88711 h 375669"/>
              <a:gd name="connsiteX16" fmla="*/ 2773622 w 3636620"/>
              <a:gd name="connsiteY16" fmla="*/ 62517 h 375669"/>
              <a:gd name="connsiteX17" fmla="*/ 1949709 w 3636620"/>
              <a:gd name="connsiteY17" fmla="*/ 19655 h 375669"/>
              <a:gd name="connsiteX18" fmla="*/ 1513941 w 3636620"/>
              <a:gd name="connsiteY18" fmla="*/ 17273 h 375669"/>
              <a:gd name="connsiteX19" fmla="*/ 766228 w 3636620"/>
              <a:gd name="connsiteY19" fmla="*/ 22036 h 375669"/>
              <a:gd name="connsiteX20" fmla="*/ 105979 w 3636620"/>
              <a:gd name="connsiteY20" fmla="*/ 0 h 375669"/>
              <a:gd name="connsiteX21" fmla="*/ 0 w 3636620"/>
              <a:gd name="connsiteY21" fmla="*/ 34455 h 375669"/>
              <a:gd name="connsiteX0" fmla="*/ 0 w 3636620"/>
              <a:gd name="connsiteY0" fmla="*/ 18905 h 360119"/>
              <a:gd name="connsiteX1" fmla="*/ 135518 w 3636620"/>
              <a:gd name="connsiteY1" fmla="*/ 56447 h 360119"/>
              <a:gd name="connsiteX2" fmla="*/ 578324 w 3636620"/>
              <a:gd name="connsiteY2" fmla="*/ 184442 h 360119"/>
              <a:gd name="connsiteX3" fmla="*/ 954347 w 3636620"/>
              <a:gd name="connsiteY3" fmla="*/ 282711 h 360119"/>
              <a:gd name="connsiteX4" fmla="*/ 1109128 w 3636620"/>
              <a:gd name="connsiteY4" fmla="*/ 311286 h 360119"/>
              <a:gd name="connsiteX5" fmla="*/ 1368684 w 3636620"/>
              <a:gd name="connsiteY5" fmla="*/ 335098 h 360119"/>
              <a:gd name="connsiteX6" fmla="*/ 1913991 w 3636620"/>
              <a:gd name="connsiteY6" fmla="*/ 356530 h 360119"/>
              <a:gd name="connsiteX7" fmla="*/ 2597409 w 3636620"/>
              <a:gd name="connsiteY7" fmla="*/ 354148 h 360119"/>
              <a:gd name="connsiteX8" fmla="*/ 3071278 w 3636620"/>
              <a:gd name="connsiteY8" fmla="*/ 299380 h 360119"/>
              <a:gd name="connsiteX9" fmla="*/ 3392747 w 3636620"/>
              <a:gd name="connsiteY9" fmla="*/ 213655 h 360119"/>
              <a:gd name="connsiteX10" fmla="*/ 3590391 w 3636620"/>
              <a:gd name="connsiteY10" fmla="*/ 149361 h 360119"/>
              <a:gd name="connsiteX11" fmla="*/ 3633253 w 3636620"/>
              <a:gd name="connsiteY11" fmla="*/ 125548 h 360119"/>
              <a:gd name="connsiteX12" fmla="*/ 3630872 w 3636620"/>
              <a:gd name="connsiteY12" fmla="*/ 108880 h 360119"/>
              <a:gd name="connsiteX13" fmla="*/ 3607059 w 3636620"/>
              <a:gd name="connsiteY13" fmla="*/ 96973 h 360119"/>
              <a:gd name="connsiteX14" fmla="*/ 3564197 w 3636620"/>
              <a:gd name="connsiteY14" fmla="*/ 94592 h 360119"/>
              <a:gd name="connsiteX15" fmla="*/ 3283209 w 3636620"/>
              <a:gd name="connsiteY15" fmla="*/ 73161 h 360119"/>
              <a:gd name="connsiteX16" fmla="*/ 2773622 w 3636620"/>
              <a:gd name="connsiteY16" fmla="*/ 46967 h 360119"/>
              <a:gd name="connsiteX17" fmla="*/ 1949709 w 3636620"/>
              <a:gd name="connsiteY17" fmla="*/ 4105 h 360119"/>
              <a:gd name="connsiteX18" fmla="*/ 1513941 w 3636620"/>
              <a:gd name="connsiteY18" fmla="*/ 1723 h 360119"/>
              <a:gd name="connsiteX19" fmla="*/ 766228 w 3636620"/>
              <a:gd name="connsiteY19" fmla="*/ 6486 h 360119"/>
              <a:gd name="connsiteX20" fmla="*/ 148281 w 3636620"/>
              <a:gd name="connsiteY20" fmla="*/ 840 h 360119"/>
              <a:gd name="connsiteX21" fmla="*/ 0 w 3636620"/>
              <a:gd name="connsiteY21" fmla="*/ 18905 h 3601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6620" h="360119">
                <a:moveTo>
                  <a:pt x="0" y="18905"/>
                </a:moveTo>
                <a:cubicBezTo>
                  <a:pt x="21431" y="27835"/>
                  <a:pt x="39131" y="28858"/>
                  <a:pt x="135518" y="56447"/>
                </a:cubicBezTo>
                <a:lnTo>
                  <a:pt x="578324" y="184442"/>
                </a:lnTo>
                <a:cubicBezTo>
                  <a:pt x="714796" y="222153"/>
                  <a:pt x="865880" y="261570"/>
                  <a:pt x="954347" y="282711"/>
                </a:cubicBezTo>
                <a:cubicBezTo>
                  <a:pt x="1042814" y="303852"/>
                  <a:pt x="1040072" y="302555"/>
                  <a:pt x="1109128" y="311286"/>
                </a:cubicBezTo>
                <a:cubicBezTo>
                  <a:pt x="1178184" y="320017"/>
                  <a:pt x="1234540" y="327557"/>
                  <a:pt x="1368684" y="335098"/>
                </a:cubicBezTo>
                <a:cubicBezTo>
                  <a:pt x="1502828" y="342639"/>
                  <a:pt x="1709204" y="353355"/>
                  <a:pt x="1913991" y="356530"/>
                </a:cubicBezTo>
                <a:cubicBezTo>
                  <a:pt x="2118778" y="359705"/>
                  <a:pt x="2404528" y="363673"/>
                  <a:pt x="2597409" y="354148"/>
                </a:cubicBezTo>
                <a:cubicBezTo>
                  <a:pt x="2790290" y="344623"/>
                  <a:pt x="2938722" y="322796"/>
                  <a:pt x="3071278" y="299380"/>
                </a:cubicBezTo>
                <a:cubicBezTo>
                  <a:pt x="3203834" y="275965"/>
                  <a:pt x="3306228" y="238658"/>
                  <a:pt x="3392747" y="213655"/>
                </a:cubicBezTo>
                <a:cubicBezTo>
                  <a:pt x="3479266" y="188652"/>
                  <a:pt x="3550307" y="164046"/>
                  <a:pt x="3590391" y="149361"/>
                </a:cubicBezTo>
                <a:cubicBezTo>
                  <a:pt x="3630475" y="134676"/>
                  <a:pt x="3626506" y="132295"/>
                  <a:pt x="3633253" y="125548"/>
                </a:cubicBezTo>
                <a:cubicBezTo>
                  <a:pt x="3640000" y="118801"/>
                  <a:pt x="3635238" y="113642"/>
                  <a:pt x="3630872" y="108880"/>
                </a:cubicBezTo>
                <a:cubicBezTo>
                  <a:pt x="3626506" y="104118"/>
                  <a:pt x="3618171" y="99354"/>
                  <a:pt x="3607059" y="96973"/>
                </a:cubicBezTo>
                <a:cubicBezTo>
                  <a:pt x="3595947" y="94592"/>
                  <a:pt x="3564197" y="94592"/>
                  <a:pt x="3564197" y="94592"/>
                </a:cubicBezTo>
                <a:lnTo>
                  <a:pt x="3283209" y="73161"/>
                </a:lnTo>
                <a:lnTo>
                  <a:pt x="2773622" y="46967"/>
                </a:lnTo>
                <a:lnTo>
                  <a:pt x="1949709" y="4105"/>
                </a:lnTo>
                <a:cubicBezTo>
                  <a:pt x="1739762" y="-3436"/>
                  <a:pt x="1513941" y="1723"/>
                  <a:pt x="1513941" y="1723"/>
                </a:cubicBezTo>
                <a:lnTo>
                  <a:pt x="766228" y="6486"/>
                </a:lnTo>
                <a:lnTo>
                  <a:pt x="148281" y="840"/>
                </a:lnTo>
                <a:lnTo>
                  <a:pt x="0" y="18905"/>
                </a:lnTo>
                <a:close/>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5" name="Freihandform 44">
            <a:extLst>
              <a:ext uri="{FF2B5EF4-FFF2-40B4-BE49-F238E27FC236}">
                <a16:creationId xmlns:a16="http://schemas.microsoft.com/office/drawing/2014/main" id="{16CFDD39-C954-4C71-B402-FF903714BD02}"/>
              </a:ext>
            </a:extLst>
          </xdr:cNvPr>
          <xdr:cNvSpPr/>
        </xdr:nvSpPr>
        <xdr:spPr>
          <a:xfrm flipV="1">
            <a:off x="7825494" y="4043464"/>
            <a:ext cx="219972" cy="338806"/>
          </a:xfrm>
          <a:custGeom>
            <a:avLst/>
            <a:gdLst>
              <a:gd name="connsiteX0" fmla="*/ 0 w 183357"/>
              <a:gd name="connsiteY0" fmla="*/ 0 h 304800"/>
              <a:gd name="connsiteX1" fmla="*/ 78582 w 183357"/>
              <a:gd name="connsiteY1" fmla="*/ 109538 h 304800"/>
              <a:gd name="connsiteX2" fmla="*/ 157163 w 183357"/>
              <a:gd name="connsiteY2" fmla="*/ 247650 h 304800"/>
              <a:gd name="connsiteX3" fmla="*/ 183357 w 183357"/>
              <a:gd name="connsiteY3" fmla="*/ 304800 h 304800"/>
            </a:gdLst>
            <a:ahLst/>
            <a:cxnLst>
              <a:cxn ang="0">
                <a:pos x="connsiteX0" y="connsiteY0"/>
              </a:cxn>
              <a:cxn ang="0">
                <a:pos x="connsiteX1" y="connsiteY1"/>
              </a:cxn>
              <a:cxn ang="0">
                <a:pos x="connsiteX2" y="connsiteY2"/>
              </a:cxn>
              <a:cxn ang="0">
                <a:pos x="connsiteX3" y="connsiteY3"/>
              </a:cxn>
            </a:cxnLst>
            <a:rect l="l" t="t" r="r" b="b"/>
            <a:pathLst>
              <a:path w="183357" h="304800">
                <a:moveTo>
                  <a:pt x="0" y="0"/>
                </a:moveTo>
                <a:cubicBezTo>
                  <a:pt x="26194" y="34131"/>
                  <a:pt x="52388" y="68263"/>
                  <a:pt x="78582" y="109538"/>
                </a:cubicBezTo>
                <a:cubicBezTo>
                  <a:pt x="104776" y="150813"/>
                  <a:pt x="139701" y="215106"/>
                  <a:pt x="157163" y="247650"/>
                </a:cubicBezTo>
                <a:cubicBezTo>
                  <a:pt x="174626" y="280194"/>
                  <a:pt x="178991" y="292497"/>
                  <a:pt x="183357" y="30480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6" name="Freihandform 45">
            <a:extLst>
              <a:ext uri="{FF2B5EF4-FFF2-40B4-BE49-F238E27FC236}">
                <a16:creationId xmlns:a16="http://schemas.microsoft.com/office/drawing/2014/main" id="{799C6CB1-2B3B-459C-AB41-779A2105DB75}"/>
              </a:ext>
            </a:extLst>
          </xdr:cNvPr>
          <xdr:cNvSpPr/>
        </xdr:nvSpPr>
        <xdr:spPr>
          <a:xfrm flipV="1">
            <a:off x="7874060" y="4046111"/>
            <a:ext cx="271392" cy="587617"/>
          </a:xfrm>
          <a:custGeom>
            <a:avLst/>
            <a:gdLst>
              <a:gd name="connsiteX0" fmla="*/ 0 w 226218"/>
              <a:gd name="connsiteY0" fmla="*/ 0 h 528637"/>
              <a:gd name="connsiteX1" fmla="*/ 35718 w 226218"/>
              <a:gd name="connsiteY1" fmla="*/ 71437 h 528637"/>
              <a:gd name="connsiteX2" fmla="*/ 66675 w 226218"/>
              <a:gd name="connsiteY2" fmla="*/ 161925 h 528637"/>
              <a:gd name="connsiteX3" fmla="*/ 78581 w 226218"/>
              <a:gd name="connsiteY3" fmla="*/ 226218 h 528637"/>
              <a:gd name="connsiteX4" fmla="*/ 121443 w 226218"/>
              <a:gd name="connsiteY4" fmla="*/ 290512 h 528637"/>
              <a:gd name="connsiteX5" fmla="*/ 183356 w 226218"/>
              <a:gd name="connsiteY5" fmla="*/ 419100 h 528637"/>
              <a:gd name="connsiteX6" fmla="*/ 226218 w 226218"/>
              <a:gd name="connsiteY6" fmla="*/ 528637 h 5286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26218" h="528637">
                <a:moveTo>
                  <a:pt x="0" y="0"/>
                </a:moveTo>
                <a:cubicBezTo>
                  <a:pt x="12303" y="22225"/>
                  <a:pt x="24606" y="44450"/>
                  <a:pt x="35718" y="71437"/>
                </a:cubicBezTo>
                <a:cubicBezTo>
                  <a:pt x="46830" y="98424"/>
                  <a:pt x="59531" y="136128"/>
                  <a:pt x="66675" y="161925"/>
                </a:cubicBezTo>
                <a:cubicBezTo>
                  <a:pt x="73819" y="187722"/>
                  <a:pt x="69453" y="204787"/>
                  <a:pt x="78581" y="226218"/>
                </a:cubicBezTo>
                <a:cubicBezTo>
                  <a:pt x="87709" y="247649"/>
                  <a:pt x="103981" y="258365"/>
                  <a:pt x="121443" y="290512"/>
                </a:cubicBezTo>
                <a:cubicBezTo>
                  <a:pt x="138905" y="322659"/>
                  <a:pt x="165894" y="379413"/>
                  <a:pt x="183356" y="419100"/>
                </a:cubicBezTo>
                <a:cubicBezTo>
                  <a:pt x="200819" y="458788"/>
                  <a:pt x="213518" y="493712"/>
                  <a:pt x="226218" y="528637"/>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7" name="Freihandform 46">
            <a:extLst>
              <a:ext uri="{FF2B5EF4-FFF2-40B4-BE49-F238E27FC236}">
                <a16:creationId xmlns:a16="http://schemas.microsoft.com/office/drawing/2014/main" id="{447F24CB-5B12-41A0-87A1-0C61843B2FBD}"/>
              </a:ext>
            </a:extLst>
          </xdr:cNvPr>
          <xdr:cNvSpPr/>
        </xdr:nvSpPr>
        <xdr:spPr>
          <a:xfrm flipV="1">
            <a:off x="8131168" y="4039835"/>
            <a:ext cx="109822" cy="334495"/>
          </a:xfrm>
          <a:custGeom>
            <a:avLst/>
            <a:gdLst>
              <a:gd name="connsiteX0" fmla="*/ 0 w 91542"/>
              <a:gd name="connsiteY0" fmla="*/ 0 h 300921"/>
              <a:gd name="connsiteX1" fmla="*/ 52388 w 91542"/>
              <a:gd name="connsiteY1" fmla="*/ 135731 h 300921"/>
              <a:gd name="connsiteX2" fmla="*/ 88106 w 91542"/>
              <a:gd name="connsiteY2" fmla="*/ 276225 h 300921"/>
              <a:gd name="connsiteX3" fmla="*/ 88106 w 91542"/>
              <a:gd name="connsiteY3" fmla="*/ 300038 h 300921"/>
            </a:gdLst>
            <a:ahLst/>
            <a:cxnLst>
              <a:cxn ang="0">
                <a:pos x="connsiteX0" y="connsiteY0"/>
              </a:cxn>
              <a:cxn ang="0">
                <a:pos x="connsiteX1" y="connsiteY1"/>
              </a:cxn>
              <a:cxn ang="0">
                <a:pos x="connsiteX2" y="connsiteY2"/>
              </a:cxn>
              <a:cxn ang="0">
                <a:pos x="connsiteX3" y="connsiteY3"/>
              </a:cxn>
            </a:cxnLst>
            <a:rect l="l" t="t" r="r" b="b"/>
            <a:pathLst>
              <a:path w="91542" h="300921">
                <a:moveTo>
                  <a:pt x="0" y="0"/>
                </a:moveTo>
                <a:cubicBezTo>
                  <a:pt x="18852" y="44847"/>
                  <a:pt x="37704" y="89694"/>
                  <a:pt x="52388" y="135731"/>
                </a:cubicBezTo>
                <a:cubicBezTo>
                  <a:pt x="67072" y="181768"/>
                  <a:pt x="82153" y="248841"/>
                  <a:pt x="88106" y="276225"/>
                </a:cubicBezTo>
                <a:cubicBezTo>
                  <a:pt x="94059" y="303610"/>
                  <a:pt x="91082" y="301824"/>
                  <a:pt x="88106" y="300038"/>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8" name="Freihandform 47">
            <a:extLst>
              <a:ext uri="{FF2B5EF4-FFF2-40B4-BE49-F238E27FC236}">
                <a16:creationId xmlns:a16="http://schemas.microsoft.com/office/drawing/2014/main" id="{9A7742D5-21DD-4198-AEC2-DAF35DDCFF33}"/>
              </a:ext>
            </a:extLst>
          </xdr:cNvPr>
          <xdr:cNvSpPr/>
        </xdr:nvSpPr>
        <xdr:spPr>
          <a:xfrm flipV="1">
            <a:off x="9513845" y="4093755"/>
            <a:ext cx="348174" cy="516151"/>
          </a:xfrm>
          <a:custGeom>
            <a:avLst/>
            <a:gdLst>
              <a:gd name="connsiteX0" fmla="*/ 0 w 290219"/>
              <a:gd name="connsiteY0" fmla="*/ 464344 h 464344"/>
              <a:gd name="connsiteX1" fmla="*/ 107156 w 290219"/>
              <a:gd name="connsiteY1" fmla="*/ 369094 h 464344"/>
              <a:gd name="connsiteX2" fmla="*/ 197644 w 290219"/>
              <a:gd name="connsiteY2" fmla="*/ 300037 h 464344"/>
              <a:gd name="connsiteX3" fmla="*/ 221456 w 290219"/>
              <a:gd name="connsiteY3" fmla="*/ 276225 h 464344"/>
              <a:gd name="connsiteX4" fmla="*/ 235744 w 290219"/>
              <a:gd name="connsiteY4" fmla="*/ 245269 h 464344"/>
              <a:gd name="connsiteX5" fmla="*/ 273844 w 290219"/>
              <a:gd name="connsiteY5" fmla="*/ 164306 h 464344"/>
              <a:gd name="connsiteX6" fmla="*/ 288131 w 290219"/>
              <a:gd name="connsiteY6" fmla="*/ 121444 h 464344"/>
              <a:gd name="connsiteX7" fmla="*/ 283369 w 290219"/>
              <a:gd name="connsiteY7" fmla="*/ 97631 h 464344"/>
              <a:gd name="connsiteX8" fmla="*/ 226219 w 290219"/>
              <a:gd name="connsiteY8" fmla="*/ 66675 h 464344"/>
              <a:gd name="connsiteX9" fmla="*/ 54769 w 290219"/>
              <a:gd name="connsiteY9" fmla="*/ 0 h 4643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90219" h="464344">
                <a:moveTo>
                  <a:pt x="0" y="464344"/>
                </a:moveTo>
                <a:cubicBezTo>
                  <a:pt x="37107" y="430411"/>
                  <a:pt x="74215" y="396478"/>
                  <a:pt x="107156" y="369094"/>
                </a:cubicBezTo>
                <a:cubicBezTo>
                  <a:pt x="140097" y="341710"/>
                  <a:pt x="178594" y="315515"/>
                  <a:pt x="197644" y="300037"/>
                </a:cubicBezTo>
                <a:cubicBezTo>
                  <a:pt x="216694" y="284559"/>
                  <a:pt x="215106" y="285353"/>
                  <a:pt x="221456" y="276225"/>
                </a:cubicBezTo>
                <a:cubicBezTo>
                  <a:pt x="227806" y="267097"/>
                  <a:pt x="227013" y="263922"/>
                  <a:pt x="235744" y="245269"/>
                </a:cubicBezTo>
                <a:cubicBezTo>
                  <a:pt x="244475" y="226616"/>
                  <a:pt x="265113" y="184943"/>
                  <a:pt x="273844" y="164306"/>
                </a:cubicBezTo>
                <a:cubicBezTo>
                  <a:pt x="282575" y="143669"/>
                  <a:pt x="286544" y="132556"/>
                  <a:pt x="288131" y="121444"/>
                </a:cubicBezTo>
                <a:cubicBezTo>
                  <a:pt x="289718" y="110332"/>
                  <a:pt x="293688" y="106759"/>
                  <a:pt x="283369" y="97631"/>
                </a:cubicBezTo>
                <a:cubicBezTo>
                  <a:pt x="273050" y="88503"/>
                  <a:pt x="264319" y="82947"/>
                  <a:pt x="226219" y="66675"/>
                </a:cubicBezTo>
                <a:cubicBezTo>
                  <a:pt x="188119" y="50403"/>
                  <a:pt x="121444" y="25201"/>
                  <a:pt x="54769" y="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9" name="Freihandform 48">
            <a:extLst>
              <a:ext uri="{FF2B5EF4-FFF2-40B4-BE49-F238E27FC236}">
                <a16:creationId xmlns:a16="http://schemas.microsoft.com/office/drawing/2014/main" id="{6A960477-A2B2-4586-978D-4F87C845BA2B}"/>
              </a:ext>
            </a:extLst>
          </xdr:cNvPr>
          <xdr:cNvSpPr/>
        </xdr:nvSpPr>
        <xdr:spPr>
          <a:xfrm flipV="1">
            <a:off x="6203776" y="4432757"/>
            <a:ext cx="450812" cy="381179"/>
          </a:xfrm>
          <a:custGeom>
            <a:avLst/>
            <a:gdLst>
              <a:gd name="connsiteX0" fmla="*/ 6371 w 375773"/>
              <a:gd name="connsiteY0" fmla="*/ 247846 h 342920"/>
              <a:gd name="connsiteX1" fmla="*/ 89715 w 375773"/>
              <a:gd name="connsiteY1" fmla="*/ 112115 h 342920"/>
              <a:gd name="connsiteX2" fmla="*/ 168296 w 375773"/>
              <a:gd name="connsiteY2" fmla="*/ 38296 h 342920"/>
              <a:gd name="connsiteX3" fmla="*/ 223065 w 375773"/>
              <a:gd name="connsiteY3" fmla="*/ 9721 h 342920"/>
              <a:gd name="connsiteX4" fmla="*/ 313553 w 375773"/>
              <a:gd name="connsiteY4" fmla="*/ 196 h 342920"/>
              <a:gd name="connsiteX5" fmla="*/ 365940 w 375773"/>
              <a:gd name="connsiteY5" fmla="*/ 16865 h 342920"/>
              <a:gd name="connsiteX6" fmla="*/ 368321 w 375773"/>
              <a:gd name="connsiteY6" fmla="*/ 40678 h 342920"/>
              <a:gd name="connsiteX7" fmla="*/ 365940 w 375773"/>
              <a:gd name="connsiteY7" fmla="*/ 47821 h 342920"/>
              <a:gd name="connsiteX8" fmla="*/ 244496 w 375773"/>
              <a:gd name="connsiteY8" fmla="*/ 276421 h 342920"/>
              <a:gd name="connsiteX9" fmla="*/ 208778 w 375773"/>
              <a:gd name="connsiteY9" fmla="*/ 338334 h 342920"/>
              <a:gd name="connsiteX10" fmla="*/ 196871 w 375773"/>
              <a:gd name="connsiteY10" fmla="*/ 338334 h 342920"/>
              <a:gd name="connsiteX11" fmla="*/ 151628 w 375773"/>
              <a:gd name="connsiteY11" fmla="*/ 338334 h 342920"/>
              <a:gd name="connsiteX12" fmla="*/ 63521 w 375773"/>
              <a:gd name="connsiteY12" fmla="*/ 328809 h 342920"/>
              <a:gd name="connsiteX13" fmla="*/ 13515 w 375773"/>
              <a:gd name="connsiteY13" fmla="*/ 297853 h 342920"/>
              <a:gd name="connsiteX14" fmla="*/ 6371 w 375773"/>
              <a:gd name="connsiteY14" fmla="*/ 247846 h 342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375773" h="342920">
                <a:moveTo>
                  <a:pt x="6371" y="247846"/>
                </a:moveTo>
                <a:cubicBezTo>
                  <a:pt x="19071" y="216890"/>
                  <a:pt x="62728" y="147040"/>
                  <a:pt x="89715" y="112115"/>
                </a:cubicBezTo>
                <a:cubicBezTo>
                  <a:pt x="116703" y="77190"/>
                  <a:pt x="146071" y="55362"/>
                  <a:pt x="168296" y="38296"/>
                </a:cubicBezTo>
                <a:cubicBezTo>
                  <a:pt x="190521" y="21230"/>
                  <a:pt x="198856" y="16071"/>
                  <a:pt x="223065" y="9721"/>
                </a:cubicBezTo>
                <a:cubicBezTo>
                  <a:pt x="247275" y="3371"/>
                  <a:pt x="289741" y="-995"/>
                  <a:pt x="313553" y="196"/>
                </a:cubicBezTo>
                <a:cubicBezTo>
                  <a:pt x="337365" y="1387"/>
                  <a:pt x="356812" y="10118"/>
                  <a:pt x="365940" y="16865"/>
                </a:cubicBezTo>
                <a:cubicBezTo>
                  <a:pt x="375068" y="23612"/>
                  <a:pt x="368321" y="35519"/>
                  <a:pt x="368321" y="40678"/>
                </a:cubicBezTo>
                <a:cubicBezTo>
                  <a:pt x="368321" y="45837"/>
                  <a:pt x="386578" y="8530"/>
                  <a:pt x="365940" y="47821"/>
                </a:cubicBezTo>
                <a:cubicBezTo>
                  <a:pt x="345303" y="87111"/>
                  <a:pt x="270690" y="228002"/>
                  <a:pt x="244496" y="276421"/>
                </a:cubicBezTo>
                <a:cubicBezTo>
                  <a:pt x="218302" y="324840"/>
                  <a:pt x="216715" y="328015"/>
                  <a:pt x="208778" y="338334"/>
                </a:cubicBezTo>
                <a:cubicBezTo>
                  <a:pt x="200841" y="348653"/>
                  <a:pt x="196871" y="338334"/>
                  <a:pt x="196871" y="338334"/>
                </a:cubicBezTo>
                <a:cubicBezTo>
                  <a:pt x="187346" y="338334"/>
                  <a:pt x="173853" y="339921"/>
                  <a:pt x="151628" y="338334"/>
                </a:cubicBezTo>
                <a:cubicBezTo>
                  <a:pt x="129403" y="336747"/>
                  <a:pt x="86540" y="335556"/>
                  <a:pt x="63521" y="328809"/>
                </a:cubicBezTo>
                <a:cubicBezTo>
                  <a:pt x="40502" y="322062"/>
                  <a:pt x="25024" y="309759"/>
                  <a:pt x="13515" y="297853"/>
                </a:cubicBezTo>
                <a:cubicBezTo>
                  <a:pt x="2006" y="285947"/>
                  <a:pt x="-6329" y="278802"/>
                  <a:pt x="6371" y="247846"/>
                </a:cubicBezTo>
                <a:close/>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0" name="Freihandform 49">
            <a:extLst>
              <a:ext uri="{FF2B5EF4-FFF2-40B4-BE49-F238E27FC236}">
                <a16:creationId xmlns:a16="http://schemas.microsoft.com/office/drawing/2014/main" id="{E9D60EE2-464B-4E1E-9C78-C525945F9253}"/>
              </a:ext>
            </a:extLst>
          </xdr:cNvPr>
          <xdr:cNvSpPr/>
        </xdr:nvSpPr>
        <xdr:spPr>
          <a:xfrm flipV="1">
            <a:off x="7005602" y="3858252"/>
            <a:ext cx="2751068" cy="105804"/>
          </a:xfrm>
          <a:custGeom>
            <a:avLst/>
            <a:gdLst>
              <a:gd name="connsiteX0" fmla="*/ 0 w 2293143"/>
              <a:gd name="connsiteY0" fmla="*/ 0 h 95184"/>
              <a:gd name="connsiteX1" fmla="*/ 533400 w 2293143"/>
              <a:gd name="connsiteY1" fmla="*/ 64294 h 95184"/>
              <a:gd name="connsiteX2" fmla="*/ 1066800 w 2293143"/>
              <a:gd name="connsiteY2" fmla="*/ 92869 h 95184"/>
              <a:gd name="connsiteX3" fmla="*/ 1657350 w 2293143"/>
              <a:gd name="connsiteY3" fmla="*/ 90487 h 95184"/>
              <a:gd name="connsiteX4" fmla="*/ 2293143 w 2293143"/>
              <a:gd name="connsiteY4" fmla="*/ 66675 h 95184"/>
              <a:gd name="connsiteX0" fmla="*/ 0 w 2293143"/>
              <a:gd name="connsiteY0" fmla="*/ 0 h 95184"/>
              <a:gd name="connsiteX1" fmla="*/ 533400 w 2293143"/>
              <a:gd name="connsiteY1" fmla="*/ 64294 h 95184"/>
              <a:gd name="connsiteX2" fmla="*/ 1066800 w 2293143"/>
              <a:gd name="connsiteY2" fmla="*/ 92869 h 95184"/>
              <a:gd name="connsiteX3" fmla="*/ 1657350 w 2293143"/>
              <a:gd name="connsiteY3" fmla="*/ 90487 h 95184"/>
              <a:gd name="connsiteX4" fmla="*/ 2293143 w 2293143"/>
              <a:gd name="connsiteY4" fmla="*/ 66675 h 9518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293143" h="95184">
                <a:moveTo>
                  <a:pt x="0" y="0"/>
                </a:moveTo>
                <a:cubicBezTo>
                  <a:pt x="177800" y="24408"/>
                  <a:pt x="355600" y="48816"/>
                  <a:pt x="533400" y="64294"/>
                </a:cubicBezTo>
                <a:cubicBezTo>
                  <a:pt x="711200" y="79772"/>
                  <a:pt x="879475" y="88504"/>
                  <a:pt x="1066800" y="92869"/>
                </a:cubicBezTo>
                <a:cubicBezTo>
                  <a:pt x="1254125" y="97234"/>
                  <a:pt x="1452960" y="94853"/>
                  <a:pt x="1657350" y="90487"/>
                </a:cubicBezTo>
                <a:cubicBezTo>
                  <a:pt x="1861740" y="86121"/>
                  <a:pt x="2102246" y="79374"/>
                  <a:pt x="2293143" y="66675"/>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1" name="Freihandform 50">
            <a:extLst>
              <a:ext uri="{FF2B5EF4-FFF2-40B4-BE49-F238E27FC236}">
                <a16:creationId xmlns:a16="http://schemas.microsoft.com/office/drawing/2014/main" id="{73DED3F6-5FEE-4817-A29F-DD2C01FC01DD}"/>
              </a:ext>
            </a:extLst>
          </xdr:cNvPr>
          <xdr:cNvSpPr/>
        </xdr:nvSpPr>
        <xdr:spPr>
          <a:xfrm flipV="1">
            <a:off x="5301062" y="2835584"/>
            <a:ext cx="586590" cy="1535216"/>
          </a:xfrm>
          <a:custGeom>
            <a:avLst/>
            <a:gdLst>
              <a:gd name="connsiteX0" fmla="*/ 488950 w 488950"/>
              <a:gd name="connsiteY0" fmla="*/ 0 h 1381125"/>
              <a:gd name="connsiteX1" fmla="*/ 393700 w 488950"/>
              <a:gd name="connsiteY1" fmla="*/ 44450 h 1381125"/>
              <a:gd name="connsiteX2" fmla="*/ 269875 w 488950"/>
              <a:gd name="connsiteY2" fmla="*/ 139700 h 1381125"/>
              <a:gd name="connsiteX3" fmla="*/ 161925 w 488950"/>
              <a:gd name="connsiteY3" fmla="*/ 317500 h 1381125"/>
              <a:gd name="connsiteX4" fmla="*/ 60325 w 488950"/>
              <a:gd name="connsiteY4" fmla="*/ 688975 h 1381125"/>
              <a:gd name="connsiteX5" fmla="*/ 12700 w 488950"/>
              <a:gd name="connsiteY5" fmla="*/ 1120775 h 1381125"/>
              <a:gd name="connsiteX6" fmla="*/ 0 w 488950"/>
              <a:gd name="connsiteY6" fmla="*/ 1381125 h 13811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88950" h="1381125">
                <a:moveTo>
                  <a:pt x="488950" y="0"/>
                </a:moveTo>
                <a:cubicBezTo>
                  <a:pt x="459581" y="10583"/>
                  <a:pt x="430212" y="21167"/>
                  <a:pt x="393700" y="44450"/>
                </a:cubicBezTo>
                <a:cubicBezTo>
                  <a:pt x="357187" y="67733"/>
                  <a:pt x="308504" y="94192"/>
                  <a:pt x="269875" y="139700"/>
                </a:cubicBezTo>
                <a:cubicBezTo>
                  <a:pt x="231246" y="185208"/>
                  <a:pt x="196850" y="225954"/>
                  <a:pt x="161925" y="317500"/>
                </a:cubicBezTo>
                <a:cubicBezTo>
                  <a:pt x="127000" y="409046"/>
                  <a:pt x="85196" y="555096"/>
                  <a:pt x="60325" y="688975"/>
                </a:cubicBezTo>
                <a:cubicBezTo>
                  <a:pt x="35454" y="822854"/>
                  <a:pt x="22754" y="1005417"/>
                  <a:pt x="12700" y="1120775"/>
                </a:cubicBezTo>
                <a:cubicBezTo>
                  <a:pt x="2646" y="1236133"/>
                  <a:pt x="1323" y="1308629"/>
                  <a:pt x="0" y="1381125"/>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2" name="Freihandform 51">
            <a:extLst>
              <a:ext uri="{FF2B5EF4-FFF2-40B4-BE49-F238E27FC236}">
                <a16:creationId xmlns:a16="http://schemas.microsoft.com/office/drawing/2014/main" id="{814BA50E-0700-4113-B803-9A7F2118C690}"/>
              </a:ext>
            </a:extLst>
          </xdr:cNvPr>
          <xdr:cNvSpPr/>
        </xdr:nvSpPr>
        <xdr:spPr>
          <a:xfrm flipV="1">
            <a:off x="5697201" y="2824996"/>
            <a:ext cx="1316407" cy="1439927"/>
          </a:xfrm>
          <a:custGeom>
            <a:avLst/>
            <a:gdLst>
              <a:gd name="connsiteX0" fmla="*/ 0 w 1097286"/>
              <a:gd name="connsiteY0" fmla="*/ 0 h 1295400"/>
              <a:gd name="connsiteX1" fmla="*/ 339725 w 1097286"/>
              <a:gd name="connsiteY1" fmla="*/ 82550 h 1295400"/>
              <a:gd name="connsiteX2" fmla="*/ 993775 w 1097286"/>
              <a:gd name="connsiteY2" fmla="*/ 238125 h 1295400"/>
              <a:gd name="connsiteX3" fmla="*/ 1092200 w 1097286"/>
              <a:gd name="connsiteY3" fmla="*/ 263525 h 1295400"/>
              <a:gd name="connsiteX4" fmla="*/ 1079500 w 1097286"/>
              <a:gd name="connsiteY4" fmla="*/ 304800 h 1295400"/>
              <a:gd name="connsiteX5" fmla="*/ 1047750 w 1097286"/>
              <a:gd name="connsiteY5" fmla="*/ 488950 h 1295400"/>
              <a:gd name="connsiteX6" fmla="*/ 1003300 w 1097286"/>
              <a:gd name="connsiteY6" fmla="*/ 860425 h 1295400"/>
              <a:gd name="connsiteX7" fmla="*/ 990600 w 1097286"/>
              <a:gd name="connsiteY7" fmla="*/ 1196975 h 1295400"/>
              <a:gd name="connsiteX8" fmla="*/ 993775 w 1097286"/>
              <a:gd name="connsiteY8" fmla="*/ 1295400 h 1295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097286" h="1295400">
                <a:moveTo>
                  <a:pt x="0" y="0"/>
                </a:moveTo>
                <a:lnTo>
                  <a:pt x="339725" y="82550"/>
                </a:lnTo>
                <a:lnTo>
                  <a:pt x="993775" y="238125"/>
                </a:lnTo>
                <a:cubicBezTo>
                  <a:pt x="1119187" y="268287"/>
                  <a:pt x="1077913" y="252413"/>
                  <a:pt x="1092200" y="263525"/>
                </a:cubicBezTo>
                <a:cubicBezTo>
                  <a:pt x="1106488" y="274638"/>
                  <a:pt x="1086908" y="267229"/>
                  <a:pt x="1079500" y="304800"/>
                </a:cubicBezTo>
                <a:cubicBezTo>
                  <a:pt x="1072092" y="342371"/>
                  <a:pt x="1060450" y="396346"/>
                  <a:pt x="1047750" y="488950"/>
                </a:cubicBezTo>
                <a:cubicBezTo>
                  <a:pt x="1035050" y="581554"/>
                  <a:pt x="1012825" y="742421"/>
                  <a:pt x="1003300" y="860425"/>
                </a:cubicBezTo>
                <a:cubicBezTo>
                  <a:pt x="993775" y="978429"/>
                  <a:pt x="992187" y="1124479"/>
                  <a:pt x="990600" y="1196975"/>
                </a:cubicBezTo>
                <a:cubicBezTo>
                  <a:pt x="989013" y="1269471"/>
                  <a:pt x="991394" y="1282435"/>
                  <a:pt x="993775" y="129540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3" name="Freihandform 52">
            <a:extLst>
              <a:ext uri="{FF2B5EF4-FFF2-40B4-BE49-F238E27FC236}">
                <a16:creationId xmlns:a16="http://schemas.microsoft.com/office/drawing/2014/main" id="{AF92CD03-83A2-43AD-AEA0-E212D754C5DB}"/>
              </a:ext>
            </a:extLst>
          </xdr:cNvPr>
          <xdr:cNvSpPr/>
        </xdr:nvSpPr>
        <xdr:spPr>
          <a:xfrm flipV="1">
            <a:off x="5758145" y="3923481"/>
            <a:ext cx="5896373" cy="376734"/>
          </a:xfrm>
          <a:custGeom>
            <a:avLst/>
            <a:gdLst>
              <a:gd name="connsiteX0" fmla="*/ 0 w 4914900"/>
              <a:gd name="connsiteY0" fmla="*/ 0 h 338921"/>
              <a:gd name="connsiteX1" fmla="*/ 215900 w 4914900"/>
              <a:gd name="connsiteY1" fmla="*/ 57150 h 338921"/>
              <a:gd name="connsiteX2" fmla="*/ 746125 w 4914900"/>
              <a:gd name="connsiteY2" fmla="*/ 190500 h 338921"/>
              <a:gd name="connsiteX3" fmla="*/ 1222375 w 4914900"/>
              <a:gd name="connsiteY3" fmla="*/ 276225 h 338921"/>
              <a:gd name="connsiteX4" fmla="*/ 1870075 w 4914900"/>
              <a:gd name="connsiteY4" fmla="*/ 330200 h 338921"/>
              <a:gd name="connsiteX5" fmla="*/ 2247900 w 4914900"/>
              <a:gd name="connsiteY5" fmla="*/ 336550 h 338921"/>
              <a:gd name="connsiteX6" fmla="*/ 2838450 w 4914900"/>
              <a:gd name="connsiteY6" fmla="*/ 336550 h 338921"/>
              <a:gd name="connsiteX7" fmla="*/ 3260725 w 4914900"/>
              <a:gd name="connsiteY7" fmla="*/ 307975 h 338921"/>
              <a:gd name="connsiteX8" fmla="*/ 3829050 w 4914900"/>
              <a:gd name="connsiteY8" fmla="*/ 215900 h 338921"/>
              <a:gd name="connsiteX9" fmla="*/ 4130675 w 4914900"/>
              <a:gd name="connsiteY9" fmla="*/ 168275 h 338921"/>
              <a:gd name="connsiteX10" fmla="*/ 4305300 w 4914900"/>
              <a:gd name="connsiteY10" fmla="*/ 152400 h 338921"/>
              <a:gd name="connsiteX11" fmla="*/ 4673600 w 4914900"/>
              <a:gd name="connsiteY11" fmla="*/ 187325 h 338921"/>
              <a:gd name="connsiteX12" fmla="*/ 4914900 w 4914900"/>
              <a:gd name="connsiteY12" fmla="*/ 215900 h 3389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4914900" h="338921">
                <a:moveTo>
                  <a:pt x="0" y="0"/>
                </a:moveTo>
                <a:lnTo>
                  <a:pt x="215900" y="57150"/>
                </a:lnTo>
                <a:cubicBezTo>
                  <a:pt x="340254" y="88900"/>
                  <a:pt x="578379" y="153987"/>
                  <a:pt x="746125" y="190500"/>
                </a:cubicBezTo>
                <a:cubicBezTo>
                  <a:pt x="913871" y="227013"/>
                  <a:pt x="1035050" y="252942"/>
                  <a:pt x="1222375" y="276225"/>
                </a:cubicBezTo>
                <a:cubicBezTo>
                  <a:pt x="1409700" y="299508"/>
                  <a:pt x="1699154" y="320146"/>
                  <a:pt x="1870075" y="330200"/>
                </a:cubicBezTo>
                <a:cubicBezTo>
                  <a:pt x="2040996" y="340254"/>
                  <a:pt x="2247900" y="336550"/>
                  <a:pt x="2247900" y="336550"/>
                </a:cubicBezTo>
                <a:cubicBezTo>
                  <a:pt x="2409296" y="337608"/>
                  <a:pt x="2669646" y="341312"/>
                  <a:pt x="2838450" y="336550"/>
                </a:cubicBezTo>
                <a:cubicBezTo>
                  <a:pt x="3007254" y="331788"/>
                  <a:pt x="3095625" y="328083"/>
                  <a:pt x="3260725" y="307975"/>
                </a:cubicBezTo>
                <a:cubicBezTo>
                  <a:pt x="3425825" y="287867"/>
                  <a:pt x="3829050" y="215900"/>
                  <a:pt x="3829050" y="215900"/>
                </a:cubicBezTo>
                <a:lnTo>
                  <a:pt x="4130675" y="168275"/>
                </a:lnTo>
                <a:cubicBezTo>
                  <a:pt x="4210050" y="157692"/>
                  <a:pt x="4214813" y="149225"/>
                  <a:pt x="4305300" y="152400"/>
                </a:cubicBezTo>
                <a:cubicBezTo>
                  <a:pt x="4395787" y="155575"/>
                  <a:pt x="4572000" y="176742"/>
                  <a:pt x="4673600" y="187325"/>
                </a:cubicBezTo>
                <a:cubicBezTo>
                  <a:pt x="4775200" y="197908"/>
                  <a:pt x="4845050" y="206904"/>
                  <a:pt x="4914900" y="21590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4" name="Freihandform 53">
            <a:extLst>
              <a:ext uri="{FF2B5EF4-FFF2-40B4-BE49-F238E27FC236}">
                <a16:creationId xmlns:a16="http://schemas.microsoft.com/office/drawing/2014/main" id="{E9924D20-1474-4CE1-BBD9-FC8D552D4A8A}"/>
              </a:ext>
            </a:extLst>
          </xdr:cNvPr>
          <xdr:cNvSpPr/>
        </xdr:nvSpPr>
        <xdr:spPr>
          <a:xfrm flipV="1">
            <a:off x="9765879" y="2860288"/>
            <a:ext cx="1353005" cy="1198142"/>
          </a:xfrm>
          <a:custGeom>
            <a:avLst/>
            <a:gdLst>
              <a:gd name="connsiteX0" fmla="*/ 120118 w 1127792"/>
              <a:gd name="connsiteY0" fmla="*/ 1077883 h 1077883"/>
              <a:gd name="connsiteX1" fmla="*/ 116943 w 1127792"/>
              <a:gd name="connsiteY1" fmla="*/ 776258 h 1077883"/>
              <a:gd name="connsiteX2" fmla="*/ 59793 w 1127792"/>
              <a:gd name="connsiteY2" fmla="*/ 347633 h 1077883"/>
              <a:gd name="connsiteX3" fmla="*/ 8993 w 1127792"/>
              <a:gd name="connsiteY3" fmla="*/ 160308 h 1077883"/>
              <a:gd name="connsiteX4" fmla="*/ 5818 w 1127792"/>
              <a:gd name="connsiteY4" fmla="*/ 131733 h 1077883"/>
              <a:gd name="connsiteX5" fmla="*/ 69318 w 1127792"/>
              <a:gd name="connsiteY5" fmla="*/ 122208 h 1077883"/>
              <a:gd name="connsiteX6" fmla="*/ 551918 w 1127792"/>
              <a:gd name="connsiteY6" fmla="*/ 52358 h 1077883"/>
              <a:gd name="connsiteX7" fmla="*/ 812268 w 1127792"/>
              <a:gd name="connsiteY7" fmla="*/ 1558 h 1077883"/>
              <a:gd name="connsiteX8" fmla="*/ 907518 w 1127792"/>
              <a:gd name="connsiteY8" fmla="*/ 17433 h 1077883"/>
              <a:gd name="connsiteX9" fmla="*/ 961493 w 1127792"/>
              <a:gd name="connsiteY9" fmla="*/ 61883 h 1077883"/>
              <a:gd name="connsiteX10" fmla="*/ 1069443 w 1127792"/>
              <a:gd name="connsiteY10" fmla="*/ 376208 h 1077883"/>
              <a:gd name="connsiteX11" fmla="*/ 1120243 w 1127792"/>
              <a:gd name="connsiteY11" fmla="*/ 804833 h 1077883"/>
              <a:gd name="connsiteX12" fmla="*/ 1126593 w 1127792"/>
              <a:gd name="connsiteY12" fmla="*/ 1071533 h 10778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127792" h="1077883">
                <a:moveTo>
                  <a:pt x="120118" y="1077883"/>
                </a:moveTo>
                <a:cubicBezTo>
                  <a:pt x="123557" y="987924"/>
                  <a:pt x="126997" y="897966"/>
                  <a:pt x="116943" y="776258"/>
                </a:cubicBezTo>
                <a:cubicBezTo>
                  <a:pt x="106889" y="654550"/>
                  <a:pt x="77785" y="450291"/>
                  <a:pt x="59793" y="347633"/>
                </a:cubicBezTo>
                <a:cubicBezTo>
                  <a:pt x="41801" y="244975"/>
                  <a:pt x="17989" y="196291"/>
                  <a:pt x="8993" y="160308"/>
                </a:cubicBezTo>
                <a:cubicBezTo>
                  <a:pt x="-3" y="124325"/>
                  <a:pt x="-4236" y="138083"/>
                  <a:pt x="5818" y="131733"/>
                </a:cubicBezTo>
                <a:cubicBezTo>
                  <a:pt x="15872" y="125383"/>
                  <a:pt x="69318" y="122208"/>
                  <a:pt x="69318" y="122208"/>
                </a:cubicBezTo>
                <a:lnTo>
                  <a:pt x="551918" y="52358"/>
                </a:lnTo>
                <a:cubicBezTo>
                  <a:pt x="675743" y="32250"/>
                  <a:pt x="753001" y="7379"/>
                  <a:pt x="812268" y="1558"/>
                </a:cubicBezTo>
                <a:cubicBezTo>
                  <a:pt x="871535" y="-4263"/>
                  <a:pt x="882647" y="7379"/>
                  <a:pt x="907518" y="17433"/>
                </a:cubicBezTo>
                <a:cubicBezTo>
                  <a:pt x="932389" y="27487"/>
                  <a:pt x="934506" y="2087"/>
                  <a:pt x="961493" y="61883"/>
                </a:cubicBezTo>
                <a:cubicBezTo>
                  <a:pt x="988480" y="121679"/>
                  <a:pt x="1042985" y="252383"/>
                  <a:pt x="1069443" y="376208"/>
                </a:cubicBezTo>
                <a:cubicBezTo>
                  <a:pt x="1095901" y="500033"/>
                  <a:pt x="1110718" y="688945"/>
                  <a:pt x="1120243" y="804833"/>
                </a:cubicBezTo>
                <a:cubicBezTo>
                  <a:pt x="1129768" y="920720"/>
                  <a:pt x="1128180" y="996126"/>
                  <a:pt x="1126593" y="1071533"/>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5" name="Freihandform 54">
            <a:extLst>
              <a:ext uri="{FF2B5EF4-FFF2-40B4-BE49-F238E27FC236}">
                <a16:creationId xmlns:a16="http://schemas.microsoft.com/office/drawing/2014/main" id="{B575962B-757B-46CE-B4C3-A6BA5D3AF6F3}"/>
              </a:ext>
            </a:extLst>
          </xdr:cNvPr>
          <xdr:cNvSpPr/>
        </xdr:nvSpPr>
        <xdr:spPr>
          <a:xfrm flipV="1">
            <a:off x="6584704" y="2844471"/>
            <a:ext cx="5531475" cy="1794551"/>
          </a:xfrm>
          <a:custGeom>
            <a:avLst/>
            <a:gdLst>
              <a:gd name="connsiteX0" fmla="*/ 0 w 4613224"/>
              <a:gd name="connsiteY0" fmla="*/ 0 h 1587500"/>
              <a:gd name="connsiteX1" fmla="*/ 1082675 w 4613224"/>
              <a:gd name="connsiteY1" fmla="*/ 6350 h 1587500"/>
              <a:gd name="connsiteX2" fmla="*/ 2124075 w 4613224"/>
              <a:gd name="connsiteY2" fmla="*/ 38100 h 1587500"/>
              <a:gd name="connsiteX3" fmla="*/ 2368550 w 4613224"/>
              <a:gd name="connsiteY3" fmla="*/ 22225 h 1587500"/>
              <a:gd name="connsiteX4" fmla="*/ 2670175 w 4613224"/>
              <a:gd name="connsiteY4" fmla="*/ 22225 h 1587500"/>
              <a:gd name="connsiteX5" fmla="*/ 3057525 w 4613224"/>
              <a:gd name="connsiteY5" fmla="*/ 22225 h 1587500"/>
              <a:gd name="connsiteX6" fmla="*/ 3454400 w 4613224"/>
              <a:gd name="connsiteY6" fmla="*/ 44450 h 1587500"/>
              <a:gd name="connsiteX7" fmla="*/ 3517900 w 4613224"/>
              <a:gd name="connsiteY7" fmla="*/ 44450 h 1587500"/>
              <a:gd name="connsiteX8" fmla="*/ 3552825 w 4613224"/>
              <a:gd name="connsiteY8" fmla="*/ 53975 h 1587500"/>
              <a:gd name="connsiteX9" fmla="*/ 3673475 w 4613224"/>
              <a:gd name="connsiteY9" fmla="*/ 98425 h 1587500"/>
              <a:gd name="connsiteX10" fmla="*/ 3914775 w 4613224"/>
              <a:gd name="connsiteY10" fmla="*/ 146050 h 1587500"/>
              <a:gd name="connsiteX11" fmla="*/ 4111625 w 4613224"/>
              <a:gd name="connsiteY11" fmla="*/ 187325 h 1587500"/>
              <a:gd name="connsiteX12" fmla="*/ 4251325 w 4613224"/>
              <a:gd name="connsiteY12" fmla="*/ 244475 h 1587500"/>
              <a:gd name="connsiteX13" fmla="*/ 4346575 w 4613224"/>
              <a:gd name="connsiteY13" fmla="*/ 323850 h 1587500"/>
              <a:gd name="connsiteX14" fmla="*/ 4441825 w 4613224"/>
              <a:gd name="connsiteY14" fmla="*/ 444500 h 1587500"/>
              <a:gd name="connsiteX15" fmla="*/ 4530725 w 4613224"/>
              <a:gd name="connsiteY15" fmla="*/ 727075 h 1587500"/>
              <a:gd name="connsiteX16" fmla="*/ 4603750 w 4613224"/>
              <a:gd name="connsiteY16" fmla="*/ 1374775 h 1587500"/>
              <a:gd name="connsiteX17" fmla="*/ 4610100 w 4613224"/>
              <a:gd name="connsiteY17" fmla="*/ 1587500 h 1587500"/>
              <a:gd name="connsiteX0" fmla="*/ 0 w 4610741"/>
              <a:gd name="connsiteY0" fmla="*/ 0 h 1587500"/>
              <a:gd name="connsiteX1" fmla="*/ 1082675 w 4610741"/>
              <a:gd name="connsiteY1" fmla="*/ 6350 h 1587500"/>
              <a:gd name="connsiteX2" fmla="*/ 2124075 w 4610741"/>
              <a:gd name="connsiteY2" fmla="*/ 38100 h 1587500"/>
              <a:gd name="connsiteX3" fmla="*/ 2368550 w 4610741"/>
              <a:gd name="connsiteY3" fmla="*/ 22225 h 1587500"/>
              <a:gd name="connsiteX4" fmla="*/ 2670175 w 4610741"/>
              <a:gd name="connsiteY4" fmla="*/ 22225 h 1587500"/>
              <a:gd name="connsiteX5" fmla="*/ 3057525 w 4610741"/>
              <a:gd name="connsiteY5" fmla="*/ 22225 h 1587500"/>
              <a:gd name="connsiteX6" fmla="*/ 3454400 w 4610741"/>
              <a:gd name="connsiteY6" fmla="*/ 44450 h 1587500"/>
              <a:gd name="connsiteX7" fmla="*/ 3517900 w 4610741"/>
              <a:gd name="connsiteY7" fmla="*/ 44450 h 1587500"/>
              <a:gd name="connsiteX8" fmla="*/ 3552825 w 4610741"/>
              <a:gd name="connsiteY8" fmla="*/ 53975 h 1587500"/>
              <a:gd name="connsiteX9" fmla="*/ 3673475 w 4610741"/>
              <a:gd name="connsiteY9" fmla="*/ 98425 h 1587500"/>
              <a:gd name="connsiteX10" fmla="*/ 3914775 w 4610741"/>
              <a:gd name="connsiteY10" fmla="*/ 146050 h 1587500"/>
              <a:gd name="connsiteX11" fmla="*/ 4111625 w 4610741"/>
              <a:gd name="connsiteY11" fmla="*/ 187325 h 1587500"/>
              <a:gd name="connsiteX12" fmla="*/ 4251325 w 4610741"/>
              <a:gd name="connsiteY12" fmla="*/ 244475 h 1587500"/>
              <a:gd name="connsiteX13" fmla="*/ 4346575 w 4610741"/>
              <a:gd name="connsiteY13" fmla="*/ 323850 h 1587500"/>
              <a:gd name="connsiteX14" fmla="*/ 4441825 w 4610741"/>
              <a:gd name="connsiteY14" fmla="*/ 444500 h 1587500"/>
              <a:gd name="connsiteX15" fmla="*/ 4530725 w 4610741"/>
              <a:gd name="connsiteY15" fmla="*/ 727075 h 1587500"/>
              <a:gd name="connsiteX16" fmla="*/ 4603750 w 4610741"/>
              <a:gd name="connsiteY16" fmla="*/ 1374775 h 1587500"/>
              <a:gd name="connsiteX17" fmla="*/ 4610100 w 4610741"/>
              <a:gd name="connsiteY17" fmla="*/ 1587500 h 1587500"/>
              <a:gd name="connsiteX0" fmla="*/ 0 w 4610741"/>
              <a:gd name="connsiteY0" fmla="*/ 0 h 1614429"/>
              <a:gd name="connsiteX1" fmla="*/ 1082675 w 4610741"/>
              <a:gd name="connsiteY1" fmla="*/ 6350 h 1614429"/>
              <a:gd name="connsiteX2" fmla="*/ 2124075 w 4610741"/>
              <a:gd name="connsiteY2" fmla="*/ 38100 h 1614429"/>
              <a:gd name="connsiteX3" fmla="*/ 2368550 w 4610741"/>
              <a:gd name="connsiteY3" fmla="*/ 22225 h 1614429"/>
              <a:gd name="connsiteX4" fmla="*/ 2670175 w 4610741"/>
              <a:gd name="connsiteY4" fmla="*/ 22225 h 1614429"/>
              <a:gd name="connsiteX5" fmla="*/ 3057525 w 4610741"/>
              <a:gd name="connsiteY5" fmla="*/ 22225 h 1614429"/>
              <a:gd name="connsiteX6" fmla="*/ 3454400 w 4610741"/>
              <a:gd name="connsiteY6" fmla="*/ 44450 h 1614429"/>
              <a:gd name="connsiteX7" fmla="*/ 3517900 w 4610741"/>
              <a:gd name="connsiteY7" fmla="*/ 44450 h 1614429"/>
              <a:gd name="connsiteX8" fmla="*/ 3552825 w 4610741"/>
              <a:gd name="connsiteY8" fmla="*/ 53975 h 1614429"/>
              <a:gd name="connsiteX9" fmla="*/ 3673475 w 4610741"/>
              <a:gd name="connsiteY9" fmla="*/ 98425 h 1614429"/>
              <a:gd name="connsiteX10" fmla="*/ 3914775 w 4610741"/>
              <a:gd name="connsiteY10" fmla="*/ 146050 h 1614429"/>
              <a:gd name="connsiteX11" fmla="*/ 4111625 w 4610741"/>
              <a:gd name="connsiteY11" fmla="*/ 187325 h 1614429"/>
              <a:gd name="connsiteX12" fmla="*/ 4251325 w 4610741"/>
              <a:gd name="connsiteY12" fmla="*/ 244475 h 1614429"/>
              <a:gd name="connsiteX13" fmla="*/ 4346575 w 4610741"/>
              <a:gd name="connsiteY13" fmla="*/ 323850 h 1614429"/>
              <a:gd name="connsiteX14" fmla="*/ 4441825 w 4610741"/>
              <a:gd name="connsiteY14" fmla="*/ 444500 h 1614429"/>
              <a:gd name="connsiteX15" fmla="*/ 4530725 w 4610741"/>
              <a:gd name="connsiteY15" fmla="*/ 727075 h 1614429"/>
              <a:gd name="connsiteX16" fmla="*/ 4603750 w 4610741"/>
              <a:gd name="connsiteY16" fmla="*/ 1374775 h 1614429"/>
              <a:gd name="connsiteX17" fmla="*/ 4610100 w 4610741"/>
              <a:gd name="connsiteY17" fmla="*/ 1614429 h 16144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4610741" h="1614429">
                <a:moveTo>
                  <a:pt x="0" y="0"/>
                </a:moveTo>
                <a:lnTo>
                  <a:pt x="1082675" y="6350"/>
                </a:lnTo>
                <a:cubicBezTo>
                  <a:pt x="1436687" y="12700"/>
                  <a:pt x="1909763" y="35454"/>
                  <a:pt x="2124075" y="38100"/>
                </a:cubicBezTo>
                <a:cubicBezTo>
                  <a:pt x="2338387" y="40746"/>
                  <a:pt x="2277533" y="24871"/>
                  <a:pt x="2368550" y="22225"/>
                </a:cubicBezTo>
                <a:cubicBezTo>
                  <a:pt x="2459567" y="19579"/>
                  <a:pt x="2670175" y="22225"/>
                  <a:pt x="2670175" y="22225"/>
                </a:cubicBezTo>
                <a:cubicBezTo>
                  <a:pt x="2785004" y="22225"/>
                  <a:pt x="2926821" y="18521"/>
                  <a:pt x="3057525" y="22225"/>
                </a:cubicBezTo>
                <a:cubicBezTo>
                  <a:pt x="3188229" y="25929"/>
                  <a:pt x="3377671" y="40746"/>
                  <a:pt x="3454400" y="44450"/>
                </a:cubicBezTo>
                <a:cubicBezTo>
                  <a:pt x="3531129" y="48154"/>
                  <a:pt x="3501496" y="42863"/>
                  <a:pt x="3517900" y="44450"/>
                </a:cubicBezTo>
                <a:cubicBezTo>
                  <a:pt x="3534304" y="46037"/>
                  <a:pt x="3526896" y="44979"/>
                  <a:pt x="3552825" y="53975"/>
                </a:cubicBezTo>
                <a:cubicBezTo>
                  <a:pt x="3578754" y="62971"/>
                  <a:pt x="3613150" y="83079"/>
                  <a:pt x="3673475" y="98425"/>
                </a:cubicBezTo>
                <a:cubicBezTo>
                  <a:pt x="3733800" y="113771"/>
                  <a:pt x="3914775" y="146050"/>
                  <a:pt x="3914775" y="146050"/>
                </a:cubicBezTo>
                <a:cubicBezTo>
                  <a:pt x="3987800" y="160867"/>
                  <a:pt x="4055533" y="170921"/>
                  <a:pt x="4111625" y="187325"/>
                </a:cubicBezTo>
                <a:cubicBezTo>
                  <a:pt x="4167717" y="203729"/>
                  <a:pt x="4212167" y="221721"/>
                  <a:pt x="4251325" y="244475"/>
                </a:cubicBezTo>
                <a:cubicBezTo>
                  <a:pt x="4290483" y="267229"/>
                  <a:pt x="4314825" y="290513"/>
                  <a:pt x="4346575" y="323850"/>
                </a:cubicBezTo>
                <a:cubicBezTo>
                  <a:pt x="4378325" y="357187"/>
                  <a:pt x="4411133" y="377296"/>
                  <a:pt x="4441825" y="444500"/>
                </a:cubicBezTo>
                <a:cubicBezTo>
                  <a:pt x="4472517" y="511704"/>
                  <a:pt x="4503738" y="572029"/>
                  <a:pt x="4530725" y="727075"/>
                </a:cubicBezTo>
                <a:cubicBezTo>
                  <a:pt x="4557713" y="882121"/>
                  <a:pt x="4590521" y="1231371"/>
                  <a:pt x="4603750" y="1374775"/>
                </a:cubicBezTo>
                <a:cubicBezTo>
                  <a:pt x="4616979" y="1518179"/>
                  <a:pt x="4606726" y="1438387"/>
                  <a:pt x="4610100" y="1614429"/>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6" name="Freihandform 55">
            <a:extLst>
              <a:ext uri="{FF2B5EF4-FFF2-40B4-BE49-F238E27FC236}">
                <a16:creationId xmlns:a16="http://schemas.microsoft.com/office/drawing/2014/main" id="{239FEBDE-3103-40ED-A616-F60DB019C81E}"/>
              </a:ext>
            </a:extLst>
          </xdr:cNvPr>
          <xdr:cNvSpPr/>
        </xdr:nvSpPr>
        <xdr:spPr>
          <a:xfrm flipV="1">
            <a:off x="10885094" y="2850678"/>
            <a:ext cx="1074708" cy="1237783"/>
          </a:xfrm>
          <a:custGeom>
            <a:avLst/>
            <a:gdLst>
              <a:gd name="connsiteX0" fmla="*/ 0 w 889101"/>
              <a:gd name="connsiteY0" fmla="*/ 50800 h 1073150"/>
              <a:gd name="connsiteX1" fmla="*/ 57150 w 889101"/>
              <a:gd name="connsiteY1" fmla="*/ 12700 h 1073150"/>
              <a:gd name="connsiteX2" fmla="*/ 111125 w 889101"/>
              <a:gd name="connsiteY2" fmla="*/ 0 h 1073150"/>
              <a:gd name="connsiteX3" fmla="*/ 263525 w 889101"/>
              <a:gd name="connsiteY3" fmla="*/ 12700 h 1073150"/>
              <a:gd name="connsiteX4" fmla="*/ 657225 w 889101"/>
              <a:gd name="connsiteY4" fmla="*/ 57150 h 1073150"/>
              <a:gd name="connsiteX5" fmla="*/ 708025 w 889101"/>
              <a:gd name="connsiteY5" fmla="*/ 69850 h 1073150"/>
              <a:gd name="connsiteX6" fmla="*/ 768350 w 889101"/>
              <a:gd name="connsiteY6" fmla="*/ 88900 h 1073150"/>
              <a:gd name="connsiteX7" fmla="*/ 790575 w 889101"/>
              <a:gd name="connsiteY7" fmla="*/ 142875 h 1073150"/>
              <a:gd name="connsiteX8" fmla="*/ 847725 w 889101"/>
              <a:gd name="connsiteY8" fmla="*/ 377825 h 1073150"/>
              <a:gd name="connsiteX9" fmla="*/ 882650 w 889101"/>
              <a:gd name="connsiteY9" fmla="*/ 692150 h 1073150"/>
              <a:gd name="connsiteX10" fmla="*/ 889000 w 889101"/>
              <a:gd name="connsiteY10" fmla="*/ 1073150 h 1073150"/>
              <a:gd name="connsiteX0" fmla="*/ 0 w 886806"/>
              <a:gd name="connsiteY0" fmla="*/ 50800 h 1106813"/>
              <a:gd name="connsiteX1" fmla="*/ 57150 w 886806"/>
              <a:gd name="connsiteY1" fmla="*/ 12700 h 1106813"/>
              <a:gd name="connsiteX2" fmla="*/ 111125 w 886806"/>
              <a:gd name="connsiteY2" fmla="*/ 0 h 1106813"/>
              <a:gd name="connsiteX3" fmla="*/ 263525 w 886806"/>
              <a:gd name="connsiteY3" fmla="*/ 12700 h 1106813"/>
              <a:gd name="connsiteX4" fmla="*/ 657225 w 886806"/>
              <a:gd name="connsiteY4" fmla="*/ 57150 h 1106813"/>
              <a:gd name="connsiteX5" fmla="*/ 708025 w 886806"/>
              <a:gd name="connsiteY5" fmla="*/ 69850 h 1106813"/>
              <a:gd name="connsiteX6" fmla="*/ 768350 w 886806"/>
              <a:gd name="connsiteY6" fmla="*/ 88900 h 1106813"/>
              <a:gd name="connsiteX7" fmla="*/ 790575 w 886806"/>
              <a:gd name="connsiteY7" fmla="*/ 142875 h 1106813"/>
              <a:gd name="connsiteX8" fmla="*/ 847725 w 886806"/>
              <a:gd name="connsiteY8" fmla="*/ 377825 h 1106813"/>
              <a:gd name="connsiteX9" fmla="*/ 882650 w 886806"/>
              <a:gd name="connsiteY9" fmla="*/ 692150 h 1106813"/>
              <a:gd name="connsiteX10" fmla="*/ 885593 w 886806"/>
              <a:gd name="connsiteY10" fmla="*/ 1106813 h 1106813"/>
              <a:gd name="connsiteX0" fmla="*/ 0 w 895819"/>
              <a:gd name="connsiteY0" fmla="*/ 50800 h 1113545"/>
              <a:gd name="connsiteX1" fmla="*/ 57150 w 895819"/>
              <a:gd name="connsiteY1" fmla="*/ 12700 h 1113545"/>
              <a:gd name="connsiteX2" fmla="*/ 111125 w 895819"/>
              <a:gd name="connsiteY2" fmla="*/ 0 h 1113545"/>
              <a:gd name="connsiteX3" fmla="*/ 263525 w 895819"/>
              <a:gd name="connsiteY3" fmla="*/ 12700 h 1113545"/>
              <a:gd name="connsiteX4" fmla="*/ 657225 w 895819"/>
              <a:gd name="connsiteY4" fmla="*/ 57150 h 1113545"/>
              <a:gd name="connsiteX5" fmla="*/ 708025 w 895819"/>
              <a:gd name="connsiteY5" fmla="*/ 69850 h 1113545"/>
              <a:gd name="connsiteX6" fmla="*/ 768350 w 895819"/>
              <a:gd name="connsiteY6" fmla="*/ 88900 h 1113545"/>
              <a:gd name="connsiteX7" fmla="*/ 790575 w 895819"/>
              <a:gd name="connsiteY7" fmla="*/ 142875 h 1113545"/>
              <a:gd name="connsiteX8" fmla="*/ 847725 w 895819"/>
              <a:gd name="connsiteY8" fmla="*/ 377825 h 1113545"/>
              <a:gd name="connsiteX9" fmla="*/ 882650 w 895819"/>
              <a:gd name="connsiteY9" fmla="*/ 692150 h 1113545"/>
              <a:gd name="connsiteX10" fmla="*/ 895812 w 895819"/>
              <a:gd name="connsiteY10" fmla="*/ 1113545 h 11135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895819" h="1113545">
                <a:moveTo>
                  <a:pt x="0" y="50800"/>
                </a:moveTo>
                <a:cubicBezTo>
                  <a:pt x="19314" y="35983"/>
                  <a:pt x="38629" y="21167"/>
                  <a:pt x="57150" y="12700"/>
                </a:cubicBezTo>
                <a:cubicBezTo>
                  <a:pt x="75671" y="4233"/>
                  <a:pt x="76729" y="0"/>
                  <a:pt x="111125" y="0"/>
                </a:cubicBezTo>
                <a:cubicBezTo>
                  <a:pt x="145521" y="0"/>
                  <a:pt x="263525" y="12700"/>
                  <a:pt x="263525" y="12700"/>
                </a:cubicBezTo>
                <a:lnTo>
                  <a:pt x="657225" y="57150"/>
                </a:lnTo>
                <a:cubicBezTo>
                  <a:pt x="731308" y="66675"/>
                  <a:pt x="689504" y="64558"/>
                  <a:pt x="708025" y="69850"/>
                </a:cubicBezTo>
                <a:cubicBezTo>
                  <a:pt x="726546" y="75142"/>
                  <a:pt x="754592" y="76729"/>
                  <a:pt x="768350" y="88900"/>
                </a:cubicBezTo>
                <a:cubicBezTo>
                  <a:pt x="782108" y="101071"/>
                  <a:pt x="777346" y="94721"/>
                  <a:pt x="790575" y="142875"/>
                </a:cubicBezTo>
                <a:cubicBezTo>
                  <a:pt x="803804" y="191029"/>
                  <a:pt x="832379" y="286279"/>
                  <a:pt x="847725" y="377825"/>
                </a:cubicBezTo>
                <a:cubicBezTo>
                  <a:pt x="863071" y="469371"/>
                  <a:pt x="875771" y="576263"/>
                  <a:pt x="882650" y="692150"/>
                </a:cubicBezTo>
                <a:cubicBezTo>
                  <a:pt x="889529" y="808037"/>
                  <a:pt x="896076" y="980988"/>
                  <a:pt x="895812" y="1113545"/>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7" name="Freihandform 56">
            <a:extLst>
              <a:ext uri="{FF2B5EF4-FFF2-40B4-BE49-F238E27FC236}">
                <a16:creationId xmlns:a16="http://schemas.microsoft.com/office/drawing/2014/main" id="{418BF966-9166-4B99-B029-86AF45DDF44B}"/>
              </a:ext>
            </a:extLst>
          </xdr:cNvPr>
          <xdr:cNvSpPr/>
        </xdr:nvSpPr>
        <xdr:spPr>
          <a:xfrm flipV="1">
            <a:off x="11241630" y="3746126"/>
            <a:ext cx="618575" cy="631340"/>
          </a:xfrm>
          <a:custGeom>
            <a:avLst/>
            <a:gdLst>
              <a:gd name="connsiteX0" fmla="*/ 515611 w 515611"/>
              <a:gd name="connsiteY0" fmla="*/ 567972 h 567972"/>
              <a:gd name="connsiteX1" fmla="*/ 458461 w 515611"/>
              <a:gd name="connsiteY1" fmla="*/ 367947 h 567972"/>
              <a:gd name="connsiteX2" fmla="*/ 414011 w 515611"/>
              <a:gd name="connsiteY2" fmla="*/ 250472 h 567972"/>
              <a:gd name="connsiteX3" fmla="*/ 363211 w 515611"/>
              <a:gd name="connsiteY3" fmla="*/ 183797 h 567972"/>
              <a:gd name="connsiteX4" fmla="*/ 252086 w 515611"/>
              <a:gd name="connsiteY4" fmla="*/ 91722 h 567972"/>
              <a:gd name="connsiteX5" fmla="*/ 163186 w 515611"/>
              <a:gd name="connsiteY5" fmla="*/ 53622 h 567972"/>
              <a:gd name="connsiteX6" fmla="*/ 93336 w 515611"/>
              <a:gd name="connsiteY6" fmla="*/ 40922 h 567972"/>
              <a:gd name="connsiteX7" fmla="*/ 36186 w 515611"/>
              <a:gd name="connsiteY7" fmla="*/ 21872 h 567972"/>
              <a:gd name="connsiteX8" fmla="*/ 1261 w 515611"/>
              <a:gd name="connsiteY8" fmla="*/ 2822 h 567972"/>
              <a:gd name="connsiteX9" fmla="*/ 80636 w 515611"/>
              <a:gd name="connsiteY9" fmla="*/ 2822 h 567972"/>
              <a:gd name="connsiteX10" fmla="*/ 169536 w 515611"/>
              <a:gd name="connsiteY10" fmla="*/ 2822 h 567972"/>
              <a:gd name="connsiteX11" fmla="*/ 248911 w 515611"/>
              <a:gd name="connsiteY11" fmla="*/ 40922 h 567972"/>
              <a:gd name="connsiteX12" fmla="*/ 366386 w 515611"/>
              <a:gd name="connsiteY12" fmla="*/ 129822 h 567972"/>
              <a:gd name="connsiteX13" fmla="*/ 461636 w 515611"/>
              <a:gd name="connsiteY13" fmla="*/ 294922 h 567972"/>
              <a:gd name="connsiteX14" fmla="*/ 490211 w 515611"/>
              <a:gd name="connsiteY14" fmla="*/ 371122 h 567972"/>
              <a:gd name="connsiteX0" fmla="*/ 515611 w 515611"/>
              <a:gd name="connsiteY0" fmla="*/ 567972 h 567972"/>
              <a:gd name="connsiteX1" fmla="*/ 458461 w 515611"/>
              <a:gd name="connsiteY1" fmla="*/ 367947 h 567972"/>
              <a:gd name="connsiteX2" fmla="*/ 414011 w 515611"/>
              <a:gd name="connsiteY2" fmla="*/ 250472 h 567972"/>
              <a:gd name="connsiteX3" fmla="*/ 363211 w 515611"/>
              <a:gd name="connsiteY3" fmla="*/ 183797 h 567972"/>
              <a:gd name="connsiteX4" fmla="*/ 252086 w 515611"/>
              <a:gd name="connsiteY4" fmla="*/ 91722 h 567972"/>
              <a:gd name="connsiteX5" fmla="*/ 163186 w 515611"/>
              <a:gd name="connsiteY5" fmla="*/ 53622 h 567972"/>
              <a:gd name="connsiteX6" fmla="*/ 93336 w 515611"/>
              <a:gd name="connsiteY6" fmla="*/ 40922 h 567972"/>
              <a:gd name="connsiteX7" fmla="*/ 36186 w 515611"/>
              <a:gd name="connsiteY7" fmla="*/ 21872 h 567972"/>
              <a:gd name="connsiteX8" fmla="*/ 1261 w 515611"/>
              <a:gd name="connsiteY8" fmla="*/ 2822 h 567972"/>
              <a:gd name="connsiteX9" fmla="*/ 80636 w 515611"/>
              <a:gd name="connsiteY9" fmla="*/ 2822 h 567972"/>
              <a:gd name="connsiteX10" fmla="*/ 169536 w 515611"/>
              <a:gd name="connsiteY10" fmla="*/ 2822 h 567972"/>
              <a:gd name="connsiteX11" fmla="*/ 248911 w 515611"/>
              <a:gd name="connsiteY11" fmla="*/ 40922 h 567972"/>
              <a:gd name="connsiteX12" fmla="*/ 366386 w 515611"/>
              <a:gd name="connsiteY12" fmla="*/ 129822 h 567972"/>
              <a:gd name="connsiteX13" fmla="*/ 461636 w 515611"/>
              <a:gd name="connsiteY13" fmla="*/ 294922 h 567972"/>
              <a:gd name="connsiteX14" fmla="*/ 490211 w 515611"/>
              <a:gd name="connsiteY14" fmla="*/ 394934 h 5679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515611" h="567972">
                <a:moveTo>
                  <a:pt x="515611" y="567972"/>
                </a:moveTo>
                <a:cubicBezTo>
                  <a:pt x="495502" y="494418"/>
                  <a:pt x="475394" y="420864"/>
                  <a:pt x="458461" y="367947"/>
                </a:cubicBezTo>
                <a:cubicBezTo>
                  <a:pt x="441528" y="315030"/>
                  <a:pt x="429886" y="281164"/>
                  <a:pt x="414011" y="250472"/>
                </a:cubicBezTo>
                <a:cubicBezTo>
                  <a:pt x="398136" y="219780"/>
                  <a:pt x="390199" y="210255"/>
                  <a:pt x="363211" y="183797"/>
                </a:cubicBezTo>
                <a:cubicBezTo>
                  <a:pt x="336223" y="157339"/>
                  <a:pt x="285423" y="113418"/>
                  <a:pt x="252086" y="91722"/>
                </a:cubicBezTo>
                <a:cubicBezTo>
                  <a:pt x="218748" y="70026"/>
                  <a:pt x="189644" y="62089"/>
                  <a:pt x="163186" y="53622"/>
                </a:cubicBezTo>
                <a:cubicBezTo>
                  <a:pt x="136728" y="45155"/>
                  <a:pt x="114502" y="46214"/>
                  <a:pt x="93336" y="40922"/>
                </a:cubicBezTo>
                <a:cubicBezTo>
                  <a:pt x="72170" y="35630"/>
                  <a:pt x="51532" y="28222"/>
                  <a:pt x="36186" y="21872"/>
                </a:cubicBezTo>
                <a:cubicBezTo>
                  <a:pt x="20840" y="15522"/>
                  <a:pt x="-6147" y="5997"/>
                  <a:pt x="1261" y="2822"/>
                </a:cubicBezTo>
                <a:cubicBezTo>
                  <a:pt x="8669" y="-353"/>
                  <a:pt x="80636" y="2822"/>
                  <a:pt x="80636" y="2822"/>
                </a:cubicBezTo>
                <a:cubicBezTo>
                  <a:pt x="108682" y="2822"/>
                  <a:pt x="141490" y="-3528"/>
                  <a:pt x="169536" y="2822"/>
                </a:cubicBezTo>
                <a:cubicBezTo>
                  <a:pt x="197582" y="9172"/>
                  <a:pt x="216103" y="19755"/>
                  <a:pt x="248911" y="40922"/>
                </a:cubicBezTo>
                <a:cubicBezTo>
                  <a:pt x="281719" y="62089"/>
                  <a:pt x="330932" y="87489"/>
                  <a:pt x="366386" y="129822"/>
                </a:cubicBezTo>
                <a:cubicBezTo>
                  <a:pt x="401840" y="172155"/>
                  <a:pt x="440999" y="250737"/>
                  <a:pt x="461636" y="294922"/>
                </a:cubicBezTo>
                <a:cubicBezTo>
                  <a:pt x="482273" y="339107"/>
                  <a:pt x="486242" y="376942"/>
                  <a:pt x="490211" y="394934"/>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8" name="Freihandform 57">
            <a:extLst>
              <a:ext uri="{FF2B5EF4-FFF2-40B4-BE49-F238E27FC236}">
                <a16:creationId xmlns:a16="http://schemas.microsoft.com/office/drawing/2014/main" id="{359C5D52-7950-48CA-953D-F18A38929197}"/>
              </a:ext>
            </a:extLst>
          </xdr:cNvPr>
          <xdr:cNvSpPr/>
        </xdr:nvSpPr>
        <xdr:spPr>
          <a:xfrm flipV="1">
            <a:off x="11380269" y="2844259"/>
            <a:ext cx="492943" cy="1452428"/>
          </a:xfrm>
          <a:custGeom>
            <a:avLst/>
            <a:gdLst>
              <a:gd name="connsiteX0" fmla="*/ 0 w 409575"/>
              <a:gd name="connsiteY0" fmla="*/ 0 h 1276350"/>
              <a:gd name="connsiteX1" fmla="*/ 79375 w 409575"/>
              <a:gd name="connsiteY1" fmla="*/ 50800 h 1276350"/>
              <a:gd name="connsiteX2" fmla="*/ 152400 w 409575"/>
              <a:gd name="connsiteY2" fmla="*/ 107950 h 1276350"/>
              <a:gd name="connsiteX3" fmla="*/ 222250 w 409575"/>
              <a:gd name="connsiteY3" fmla="*/ 190500 h 1276350"/>
              <a:gd name="connsiteX4" fmla="*/ 260350 w 409575"/>
              <a:gd name="connsiteY4" fmla="*/ 247650 h 1276350"/>
              <a:gd name="connsiteX5" fmla="*/ 260350 w 409575"/>
              <a:gd name="connsiteY5" fmla="*/ 257175 h 1276350"/>
              <a:gd name="connsiteX6" fmla="*/ 292100 w 409575"/>
              <a:gd name="connsiteY6" fmla="*/ 333375 h 1276350"/>
              <a:gd name="connsiteX7" fmla="*/ 336550 w 409575"/>
              <a:gd name="connsiteY7" fmla="*/ 508000 h 1276350"/>
              <a:gd name="connsiteX8" fmla="*/ 371475 w 409575"/>
              <a:gd name="connsiteY8" fmla="*/ 749300 h 1276350"/>
              <a:gd name="connsiteX9" fmla="*/ 403225 w 409575"/>
              <a:gd name="connsiteY9" fmla="*/ 1123950 h 1276350"/>
              <a:gd name="connsiteX10" fmla="*/ 409575 w 409575"/>
              <a:gd name="connsiteY10" fmla="*/ 1276350 h 1276350"/>
              <a:gd name="connsiteX0" fmla="*/ 0 w 409575"/>
              <a:gd name="connsiteY0" fmla="*/ 0 h 1276350"/>
              <a:gd name="connsiteX1" fmla="*/ 79375 w 409575"/>
              <a:gd name="connsiteY1" fmla="*/ 50800 h 1276350"/>
              <a:gd name="connsiteX2" fmla="*/ 152400 w 409575"/>
              <a:gd name="connsiteY2" fmla="*/ 107950 h 1276350"/>
              <a:gd name="connsiteX3" fmla="*/ 222250 w 409575"/>
              <a:gd name="connsiteY3" fmla="*/ 190500 h 1276350"/>
              <a:gd name="connsiteX4" fmla="*/ 260350 w 409575"/>
              <a:gd name="connsiteY4" fmla="*/ 247650 h 1276350"/>
              <a:gd name="connsiteX5" fmla="*/ 260350 w 409575"/>
              <a:gd name="connsiteY5" fmla="*/ 257175 h 1276350"/>
              <a:gd name="connsiteX6" fmla="*/ 292100 w 409575"/>
              <a:gd name="connsiteY6" fmla="*/ 333375 h 1276350"/>
              <a:gd name="connsiteX7" fmla="*/ 336550 w 409575"/>
              <a:gd name="connsiteY7" fmla="*/ 508000 h 1276350"/>
              <a:gd name="connsiteX8" fmla="*/ 371475 w 409575"/>
              <a:gd name="connsiteY8" fmla="*/ 749300 h 1276350"/>
              <a:gd name="connsiteX9" fmla="*/ 403225 w 409575"/>
              <a:gd name="connsiteY9" fmla="*/ 1123950 h 1276350"/>
              <a:gd name="connsiteX10" fmla="*/ 409575 w 409575"/>
              <a:gd name="connsiteY10" fmla="*/ 1276350 h 1276350"/>
              <a:gd name="connsiteX0" fmla="*/ 0 w 409575"/>
              <a:gd name="connsiteY0" fmla="*/ 0 h 1323477"/>
              <a:gd name="connsiteX1" fmla="*/ 79375 w 409575"/>
              <a:gd name="connsiteY1" fmla="*/ 50800 h 1323477"/>
              <a:gd name="connsiteX2" fmla="*/ 152400 w 409575"/>
              <a:gd name="connsiteY2" fmla="*/ 107950 h 1323477"/>
              <a:gd name="connsiteX3" fmla="*/ 222250 w 409575"/>
              <a:gd name="connsiteY3" fmla="*/ 190500 h 1323477"/>
              <a:gd name="connsiteX4" fmla="*/ 260350 w 409575"/>
              <a:gd name="connsiteY4" fmla="*/ 247650 h 1323477"/>
              <a:gd name="connsiteX5" fmla="*/ 260350 w 409575"/>
              <a:gd name="connsiteY5" fmla="*/ 257175 h 1323477"/>
              <a:gd name="connsiteX6" fmla="*/ 292100 w 409575"/>
              <a:gd name="connsiteY6" fmla="*/ 333375 h 1323477"/>
              <a:gd name="connsiteX7" fmla="*/ 336550 w 409575"/>
              <a:gd name="connsiteY7" fmla="*/ 508000 h 1323477"/>
              <a:gd name="connsiteX8" fmla="*/ 371475 w 409575"/>
              <a:gd name="connsiteY8" fmla="*/ 749300 h 1323477"/>
              <a:gd name="connsiteX9" fmla="*/ 403225 w 409575"/>
              <a:gd name="connsiteY9" fmla="*/ 1123950 h 1323477"/>
              <a:gd name="connsiteX10" fmla="*/ 409575 w 409575"/>
              <a:gd name="connsiteY10" fmla="*/ 1323477 h 1323477"/>
              <a:gd name="connsiteX0" fmla="*/ 0 w 413882"/>
              <a:gd name="connsiteY0" fmla="*/ 0 h 1323477"/>
              <a:gd name="connsiteX1" fmla="*/ 79375 w 413882"/>
              <a:gd name="connsiteY1" fmla="*/ 50800 h 1323477"/>
              <a:gd name="connsiteX2" fmla="*/ 152400 w 413882"/>
              <a:gd name="connsiteY2" fmla="*/ 107950 h 1323477"/>
              <a:gd name="connsiteX3" fmla="*/ 222250 w 413882"/>
              <a:gd name="connsiteY3" fmla="*/ 190500 h 1323477"/>
              <a:gd name="connsiteX4" fmla="*/ 260350 w 413882"/>
              <a:gd name="connsiteY4" fmla="*/ 247650 h 1323477"/>
              <a:gd name="connsiteX5" fmla="*/ 260350 w 413882"/>
              <a:gd name="connsiteY5" fmla="*/ 257175 h 1323477"/>
              <a:gd name="connsiteX6" fmla="*/ 292100 w 413882"/>
              <a:gd name="connsiteY6" fmla="*/ 333375 h 1323477"/>
              <a:gd name="connsiteX7" fmla="*/ 336550 w 413882"/>
              <a:gd name="connsiteY7" fmla="*/ 508000 h 1323477"/>
              <a:gd name="connsiteX8" fmla="*/ 371475 w 413882"/>
              <a:gd name="connsiteY8" fmla="*/ 749300 h 1323477"/>
              <a:gd name="connsiteX9" fmla="*/ 403225 w 413882"/>
              <a:gd name="connsiteY9" fmla="*/ 1123950 h 1323477"/>
              <a:gd name="connsiteX10" fmla="*/ 409575 w 413882"/>
              <a:gd name="connsiteY10" fmla="*/ 1323477 h 1323477"/>
              <a:gd name="connsiteX0" fmla="*/ 0 w 409575"/>
              <a:gd name="connsiteY0" fmla="*/ 0 h 1323477"/>
              <a:gd name="connsiteX1" fmla="*/ 79375 w 409575"/>
              <a:gd name="connsiteY1" fmla="*/ 50800 h 1323477"/>
              <a:gd name="connsiteX2" fmla="*/ 152400 w 409575"/>
              <a:gd name="connsiteY2" fmla="*/ 107950 h 1323477"/>
              <a:gd name="connsiteX3" fmla="*/ 222250 w 409575"/>
              <a:gd name="connsiteY3" fmla="*/ 190500 h 1323477"/>
              <a:gd name="connsiteX4" fmla="*/ 260350 w 409575"/>
              <a:gd name="connsiteY4" fmla="*/ 247650 h 1323477"/>
              <a:gd name="connsiteX5" fmla="*/ 260350 w 409575"/>
              <a:gd name="connsiteY5" fmla="*/ 257175 h 1323477"/>
              <a:gd name="connsiteX6" fmla="*/ 292100 w 409575"/>
              <a:gd name="connsiteY6" fmla="*/ 333375 h 1323477"/>
              <a:gd name="connsiteX7" fmla="*/ 336550 w 409575"/>
              <a:gd name="connsiteY7" fmla="*/ 508000 h 1323477"/>
              <a:gd name="connsiteX8" fmla="*/ 371475 w 409575"/>
              <a:gd name="connsiteY8" fmla="*/ 749300 h 1323477"/>
              <a:gd name="connsiteX9" fmla="*/ 403225 w 409575"/>
              <a:gd name="connsiteY9" fmla="*/ 1123950 h 1323477"/>
              <a:gd name="connsiteX10" fmla="*/ 409575 w 409575"/>
              <a:gd name="connsiteY10" fmla="*/ 1323477 h 1323477"/>
              <a:gd name="connsiteX0" fmla="*/ 0 w 410891"/>
              <a:gd name="connsiteY0" fmla="*/ 0 h 1323477"/>
              <a:gd name="connsiteX1" fmla="*/ 79375 w 410891"/>
              <a:gd name="connsiteY1" fmla="*/ 50800 h 1323477"/>
              <a:gd name="connsiteX2" fmla="*/ 152400 w 410891"/>
              <a:gd name="connsiteY2" fmla="*/ 107950 h 1323477"/>
              <a:gd name="connsiteX3" fmla="*/ 222250 w 410891"/>
              <a:gd name="connsiteY3" fmla="*/ 190500 h 1323477"/>
              <a:gd name="connsiteX4" fmla="*/ 260350 w 410891"/>
              <a:gd name="connsiteY4" fmla="*/ 247650 h 1323477"/>
              <a:gd name="connsiteX5" fmla="*/ 260350 w 410891"/>
              <a:gd name="connsiteY5" fmla="*/ 257175 h 1323477"/>
              <a:gd name="connsiteX6" fmla="*/ 292100 w 410891"/>
              <a:gd name="connsiteY6" fmla="*/ 333375 h 1323477"/>
              <a:gd name="connsiteX7" fmla="*/ 336550 w 410891"/>
              <a:gd name="connsiteY7" fmla="*/ 508000 h 1323477"/>
              <a:gd name="connsiteX8" fmla="*/ 371475 w 410891"/>
              <a:gd name="connsiteY8" fmla="*/ 749300 h 1323477"/>
              <a:gd name="connsiteX9" fmla="*/ 403225 w 410891"/>
              <a:gd name="connsiteY9" fmla="*/ 1123950 h 1323477"/>
              <a:gd name="connsiteX10" fmla="*/ 409575 w 410891"/>
              <a:gd name="connsiteY10" fmla="*/ 1323477 h 1323477"/>
              <a:gd name="connsiteX0" fmla="*/ 0 w 410891"/>
              <a:gd name="connsiteY0" fmla="*/ 0 h 1306646"/>
              <a:gd name="connsiteX1" fmla="*/ 79375 w 410891"/>
              <a:gd name="connsiteY1" fmla="*/ 50800 h 1306646"/>
              <a:gd name="connsiteX2" fmla="*/ 152400 w 410891"/>
              <a:gd name="connsiteY2" fmla="*/ 107950 h 1306646"/>
              <a:gd name="connsiteX3" fmla="*/ 222250 w 410891"/>
              <a:gd name="connsiteY3" fmla="*/ 190500 h 1306646"/>
              <a:gd name="connsiteX4" fmla="*/ 260350 w 410891"/>
              <a:gd name="connsiteY4" fmla="*/ 247650 h 1306646"/>
              <a:gd name="connsiteX5" fmla="*/ 260350 w 410891"/>
              <a:gd name="connsiteY5" fmla="*/ 257175 h 1306646"/>
              <a:gd name="connsiteX6" fmla="*/ 292100 w 410891"/>
              <a:gd name="connsiteY6" fmla="*/ 333375 h 1306646"/>
              <a:gd name="connsiteX7" fmla="*/ 336550 w 410891"/>
              <a:gd name="connsiteY7" fmla="*/ 508000 h 1306646"/>
              <a:gd name="connsiteX8" fmla="*/ 371475 w 410891"/>
              <a:gd name="connsiteY8" fmla="*/ 749300 h 1306646"/>
              <a:gd name="connsiteX9" fmla="*/ 403225 w 410891"/>
              <a:gd name="connsiteY9" fmla="*/ 1123950 h 1306646"/>
              <a:gd name="connsiteX10" fmla="*/ 409575 w 410891"/>
              <a:gd name="connsiteY10" fmla="*/ 1306646 h 130664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10891" h="1306646">
                <a:moveTo>
                  <a:pt x="0" y="0"/>
                </a:moveTo>
                <a:cubicBezTo>
                  <a:pt x="26987" y="16404"/>
                  <a:pt x="53975" y="32808"/>
                  <a:pt x="79375" y="50800"/>
                </a:cubicBezTo>
                <a:cubicBezTo>
                  <a:pt x="104775" y="68792"/>
                  <a:pt x="128588" y="84667"/>
                  <a:pt x="152400" y="107950"/>
                </a:cubicBezTo>
                <a:cubicBezTo>
                  <a:pt x="176213" y="131233"/>
                  <a:pt x="204258" y="167217"/>
                  <a:pt x="222250" y="190500"/>
                </a:cubicBezTo>
                <a:cubicBezTo>
                  <a:pt x="240242" y="213783"/>
                  <a:pt x="254000" y="236538"/>
                  <a:pt x="260350" y="247650"/>
                </a:cubicBezTo>
                <a:cubicBezTo>
                  <a:pt x="266700" y="258762"/>
                  <a:pt x="255058" y="242888"/>
                  <a:pt x="260350" y="257175"/>
                </a:cubicBezTo>
                <a:cubicBezTo>
                  <a:pt x="265642" y="271462"/>
                  <a:pt x="279400" y="291571"/>
                  <a:pt x="292100" y="333375"/>
                </a:cubicBezTo>
                <a:cubicBezTo>
                  <a:pt x="304800" y="375179"/>
                  <a:pt x="323321" y="438679"/>
                  <a:pt x="336550" y="508000"/>
                </a:cubicBezTo>
                <a:cubicBezTo>
                  <a:pt x="349779" y="577321"/>
                  <a:pt x="360363" y="646642"/>
                  <a:pt x="371475" y="749300"/>
                </a:cubicBezTo>
                <a:cubicBezTo>
                  <a:pt x="382587" y="851958"/>
                  <a:pt x="396875" y="1036108"/>
                  <a:pt x="403225" y="1123950"/>
                </a:cubicBezTo>
                <a:cubicBezTo>
                  <a:pt x="409575" y="1211792"/>
                  <a:pt x="412915" y="1185214"/>
                  <a:pt x="409575" y="1306646"/>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9" name="Freihandform 58">
            <a:extLst>
              <a:ext uri="{FF2B5EF4-FFF2-40B4-BE49-F238E27FC236}">
                <a16:creationId xmlns:a16="http://schemas.microsoft.com/office/drawing/2014/main" id="{4BAF0BC2-3E7F-4CE5-BE87-F10C3AFC8CCE}"/>
              </a:ext>
            </a:extLst>
          </xdr:cNvPr>
          <xdr:cNvSpPr/>
        </xdr:nvSpPr>
        <xdr:spPr>
          <a:xfrm flipV="1">
            <a:off x="3908863" y="4421973"/>
            <a:ext cx="2279702" cy="140697"/>
          </a:xfrm>
          <a:custGeom>
            <a:avLst/>
            <a:gdLst>
              <a:gd name="connsiteX0" fmla="*/ 0 w 1900237"/>
              <a:gd name="connsiteY0" fmla="*/ 126575 h 126575"/>
              <a:gd name="connsiteX1" fmla="*/ 180975 w 1900237"/>
              <a:gd name="connsiteY1" fmla="*/ 98000 h 126575"/>
              <a:gd name="connsiteX2" fmla="*/ 942975 w 1900237"/>
              <a:gd name="connsiteY2" fmla="*/ 31325 h 126575"/>
              <a:gd name="connsiteX3" fmla="*/ 1628775 w 1900237"/>
              <a:gd name="connsiteY3" fmla="*/ 2750 h 126575"/>
              <a:gd name="connsiteX4" fmla="*/ 1900237 w 1900237"/>
              <a:gd name="connsiteY4" fmla="*/ 2750 h 1265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900237" h="126575">
                <a:moveTo>
                  <a:pt x="0" y="126575"/>
                </a:moveTo>
                <a:cubicBezTo>
                  <a:pt x="11906" y="120225"/>
                  <a:pt x="23813" y="113875"/>
                  <a:pt x="180975" y="98000"/>
                </a:cubicBezTo>
                <a:cubicBezTo>
                  <a:pt x="338138" y="82125"/>
                  <a:pt x="701675" y="47200"/>
                  <a:pt x="942975" y="31325"/>
                </a:cubicBezTo>
                <a:cubicBezTo>
                  <a:pt x="1184275" y="15450"/>
                  <a:pt x="1469231" y="7513"/>
                  <a:pt x="1628775" y="2750"/>
                </a:cubicBezTo>
                <a:cubicBezTo>
                  <a:pt x="1788319" y="-2013"/>
                  <a:pt x="1844278" y="368"/>
                  <a:pt x="1900237" y="275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0" name="Freihandform 59">
            <a:extLst>
              <a:ext uri="{FF2B5EF4-FFF2-40B4-BE49-F238E27FC236}">
                <a16:creationId xmlns:a16="http://schemas.microsoft.com/office/drawing/2014/main" id="{9112CF2B-05E1-47FA-BA59-14A0F970A695}"/>
              </a:ext>
            </a:extLst>
          </xdr:cNvPr>
          <xdr:cNvSpPr/>
        </xdr:nvSpPr>
        <xdr:spPr>
          <a:xfrm flipV="1">
            <a:off x="6582800" y="4379622"/>
            <a:ext cx="4616540" cy="185285"/>
          </a:xfrm>
          <a:custGeom>
            <a:avLst/>
            <a:gdLst>
              <a:gd name="connsiteX0" fmla="*/ 0 w 3848100"/>
              <a:gd name="connsiteY0" fmla="*/ 0 h 166688"/>
              <a:gd name="connsiteX1" fmla="*/ 885825 w 3848100"/>
              <a:gd name="connsiteY1" fmla="*/ 14288 h 166688"/>
              <a:gd name="connsiteX2" fmla="*/ 1495425 w 3848100"/>
              <a:gd name="connsiteY2" fmla="*/ 23813 h 166688"/>
              <a:gd name="connsiteX3" fmla="*/ 2214562 w 3848100"/>
              <a:gd name="connsiteY3" fmla="*/ 52388 h 166688"/>
              <a:gd name="connsiteX4" fmla="*/ 2862262 w 3848100"/>
              <a:gd name="connsiteY4" fmla="*/ 85725 h 166688"/>
              <a:gd name="connsiteX5" fmla="*/ 3419475 w 3848100"/>
              <a:gd name="connsiteY5" fmla="*/ 123825 h 166688"/>
              <a:gd name="connsiteX6" fmla="*/ 3757612 w 3848100"/>
              <a:gd name="connsiteY6" fmla="*/ 157163 h 166688"/>
              <a:gd name="connsiteX7" fmla="*/ 3848100 w 3848100"/>
              <a:gd name="connsiteY7" fmla="*/ 166688 h 1666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848100" h="166688">
                <a:moveTo>
                  <a:pt x="0" y="0"/>
                </a:moveTo>
                <a:lnTo>
                  <a:pt x="885825" y="14288"/>
                </a:lnTo>
                <a:lnTo>
                  <a:pt x="1495425" y="23813"/>
                </a:lnTo>
                <a:cubicBezTo>
                  <a:pt x="1716881" y="30163"/>
                  <a:pt x="2214562" y="52388"/>
                  <a:pt x="2214562" y="52388"/>
                </a:cubicBezTo>
                <a:lnTo>
                  <a:pt x="2862262" y="85725"/>
                </a:lnTo>
                <a:lnTo>
                  <a:pt x="3419475" y="123825"/>
                </a:lnTo>
                <a:cubicBezTo>
                  <a:pt x="3568700" y="135731"/>
                  <a:pt x="3757612" y="157163"/>
                  <a:pt x="3757612" y="157163"/>
                </a:cubicBezTo>
                <a:lnTo>
                  <a:pt x="3848100" y="166688"/>
                </a:ln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1" name="Freihandform 60">
            <a:extLst>
              <a:ext uri="{FF2B5EF4-FFF2-40B4-BE49-F238E27FC236}">
                <a16:creationId xmlns:a16="http://schemas.microsoft.com/office/drawing/2014/main" id="{54C0FE8F-ECB8-462B-BEAC-E846A0726899}"/>
              </a:ext>
            </a:extLst>
          </xdr:cNvPr>
          <xdr:cNvSpPr/>
        </xdr:nvSpPr>
        <xdr:spPr>
          <a:xfrm flipV="1">
            <a:off x="7391175" y="4586035"/>
            <a:ext cx="420388" cy="74911"/>
          </a:xfrm>
          <a:custGeom>
            <a:avLst/>
            <a:gdLst>
              <a:gd name="connsiteX0" fmla="*/ 75 w 350413"/>
              <a:gd name="connsiteY0" fmla="*/ 43537 h 67392"/>
              <a:gd name="connsiteX1" fmla="*/ 78657 w 350413"/>
              <a:gd name="connsiteY1" fmla="*/ 14962 h 67392"/>
              <a:gd name="connsiteX2" fmla="*/ 162000 w 350413"/>
              <a:gd name="connsiteY2" fmla="*/ 3055 h 67392"/>
              <a:gd name="connsiteX3" fmla="*/ 285825 w 350413"/>
              <a:gd name="connsiteY3" fmla="*/ 5437 h 67392"/>
              <a:gd name="connsiteX4" fmla="*/ 350119 w 350413"/>
              <a:gd name="connsiteY4" fmla="*/ 60205 h 67392"/>
              <a:gd name="connsiteX5" fmla="*/ 262013 w 350413"/>
              <a:gd name="connsiteY5" fmla="*/ 64968 h 67392"/>
              <a:gd name="connsiteX6" fmla="*/ 216769 w 350413"/>
              <a:gd name="connsiteY6" fmla="*/ 43537 h 67392"/>
              <a:gd name="connsiteX7" fmla="*/ 111994 w 350413"/>
              <a:gd name="connsiteY7" fmla="*/ 41155 h 67392"/>
              <a:gd name="connsiteX8" fmla="*/ 64369 w 350413"/>
              <a:gd name="connsiteY8" fmla="*/ 62587 h 67392"/>
              <a:gd name="connsiteX9" fmla="*/ 75 w 350413"/>
              <a:gd name="connsiteY9" fmla="*/ 43537 h 67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50413" h="67392">
                <a:moveTo>
                  <a:pt x="75" y="43537"/>
                </a:moveTo>
                <a:cubicBezTo>
                  <a:pt x="2456" y="35600"/>
                  <a:pt x="51670" y="21709"/>
                  <a:pt x="78657" y="14962"/>
                </a:cubicBezTo>
                <a:cubicBezTo>
                  <a:pt x="105644" y="8215"/>
                  <a:pt x="127472" y="4642"/>
                  <a:pt x="162000" y="3055"/>
                </a:cubicBezTo>
                <a:cubicBezTo>
                  <a:pt x="196528" y="1468"/>
                  <a:pt x="254472" y="-4088"/>
                  <a:pt x="285825" y="5437"/>
                </a:cubicBezTo>
                <a:cubicBezTo>
                  <a:pt x="317178" y="14962"/>
                  <a:pt x="354088" y="50283"/>
                  <a:pt x="350119" y="60205"/>
                </a:cubicBezTo>
                <a:cubicBezTo>
                  <a:pt x="346150" y="70127"/>
                  <a:pt x="284238" y="67746"/>
                  <a:pt x="262013" y="64968"/>
                </a:cubicBezTo>
                <a:cubicBezTo>
                  <a:pt x="239788" y="62190"/>
                  <a:pt x="241772" y="47506"/>
                  <a:pt x="216769" y="43537"/>
                </a:cubicBezTo>
                <a:cubicBezTo>
                  <a:pt x="191766" y="39568"/>
                  <a:pt x="137394" y="37980"/>
                  <a:pt x="111994" y="41155"/>
                </a:cubicBezTo>
                <a:cubicBezTo>
                  <a:pt x="86594" y="44330"/>
                  <a:pt x="76275" y="58618"/>
                  <a:pt x="64369" y="62587"/>
                </a:cubicBezTo>
                <a:cubicBezTo>
                  <a:pt x="52463" y="66556"/>
                  <a:pt x="-2306" y="51474"/>
                  <a:pt x="75" y="43537"/>
                </a:cubicBezTo>
                <a:close/>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2" name="Freihandform 61">
            <a:extLst>
              <a:ext uri="{FF2B5EF4-FFF2-40B4-BE49-F238E27FC236}">
                <a16:creationId xmlns:a16="http://schemas.microsoft.com/office/drawing/2014/main" id="{AF79C665-6008-4F55-9997-DAC52C107E94}"/>
              </a:ext>
            </a:extLst>
          </xdr:cNvPr>
          <xdr:cNvSpPr/>
        </xdr:nvSpPr>
        <xdr:spPr>
          <a:xfrm flipV="1">
            <a:off x="9176656" y="4534994"/>
            <a:ext cx="420388" cy="74911"/>
          </a:xfrm>
          <a:custGeom>
            <a:avLst/>
            <a:gdLst>
              <a:gd name="connsiteX0" fmla="*/ 75 w 350413"/>
              <a:gd name="connsiteY0" fmla="*/ 43537 h 67392"/>
              <a:gd name="connsiteX1" fmla="*/ 78657 w 350413"/>
              <a:gd name="connsiteY1" fmla="*/ 14962 h 67392"/>
              <a:gd name="connsiteX2" fmla="*/ 162000 w 350413"/>
              <a:gd name="connsiteY2" fmla="*/ 3055 h 67392"/>
              <a:gd name="connsiteX3" fmla="*/ 285825 w 350413"/>
              <a:gd name="connsiteY3" fmla="*/ 5437 h 67392"/>
              <a:gd name="connsiteX4" fmla="*/ 350119 w 350413"/>
              <a:gd name="connsiteY4" fmla="*/ 60205 h 67392"/>
              <a:gd name="connsiteX5" fmla="*/ 262013 w 350413"/>
              <a:gd name="connsiteY5" fmla="*/ 64968 h 67392"/>
              <a:gd name="connsiteX6" fmla="*/ 216769 w 350413"/>
              <a:gd name="connsiteY6" fmla="*/ 43537 h 67392"/>
              <a:gd name="connsiteX7" fmla="*/ 111994 w 350413"/>
              <a:gd name="connsiteY7" fmla="*/ 41155 h 67392"/>
              <a:gd name="connsiteX8" fmla="*/ 64369 w 350413"/>
              <a:gd name="connsiteY8" fmla="*/ 62587 h 67392"/>
              <a:gd name="connsiteX9" fmla="*/ 75 w 350413"/>
              <a:gd name="connsiteY9" fmla="*/ 43537 h 67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50413" h="67392">
                <a:moveTo>
                  <a:pt x="75" y="43537"/>
                </a:moveTo>
                <a:cubicBezTo>
                  <a:pt x="2456" y="35600"/>
                  <a:pt x="51670" y="21709"/>
                  <a:pt x="78657" y="14962"/>
                </a:cubicBezTo>
                <a:cubicBezTo>
                  <a:pt x="105644" y="8215"/>
                  <a:pt x="127472" y="4642"/>
                  <a:pt x="162000" y="3055"/>
                </a:cubicBezTo>
                <a:cubicBezTo>
                  <a:pt x="196528" y="1468"/>
                  <a:pt x="254472" y="-4088"/>
                  <a:pt x="285825" y="5437"/>
                </a:cubicBezTo>
                <a:cubicBezTo>
                  <a:pt x="317178" y="14962"/>
                  <a:pt x="354088" y="50283"/>
                  <a:pt x="350119" y="60205"/>
                </a:cubicBezTo>
                <a:cubicBezTo>
                  <a:pt x="346150" y="70127"/>
                  <a:pt x="284238" y="67746"/>
                  <a:pt x="262013" y="64968"/>
                </a:cubicBezTo>
                <a:cubicBezTo>
                  <a:pt x="239788" y="62190"/>
                  <a:pt x="241772" y="47506"/>
                  <a:pt x="216769" y="43537"/>
                </a:cubicBezTo>
                <a:cubicBezTo>
                  <a:pt x="191766" y="39568"/>
                  <a:pt x="137394" y="37980"/>
                  <a:pt x="111994" y="41155"/>
                </a:cubicBezTo>
                <a:cubicBezTo>
                  <a:pt x="86594" y="44330"/>
                  <a:pt x="76275" y="58618"/>
                  <a:pt x="64369" y="62587"/>
                </a:cubicBezTo>
                <a:cubicBezTo>
                  <a:pt x="52463" y="66556"/>
                  <a:pt x="-2306" y="51474"/>
                  <a:pt x="75" y="43537"/>
                </a:cubicBezTo>
                <a:close/>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3" name="Freihandform 62">
            <a:extLst>
              <a:ext uri="{FF2B5EF4-FFF2-40B4-BE49-F238E27FC236}">
                <a16:creationId xmlns:a16="http://schemas.microsoft.com/office/drawing/2014/main" id="{665A472B-600C-479E-A3F4-A8A27C31CCD5}"/>
              </a:ext>
            </a:extLst>
          </xdr:cNvPr>
          <xdr:cNvSpPr/>
        </xdr:nvSpPr>
        <xdr:spPr>
          <a:xfrm flipV="1">
            <a:off x="9991460" y="4357308"/>
            <a:ext cx="445658" cy="159305"/>
          </a:xfrm>
          <a:custGeom>
            <a:avLst/>
            <a:gdLst>
              <a:gd name="connsiteX0" fmla="*/ 56705 w 368793"/>
              <a:gd name="connsiteY0" fmla="*/ 386 h 141905"/>
              <a:gd name="connsiteX1" fmla="*/ 321024 w 368793"/>
              <a:gd name="connsiteY1" fmla="*/ 24198 h 141905"/>
              <a:gd name="connsiteX2" fmla="*/ 359124 w 368793"/>
              <a:gd name="connsiteY2" fmla="*/ 31342 h 141905"/>
              <a:gd name="connsiteX3" fmla="*/ 368649 w 368793"/>
              <a:gd name="connsiteY3" fmla="*/ 57536 h 141905"/>
              <a:gd name="connsiteX4" fmla="*/ 354361 w 368793"/>
              <a:gd name="connsiteY4" fmla="*/ 121830 h 141905"/>
              <a:gd name="connsiteX5" fmla="*/ 304355 w 368793"/>
              <a:gd name="connsiteY5" fmla="*/ 140880 h 141905"/>
              <a:gd name="connsiteX6" fmla="*/ 135286 w 368793"/>
              <a:gd name="connsiteY6" fmla="*/ 138498 h 141905"/>
              <a:gd name="connsiteX7" fmla="*/ 40036 w 368793"/>
              <a:gd name="connsiteY7" fmla="*/ 131355 h 141905"/>
              <a:gd name="connsiteX8" fmla="*/ 4317 w 368793"/>
              <a:gd name="connsiteY8" fmla="*/ 105161 h 141905"/>
              <a:gd name="connsiteX9" fmla="*/ 1936 w 368793"/>
              <a:gd name="connsiteY9" fmla="*/ 45630 h 141905"/>
              <a:gd name="connsiteX10" fmla="*/ 56705 w 368793"/>
              <a:gd name="connsiteY10" fmla="*/ 386 h 141905"/>
              <a:gd name="connsiteX0" fmla="*/ 56705 w 371477"/>
              <a:gd name="connsiteY0" fmla="*/ 1796 h 143315"/>
              <a:gd name="connsiteX1" fmla="*/ 251967 w 371477"/>
              <a:gd name="connsiteY1" fmla="*/ 11321 h 143315"/>
              <a:gd name="connsiteX2" fmla="*/ 359124 w 371477"/>
              <a:gd name="connsiteY2" fmla="*/ 32752 h 143315"/>
              <a:gd name="connsiteX3" fmla="*/ 368649 w 371477"/>
              <a:gd name="connsiteY3" fmla="*/ 58946 h 143315"/>
              <a:gd name="connsiteX4" fmla="*/ 354361 w 371477"/>
              <a:gd name="connsiteY4" fmla="*/ 123240 h 143315"/>
              <a:gd name="connsiteX5" fmla="*/ 304355 w 371477"/>
              <a:gd name="connsiteY5" fmla="*/ 142290 h 143315"/>
              <a:gd name="connsiteX6" fmla="*/ 135286 w 371477"/>
              <a:gd name="connsiteY6" fmla="*/ 139908 h 143315"/>
              <a:gd name="connsiteX7" fmla="*/ 40036 w 371477"/>
              <a:gd name="connsiteY7" fmla="*/ 132765 h 143315"/>
              <a:gd name="connsiteX8" fmla="*/ 4317 w 371477"/>
              <a:gd name="connsiteY8" fmla="*/ 106571 h 143315"/>
              <a:gd name="connsiteX9" fmla="*/ 1936 w 371477"/>
              <a:gd name="connsiteY9" fmla="*/ 47040 h 143315"/>
              <a:gd name="connsiteX10" fmla="*/ 56705 w 371477"/>
              <a:gd name="connsiteY10" fmla="*/ 1796 h 1433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371477" h="143315">
                <a:moveTo>
                  <a:pt x="56705" y="1796"/>
                </a:moveTo>
                <a:cubicBezTo>
                  <a:pt x="98377" y="-4157"/>
                  <a:pt x="201564" y="6162"/>
                  <a:pt x="251967" y="11321"/>
                </a:cubicBezTo>
                <a:cubicBezTo>
                  <a:pt x="302370" y="16480"/>
                  <a:pt x="339677" y="24815"/>
                  <a:pt x="359124" y="32752"/>
                </a:cubicBezTo>
                <a:cubicBezTo>
                  <a:pt x="378571" y="40689"/>
                  <a:pt x="369443" y="43865"/>
                  <a:pt x="368649" y="58946"/>
                </a:cubicBezTo>
                <a:cubicBezTo>
                  <a:pt x="367855" y="74027"/>
                  <a:pt x="365077" y="109349"/>
                  <a:pt x="354361" y="123240"/>
                </a:cubicBezTo>
                <a:cubicBezTo>
                  <a:pt x="343645" y="137131"/>
                  <a:pt x="340868" y="139512"/>
                  <a:pt x="304355" y="142290"/>
                </a:cubicBezTo>
                <a:cubicBezTo>
                  <a:pt x="267843" y="145068"/>
                  <a:pt x="179339" y="141495"/>
                  <a:pt x="135286" y="139908"/>
                </a:cubicBezTo>
                <a:cubicBezTo>
                  <a:pt x="91233" y="138321"/>
                  <a:pt x="61864" y="138321"/>
                  <a:pt x="40036" y="132765"/>
                </a:cubicBezTo>
                <a:cubicBezTo>
                  <a:pt x="18208" y="127209"/>
                  <a:pt x="10667" y="120859"/>
                  <a:pt x="4317" y="106571"/>
                </a:cubicBezTo>
                <a:cubicBezTo>
                  <a:pt x="-2033" y="92283"/>
                  <a:pt x="-48" y="62518"/>
                  <a:pt x="1936" y="47040"/>
                </a:cubicBezTo>
                <a:cubicBezTo>
                  <a:pt x="3920" y="31562"/>
                  <a:pt x="15033" y="7749"/>
                  <a:pt x="56705" y="1796"/>
                </a:cubicBezTo>
                <a:close/>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4" name="Freihandform 63">
            <a:extLst>
              <a:ext uri="{FF2B5EF4-FFF2-40B4-BE49-F238E27FC236}">
                <a16:creationId xmlns:a16="http://schemas.microsoft.com/office/drawing/2014/main" id="{B188914E-A7A1-46C2-80C4-29E81370D087}"/>
              </a:ext>
            </a:extLst>
          </xdr:cNvPr>
          <xdr:cNvSpPr/>
        </xdr:nvSpPr>
        <xdr:spPr>
          <a:xfrm flipV="1">
            <a:off x="9402431" y="4088461"/>
            <a:ext cx="251396" cy="211754"/>
          </a:xfrm>
          <a:custGeom>
            <a:avLst/>
            <a:gdLst>
              <a:gd name="connsiteX0" fmla="*/ 0 w 209550"/>
              <a:gd name="connsiteY0" fmla="*/ 190500 h 190500"/>
              <a:gd name="connsiteX1" fmla="*/ 76200 w 209550"/>
              <a:gd name="connsiteY1" fmla="*/ 102394 h 190500"/>
              <a:gd name="connsiteX2" fmla="*/ 209550 w 209550"/>
              <a:gd name="connsiteY2" fmla="*/ 0 h 190500"/>
            </a:gdLst>
            <a:ahLst/>
            <a:cxnLst>
              <a:cxn ang="0">
                <a:pos x="connsiteX0" y="connsiteY0"/>
              </a:cxn>
              <a:cxn ang="0">
                <a:pos x="connsiteX1" y="connsiteY1"/>
              </a:cxn>
              <a:cxn ang="0">
                <a:pos x="connsiteX2" y="connsiteY2"/>
              </a:cxn>
            </a:cxnLst>
            <a:rect l="l" t="t" r="r" b="b"/>
            <a:pathLst>
              <a:path w="209550" h="190500">
                <a:moveTo>
                  <a:pt x="0" y="190500"/>
                </a:moveTo>
                <a:cubicBezTo>
                  <a:pt x="20637" y="162322"/>
                  <a:pt x="41275" y="134144"/>
                  <a:pt x="76200" y="102394"/>
                </a:cubicBezTo>
                <a:cubicBezTo>
                  <a:pt x="111125" y="70644"/>
                  <a:pt x="160337" y="35322"/>
                  <a:pt x="209550" y="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5" name="Freihandform 64">
            <a:extLst>
              <a:ext uri="{FF2B5EF4-FFF2-40B4-BE49-F238E27FC236}">
                <a16:creationId xmlns:a16="http://schemas.microsoft.com/office/drawing/2014/main" id="{1EEEA8E9-6432-49BB-AC19-76CB4258EFEA}"/>
              </a:ext>
            </a:extLst>
          </xdr:cNvPr>
          <xdr:cNvSpPr/>
        </xdr:nvSpPr>
        <xdr:spPr>
          <a:xfrm flipV="1">
            <a:off x="9676681" y="4136105"/>
            <a:ext cx="397091" cy="131172"/>
          </a:xfrm>
          <a:custGeom>
            <a:avLst/>
            <a:gdLst>
              <a:gd name="connsiteX0" fmla="*/ 0 w 330994"/>
              <a:gd name="connsiteY0" fmla="*/ 118006 h 118006"/>
              <a:gd name="connsiteX1" fmla="*/ 95250 w 330994"/>
              <a:gd name="connsiteY1" fmla="*/ 29899 h 118006"/>
              <a:gd name="connsiteX2" fmla="*/ 135732 w 330994"/>
              <a:gd name="connsiteY2" fmla="*/ 1324 h 118006"/>
              <a:gd name="connsiteX3" fmla="*/ 252413 w 330994"/>
              <a:gd name="connsiteY3" fmla="*/ 6087 h 118006"/>
              <a:gd name="connsiteX4" fmla="*/ 330994 w 330994"/>
              <a:gd name="connsiteY4" fmla="*/ 17993 h 1180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30994" h="118006">
                <a:moveTo>
                  <a:pt x="0" y="118006"/>
                </a:moveTo>
                <a:cubicBezTo>
                  <a:pt x="36314" y="83676"/>
                  <a:pt x="72628" y="49346"/>
                  <a:pt x="95250" y="29899"/>
                </a:cubicBezTo>
                <a:cubicBezTo>
                  <a:pt x="117872" y="10452"/>
                  <a:pt x="109538" y="5293"/>
                  <a:pt x="135732" y="1324"/>
                </a:cubicBezTo>
                <a:cubicBezTo>
                  <a:pt x="161926" y="-2645"/>
                  <a:pt x="219869" y="3309"/>
                  <a:pt x="252413" y="6087"/>
                </a:cubicBezTo>
                <a:cubicBezTo>
                  <a:pt x="284957" y="8865"/>
                  <a:pt x="307975" y="13429"/>
                  <a:pt x="330994" y="17993"/>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6" name="Freihandform 65">
            <a:extLst>
              <a:ext uri="{FF2B5EF4-FFF2-40B4-BE49-F238E27FC236}">
                <a16:creationId xmlns:a16="http://schemas.microsoft.com/office/drawing/2014/main" id="{BC12DD79-77A0-4513-8247-171198B76E54}"/>
              </a:ext>
            </a:extLst>
          </xdr:cNvPr>
          <xdr:cNvSpPr/>
        </xdr:nvSpPr>
        <xdr:spPr>
          <a:xfrm flipV="1">
            <a:off x="7799783" y="4056698"/>
            <a:ext cx="219971" cy="293809"/>
          </a:xfrm>
          <a:custGeom>
            <a:avLst/>
            <a:gdLst>
              <a:gd name="connsiteX0" fmla="*/ 0 w 183356"/>
              <a:gd name="connsiteY0" fmla="*/ 0 h 264319"/>
              <a:gd name="connsiteX1" fmla="*/ 92869 w 183356"/>
              <a:gd name="connsiteY1" fmla="*/ 116682 h 264319"/>
              <a:gd name="connsiteX2" fmla="*/ 157163 w 183356"/>
              <a:gd name="connsiteY2" fmla="*/ 228600 h 264319"/>
              <a:gd name="connsiteX3" fmla="*/ 183356 w 183356"/>
              <a:gd name="connsiteY3" fmla="*/ 264319 h 264319"/>
            </a:gdLst>
            <a:ahLst/>
            <a:cxnLst>
              <a:cxn ang="0">
                <a:pos x="connsiteX0" y="connsiteY0"/>
              </a:cxn>
              <a:cxn ang="0">
                <a:pos x="connsiteX1" y="connsiteY1"/>
              </a:cxn>
              <a:cxn ang="0">
                <a:pos x="connsiteX2" y="connsiteY2"/>
              </a:cxn>
              <a:cxn ang="0">
                <a:pos x="connsiteX3" y="connsiteY3"/>
              </a:cxn>
            </a:cxnLst>
            <a:rect l="l" t="t" r="r" b="b"/>
            <a:pathLst>
              <a:path w="183356" h="264319">
                <a:moveTo>
                  <a:pt x="0" y="0"/>
                </a:moveTo>
                <a:cubicBezTo>
                  <a:pt x="33337" y="39291"/>
                  <a:pt x="66675" y="78582"/>
                  <a:pt x="92869" y="116682"/>
                </a:cubicBezTo>
                <a:cubicBezTo>
                  <a:pt x="119063" y="154782"/>
                  <a:pt x="142082" y="203994"/>
                  <a:pt x="157163" y="228600"/>
                </a:cubicBezTo>
                <a:cubicBezTo>
                  <a:pt x="172244" y="253206"/>
                  <a:pt x="177800" y="258762"/>
                  <a:pt x="183356" y="264319"/>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67" name="Gerade Verbindung 128">
            <a:extLst>
              <a:ext uri="{FF2B5EF4-FFF2-40B4-BE49-F238E27FC236}">
                <a16:creationId xmlns:a16="http://schemas.microsoft.com/office/drawing/2014/main" id="{193719F0-351E-4A6B-B179-9B459957C325}"/>
              </a:ext>
            </a:extLst>
          </xdr:cNvPr>
          <xdr:cNvCxnSpPr/>
        </xdr:nvCxnSpPr>
        <xdr:spPr>
          <a:xfrm>
            <a:off x="6377112" y="4472265"/>
            <a:ext cx="168549" cy="285868"/>
          </a:xfrm>
          <a:prstGeom prst="line">
            <a:avLst/>
          </a:pr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cxnSp>
      <xdr:sp macro="" textlink="">
        <xdr:nvSpPr>
          <xdr:cNvPr id="68" name="Freihandform 67">
            <a:extLst>
              <a:ext uri="{FF2B5EF4-FFF2-40B4-BE49-F238E27FC236}">
                <a16:creationId xmlns:a16="http://schemas.microsoft.com/office/drawing/2014/main" id="{2EDFF99B-17A6-462E-B231-D5EEF53DFB0F}"/>
              </a:ext>
            </a:extLst>
          </xdr:cNvPr>
          <xdr:cNvSpPr/>
        </xdr:nvSpPr>
        <xdr:spPr>
          <a:xfrm flipV="1">
            <a:off x="3420355" y="3934939"/>
            <a:ext cx="2288272" cy="373217"/>
          </a:xfrm>
          <a:custGeom>
            <a:avLst/>
            <a:gdLst>
              <a:gd name="connsiteX0" fmla="*/ 0 w 1907381"/>
              <a:gd name="connsiteY0" fmla="*/ 335757 h 335757"/>
              <a:gd name="connsiteX1" fmla="*/ 226219 w 1907381"/>
              <a:gd name="connsiteY1" fmla="*/ 259557 h 335757"/>
              <a:gd name="connsiteX2" fmla="*/ 590550 w 1907381"/>
              <a:gd name="connsiteY2" fmla="*/ 171450 h 335757"/>
              <a:gd name="connsiteX3" fmla="*/ 909637 w 1907381"/>
              <a:gd name="connsiteY3" fmla="*/ 109538 h 335757"/>
              <a:gd name="connsiteX4" fmla="*/ 1538287 w 1907381"/>
              <a:gd name="connsiteY4" fmla="*/ 28575 h 335757"/>
              <a:gd name="connsiteX5" fmla="*/ 1907381 w 1907381"/>
              <a:gd name="connsiteY5" fmla="*/ 0 h 3357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907381" h="335757">
                <a:moveTo>
                  <a:pt x="0" y="335757"/>
                </a:moveTo>
                <a:cubicBezTo>
                  <a:pt x="63897" y="311349"/>
                  <a:pt x="127794" y="286941"/>
                  <a:pt x="226219" y="259557"/>
                </a:cubicBezTo>
                <a:cubicBezTo>
                  <a:pt x="324644" y="232173"/>
                  <a:pt x="476647" y="196453"/>
                  <a:pt x="590550" y="171450"/>
                </a:cubicBezTo>
                <a:cubicBezTo>
                  <a:pt x="704453" y="146447"/>
                  <a:pt x="751681" y="133350"/>
                  <a:pt x="909637" y="109538"/>
                </a:cubicBezTo>
                <a:cubicBezTo>
                  <a:pt x="1067593" y="85726"/>
                  <a:pt x="1371996" y="46831"/>
                  <a:pt x="1538287" y="28575"/>
                </a:cubicBezTo>
                <a:cubicBezTo>
                  <a:pt x="1704578" y="10319"/>
                  <a:pt x="1845468" y="5556"/>
                  <a:pt x="1907381" y="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9" name="Freihandform 68">
            <a:extLst>
              <a:ext uri="{FF2B5EF4-FFF2-40B4-BE49-F238E27FC236}">
                <a16:creationId xmlns:a16="http://schemas.microsoft.com/office/drawing/2014/main" id="{A3E9A060-1B1E-4C83-BCCA-390091801588}"/>
              </a:ext>
            </a:extLst>
          </xdr:cNvPr>
          <xdr:cNvSpPr/>
        </xdr:nvSpPr>
        <xdr:spPr>
          <a:xfrm flipV="1">
            <a:off x="3002717" y="2847054"/>
            <a:ext cx="3248698" cy="1792316"/>
          </a:xfrm>
          <a:custGeom>
            <a:avLst/>
            <a:gdLst>
              <a:gd name="connsiteX0" fmla="*/ 2707940 w 2707940"/>
              <a:gd name="connsiteY0" fmla="*/ 5076 h 1612419"/>
              <a:gd name="connsiteX1" fmla="*/ 2295983 w 2707940"/>
              <a:gd name="connsiteY1" fmla="*/ 14601 h 1612419"/>
              <a:gd name="connsiteX2" fmla="*/ 2093577 w 2707940"/>
              <a:gd name="connsiteY2" fmla="*/ 24126 h 1612419"/>
              <a:gd name="connsiteX3" fmla="*/ 2003090 w 2707940"/>
              <a:gd name="connsiteY3" fmla="*/ 2694 h 1612419"/>
              <a:gd name="connsiteX4" fmla="*/ 1881646 w 2707940"/>
              <a:gd name="connsiteY4" fmla="*/ 313 h 1612419"/>
              <a:gd name="connsiteX5" fmla="*/ 824371 w 2707940"/>
              <a:gd name="connsiteY5" fmla="*/ 31269 h 1612419"/>
              <a:gd name="connsiteX6" fmla="*/ 338596 w 2707940"/>
              <a:gd name="connsiteY6" fmla="*/ 300351 h 1612419"/>
              <a:gd name="connsiteX7" fmla="*/ 52846 w 2707940"/>
              <a:gd name="connsiteY7" fmla="*/ 826607 h 1612419"/>
              <a:gd name="connsiteX8" fmla="*/ 7602 w 2707940"/>
              <a:gd name="connsiteY8" fmla="*/ 1314763 h 1612419"/>
              <a:gd name="connsiteX9" fmla="*/ 458 w 2707940"/>
              <a:gd name="connsiteY9" fmla="*/ 1612419 h 1612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707940" h="1612419">
                <a:moveTo>
                  <a:pt x="2707940" y="5076"/>
                </a:moveTo>
                <a:lnTo>
                  <a:pt x="2295983" y="14601"/>
                </a:lnTo>
                <a:cubicBezTo>
                  <a:pt x="2193589" y="17776"/>
                  <a:pt x="2142392" y="26110"/>
                  <a:pt x="2093577" y="24126"/>
                </a:cubicBezTo>
                <a:cubicBezTo>
                  <a:pt x="2044762" y="22142"/>
                  <a:pt x="2038412" y="6663"/>
                  <a:pt x="2003090" y="2694"/>
                </a:cubicBezTo>
                <a:cubicBezTo>
                  <a:pt x="1967768" y="-1275"/>
                  <a:pt x="1881646" y="313"/>
                  <a:pt x="1881646" y="313"/>
                </a:cubicBezTo>
                <a:lnTo>
                  <a:pt x="824371" y="31269"/>
                </a:lnTo>
                <a:cubicBezTo>
                  <a:pt x="567196" y="81275"/>
                  <a:pt x="467183" y="167795"/>
                  <a:pt x="338596" y="300351"/>
                </a:cubicBezTo>
                <a:cubicBezTo>
                  <a:pt x="210008" y="432907"/>
                  <a:pt x="108012" y="657538"/>
                  <a:pt x="52846" y="826607"/>
                </a:cubicBezTo>
                <a:cubicBezTo>
                  <a:pt x="-2320" y="995676"/>
                  <a:pt x="16333" y="1183794"/>
                  <a:pt x="7602" y="1314763"/>
                </a:cubicBezTo>
                <a:cubicBezTo>
                  <a:pt x="-1129" y="1445732"/>
                  <a:pt x="-336" y="1529075"/>
                  <a:pt x="458" y="1612419"/>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0" name="Freihandform 69">
            <a:extLst>
              <a:ext uri="{FF2B5EF4-FFF2-40B4-BE49-F238E27FC236}">
                <a16:creationId xmlns:a16="http://schemas.microsoft.com/office/drawing/2014/main" id="{DD642A36-AB28-48DB-AC97-46167F943CCE}"/>
              </a:ext>
            </a:extLst>
          </xdr:cNvPr>
          <xdr:cNvSpPr/>
        </xdr:nvSpPr>
        <xdr:spPr>
          <a:xfrm flipV="1">
            <a:off x="3186100" y="3596133"/>
            <a:ext cx="941794" cy="835818"/>
          </a:xfrm>
          <a:custGeom>
            <a:avLst/>
            <a:gdLst>
              <a:gd name="connsiteX0" fmla="*/ 0 w 785029"/>
              <a:gd name="connsiteY0" fmla="*/ 751926 h 751926"/>
              <a:gd name="connsiteX1" fmla="*/ 135732 w 785029"/>
              <a:gd name="connsiteY1" fmla="*/ 506657 h 751926"/>
              <a:gd name="connsiteX2" fmla="*/ 290513 w 785029"/>
              <a:gd name="connsiteY2" fmla="*/ 330444 h 751926"/>
              <a:gd name="connsiteX3" fmla="*/ 561975 w 785029"/>
              <a:gd name="connsiteY3" fmla="*/ 128038 h 751926"/>
              <a:gd name="connsiteX4" fmla="*/ 714375 w 785029"/>
              <a:gd name="connsiteY4" fmla="*/ 39932 h 751926"/>
              <a:gd name="connsiteX5" fmla="*/ 781050 w 785029"/>
              <a:gd name="connsiteY5" fmla="*/ 4213 h 751926"/>
              <a:gd name="connsiteX6" fmla="*/ 604838 w 785029"/>
              <a:gd name="connsiteY6" fmla="*/ 13738 h 751926"/>
              <a:gd name="connsiteX7" fmla="*/ 538163 w 785029"/>
              <a:gd name="connsiteY7" fmla="*/ 11357 h 751926"/>
              <a:gd name="connsiteX8" fmla="*/ 502444 w 785029"/>
              <a:gd name="connsiteY8" fmla="*/ 1832 h 751926"/>
              <a:gd name="connsiteX9" fmla="*/ 435769 w 785029"/>
              <a:gd name="connsiteY9" fmla="*/ 1832 h 751926"/>
              <a:gd name="connsiteX10" fmla="*/ 378619 w 785029"/>
              <a:gd name="connsiteY10" fmla="*/ 20882 h 751926"/>
              <a:gd name="connsiteX11" fmla="*/ 264319 w 785029"/>
              <a:gd name="connsiteY11" fmla="*/ 135182 h 751926"/>
              <a:gd name="connsiteX12" fmla="*/ 140494 w 785029"/>
              <a:gd name="connsiteY12" fmla="*/ 313776 h 751926"/>
              <a:gd name="connsiteX13" fmla="*/ 38100 w 785029"/>
              <a:gd name="connsiteY13" fmla="*/ 513801 h 751926"/>
              <a:gd name="connsiteX14" fmla="*/ 28575 w 785029"/>
              <a:gd name="connsiteY14" fmla="*/ 556663 h 751926"/>
              <a:gd name="connsiteX15" fmla="*/ 78582 w 785029"/>
              <a:gd name="connsiteY15" fmla="*/ 549519 h 7519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785029" h="751926">
                <a:moveTo>
                  <a:pt x="0" y="751926"/>
                </a:moveTo>
                <a:cubicBezTo>
                  <a:pt x="43656" y="664415"/>
                  <a:pt x="87313" y="576904"/>
                  <a:pt x="135732" y="506657"/>
                </a:cubicBezTo>
                <a:cubicBezTo>
                  <a:pt x="184151" y="436410"/>
                  <a:pt x="219472" y="393547"/>
                  <a:pt x="290513" y="330444"/>
                </a:cubicBezTo>
                <a:cubicBezTo>
                  <a:pt x="361554" y="267341"/>
                  <a:pt x="491331" y="176457"/>
                  <a:pt x="561975" y="128038"/>
                </a:cubicBezTo>
                <a:cubicBezTo>
                  <a:pt x="632619" y="79619"/>
                  <a:pt x="677863" y="60569"/>
                  <a:pt x="714375" y="39932"/>
                </a:cubicBezTo>
                <a:cubicBezTo>
                  <a:pt x="750888" y="19294"/>
                  <a:pt x="799306" y="8579"/>
                  <a:pt x="781050" y="4213"/>
                </a:cubicBezTo>
                <a:cubicBezTo>
                  <a:pt x="762794" y="-153"/>
                  <a:pt x="645319" y="12547"/>
                  <a:pt x="604838" y="13738"/>
                </a:cubicBezTo>
                <a:cubicBezTo>
                  <a:pt x="564357" y="14929"/>
                  <a:pt x="555229" y="13341"/>
                  <a:pt x="538163" y="11357"/>
                </a:cubicBezTo>
                <a:cubicBezTo>
                  <a:pt x="521097" y="9373"/>
                  <a:pt x="519510" y="3419"/>
                  <a:pt x="502444" y="1832"/>
                </a:cubicBezTo>
                <a:cubicBezTo>
                  <a:pt x="485378" y="245"/>
                  <a:pt x="456407" y="-1343"/>
                  <a:pt x="435769" y="1832"/>
                </a:cubicBezTo>
                <a:cubicBezTo>
                  <a:pt x="415132" y="5007"/>
                  <a:pt x="407194" y="-1343"/>
                  <a:pt x="378619" y="20882"/>
                </a:cubicBezTo>
                <a:cubicBezTo>
                  <a:pt x="350044" y="43107"/>
                  <a:pt x="304007" y="86366"/>
                  <a:pt x="264319" y="135182"/>
                </a:cubicBezTo>
                <a:cubicBezTo>
                  <a:pt x="224632" y="183998"/>
                  <a:pt x="178197" y="250673"/>
                  <a:pt x="140494" y="313776"/>
                </a:cubicBezTo>
                <a:cubicBezTo>
                  <a:pt x="102791" y="376879"/>
                  <a:pt x="56753" y="473320"/>
                  <a:pt x="38100" y="513801"/>
                </a:cubicBezTo>
                <a:cubicBezTo>
                  <a:pt x="19447" y="554282"/>
                  <a:pt x="21828" y="550710"/>
                  <a:pt x="28575" y="556663"/>
                </a:cubicBezTo>
                <a:cubicBezTo>
                  <a:pt x="35322" y="562616"/>
                  <a:pt x="56952" y="556067"/>
                  <a:pt x="78582" y="549519"/>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1" name="Freihandform 70">
            <a:extLst>
              <a:ext uri="{FF2B5EF4-FFF2-40B4-BE49-F238E27FC236}">
                <a16:creationId xmlns:a16="http://schemas.microsoft.com/office/drawing/2014/main" id="{3C04CD14-8CFC-4380-B00D-336DE01E2CDA}"/>
              </a:ext>
            </a:extLst>
          </xdr:cNvPr>
          <xdr:cNvSpPr/>
        </xdr:nvSpPr>
        <xdr:spPr>
          <a:xfrm flipV="1">
            <a:off x="3091827" y="2849701"/>
            <a:ext cx="52256" cy="862897"/>
          </a:xfrm>
          <a:custGeom>
            <a:avLst/>
            <a:gdLst>
              <a:gd name="connsiteX0" fmla="*/ 21431 w 43558"/>
              <a:gd name="connsiteY0" fmla="*/ 776287 h 776287"/>
              <a:gd name="connsiteX1" fmla="*/ 26194 w 43558"/>
              <a:gd name="connsiteY1" fmla="*/ 419100 h 776287"/>
              <a:gd name="connsiteX2" fmla="*/ 42863 w 43558"/>
              <a:gd name="connsiteY2" fmla="*/ 88106 h 776287"/>
              <a:gd name="connsiteX3" fmla="*/ 0 w 43558"/>
              <a:gd name="connsiteY3" fmla="*/ 0 h 776287"/>
            </a:gdLst>
            <a:ahLst/>
            <a:cxnLst>
              <a:cxn ang="0">
                <a:pos x="connsiteX0" y="connsiteY0"/>
              </a:cxn>
              <a:cxn ang="0">
                <a:pos x="connsiteX1" y="connsiteY1"/>
              </a:cxn>
              <a:cxn ang="0">
                <a:pos x="connsiteX2" y="connsiteY2"/>
              </a:cxn>
              <a:cxn ang="0">
                <a:pos x="connsiteX3" y="connsiteY3"/>
              </a:cxn>
            </a:cxnLst>
            <a:rect l="l" t="t" r="r" b="b"/>
            <a:pathLst>
              <a:path w="43558" h="776287">
                <a:moveTo>
                  <a:pt x="21431" y="776287"/>
                </a:moveTo>
                <a:cubicBezTo>
                  <a:pt x="22026" y="655042"/>
                  <a:pt x="22622" y="533797"/>
                  <a:pt x="26194" y="419100"/>
                </a:cubicBezTo>
                <a:cubicBezTo>
                  <a:pt x="29766" y="304403"/>
                  <a:pt x="47229" y="157956"/>
                  <a:pt x="42863" y="88106"/>
                </a:cubicBezTo>
                <a:cubicBezTo>
                  <a:pt x="38497" y="18256"/>
                  <a:pt x="19248" y="9128"/>
                  <a:pt x="0" y="0"/>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2" name="Freihandform 71">
            <a:extLst>
              <a:ext uri="{FF2B5EF4-FFF2-40B4-BE49-F238E27FC236}">
                <a16:creationId xmlns:a16="http://schemas.microsoft.com/office/drawing/2014/main" id="{039AF65E-DCEE-4AF1-8D37-595C63D5A9CA}"/>
              </a:ext>
            </a:extLst>
          </xdr:cNvPr>
          <xdr:cNvSpPr/>
        </xdr:nvSpPr>
        <xdr:spPr>
          <a:xfrm flipV="1">
            <a:off x="5794331" y="4384917"/>
            <a:ext cx="111413" cy="230283"/>
          </a:xfrm>
          <a:custGeom>
            <a:avLst/>
            <a:gdLst>
              <a:gd name="connsiteX0" fmla="*/ 0 w 92868"/>
              <a:gd name="connsiteY0" fmla="*/ 0 h 207169"/>
              <a:gd name="connsiteX1" fmla="*/ 42862 w 92868"/>
              <a:gd name="connsiteY1" fmla="*/ 126207 h 207169"/>
              <a:gd name="connsiteX2" fmla="*/ 92868 w 92868"/>
              <a:gd name="connsiteY2" fmla="*/ 207169 h 207169"/>
            </a:gdLst>
            <a:ahLst/>
            <a:cxnLst>
              <a:cxn ang="0">
                <a:pos x="connsiteX0" y="connsiteY0"/>
              </a:cxn>
              <a:cxn ang="0">
                <a:pos x="connsiteX1" y="connsiteY1"/>
              </a:cxn>
              <a:cxn ang="0">
                <a:pos x="connsiteX2" y="connsiteY2"/>
              </a:cxn>
            </a:cxnLst>
            <a:rect l="l" t="t" r="r" b="b"/>
            <a:pathLst>
              <a:path w="92868" h="207169">
                <a:moveTo>
                  <a:pt x="0" y="0"/>
                </a:moveTo>
                <a:cubicBezTo>
                  <a:pt x="13692" y="45839"/>
                  <a:pt x="27384" y="91679"/>
                  <a:pt x="42862" y="126207"/>
                </a:cubicBezTo>
                <a:cubicBezTo>
                  <a:pt x="58340" y="160735"/>
                  <a:pt x="92868" y="207169"/>
                  <a:pt x="92868" y="207169"/>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3" name="Freihandform 72">
            <a:extLst>
              <a:ext uri="{FF2B5EF4-FFF2-40B4-BE49-F238E27FC236}">
                <a16:creationId xmlns:a16="http://schemas.microsoft.com/office/drawing/2014/main" id="{8A245D28-D7DA-44D1-A5DC-E7CAAF994E82}"/>
              </a:ext>
            </a:extLst>
          </xdr:cNvPr>
          <xdr:cNvSpPr/>
        </xdr:nvSpPr>
        <xdr:spPr>
          <a:xfrm flipV="1">
            <a:off x="9916860" y="2856760"/>
            <a:ext cx="1116786" cy="1099234"/>
          </a:xfrm>
          <a:custGeom>
            <a:avLst/>
            <a:gdLst>
              <a:gd name="connsiteX0" fmla="*/ 114918 w 930893"/>
              <a:gd name="connsiteY0" fmla="*/ 980037 h 986387"/>
              <a:gd name="connsiteX1" fmla="*/ 108568 w 930893"/>
              <a:gd name="connsiteY1" fmla="*/ 729212 h 986387"/>
              <a:gd name="connsiteX2" fmla="*/ 76818 w 930893"/>
              <a:gd name="connsiteY2" fmla="*/ 681587 h 986387"/>
              <a:gd name="connsiteX3" fmla="*/ 60943 w 930893"/>
              <a:gd name="connsiteY3" fmla="*/ 675237 h 986387"/>
              <a:gd name="connsiteX4" fmla="*/ 57768 w 930893"/>
              <a:gd name="connsiteY4" fmla="*/ 618087 h 986387"/>
              <a:gd name="connsiteX5" fmla="*/ 26018 w 930893"/>
              <a:gd name="connsiteY5" fmla="*/ 360912 h 986387"/>
              <a:gd name="connsiteX6" fmla="*/ 618 w 930893"/>
              <a:gd name="connsiteY6" fmla="*/ 164062 h 986387"/>
              <a:gd name="connsiteX7" fmla="*/ 10143 w 930893"/>
              <a:gd name="connsiteY7" fmla="*/ 122787 h 986387"/>
              <a:gd name="connsiteX8" fmla="*/ 35543 w 930893"/>
              <a:gd name="connsiteY8" fmla="*/ 97387 h 986387"/>
              <a:gd name="connsiteX9" fmla="*/ 86343 w 930893"/>
              <a:gd name="connsiteY9" fmla="*/ 87862 h 986387"/>
              <a:gd name="connsiteX10" fmla="*/ 368918 w 930893"/>
              <a:gd name="connsiteY10" fmla="*/ 59287 h 986387"/>
              <a:gd name="connsiteX11" fmla="*/ 740393 w 930893"/>
              <a:gd name="connsiteY11" fmla="*/ 2137 h 986387"/>
              <a:gd name="connsiteX12" fmla="*/ 832468 w 930893"/>
              <a:gd name="connsiteY12" fmla="*/ 141837 h 986387"/>
              <a:gd name="connsiteX13" fmla="*/ 915018 w 930893"/>
              <a:gd name="connsiteY13" fmla="*/ 516487 h 986387"/>
              <a:gd name="connsiteX14" fmla="*/ 927718 w 930893"/>
              <a:gd name="connsiteY14" fmla="*/ 837162 h 986387"/>
              <a:gd name="connsiteX15" fmla="*/ 930893 w 930893"/>
              <a:gd name="connsiteY15" fmla="*/ 986387 h 986387"/>
              <a:gd name="connsiteX0" fmla="*/ 114918 w 930893"/>
              <a:gd name="connsiteY0" fmla="*/ 983130 h 989480"/>
              <a:gd name="connsiteX1" fmla="*/ 108568 w 930893"/>
              <a:gd name="connsiteY1" fmla="*/ 732305 h 989480"/>
              <a:gd name="connsiteX2" fmla="*/ 76818 w 930893"/>
              <a:gd name="connsiteY2" fmla="*/ 684680 h 989480"/>
              <a:gd name="connsiteX3" fmla="*/ 60943 w 930893"/>
              <a:gd name="connsiteY3" fmla="*/ 678330 h 989480"/>
              <a:gd name="connsiteX4" fmla="*/ 57768 w 930893"/>
              <a:gd name="connsiteY4" fmla="*/ 621180 h 989480"/>
              <a:gd name="connsiteX5" fmla="*/ 26018 w 930893"/>
              <a:gd name="connsiteY5" fmla="*/ 364005 h 989480"/>
              <a:gd name="connsiteX6" fmla="*/ 618 w 930893"/>
              <a:gd name="connsiteY6" fmla="*/ 167155 h 989480"/>
              <a:gd name="connsiteX7" fmla="*/ 10143 w 930893"/>
              <a:gd name="connsiteY7" fmla="*/ 125880 h 989480"/>
              <a:gd name="connsiteX8" fmla="*/ 35543 w 930893"/>
              <a:gd name="connsiteY8" fmla="*/ 100480 h 989480"/>
              <a:gd name="connsiteX9" fmla="*/ 86343 w 930893"/>
              <a:gd name="connsiteY9" fmla="*/ 90955 h 989480"/>
              <a:gd name="connsiteX10" fmla="*/ 368918 w 930893"/>
              <a:gd name="connsiteY10" fmla="*/ 62380 h 989480"/>
              <a:gd name="connsiteX11" fmla="*/ 711818 w 930893"/>
              <a:gd name="connsiteY11" fmla="*/ 2055 h 989480"/>
              <a:gd name="connsiteX12" fmla="*/ 832468 w 930893"/>
              <a:gd name="connsiteY12" fmla="*/ 144930 h 989480"/>
              <a:gd name="connsiteX13" fmla="*/ 915018 w 930893"/>
              <a:gd name="connsiteY13" fmla="*/ 519580 h 989480"/>
              <a:gd name="connsiteX14" fmla="*/ 927718 w 930893"/>
              <a:gd name="connsiteY14" fmla="*/ 840255 h 989480"/>
              <a:gd name="connsiteX15" fmla="*/ 930893 w 930893"/>
              <a:gd name="connsiteY15" fmla="*/ 989480 h 989480"/>
              <a:gd name="connsiteX0" fmla="*/ 114918 w 930893"/>
              <a:gd name="connsiteY0" fmla="*/ 981782 h 988132"/>
              <a:gd name="connsiteX1" fmla="*/ 108568 w 930893"/>
              <a:gd name="connsiteY1" fmla="*/ 730957 h 988132"/>
              <a:gd name="connsiteX2" fmla="*/ 76818 w 930893"/>
              <a:gd name="connsiteY2" fmla="*/ 683332 h 988132"/>
              <a:gd name="connsiteX3" fmla="*/ 60943 w 930893"/>
              <a:gd name="connsiteY3" fmla="*/ 676982 h 988132"/>
              <a:gd name="connsiteX4" fmla="*/ 57768 w 930893"/>
              <a:gd name="connsiteY4" fmla="*/ 619832 h 988132"/>
              <a:gd name="connsiteX5" fmla="*/ 26018 w 930893"/>
              <a:gd name="connsiteY5" fmla="*/ 362657 h 988132"/>
              <a:gd name="connsiteX6" fmla="*/ 618 w 930893"/>
              <a:gd name="connsiteY6" fmla="*/ 165807 h 988132"/>
              <a:gd name="connsiteX7" fmla="*/ 10143 w 930893"/>
              <a:gd name="connsiteY7" fmla="*/ 124532 h 988132"/>
              <a:gd name="connsiteX8" fmla="*/ 35543 w 930893"/>
              <a:gd name="connsiteY8" fmla="*/ 99132 h 988132"/>
              <a:gd name="connsiteX9" fmla="*/ 86343 w 930893"/>
              <a:gd name="connsiteY9" fmla="*/ 89607 h 988132"/>
              <a:gd name="connsiteX10" fmla="*/ 368918 w 930893"/>
              <a:gd name="connsiteY10" fmla="*/ 61032 h 988132"/>
              <a:gd name="connsiteX11" fmla="*/ 711818 w 930893"/>
              <a:gd name="connsiteY11" fmla="*/ 707 h 988132"/>
              <a:gd name="connsiteX12" fmla="*/ 819768 w 930893"/>
              <a:gd name="connsiteY12" fmla="*/ 105482 h 988132"/>
              <a:gd name="connsiteX13" fmla="*/ 915018 w 930893"/>
              <a:gd name="connsiteY13" fmla="*/ 518232 h 988132"/>
              <a:gd name="connsiteX14" fmla="*/ 927718 w 930893"/>
              <a:gd name="connsiteY14" fmla="*/ 838907 h 988132"/>
              <a:gd name="connsiteX15" fmla="*/ 930893 w 930893"/>
              <a:gd name="connsiteY15" fmla="*/ 988132 h 988132"/>
              <a:gd name="connsiteX0" fmla="*/ 114918 w 930893"/>
              <a:gd name="connsiteY0" fmla="*/ 982553 h 988903"/>
              <a:gd name="connsiteX1" fmla="*/ 108568 w 930893"/>
              <a:gd name="connsiteY1" fmla="*/ 731728 h 988903"/>
              <a:gd name="connsiteX2" fmla="*/ 76818 w 930893"/>
              <a:gd name="connsiteY2" fmla="*/ 684103 h 988903"/>
              <a:gd name="connsiteX3" fmla="*/ 60943 w 930893"/>
              <a:gd name="connsiteY3" fmla="*/ 677753 h 988903"/>
              <a:gd name="connsiteX4" fmla="*/ 57768 w 930893"/>
              <a:gd name="connsiteY4" fmla="*/ 620603 h 988903"/>
              <a:gd name="connsiteX5" fmla="*/ 26018 w 930893"/>
              <a:gd name="connsiteY5" fmla="*/ 363428 h 988903"/>
              <a:gd name="connsiteX6" fmla="*/ 618 w 930893"/>
              <a:gd name="connsiteY6" fmla="*/ 166578 h 988903"/>
              <a:gd name="connsiteX7" fmla="*/ 10143 w 930893"/>
              <a:gd name="connsiteY7" fmla="*/ 125303 h 988903"/>
              <a:gd name="connsiteX8" fmla="*/ 35543 w 930893"/>
              <a:gd name="connsiteY8" fmla="*/ 99903 h 988903"/>
              <a:gd name="connsiteX9" fmla="*/ 86343 w 930893"/>
              <a:gd name="connsiteY9" fmla="*/ 90378 h 988903"/>
              <a:gd name="connsiteX10" fmla="*/ 368918 w 930893"/>
              <a:gd name="connsiteY10" fmla="*/ 61803 h 988903"/>
              <a:gd name="connsiteX11" fmla="*/ 711818 w 930893"/>
              <a:gd name="connsiteY11" fmla="*/ 1478 h 988903"/>
              <a:gd name="connsiteX12" fmla="*/ 819768 w 930893"/>
              <a:gd name="connsiteY12" fmla="*/ 106253 h 988903"/>
              <a:gd name="connsiteX13" fmla="*/ 915018 w 930893"/>
              <a:gd name="connsiteY13" fmla="*/ 519003 h 988903"/>
              <a:gd name="connsiteX14" fmla="*/ 927718 w 930893"/>
              <a:gd name="connsiteY14" fmla="*/ 839678 h 988903"/>
              <a:gd name="connsiteX15" fmla="*/ 930893 w 930893"/>
              <a:gd name="connsiteY15" fmla="*/ 988903 h 9889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930893" h="988903">
                <a:moveTo>
                  <a:pt x="114918" y="982553"/>
                </a:moveTo>
                <a:cubicBezTo>
                  <a:pt x="114918" y="882011"/>
                  <a:pt x="114918" y="781470"/>
                  <a:pt x="108568" y="731728"/>
                </a:cubicBezTo>
                <a:cubicBezTo>
                  <a:pt x="102218" y="681986"/>
                  <a:pt x="84755" y="693099"/>
                  <a:pt x="76818" y="684103"/>
                </a:cubicBezTo>
                <a:cubicBezTo>
                  <a:pt x="68880" y="675107"/>
                  <a:pt x="64118" y="688336"/>
                  <a:pt x="60943" y="677753"/>
                </a:cubicBezTo>
                <a:cubicBezTo>
                  <a:pt x="57768" y="667170"/>
                  <a:pt x="63589" y="672990"/>
                  <a:pt x="57768" y="620603"/>
                </a:cubicBezTo>
                <a:cubicBezTo>
                  <a:pt x="51947" y="568216"/>
                  <a:pt x="35543" y="439099"/>
                  <a:pt x="26018" y="363428"/>
                </a:cubicBezTo>
                <a:cubicBezTo>
                  <a:pt x="16493" y="287757"/>
                  <a:pt x="3264" y="206265"/>
                  <a:pt x="618" y="166578"/>
                </a:cubicBezTo>
                <a:cubicBezTo>
                  <a:pt x="-2028" y="126891"/>
                  <a:pt x="4322" y="136415"/>
                  <a:pt x="10143" y="125303"/>
                </a:cubicBezTo>
                <a:cubicBezTo>
                  <a:pt x="15964" y="114191"/>
                  <a:pt x="22843" y="105724"/>
                  <a:pt x="35543" y="99903"/>
                </a:cubicBezTo>
                <a:cubicBezTo>
                  <a:pt x="48243" y="94082"/>
                  <a:pt x="30781" y="96728"/>
                  <a:pt x="86343" y="90378"/>
                </a:cubicBezTo>
                <a:cubicBezTo>
                  <a:pt x="141905" y="84028"/>
                  <a:pt x="264672" y="76620"/>
                  <a:pt x="368918" y="61803"/>
                </a:cubicBezTo>
                <a:cubicBezTo>
                  <a:pt x="473164" y="46986"/>
                  <a:pt x="643026" y="9945"/>
                  <a:pt x="711818" y="1478"/>
                </a:cubicBezTo>
                <a:cubicBezTo>
                  <a:pt x="780610" y="-6989"/>
                  <a:pt x="785901" y="19999"/>
                  <a:pt x="819768" y="106253"/>
                </a:cubicBezTo>
                <a:cubicBezTo>
                  <a:pt x="853635" y="192507"/>
                  <a:pt x="897026" y="396766"/>
                  <a:pt x="915018" y="519003"/>
                </a:cubicBezTo>
                <a:cubicBezTo>
                  <a:pt x="933010" y="641240"/>
                  <a:pt x="925072" y="761361"/>
                  <a:pt x="927718" y="839678"/>
                </a:cubicBezTo>
                <a:cubicBezTo>
                  <a:pt x="930364" y="917995"/>
                  <a:pt x="930628" y="953449"/>
                  <a:pt x="930893" y="988903"/>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4" name="Freihandform 73">
            <a:extLst>
              <a:ext uri="{FF2B5EF4-FFF2-40B4-BE49-F238E27FC236}">
                <a16:creationId xmlns:a16="http://schemas.microsoft.com/office/drawing/2014/main" id="{F7D0CD1E-D853-4C5E-AF38-1C5FBED99CBD}"/>
              </a:ext>
            </a:extLst>
          </xdr:cNvPr>
          <xdr:cNvSpPr/>
        </xdr:nvSpPr>
        <xdr:spPr>
          <a:xfrm flipV="1">
            <a:off x="5643874" y="2853230"/>
            <a:ext cx="281868" cy="1323462"/>
          </a:xfrm>
          <a:custGeom>
            <a:avLst/>
            <a:gdLst>
              <a:gd name="connsiteX0" fmla="*/ 234950 w 234950"/>
              <a:gd name="connsiteY0" fmla="*/ 0 h 1190625"/>
              <a:gd name="connsiteX1" fmla="*/ 180975 w 234950"/>
              <a:gd name="connsiteY1" fmla="*/ 50800 h 1190625"/>
              <a:gd name="connsiteX2" fmla="*/ 136525 w 234950"/>
              <a:gd name="connsiteY2" fmla="*/ 149225 h 1190625"/>
              <a:gd name="connsiteX3" fmla="*/ 57150 w 234950"/>
              <a:gd name="connsiteY3" fmla="*/ 520700 h 1190625"/>
              <a:gd name="connsiteX4" fmla="*/ 19050 w 234950"/>
              <a:gd name="connsiteY4" fmla="*/ 815975 h 1190625"/>
              <a:gd name="connsiteX5" fmla="*/ 0 w 234950"/>
              <a:gd name="connsiteY5" fmla="*/ 1190625 h 11906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34950" h="1190625">
                <a:moveTo>
                  <a:pt x="234950" y="0"/>
                </a:moveTo>
                <a:cubicBezTo>
                  <a:pt x="216164" y="12964"/>
                  <a:pt x="197379" y="25929"/>
                  <a:pt x="180975" y="50800"/>
                </a:cubicBezTo>
                <a:cubicBezTo>
                  <a:pt x="164571" y="75671"/>
                  <a:pt x="157162" y="70908"/>
                  <a:pt x="136525" y="149225"/>
                </a:cubicBezTo>
                <a:cubicBezTo>
                  <a:pt x="115888" y="227542"/>
                  <a:pt x="76729" y="409575"/>
                  <a:pt x="57150" y="520700"/>
                </a:cubicBezTo>
                <a:cubicBezTo>
                  <a:pt x="37571" y="631825"/>
                  <a:pt x="28575" y="704321"/>
                  <a:pt x="19050" y="815975"/>
                </a:cubicBezTo>
                <a:cubicBezTo>
                  <a:pt x="9525" y="927629"/>
                  <a:pt x="4233" y="1117600"/>
                  <a:pt x="0" y="1190625"/>
                </a:cubicBezTo>
              </a:path>
            </a:pathLst>
          </a:custGeom>
          <a:noFill/>
          <a:ln w="19050">
            <a:solidFill>
              <a:srgbClr val="604A7B">
                <a:alpha val="60000"/>
              </a:srgb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3</xdr:col>
      <xdr:colOff>68036</xdr:colOff>
      <xdr:row>32</xdr:row>
      <xdr:rowOff>110369</xdr:rowOff>
    </xdr:from>
    <xdr:to>
      <xdr:col>141</xdr:col>
      <xdr:colOff>136071</xdr:colOff>
      <xdr:row>32</xdr:row>
      <xdr:rowOff>110369</xdr:rowOff>
    </xdr:to>
    <xdr:cxnSp macro="">
      <xdr:nvCxnSpPr>
        <xdr:cNvPr id="75" name="Gerader Verbinder 74">
          <a:extLst>
            <a:ext uri="{FF2B5EF4-FFF2-40B4-BE49-F238E27FC236}">
              <a16:creationId xmlns:a16="http://schemas.microsoft.com/office/drawing/2014/main" id="{00000000-0008-0000-0500-00004B000000}"/>
            </a:ext>
          </a:extLst>
        </xdr:cNvPr>
        <xdr:cNvCxnSpPr/>
      </xdr:nvCxnSpPr>
      <xdr:spPr>
        <a:xfrm>
          <a:off x="668111" y="8035169"/>
          <a:ext cx="2799533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97973</xdr:colOff>
      <xdr:row>6</xdr:row>
      <xdr:rowOff>27214</xdr:rowOff>
    </xdr:from>
    <xdr:to>
      <xdr:col>21</xdr:col>
      <xdr:colOff>97973</xdr:colOff>
      <xdr:row>58</xdr:row>
      <xdr:rowOff>138793</xdr:rowOff>
    </xdr:to>
    <xdr:cxnSp macro="">
      <xdr:nvCxnSpPr>
        <xdr:cNvPr id="76" name="Gerader Verbinder 75">
          <a:extLst>
            <a:ext uri="{FF2B5EF4-FFF2-40B4-BE49-F238E27FC236}">
              <a16:creationId xmlns:a16="http://schemas.microsoft.com/office/drawing/2014/main" id="{00000000-0008-0000-0500-00004C000000}"/>
            </a:ext>
          </a:extLst>
        </xdr:cNvPr>
        <xdr:cNvCxnSpPr/>
      </xdr:nvCxnSpPr>
      <xdr:spPr>
        <a:xfrm>
          <a:off x="4612823" y="1513114"/>
          <a:ext cx="0" cy="12989379"/>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195944</xdr:colOff>
      <xdr:row>6</xdr:row>
      <xdr:rowOff>43543</xdr:rowOff>
    </xdr:from>
    <xdr:to>
      <xdr:col>5</xdr:col>
      <xdr:colOff>195944</xdr:colOff>
      <xdr:row>58</xdr:row>
      <xdr:rowOff>155122</xdr:rowOff>
    </xdr:to>
    <xdr:cxnSp macro="">
      <xdr:nvCxnSpPr>
        <xdr:cNvPr id="77" name="Gerader Verbinder 76">
          <a:extLst>
            <a:ext uri="{FF2B5EF4-FFF2-40B4-BE49-F238E27FC236}">
              <a16:creationId xmlns:a16="http://schemas.microsoft.com/office/drawing/2014/main" id="{00000000-0008-0000-0500-00004D000000}"/>
            </a:ext>
          </a:extLst>
        </xdr:cNvPr>
        <xdr:cNvCxnSpPr/>
      </xdr:nvCxnSpPr>
      <xdr:spPr>
        <a:xfrm>
          <a:off x="1196069" y="1529443"/>
          <a:ext cx="0" cy="12989379"/>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137</xdr:col>
      <xdr:colOff>198666</xdr:colOff>
      <xdr:row>6</xdr:row>
      <xdr:rowOff>87086</xdr:rowOff>
    </xdr:from>
    <xdr:to>
      <xdr:col>137</xdr:col>
      <xdr:colOff>198666</xdr:colOff>
      <xdr:row>59</xdr:row>
      <xdr:rowOff>21772</xdr:rowOff>
    </xdr:to>
    <xdr:cxnSp macro="">
      <xdr:nvCxnSpPr>
        <xdr:cNvPr id="78" name="Gerader Verbinder 77">
          <a:extLst>
            <a:ext uri="{FF2B5EF4-FFF2-40B4-BE49-F238E27FC236}">
              <a16:creationId xmlns:a16="http://schemas.microsoft.com/office/drawing/2014/main" id="{00000000-0008-0000-0500-00004E000000}"/>
            </a:ext>
          </a:extLst>
        </xdr:cNvPr>
        <xdr:cNvCxnSpPr/>
      </xdr:nvCxnSpPr>
      <xdr:spPr>
        <a:xfrm>
          <a:off x="27925941" y="1572986"/>
          <a:ext cx="0" cy="13060136"/>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114</xdr:col>
      <xdr:colOff>47625</xdr:colOff>
      <xdr:row>1</xdr:row>
      <xdr:rowOff>56298</xdr:rowOff>
    </xdr:from>
    <xdr:to>
      <xdr:col>123</xdr:col>
      <xdr:colOff>127328</xdr:colOff>
      <xdr:row>3</xdr:row>
      <xdr:rowOff>68563</xdr:rowOff>
    </xdr:to>
    <xdr:pic>
      <xdr:nvPicPr>
        <xdr:cNvPr id="79" name="Grafik 78">
          <a:extLst>
            <a:ext uri="{FF2B5EF4-FFF2-40B4-BE49-F238E27FC236}">
              <a16:creationId xmlns:a16="http://schemas.microsoft.com/office/drawing/2014/main" id="{48E1C126-79DD-43A5-AAA2-98F95F5AA0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288500" y="294423"/>
          <a:ext cx="1794203" cy="488515"/>
        </a:xfrm>
        <a:prstGeom prst="rect">
          <a:avLst/>
        </a:prstGeom>
      </xdr:spPr>
    </xdr:pic>
    <xdr:clientData/>
  </xdr:twoCellAnchor>
  <xdr:oneCellAnchor>
    <xdr:from>
      <xdr:col>123</xdr:col>
      <xdr:colOff>173291</xdr:colOff>
      <xdr:row>1</xdr:row>
      <xdr:rowOff>0</xdr:rowOff>
    </xdr:from>
    <xdr:ext cx="2401417" cy="789735"/>
    <xdr:pic>
      <xdr:nvPicPr>
        <xdr:cNvPr id="80" name="Grafik 79">
          <a:extLst>
            <a:ext uri="{FF2B5EF4-FFF2-40B4-BE49-F238E27FC236}">
              <a16:creationId xmlns:a16="http://schemas.microsoft.com/office/drawing/2014/main" id="{1922A1C2-0BE1-4401-A32A-5F842540B651}"/>
            </a:ext>
            <a:ext uri="{147F2762-F138-4A5C-976F-8EAC2B608ADB}">
              <a16:predDERef xmlns:a16="http://schemas.microsoft.com/office/drawing/2014/main" pred="{9822C4D0-ADE8-4593-889F-A15CB1550BFD}"/>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4128666" y="238125"/>
          <a:ext cx="2401417" cy="789735"/>
        </a:xfrm>
        <a:prstGeom prst="rect">
          <a:avLst/>
        </a:prstGeom>
      </xdr:spPr>
    </xdr:pic>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03067E02-8CD4-46E4-B412-56756B6D0D30}"/>
  <namedSheetView name="Ansicht2" id="{148E88BE-66B7-44E6-82FB-C52149214FED}"/>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gueira, Pedro" refreshedDate="45964.719072685184" createdVersion="6" refreshedVersion="8" minRefreshableVersion="3" recordCount="2869" xr:uid="{00000000-000A-0000-FFFF-FFFF00000000}">
  <cacheSource type="worksheet">
    <worksheetSource ref="A9:AA2878" sheet="Components Pins List"/>
  </cacheSource>
  <cacheFields count="27">
    <cacheField name="Index" numFmtId="0">
      <sharedItems containsMixedTypes="1" containsNumber="1" containsInteger="1" minValue="1" maxValue="10100" count="920">
        <n v="1"/>
        <n v="8"/>
        <n v="9"/>
        <n v="30"/>
        <n v="33"/>
        <n v="34"/>
        <n v="35"/>
        <n v="36"/>
        <n v="37"/>
        <n v="38"/>
        <n v="39"/>
        <n v="40"/>
        <n v="42"/>
        <n v="45"/>
        <n v="48"/>
        <n v="49"/>
        <n v="52"/>
        <n v="53"/>
        <n v="65"/>
        <n v="66"/>
        <n v="80"/>
        <n v="81"/>
        <n v="83"/>
        <n v="88"/>
        <n v="89"/>
        <n v="90"/>
        <n v="92"/>
        <n v="93"/>
        <n v="94"/>
        <n v="95"/>
        <n v="96"/>
        <n v="97"/>
        <n v="98"/>
        <n v="99"/>
        <n v="101"/>
        <n v="110"/>
        <n v="111"/>
        <n v="120"/>
        <n v="124"/>
        <n v="125"/>
        <n v="126"/>
        <n v="127"/>
        <n v="153"/>
        <n v="154"/>
        <n v="155"/>
        <n v="156"/>
        <n v="157"/>
        <n v="160"/>
        <n v="161"/>
        <n v="162"/>
        <n v="175"/>
        <n v="209"/>
        <n v="210"/>
        <n v="214"/>
        <n v="215"/>
        <n v="216"/>
        <n v="217"/>
        <n v="218"/>
        <n v="220"/>
        <n v="222"/>
        <n v="224"/>
        <n v="225"/>
        <n v="242"/>
        <n v="243"/>
        <n v="249"/>
        <n v="250"/>
        <n v="251"/>
        <n v="253"/>
        <n v="259"/>
        <n v="262"/>
        <n v="265"/>
        <n v="268"/>
        <n v="275"/>
        <n v="341"/>
        <n v="342"/>
        <n v="352"/>
        <n v="353"/>
        <n v="356"/>
        <n v="369"/>
        <n v="371"/>
        <n v="384"/>
        <n v="385"/>
        <n v="387"/>
        <n v="389"/>
        <n v="392"/>
        <n v="393"/>
        <n v="395"/>
        <n v="396"/>
        <n v="397"/>
        <n v="398"/>
        <n v="402"/>
        <n v="403"/>
        <n v="405"/>
        <n v="406"/>
        <n v="407"/>
        <n v="408"/>
        <n v="415"/>
        <n v="416"/>
        <n v="417"/>
        <n v="418"/>
        <n v="419"/>
        <n v="420"/>
        <n v="422"/>
        <n v="424"/>
        <n v="489"/>
        <n v="490"/>
        <n v="491"/>
        <n v="508"/>
        <n v="509"/>
        <n v="517"/>
        <n v="518"/>
        <n v="519"/>
        <n v="523"/>
        <n v="525"/>
        <n v="526"/>
        <n v="527"/>
        <n v="528"/>
        <n v="530"/>
        <n v="531"/>
        <n v="535"/>
        <n v="537"/>
        <n v="538"/>
        <n v="550"/>
        <n v="703"/>
        <n v="712"/>
        <n v="724"/>
        <n v="728"/>
        <n v="729"/>
        <n v="732"/>
        <n v="735"/>
        <n v="736"/>
        <n v="737"/>
        <n v="738"/>
        <n v="739"/>
        <n v="740"/>
        <n v="742"/>
        <n v="743"/>
        <n v="746"/>
        <n v="747"/>
        <n v="748"/>
        <n v="749"/>
        <n v="750"/>
        <n v="751"/>
        <n v="752"/>
        <n v="756"/>
        <n v="757"/>
        <n v="764"/>
        <n v="765"/>
        <n v="769"/>
        <n v="780"/>
        <n v="782"/>
        <n v="785"/>
        <n v="786"/>
        <n v="788"/>
        <n v="789"/>
        <n v="791"/>
        <n v="792"/>
        <n v="793"/>
        <n v="794"/>
        <n v="795"/>
        <n v="796"/>
        <n v="797"/>
        <n v="820"/>
        <n v="822"/>
        <n v="827"/>
        <n v="828"/>
        <n v="829"/>
        <n v="831"/>
        <n v="832"/>
        <n v="833"/>
        <n v="845"/>
        <n v="846"/>
        <n v="1006"/>
        <n v="1011"/>
        <n v="1041"/>
        <n v="1042"/>
        <n v="1061"/>
        <n v="1068"/>
        <n v="1072"/>
        <n v="1073"/>
        <n v="1082"/>
        <n v="1083"/>
        <n v="1084"/>
        <n v="1085"/>
        <n v="1090"/>
        <n v="1091"/>
        <n v="1135"/>
        <n v="1137"/>
        <n v="1138"/>
        <n v="1139"/>
        <n v="1157"/>
        <n v="1158"/>
        <n v="1165"/>
        <n v="1166"/>
        <n v="1173"/>
        <n v="1175"/>
        <n v="1185"/>
        <n v="1196"/>
        <n v="1207"/>
        <n v="1213"/>
        <n v="1222"/>
        <n v="1223"/>
        <n v="1224"/>
        <n v="1229"/>
        <n v="1230"/>
        <n v="1232"/>
        <n v="1234"/>
        <n v="1240"/>
        <n v="1242"/>
        <n v="2000"/>
        <n v="2001"/>
        <n v="2002"/>
        <n v="2004"/>
        <n v="2005"/>
        <n v="2007"/>
        <n v="2008"/>
        <n v="2011"/>
        <n v="2012"/>
        <n v="2013"/>
        <n v="2014"/>
        <n v="2015"/>
        <n v="2016"/>
        <n v="2017"/>
        <n v="2018"/>
        <n v="2019"/>
        <n v="2020"/>
        <n v="2021"/>
        <n v="2022"/>
        <n v="2023"/>
        <n v="2024"/>
        <n v="2025"/>
        <n v="2026"/>
        <n v="2027"/>
        <n v="2028"/>
        <n v="2029"/>
        <n v="2030"/>
        <n v="2031"/>
        <n v="2032"/>
        <n v="2033"/>
        <n v="2100"/>
        <n v="3121"/>
        <n v="3143"/>
        <n v="3186"/>
        <n v="3191"/>
        <n v="3210"/>
        <n v="3211"/>
        <n v="3212"/>
        <n v="3213"/>
        <n v="3214"/>
        <n v="3215"/>
        <n v="3216"/>
        <n v="3217"/>
        <n v="3218"/>
        <n v="3219"/>
        <n v="3220"/>
        <n v="3221"/>
        <n v="3222"/>
        <n v="3223"/>
        <n v="3224"/>
        <n v="3225"/>
        <n v="3226"/>
        <n v="3227"/>
        <n v="3228"/>
        <n v="3229"/>
        <n v="3230"/>
        <n v="3231"/>
        <n v="3232"/>
        <n v="3233"/>
        <n v="3234"/>
        <n v="3235"/>
        <n v="3236"/>
        <n v="3237"/>
        <n v="3238"/>
        <n v="3240"/>
        <n v="3241"/>
        <n v="3350"/>
        <n v="4005"/>
        <n v="4007"/>
        <n v="4008"/>
        <n v="4009"/>
        <n v="4011"/>
        <n v="4016"/>
        <n v="4019"/>
        <n v="4020"/>
        <n v="4021"/>
        <n v="4022"/>
        <n v="4023"/>
        <n v="4024"/>
        <n v="4025"/>
        <n v="4026"/>
        <n v="4027"/>
        <n v="4030"/>
        <n v="4031"/>
        <n v="4032"/>
        <n v="4033"/>
        <n v="4034"/>
        <n v="4036"/>
        <n v="4037"/>
        <n v="4039"/>
        <n v="4040"/>
        <n v="4041"/>
        <n v="4051"/>
        <n v="4052"/>
        <n v="4053"/>
        <n v="4054"/>
        <n v="4055"/>
        <n v="4056"/>
        <n v="4057"/>
        <n v="4058"/>
        <n v="4059"/>
        <n v="4060"/>
        <n v="4064"/>
        <n v="4067"/>
        <n v="4069"/>
        <n v="4070"/>
        <n v="4071"/>
        <n v="4072"/>
        <n v="4075"/>
        <n v="4076"/>
        <n v="4077"/>
        <n v="4079"/>
        <n v="4080"/>
        <n v="4081"/>
        <n v="4084"/>
        <n v="4085"/>
        <n v="4086"/>
        <n v="4087"/>
        <n v="4088"/>
        <n v="4089"/>
        <n v="4090"/>
        <n v="4091"/>
        <n v="4092"/>
        <n v="4094"/>
        <n v="4097"/>
        <n v="4099"/>
        <n v="4102"/>
        <n v="4103"/>
        <n v="4104"/>
        <n v="4105"/>
        <n v="4109"/>
        <n v="4118"/>
        <n v="4119"/>
        <n v="4120"/>
        <n v="4121"/>
        <n v="4126"/>
        <n v="4129"/>
        <n v="4130"/>
        <n v="4131"/>
        <n v="4132"/>
        <n v="4133"/>
        <n v="4135"/>
        <n v="4139"/>
        <n v="4141"/>
        <n v="4142"/>
        <n v="4143"/>
        <n v="4144"/>
        <n v="4147"/>
        <n v="4150"/>
        <n v="4152"/>
        <n v="4155"/>
        <n v="4158"/>
        <n v="4159"/>
        <n v="4160"/>
        <n v="4161"/>
        <n v="4162"/>
        <n v="4163"/>
        <n v="4164"/>
        <n v="4165"/>
        <n v="4166"/>
        <n v="4167"/>
        <n v="4168"/>
        <n v="4169"/>
        <n v="4171"/>
        <n v="4172"/>
        <n v="4173"/>
        <n v="4174"/>
        <n v="4187"/>
        <n v="4188"/>
        <n v="4189"/>
        <n v="4191"/>
        <n v="4194"/>
        <n v="4196"/>
        <n v="4197"/>
        <n v="4198"/>
        <n v="4212"/>
        <n v="4213"/>
        <n v="4233"/>
        <n v="4238"/>
        <n v="4239"/>
        <n v="4243"/>
        <n v="4244"/>
        <n v="4245"/>
        <n v="4246"/>
        <n v="4247"/>
        <n v="4248"/>
        <n v="4249"/>
        <n v="4250"/>
        <n v="4254"/>
        <n v="4267"/>
        <n v="4268"/>
        <n v="4272"/>
        <n v="4273"/>
        <n v="4275"/>
        <n v="4276"/>
        <n v="4277"/>
        <n v="4278"/>
        <n v="4279"/>
        <n v="4280"/>
        <n v="4281"/>
        <n v="4282"/>
        <n v="4284"/>
        <n v="4285"/>
        <n v="4286"/>
        <n v="4288"/>
        <n v="4289"/>
        <n v="4290"/>
        <n v="4292"/>
        <n v="4293"/>
        <n v="4294"/>
        <n v="4295"/>
        <n v="4296"/>
        <n v="4297"/>
        <n v="4299"/>
        <n v="4304"/>
        <n v="4305"/>
        <n v="4306"/>
        <n v="4307"/>
        <n v="4308"/>
        <n v="4309"/>
        <n v="4311"/>
        <n v="4312"/>
        <n v="4313"/>
        <n v="4316"/>
        <n v="4317"/>
        <n v="4318"/>
        <n v="4319"/>
        <n v="4320"/>
        <n v="4322"/>
        <n v="4323"/>
        <n v="4324"/>
        <n v="4325"/>
        <n v="4326"/>
        <n v="4327"/>
        <n v="4328"/>
        <n v="4346"/>
        <n v="4347"/>
        <n v="4348"/>
        <n v="4354"/>
        <n v="4355"/>
        <n v="4356"/>
        <n v="4358"/>
        <n v="4359"/>
        <n v="4360"/>
        <n v="4361"/>
        <n v="4373"/>
        <n v="4395"/>
        <n v="4402"/>
        <n v="4488"/>
        <n v="4489"/>
        <n v="4490"/>
        <n v="4491"/>
        <n v="4492"/>
        <n v="4493"/>
        <n v="4494"/>
        <n v="4495"/>
        <n v="4496"/>
        <n v="4497"/>
        <n v="4498"/>
        <n v="4500"/>
        <n v="4501"/>
        <n v="4502"/>
        <n v="4503"/>
        <n v="4505"/>
        <n v="4506"/>
        <n v="4507"/>
        <n v="4509"/>
        <n v="4510"/>
        <n v="4511"/>
        <n v="4512"/>
        <n v="4513"/>
        <n v="4514"/>
        <n v="4515"/>
        <n v="4516"/>
        <n v="4517"/>
        <n v="4527"/>
        <n v="4528"/>
        <n v="4529"/>
        <n v="4532"/>
        <n v="4533"/>
        <n v="4535"/>
        <n v="4537"/>
        <n v="4538"/>
        <n v="4542"/>
        <n v="4543"/>
        <n v="4546"/>
        <n v="4547"/>
        <n v="4548"/>
        <n v="4549"/>
        <n v="4550"/>
        <n v="4551"/>
        <n v="4553"/>
        <n v="4555"/>
        <n v="4556"/>
        <n v="4557"/>
        <n v="4558"/>
        <n v="4559"/>
        <n v="4563"/>
        <n v="4566"/>
        <n v="4570"/>
        <n v="4571"/>
        <n v="4572"/>
        <n v="4573"/>
        <n v="4574"/>
        <n v="4575"/>
        <n v="4576"/>
        <n v="4577"/>
        <n v="4578"/>
        <n v="4579"/>
        <n v="4580"/>
        <n v="4581"/>
        <n v="4582"/>
        <n v="4583"/>
        <n v="4584"/>
        <n v="4585"/>
        <n v="4586"/>
        <n v="4587"/>
        <n v="4588"/>
        <n v="4589"/>
        <n v="4590"/>
        <n v="4591"/>
        <n v="4592"/>
        <n v="4593"/>
        <n v="4594"/>
        <n v="4595"/>
        <n v="4596"/>
        <n v="4597"/>
        <n v="4598"/>
        <n v="4599"/>
        <n v="4601"/>
        <n v="4602"/>
        <n v="4603"/>
        <n v="4604"/>
        <n v="4605"/>
        <n v="4606"/>
        <n v="4607"/>
        <n v="4608"/>
        <n v="5018"/>
        <n v="5019"/>
        <n v="5042"/>
        <n v="5116"/>
        <n v="5117"/>
        <n v="5120"/>
        <n v="5132"/>
        <n v="5133"/>
        <n v="5141"/>
        <n v="5145"/>
        <n v="5206"/>
        <n v="5208"/>
        <n v="5210"/>
        <n v="5285"/>
        <n v="5355"/>
        <n v="5377"/>
        <n v="5389"/>
        <n v="5409"/>
        <n v="6000"/>
        <n v="6011"/>
        <n v="6013"/>
        <n v="6030"/>
        <n v="6031"/>
        <n v="6036"/>
        <n v="6037"/>
        <n v="6038"/>
        <n v="6039"/>
        <n v="6040"/>
        <n v="6041"/>
        <n v="6042"/>
        <n v="6043"/>
        <n v="6044"/>
        <n v="6045"/>
        <n v="6046"/>
        <n v="6047"/>
        <n v="6048"/>
        <n v="6049"/>
        <n v="6050"/>
        <n v="6051"/>
        <n v="6052"/>
        <n v="6053"/>
        <n v="6054"/>
        <n v="6055"/>
        <n v="6056"/>
        <n v="6057"/>
        <n v="6058"/>
        <n v="6059"/>
        <n v="6060"/>
        <n v="6061"/>
        <n v="6062"/>
        <n v="6063"/>
        <n v="6064"/>
        <n v="6065"/>
        <n v="6067"/>
        <n v="6068"/>
        <n v="6069"/>
        <n v="6070"/>
        <n v="6071"/>
        <n v="6072"/>
        <n v="6080"/>
        <n v="6081"/>
        <n v="6082"/>
        <n v="6083"/>
        <n v="6090"/>
        <n v="6091"/>
        <n v="6092"/>
        <n v="6093"/>
        <n v="6094"/>
        <n v="6095"/>
        <n v="6096"/>
        <n v="6097"/>
        <n v="6100"/>
        <n v="6103"/>
        <n v="6106"/>
        <n v="6109"/>
        <n v="6112"/>
        <n v="6115"/>
        <n v="6116"/>
        <n v="6117"/>
        <n v="6118"/>
        <n v="6129"/>
        <n v="6130"/>
        <n v="6131"/>
        <n v="6132"/>
        <n v="6133"/>
        <n v="6134"/>
        <n v="6135"/>
        <n v="6136"/>
        <n v="6137"/>
        <n v="6138"/>
        <n v="6139"/>
        <n v="6140"/>
        <n v="6141"/>
        <n v="6142"/>
        <n v="6143"/>
        <n v="6144"/>
        <n v="6145"/>
        <n v="6146"/>
        <n v="6147"/>
        <n v="6148"/>
        <n v="6160"/>
        <n v="6161"/>
        <n v="6162"/>
        <n v="6163"/>
        <n v="6200"/>
        <n v="6201"/>
        <n v="6202"/>
        <n v="6203"/>
        <n v="6204"/>
        <n v="6205"/>
        <n v="6206"/>
        <n v="6207"/>
        <n v="6208"/>
        <n v="6209"/>
        <n v="6210"/>
        <n v="6211"/>
        <n v="6212"/>
        <n v="6220"/>
        <n v="6221"/>
        <n v="6222"/>
        <n v="6537"/>
        <n v="6538"/>
        <n v="7000"/>
        <n v="7001"/>
        <n v="7002"/>
        <n v="7005"/>
        <n v="7006"/>
        <n v="7008"/>
        <n v="7012"/>
        <n v="7013"/>
        <n v="7014"/>
        <n v="7015"/>
        <n v="7016"/>
        <n v="7017"/>
        <n v="7020"/>
        <n v="7022"/>
        <n v="7023"/>
        <n v="7024"/>
        <n v="7025"/>
        <n v="7026"/>
        <n v="7027"/>
        <n v="7028"/>
        <n v="7029"/>
        <n v="7030"/>
        <n v="7031"/>
        <n v="7032"/>
        <n v="7033"/>
        <n v="7035"/>
        <n v="7036"/>
        <n v="7037"/>
        <n v="7038"/>
        <n v="7045"/>
        <n v="7046"/>
        <n v="7047"/>
        <n v="7048"/>
        <n v="7050"/>
        <n v="7051"/>
        <n v="7052"/>
        <n v="7053"/>
        <n v="7054"/>
        <n v="7055"/>
        <n v="7056"/>
        <n v="7057"/>
        <n v="7058"/>
        <n v="7059"/>
        <n v="7060"/>
        <n v="7061"/>
        <n v="7062"/>
        <n v="7064"/>
        <n v="7065"/>
        <n v="7066"/>
        <n v="7067"/>
        <n v="8000"/>
        <n v="8001"/>
        <n v="8002"/>
        <n v="8003"/>
        <n v="8004"/>
        <n v="9001"/>
        <n v="9002"/>
        <n v="9006"/>
        <n v="9007"/>
        <n v="9011"/>
        <n v="9015"/>
        <n v="9016"/>
        <n v="9017"/>
        <n v="9018"/>
        <n v="9031"/>
        <n v="9032"/>
        <n v="9033"/>
        <n v="9034"/>
        <n v="9037"/>
        <n v="9043"/>
        <n v="9045"/>
        <n v="9047"/>
        <n v="9048"/>
        <n v="9052"/>
        <n v="9058"/>
        <n v="9059"/>
        <n v="9065"/>
        <n v="9066"/>
        <n v="9067"/>
        <n v="9068"/>
        <n v="9069"/>
        <n v="9070"/>
        <n v="9075"/>
        <n v="9079"/>
        <n v="9080"/>
        <n v="9108"/>
        <n v="9109"/>
        <n v="9121"/>
        <n v="9122"/>
        <n v="9123"/>
        <n v="9124"/>
        <n v="9125"/>
        <n v="9126"/>
        <n v="9133"/>
        <n v="9135"/>
        <n v="9136"/>
        <n v="9160"/>
        <n v="9161"/>
        <n v="9162"/>
        <n v="9163"/>
        <n v="9164"/>
        <n v="9165"/>
        <n v="9167"/>
        <n v="9169"/>
        <n v="9177"/>
        <n v="9178"/>
        <n v="9181"/>
        <n v="9182"/>
        <n v="9183"/>
        <n v="9185"/>
        <n v="9187"/>
        <n v="9188"/>
        <n v="9189"/>
        <n v="9195"/>
        <n v="9196"/>
        <n v="9197"/>
        <n v="9201"/>
        <n v="9202"/>
        <n v="9203"/>
        <n v="9204"/>
        <n v="9205"/>
        <n v="9206"/>
        <n v="9207"/>
        <n v="9208"/>
        <n v="9210"/>
        <n v="9211"/>
        <n v="9212"/>
        <n v="9213"/>
        <n v="9214"/>
        <n v="9215"/>
        <n v="9217"/>
        <n v="9218"/>
        <n v="9250"/>
        <n v="9251"/>
        <n v="9253"/>
        <n v="9254"/>
        <n v="9255"/>
        <n v="9256"/>
        <n v="9260"/>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4"/>
        <n v="10045"/>
        <n v="10046"/>
        <n v="10047"/>
        <n v="10048"/>
        <n v="10049"/>
        <n v="10050"/>
        <n v="10051"/>
        <n v="10053"/>
        <n v="10054"/>
        <n v="10055"/>
        <n v="10056"/>
        <n v="10060"/>
        <n v="10061"/>
        <n v="10064"/>
        <n v="10065"/>
        <n v="10100"/>
        <s v="3121-1"/>
        <s v="4067-1"/>
        <s v="4071-1"/>
        <s v="4498-1"/>
        <s v="4498-2"/>
        <s v="4535-1"/>
        <s v="4535-2"/>
        <s v="4535-3"/>
        <n v="4195" u="1"/>
        <n v="4321" u="1"/>
        <n v="9184" u="1"/>
        <n v="91" u="1"/>
        <n v="252" u="1"/>
        <n v="260" u="1"/>
        <n v="261" u="1"/>
        <n v="4564" u="1"/>
        <n v="5135" u="1"/>
        <n v="4562" u="1"/>
        <n v="6098" u="1"/>
        <n v="6099" u="1"/>
        <n v="2009" u="1"/>
        <n v="2010" u="1"/>
        <n v="6154" u="1"/>
        <n v="4287" u="1"/>
        <n v="4291" u="1"/>
        <n v="4017" u="1"/>
        <n v="4018" u="1"/>
        <n v="779" u="1"/>
        <n v="1086" u="1"/>
        <n v="1087" u="1"/>
        <n v="529" u="1"/>
        <n v="783" u="1"/>
        <n v="1012" u="1"/>
        <n v="1017" u="1"/>
        <n v="1020" u="1"/>
        <n v="1027" u="1"/>
        <n v="1051" u="1"/>
        <n v="1057" u="1"/>
        <n v="1069" u="1"/>
        <n v="4508" u="1"/>
        <n v="7044" u="1"/>
        <n v="9064" u="1"/>
        <n v="9180" u="1"/>
        <n v="487" u="1"/>
        <n v="4519" u="1"/>
        <n v="10002" u="1"/>
        <n v="4520" u="1"/>
        <n v="198" u="1"/>
        <n v="4561" u="1"/>
        <n v="199" u="1"/>
        <n v="9014" u="1"/>
        <n v="4522" u="1"/>
        <n v="100" u="1"/>
        <n v="4524" u="1"/>
        <n v="10043" u="1"/>
        <n v="4525" u="1"/>
      </sharedItems>
    </cacheField>
    <cacheField name="Domain" numFmtId="0">
      <sharedItems containsBlank="1"/>
    </cacheField>
    <cacheField name="Sub-Domain" numFmtId="0">
      <sharedItems containsBlank="1"/>
    </cacheField>
    <cacheField name="Feature ID" numFmtId="0">
      <sharedItems containsBlank="1"/>
    </cacheField>
    <cacheField name="Feature Name" numFmtId="0">
      <sharedItems containsBlank="1"/>
    </cacheField>
    <cacheField name="ASIL" numFmtId="0">
      <sharedItems containsBlank="1"/>
    </cacheField>
    <cacheField name="Domain2" numFmtId="0">
      <sharedItems/>
    </cacheField>
    <cacheField name="Sub-Domain2" numFmtId="0">
      <sharedItems containsBlank="1"/>
    </cacheField>
    <cacheField name="Function" numFmtId="0">
      <sharedItems containsBlank="1"/>
    </cacheField>
    <cacheField name="Variant" numFmtId="0">
      <sharedItems containsBlank="1"/>
    </cacheField>
    <cacheField name="Type" numFmtId="0">
      <sharedItems containsBlank="1"/>
    </cacheField>
    <cacheField name="Description" numFmtId="0">
      <sharedItems/>
    </cacheField>
    <cacheField name="Description + Function" numFmtId="0">
      <sharedItems/>
    </cacheField>
    <cacheField name="Data Rate" numFmtId="0">
      <sharedItems containsNonDate="0" containsString="0" containsBlank="1"/>
    </cacheField>
    <cacheField name="FIT-Rate" numFmtId="0">
      <sharedItems containsBlank="1"/>
    </cacheField>
    <cacheField name="Coordinate" numFmtId="0">
      <sharedItems containsBlank="1"/>
    </cacheField>
    <cacheField name="Supplier" numFmtId="0">
      <sharedItems containsBlank="1"/>
    </cacheField>
    <cacheField name="Part Number" numFmtId="0">
      <sharedItems containsBlank="1"/>
    </cacheField>
    <cacheField name="Description2" numFmtId="0">
      <sharedItems containsBlank="1"/>
    </cacheField>
    <cacheField name="48V Compatible?" numFmtId="0">
      <sharedItems containsBlank="1"/>
    </cacheField>
    <cacheField name="Low" numFmtId="0">
      <sharedItems containsBlank="1"/>
    </cacheField>
    <cacheField name="Mid" numFmtId="0">
      <sharedItems containsBlank="1"/>
    </cacheField>
    <cacheField name="High" numFmtId="0">
      <sharedItems containsBlank="1"/>
    </cacheField>
    <cacheField name="City Idle Traffic" numFmtId="9">
      <sharedItems containsString="0" containsBlank="1" containsNumber="1" minValue="0" maxValue="1"/>
    </cacheField>
    <cacheField name="Highway Traffic" numFmtId="9">
      <sharedItems containsString="0" containsBlank="1" containsNumber="1" minValue="0" maxValue="1"/>
    </cacheField>
    <cacheField name="City Idle Traffic2" numFmtId="9">
      <sharedItems containsString="0" containsBlank="1" containsNumber="1" minValue="0" maxValue="1"/>
    </cacheField>
    <cacheField name="Highway Traffic2" numFmtId="9">
      <sharedItems containsString="0" containsBlank="1" containsNumb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69">
  <r>
    <x v="0"/>
    <s v="36.0_Infotainment &amp; Connectivity"/>
    <s v="36.11_MediaPlayback-System"/>
    <s v="F0170"/>
    <s v="Media, USB-Connection"/>
    <s v="QM"/>
    <s v="Infotainment"/>
    <s v="User Media"/>
    <s v="Personal Device Charging and Connecting"/>
    <s v="with USB Outlet"/>
    <s v="Actuator"/>
    <s v="USB Outlet"/>
    <s v="USB Outlet - Personal Device Charging and Connecting"/>
    <m/>
    <m/>
    <s v="35;0"/>
    <s v="TE"/>
    <s v="0-2177694-1"/>
    <s v="7 Pos. HSD Ass'y / MQS 0,63mm Unsealed"/>
    <m/>
    <s v="Yes"/>
    <s v="Yes"/>
    <s v="Yes"/>
    <n v="1"/>
    <n v="1"/>
    <n v="1"/>
    <n v="1"/>
  </r>
  <r>
    <x v="0"/>
    <s v="36.0_Infotainment &amp; Connectivity"/>
    <s v="36.11_MediaPlayback-System"/>
    <s v="F0762"/>
    <s v="USB, High Speed"/>
    <s v="QM"/>
    <s v="Infotainment"/>
    <s v="User Media"/>
    <s v="Personal Device Charging and Connecting"/>
    <s v="with USB Outlet"/>
    <s v="Actuator"/>
    <s v="USB Outlet"/>
    <s v="USB Outlet - Personal Device Charging and Connecting"/>
    <m/>
    <m/>
    <s v="35;0"/>
    <s v="TE"/>
    <s v="0-2177694-1"/>
    <s v="7 Pos. HSD Ass'y / MQS 0,63mm Unsealed"/>
    <m/>
    <s v="Yes"/>
    <s v="Yes"/>
    <s v="Yes"/>
    <n v="1"/>
    <n v="1"/>
    <n v="1"/>
    <n v="1"/>
  </r>
  <r>
    <x v="0"/>
    <s v="36.0_Infotainment &amp; Connectivity"/>
    <s v="36.34_V2S_System"/>
    <s v="F0319"/>
    <s v="Android Auto, Basis"/>
    <s v="QM"/>
    <s v="Infotainment"/>
    <s v="User Media"/>
    <s v="Personal Device Charging and Connecting"/>
    <s v="with USB Outlet"/>
    <s v="Actuator"/>
    <s v="USB Outlet"/>
    <s v="USB Outlet - Personal Device Charging and Connecting"/>
    <m/>
    <m/>
    <s v="35;0"/>
    <s v="TE"/>
    <s v="0-2177694-1"/>
    <s v="7 Pos. HSD Ass'y / MQS 0,63mm Unsealed"/>
    <m/>
    <s v="Yes"/>
    <s v="Yes"/>
    <s v="Yes"/>
    <n v="1"/>
    <n v="1"/>
    <n v="1"/>
    <n v="1"/>
  </r>
  <r>
    <x v="0"/>
    <s v="36.0_Infotainment &amp; Connectivity"/>
    <s v="36.34_V2S_System"/>
    <s v="F0561"/>
    <s v="Apple Car Play, Wireless"/>
    <s v="QM"/>
    <s v="Infotainment"/>
    <s v="User Media"/>
    <s v="Personal Device Charging and Connecting"/>
    <s v="with USB Outlet"/>
    <s v="Actuator"/>
    <s v="USB Outlet"/>
    <s v="USB Outlet - Personal Device Charging and Connecting"/>
    <m/>
    <m/>
    <s v="35;0"/>
    <s v="TE"/>
    <s v="0-2177694-1"/>
    <s v="7 Pos. HSD Ass'y / MQS 0,63mm Unsealed"/>
    <m/>
    <s v="Yes"/>
    <s v="Yes"/>
    <s v="Yes"/>
    <n v="1"/>
    <n v="1"/>
    <n v="1"/>
    <n v="1"/>
  </r>
  <r>
    <x v="0"/>
    <s v="80.0_Cross-Functions"/>
    <s v="80.89_WiringHarness-Design"/>
    <s v="F0251"/>
    <s v="Charging LV, USB Ports"/>
    <s v="QM"/>
    <s v="Infotainment"/>
    <s v="User Media"/>
    <s v="Personal Device Charging and Connecting"/>
    <s v="with USB Outlet"/>
    <s v="Actuator"/>
    <s v="USB Outlet"/>
    <s v="USB Outlet - Personal Device Charging and Connecting"/>
    <m/>
    <m/>
    <s v="35;0"/>
    <s v="TE"/>
    <s v="0-2177694-1"/>
    <s v="7 Pos. HSD Ass'y / MQS 0,63mm Unsealed"/>
    <m/>
    <s v="Yes"/>
    <s v="Yes"/>
    <s v="Yes"/>
    <n v="1"/>
    <n v="1"/>
    <n v="1"/>
    <n v="1"/>
  </r>
  <r>
    <x v="1"/>
    <s v="36.0_Infotainment &amp; Connectivity"/>
    <s v="36.34_V2S_System"/>
    <s v="F0561"/>
    <s v="Apple Car Play, Wireless"/>
    <s v="QM"/>
    <s v="Infotainment"/>
    <s v="Communication"/>
    <s v="Internal Wireless Digital Data"/>
    <s v="Bluetooth"/>
    <s v="Actuator"/>
    <s v="Bluetooth Transceiver"/>
    <s v="Bluetooth Transceiver - Internal Wireless Digital Data"/>
    <m/>
    <m/>
    <s v="36;0"/>
    <m/>
    <m/>
    <m/>
    <m/>
    <s v="Yes"/>
    <s v="Yes"/>
    <s v="Yes"/>
    <n v="1"/>
    <n v="1"/>
    <n v="1"/>
    <n v="1"/>
  </r>
  <r>
    <x v="2"/>
    <s v="80.0_Cross-Functions"/>
    <s v="80.89_WiringHarness-Design"/>
    <s v="F0246"/>
    <s v="Charging LV, Wireless"/>
    <s v="B"/>
    <s v="Infotainment"/>
    <s v="Communication"/>
    <s v="Telephone Connection"/>
    <s v="Telephone"/>
    <s v="Actuator"/>
    <s v="Charger for Mobile Devices"/>
    <s v="Charger for Mobile Devices - Telephone Connection"/>
    <m/>
    <m/>
    <s v="36;0"/>
    <s v="TE"/>
    <s v="1452584-1"/>
    <s v="1 Pos. Fakra II Unsealed"/>
    <m/>
    <s v="No"/>
    <s v="Yes"/>
    <s v="Yes"/>
    <n v="1"/>
    <n v="1"/>
    <n v="1"/>
    <n v="1"/>
  </r>
  <r>
    <x v="3"/>
    <s v="10.0_Comfort &amp; Exterior"/>
    <s v="10.21_WindowLifting-System"/>
    <s v="F0224"/>
    <s v="Power Window Lifter Function, Comfort Open/Close"/>
    <m/>
    <s v="Comfort"/>
    <s v="Power Window"/>
    <s v="Power Window Command Driver Door"/>
    <s v="Automatic Power Window"/>
    <s v="Switch"/>
    <s v="User Selector"/>
    <s v="User Selector - Power Window Command Driver Door"/>
    <m/>
    <m/>
    <s v="38;-21"/>
    <s v="TE"/>
    <s v="1-1452693-1"/>
    <s v="8 Pos. MQS 0,63mm Unsealed"/>
    <m/>
    <s v="Yes"/>
    <s v="Yes"/>
    <s v="Yes"/>
    <n v="0"/>
    <n v="0"/>
    <n v="1"/>
    <n v="1"/>
  </r>
  <r>
    <x v="3"/>
    <s v="10.0_Comfort &amp; Exterior"/>
    <s v="10.21_WindowLifting-System"/>
    <s v="F2025"/>
    <s v="Power Window Lifter, Electric Adjustable"/>
    <m/>
    <s v="Comfort"/>
    <s v="Power Window"/>
    <s v="Power Window Command Driver Door"/>
    <s v="Automatic Power Window"/>
    <s v="Switch"/>
    <s v="User Selector"/>
    <s v="User Selector - Power Window Command Driver Door"/>
    <m/>
    <m/>
    <s v="38;-21"/>
    <s v="TE"/>
    <s v="1-1452693-1"/>
    <s v="8 Pos. MQS 0,63mm Unsealed"/>
    <m/>
    <s v="Yes"/>
    <s v="Yes"/>
    <s v="Yes"/>
    <n v="0"/>
    <n v="0"/>
    <n v="1"/>
    <n v="1"/>
  </r>
  <r>
    <x v="4"/>
    <s v="13.0_Comfort &amp; Interior"/>
    <s v="13.31_AmbientLighting-System"/>
    <s v="F0500"/>
    <s v="Ambient Lighting, Trimstrip Doors"/>
    <s v="QM"/>
    <s v="Comfort"/>
    <s v="Internal Illumination"/>
    <s v="Door Pocket Illumination FL"/>
    <s v="Basic"/>
    <s v="Actuator"/>
    <s v="LED Lamp"/>
    <s v="LED Lamp - Door Pocket Illumination FL"/>
    <m/>
    <m/>
    <s v="35;-21"/>
    <s v="TE"/>
    <s v="1379029-1"/>
    <s v="4 Pos. MQS 0,63mm Unsealed"/>
    <m/>
    <s v="No"/>
    <s v="Yes"/>
    <s v="Yes"/>
    <n v="0.05"/>
    <n v="0.05"/>
    <n v="1"/>
    <n v="1"/>
  </r>
  <r>
    <x v="5"/>
    <s v="10.0_Comfort &amp; Exterior"/>
    <s v="10.30_OutsideLighting-System"/>
    <s v="F0780"/>
    <s v="Door Lighting Outside, Door Handle"/>
    <s v="QM"/>
    <s v="Comfort"/>
    <s v="External Illumination"/>
    <s v="Puddle Illumination"/>
    <s v="With or Without"/>
    <s v="Actuator"/>
    <s v="LED Lamp in Door Trim Bottom FL"/>
    <s v="LED Lamp in Door Trim Bottom FL - Puddle Illumination"/>
    <m/>
    <m/>
    <s v="41;-22"/>
    <s v="TE"/>
    <s v="2356394-1"/>
    <s v="2 Pos. MCON 1,2mm Unsealed"/>
    <m/>
    <s v="No"/>
    <s v="No"/>
    <s v="Yes"/>
    <n v="0"/>
    <n v="0"/>
    <n v="0"/>
    <n v="0"/>
  </r>
  <r>
    <x v="6"/>
    <s v="10.0_Comfort &amp; Exterior"/>
    <s v="10.21_WindowLifting-System"/>
    <s v="F0224"/>
    <s v="Power Window Lifter Function, Comfort Open/Close"/>
    <s v="A"/>
    <s v="Comfort"/>
    <s v="Power Window"/>
    <s v="Power Window Driver"/>
    <s v="Automatic Power Window"/>
    <s v="Actuator"/>
    <s v="Window Motor"/>
    <s v="Window Motor - Power Window Driver"/>
    <m/>
    <m/>
    <s v="33;-21"/>
    <s v="TE"/>
    <s v="2337619-2"/>
    <s v="5 Pos. JPT 2,8mm Sealed"/>
    <m/>
    <s v="Yes"/>
    <s v="Yes"/>
    <s v="Yes"/>
    <n v="3.3333333333333333E-2"/>
    <n v="8.3333333333333332E-3"/>
    <n v="8.3333333333333332E-3"/>
    <n v="8.3333333333333332E-3"/>
  </r>
  <r>
    <x v="6"/>
    <s v="10.0_Comfort &amp; Exterior"/>
    <s v="10.21_WindowLifting-System"/>
    <s v="F2025"/>
    <s v="Power Window Lifter, Electric Adjustable"/>
    <s v="QM"/>
    <s v="Comfort"/>
    <s v="Power Window"/>
    <s v="Power Window Driver"/>
    <s v="Automatic Power Window"/>
    <s v="Actuator"/>
    <s v="Window Motor"/>
    <s v="Window Motor - Power Window Driver"/>
    <m/>
    <m/>
    <s v="33;-21"/>
    <s v="TE"/>
    <s v="2337619-2"/>
    <s v="5 Pos. JPT 2,8mm Sealed"/>
    <m/>
    <s v="Yes"/>
    <s v="Yes"/>
    <s v="Yes"/>
    <n v="3.3333333333333333E-2"/>
    <n v="8.3333333333333332E-3"/>
    <n v="8.3333333333333332E-3"/>
    <n v="8.3333333333333332E-3"/>
  </r>
  <r>
    <x v="7"/>
    <s v="10.0_Comfort &amp; Exterior"/>
    <s v="10.20_Mirroring-System"/>
    <s v="F0027"/>
    <s v="Central Door Lock, Radio Control Key Front"/>
    <s v="QM"/>
    <s v="Comfort"/>
    <s v="External Rear View Mirror"/>
    <s v="Foldable Mirror Left"/>
    <s v="with Foldable Mirror"/>
    <s v="Actuator"/>
    <s v="Outer Rear View Mirror Assembly Left"/>
    <s v="Outer Rear View Mirror Assembly Left - Foldable Mirror Left"/>
    <m/>
    <m/>
    <s v="32;-22"/>
    <m/>
    <m/>
    <m/>
    <m/>
    <s v="No"/>
    <s v="Yes"/>
    <s v="Yes"/>
    <n v="0"/>
    <n v="0"/>
    <n v="0"/>
    <n v="0"/>
  </r>
  <r>
    <x v="7"/>
    <s v="10.0_Comfort &amp; Exterior"/>
    <s v="10.20_Mirroring-System"/>
    <s v="F0039"/>
    <s v="Outside Mirror, Electric Adjustable"/>
    <s v="QM"/>
    <s v="Comfort"/>
    <s v="External Rear View Mirror"/>
    <s v="Mirror Positioning Left"/>
    <s v="with Foldable Mirror"/>
    <s v="Actuator"/>
    <s v="Outer Rear View Mirror Assembly Left"/>
    <s v="Outer Rear View Mirror Assembly Left - Mirror Positioning Left"/>
    <m/>
    <m/>
    <s v="32;-22"/>
    <m/>
    <m/>
    <m/>
    <m/>
    <s v="Yes"/>
    <s v="Yes"/>
    <s v="Yes"/>
    <n v="0.1"/>
    <n v="0.1"/>
    <n v="0.1"/>
    <n v="0.1"/>
  </r>
  <r>
    <x v="7"/>
    <s v="10.0_Comfort &amp; Exterior"/>
    <s v="10.20_Mirroring-System"/>
    <s v="F0041"/>
    <s v="Outside Mirror, Foldable"/>
    <s v="QM"/>
    <s v="Comfort"/>
    <s v="External Rear View Mirror"/>
    <s v="Foldable Mirror Left"/>
    <s v="with Foldable Mirror"/>
    <s v="Actuator"/>
    <s v="Outer Rear View Mirror Assembly Left"/>
    <s v="Outer Rear View Mirror Assembly Left - Foldable Mirror Left"/>
    <m/>
    <m/>
    <s v="32;-22"/>
    <m/>
    <m/>
    <m/>
    <m/>
    <s v="No"/>
    <s v="Yes"/>
    <s v="Yes"/>
    <n v="0"/>
    <n v="0"/>
    <n v="0"/>
    <n v="0"/>
  </r>
  <r>
    <x v="7"/>
    <s v="10.0_Comfort &amp; Exterior"/>
    <s v="10.30_OutsideLighting-System"/>
    <s v="F0229"/>
    <s v="Surround Lighting, Turning Light"/>
    <s v="B"/>
    <s v="Comfort"/>
    <s v="External Rear View Mirror"/>
    <s v="Side Turn Signal Left"/>
    <s v="with Foldable Mirror"/>
    <s v="Actuator"/>
    <s v="Outer Rear View Mirror Assembly Left"/>
    <s v="Outer Rear View Mirror Assembly Left - Side Turn Signal Left"/>
    <m/>
    <m/>
    <s v="32;-22"/>
    <m/>
    <m/>
    <m/>
    <m/>
    <s v="Yes"/>
    <s v="Yes"/>
    <s v="Yes"/>
    <n v="0.3"/>
    <n v="0.1"/>
    <n v="0.3"/>
    <n v="0.1"/>
  </r>
  <r>
    <x v="7"/>
    <s v="10.0_Comfort &amp; Exterior"/>
    <s v="10.30_OutsideLighting-System"/>
    <s v="F0781"/>
    <s v="Door Lighting Outside, Outer Mirror"/>
    <s v="QM"/>
    <s v="Comfort"/>
    <s v="External Rear View Mirror"/>
    <s v="Puddle Illumination/Projection Left"/>
    <s v="with Foldable Mirror"/>
    <s v="Actuator"/>
    <s v="Outer Rear View Mirror Assembly Left"/>
    <s v="Outer Rear View Mirror Assembly Left - Puddle Illumination/Projection Left"/>
    <m/>
    <m/>
    <s v="32;-22"/>
    <m/>
    <m/>
    <m/>
    <m/>
    <s v="No"/>
    <s v="Yes"/>
    <s v="No"/>
    <n v="0"/>
    <n v="0"/>
    <n v="0"/>
    <n v="0"/>
  </r>
  <r>
    <x v="7"/>
    <s v="10.0_Comfort &amp; Exterior"/>
    <s v="10.50_ExteriorHeating-System"/>
    <s v="F0042"/>
    <s v="Heating Outside Mirror"/>
    <s v="QM"/>
    <s v="Comfort"/>
    <s v="External Rear View Mirror"/>
    <s v="Mirror Heating Left"/>
    <s v="with Foldable Mirror"/>
    <s v="Actuator"/>
    <s v="Outer Rear View Mirror Assembly Left"/>
    <s v="Outer Rear View Mirror Assembly Left - Mirror Heating Left"/>
    <m/>
    <m/>
    <s v="32;-22"/>
    <m/>
    <m/>
    <m/>
    <m/>
    <s v="No"/>
    <s v="Yes"/>
    <s v="Yes"/>
    <n v="0"/>
    <n v="0.25"/>
    <n v="0.25"/>
    <n v="0"/>
  </r>
  <r>
    <x v="7"/>
    <s v="13.0_Comfort &amp; Interior"/>
    <s v="13.23_AntiGlareAndDimming-System"/>
    <s v="F0037"/>
    <s v="Electrochromatic (EC), External Rear View Mirror"/>
    <s v="QM"/>
    <s v="Comfort"/>
    <s v="External Rear View Mirror"/>
    <s v="Mirror Dimming Left"/>
    <s v="with Foldable Mirror"/>
    <s v="Actuator"/>
    <s v="Outer Rear View Mirror Assembly Left"/>
    <s v="Outer Rear View Mirror Assembly Left - Mirror Dimming Left"/>
    <m/>
    <m/>
    <s v="32;-22"/>
    <m/>
    <m/>
    <m/>
    <m/>
    <s v="No"/>
    <s v="No"/>
    <s v="Yes"/>
    <n v="0"/>
    <n v="0"/>
    <n v="0.5"/>
    <n v="0.5"/>
  </r>
  <r>
    <x v="7"/>
    <s v="37.0_ADAS &amp; AutomatedDriving"/>
    <s v="37.02_Alerting-System"/>
    <s v="F0158"/>
    <s v="Collision Alert Rear, Rear Cross Traffic Alert"/>
    <m/>
    <s v="Comfort"/>
    <s v="External Rear View Mirror"/>
    <s v="Blind Spot Warning Left"/>
    <s v="with Foldable Mirror"/>
    <s v="Actuator"/>
    <s v="Outer Rear View Mirror Assembly Left"/>
    <s v="Outer Rear View Mirror Assembly Left - Blind Spot Warning Left"/>
    <m/>
    <m/>
    <s v="32;-22"/>
    <m/>
    <m/>
    <m/>
    <m/>
    <s v="No"/>
    <s v="Yes"/>
    <s v="Yes"/>
    <n v="0.05"/>
    <n v="0.05"/>
    <n v="0.05"/>
    <n v="0.05"/>
  </r>
  <r>
    <x v="7"/>
    <s v="37.0_ADAS &amp; AutomatedDriving"/>
    <s v="37.02_Alerting-System"/>
    <s v="F1301"/>
    <s v="Drive Away Assist"/>
    <m/>
    <s v="Comfort"/>
    <s v="External Rear View Mirror"/>
    <s v="Blind Spot Warning Left"/>
    <s v="with Foldable Mirror"/>
    <s v="Actuator"/>
    <s v="Outer Rear View Mirror Assembly Left"/>
    <s v="Outer Rear View Mirror Assembly Left - Blind Spot Warning Left"/>
    <m/>
    <m/>
    <s v="32;-22"/>
    <m/>
    <m/>
    <m/>
    <m/>
    <s v="No"/>
    <s v="Yes"/>
    <s v="Yes"/>
    <n v="0.05"/>
    <n v="0.05"/>
    <n v="0.05"/>
    <n v="0.05"/>
  </r>
  <r>
    <x v="7"/>
    <s v="37.0_ADAS &amp; AutomatedDriving"/>
    <s v="37.02_Alerting-System"/>
    <s v="F2021"/>
    <s v="Collision Alert Side, Blind Zone Support"/>
    <m/>
    <s v="Comfort"/>
    <s v="External Rear View Mirror"/>
    <s v="Blind Spot Warning Left"/>
    <s v="with Foldable Mirror"/>
    <s v="Actuator"/>
    <s v="Outer Rear View Mirror Assembly Left"/>
    <s v="Outer Rear View Mirror Assembly Left - Blind Spot Warning Left"/>
    <m/>
    <m/>
    <s v="32;-22"/>
    <m/>
    <m/>
    <m/>
    <m/>
    <s v="No"/>
    <s v="Yes"/>
    <s v="Yes"/>
    <n v="0.05"/>
    <n v="0.05"/>
    <n v="0.05"/>
    <n v="0.05"/>
  </r>
  <r>
    <x v="8"/>
    <s v="10.0_Comfort &amp; Exterior"/>
    <s v="10.10_CentralLocking-System"/>
    <s v="F0027"/>
    <s v="Central Door Lock, Radio Control Key Front"/>
    <s v="QM"/>
    <s v="Comfort"/>
    <s v="Central Locking"/>
    <s v="Door Opening and Closing Latch"/>
    <s v="with Central Locking"/>
    <s v="Actuator"/>
    <s v="Stepper Motor FL"/>
    <s v="Stepper Motor FL - Door Opening and Closing Latch"/>
    <m/>
    <m/>
    <s v="53;-22"/>
    <s v="TE"/>
    <s v="2337619-2"/>
    <s v="5 Pos. JPT 2,8mm Sealed"/>
    <m/>
    <s v="No"/>
    <s v="No"/>
    <s v="Yes"/>
    <n v="2.7777777777777779E-5"/>
    <n v="2.7777777777777779E-5"/>
    <n v="2.7777777777777779E-5"/>
    <n v="2.7777777777777779E-5"/>
  </r>
  <r>
    <x v="8"/>
    <s v="10.0_Comfort &amp; Exterior"/>
    <s v="10.30_OutsideLighting-System"/>
    <s v="F0053"/>
    <s v="Door Lighting Outside, Open Door Front"/>
    <s v="QM"/>
    <s v="Comfort"/>
    <s v="Central Locking"/>
    <s v="Door Opening and Closing Latch"/>
    <s v="with Central Locking"/>
    <s v="Actuator"/>
    <s v="Stepper Motor FL"/>
    <s v="Stepper Motor FL - Door Opening and Closing Latch"/>
    <m/>
    <m/>
    <s v="53;-22"/>
    <s v="TE"/>
    <s v="2337619-2"/>
    <s v="5 Pos. JPT 2,8mm Sealed"/>
    <m/>
    <s v="No"/>
    <s v="No"/>
    <s v="Yes"/>
    <n v="2.7777777777777779E-5"/>
    <n v="2.7777777777777779E-5"/>
    <n v="2.7777777777777779E-5"/>
    <n v="2.7777777777777779E-5"/>
  </r>
  <r>
    <x v="8"/>
    <s v="10.0_Comfort &amp; Exterior"/>
    <s v="10.30_OutsideLighting-System"/>
    <s v="F0xx5"/>
    <s v="Doors, Electric Release"/>
    <m/>
    <s v="Comfort"/>
    <s v="Central Locking"/>
    <s v="Door Opening and Closing Latch"/>
    <s v="with Central Locking"/>
    <s v="Actuator"/>
    <s v="Stepper Motor FL"/>
    <s v="Stepper Motor FL - Door Opening and Closing Latch"/>
    <m/>
    <m/>
    <s v="53;-22"/>
    <s v="TE"/>
    <s v="2337619-2"/>
    <s v="5 Pos. JPT 2,8mm Sealed"/>
    <m/>
    <s v="No"/>
    <s v="No"/>
    <s v="Yes"/>
    <n v="2.7777777777777779E-5"/>
    <n v="2.7777777777777779E-5"/>
    <n v="2.7777777777777779E-5"/>
    <n v="2.7777777777777779E-5"/>
  </r>
  <r>
    <x v="9"/>
    <s v="10.0_Comfort &amp; Exterior"/>
    <s v="10.30_OutsideLighting-System"/>
    <s v="F0780"/>
    <s v="Door Lighting Outside, Door Handle"/>
    <s v="QM"/>
    <s v="Comfort"/>
    <s v="External Illumination"/>
    <s v="Puddle Illumination"/>
    <s v="With or Without"/>
    <s v="Actuator"/>
    <s v="LED Lamp in Door Trim Bottom FR"/>
    <s v="LED Lamp in Door Trim Bottom FR - Puddle Illumination"/>
    <m/>
    <m/>
    <s v="41;22"/>
    <s v="TE"/>
    <s v="2356394-1"/>
    <s v="2 Pos. MCON 1,2mm Unsealed"/>
    <m/>
    <s v="No"/>
    <s v="No"/>
    <s v="Yes"/>
    <n v="0"/>
    <n v="0"/>
    <n v="0"/>
    <n v="0"/>
  </r>
  <r>
    <x v="10"/>
    <s v="10.0_Comfort &amp; Exterior"/>
    <s v="10.30_OutsideLighting-System"/>
    <s v="F0780"/>
    <s v="Door Lighting Outside, Door Handle"/>
    <s v="QM"/>
    <s v="Comfort"/>
    <s v="External Illumination"/>
    <s v="Puddle Illumination"/>
    <s v="With or Without"/>
    <s v="Actuator"/>
    <s v="LED Lamp in Door Trim Bottom RL"/>
    <s v="LED Lamp in Door Trim Bottom RL - Puddle Illumination"/>
    <m/>
    <m/>
    <s v="68;-21"/>
    <s v="TE"/>
    <s v="2356394-1"/>
    <s v="2 Pos. MCON 1,2mm Unsealed"/>
    <m/>
    <s v="No"/>
    <s v="No"/>
    <s v="Yes"/>
    <n v="0"/>
    <n v="0"/>
    <n v="0"/>
    <n v="0"/>
  </r>
  <r>
    <x v="11"/>
    <s v="10.0_Comfort &amp; Exterior"/>
    <s v="10.30_OutsideLighting-System"/>
    <s v="F0780"/>
    <s v="Door Lighting Outside, Door Handle"/>
    <s v="QM"/>
    <s v="Comfort"/>
    <s v="External Illumination"/>
    <s v="Puddle Illumination"/>
    <s v="With or Without"/>
    <s v="Actuator"/>
    <s v="LED Lamp in Door Trim Bottom RR"/>
    <s v="LED Lamp in Door Trim Bottom RR - Puddle Illumination"/>
    <m/>
    <m/>
    <s v="68;21"/>
    <s v="TE"/>
    <s v="2356394-1"/>
    <s v="2 Pos. MCON 1,2mm Unsealed"/>
    <m/>
    <s v="No"/>
    <s v="No"/>
    <s v="Yes"/>
    <n v="0"/>
    <n v="0"/>
    <n v="0"/>
    <n v="0"/>
  </r>
  <r>
    <x v="12"/>
    <s v="16.0_Comfort &amp; Safety"/>
    <s v="16.10_Airbag-System"/>
    <s v="F0012"/>
    <s v="Airbag Side, Front Left / Right"/>
    <s v="D"/>
    <s v="Chassis"/>
    <s v="Airbag"/>
    <s v="Airbag"/>
    <s v="RHST"/>
    <s v="Igniter"/>
    <s v="Seat Airbag 1st Row R Outboard"/>
    <s v="Seat Airbag 1st Row R Outboard - Airbag"/>
    <m/>
    <m/>
    <s v="53;18"/>
    <s v="TE"/>
    <s v="353744-7"/>
    <s v="2 Pos. Squib Airbag"/>
    <m/>
    <s v="No"/>
    <s v="No"/>
    <s v="Yes"/>
    <n v="0"/>
    <n v="0"/>
    <n v="0"/>
    <n v="0"/>
  </r>
  <r>
    <x v="13"/>
    <s v="13.0_Comfort &amp; Interior"/>
    <s v="13.40_InteriorHeating-System"/>
    <s v="F0047"/>
    <s v="Seat Driver, Heating"/>
    <s v="QM"/>
    <s v="Comfort"/>
    <s v="Seat Heating"/>
    <s v="Heating Seat Pan Driver"/>
    <s v="with Driver Seat Heating"/>
    <s v="Actuator"/>
    <s v="Seat Heater FL"/>
    <s v="Seat Heater FL - Heating Seat Pan Driver"/>
    <m/>
    <m/>
    <s v="44;-17"/>
    <s v="TE"/>
    <s v="1326490-5"/>
    <s v="4 Pos. MPT 1.6mm / JPT 2.8mm Unsealed"/>
    <m/>
    <s v="No"/>
    <s v="Yes"/>
    <s v="Yes"/>
    <n v="0"/>
    <n v="0.375"/>
    <n v="0.375"/>
    <n v="0"/>
  </r>
  <r>
    <x v="14"/>
    <s v="13.0_Comfort &amp; Interior"/>
    <s v="13.20_SeatMoving-System"/>
    <s v="F0x41"/>
    <s v="Seat Driver, Lumbar Massage"/>
    <s v="QM"/>
    <s v="Comfort"/>
    <s v="Seat Massage"/>
    <s v="Lumbar Massage"/>
    <s v="Power Seats"/>
    <s v="Actuator"/>
    <s v="Valve - Driver Seat"/>
    <s v="Valve - Driver Seat - Lumbar Massage"/>
    <m/>
    <m/>
    <s v="44;-15"/>
    <s v="TE"/>
    <s v="2-1241370-3"/>
    <s v="6 Pos. MQS 0,63mm Unsealed"/>
    <m/>
    <s v="No"/>
    <s v="No"/>
    <s v="Yes"/>
    <n v="0.1"/>
    <n v="0.25"/>
    <n v="0.1"/>
    <n v="0.25"/>
  </r>
  <r>
    <x v="15"/>
    <s v="13.0_Comfort &amp; Interior"/>
    <s v="13.20_SeatMoving-System"/>
    <s v="F0x41"/>
    <s v="Seat Driver, Lumbar Massage"/>
    <s v="QM"/>
    <s v="Comfort"/>
    <s v="Seat Massage"/>
    <s v="Lumbar Massage"/>
    <s v="Power Seats"/>
    <s v="Actuator"/>
    <s v="Air Pump - Driver Seat"/>
    <s v="Air Pump - Driver Seat - Lumbar Massage"/>
    <m/>
    <m/>
    <s v="44;-15"/>
    <s v="TE"/>
    <s v="1-1718346-1"/>
    <s v="3 Pos. MQS 0,63mm Unsealed"/>
    <m/>
    <s v="No"/>
    <s v="No"/>
    <s v="Yes"/>
    <n v="0.1"/>
    <n v="0.25"/>
    <n v="0.1"/>
    <n v="0.25"/>
  </r>
  <r>
    <x v="16"/>
    <s v="16.0_Comfort &amp; Safety"/>
    <s v="16.20_Restraint-System"/>
    <s v="F0891"/>
    <s v="Seatbelt Reminder, Passenger"/>
    <s v="QM"/>
    <s v="Chassis"/>
    <s v="Airbag"/>
    <s v="Seat Belt"/>
    <s v="RHD"/>
    <s v="Sensor"/>
    <s v="Seat Belt Sensor 1st Row R"/>
    <s v="Seat Belt Sensor 1st Row R - Seat Belt"/>
    <m/>
    <m/>
    <s v="60;1"/>
    <s v="TE"/>
    <s v="1-1718333-1"/>
    <s v="2 Pos. MQS 0,63mm Unsealed"/>
    <s v="No"/>
    <s v="No"/>
    <s v="No"/>
    <s v="No"/>
    <n v="1"/>
    <n v="1"/>
    <n v="1"/>
    <n v="1"/>
  </r>
  <r>
    <x v="17"/>
    <s v="16.0_Comfort &amp; Safety"/>
    <s v="16.30_PassengerDetection-System"/>
    <s v="F0080"/>
    <s v="Passenger Detection, Front"/>
    <s v="A"/>
    <s v="Chassis"/>
    <s v="Airbag"/>
    <s v="Seat Occupancy Classification"/>
    <m/>
    <s v="Sensor"/>
    <s v="Seat Occupancy Classification"/>
    <s v="Seat Occupancy Classification - Seat Occupancy Classification"/>
    <m/>
    <m/>
    <s v="61;9"/>
    <s v="TE"/>
    <s v="936120-2"/>
    <s v="4 Pos. MQS 0,63mm Unsealed"/>
    <s v="No"/>
    <s v="No"/>
    <s v="No"/>
    <s v="Yes"/>
    <n v="1"/>
    <n v="1"/>
    <n v="1"/>
    <n v="1"/>
  </r>
  <r>
    <x v="18"/>
    <s v="16.0_Comfort &amp; Safety"/>
    <s v="16.30_PassengerDetection-System"/>
    <s v="F0080"/>
    <s v="Passenger Detection, Front"/>
    <s v="A"/>
    <s v="Chassis"/>
    <s v="Airbag"/>
    <s v="Seat Occupancy Detection"/>
    <m/>
    <s v="Sensor"/>
    <s v="Seat Occupancy Detection 1st Row L"/>
    <s v="Seat Occupancy Detection 1st Row L - Seat Occupancy Detection"/>
    <m/>
    <m/>
    <s v="61;-9"/>
    <s v="TE"/>
    <s v="1-1718333-1"/>
    <s v="2 Pos. MQS 0,63mm Unsealed"/>
    <s v="No"/>
    <s v="Yes"/>
    <s v="Yes"/>
    <s v="Yes"/>
    <n v="1"/>
    <n v="1"/>
    <n v="1"/>
    <n v="1"/>
  </r>
  <r>
    <x v="19"/>
    <s v="16.0_Comfort &amp; Safety"/>
    <s v="16.30_PassengerDetection-System"/>
    <s v="F0080"/>
    <s v="Passenger Detection, Front"/>
    <s v="A"/>
    <s v="Chassis"/>
    <s v="Airbag"/>
    <s v="Seat Occupancy Detection"/>
    <m/>
    <s v="Sensor"/>
    <s v="Seat Occupancy Detection 1st Row R"/>
    <s v="Seat Occupancy Detection 1st Row R - Seat Occupancy Detection"/>
    <m/>
    <m/>
    <s v="61;9"/>
    <s v="TE"/>
    <s v="1-1718333-1"/>
    <s v="2 Pos. MQS 0,63mm Unsealed"/>
    <s v="No"/>
    <s v="Yes"/>
    <s v="Yes"/>
    <s v="No"/>
    <n v="1"/>
    <n v="1"/>
    <n v="1"/>
    <n v="1"/>
  </r>
  <r>
    <x v="20"/>
    <s v="10.0_Comfort &amp; Exterior"/>
    <s v="10.11_VehicleAccess-System"/>
    <s v="F0960"/>
    <s v="Charging, Immobilizer"/>
    <m/>
    <s v="Powertrain"/>
    <s v="Charge Port"/>
    <s v="Computing"/>
    <s v="EV"/>
    <s v="Actuator"/>
    <s v="Onboard Charger"/>
    <s v="Onboard Charger - Computing"/>
    <m/>
    <m/>
    <s v="85;-18"/>
    <m/>
    <m/>
    <m/>
    <m/>
    <s v="No"/>
    <s v="No"/>
    <s v="No"/>
    <m/>
    <m/>
    <m/>
    <m/>
  </r>
  <r>
    <x v="20"/>
    <s v="38.0_E-Drive &amp; HV-Safety"/>
    <s v="38.20_Charging-System"/>
    <s v="F0277"/>
    <s v="Charging Mode 1 (IEC)/ Level 1 (SAE), AC 1-Phase NoCom"/>
    <s v="C"/>
    <s v="Powertrain"/>
    <s v="Charge Port"/>
    <s v="Computing"/>
    <s v="EV"/>
    <s v="Actuator"/>
    <s v="Onboard Charger"/>
    <s v="Onboard Charger - Computing"/>
    <m/>
    <m/>
    <s v="85;-18"/>
    <m/>
    <m/>
    <m/>
    <m/>
    <s v="No"/>
    <s v="No"/>
    <s v="No"/>
    <m/>
    <m/>
    <m/>
    <m/>
  </r>
  <r>
    <x v="20"/>
    <s v="38.0_E-Drive &amp; HV-Safety"/>
    <s v="38.20_Charging-System"/>
    <s v="F0440"/>
    <s v="Charging Mode 2, AC 1-Phase Com"/>
    <m/>
    <s v="Powertrain"/>
    <s v="Charge Port"/>
    <s v="Computing"/>
    <s v="EV"/>
    <s v="Actuator"/>
    <s v="Onboard Charger"/>
    <s v="Onboard Charger - Computing"/>
    <m/>
    <m/>
    <s v="85;-18"/>
    <m/>
    <m/>
    <m/>
    <m/>
    <s v="No"/>
    <s v="No"/>
    <s v="No"/>
    <m/>
    <m/>
    <m/>
    <m/>
  </r>
  <r>
    <x v="20"/>
    <s v="38.0_E-Drive &amp; HV-Safety"/>
    <s v="38.20_Charging-System"/>
    <s v="F0441"/>
    <s v="Charging Mode 2, AC 3-Phase Com"/>
    <m/>
    <s v="Powertrain"/>
    <s v="Charge Port"/>
    <s v="Computing"/>
    <s v="EV"/>
    <s v="Actuator"/>
    <s v="Onboard Charger"/>
    <s v="Onboard Charger - Computing"/>
    <m/>
    <m/>
    <s v="85;-18"/>
    <m/>
    <m/>
    <m/>
    <m/>
    <s v="No"/>
    <s v="No"/>
    <s v="No"/>
    <m/>
    <m/>
    <m/>
    <m/>
  </r>
  <r>
    <x v="20"/>
    <s v="38.0_E-Drive &amp; HV-Safety"/>
    <s v="38.20_Charging-System"/>
    <s v="F0683"/>
    <s v="Charging Mode 3 (IEC)/ Level 2 (SAE), AC 1-Phase Wallbox"/>
    <m/>
    <s v="Powertrain"/>
    <s v="Charge Port"/>
    <s v="Computing"/>
    <s v="EV"/>
    <s v="Actuator"/>
    <s v="Onboard Charger"/>
    <s v="Onboard Charger - Computing"/>
    <m/>
    <m/>
    <s v="85;-18"/>
    <m/>
    <m/>
    <m/>
    <m/>
    <s v="No"/>
    <s v="No"/>
    <s v="No"/>
    <m/>
    <m/>
    <m/>
    <m/>
  </r>
  <r>
    <x v="20"/>
    <s v="38.0_E-Drive &amp; HV-Safety"/>
    <s v="38.20_Charging-System"/>
    <s v="F0684"/>
    <s v="Charging Mode 3 (IEC)/ Level 2 (SAE), AC 3-Phase Wallbox"/>
    <m/>
    <s v="Powertrain"/>
    <s v="Charge Port"/>
    <s v="Computing"/>
    <s v="EV"/>
    <s v="Actuator"/>
    <s v="Onboard Charger"/>
    <s v="Onboard Charger - Computing"/>
    <m/>
    <m/>
    <s v="85;-18"/>
    <m/>
    <m/>
    <m/>
    <m/>
    <s v="No"/>
    <s v="No"/>
    <s v="No"/>
    <m/>
    <m/>
    <m/>
    <m/>
  </r>
  <r>
    <x v="20"/>
    <s v="38.0_E-Drive &amp; HV-Safety"/>
    <s v="38.20_Charging-System"/>
    <s v="F0986"/>
    <s v="Charging Mode 4 (IEC)/ Level 3 (SAE), DC, fast charging power (&gt;50kW), Communication and protection between charging station and vehicle"/>
    <m/>
    <s v="Powertrain"/>
    <s v="Charge Port"/>
    <s v="Computing"/>
    <s v="EV"/>
    <s v="Actuator"/>
    <s v="Onboard Charger"/>
    <s v="Onboard Charger - Computing"/>
    <m/>
    <m/>
    <s v="85;-18"/>
    <m/>
    <m/>
    <m/>
    <m/>
    <s v="No"/>
    <s v="No"/>
    <s v="No"/>
    <m/>
    <m/>
    <m/>
    <m/>
  </r>
  <r>
    <x v="21"/>
    <s v="32.0_Comfort &amp; Chassis"/>
    <s v="32.10_Braking-System"/>
    <s v="F0x43"/>
    <s v="Brake, Pad Warning"/>
    <s v=" "/>
    <s v="Chassis"/>
    <s v="Brake"/>
    <s v="Pad Warning"/>
    <s v="with Pad Warning"/>
    <s v="Sensor"/>
    <s v="Wear Sensor Front Left"/>
    <s v="Wear Sensor Front Left - Pad Warning"/>
    <m/>
    <m/>
    <s v="9;-18"/>
    <s v="TE"/>
    <s v="1-1355200-1"/>
    <s v="2 Pos. MCP 2,8mm Sealed"/>
    <s v="No"/>
    <s v="No"/>
    <s v="No"/>
    <s v="Yes"/>
    <n v="1"/>
    <n v="1"/>
    <n v="1"/>
    <n v="1"/>
  </r>
  <r>
    <x v="22"/>
    <s v="28.0_Powertrain &amp; Driveability"/>
    <s v="28.12_DriveStrategy&amp;Driveability"/>
    <s v="F0x12"/>
    <s v="Acceleration and Deceleration, Pedals Functionality"/>
    <m/>
    <s v="Powertrain"/>
    <s v="Motor"/>
    <s v="Vehicle Acceleration and Deceleration"/>
    <s v="EV"/>
    <s v="Sensor"/>
    <s v="Accelerator Pedal"/>
    <s v="Accelerator Pedal - Vehicle Acceleration and Deceleration"/>
    <m/>
    <m/>
    <s v="28;-6"/>
    <s v="TE"/>
    <s v="1-967616-1"/>
    <s v="6 Pos. MQS 0,63mm Sealed"/>
    <m/>
    <s v="Yes"/>
    <s v="Yes"/>
    <s v="Yes"/>
    <n v="1"/>
    <n v="1"/>
    <n v="1"/>
    <n v="1"/>
  </r>
  <r>
    <x v="22"/>
    <s v="28.0_Powertrain &amp; Driveability"/>
    <s v="28.13_Recuperation&amp;OPD-System"/>
    <s v="F0681"/>
    <s v="Recuperation, One Pedal Driving"/>
    <s v="C"/>
    <s v="Powertrain"/>
    <s v="Motor"/>
    <s v="Vehicle Acceleration and Deceleration"/>
    <s v="EV"/>
    <s v="Sensor"/>
    <s v="Accelerator Pedal"/>
    <s v="Accelerator Pedal - Vehicle Acceleration and Deceleration"/>
    <m/>
    <m/>
    <s v="28;-6"/>
    <s v="TE"/>
    <s v="1-967616-1"/>
    <s v="6 Pos. MQS 0,63mm Sealed"/>
    <m/>
    <s v="Yes"/>
    <s v="Yes"/>
    <s v="Yes"/>
    <n v="1"/>
    <n v="1"/>
    <n v="1"/>
    <n v="1"/>
  </r>
  <r>
    <x v="22"/>
    <s v="37.0_ADAS &amp; AutomatedDriving"/>
    <s v="37.10_ACC-System"/>
    <s v="F2002"/>
    <s v="ACC System"/>
    <m/>
    <s v="Powertrain"/>
    <s v="Motor"/>
    <s v="Vehicle Acceleration and Deceleration"/>
    <s v="EV"/>
    <s v="Sensor"/>
    <s v="Accelerator Pedal"/>
    <s v="Accelerator Pedal - Vehicle Acceleration and Deceleration"/>
    <m/>
    <m/>
    <s v="28;-6"/>
    <s v="TE"/>
    <s v="1-967616-1"/>
    <s v="6 Pos. MQS 0,63mm Sealed"/>
    <m/>
    <s v="No"/>
    <s v="Yes"/>
    <s v="Yes"/>
    <n v="1"/>
    <n v="1"/>
    <n v="1"/>
    <n v="1"/>
  </r>
  <r>
    <x v="23"/>
    <s v="16.0_Comfort &amp; Safety"/>
    <s v="16.20_Restraint-System"/>
    <s v="F0051"/>
    <s v="Belt Tensioner Front, With Belt Load Limiter"/>
    <s v="D"/>
    <s v="Chassis"/>
    <s v="Airbag"/>
    <s v="Pretensioner Retractor"/>
    <s v="Basic"/>
    <s v="Igniter"/>
    <s v="Retractor 1st Row L 1 - Pretensioner"/>
    <s v="Retractor 1st Row L 1 - Pretensioner - Pretensioner Retractor"/>
    <m/>
    <m/>
    <s v="59;-19"/>
    <m/>
    <m/>
    <m/>
    <m/>
    <s v="No"/>
    <s v="Yes"/>
    <s v="Yes"/>
    <n v="0"/>
    <n v="0"/>
    <n v="0"/>
    <n v="0"/>
  </r>
  <r>
    <x v="24"/>
    <s v="16.0_Comfort &amp; Safety"/>
    <s v="16.20_Restraint-System"/>
    <s v="F0800"/>
    <s v="Belt Tensioner Rear, Outer Side"/>
    <s v="QM"/>
    <s v="Chassis"/>
    <s v="Airbag"/>
    <s v="Retractor"/>
    <s v="Basic"/>
    <s v="Igniter"/>
    <s v="Retractor 2nd Row L"/>
    <s v="Retractor 2nd Row L - Retractor"/>
    <m/>
    <m/>
    <s v="81;-19"/>
    <m/>
    <m/>
    <m/>
    <m/>
    <s v="No"/>
    <s v="Yes"/>
    <s v="Yes"/>
    <n v="0"/>
    <n v="0"/>
    <n v="0"/>
    <n v="0"/>
  </r>
  <r>
    <x v="25"/>
    <s v="16.0_Comfort &amp; Safety"/>
    <s v="16.20_Restraint-System"/>
    <s v="F0051"/>
    <s v="Belt Tensioner Front, With Belt Load Limiter"/>
    <s v="D"/>
    <s v="Chassis"/>
    <s v="Airbag"/>
    <s v="Retractor Load Limiter"/>
    <s v="Basic"/>
    <s v="Igniter"/>
    <s v="Retractor 1st Row L 2 - Load Limiter"/>
    <s v="Retractor 1st Row L 2 - Load Limiter - Retractor Load Limiter"/>
    <m/>
    <m/>
    <s v="58;-1"/>
    <m/>
    <m/>
    <m/>
    <m/>
    <s v="No"/>
    <s v="No"/>
    <s v="Yes"/>
    <n v="0"/>
    <n v="0"/>
    <n v="0"/>
    <n v="0"/>
  </r>
  <r>
    <x v="26"/>
    <s v="10.0_Comfort &amp; Exterior"/>
    <s v="10.30_OutsideLighting-System"/>
    <s v="F0002"/>
    <s v="Rear Lighting, Brake Light Adaptive"/>
    <s v="B"/>
    <s v="Body"/>
    <s v="External Illumination"/>
    <s v="Rear Lamps L"/>
    <s v="LED"/>
    <s v="Actuator"/>
    <s v="Taillamp Assy' LED Left - Body"/>
    <s v="Taillamp Assy' LED Left - Body - Rear Lamps L"/>
    <m/>
    <m/>
    <s v="108;-17"/>
    <m/>
    <m/>
    <m/>
    <m/>
    <s v="No"/>
    <s v="Yes"/>
    <s v="No"/>
    <n v="0.35"/>
    <n v="0.16"/>
    <n v="0.56999999999999995"/>
    <n v="0.35"/>
  </r>
  <r>
    <x v="26"/>
    <s v="10.0_Comfort &amp; Exterior"/>
    <s v="10.30_OutsideLighting-System"/>
    <s v="F0028"/>
    <s v="Light Scenario, Comfort Direction Indication"/>
    <s v="B"/>
    <s v="Body"/>
    <s v="External Illumination"/>
    <s v="Rear Lamps L"/>
    <s v="LED"/>
    <s v="Actuator"/>
    <s v="Taillamp Assy' LED Left - Body"/>
    <s v="Taillamp Assy' LED Left - Body - Rear Lamps L"/>
    <m/>
    <m/>
    <s v="108;-17"/>
    <m/>
    <m/>
    <m/>
    <m/>
    <s v="No"/>
    <s v="Yes"/>
    <s v="No"/>
    <n v="0.35"/>
    <n v="0.16"/>
    <n v="0.56999999999999995"/>
    <n v="0.35"/>
  </r>
  <r>
    <x v="26"/>
    <s v="10.0_Comfort &amp; Exterior"/>
    <s v="10.30_OutsideLighting-System"/>
    <s v="F0110"/>
    <s v="Rear Lighting, Taillamp"/>
    <s v="QM"/>
    <s v="Body"/>
    <s v="External Illumination"/>
    <s v="Rear Lamps L"/>
    <s v="LED"/>
    <s v="Actuator"/>
    <s v="Taillamp Assy' LED Left - Body"/>
    <s v="Taillamp Assy' LED Left - Body - Rear Lamps L"/>
    <m/>
    <m/>
    <s v="108;-17"/>
    <m/>
    <m/>
    <m/>
    <m/>
    <s v="No"/>
    <s v="Yes"/>
    <s v="No"/>
    <n v="0.35"/>
    <n v="0.16"/>
    <n v="0.56999999999999995"/>
    <n v="0.35"/>
  </r>
  <r>
    <x v="26"/>
    <s v="10.0_Comfort &amp; Exterior"/>
    <s v="10.30_OutsideLighting-System"/>
    <s v="F0220"/>
    <s v="Light Scenario, Coming Home "/>
    <s v="QM"/>
    <s v="Body"/>
    <s v="External Illumination"/>
    <s v="Rear Lamps L"/>
    <s v="LED"/>
    <s v="Actuator"/>
    <s v="Taillamp Assy' LED Left - Body"/>
    <s v="Taillamp Assy' LED Left - Body - Rear Lamps L"/>
    <m/>
    <m/>
    <s v="108;-17"/>
    <m/>
    <m/>
    <m/>
    <m/>
    <s v="No"/>
    <s v="Yes"/>
    <s v="No"/>
    <n v="0.35"/>
    <n v="0.16"/>
    <n v="0.56999999999999995"/>
    <n v="0.35"/>
  </r>
  <r>
    <x v="26"/>
    <s v="10.0_Comfort &amp; Exterior"/>
    <s v="10.30_OutsideLighting-System"/>
    <s v="F0221"/>
    <s v="Light Scenario, Welcome Light"/>
    <s v="QM"/>
    <s v="Body"/>
    <s v="External Illumination"/>
    <s v="Rear Lamps L"/>
    <s v="LED"/>
    <s v="Actuator"/>
    <s v="Taillamp Assy' LED Left - Body"/>
    <s v="Taillamp Assy' LED Left - Body - Rear Lamps L"/>
    <m/>
    <m/>
    <s v="108;-17"/>
    <m/>
    <m/>
    <m/>
    <m/>
    <s v="No"/>
    <s v="Yes"/>
    <s v="No"/>
    <n v="0.35"/>
    <n v="0.16"/>
    <n v="0.56999999999999995"/>
    <n v="0.35"/>
  </r>
  <r>
    <x v="26"/>
    <s v="10.0_Comfort &amp; Exterior"/>
    <s v="10.30_OutsideLighting-System"/>
    <s v="F0227"/>
    <s v="Light Scenario, Parking Light"/>
    <s v="QM"/>
    <s v="Body"/>
    <s v="External Illumination"/>
    <s v="Rear Lamps L"/>
    <s v="LED"/>
    <s v="Actuator"/>
    <s v="Taillamp Assy' LED Left - Body"/>
    <s v="Taillamp Assy' LED Left - Body - Rear Lamps L"/>
    <m/>
    <m/>
    <s v="108;-17"/>
    <m/>
    <m/>
    <m/>
    <m/>
    <s v="No"/>
    <s v="Yes"/>
    <s v="No"/>
    <n v="0.35"/>
    <n v="0.16"/>
    <n v="0.56999999999999995"/>
    <n v="0.35"/>
  </r>
  <r>
    <x v="26"/>
    <s v="10.0_Comfort &amp; Exterior"/>
    <s v="10.30_OutsideLighting-System"/>
    <s v="F0228"/>
    <s v="Surround Lighting, Hazard Light"/>
    <s v="B"/>
    <s v="Body"/>
    <s v="External Illumination"/>
    <s v="Rear Lamps L"/>
    <s v="LED"/>
    <s v="Actuator"/>
    <s v="Taillamp Assy' LED Left - Body"/>
    <s v="Taillamp Assy' LED Left - Body - Rear Lamps L"/>
    <m/>
    <m/>
    <s v="108;-17"/>
    <m/>
    <m/>
    <m/>
    <m/>
    <s v="No"/>
    <s v="Yes"/>
    <s v="No"/>
    <n v="0.35"/>
    <n v="0.16"/>
    <n v="0.56999999999999995"/>
    <n v="0.35"/>
  </r>
  <r>
    <x v="26"/>
    <s v="10.0_Comfort &amp; Exterior"/>
    <s v="10.30_OutsideLighting-System"/>
    <s v="F0229"/>
    <s v="Surround Lighting, Turning Light"/>
    <s v="B"/>
    <s v="Body"/>
    <s v="External Illumination"/>
    <s v="Rear Lamps L"/>
    <s v="LED"/>
    <s v="Actuator"/>
    <s v="Taillamp Assy' LED Left - Body"/>
    <s v="Taillamp Assy' LED Left - Body - Rear Lamps L"/>
    <m/>
    <m/>
    <s v="108;-17"/>
    <m/>
    <m/>
    <m/>
    <m/>
    <s v="No"/>
    <s v="Yes"/>
    <s v="No"/>
    <n v="0.35"/>
    <n v="0.16"/>
    <n v="0.56999999999999995"/>
    <n v="0.35"/>
  </r>
  <r>
    <x v="26"/>
    <s v="10.0_Comfort &amp; Exterior"/>
    <s v="10.30_OutsideLighting-System"/>
    <s v="F0230"/>
    <s v="Rear Lighting, Brake Light"/>
    <s v="B"/>
    <s v="Body"/>
    <s v="External Illumination"/>
    <s v="Rear Lamps L"/>
    <s v="LED"/>
    <s v="Actuator"/>
    <s v="Taillamp Assy' LED Left - Body"/>
    <s v="Taillamp Assy' LED Left - Body - Rear Lamps L"/>
    <m/>
    <m/>
    <s v="108;-17"/>
    <m/>
    <m/>
    <m/>
    <m/>
    <s v="No"/>
    <s v="Yes"/>
    <s v="No"/>
    <n v="0.35"/>
    <n v="0.16"/>
    <n v="0.56999999999999995"/>
    <n v="0.35"/>
  </r>
  <r>
    <x v="26"/>
    <s v="10.0_Comfort &amp; Exterior"/>
    <s v="10.30_OutsideLighting-System"/>
    <s v="F0231"/>
    <s v="Rear Lighting, Rear Position Light"/>
    <s v="QM"/>
    <s v="Body"/>
    <s v="External Illumination"/>
    <s v="Rear Lamps L"/>
    <s v="LED"/>
    <s v="Actuator"/>
    <s v="Taillamp Assy' LED Left - Body"/>
    <s v="Taillamp Assy' LED Left - Body - Rear Lamps L"/>
    <m/>
    <m/>
    <s v="108;-17"/>
    <m/>
    <m/>
    <m/>
    <m/>
    <s v="No"/>
    <s v="Yes"/>
    <s v="No"/>
    <n v="0.35"/>
    <n v="0.16"/>
    <n v="0.56999999999999995"/>
    <n v="0.35"/>
  </r>
  <r>
    <x v="26"/>
    <s v="28.0_Powertrain &amp; Driveability"/>
    <s v="28.13_Recuperation&amp;OPD-System"/>
    <s v="F0294"/>
    <s v="Recuperation, Brake Lights"/>
    <s v="B"/>
    <s v="Body"/>
    <s v="External Illumination"/>
    <s v="Rear Lamps L"/>
    <s v="LED"/>
    <s v="Actuator"/>
    <s v="Taillamp Assy' LED Left - Body"/>
    <s v="Taillamp Assy' LED Left - Body - Rear Lamps L"/>
    <m/>
    <m/>
    <s v="108;-17"/>
    <m/>
    <m/>
    <m/>
    <m/>
    <s v="No"/>
    <s v="Yes"/>
    <s v="No"/>
    <n v="0.35"/>
    <n v="0.16"/>
    <n v="0.56999999999999995"/>
    <n v="0.35"/>
  </r>
  <r>
    <x v="27"/>
    <s v="10.0_Comfort &amp; Exterior"/>
    <s v="10.10_CentralLocking-System"/>
    <s v="F0xx6"/>
    <s v="Fuel Tank / Charging Flap, Release"/>
    <m/>
    <s v="Comfort"/>
    <s v="Central Locking"/>
    <s v="Fuel Tank / Charge Port Cap Opening and Closing Latch"/>
    <s v="with Central Locking"/>
    <s v="Actuator"/>
    <s v="Stepper Motor"/>
    <s v="Stepper Motor - Fuel Tank / Charge Port Cap Opening and Closing Latch"/>
    <m/>
    <m/>
    <s v="88;-18"/>
    <m/>
    <m/>
    <m/>
    <m/>
    <s v="Yes"/>
    <s v="No"/>
    <s v="No"/>
    <n v="2.7777777777777779E-5"/>
    <n v="2.7777777777777779E-5"/>
    <n v="2.7777777777777779E-5"/>
    <n v="2.7777777777777779E-5"/>
  </r>
  <r>
    <x v="28"/>
    <s v="10.0_Comfort &amp; Exterior"/>
    <s v="10.10_CentralLocking-System"/>
    <s v="F0xx6"/>
    <s v="Fuel Tank / Charging Flap, Release"/>
    <m/>
    <s v="Comfort"/>
    <s v="Central Locking"/>
    <s v="Fuel Tank / Charge Port Cap Opening and Closing Latch"/>
    <s v="with Central Locking"/>
    <s v="Actuator"/>
    <s v="Stepper Motor"/>
    <s v="Stepper Motor - Fuel Tank / Charge Port Cap Opening and Closing Latch"/>
    <m/>
    <m/>
    <s v="88;-18"/>
    <m/>
    <m/>
    <m/>
    <m/>
    <s v="No"/>
    <s v="Yes"/>
    <s v="No"/>
    <n v="2.7777777777777779E-5"/>
    <n v="2.7777777777777779E-5"/>
    <n v="2.7777777777777779E-5"/>
    <n v="2.7777777777777779E-5"/>
  </r>
  <r>
    <x v="28"/>
    <s v="10.0_Comfort &amp; Exterior"/>
    <s v="10.30_OutsideLighting-System"/>
    <s v="F0782"/>
    <s v="Outside Lighting, Charge Port Light"/>
    <s v="QM"/>
    <s v="Comfort"/>
    <s v="Central Locking"/>
    <s v="Fuel Tank / Charge Port Cap Opening and Closing Latch"/>
    <s v="with Central Locking"/>
    <s v="Actuator"/>
    <s v="Stepper Motor"/>
    <s v="Stepper Motor - Fuel Tank / Charge Port Cap Opening and Closing Latch"/>
    <m/>
    <m/>
    <s v="88;-18"/>
    <m/>
    <m/>
    <m/>
    <m/>
    <s v="No"/>
    <s v="Yes"/>
    <s v="No"/>
    <n v="2.7777777777777779E-5"/>
    <n v="2.7777777777777779E-5"/>
    <n v="2.7777777777777779E-5"/>
    <n v="2.7777777777777779E-5"/>
  </r>
  <r>
    <x v="29"/>
    <s v="10.0_Comfort &amp; Exterior"/>
    <s v="10.11_VehicleAccess-System"/>
    <s v="F0960"/>
    <s v="Charging, Immobilizer"/>
    <m/>
    <s v="Powertrain"/>
    <s v="Charge Port"/>
    <s v="Vehicle Charging"/>
    <s v="EV"/>
    <s v="Actuator"/>
    <s v="Charge Port Inlet"/>
    <s v="Charge Port Inlet - Vehicle Charging"/>
    <m/>
    <m/>
    <s v="89;-18"/>
    <m/>
    <m/>
    <m/>
    <m/>
    <s v="No"/>
    <s v="No"/>
    <s v="Yes"/>
    <n v="1"/>
    <n v="1"/>
    <n v="1"/>
    <n v="1"/>
  </r>
  <r>
    <x v="29"/>
    <s v="38.0_E-Drive &amp; HV-Safety"/>
    <s v="38.20_Charging-System"/>
    <s v="F0277"/>
    <s v="Charging Mode 1 (IEC)/ Level 1 (SAE), AC 1-Phase NoCom"/>
    <s v="C"/>
    <s v="Powertrain"/>
    <s v="Charge Port"/>
    <s v="Vehicle Charging"/>
    <s v="EV"/>
    <s v="Actuator"/>
    <s v="Charge Port Inlet"/>
    <s v="Charge Port Inlet - Vehicle Charging"/>
    <m/>
    <m/>
    <s v="89;-18"/>
    <m/>
    <m/>
    <m/>
    <m/>
    <s v="No"/>
    <s v="No"/>
    <s v="Yes"/>
    <n v="1"/>
    <n v="1"/>
    <n v="1"/>
    <n v="1"/>
  </r>
  <r>
    <x v="29"/>
    <s v="38.0_E-Drive &amp; HV-Safety"/>
    <s v="38.20_Charging-System"/>
    <s v="F0440"/>
    <s v="Charging Mode 2, AC 1-Phase Com"/>
    <m/>
    <s v="Powertrain"/>
    <s v="Charge Port"/>
    <s v="Vehicle Charging"/>
    <s v="EV"/>
    <s v="Actuator"/>
    <s v="Charge Port Inlet"/>
    <s v="Charge Port Inlet - Vehicle Charging"/>
    <m/>
    <m/>
    <s v="89;-18"/>
    <m/>
    <m/>
    <m/>
    <m/>
    <s v="No"/>
    <s v="No"/>
    <s v="Yes"/>
    <n v="1"/>
    <n v="1"/>
    <n v="1"/>
    <n v="1"/>
  </r>
  <r>
    <x v="29"/>
    <s v="38.0_E-Drive &amp; HV-Safety"/>
    <s v="38.20_Charging-System"/>
    <s v="F0441"/>
    <s v="Charging Mode 2, AC 3-Phase Com"/>
    <m/>
    <s v="Powertrain"/>
    <s v="Charge Port"/>
    <s v="Vehicle Charging"/>
    <s v="EV"/>
    <s v="Actuator"/>
    <s v="Charge Port Inlet"/>
    <s v="Charge Port Inlet - Vehicle Charging"/>
    <m/>
    <m/>
    <s v="89;-18"/>
    <m/>
    <m/>
    <m/>
    <m/>
    <s v="No"/>
    <s v="No"/>
    <s v="Yes"/>
    <n v="1"/>
    <n v="1"/>
    <n v="1"/>
    <n v="1"/>
  </r>
  <r>
    <x v="29"/>
    <s v="38.0_E-Drive &amp; HV-Safety"/>
    <s v="38.20_Charging-System"/>
    <s v="F0683"/>
    <s v="Charging Mode 3 (IEC)/ Level 2 (SAE), AC 1-Phase Wallbox"/>
    <m/>
    <s v="Powertrain"/>
    <s v="Charge Port"/>
    <s v="Vehicle Charging"/>
    <s v="EV"/>
    <s v="Actuator"/>
    <s v="Charge Port Inlet"/>
    <s v="Charge Port Inlet - Vehicle Charging"/>
    <m/>
    <m/>
    <s v="89;-18"/>
    <m/>
    <m/>
    <m/>
    <m/>
    <s v="No"/>
    <s v="No"/>
    <s v="Yes"/>
    <n v="1"/>
    <n v="1"/>
    <n v="1"/>
    <n v="1"/>
  </r>
  <r>
    <x v="29"/>
    <s v="38.0_E-Drive &amp; HV-Safety"/>
    <s v="38.20_Charging-System"/>
    <s v="F0684"/>
    <s v="Charging Mode 3 (IEC)/ Level 2 (SAE), AC 3-Phase Wallbox"/>
    <m/>
    <s v="Powertrain"/>
    <s v="Charge Port"/>
    <s v="Vehicle Charging"/>
    <s v="EV"/>
    <s v="Actuator"/>
    <s v="Charge Port Inlet"/>
    <s v="Charge Port Inlet - Vehicle Charging"/>
    <m/>
    <m/>
    <s v="89;-18"/>
    <m/>
    <m/>
    <m/>
    <m/>
    <s v="No"/>
    <s v="No"/>
    <s v="Yes"/>
    <n v="1"/>
    <n v="1"/>
    <n v="1"/>
    <n v="1"/>
  </r>
  <r>
    <x v="29"/>
    <s v="38.0_E-Drive &amp; HV-Safety"/>
    <s v="38.20_Charging-System"/>
    <s v="F0986"/>
    <s v="Charging Mode 4 (IEC)/ Level 3 (SAE), DC, fast charging power (&gt;50kW), Communication and protection between charging station and vehicle"/>
    <m/>
    <s v="Powertrain"/>
    <s v="Charge Port"/>
    <s v="Vehicle Charging"/>
    <s v="EV"/>
    <s v="Actuator"/>
    <s v="Charge Port Inlet"/>
    <s v="Charge Port Inlet - Vehicle Charging"/>
    <m/>
    <m/>
    <s v="89;-18"/>
    <m/>
    <m/>
    <m/>
    <m/>
    <s v="No"/>
    <s v="No"/>
    <s v="Yes"/>
    <n v="1"/>
    <n v="1"/>
    <n v="1"/>
    <n v="1"/>
  </r>
  <r>
    <x v="30"/>
    <s v="10.0_Comfort &amp; Exterior"/>
    <s v="10.10_CentralLocking-System"/>
    <s v="F0107"/>
    <s v="Tailgate, Electric Adjustment"/>
    <s v="B"/>
    <s v="Comfort"/>
    <s v="Central Locking"/>
    <s v="Tailgate Opening and Closing"/>
    <s v="Power Tailgate"/>
    <s v="Actuator"/>
    <s v="Stepper Motor Left"/>
    <s v="Stepper Motor Left - Tailgate Opening and Closing"/>
    <m/>
    <m/>
    <s v="87;-14"/>
    <s v="TE"/>
    <s v="1-1452693-1"/>
    <s v="8 Pos. MQS 0,63mm / MPQ 2,8mm Unsealed"/>
    <m/>
    <s v="No"/>
    <s v="Yes"/>
    <s v="Yes"/>
    <n v="8.3333333333333332E-3"/>
    <n v="8.3333333333333332E-3"/>
    <n v="8.3333333333333332E-3"/>
    <n v="8.3333333333333332E-3"/>
  </r>
  <r>
    <x v="31"/>
    <s v="10.0_Comfort &amp; Exterior"/>
    <s v="10.11_VehicleAccess-System"/>
    <s v="F0068"/>
    <s v="Ignition Lock, Start-Stop-Button"/>
    <s v="A"/>
    <s v="Comfort"/>
    <s v="Keyless Entry"/>
    <s v="Center Console Receiving"/>
    <s v="with Keyless Entry System"/>
    <s v="Actuator"/>
    <s v="Near Field Communication Interface Device"/>
    <s v="Near Field Communication Interface Device - Center Console Receiving"/>
    <m/>
    <m/>
    <s v="36;0"/>
    <m/>
    <m/>
    <m/>
    <m/>
    <s v="No"/>
    <s v="No"/>
    <s v="No"/>
    <m/>
    <m/>
    <m/>
    <m/>
  </r>
  <r>
    <x v="32"/>
    <s v="10.0_Comfort &amp; Exterior"/>
    <s v="10.10_CentralLocking-System"/>
    <s v="F0107"/>
    <s v="Tailgate, Electric Adjustment"/>
    <s v="B"/>
    <s v="Comfort"/>
    <s v="Central Locking"/>
    <s v="Tailgate Opening and Closing"/>
    <s v="Power Tailgate"/>
    <s v="Actuator"/>
    <s v="Stepper Motor Right"/>
    <s v="Stepper Motor Right - Tailgate Opening and Closing"/>
    <m/>
    <m/>
    <s v="87;14"/>
    <s v="TE"/>
    <s v="1-1452693-1"/>
    <s v="8 Pos. MQS 0,63mm / MPQ 2,8mm Unsealed"/>
    <m/>
    <s v="No"/>
    <s v="Yes"/>
    <s v="Yes"/>
    <n v="8.3333333333333332E-3"/>
    <n v="8.3333333333333332E-3"/>
    <n v="8.3333333333333332E-3"/>
    <n v="8.3333333333333332E-3"/>
  </r>
  <r>
    <x v="33"/>
    <s v="13.0_Comfort &amp; Interior"/>
    <s v="13.20_SeatMoving-System"/>
    <s v="F0x10"/>
    <s v="Seats Rear, Release"/>
    <m/>
    <s v="Comfort"/>
    <s v="Seat Adjustment"/>
    <s v="Seat Release 2nd Row Left"/>
    <s v="Power Seats"/>
    <s v="Switch"/>
    <s v="User Selector"/>
    <s v="User Selector - Seat Release 2nd Row Left"/>
    <m/>
    <m/>
    <s v="63;-1"/>
    <s v="TE"/>
    <s v="1-1418639-5"/>
    <s v="2 Pos. MQS 0,63mm Unsealed"/>
    <m/>
    <s v="No"/>
    <s v="No"/>
    <s v="Yes"/>
    <n v="0"/>
    <n v="0"/>
    <n v="0"/>
    <n v="0"/>
  </r>
  <r>
    <x v="34"/>
    <s v="37.0_ADAS &amp; AutomatedDriving"/>
    <s v="37.02_Alerting-System"/>
    <s v="F0599"/>
    <s v="Event Recorder, Video Capturing"/>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20_Parking-System"/>
    <s v="F0155"/>
    <s v="Park Assist, Front"/>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20_Parking-System"/>
    <s v="F0156"/>
    <s v="Park Assist, Rear"/>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20_Parking-System"/>
    <s v="F0314"/>
    <s v="Parking Pilot, Valet Parking"/>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20_Parking-System"/>
    <s v="F0536"/>
    <s v="Parking Pilot, Trained Parking"/>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20_Parking-System"/>
    <s v="F1301"/>
    <s v="Drive Away Assist"/>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20_Parking-System"/>
    <s v="F1304"/>
    <s v="Park Assist, Side"/>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20_Parking-System"/>
    <s v="F2003"/>
    <s v="Automatic Parking Support"/>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23_LaneSupporting-System"/>
    <s v="F0331"/>
    <s v="Lane Assist, Lane Change Assist (LCA)"/>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23_LaneSupporting-System"/>
    <s v="F0657"/>
    <s v="Lane Assist, Evasive Steering Support"/>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23_LaneSupporting-System"/>
    <s v="F0658"/>
    <s v="Lane Assist, Traffic Jam Assist"/>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23_LaneSupporting-System"/>
    <s v="F1187"/>
    <s v="Lane Support System, Lane Centering Control (LCC)"/>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23_LaneSupporting-System"/>
    <s v="F2010"/>
    <s v="Emergency Lane Keeping Support"/>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30_Piloting-System"/>
    <s v="F0332"/>
    <s v="Pilot, Traffic Jam"/>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30_Piloting-System"/>
    <s v="F0915"/>
    <s v="Pilot, Rush Hour"/>
    <m/>
    <s v="Drive Assistance"/>
    <s v="Automated Driving"/>
    <s v="Forward View Left"/>
    <s v="L2/L2+/L3"/>
    <s v="Camera"/>
    <s v="Camera LH B Pillar"/>
    <s v="Camera LH B Pillar - Forward View Left"/>
    <m/>
    <m/>
    <s v="58;-18"/>
    <s v="TE"/>
    <s v="2-2310137-1"/>
    <s v="1 pos. MATE-AX Socket Housing Cod. A 180°"/>
    <m/>
    <s v="No"/>
    <s v="Yes"/>
    <s v="No"/>
    <n v="1"/>
    <n v="1"/>
    <n v="1"/>
    <n v="1"/>
  </r>
  <r>
    <x v="34"/>
    <s v="37.0_ADAS &amp; AutomatedDriving"/>
    <s v="37.30_Piloting-System"/>
    <s v="F1042"/>
    <s v="Pilot, Remote Operation"/>
    <m/>
    <s v="Drive Assistance"/>
    <s v="Automated Driving"/>
    <s v="Forward View Left"/>
    <s v="L2/L2+/L3"/>
    <s v="Camera"/>
    <s v="Camera LH B Pillar"/>
    <s v="Camera LH B Pillar - Forward View Left"/>
    <m/>
    <m/>
    <s v="58;-18"/>
    <s v="TE"/>
    <s v="2-2310137-1"/>
    <s v="1 pos. MATE-AX Socket Housing Cod. A 180°"/>
    <m/>
    <s v="No"/>
    <s v="Yes"/>
    <s v="No"/>
    <n v="1"/>
    <n v="1"/>
    <n v="1"/>
    <n v="1"/>
  </r>
  <r>
    <x v="35"/>
    <s v="10.0_Comfort &amp; Exterior"/>
    <s v="10.10_CentralLocking-System"/>
    <s v="F0107"/>
    <s v="Tailgate, Electric Adjustment"/>
    <s v="B"/>
    <s v="Comfort"/>
    <s v="Central Locking"/>
    <s v="Luggage Compartment Covering"/>
    <s v="Power Tailgate"/>
    <s v="Actuator"/>
    <s v="Stepper Motor Cover"/>
    <s v="Stepper Motor Cover - Luggage Compartment Covering"/>
    <m/>
    <m/>
    <s v="89;17"/>
    <s v="TE"/>
    <s v="1438992-1"/>
    <s v="5 Pos. MQS 0,63mm / MPQ 2,8mm Unsealed"/>
    <m/>
    <s v="No"/>
    <s v="No"/>
    <s v="Yes"/>
    <n v="8.3333333333333332E-3"/>
    <n v="8.3333333333333332E-3"/>
    <n v="8.3333333333333332E-3"/>
    <n v="8.3333333333333332E-3"/>
  </r>
  <r>
    <x v="36"/>
    <s v="10.0_Comfort &amp; Exterior"/>
    <s v="10.10_CentralLocking-System"/>
    <s v="F0107"/>
    <s v="Tailgate, Electric Adjustment"/>
    <s v="B"/>
    <s v="Comfort"/>
    <s v="Central Locking"/>
    <s v="Tailgate Opening and Closing Internal Command (Panel)"/>
    <s v="Power Tailgate"/>
    <s v="Switch"/>
    <s v="User Selector"/>
    <s v="User Selector - Tailgate Opening and Closing Internal Command (Panel)"/>
    <m/>
    <m/>
    <s v="33;-2"/>
    <s v="TE"/>
    <s v="936120-2"/>
    <s v="4 Pos. MQS 0,63mm Unsealed"/>
    <m/>
    <s v="No"/>
    <s v="Yes"/>
    <s v="Yes"/>
    <n v="1.6666666666666668E-3"/>
    <n v="1.6666666666666668E-3"/>
    <n v="1.6666666666666668E-3"/>
    <n v="1.6666666666666668E-3"/>
  </r>
  <r>
    <x v="36"/>
    <s v="10.0_Comfort &amp; Exterior"/>
    <s v="10.10_CentralLocking-System"/>
    <s v="F0xx4"/>
    <s v="Tailgate, Electric Release"/>
    <m/>
    <s v="Comfort"/>
    <s v="Central Locking"/>
    <s v="Tailgate Opening and Closing Internal Command (Panel)"/>
    <s v="Power Tailgate"/>
    <s v="Switch"/>
    <s v="User Selector"/>
    <s v="User Selector - Tailgate Opening and Closing Internal Command (Panel)"/>
    <m/>
    <m/>
    <s v="33;-2"/>
    <s v="TE"/>
    <s v="936120-2"/>
    <s v="4 Pos. MQS 0,63mm Unsealed"/>
    <m/>
    <s v="No"/>
    <s v="Yes"/>
    <s v="Yes"/>
    <n v="1.6666666666666668E-3"/>
    <n v="1.6666666666666668E-3"/>
    <n v="1.6666666666666668E-3"/>
    <n v="1.6666666666666668E-3"/>
  </r>
  <r>
    <x v="37"/>
    <s v="10.0_Comfort &amp; Exterior"/>
    <s v="10.11_VehicleAccess-System"/>
    <s v="F0068"/>
    <s v="Ignition Lock, Start-Stop-Button"/>
    <s v="A"/>
    <s v="Comfort"/>
    <s v="Keyless Entry"/>
    <s v="Center Console Receiving"/>
    <s v="with Keyless Entry System"/>
    <s v="Antenna"/>
    <s v="Near Field Communication Center Console Antenna"/>
    <s v="Near Field Communication Center Console Antenna - Center Console Receiving"/>
    <m/>
    <m/>
    <s v="36;0"/>
    <m/>
    <m/>
    <m/>
    <m/>
    <s v="No"/>
    <s v="No"/>
    <s v="No"/>
    <m/>
    <m/>
    <m/>
    <m/>
  </r>
  <r>
    <x v="38"/>
    <s v="10.0_Comfort &amp; Exterior"/>
    <s v="10.10_CentralLocking-System"/>
    <s v="F0027"/>
    <s v="Central Door Lock, Radio Control Key Front"/>
    <s v="QM"/>
    <s v="Comfort"/>
    <s v="Keyless Entry"/>
    <s v="Key Recognition"/>
    <s v="with Keyless Entry and Start  System"/>
    <s v="Antenna"/>
    <s v="Near Field Communication Antenna - Driver Door"/>
    <s v="Near Field Communication Antenna - Driver Door - Key Recognition"/>
    <m/>
    <m/>
    <s v="53;-23"/>
    <s v="TE"/>
    <s v="2141467-1"/>
    <s v="2 Pos. NanoMQS 0,5mm Sealed"/>
    <m/>
    <s v="No"/>
    <s v="Yes"/>
    <s v="No"/>
    <n v="0"/>
    <n v="0"/>
    <n v="0"/>
    <n v="0"/>
  </r>
  <r>
    <x v="39"/>
    <s v="10.0_Comfort &amp; Exterior"/>
    <s v="10.10_CentralLocking-System"/>
    <s v="F0027"/>
    <s v="Central Door Lock, Radio Control Key Front"/>
    <s v="QM"/>
    <s v="Comfort"/>
    <s v="Keyless Entry"/>
    <s v="Key Recognition"/>
    <s v="with Keyless Entry and Start  System"/>
    <s v="Antenna"/>
    <s v="Near Field Communication Antenna - Passenger Door"/>
    <s v="Near Field Communication Antenna - Passenger Door - Key Recognition"/>
    <m/>
    <m/>
    <s v="53;23"/>
    <s v="TE"/>
    <s v="2141467-1"/>
    <s v="2 Pos. NanoMQS 0,5mm Sealed"/>
    <m/>
    <s v="No"/>
    <s v="Yes"/>
    <s v="No"/>
    <n v="0"/>
    <n v="0"/>
    <n v="0"/>
    <n v="0"/>
  </r>
  <r>
    <x v="40"/>
    <s v="10.0_Comfort &amp; Exterior"/>
    <s v="10.10_CentralLocking-System"/>
    <s v="F0027"/>
    <s v="Central Door Lock, Radio Control Key Front"/>
    <s v="QM"/>
    <s v="Comfort"/>
    <s v="Keyless Entry"/>
    <s v="User Hand Detection"/>
    <s v="with Keyless Entry and Start  System"/>
    <s v="Sensor"/>
    <s v="Near Field Communication Antenna - Driver Door"/>
    <s v="Near Field Communication Antenna - Driver Door - User Hand Detection"/>
    <m/>
    <m/>
    <s v="53;-23"/>
    <s v="TE"/>
    <s v="2141467-1"/>
    <s v="2 Pos. NanoMQS 0,5mm Sealed"/>
    <m/>
    <s v="No"/>
    <s v="Yes"/>
    <s v="No"/>
    <n v="0"/>
    <n v="0"/>
    <n v="0"/>
    <n v="0"/>
  </r>
  <r>
    <x v="41"/>
    <s v="10.0_Comfort &amp; Exterior"/>
    <s v="10.10_CentralLocking-System"/>
    <s v="F0027"/>
    <s v="Central Door Lock, Radio Control Key Front"/>
    <s v="QM"/>
    <s v="Comfort"/>
    <s v="Keyless Entry"/>
    <s v="User Hand Detection"/>
    <s v="with Keyless Entry and Start  System"/>
    <s v="Sensor"/>
    <s v="Near Field Communication Antenna - Passenger Door"/>
    <s v="Near Field Communication Antenna - Passenger Door - User Hand Detection"/>
    <m/>
    <m/>
    <s v="53;23"/>
    <s v="TE"/>
    <s v="2141467-1"/>
    <s v="2 Pos. NanoMQS 0,5mm Sealed"/>
    <m/>
    <s v="No"/>
    <s v="Yes"/>
    <s v="No"/>
    <n v="0"/>
    <n v="0"/>
    <n v="0"/>
    <n v="0"/>
  </r>
  <r>
    <x v="42"/>
    <s v="13.0_Comfort &amp; Interior"/>
    <s v="13.x1_SteeringColumn-Adjustments"/>
    <s v="F0x44"/>
    <s v="Steering Column, Electric Adjustment"/>
    <s v="-"/>
    <s v="Comfort"/>
    <s v="Steering Column Adjust"/>
    <s v="Steering Column Movement Horizontal"/>
    <s v="Power Steering Column"/>
    <s v="Actuator"/>
    <s v="Stepper Motor"/>
    <s v="Stepper Motor - Steering Column Movement Horizontal"/>
    <m/>
    <m/>
    <s v="32;-11"/>
    <m/>
    <m/>
    <m/>
    <m/>
    <s v="No"/>
    <s v="No"/>
    <s v="Yes"/>
    <n v="0"/>
    <n v="0"/>
    <n v="0"/>
    <n v="0"/>
  </r>
  <r>
    <x v="43"/>
    <s v="13.0_Comfort &amp; Interior"/>
    <s v="13.x1_SteeringColumn-Adjustments"/>
    <s v="F0x44"/>
    <s v="Steering Column, Electric Adjustment"/>
    <s v="-"/>
    <s v="Comfort"/>
    <s v="Steering Column Adjust"/>
    <s v="Steering Column Movement Vertical"/>
    <s v="Power Steering Column"/>
    <s v="Actuator"/>
    <s v="Stepper Motor"/>
    <s v="Stepper Motor - Steering Column Movement Vertical"/>
    <m/>
    <m/>
    <s v="32;-11"/>
    <m/>
    <m/>
    <m/>
    <m/>
    <s v="No"/>
    <s v="No"/>
    <s v="Yes"/>
    <n v="0"/>
    <n v="0"/>
    <n v="0"/>
    <n v="0"/>
  </r>
  <r>
    <x v="44"/>
    <s v="13.0_Comfort &amp; Interior"/>
    <s v="13.x2_GloveBox-Openning"/>
    <s v="F0x45"/>
    <s v="Glove Box Lid, Electrically Driven"/>
    <s v="-"/>
    <s v="Comfort"/>
    <s v="Central Locking"/>
    <s v="Glove Box Openning"/>
    <s v="Comfort"/>
    <s v="Actuator"/>
    <s v="Stepper Motor"/>
    <s v="Stepper Motor - Glove Box Openning"/>
    <m/>
    <m/>
    <s v="30;16"/>
    <s v="TE"/>
    <s v="2141627-1"/>
    <s v="4 Pos. MQS 0,63mm / MCON 1,2mm Unsealed"/>
    <m/>
    <s v="No"/>
    <s v="No"/>
    <s v="Yes"/>
    <n v="1.6666666666666666E-2"/>
    <n v="1.6666666666666666E-2"/>
    <n v="1.6666666666666666E-2"/>
    <n v="1.6666666666666666E-2"/>
  </r>
  <r>
    <x v="45"/>
    <s v="13.0_Comfort &amp; Interior"/>
    <s v="13.30_InsideLighting-System"/>
    <s v="F0054"/>
    <s v="Glove Box, Lighting"/>
    <s v="QM"/>
    <s v="Comfort"/>
    <s v="Internal Illumination"/>
    <s v="Glove Box illumination"/>
    <s v="Basic"/>
    <s v="Switch"/>
    <s v="Ajar Switch"/>
    <s v="Ajar Switch - Glove Box illumination"/>
    <m/>
    <m/>
    <s v="30;16"/>
    <s v="TE"/>
    <s v="1-929080-5"/>
    <s v="2 Pos. MQS 0,63mm Unsealed"/>
    <m/>
    <s v="Yes"/>
    <s v="Yes"/>
    <s v="Yes"/>
    <n v="0.05"/>
    <n v="0"/>
    <n v="0.05"/>
    <n v="0"/>
  </r>
  <r>
    <x v="46"/>
    <s v="13.0_Comfort &amp; Interior"/>
    <s v="13.30_InsideLighting-System"/>
    <s v="F0054"/>
    <s v="Glove Box, Lighting"/>
    <s v="QM"/>
    <s v="Comfort"/>
    <s v="Internal Illumination"/>
    <s v="Glove Box illumination"/>
    <s v="Basic"/>
    <s v="Actuator"/>
    <s v="LED Lamp"/>
    <s v="LED Lamp - Glove Box illumination"/>
    <m/>
    <m/>
    <s v="30;16"/>
    <s v="TE"/>
    <s v="2282150-1"/>
    <s v="2 Pos. NanoMQS 0,5mm Unsealed"/>
    <m/>
    <s v="Yes"/>
    <s v="Yes"/>
    <s v="Yes"/>
    <n v="0.05"/>
    <n v="0"/>
    <n v="0.05"/>
    <n v="0"/>
  </r>
  <r>
    <x v="47"/>
    <s v="16.0_Comfort &amp; Safety"/>
    <s v="16.10_Airbag-System"/>
    <s v="F0x15"/>
    <s v="Airbag Passenger, Knee Bag"/>
    <s v="D"/>
    <s v="Chassis"/>
    <s v="Airbag"/>
    <s v="Airbag"/>
    <s v="Passenger Knee"/>
    <s v="Igniter"/>
    <s v="Knee Airbag Passenger"/>
    <s v="Knee Airbag Passenger - Airbag"/>
    <m/>
    <m/>
    <s v="32;10"/>
    <s v="TE"/>
    <s v="353744-7"/>
    <s v="2 Pos. Squib Airbag"/>
    <m/>
    <s v="No"/>
    <s v="No"/>
    <s v="Yes"/>
    <n v="0"/>
    <n v="0"/>
    <n v="0"/>
    <n v="0"/>
  </r>
  <r>
    <x v="48"/>
    <s v="13.0_Comfort &amp; Interior"/>
    <s v="13.31_AmbientLighting-System"/>
    <s v="F0045"/>
    <s v="Foot Area Lighting, Front"/>
    <s v="QM"/>
    <s v="Comfort"/>
    <s v="Internal Illumination"/>
    <s v="Footwell Illumination FL"/>
    <s v="with Footwell Illumination"/>
    <s v="Actuator"/>
    <s v="LED Lamp"/>
    <s v="LED Lamp - Footwell Illumination FL"/>
    <m/>
    <m/>
    <s v="28;-17"/>
    <s v="TE"/>
    <s v="1379029-1"/>
    <s v="4 Pos. MQS 0,63mm Unsealed"/>
    <m/>
    <s v="No"/>
    <s v="Yes"/>
    <s v="Yes"/>
    <n v="0"/>
    <n v="0"/>
    <n v="0.5"/>
    <n v="0.5"/>
  </r>
  <r>
    <x v="49"/>
    <s v="13.0_Comfort &amp; Interior"/>
    <s v="13.31_AmbientLighting-System"/>
    <s v="F0045"/>
    <s v="Foot Area Lighting, Front"/>
    <s v="QM"/>
    <s v="Comfort"/>
    <s v="Internal Illumination"/>
    <s v="Footwell Illumination FR"/>
    <s v="with Footwell Illumination"/>
    <s v="Actuator"/>
    <s v="LED Lamp"/>
    <s v="LED Lamp - Footwell Illumination FR"/>
    <m/>
    <m/>
    <s v="28;17"/>
    <s v="TE"/>
    <s v="1379029-1"/>
    <s v="4 Pos. MQS 0,63mm Unsealed"/>
    <m/>
    <s v="No"/>
    <s v="Yes"/>
    <s v="Yes"/>
    <n v="0"/>
    <n v="0"/>
    <n v="0.5"/>
    <n v="0.5"/>
  </r>
  <r>
    <x v="50"/>
    <s v="36.0_Infotainment &amp; Connectivity"/>
    <s v="36.20_Navigation-System"/>
    <s v="F2023"/>
    <s v="Navigation, GPS"/>
    <m/>
    <s v="Infotainment"/>
    <s v="Center Display"/>
    <s v="User Interaction"/>
    <s v="Basic"/>
    <s v="Actuator"/>
    <s v="Touch Screen Monitor"/>
    <s v="Touch Screen Monitor - User Interaction"/>
    <m/>
    <m/>
    <s v="33;1"/>
    <m/>
    <m/>
    <m/>
    <m/>
    <s v="Yes"/>
    <s v="Yes"/>
    <s v="Yes"/>
    <n v="1"/>
    <n v="1"/>
    <n v="1"/>
    <n v="1"/>
  </r>
  <r>
    <x v="50"/>
    <s v="36.0_Infotainment &amp; Connectivity"/>
    <s v="36.34_V2S_System"/>
    <s v="F0319"/>
    <s v="Android Auto, Basis"/>
    <s v="QM"/>
    <s v="Infotainment"/>
    <s v="Center Display"/>
    <s v="User Interaction"/>
    <s v="Basic"/>
    <s v="Actuator"/>
    <s v="Touch Screen Monitor"/>
    <s v="Touch Screen Monitor - User Interaction"/>
    <m/>
    <m/>
    <s v="33;1"/>
    <m/>
    <m/>
    <m/>
    <m/>
    <s v="Yes"/>
    <s v="Yes"/>
    <s v="Yes"/>
    <n v="1"/>
    <n v="1"/>
    <n v="1"/>
    <n v="1"/>
  </r>
  <r>
    <x v="50"/>
    <s v="36.0_Infotainment &amp; Connectivity"/>
    <s v="36.34_V2S_System"/>
    <s v="F0561"/>
    <s v="Apple Car Play, Wireless"/>
    <s v="QM"/>
    <s v="Infotainment"/>
    <s v="Center Display"/>
    <s v="User Interaction"/>
    <s v="Basic"/>
    <s v="Actuator"/>
    <s v="Touch Screen Monitor"/>
    <s v="Touch Screen Monitor - User Interaction"/>
    <m/>
    <m/>
    <s v="33;1"/>
    <m/>
    <m/>
    <m/>
    <m/>
    <s v="Yes"/>
    <s v="Yes"/>
    <s v="Yes"/>
    <n v="1"/>
    <n v="1"/>
    <n v="1"/>
    <n v="1"/>
  </r>
  <r>
    <x v="50"/>
    <s v="80.0_Cross-Functions"/>
    <s v="80.87_HMI-Design"/>
    <s v="F0970"/>
    <s v="Display, Side2Side"/>
    <s v="QM"/>
    <s v="Infotainment"/>
    <s v="Center Display"/>
    <s v="User Interaction"/>
    <s v="Basic"/>
    <s v="Actuator"/>
    <s v="Touch Screen Monitor"/>
    <s v="Touch Screen Monitor - User Interaction"/>
    <m/>
    <m/>
    <s v="33;1"/>
    <m/>
    <m/>
    <m/>
    <m/>
    <s v="No"/>
    <s v="No"/>
    <s v="Yes"/>
    <n v="1"/>
    <n v="1"/>
    <n v="1"/>
    <n v="1"/>
  </r>
  <r>
    <x v="50"/>
    <s v="80.0_Cross-Functions"/>
    <s v="80.87_HMI-Design"/>
    <s v="F0972"/>
    <s v="Display, Side2Side (T-Shape)"/>
    <m/>
    <s v="Infotainment"/>
    <s v="Center Display"/>
    <s v="User Interaction"/>
    <s v="Basic"/>
    <s v="Actuator"/>
    <s v="Touch Screen Monitor"/>
    <s v="Touch Screen Monitor - User Interaction"/>
    <m/>
    <m/>
    <s v="33;1"/>
    <m/>
    <m/>
    <m/>
    <m/>
    <s v="No"/>
    <s v="No"/>
    <s v="Yes"/>
    <n v="1"/>
    <n v="1"/>
    <n v="1"/>
    <n v="1"/>
  </r>
  <r>
    <x v="50"/>
    <s v="80.0_Cross-Functions"/>
    <s v="80.87_HMI-Design"/>
    <s v="F0973"/>
    <s v="Display, Passenger"/>
    <s v="QM"/>
    <s v="Infotainment"/>
    <s v="Center Display"/>
    <s v="User Interaction"/>
    <s v="Basic"/>
    <s v="Actuator"/>
    <s v="Touch Screen Monitor"/>
    <s v="Touch Screen Monitor - User Interaction"/>
    <m/>
    <m/>
    <s v="33;1"/>
    <m/>
    <m/>
    <m/>
    <m/>
    <s v="No"/>
    <s v="No"/>
    <s v="Yes"/>
    <n v="1"/>
    <n v="1"/>
    <n v="1"/>
    <n v="1"/>
  </r>
  <r>
    <x v="50"/>
    <s v="80.0_Cross-Functions"/>
    <s v="80.87_HMI-Design"/>
    <s v="F2012"/>
    <s v="Display"/>
    <s v="QM"/>
    <s v="Infotainment"/>
    <s v="Center Display"/>
    <s v="User Interaction"/>
    <s v="Basic"/>
    <s v="Actuator"/>
    <s v="Touch Screen Monitor"/>
    <s v="Touch Screen Monitor - User Interaction"/>
    <m/>
    <m/>
    <s v="33;1"/>
    <m/>
    <m/>
    <m/>
    <m/>
    <s v="Yes"/>
    <s v="Yes"/>
    <s v="Yes"/>
    <n v="1"/>
    <n v="1"/>
    <n v="1"/>
    <n v="1"/>
  </r>
  <r>
    <x v="51"/>
    <s v="14.0_HMI &amp; OutsideInformation"/>
    <s v="14.10_DriverInformation-System"/>
    <s v="F0168"/>
    <s v="Indications, Charging Completed"/>
    <s v="TBD"/>
    <s v="Powertrain"/>
    <s v="HV Battery"/>
    <s v="Power Convertion"/>
    <s v="EV"/>
    <s v="Actuator"/>
    <s v="Onboard Charger"/>
    <s v="Onboard Charger - Power Convertion"/>
    <m/>
    <m/>
    <s v="92;-18"/>
    <m/>
    <m/>
    <m/>
    <m/>
    <s v="No"/>
    <s v="No"/>
    <s v="Yes"/>
    <n v="0"/>
    <n v="0"/>
    <n v="0"/>
    <n v="0"/>
  </r>
  <r>
    <x v="51"/>
    <s v="14.0_HMI &amp; OutsideInformation"/>
    <s v="14.10_DriverInformation-System"/>
    <s v="F0463"/>
    <s v="Indications, Recuperation Statistics"/>
    <s v="B"/>
    <s v="Powertrain"/>
    <s v="HV Battery"/>
    <s v="Power Convertion"/>
    <s v="EV"/>
    <s v="Actuator"/>
    <s v="Onboard Charger"/>
    <s v="Onboard Charger - Power Convertion"/>
    <m/>
    <m/>
    <s v="92;-18"/>
    <m/>
    <m/>
    <m/>
    <m/>
    <s v="No"/>
    <s v="No"/>
    <s v="Yes"/>
    <n v="0"/>
    <n v="0"/>
    <n v="0"/>
    <n v="0"/>
  </r>
  <r>
    <x v="51"/>
    <s v="14.0_HMI &amp; OutsideInformation"/>
    <s v="14.10_DriverInformation-System"/>
    <s v="F0624"/>
    <s v="Indications, Battery Charging"/>
    <m/>
    <s v="Powertrain"/>
    <s v="HV Battery"/>
    <s v="Power Convertion"/>
    <s v="EV"/>
    <s v="Actuator"/>
    <s v="Onboard Charger"/>
    <s v="Onboard Charger - Power Convertion"/>
    <m/>
    <m/>
    <s v="92;-18"/>
    <m/>
    <m/>
    <m/>
    <m/>
    <s v="No"/>
    <s v="No"/>
    <s v="Yes"/>
    <n v="0"/>
    <n v="0"/>
    <n v="0"/>
    <n v="0"/>
  </r>
  <r>
    <x v="51"/>
    <s v="14.0_HMI &amp; OutsideInformation"/>
    <s v="14.10_DriverInformation-System"/>
    <s v="F0626"/>
    <s v="Indications, Error in HV System"/>
    <s v="A"/>
    <s v="Powertrain"/>
    <s v="HV Battery"/>
    <s v="Power Convertion"/>
    <s v="EV"/>
    <s v="Actuator"/>
    <s v="Onboard Charger"/>
    <s v="Onboard Charger - Power Convertion"/>
    <m/>
    <m/>
    <s v="92;-18"/>
    <m/>
    <m/>
    <m/>
    <m/>
    <s v="No"/>
    <s v="No"/>
    <s v="Yes"/>
    <n v="0"/>
    <n v="0"/>
    <n v="0"/>
    <n v="0"/>
  </r>
  <r>
    <x v="51"/>
    <s v="38.0_E-Drive &amp; HV-Safety"/>
    <s v="38.11_EnergyStorage&amp;Converting-System"/>
    <s v="F0265"/>
    <s v="Energy Management, LV Power Supply"/>
    <s v="QM"/>
    <s v="Powertrain"/>
    <s v="HV Battery"/>
    <s v="Power Convertion"/>
    <s v="EV"/>
    <s v="Actuator"/>
    <s v="Onboard Charger"/>
    <s v="Onboard Charger - Power Convertion"/>
    <m/>
    <m/>
    <s v="92;-18"/>
    <m/>
    <m/>
    <m/>
    <m/>
    <s v="No"/>
    <s v="No"/>
    <s v="Yes"/>
    <n v="0"/>
    <n v="0"/>
    <n v="0"/>
    <n v="0"/>
  </r>
  <r>
    <x v="51"/>
    <s v="38.0_E-Drive &amp; HV-Safety"/>
    <s v="38.20_Charging-System"/>
    <s v="F0440"/>
    <s v="Charging Mode 2, AC 1-Phase Com"/>
    <m/>
    <s v="Powertrain"/>
    <s v="HV Battery"/>
    <s v="Power Convertion"/>
    <s v="EV"/>
    <s v="Actuator"/>
    <s v="Onboard Charger"/>
    <s v="Onboard Charger - Power Convertion"/>
    <m/>
    <m/>
    <s v="92;-18"/>
    <m/>
    <m/>
    <m/>
    <m/>
    <s v="No"/>
    <s v="No"/>
    <s v="Yes"/>
    <n v="0"/>
    <n v="0"/>
    <n v="0"/>
    <n v="0"/>
  </r>
  <r>
    <x v="51"/>
    <s v="38.0_E-Drive &amp; HV-Safety"/>
    <s v="38.20_Charging-System"/>
    <s v="F0458"/>
    <s v="Charging Management, Plug Lock"/>
    <m/>
    <s v="Powertrain"/>
    <s v="HV Battery"/>
    <s v="Power Convertion"/>
    <s v="EV"/>
    <s v="Actuator"/>
    <s v="Onboard Charger"/>
    <s v="Onboard Charger - Power Convertion"/>
    <m/>
    <m/>
    <s v="92;-18"/>
    <m/>
    <m/>
    <m/>
    <m/>
    <s v="No"/>
    <s v="No"/>
    <s v="Yes"/>
    <n v="0"/>
    <n v="0"/>
    <n v="0"/>
    <n v="0"/>
  </r>
  <r>
    <x v="51"/>
    <s v="38.0_E-Drive &amp; HV-Safety"/>
    <s v="38.20_Charging-System"/>
    <s v="F0683"/>
    <s v="Charging Mode 3 (IEC)/ Level 2 (SAE), AC 1-Phase Wallbox"/>
    <m/>
    <s v="Powertrain"/>
    <s v="HV Battery"/>
    <s v="Power Convertion"/>
    <s v="EV"/>
    <s v="Actuator"/>
    <s v="Onboard Charger"/>
    <s v="Onboard Charger - Power Convertion"/>
    <m/>
    <m/>
    <s v="92;-18"/>
    <m/>
    <m/>
    <m/>
    <m/>
    <s v="No"/>
    <s v="No"/>
    <s v="Yes"/>
    <n v="0"/>
    <n v="0"/>
    <n v="0"/>
    <n v="0"/>
  </r>
  <r>
    <x v="51"/>
    <s v="38.0_E-Drive &amp; HV-Safety"/>
    <s v="38.20_Charging-System"/>
    <s v="F0684"/>
    <s v="Charging Mode 3 (IEC)/ Level 2 (SAE), AC 3-Phase Wallbox"/>
    <m/>
    <s v="Powertrain"/>
    <s v="HV Battery"/>
    <s v="Power Convertion"/>
    <s v="EV"/>
    <s v="Actuator"/>
    <s v="Onboard Charger"/>
    <s v="Onboard Charger - Power Convertion"/>
    <m/>
    <m/>
    <s v="92;-18"/>
    <m/>
    <m/>
    <m/>
    <m/>
    <s v="No"/>
    <s v="No"/>
    <s v="Yes"/>
    <n v="0"/>
    <n v="0"/>
    <n v="0"/>
    <n v="0"/>
  </r>
  <r>
    <x v="51"/>
    <s v="38.0_E-Drive &amp; HV-Safety"/>
    <s v="38.20_Charging-System"/>
    <s v="F0947"/>
    <s v="Outside Lighting, Charging Indication"/>
    <s v="QM"/>
    <s v="Powertrain"/>
    <s v="HV Battery"/>
    <s v="Power Convertion"/>
    <s v="EV"/>
    <s v="Actuator"/>
    <s v="Onboard Charger"/>
    <s v="Onboard Charger - Power Convertion"/>
    <m/>
    <m/>
    <s v="92;-18"/>
    <m/>
    <m/>
    <m/>
    <m/>
    <s v="No"/>
    <s v="No"/>
    <s v="Yes"/>
    <n v="0"/>
    <n v="0"/>
    <n v="0"/>
    <n v="0"/>
  </r>
  <r>
    <x v="51"/>
    <s v="38.0_E-Drive &amp; HV-Safety"/>
    <s v="38.20_Charging-System"/>
    <s v="F0986"/>
    <s v="Charging Mode 4 (IEC)/ Level 3 (SAE), DC, fast charging power (&gt;50kW), Communication and protection between charging station and vehicle"/>
    <m/>
    <s v="Powertrain"/>
    <s v="HV Battery"/>
    <s v="Power Convertion"/>
    <s v="EV"/>
    <s v="Actuator"/>
    <s v="Onboard Charger"/>
    <s v="Onboard Charger - Power Convertion"/>
    <m/>
    <m/>
    <s v="92;-18"/>
    <m/>
    <m/>
    <m/>
    <m/>
    <s v="No"/>
    <s v="No"/>
    <s v="Yes"/>
    <n v="0"/>
    <n v="0"/>
    <n v="0"/>
    <n v="0"/>
  </r>
  <r>
    <x v="51"/>
    <s v="38.0_E-Drive &amp; HV-Safety"/>
    <s v="38.20_Charging-System"/>
    <s v="F1024"/>
    <s v="Charging Management"/>
    <m/>
    <s v="Powertrain"/>
    <s v="HV Battery"/>
    <s v="Power Convertion"/>
    <s v="EV"/>
    <s v="Actuator"/>
    <s v="Onboard Charger"/>
    <s v="Onboard Charger - Power Convertion"/>
    <m/>
    <m/>
    <s v="92;-18"/>
    <m/>
    <m/>
    <m/>
    <m/>
    <s v="No"/>
    <s v="No"/>
    <s v="Yes"/>
    <n v="0"/>
    <n v="0"/>
    <n v="0"/>
    <n v="0"/>
  </r>
  <r>
    <x v="51"/>
    <s v="38.0_E-Drive &amp; HV-Safety"/>
    <s v="38.20_Charging-System"/>
    <s v="F1027"/>
    <s v="Charging, Status Lights"/>
    <m/>
    <s v="Powertrain"/>
    <s v="HV Battery"/>
    <s v="Power Convertion"/>
    <s v="EV"/>
    <s v="Actuator"/>
    <s v="Onboard Charger"/>
    <s v="Onboard Charger - Power Convertion"/>
    <m/>
    <m/>
    <s v="92;-18"/>
    <m/>
    <m/>
    <m/>
    <m/>
    <s v="No"/>
    <s v="No"/>
    <s v="Yes"/>
    <n v="0"/>
    <n v="0"/>
    <n v="0"/>
    <n v="0"/>
  </r>
  <r>
    <x v="51"/>
    <s v="38.0_E-Drive &amp; HV-Safety"/>
    <s v="38.20_Charging-System"/>
    <s v="F1080"/>
    <s v="Charging Management, Charging Converter 400V/800V (800V system voltage of vehicle)"/>
    <m/>
    <s v="Powertrain"/>
    <s v="HV Battery"/>
    <s v="Power Convertion"/>
    <s v="EV"/>
    <s v="Actuator"/>
    <s v="Onboard Charger"/>
    <s v="Onboard Charger - Power Convertion"/>
    <m/>
    <m/>
    <s v="92;-18"/>
    <m/>
    <m/>
    <m/>
    <m/>
    <s v="No"/>
    <s v="No"/>
    <s v="Yes"/>
    <n v="0"/>
    <n v="0"/>
    <n v="0"/>
    <n v="0"/>
  </r>
  <r>
    <x v="51"/>
    <s v="38.0_E-Drive &amp; HV-Safety"/>
    <s v="38.29_Charging-HW-Design"/>
    <s v="F0258"/>
    <s v="Type 2 - Plug System (Europe)"/>
    <s v="C"/>
    <s v="Powertrain"/>
    <s v="HV Battery"/>
    <s v="Power Convertion"/>
    <s v="EV"/>
    <s v="Actuator"/>
    <s v="Onboard Charger"/>
    <s v="Onboard Charger - Power Convertion"/>
    <m/>
    <m/>
    <s v="92;-18"/>
    <m/>
    <m/>
    <m/>
    <m/>
    <s v="No"/>
    <s v="No"/>
    <s v="Yes"/>
    <n v="0"/>
    <n v="0"/>
    <n v="0"/>
    <n v="0"/>
  </r>
  <r>
    <x v="51"/>
    <s v="38.0_E-Drive &amp; HV-Safety"/>
    <s v="38.29_Charging-HW-Design"/>
    <s v="F0682"/>
    <s v="Type 2 CCS - Plug System (Europe)"/>
    <s v="C"/>
    <s v="Powertrain"/>
    <s v="HV Battery"/>
    <s v="Power Convertion"/>
    <s v="EV"/>
    <s v="Actuator"/>
    <s v="Onboard Charger"/>
    <s v="Onboard Charger - Power Convertion"/>
    <m/>
    <m/>
    <s v="92;-18"/>
    <m/>
    <m/>
    <m/>
    <m/>
    <s v="No"/>
    <s v="No"/>
    <s v="Yes"/>
    <n v="0"/>
    <n v="0"/>
    <n v="0"/>
    <n v="0"/>
  </r>
  <r>
    <x v="51"/>
    <s v="80.0_Cross-Functions"/>
    <s v="80.81_VehicleStateManagement"/>
    <s v="F0640"/>
    <s v="Vehicle State Management, HV"/>
    <s v=" "/>
    <s v="Powertrain"/>
    <s v="HV Battery"/>
    <s v="Power Convertion"/>
    <s v="EV"/>
    <s v="Actuator"/>
    <s v="Onboard Charger"/>
    <s v="Onboard Charger - Power Convertion"/>
    <m/>
    <m/>
    <s v="92;-18"/>
    <m/>
    <m/>
    <m/>
    <m/>
    <s v="No"/>
    <s v="No"/>
    <s v="Yes"/>
    <n v="0"/>
    <n v="0"/>
    <n v="0"/>
    <n v="0"/>
  </r>
  <r>
    <x v="51"/>
    <m/>
    <m/>
    <s v="F0277"/>
    <s v="Charging Mode 1 (IEC)/ Level 1 (SAE), AC 1-Phase NoCom"/>
    <s v="C"/>
    <s v="Powertrain"/>
    <s v="HV Battery"/>
    <s v="Power Convertion"/>
    <s v="EV"/>
    <s v="Actuator"/>
    <s v="Onboard Charger"/>
    <s v="Onboard Charger - Power Convertion"/>
    <m/>
    <m/>
    <s v="92;-18"/>
    <m/>
    <m/>
    <m/>
    <m/>
    <s v="No"/>
    <s v="No"/>
    <s v="Yes"/>
    <n v="0"/>
    <n v="0"/>
    <n v="0"/>
    <n v="0"/>
  </r>
  <r>
    <x v="51"/>
    <m/>
    <m/>
    <s v="F0441"/>
    <s v="Charging Mode 2, AC 3-Phase Com"/>
    <m/>
    <s v="Powertrain"/>
    <s v="HV Battery"/>
    <s v="Power Convertion"/>
    <s v="EV"/>
    <s v="Actuator"/>
    <s v="Onboard Charger"/>
    <s v="Onboard Charger - Power Convertion"/>
    <m/>
    <m/>
    <s v="92;-18"/>
    <m/>
    <m/>
    <m/>
    <m/>
    <s v="No"/>
    <s v="No"/>
    <s v="Yes"/>
    <n v="0"/>
    <n v="0"/>
    <n v="0"/>
    <n v="0"/>
  </r>
  <r>
    <x v="52"/>
    <s v="38.0_E-Drive &amp; HV-Safety"/>
    <s v="38.10 HVBordnet&amp;Safety-System"/>
    <s v="F0275"/>
    <s v="Battery Management, BMS Self Protection"/>
    <s v="A"/>
    <s v="Powertrain"/>
    <s v="HV Battery"/>
    <s v="Operation Management - Computing"/>
    <s v="EV"/>
    <s v="Sensor"/>
    <s v="Monitoring"/>
    <s v="Monitoring - Operation Management - Computing"/>
    <m/>
    <m/>
    <m/>
    <m/>
    <m/>
    <m/>
    <m/>
    <m/>
    <m/>
    <m/>
    <m/>
    <m/>
    <m/>
    <m/>
  </r>
  <r>
    <x v="52"/>
    <s v="38.0_E-Drive &amp; HV-Safety"/>
    <s v="38.10 HVBordnet&amp;Safety-System"/>
    <s v="F0276"/>
    <s v="HV-Safety, Isolation Observation"/>
    <s v="A"/>
    <s v="Powertrain"/>
    <s v="HV Battery"/>
    <s v="Operation Management - Computing"/>
    <s v="EV"/>
    <s v="Sensor"/>
    <s v="Monitoring"/>
    <s v="Monitoring - Operation Management - Computing"/>
    <m/>
    <m/>
    <m/>
    <m/>
    <m/>
    <m/>
    <m/>
    <m/>
    <m/>
    <m/>
    <m/>
    <m/>
    <m/>
    <m/>
  </r>
  <r>
    <x v="53"/>
    <s v="39.0_HVAC &amp; Thermal"/>
    <s v="39.11_ComponentThermal-System"/>
    <s v="F0189"/>
    <s v="Thermal Management, HV-Battery Heating"/>
    <m/>
    <s v="Powertrain"/>
    <s v="Cooling/Heating"/>
    <s v="Coolant Temperature"/>
    <s v="EV"/>
    <s v="Sensor"/>
    <s v="Coolant Temperature - Battery Intake"/>
    <s v="Coolant Temperature - Battery Intake - Coolant Temperature"/>
    <m/>
    <m/>
    <s v="21;13"/>
    <m/>
    <m/>
    <m/>
    <m/>
    <s v="No"/>
    <s v="No"/>
    <s v="Yes"/>
    <n v="1"/>
    <n v="1"/>
    <n v="1"/>
    <n v="1"/>
  </r>
  <r>
    <x v="53"/>
    <s v="39.0_HVAC &amp; Thermal"/>
    <s v="39.11_ComponentThermal-System"/>
    <s v="F0257"/>
    <s v="HV-Components, Cooling"/>
    <m/>
    <s v="Powertrain"/>
    <s v="Cooling/Heating"/>
    <s v="Coolant Temperature"/>
    <s v="EV"/>
    <s v="Sensor"/>
    <s v="Coolant Temperature - Battery Intake"/>
    <s v="Coolant Temperature - Battery Intake - Coolant Temperature"/>
    <m/>
    <m/>
    <s v="21;13"/>
    <m/>
    <m/>
    <m/>
    <m/>
    <s v="No"/>
    <s v="No"/>
    <s v="Yes"/>
    <n v="1"/>
    <n v="1"/>
    <n v="1"/>
    <n v="1"/>
  </r>
  <r>
    <x v="53"/>
    <s v="39.0_HVAC &amp; Thermal"/>
    <s v="39.11_ComponentThermal-System"/>
    <s v="F0393"/>
    <s v="Thermal Management, Master (BEV Vehicles)"/>
    <m/>
    <s v="Powertrain"/>
    <s v="Cooling/Heating"/>
    <s v="Coolant Temperature"/>
    <s v="EV"/>
    <s v="Sensor"/>
    <s v="Coolant Temperature - Battery Intake"/>
    <s v="Coolant Temperature - Battery Intake - Coolant Temperature"/>
    <m/>
    <m/>
    <s v="21;13"/>
    <m/>
    <m/>
    <m/>
    <m/>
    <s v="No"/>
    <s v="No"/>
    <s v="Yes"/>
    <n v="1"/>
    <n v="1"/>
    <n v="1"/>
    <n v="1"/>
  </r>
  <r>
    <x v="53"/>
    <s v="39.0_HVAC &amp; Thermal"/>
    <s v="39.11_ComponentThermal-System"/>
    <s v="F0459"/>
    <s v="Thermal Management, HV-Battery Cooling"/>
    <m/>
    <s v="Powertrain"/>
    <s v="Cooling/Heating"/>
    <s v="Coolant Temperature"/>
    <s v="EV"/>
    <s v="Sensor"/>
    <s v="Coolant Temperature - Battery Intake"/>
    <s v="Coolant Temperature - Battery Intake - Coolant Temperature"/>
    <m/>
    <m/>
    <s v="21;13"/>
    <m/>
    <m/>
    <m/>
    <m/>
    <s v="No"/>
    <s v="No"/>
    <s v="Yes"/>
    <n v="1"/>
    <n v="1"/>
    <n v="1"/>
    <n v="1"/>
  </r>
  <r>
    <x v="53"/>
    <s v="39.0_HVAC &amp; Thermal"/>
    <s v="39.11_ComponentThermal-System"/>
    <s v="F0553"/>
    <s v="Thermal Management, HV-CoolingGeneration"/>
    <m/>
    <s v="Powertrain"/>
    <s v="Cooling/Heating"/>
    <s v="Coolant Temperature"/>
    <s v="EV"/>
    <s v="Sensor"/>
    <s v="Coolant Temperature - Battery Intake"/>
    <s v="Coolant Temperature - Battery Intake - Coolant Temperature"/>
    <m/>
    <m/>
    <s v="21;13"/>
    <m/>
    <m/>
    <m/>
    <m/>
    <s v="No"/>
    <s v="No"/>
    <s v="Yes"/>
    <n v="1"/>
    <n v="1"/>
    <n v="1"/>
    <n v="1"/>
  </r>
  <r>
    <x v="53"/>
    <s v="39.0_HVAC &amp; Thermal"/>
    <s v="39.11_ComponentThermal-System"/>
    <s v="F0615"/>
    <s v="Thermal Management, HV-HeatingGeneration"/>
    <m/>
    <s v="Powertrain"/>
    <s v="Cooling/Heating"/>
    <s v="Coolant Temperature"/>
    <s v="EV"/>
    <s v="Sensor"/>
    <s v="Coolant Temperature - Battery Intake"/>
    <s v="Coolant Temperature - Battery Intake - Coolant Temperature"/>
    <m/>
    <m/>
    <s v="21;13"/>
    <m/>
    <m/>
    <m/>
    <m/>
    <s v="No"/>
    <s v="No"/>
    <s v="Yes"/>
    <n v="1"/>
    <n v="1"/>
    <n v="1"/>
    <n v="1"/>
  </r>
  <r>
    <x v="53"/>
    <s v="39.0_HVAC &amp; Thermal"/>
    <s v="39.11_ComponentThermal-System"/>
    <s v="F1340"/>
    <s v="HV-Components, Heating"/>
    <m/>
    <s v="Powertrain"/>
    <s v="Cooling/Heating"/>
    <s v="Coolant Temperature"/>
    <s v="EV"/>
    <s v="Sensor"/>
    <s v="Coolant Temperature - Battery Intake"/>
    <s v="Coolant Temperature - Battery Intake - Coolant Temperature"/>
    <m/>
    <m/>
    <s v="21;13"/>
    <m/>
    <m/>
    <m/>
    <m/>
    <s v="No"/>
    <s v="No"/>
    <s v="Yes"/>
    <n v="1"/>
    <n v="1"/>
    <n v="1"/>
    <n v="1"/>
  </r>
  <r>
    <x v="54"/>
    <s v="39.0_HVAC &amp; Thermal"/>
    <s v="39.11_ComponentThermal-System"/>
    <s v="F0189"/>
    <s v="Thermal Management, HV-Battery Heating"/>
    <m/>
    <s v="Powertrain"/>
    <s v="Cooling/Heating"/>
    <s v="Coolant Temperature"/>
    <s v="EV"/>
    <s v="Sensor"/>
    <s v="Coolant Temperature - Battery Outlet"/>
    <s v="Coolant Temperature - Battery Outlet - Coolant Temperature"/>
    <m/>
    <m/>
    <s v="21;-13"/>
    <m/>
    <m/>
    <m/>
    <m/>
    <s v="No"/>
    <s v="No"/>
    <s v="Yes"/>
    <n v="1"/>
    <n v="1"/>
    <n v="1"/>
    <n v="1"/>
  </r>
  <r>
    <x v="54"/>
    <s v="39.0_HVAC &amp; Thermal"/>
    <s v="39.11_ComponentThermal-System"/>
    <s v="F0257"/>
    <s v="HV-Components, Cooling"/>
    <m/>
    <s v="Powertrain"/>
    <s v="Cooling/Heating"/>
    <s v="Coolant Temperature"/>
    <s v="EV"/>
    <s v="Sensor"/>
    <s v="Coolant Temperature - Battery Outlet"/>
    <s v="Coolant Temperature - Battery Outlet - Coolant Temperature"/>
    <m/>
    <m/>
    <s v="21;-13"/>
    <m/>
    <m/>
    <m/>
    <m/>
    <s v="No"/>
    <s v="No"/>
    <s v="Yes"/>
    <n v="1"/>
    <n v="1"/>
    <n v="1"/>
    <n v="1"/>
  </r>
  <r>
    <x v="54"/>
    <s v="39.0_HVAC &amp; Thermal"/>
    <s v="39.11_ComponentThermal-System"/>
    <s v="F0393"/>
    <s v="Thermal Management, Master (BEV Vehicles)"/>
    <m/>
    <s v="Powertrain"/>
    <s v="Cooling/Heating"/>
    <s v="Coolant Temperature"/>
    <s v="EV"/>
    <s v="Sensor"/>
    <s v="Coolant Temperature - Battery Outlet"/>
    <s v="Coolant Temperature - Battery Outlet - Coolant Temperature"/>
    <m/>
    <m/>
    <s v="21;-13"/>
    <m/>
    <m/>
    <m/>
    <m/>
    <s v="No"/>
    <s v="No"/>
    <s v="Yes"/>
    <n v="1"/>
    <n v="1"/>
    <n v="1"/>
    <n v="1"/>
  </r>
  <r>
    <x v="54"/>
    <s v="39.0_HVAC &amp; Thermal"/>
    <s v="39.11_ComponentThermal-System"/>
    <s v="F0459"/>
    <s v="Thermal Management, HV-Battery Cooling"/>
    <m/>
    <s v="Powertrain"/>
    <s v="Cooling/Heating"/>
    <s v="Coolant Temperature"/>
    <s v="EV"/>
    <s v="Sensor"/>
    <s v="Coolant Temperature - Battery Outlet"/>
    <s v="Coolant Temperature - Battery Outlet - Coolant Temperature"/>
    <m/>
    <m/>
    <s v="21;-13"/>
    <m/>
    <m/>
    <m/>
    <m/>
    <s v="No"/>
    <s v="No"/>
    <s v="Yes"/>
    <n v="1"/>
    <n v="1"/>
    <n v="1"/>
    <n v="1"/>
  </r>
  <r>
    <x v="54"/>
    <s v="39.0_HVAC &amp; Thermal"/>
    <s v="39.11_ComponentThermal-System"/>
    <s v="F0553"/>
    <s v="Thermal Management, HV-CoolingGeneration"/>
    <m/>
    <s v="Powertrain"/>
    <s v="Cooling/Heating"/>
    <s v="Coolant Temperature"/>
    <s v="EV"/>
    <s v="Sensor"/>
    <s v="Coolant Temperature - Battery Outlet"/>
    <s v="Coolant Temperature - Battery Outlet - Coolant Temperature"/>
    <m/>
    <m/>
    <s v="21;-13"/>
    <m/>
    <m/>
    <m/>
    <m/>
    <s v="No"/>
    <s v="No"/>
    <s v="Yes"/>
    <n v="1"/>
    <n v="1"/>
    <n v="1"/>
    <n v="1"/>
  </r>
  <r>
    <x v="54"/>
    <s v="39.0_HVAC &amp; Thermal"/>
    <s v="39.11_ComponentThermal-System"/>
    <s v="F0615"/>
    <s v="Thermal Management, HV-HeatingGeneration"/>
    <m/>
    <s v="Powertrain"/>
    <s v="Cooling/Heating"/>
    <s v="Coolant Temperature"/>
    <s v="EV"/>
    <s v="Sensor"/>
    <s v="Coolant Temperature - Battery Outlet"/>
    <s v="Coolant Temperature - Battery Outlet - Coolant Temperature"/>
    <m/>
    <m/>
    <s v="21;-13"/>
    <m/>
    <m/>
    <m/>
    <m/>
    <s v="No"/>
    <s v="No"/>
    <s v="Yes"/>
    <n v="1"/>
    <n v="1"/>
    <n v="1"/>
    <n v="1"/>
  </r>
  <r>
    <x v="54"/>
    <s v="39.0_HVAC &amp; Thermal"/>
    <s v="39.11_ComponentThermal-System"/>
    <s v="F1340"/>
    <s v="HV-Components, Heating"/>
    <m/>
    <s v="Powertrain"/>
    <s v="Cooling/Heating"/>
    <s v="Coolant Temperature"/>
    <s v="EV"/>
    <s v="Sensor"/>
    <s v="Coolant Temperature - Battery Outlet"/>
    <s v="Coolant Temperature - Battery Outlet - Coolant Temperature"/>
    <m/>
    <m/>
    <s v="21;-13"/>
    <m/>
    <m/>
    <m/>
    <m/>
    <s v="No"/>
    <s v="No"/>
    <s v="Yes"/>
    <n v="1"/>
    <n v="1"/>
    <n v="1"/>
    <n v="1"/>
  </r>
  <r>
    <x v="55"/>
    <s v="14.0_HMI &amp; OutsideInformation"/>
    <s v="14.10_DriverInformation-System"/>
    <s v="F0168"/>
    <s v="Indications, Charging Completed"/>
    <s v="TBD"/>
    <s v="Powertrain"/>
    <s v="HV Battery"/>
    <s v="Battery Discharge Monitoring"/>
    <s v="EV"/>
    <s v="Sensor"/>
    <s v="Shunt"/>
    <s v="Shunt - Battery Discharge Monitoring"/>
    <m/>
    <m/>
    <s v="88;-10"/>
    <m/>
    <m/>
    <m/>
    <m/>
    <s v="No"/>
    <s v="No"/>
    <s v="Yes"/>
    <n v="1"/>
    <n v="1"/>
    <n v="1"/>
    <n v="1"/>
  </r>
  <r>
    <x v="55"/>
    <s v="14.0_HMI &amp; OutsideInformation"/>
    <s v="14.10_DriverInformation-System"/>
    <s v="F0463"/>
    <s v="Indications, Recuperation Statistics"/>
    <s v="B"/>
    <s v="Powertrain"/>
    <s v="HV Battery"/>
    <s v="Battery Discharge Monitoring"/>
    <s v="EV"/>
    <s v="Sensor"/>
    <s v="Shunt"/>
    <s v="Shunt - Battery Discharge Monitoring"/>
    <m/>
    <m/>
    <s v="88;-10"/>
    <m/>
    <m/>
    <m/>
    <m/>
    <s v="No"/>
    <s v="No"/>
    <s v="Yes"/>
    <n v="1"/>
    <n v="1"/>
    <n v="1"/>
    <n v="1"/>
  </r>
  <r>
    <x v="55"/>
    <s v="14.0_HMI &amp; OutsideInformation"/>
    <s v="14.10_DriverInformation-System"/>
    <s v="F0626"/>
    <s v="Indications, Error in HV System"/>
    <s v="A"/>
    <s v="Powertrain"/>
    <s v="HV Battery"/>
    <s v="Battery Discharge Monitoring"/>
    <s v="EV"/>
    <s v="Sensor"/>
    <s v="Shunt"/>
    <s v="Shunt - Battery Discharge Monitoring"/>
    <m/>
    <m/>
    <s v="88;-10"/>
    <m/>
    <m/>
    <m/>
    <m/>
    <s v="No"/>
    <s v="No"/>
    <s v="Yes"/>
    <n v="1"/>
    <n v="1"/>
    <n v="1"/>
    <n v="1"/>
  </r>
  <r>
    <x v="55"/>
    <s v="14.0_HMI &amp; OutsideInformation"/>
    <s v="14.10_DriverInformation-System"/>
    <s v="F0631"/>
    <s v="Indications, Electric Range Estimation"/>
    <s v="B"/>
    <s v="Powertrain"/>
    <s v="HV Battery"/>
    <s v="Battery Discharge Monitoring"/>
    <s v="EV"/>
    <s v="Sensor"/>
    <s v="Shunt"/>
    <s v="Shunt - Battery Discharge Monitoring"/>
    <m/>
    <m/>
    <s v="88;-10"/>
    <m/>
    <m/>
    <m/>
    <m/>
    <s v="No"/>
    <s v="No"/>
    <s v="Yes"/>
    <n v="1"/>
    <n v="1"/>
    <n v="1"/>
    <n v="1"/>
  </r>
  <r>
    <x v="55"/>
    <s v="14.0_HMI &amp; OutsideInformation"/>
    <s v="14.10_DriverInformation-System"/>
    <s v="F0788"/>
    <s v="Indications, Battery Level (SOH)"/>
    <s v="TBD"/>
    <s v="Powertrain"/>
    <s v="HV Battery"/>
    <s v="Battery Discharge Monitoring"/>
    <s v="EV"/>
    <s v="Sensor"/>
    <s v="Shunt"/>
    <s v="Shunt - Battery Discharge Monitoring"/>
    <m/>
    <m/>
    <s v="88;-10"/>
    <m/>
    <m/>
    <m/>
    <m/>
    <s v="No"/>
    <s v="No"/>
    <s v="Yes"/>
    <n v="1"/>
    <n v="1"/>
    <n v="1"/>
    <n v="1"/>
  </r>
  <r>
    <x v="55"/>
    <s v="38.0_E-Drive &amp; HV-Safety"/>
    <s v="38.10 HVBordnet&amp;Safety-System"/>
    <s v="F0086"/>
    <s v="HV-Safety, Zero Potential Detection"/>
    <s v="A"/>
    <s v="Powertrain"/>
    <s v="HV Battery"/>
    <s v="Battery Discharge Monitoring"/>
    <s v="EV"/>
    <s v="Sensor"/>
    <s v="Shunt"/>
    <s v="Shunt - Battery Discharge Monitoring"/>
    <m/>
    <m/>
    <s v="88;-10"/>
    <m/>
    <m/>
    <m/>
    <m/>
    <s v="No"/>
    <s v="No"/>
    <s v="Yes"/>
    <n v="1"/>
    <n v="1"/>
    <n v="1"/>
    <n v="1"/>
  </r>
  <r>
    <x v="55"/>
    <s v="38.0_E-Drive &amp; HV-Safety"/>
    <s v="38.10 HVBordnet&amp;Safety-System"/>
    <s v="F0275"/>
    <s v="Battery Management, BMS Self Protection"/>
    <s v="A"/>
    <s v="Powertrain"/>
    <s v="HV Battery"/>
    <s v="Battery Discharge Monitoring"/>
    <s v="EV"/>
    <s v="Sensor"/>
    <s v="Shunt"/>
    <s v="Shunt - Battery Discharge Monitoring"/>
    <m/>
    <m/>
    <s v="88;-10"/>
    <m/>
    <m/>
    <m/>
    <m/>
    <s v="No"/>
    <s v="No"/>
    <s v="Yes"/>
    <n v="1"/>
    <n v="1"/>
    <n v="1"/>
    <n v="1"/>
  </r>
  <r>
    <x v="55"/>
    <s v="38.0_E-Drive &amp; HV-Safety"/>
    <s v="38.10 HVBordnet&amp;Safety-System"/>
    <s v="F0276"/>
    <s v="HV-Safety, Isolation Observation"/>
    <s v="A"/>
    <s v="Powertrain"/>
    <s v="HV Battery"/>
    <s v="Battery Discharge Monitoring"/>
    <s v="EV"/>
    <s v="Sensor"/>
    <s v="Shunt"/>
    <s v="Shunt - Battery Discharge Monitoring"/>
    <m/>
    <m/>
    <s v="88;-10"/>
    <m/>
    <m/>
    <m/>
    <m/>
    <s v="No"/>
    <s v="No"/>
    <s v="Yes"/>
    <n v="1"/>
    <n v="1"/>
    <n v="1"/>
    <n v="1"/>
  </r>
  <r>
    <x v="55"/>
    <s v="38.0_E-Drive &amp; HV-Safety"/>
    <s v="38.10 HVBordnet&amp;Safety-System"/>
    <s v="F0687"/>
    <s v="Battery Management, Power Derating"/>
    <s v="QM"/>
    <s v="Powertrain"/>
    <s v="HV Battery"/>
    <s v="Battery Discharge Monitoring"/>
    <s v="EV"/>
    <s v="Sensor"/>
    <s v="Shunt"/>
    <s v="Shunt - Battery Discharge Monitoring"/>
    <m/>
    <m/>
    <s v="88;-10"/>
    <m/>
    <m/>
    <m/>
    <m/>
    <s v="No"/>
    <s v="No"/>
    <s v="Yes"/>
    <n v="1"/>
    <n v="1"/>
    <n v="1"/>
    <n v="1"/>
  </r>
  <r>
    <x v="55"/>
    <s v="38.0_E-Drive &amp; HV-Safety"/>
    <s v="38.10 HVBordnet&amp;Safety-System"/>
    <s v="F0691"/>
    <s v="Battery Management, State Of Health (SOH)"/>
    <s v="A"/>
    <s v="Powertrain"/>
    <s v="HV Battery"/>
    <s v="Battery Discharge Monitoring"/>
    <s v="EV"/>
    <s v="Sensor"/>
    <s v="Shunt"/>
    <s v="Shunt - Battery Discharge Monitoring"/>
    <m/>
    <m/>
    <s v="88;-10"/>
    <m/>
    <m/>
    <m/>
    <m/>
    <s v="No"/>
    <s v="No"/>
    <s v="Yes"/>
    <n v="1"/>
    <n v="1"/>
    <n v="1"/>
    <n v="1"/>
  </r>
  <r>
    <x v="55"/>
    <s v="38.0_E-Drive &amp; HV-Safety"/>
    <s v="38.10 HVBordnet&amp;Safety-System"/>
    <s v="F0692"/>
    <s v="Battery Management, State Of Charge (SOC)"/>
    <s v="QM"/>
    <s v="Powertrain"/>
    <s v="HV Battery"/>
    <s v="Battery Discharge Monitoring"/>
    <s v="EV"/>
    <s v="Sensor"/>
    <s v="Shunt"/>
    <s v="Shunt - Battery Discharge Monitoring"/>
    <m/>
    <m/>
    <s v="88;-10"/>
    <m/>
    <m/>
    <m/>
    <m/>
    <s v="No"/>
    <s v="No"/>
    <s v="Yes"/>
    <n v="1"/>
    <n v="1"/>
    <n v="1"/>
    <n v="1"/>
  </r>
  <r>
    <x v="55"/>
    <s v="38.0_E-Drive &amp; HV-Safety"/>
    <s v="38.10 HVBordnet&amp;Safety-System"/>
    <s v="F1028"/>
    <s v="Battery Management, UI Monitoring"/>
    <s v="A"/>
    <s v="Powertrain"/>
    <s v="HV Battery"/>
    <s v="Battery Discharge Monitoring"/>
    <s v="EV"/>
    <s v="Sensor"/>
    <s v="Shunt"/>
    <s v="Shunt - Battery Discharge Monitoring"/>
    <m/>
    <m/>
    <s v="88;-10"/>
    <m/>
    <m/>
    <m/>
    <m/>
    <s v="No"/>
    <s v="No"/>
    <s v="Yes"/>
    <n v="1"/>
    <n v="1"/>
    <n v="1"/>
    <n v="1"/>
  </r>
  <r>
    <x v="55"/>
    <s v="38.0_E-Drive &amp; HV-Safety"/>
    <s v="38.20_Charging-System"/>
    <s v="F0458"/>
    <s v="Charging Management, Plug Lock"/>
    <m/>
    <s v="Powertrain"/>
    <s v="HV Battery"/>
    <s v="Battery Discharge Monitoring"/>
    <s v="EV"/>
    <s v="Sensor"/>
    <s v="Shunt"/>
    <s v="Shunt - Battery Discharge Monitoring"/>
    <m/>
    <m/>
    <s v="88;-10"/>
    <m/>
    <m/>
    <m/>
    <m/>
    <s v="No"/>
    <s v="No"/>
    <s v="Yes"/>
    <n v="1"/>
    <n v="1"/>
    <n v="1"/>
    <n v="1"/>
  </r>
  <r>
    <x v="56"/>
    <s v="16.0_Comfort &amp; Safety"/>
    <s v="16.12_CrashHandling-System"/>
    <s v="F0777"/>
    <s v="Crashdetection, LV-Safety"/>
    <m/>
    <s v="Chassis"/>
    <s v="Airbag"/>
    <s v="LV Battery Shut-Off"/>
    <s v="Basic"/>
    <s v="Igniter"/>
    <s v="Pyro-Fuse"/>
    <s v="Pyro-Fuse - LV Battery Shut-Off"/>
    <m/>
    <m/>
    <s v="98;18"/>
    <m/>
    <m/>
    <m/>
    <m/>
    <s v="No"/>
    <s v="Yes"/>
    <s v="Yes"/>
    <n v="0"/>
    <n v="0"/>
    <n v="0"/>
    <n v="0"/>
  </r>
  <r>
    <x v="57"/>
    <s v="14.0_HMI &amp; OutsideInformation"/>
    <s v="14.10_DriverInformation-System"/>
    <s v="F0168"/>
    <s v="Indications, Charging Completed"/>
    <s v="TBD"/>
    <s v="Powertrain"/>
    <s v="HV Battery"/>
    <s v="Cells Balancing Monitor"/>
    <s v="EV"/>
    <s v="Actuator"/>
    <s v="Cells Balancing Boards"/>
    <s v="Cells Balancing Boards - Cells Balancing Monitor"/>
    <m/>
    <m/>
    <m/>
    <m/>
    <m/>
    <m/>
    <m/>
    <m/>
    <m/>
    <m/>
    <m/>
    <m/>
    <m/>
    <m/>
  </r>
  <r>
    <x v="57"/>
    <s v="14.0_HMI &amp; OutsideInformation"/>
    <s v="14.10_DriverInformation-System"/>
    <s v="F0463"/>
    <s v="Indications, Recuperation Statistics"/>
    <s v="B"/>
    <s v="Powertrain"/>
    <s v="HV Battery"/>
    <s v="Cells Balancing Monitor"/>
    <s v="EV"/>
    <s v="Actuator"/>
    <s v="Cells Balancing Boards"/>
    <s v="Cells Balancing Boards - Cells Balancing Monitor"/>
    <m/>
    <m/>
    <m/>
    <m/>
    <m/>
    <m/>
    <m/>
    <m/>
    <m/>
    <m/>
    <m/>
    <m/>
    <m/>
    <m/>
  </r>
  <r>
    <x v="57"/>
    <s v="14.0_HMI &amp; OutsideInformation"/>
    <s v="14.10_DriverInformation-System"/>
    <s v="F0624"/>
    <s v="Indications, Battery Charging"/>
    <m/>
    <s v="Powertrain"/>
    <s v="HV Battery"/>
    <s v="Cells Balancing Monitor"/>
    <s v="EV"/>
    <s v="Actuator"/>
    <s v="Cells Balancing Boards"/>
    <s v="Cells Balancing Boards - Cells Balancing Monitor"/>
    <m/>
    <m/>
    <m/>
    <m/>
    <m/>
    <m/>
    <m/>
    <m/>
    <m/>
    <m/>
    <m/>
    <m/>
    <m/>
    <m/>
  </r>
  <r>
    <x v="57"/>
    <s v="14.0_HMI &amp; OutsideInformation"/>
    <s v="14.10_DriverInformation-System"/>
    <s v="F0626"/>
    <s v="Indications, Error in HV System"/>
    <s v="A"/>
    <s v="Powertrain"/>
    <s v="HV Battery"/>
    <s v="Cells Balancing Monitor"/>
    <s v="EV"/>
    <s v="Actuator"/>
    <s v="Cells Balancing Boards"/>
    <s v="Cells Balancing Boards - Cells Balancing Monitor"/>
    <m/>
    <m/>
    <m/>
    <m/>
    <m/>
    <m/>
    <m/>
    <m/>
    <m/>
    <m/>
    <m/>
    <m/>
    <m/>
    <m/>
  </r>
  <r>
    <x v="57"/>
    <s v="14.0_HMI &amp; OutsideInformation"/>
    <s v="14.10_DriverInformation-System"/>
    <s v="F0631"/>
    <s v="Indications, Electric Range Estimation"/>
    <s v="B"/>
    <s v="Powertrain"/>
    <s v="HV Battery"/>
    <s v="Cells Balancing Monitor"/>
    <s v="EV"/>
    <s v="Actuator"/>
    <s v="Cells Balancing Boards"/>
    <s v="Cells Balancing Boards - Cells Balancing Monitor"/>
    <m/>
    <m/>
    <m/>
    <m/>
    <m/>
    <m/>
    <m/>
    <m/>
    <m/>
    <m/>
    <m/>
    <m/>
    <m/>
    <m/>
  </r>
  <r>
    <x v="57"/>
    <s v="14.0_HMI &amp; OutsideInformation"/>
    <s v="14.10_DriverInformation-System"/>
    <s v="F0788"/>
    <s v="Indications, Battery Level (SOH)"/>
    <s v="TBD"/>
    <s v="Powertrain"/>
    <s v="HV Battery"/>
    <s v="Cells Balancing Monitor"/>
    <s v="EV"/>
    <s v="Actuator"/>
    <s v="Cells Balancing Boards"/>
    <s v="Cells Balancing Boards - Cells Balancing Monitor"/>
    <m/>
    <m/>
    <m/>
    <m/>
    <m/>
    <m/>
    <m/>
    <m/>
    <m/>
    <m/>
    <m/>
    <m/>
    <m/>
    <m/>
  </r>
  <r>
    <x v="57"/>
    <s v="38.0_E-Drive &amp; HV-Safety"/>
    <s v="38.10 HVBordnet&amp;Safety-System"/>
    <s v="F0086"/>
    <s v="HV-Safety, Zero Potential Detection"/>
    <s v="A"/>
    <s v="Powertrain"/>
    <s v="HV Battery"/>
    <s v="Cells Balancing Monitor"/>
    <s v="EV"/>
    <s v="Actuator"/>
    <s v="Cells Balancing Boards"/>
    <s v="Cells Balancing Boards - Cells Balancing Monitor"/>
    <m/>
    <m/>
    <m/>
    <m/>
    <m/>
    <m/>
    <m/>
    <m/>
    <m/>
    <m/>
    <m/>
    <m/>
    <m/>
    <m/>
  </r>
  <r>
    <x v="57"/>
    <s v="38.0_E-Drive &amp; HV-Safety"/>
    <s v="38.10 HVBordnet&amp;Safety-System"/>
    <s v="F0275"/>
    <s v="Battery Management, BMS Self Protection"/>
    <s v="A"/>
    <s v="Powertrain"/>
    <s v="HV Battery"/>
    <s v="Cells Balancing Monitor"/>
    <s v="EV"/>
    <s v="Actuator"/>
    <s v="Cells Balancing Boards"/>
    <s v="Cells Balancing Boards - Cells Balancing Monitor"/>
    <m/>
    <m/>
    <m/>
    <m/>
    <m/>
    <m/>
    <m/>
    <m/>
    <m/>
    <m/>
    <m/>
    <m/>
    <m/>
    <m/>
  </r>
  <r>
    <x v="57"/>
    <s v="38.0_E-Drive &amp; HV-Safety"/>
    <s v="38.10 HVBordnet&amp;Safety-System"/>
    <s v="F0276"/>
    <s v="HV-Safety, Isolation Observation"/>
    <s v="A"/>
    <s v="Powertrain"/>
    <s v="HV Battery"/>
    <s v="Cells Balancing Monitor"/>
    <s v="EV"/>
    <s v="Actuator"/>
    <s v="Cells Balancing Boards"/>
    <s v="Cells Balancing Boards - Cells Balancing Monitor"/>
    <m/>
    <m/>
    <m/>
    <m/>
    <m/>
    <m/>
    <m/>
    <m/>
    <m/>
    <m/>
    <m/>
    <m/>
    <m/>
    <m/>
  </r>
  <r>
    <x v="57"/>
    <s v="38.0_E-Drive &amp; HV-Safety"/>
    <s v="38.10 HVBordnet&amp;Safety-System"/>
    <s v="F0475"/>
    <s v="HV-Safety, Emergency Discharge (Active)"/>
    <s v="A"/>
    <s v="Powertrain"/>
    <s v="HV Battery"/>
    <s v="Cells Balancing Monitor"/>
    <s v="EV"/>
    <s v="Actuator"/>
    <s v="Cells Balancing Boards"/>
    <s v="Cells Balancing Boards - Cells Balancing Monitor"/>
    <m/>
    <m/>
    <m/>
    <m/>
    <m/>
    <m/>
    <m/>
    <m/>
    <m/>
    <m/>
    <m/>
    <m/>
    <m/>
    <m/>
  </r>
  <r>
    <x v="57"/>
    <s v="38.0_E-Drive &amp; HV-Safety"/>
    <s v="38.10 HVBordnet&amp;Safety-System"/>
    <s v="F0526"/>
    <s v="HV-Safety, Fire Detection"/>
    <s v="QM"/>
    <s v="Powertrain"/>
    <s v="HV Battery"/>
    <s v="Cells Balancing Monitor"/>
    <s v="EV"/>
    <s v="Actuator"/>
    <s v="Cells Balancing Boards"/>
    <s v="Cells Balancing Boards - Cells Balancing Monitor"/>
    <m/>
    <m/>
    <m/>
    <m/>
    <m/>
    <m/>
    <m/>
    <m/>
    <m/>
    <m/>
    <m/>
    <m/>
    <m/>
    <m/>
  </r>
  <r>
    <x v="57"/>
    <s v="38.0_E-Drive &amp; HV-Safety"/>
    <s v="38.10 HVBordnet&amp;Safety-System"/>
    <s v="F0558"/>
    <s v="HV-Safety, Passive Discharge"/>
    <s v="A"/>
    <s v="Powertrain"/>
    <s v="HV Battery"/>
    <s v="Cells Balancing Monitor"/>
    <s v="EV"/>
    <s v="Actuator"/>
    <s v="Cells Balancing Boards"/>
    <s v="Cells Balancing Boards - Cells Balancing Monitor"/>
    <m/>
    <m/>
    <m/>
    <m/>
    <m/>
    <m/>
    <m/>
    <m/>
    <m/>
    <m/>
    <m/>
    <m/>
    <m/>
    <m/>
  </r>
  <r>
    <x v="57"/>
    <s v="38.0_E-Drive &amp; HV-Safety"/>
    <s v="38.10 HVBordnet&amp;Safety-System"/>
    <s v="F0687"/>
    <s v="Battery Management, Power Derating"/>
    <s v="QM"/>
    <s v="Powertrain"/>
    <s v="HV Battery"/>
    <s v="Cells Balancing Monitor"/>
    <s v="EV"/>
    <s v="Actuator"/>
    <s v="Cells Balancing Boards"/>
    <s v="Cells Balancing Boards - Cells Balancing Monitor"/>
    <m/>
    <m/>
    <m/>
    <m/>
    <m/>
    <m/>
    <m/>
    <m/>
    <m/>
    <m/>
    <m/>
    <m/>
    <m/>
    <m/>
  </r>
  <r>
    <x v="57"/>
    <s v="38.0_E-Drive &amp; HV-Safety"/>
    <s v="38.10 HVBordnet&amp;Safety-System"/>
    <s v="F0691"/>
    <s v="Battery Management, State Of Health (SOH)"/>
    <s v="A"/>
    <s v="Powertrain"/>
    <s v="HV Battery"/>
    <s v="Cells Balancing Monitor"/>
    <s v="EV"/>
    <s v="Actuator"/>
    <s v="Cells Balancing Boards"/>
    <s v="Cells Balancing Boards - Cells Balancing Monitor"/>
    <m/>
    <m/>
    <m/>
    <m/>
    <m/>
    <m/>
    <m/>
    <m/>
    <m/>
    <m/>
    <m/>
    <m/>
    <m/>
    <m/>
  </r>
  <r>
    <x v="57"/>
    <s v="38.0_E-Drive &amp; HV-Safety"/>
    <s v="38.10 HVBordnet&amp;Safety-System"/>
    <s v="F0692"/>
    <s v="Battery Management, State Of Charge (SOC)"/>
    <s v="QM"/>
    <s v="Powertrain"/>
    <s v="HV Battery"/>
    <s v="Cells Balancing Monitor"/>
    <s v="EV"/>
    <s v="Actuator"/>
    <s v="Cells Balancing Boards"/>
    <s v="Cells Balancing Boards - Cells Balancing Monitor"/>
    <m/>
    <m/>
    <m/>
    <m/>
    <m/>
    <m/>
    <m/>
    <m/>
    <m/>
    <m/>
    <m/>
    <m/>
    <m/>
    <m/>
  </r>
  <r>
    <x v="57"/>
    <s v="38.0_E-Drive &amp; HV-Safety"/>
    <s v="38.10 HVBordnet&amp;Safety-System"/>
    <s v="F1026"/>
    <s v="Battery Management, Active Cell Balancing "/>
    <s v="A"/>
    <s v="Powertrain"/>
    <s v="HV Battery"/>
    <s v="Cells Balancing Monitor"/>
    <s v="EV"/>
    <s v="Actuator"/>
    <s v="Cells Balancing Boards"/>
    <s v="Cells Balancing Boards - Cells Balancing Monitor"/>
    <m/>
    <m/>
    <m/>
    <m/>
    <m/>
    <m/>
    <m/>
    <m/>
    <m/>
    <m/>
    <m/>
    <m/>
    <m/>
    <m/>
  </r>
  <r>
    <x v="57"/>
    <s v="38.0_E-Drive &amp; HV-Safety"/>
    <s v="38.10 HVBordnet&amp;Safety-System"/>
    <s v="F1028"/>
    <s v="Battery Management, UI Monitoring"/>
    <s v="A"/>
    <s v="Powertrain"/>
    <s v="HV Battery"/>
    <s v="Cells Balancing Monitor"/>
    <s v="EV"/>
    <s v="Actuator"/>
    <s v="Cells Balancing Boards"/>
    <s v="Cells Balancing Boards - Cells Balancing Monitor"/>
    <m/>
    <m/>
    <m/>
    <m/>
    <m/>
    <m/>
    <m/>
    <m/>
    <m/>
    <m/>
    <m/>
    <m/>
    <m/>
    <m/>
  </r>
  <r>
    <x v="57"/>
    <s v="38.0_E-Drive &amp; HV-Safety"/>
    <s v="38.11_EnergyStorage&amp;Converting-System"/>
    <s v="F0265"/>
    <s v="Energy Management, LV Power Supply"/>
    <s v="QM"/>
    <s v="Powertrain"/>
    <s v="HV Battery"/>
    <s v="Cells Balancing Monitor"/>
    <s v="EV"/>
    <s v="Actuator"/>
    <s v="Cells Balancing Boards"/>
    <s v="Cells Balancing Boards - Cells Balancing Monitor"/>
    <m/>
    <m/>
    <m/>
    <m/>
    <m/>
    <m/>
    <m/>
    <m/>
    <m/>
    <m/>
    <m/>
    <m/>
    <m/>
    <m/>
  </r>
  <r>
    <x v="57"/>
    <s v="38.0_E-Drive &amp; HV-Safety"/>
    <s v="38.20_Charging-System"/>
    <s v="F0440"/>
    <s v="Charging Mode 2, AC 1-Phase Com"/>
    <m/>
    <s v="Powertrain"/>
    <s v="HV Battery"/>
    <s v="Cells Balancing Monitor"/>
    <s v="EV"/>
    <s v="Actuator"/>
    <s v="Cells Balancing Boards"/>
    <s v="Cells Balancing Boards - Cells Balancing Monitor"/>
    <m/>
    <m/>
    <m/>
    <m/>
    <m/>
    <m/>
    <m/>
    <m/>
    <m/>
    <m/>
    <m/>
    <m/>
    <m/>
    <m/>
  </r>
  <r>
    <x v="57"/>
    <s v="38.0_E-Drive &amp; HV-Safety"/>
    <s v="38.20_Charging-System"/>
    <s v="F0458"/>
    <s v="Charging Management, Plug Lock"/>
    <m/>
    <s v="Powertrain"/>
    <s v="HV Battery"/>
    <s v="Cells Balancing Monitor"/>
    <s v="EV"/>
    <s v="Actuator"/>
    <s v="Cells Balancing Boards"/>
    <s v="Cells Balancing Boards - Cells Balancing Monitor"/>
    <m/>
    <m/>
    <m/>
    <m/>
    <m/>
    <m/>
    <m/>
    <m/>
    <m/>
    <m/>
    <m/>
    <m/>
    <m/>
    <m/>
  </r>
  <r>
    <x v="57"/>
    <s v="38.0_E-Drive &amp; HV-Safety"/>
    <s v="38.20_Charging-System"/>
    <s v="F0683"/>
    <s v="Charging Mode 3 (IEC)/ Level 2 (SAE), AC 1-Phase Wallbox"/>
    <m/>
    <s v="Powertrain"/>
    <s v="HV Battery"/>
    <s v="Cells Balancing Monitor"/>
    <s v="EV"/>
    <s v="Actuator"/>
    <s v="Cells Balancing Boards"/>
    <s v="Cells Balancing Boards - Cells Balancing Monitor"/>
    <m/>
    <m/>
    <m/>
    <m/>
    <m/>
    <m/>
    <m/>
    <m/>
    <m/>
    <m/>
    <m/>
    <m/>
    <m/>
    <m/>
  </r>
  <r>
    <x v="57"/>
    <s v="38.0_E-Drive &amp; HV-Safety"/>
    <s v="38.20_Charging-System"/>
    <s v="F0684"/>
    <s v="Charging Mode 3 (IEC)/ Level 2 (SAE), AC 3-Phase Wallbox"/>
    <m/>
    <s v="Powertrain"/>
    <s v="HV Battery"/>
    <s v="Cells Balancing Monitor"/>
    <s v="EV"/>
    <s v="Actuator"/>
    <s v="Cells Balancing Boards"/>
    <s v="Cells Balancing Boards - Cells Balancing Monitor"/>
    <m/>
    <m/>
    <m/>
    <m/>
    <m/>
    <m/>
    <m/>
    <m/>
    <m/>
    <m/>
    <m/>
    <m/>
    <m/>
    <m/>
  </r>
  <r>
    <x v="57"/>
    <s v="38.0_E-Drive &amp; HV-Safety"/>
    <s v="38.20_Charging-System"/>
    <s v="F0986"/>
    <s v="Charging Mode 4 (IEC)/ Level 3 (SAE), DC, fast charging power (&gt;50kW), Communication and protection between charging station and vehicle"/>
    <m/>
    <s v="Powertrain"/>
    <s v="HV Battery"/>
    <s v="Cells Balancing Monitor"/>
    <s v="EV"/>
    <s v="Actuator"/>
    <s v="Cells Balancing Boards"/>
    <s v="Cells Balancing Boards - Cells Balancing Monitor"/>
    <m/>
    <m/>
    <m/>
    <m/>
    <m/>
    <m/>
    <m/>
    <m/>
    <m/>
    <m/>
    <m/>
    <m/>
    <m/>
    <m/>
  </r>
  <r>
    <x v="57"/>
    <s v="38.0_E-Drive &amp; HV-Safety"/>
    <s v="38.20_Charging-System"/>
    <s v="F1024"/>
    <s v="Charging Management"/>
    <m/>
    <s v="Powertrain"/>
    <s v="HV Battery"/>
    <s v="Cells Balancing Monitor"/>
    <s v="EV"/>
    <s v="Actuator"/>
    <s v="Cells Balancing Boards"/>
    <s v="Cells Balancing Boards - Cells Balancing Monitor"/>
    <m/>
    <m/>
    <m/>
    <m/>
    <m/>
    <m/>
    <m/>
    <m/>
    <m/>
    <m/>
    <m/>
    <m/>
    <m/>
    <m/>
  </r>
  <r>
    <x v="57"/>
    <s v="38.0_E-Drive &amp; HV-Safety"/>
    <s v="38.20_Charging-System"/>
    <s v="F1080"/>
    <s v="Charging Management, Charging Converter 400V/800V (800V system voltage of vehicle)"/>
    <m/>
    <s v="Powertrain"/>
    <s v="HV Battery"/>
    <s v="Cells Balancing Monitor"/>
    <s v="EV"/>
    <s v="Actuator"/>
    <s v="Cells Balancing Boards"/>
    <s v="Cells Balancing Boards - Cells Balancing Monitor"/>
    <m/>
    <m/>
    <m/>
    <m/>
    <m/>
    <m/>
    <m/>
    <m/>
    <m/>
    <m/>
    <m/>
    <m/>
    <m/>
    <m/>
  </r>
  <r>
    <x v="57"/>
    <m/>
    <m/>
    <s v="F0277"/>
    <s v="Charging Mode 1 (IEC)/ Level 1 (SAE), AC 1-Phase NoCom"/>
    <s v="C"/>
    <s v="Powertrain"/>
    <s v="HV Battery"/>
    <s v="Cells Balancing Monitor"/>
    <s v="EV"/>
    <s v="Actuator"/>
    <s v="Cells Balancing Boards"/>
    <s v="Cells Balancing Boards - Cells Balancing Monitor"/>
    <m/>
    <m/>
    <m/>
    <m/>
    <m/>
    <m/>
    <m/>
    <m/>
    <m/>
    <m/>
    <m/>
    <m/>
    <m/>
    <m/>
  </r>
  <r>
    <x v="57"/>
    <m/>
    <m/>
    <s v="F0441"/>
    <s v="Charging Mode 2, AC 3-Phase Com"/>
    <m/>
    <s v="Powertrain"/>
    <s v="HV Battery"/>
    <s v="Cells Balancing Monitor"/>
    <s v="EV"/>
    <s v="Actuator"/>
    <s v="Cells Balancing Boards"/>
    <s v="Cells Balancing Boards - Cells Balancing Monitor"/>
    <m/>
    <m/>
    <m/>
    <m/>
    <m/>
    <m/>
    <m/>
    <m/>
    <m/>
    <m/>
    <m/>
    <m/>
    <m/>
    <m/>
  </r>
  <r>
    <x v="58"/>
    <s v="16.0_Comfort &amp; Safety"/>
    <s v="16.12_CrashHandling-System"/>
    <s v="F0641"/>
    <s v="Crashdetection, HV-Safety"/>
    <m/>
    <s v="Powertrain"/>
    <s v="HV Battery"/>
    <s v="Safety Switch-Off Positive"/>
    <s v="EV"/>
    <s v="Actuator"/>
    <s v="Contactor Switch - Positive"/>
    <s v="Contactor Switch - Positive - Safety Switch-Off Positive"/>
    <m/>
    <m/>
    <m/>
    <m/>
    <m/>
    <m/>
    <m/>
    <m/>
    <m/>
    <m/>
    <m/>
    <m/>
    <m/>
    <m/>
  </r>
  <r>
    <x v="58"/>
    <s v="38.0_E-Drive &amp; HV-Safety"/>
    <s v="38.10 HVBordnet&amp;Safety-System"/>
    <s v="F0275"/>
    <s v="Battery Management, BMS Self Protection"/>
    <s v="A"/>
    <s v="Powertrain"/>
    <s v="HV Battery"/>
    <s v="Safety Switch-Off Positive"/>
    <s v="EV"/>
    <s v="Actuator"/>
    <s v="Contactor Switch - Positive"/>
    <s v="Contactor Switch - Positive - Safety Switch-Off Positive"/>
    <m/>
    <m/>
    <m/>
    <m/>
    <m/>
    <m/>
    <m/>
    <m/>
    <m/>
    <m/>
    <m/>
    <m/>
    <m/>
    <m/>
  </r>
  <r>
    <x v="58"/>
    <s v="38.0_E-Drive &amp; HV-Safety"/>
    <s v="38.10 HVBordnet&amp;Safety-System"/>
    <s v="F0395"/>
    <s v="HV-Safety, HV-Battery Crash-Deactivation (Reversible)"/>
    <s v="A"/>
    <s v="Powertrain"/>
    <s v="HV Battery"/>
    <s v="Safety Switch-Off Positive"/>
    <s v="EV"/>
    <s v="Actuator"/>
    <s v="Contactor Switch - Positive"/>
    <s v="Contactor Switch - Positive - Safety Switch-Off Positive"/>
    <m/>
    <m/>
    <m/>
    <m/>
    <m/>
    <m/>
    <m/>
    <m/>
    <m/>
    <m/>
    <m/>
    <m/>
    <m/>
    <m/>
  </r>
  <r>
    <x v="58"/>
    <s v="38.0_E-Drive &amp; HV-Safety"/>
    <s v="38.10 HVBordnet&amp;Safety-System"/>
    <s v="F0473"/>
    <s v="HV-Safety, HV-Battery Crash-Deactivation (Service Reversible)"/>
    <s v="A"/>
    <s v="Powertrain"/>
    <s v="HV Battery"/>
    <s v="Safety Switch-Off Positive"/>
    <s v="EV"/>
    <s v="Actuator"/>
    <s v="Contactor Switch - Positive"/>
    <s v="Contactor Switch - Positive - Safety Switch-Off Positive"/>
    <m/>
    <m/>
    <m/>
    <m/>
    <m/>
    <m/>
    <m/>
    <m/>
    <m/>
    <m/>
    <m/>
    <m/>
    <m/>
    <m/>
  </r>
  <r>
    <x v="58"/>
    <s v="38.0_E-Drive &amp; HV-Safety"/>
    <s v="38.10 HVBordnet&amp;Safety-System"/>
    <s v="F0474"/>
    <s v="HV-Safety, Service Disconnect"/>
    <s v="A"/>
    <s v="Powertrain"/>
    <s v="HV Battery"/>
    <s v="Safety Switch-Off Positive"/>
    <s v="EV"/>
    <s v="Actuator"/>
    <s v="Contactor Switch - Positive"/>
    <s v="Contactor Switch - Positive - Safety Switch-Off Positive"/>
    <m/>
    <m/>
    <m/>
    <m/>
    <m/>
    <m/>
    <m/>
    <m/>
    <m/>
    <m/>
    <m/>
    <m/>
    <m/>
    <m/>
  </r>
  <r>
    <x v="58"/>
    <s v="38.0_E-Drive &amp; HV-Safety"/>
    <s v="38.10 HVBordnet&amp;Safety-System"/>
    <s v="F0996"/>
    <s v="HV-Safety, Contactor Diagnosis"/>
    <s v="QM"/>
    <s v="Powertrain"/>
    <s v="HV Battery"/>
    <s v="Safety Switch-Off Positive"/>
    <s v="EV"/>
    <s v="Actuator"/>
    <s v="Contactor Switch - Positive"/>
    <s v="Contactor Switch - Positive - Safety Switch-Off Positive"/>
    <m/>
    <m/>
    <m/>
    <m/>
    <m/>
    <m/>
    <m/>
    <m/>
    <m/>
    <m/>
    <m/>
    <m/>
    <m/>
    <m/>
  </r>
  <r>
    <x v="58"/>
    <s v="38.0_E-Drive &amp; HV-Safety"/>
    <s v="38.11_EnergyStorage&amp;Converting-System"/>
    <s v="F0265"/>
    <s v="Energy Management, LV Power Supply"/>
    <s v="QM"/>
    <s v="Powertrain"/>
    <s v="HV Battery"/>
    <s v="Safety Switch-Off Positive"/>
    <s v="EV"/>
    <s v="Actuator"/>
    <s v="Contactor Switch - Positive"/>
    <s v="Contactor Switch - Positive - Safety Switch-Off Positive"/>
    <m/>
    <m/>
    <m/>
    <m/>
    <m/>
    <m/>
    <m/>
    <m/>
    <m/>
    <m/>
    <m/>
    <m/>
    <m/>
    <m/>
  </r>
  <r>
    <x v="59"/>
    <s v="16.0_Comfort &amp; Safety"/>
    <s v="16.12_CrashHandling-System"/>
    <s v="F0641"/>
    <s v="Crashdetection, HV-Safety"/>
    <m/>
    <s v="Powertrain"/>
    <s v="HV Battery"/>
    <s v="Safety Switch-Off Negative"/>
    <s v="EV"/>
    <s v="Actuator"/>
    <s v="Contactor Switch - Negative"/>
    <s v="Contactor Switch - Negative - Safety Switch-Off Negative"/>
    <m/>
    <m/>
    <m/>
    <m/>
    <m/>
    <m/>
    <m/>
    <m/>
    <m/>
    <m/>
    <m/>
    <m/>
    <m/>
    <m/>
  </r>
  <r>
    <x v="59"/>
    <s v="38.0_E-Drive &amp; HV-Safety"/>
    <s v="38.10 HVBordnet&amp;Safety-System"/>
    <s v="F0275"/>
    <s v="Battery Management, BMS Self Protection"/>
    <s v="A"/>
    <s v="Powertrain"/>
    <s v="HV Battery"/>
    <s v="Safety Switch-Off Negative"/>
    <s v="EV"/>
    <s v="Actuator"/>
    <s v="Contactor Switch - Negative"/>
    <s v="Contactor Switch - Negative - Safety Switch-Off Negative"/>
    <m/>
    <m/>
    <m/>
    <m/>
    <m/>
    <m/>
    <m/>
    <m/>
    <m/>
    <m/>
    <m/>
    <m/>
    <m/>
    <m/>
  </r>
  <r>
    <x v="59"/>
    <s v="38.0_E-Drive &amp; HV-Safety"/>
    <s v="38.10 HVBordnet&amp;Safety-System"/>
    <s v="F0395"/>
    <s v="HV-Safety, HV-Battery Crash-Deactivation (Reversible)"/>
    <s v="A"/>
    <s v="Powertrain"/>
    <s v="HV Battery"/>
    <s v="Safety Switch-Off Negative"/>
    <s v="EV"/>
    <s v="Actuator"/>
    <s v="Contactor Switch - Negative"/>
    <s v="Contactor Switch - Negative - Safety Switch-Off Negative"/>
    <m/>
    <m/>
    <m/>
    <m/>
    <m/>
    <m/>
    <m/>
    <m/>
    <m/>
    <m/>
    <m/>
    <m/>
    <m/>
    <m/>
  </r>
  <r>
    <x v="59"/>
    <s v="38.0_E-Drive &amp; HV-Safety"/>
    <s v="38.10 HVBordnet&amp;Safety-System"/>
    <s v="F0473"/>
    <s v="HV-Safety, HV-Battery Crash-Deactivation (Service Reversible)"/>
    <s v="A"/>
    <s v="Powertrain"/>
    <s v="HV Battery"/>
    <s v="Safety Switch-Off Negative"/>
    <s v="EV"/>
    <s v="Actuator"/>
    <s v="Contactor Switch - Negative"/>
    <s v="Contactor Switch - Negative - Safety Switch-Off Negative"/>
    <m/>
    <m/>
    <m/>
    <m/>
    <m/>
    <m/>
    <m/>
    <m/>
    <m/>
    <m/>
    <m/>
    <m/>
    <m/>
    <m/>
  </r>
  <r>
    <x v="59"/>
    <s v="38.0_E-Drive &amp; HV-Safety"/>
    <s v="38.10 HVBordnet&amp;Safety-System"/>
    <s v="F0474"/>
    <s v="HV-Safety, Service Disconnect"/>
    <s v="A"/>
    <s v="Powertrain"/>
    <s v="HV Battery"/>
    <s v="Safety Switch-Off Negative"/>
    <s v="EV"/>
    <s v="Actuator"/>
    <s v="Contactor Switch - Negative"/>
    <s v="Contactor Switch - Negative - Safety Switch-Off Negative"/>
    <m/>
    <m/>
    <m/>
    <m/>
    <m/>
    <m/>
    <m/>
    <m/>
    <m/>
    <m/>
    <m/>
    <m/>
    <m/>
    <m/>
  </r>
  <r>
    <x v="59"/>
    <s v="38.0_E-Drive &amp; HV-Safety"/>
    <s v="38.10 HVBordnet&amp;Safety-System"/>
    <s v="F0996"/>
    <s v="HV-Safety, Contactor Diagnosis"/>
    <s v="QM"/>
    <s v="Powertrain"/>
    <s v="HV Battery"/>
    <s v="Safety Switch-Off Negative"/>
    <s v="EV"/>
    <s v="Actuator"/>
    <s v="Contactor Switch - Negative"/>
    <s v="Contactor Switch - Negative - Safety Switch-Off Negative"/>
    <m/>
    <m/>
    <m/>
    <m/>
    <m/>
    <m/>
    <m/>
    <m/>
    <m/>
    <m/>
    <m/>
    <m/>
    <m/>
    <m/>
  </r>
  <r>
    <x v="59"/>
    <s v="38.0_E-Drive &amp; HV-Safety"/>
    <s v="38.11_EnergyStorage&amp;Converting-System"/>
    <s v="F0265"/>
    <s v="Energy Management, LV Power Supply"/>
    <s v="QM"/>
    <s v="Powertrain"/>
    <s v="HV Battery"/>
    <s v="Safety Switch-Off Negative"/>
    <s v="EV"/>
    <s v="Actuator"/>
    <s v="Contactor Switch - Negative"/>
    <s v="Contactor Switch - Negative - Safety Switch-Off Negative"/>
    <m/>
    <m/>
    <m/>
    <m/>
    <m/>
    <m/>
    <m/>
    <m/>
    <m/>
    <m/>
    <m/>
    <m/>
    <m/>
    <m/>
  </r>
  <r>
    <x v="60"/>
    <s v="14.0_HMI &amp; OutsideInformation"/>
    <s v="14.10_DriverInformation-System"/>
    <s v="F0168"/>
    <s v="Indications, Charging Completed"/>
    <s v="TBD"/>
    <s v="Powertrain"/>
    <s v="Charge Port"/>
    <s v="Charging Management"/>
    <s v="EV"/>
    <s v="Control Unit"/>
    <s v="Fast Charging Control Unit"/>
    <s v="Fast Charging Control Unit - Charging Management"/>
    <m/>
    <m/>
    <m/>
    <m/>
    <m/>
    <m/>
    <m/>
    <m/>
    <m/>
    <m/>
    <m/>
    <m/>
    <m/>
    <m/>
  </r>
  <r>
    <x v="60"/>
    <s v="14.0_HMI &amp; OutsideInformation"/>
    <s v="14.10_DriverInformation-System"/>
    <s v="F0624"/>
    <s v="Indications, Battery Charging"/>
    <m/>
    <s v="Powertrain"/>
    <s v="Charge Port"/>
    <s v="Charging Management"/>
    <s v="EV"/>
    <s v="Control Unit"/>
    <s v="Fast Charging Control Unit"/>
    <s v="Fast Charging Control Unit - Charging Management"/>
    <m/>
    <m/>
    <m/>
    <m/>
    <m/>
    <m/>
    <m/>
    <m/>
    <m/>
    <m/>
    <m/>
    <m/>
    <m/>
    <m/>
  </r>
  <r>
    <x v="60"/>
    <s v="14.0_HMI &amp; OutsideInformation"/>
    <s v="14.10_DriverInformation-System"/>
    <s v="F0626"/>
    <s v="Indications, Error in HV System"/>
    <s v="A"/>
    <s v="Powertrain"/>
    <s v="Charge Port"/>
    <s v="Charging Management"/>
    <s v="EV"/>
    <s v="Control Unit"/>
    <s v="Fast Charging Control Unit"/>
    <s v="Fast Charging Control Unit - Charging Management"/>
    <m/>
    <m/>
    <m/>
    <m/>
    <m/>
    <m/>
    <m/>
    <m/>
    <m/>
    <m/>
    <m/>
    <m/>
    <m/>
    <m/>
  </r>
  <r>
    <x v="60"/>
    <s v="38.0_E-Drive &amp; HV-Safety"/>
    <s v="38.20_Charging-System"/>
    <s v="F0277"/>
    <s v="Charging Mode 1 (IEC)/ Level 1 (SAE), AC 1-Phase NoCom"/>
    <s v="C"/>
    <s v="Powertrain"/>
    <s v="Charge Port"/>
    <s v="Charging Management"/>
    <s v="EV"/>
    <s v="Control Unit"/>
    <s v="Fast Charging Control Unit"/>
    <s v="Fast Charging Control Unit - Charging Management"/>
    <m/>
    <m/>
    <m/>
    <m/>
    <m/>
    <m/>
    <m/>
    <m/>
    <m/>
    <m/>
    <m/>
    <m/>
    <m/>
    <m/>
  </r>
  <r>
    <x v="60"/>
    <s v="38.0_E-Drive &amp; HV-Safety"/>
    <s v="38.20_Charging-System"/>
    <s v="F0440"/>
    <s v="Charging Mode 2, AC 1-Phase Com"/>
    <m/>
    <s v="Powertrain"/>
    <s v="Charge Port"/>
    <s v="Charging Management"/>
    <s v="EV"/>
    <s v="Control Unit"/>
    <s v="Fast Charging Control Unit"/>
    <s v="Fast Charging Control Unit - Charging Management"/>
    <m/>
    <m/>
    <m/>
    <m/>
    <m/>
    <m/>
    <m/>
    <m/>
    <m/>
    <m/>
    <m/>
    <m/>
    <m/>
    <m/>
  </r>
  <r>
    <x v="60"/>
    <s v="38.0_E-Drive &amp; HV-Safety"/>
    <s v="38.20_Charging-System"/>
    <s v="F0441"/>
    <s v="Charging Mode 2, AC 3-Phase Com"/>
    <m/>
    <s v="Powertrain"/>
    <s v="Charge Port"/>
    <s v="Charging Management"/>
    <s v="EV"/>
    <s v="Control Unit"/>
    <s v="Fast Charging Control Unit"/>
    <s v="Fast Charging Control Unit - Charging Management"/>
    <m/>
    <m/>
    <m/>
    <m/>
    <m/>
    <m/>
    <m/>
    <m/>
    <m/>
    <m/>
    <m/>
    <m/>
    <m/>
    <m/>
  </r>
  <r>
    <x v="60"/>
    <s v="38.0_E-Drive &amp; HV-Safety"/>
    <s v="38.20_Charging-System"/>
    <s v="F0458"/>
    <s v="Charging Management, Plug Lock"/>
    <m/>
    <s v="Powertrain"/>
    <s v="Charge Port"/>
    <s v="Charging Management"/>
    <s v="EV"/>
    <s v="Control Unit"/>
    <s v="Fast Charging Control Unit"/>
    <s v="Fast Charging Control Unit - Charging Management"/>
    <m/>
    <m/>
    <m/>
    <m/>
    <m/>
    <m/>
    <m/>
    <m/>
    <m/>
    <m/>
    <m/>
    <m/>
    <m/>
    <m/>
  </r>
  <r>
    <x v="60"/>
    <s v="38.0_E-Drive &amp; HV-Safety"/>
    <s v="38.20_Charging-System"/>
    <s v="F0683"/>
    <s v="Charging Mode 3 (IEC)/ Level 2 (SAE), AC 1-Phase Wallbox"/>
    <m/>
    <s v="Powertrain"/>
    <s v="Charge Port"/>
    <s v="Charging Management"/>
    <s v="EV"/>
    <s v="Control Unit"/>
    <s v="Fast Charging Control Unit"/>
    <s v="Fast Charging Control Unit - Charging Management"/>
    <m/>
    <m/>
    <m/>
    <m/>
    <m/>
    <m/>
    <m/>
    <m/>
    <m/>
    <m/>
    <m/>
    <m/>
    <m/>
    <m/>
  </r>
  <r>
    <x v="60"/>
    <s v="38.0_E-Drive &amp; HV-Safety"/>
    <s v="38.20_Charging-System"/>
    <s v="F0684"/>
    <s v="Charging Mode 3 (IEC)/ Level 2 (SAE), AC 3-Phase Wallbox"/>
    <m/>
    <s v="Powertrain"/>
    <s v="Charge Port"/>
    <s v="Charging Management"/>
    <s v="EV"/>
    <s v="Control Unit"/>
    <s v="Fast Charging Control Unit"/>
    <s v="Fast Charging Control Unit - Charging Management"/>
    <m/>
    <m/>
    <m/>
    <m/>
    <m/>
    <m/>
    <m/>
    <m/>
    <m/>
    <m/>
    <m/>
    <m/>
    <m/>
    <m/>
  </r>
  <r>
    <x v="60"/>
    <s v="38.0_E-Drive &amp; HV-Safety"/>
    <s v="38.20_Charging-System"/>
    <s v="F0947"/>
    <s v="Outside Lighting, Charging Indication"/>
    <s v="QM"/>
    <s v="Powertrain"/>
    <s v="Charge Port"/>
    <s v="Charging Management"/>
    <s v="EV"/>
    <s v="Control Unit"/>
    <s v="Fast Charging Control Unit"/>
    <s v="Fast Charging Control Unit - Charging Management"/>
    <m/>
    <m/>
    <m/>
    <m/>
    <m/>
    <m/>
    <m/>
    <m/>
    <m/>
    <m/>
    <m/>
    <m/>
    <m/>
    <m/>
  </r>
  <r>
    <x v="60"/>
    <s v="38.0_E-Drive &amp; HV-Safety"/>
    <s v="38.20_Charging-System"/>
    <s v="F0986"/>
    <s v="Charging Mode 4 (IEC)/ Level 3 (SAE), DC, fast charging power (&gt;50kW), Communication and protection between charging station and vehicle"/>
    <m/>
    <s v="Powertrain"/>
    <s v="Charge Port"/>
    <s v="Charging Management"/>
    <s v="EV"/>
    <s v="Control Unit"/>
    <s v="Fast Charging Control Unit"/>
    <s v="Fast Charging Control Unit - Charging Management"/>
    <m/>
    <m/>
    <m/>
    <m/>
    <m/>
    <m/>
    <m/>
    <m/>
    <m/>
    <m/>
    <m/>
    <m/>
    <m/>
    <m/>
  </r>
  <r>
    <x v="60"/>
    <s v="38.0_E-Drive &amp; HV-Safety"/>
    <s v="38.20_Charging-System"/>
    <s v="F1024"/>
    <s v="Charging Management"/>
    <m/>
    <s v="Powertrain"/>
    <s v="Charge Port"/>
    <s v="Charging Management"/>
    <s v="EV"/>
    <s v="Control Unit"/>
    <s v="Fast Charging Control Unit"/>
    <s v="Fast Charging Control Unit - Charging Management"/>
    <m/>
    <m/>
    <m/>
    <m/>
    <m/>
    <m/>
    <m/>
    <m/>
    <m/>
    <m/>
    <m/>
    <m/>
    <m/>
    <m/>
  </r>
  <r>
    <x v="60"/>
    <s v="38.0_E-Drive &amp; HV-Safety"/>
    <s v="38.20_Charging-System"/>
    <s v="F1027"/>
    <s v="Charging, Status Lights"/>
    <m/>
    <s v="Powertrain"/>
    <s v="Charge Port"/>
    <s v="Charging Management"/>
    <s v="EV"/>
    <s v="Control Unit"/>
    <s v="Fast Charging Control Unit"/>
    <s v="Fast Charging Control Unit - Charging Management"/>
    <m/>
    <m/>
    <m/>
    <m/>
    <m/>
    <m/>
    <m/>
    <m/>
    <m/>
    <m/>
    <m/>
    <m/>
    <m/>
    <m/>
  </r>
  <r>
    <x v="60"/>
    <s v="38.0_E-Drive &amp; HV-Safety"/>
    <s v="38.20_Charging-System"/>
    <s v="F1080"/>
    <s v="Charging Management, Charging Converter 400V/800V (800V system voltage of vehicle)"/>
    <m/>
    <s v="Powertrain"/>
    <s v="Charge Port"/>
    <s v="Charging Management"/>
    <s v="EV"/>
    <s v="Control Unit"/>
    <s v="Fast Charging Control Unit"/>
    <s v="Fast Charging Control Unit - Charging Management"/>
    <m/>
    <m/>
    <m/>
    <m/>
    <m/>
    <m/>
    <m/>
    <m/>
    <m/>
    <m/>
    <m/>
    <m/>
    <m/>
    <m/>
  </r>
  <r>
    <x v="60"/>
    <s v="80.0_Cross-Functions"/>
    <s v="80.81_VehicleStateManagement"/>
    <s v="F0640"/>
    <s v="Vehicle State Management, HV"/>
    <s v=" "/>
    <s v="Powertrain"/>
    <s v="Charge Port"/>
    <s v="Charging Management"/>
    <s v="EV"/>
    <s v="Control Unit"/>
    <s v="Fast Charging Control Unit"/>
    <s v="Fast Charging Control Unit - Charging Management"/>
    <m/>
    <m/>
    <m/>
    <m/>
    <m/>
    <m/>
    <m/>
    <m/>
    <m/>
    <m/>
    <m/>
    <m/>
    <m/>
    <m/>
  </r>
  <r>
    <x v="61"/>
    <s v="14.0_HMI &amp; OutsideInformation"/>
    <s v="14.10_DriverInformation-System"/>
    <s v="F0168"/>
    <s v="Indications, Charging Completed"/>
    <s v="TBD"/>
    <s v="Powertrain"/>
    <s v="HV Battery"/>
    <s v="Operation Management - Computing"/>
    <s v="EV"/>
    <s v="Control Unit"/>
    <s v="High Voltage Control Unit"/>
    <s v="High Voltage Control Unit - Operation Management - Computing"/>
    <m/>
    <m/>
    <m/>
    <m/>
    <m/>
    <m/>
    <m/>
    <m/>
    <m/>
    <m/>
    <m/>
    <m/>
    <m/>
    <m/>
  </r>
  <r>
    <x v="61"/>
    <s v="14.0_HMI &amp; OutsideInformation"/>
    <s v="14.10_DriverInformation-System"/>
    <s v="F0463"/>
    <s v="Indications, Recuperation Statistics"/>
    <s v="B"/>
    <s v="Powertrain"/>
    <s v="HV Battery"/>
    <s v="Operation Management - Computing"/>
    <s v="EV"/>
    <s v="Control Unit"/>
    <s v="High Voltage Control Unit"/>
    <s v="High Voltage Control Unit - Operation Management - Computing"/>
    <m/>
    <m/>
    <m/>
    <m/>
    <m/>
    <m/>
    <m/>
    <m/>
    <m/>
    <m/>
    <m/>
    <m/>
    <m/>
    <m/>
  </r>
  <r>
    <x v="61"/>
    <s v="14.0_HMI &amp; OutsideInformation"/>
    <s v="14.10_DriverInformation-System"/>
    <s v="F0624"/>
    <s v="Indications, Battery Charging"/>
    <m/>
    <s v="Powertrain"/>
    <s v="HV Battery"/>
    <s v="Operation Management - Computing"/>
    <s v="EV"/>
    <s v="Control Unit"/>
    <s v="High Voltage Control Unit"/>
    <s v="High Voltage Control Unit - Operation Management - Computing"/>
    <m/>
    <m/>
    <m/>
    <m/>
    <m/>
    <m/>
    <m/>
    <m/>
    <m/>
    <m/>
    <m/>
    <m/>
    <m/>
    <m/>
  </r>
  <r>
    <x v="61"/>
    <s v="14.0_HMI &amp; OutsideInformation"/>
    <s v="14.10_DriverInformation-System"/>
    <s v="F0626"/>
    <s v="Indications, Error in HV System"/>
    <s v="A"/>
    <s v="Powertrain"/>
    <s v="HV Battery"/>
    <s v="Operation Management - Computing"/>
    <s v="EV"/>
    <s v="Control Unit"/>
    <s v="High Voltage Control Unit"/>
    <s v="High Voltage Control Unit - Operation Management - Computing"/>
    <m/>
    <m/>
    <m/>
    <m/>
    <m/>
    <m/>
    <m/>
    <m/>
    <m/>
    <m/>
    <m/>
    <m/>
    <m/>
    <m/>
  </r>
  <r>
    <x v="61"/>
    <s v="14.0_HMI &amp; OutsideInformation"/>
    <s v="14.10_DriverInformation-System"/>
    <s v="F0631"/>
    <s v="Indications, Electric Range Estimation"/>
    <s v="B"/>
    <s v="Powertrain"/>
    <s v="HV Battery"/>
    <s v="Operation Management - Computing"/>
    <s v="EV"/>
    <s v="Control Unit"/>
    <s v="High Voltage Control Unit"/>
    <s v="High Voltage Control Unit - Operation Management - Computing"/>
    <m/>
    <m/>
    <m/>
    <m/>
    <m/>
    <m/>
    <m/>
    <m/>
    <m/>
    <m/>
    <m/>
    <m/>
    <m/>
    <m/>
  </r>
  <r>
    <x v="61"/>
    <s v="14.0_HMI &amp; OutsideInformation"/>
    <s v="14.10_DriverInformation-System"/>
    <s v="F0788"/>
    <s v="Indications, Battery Level (SOH)"/>
    <s v="TBD"/>
    <s v="Powertrain"/>
    <s v="HV Battery"/>
    <s v="Operation Management - Computing"/>
    <s v="EV"/>
    <s v="Control Unit"/>
    <s v="High Voltage Control Unit"/>
    <s v="High Voltage Control Unit - Operation Management - Computing"/>
    <m/>
    <m/>
    <m/>
    <m/>
    <m/>
    <m/>
    <m/>
    <m/>
    <m/>
    <m/>
    <m/>
    <m/>
    <m/>
    <m/>
  </r>
  <r>
    <x v="61"/>
    <s v="16.0_Comfort &amp; Safety"/>
    <s v="16.12_CrashHandling-System"/>
    <s v="F0641"/>
    <s v="Crashdetection, HV-Safety"/>
    <m/>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086"/>
    <s v="HV-Safety, Zero Potential Detection"/>
    <s v="A"/>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275"/>
    <s v="Battery Management, BMS Self Protection"/>
    <s v="A"/>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276"/>
    <s v="HV-Safety, Isolation Observation"/>
    <s v="A"/>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395"/>
    <s v="HV-Safety, HV-Battery Crash-Deactivation (Reversible)"/>
    <s v="A"/>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473"/>
    <s v="HV-Safety, HV-Battery Crash-Deactivation (Service Reversible)"/>
    <s v="A"/>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474"/>
    <s v="HV-Safety, Service Disconnect"/>
    <s v="A"/>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475"/>
    <s v="HV-Safety, Emergency Discharge (Active)"/>
    <s v="A"/>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526"/>
    <s v="HV-Safety, Fire Detection"/>
    <s v="QM"/>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558"/>
    <s v="HV-Safety, Passive Discharge"/>
    <s v="A"/>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687"/>
    <s v="Battery Management, Power Derating"/>
    <s v="QM"/>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691"/>
    <s v="Battery Management, State Of Health (SOH)"/>
    <s v="A"/>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692"/>
    <s v="Battery Management, State Of Charge (SOC)"/>
    <s v="QM"/>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693"/>
    <s v="Battery Management, Contactor Control"/>
    <m/>
    <s v="Powertrain"/>
    <s v="HV Battery"/>
    <s v="Operation Management - Computing"/>
    <s v="EV"/>
    <s v="Control Unit"/>
    <s v="High Voltage Control Unit"/>
    <s v="High Voltage Control Unit - Operation Management - Computing"/>
    <m/>
    <m/>
    <m/>
    <m/>
    <m/>
    <m/>
    <m/>
    <m/>
    <m/>
    <m/>
    <m/>
    <m/>
    <m/>
    <m/>
  </r>
  <r>
    <x v="61"/>
    <s v="38.0_E-Drive &amp; HV-Safety"/>
    <s v="38.10 HVBordnet&amp;Safety-System"/>
    <s v="F0996"/>
    <s v="HV-Safety, Contactor Diagnosis"/>
    <s v="QM"/>
    <s v="Powertrain"/>
    <s v="HV Battery"/>
    <s v="Operation Management - Computing"/>
    <s v="EV"/>
    <s v="Control Unit"/>
    <s v="High Voltage Control Unit"/>
    <s v="High Voltage Control Unit - Operation Management - Computing"/>
    <m/>
    <m/>
    <m/>
    <m/>
    <m/>
    <m/>
    <m/>
    <m/>
    <m/>
    <m/>
    <m/>
    <m/>
    <m/>
    <m/>
  </r>
  <r>
    <x v="61"/>
    <s v="38.0_E-Drive &amp; HV-Safety"/>
    <s v="38.10 HVBordnet&amp;Safety-System"/>
    <s v="F1026"/>
    <s v="Battery Management, Active Cell Balancing "/>
    <s v="A"/>
    <s v="Powertrain"/>
    <s v="HV Battery"/>
    <s v="Operation Management - Computing"/>
    <s v="EV"/>
    <s v="Control Unit"/>
    <s v="High Voltage Control Unit"/>
    <s v="High Voltage Control Unit - Operation Management - Computing"/>
    <m/>
    <m/>
    <m/>
    <m/>
    <m/>
    <m/>
    <m/>
    <m/>
    <m/>
    <m/>
    <m/>
    <m/>
    <m/>
    <m/>
  </r>
  <r>
    <x v="61"/>
    <s v="38.0_E-Drive &amp; HV-Safety"/>
    <s v="38.10 HVBordnet&amp;Safety-System"/>
    <s v="F1028"/>
    <s v="Battery Management, UI Monitoring"/>
    <s v="A"/>
    <s v="Powertrain"/>
    <s v="HV Battery"/>
    <s v="Operation Management - Computing"/>
    <s v="EV"/>
    <s v="Control Unit"/>
    <s v="High Voltage Control Unit"/>
    <s v="High Voltage Control Unit - Operation Management - Computing"/>
    <m/>
    <m/>
    <m/>
    <m/>
    <m/>
    <m/>
    <m/>
    <m/>
    <m/>
    <m/>
    <m/>
    <m/>
    <m/>
    <m/>
  </r>
  <r>
    <x v="61"/>
    <s v="80.0_Cross-Functions"/>
    <s v="80.81_VehicleStateManagement"/>
    <s v="F0640"/>
    <s v="Vehicle State Management, HV"/>
    <s v=" "/>
    <s v="Powertrain"/>
    <s v="HV Battery"/>
    <s v="Operation Management - Computing"/>
    <s v="EV"/>
    <s v="Control Unit"/>
    <s v="High Voltage Control Unit"/>
    <s v="High Voltage Control Unit - Operation Management - Computing"/>
    <m/>
    <m/>
    <m/>
    <m/>
    <m/>
    <m/>
    <m/>
    <m/>
    <m/>
    <m/>
    <m/>
    <m/>
    <m/>
    <m/>
  </r>
  <r>
    <x v="62"/>
    <s v="14.0_HMI &amp; OutsideInformation"/>
    <s v="14.10_DriverInformation-System"/>
    <s v="F0168"/>
    <s v="Indications, Charging Completed"/>
    <s v="TBD"/>
    <s v="Powertrain"/>
    <s v="HV Battery"/>
    <s v="Operation Management - Computing"/>
    <s v="EV"/>
    <s v="Control Unit"/>
    <s v="BMS Control Unit"/>
    <s v="BMS Control Unit - Operation Management - Computing"/>
    <m/>
    <m/>
    <m/>
    <m/>
    <m/>
    <m/>
    <m/>
    <m/>
    <m/>
    <m/>
    <m/>
    <m/>
    <m/>
    <m/>
  </r>
  <r>
    <x v="62"/>
    <s v="14.0_HMI &amp; OutsideInformation"/>
    <s v="14.10_DriverInformation-System"/>
    <s v="F0463"/>
    <s v="Indications, Recuperation Statistics"/>
    <s v="B"/>
    <s v="Powertrain"/>
    <s v="HV Battery"/>
    <s v="Operation Management - Computing"/>
    <s v="EV"/>
    <s v="Control Unit"/>
    <s v="BMS Control Unit"/>
    <s v="BMS Control Unit - Operation Management - Computing"/>
    <m/>
    <m/>
    <m/>
    <m/>
    <m/>
    <m/>
    <m/>
    <m/>
    <m/>
    <m/>
    <m/>
    <m/>
    <m/>
    <m/>
  </r>
  <r>
    <x v="62"/>
    <s v="14.0_HMI &amp; OutsideInformation"/>
    <s v="14.10_DriverInformation-System"/>
    <s v="F0624"/>
    <s v="Indications, Battery Charging"/>
    <m/>
    <s v="Powertrain"/>
    <s v="HV Battery"/>
    <s v="Operation Management - Computing"/>
    <s v="EV"/>
    <s v="Control Unit"/>
    <s v="BMS Control Unit"/>
    <s v="BMS Control Unit - Operation Management - Computing"/>
    <m/>
    <m/>
    <m/>
    <m/>
    <m/>
    <m/>
    <m/>
    <m/>
    <m/>
    <m/>
    <m/>
    <m/>
    <m/>
    <m/>
  </r>
  <r>
    <x v="62"/>
    <s v="14.0_HMI &amp; OutsideInformation"/>
    <s v="14.10_DriverInformation-System"/>
    <s v="F0626"/>
    <s v="Indications, Error in HV System"/>
    <s v="A"/>
    <s v="Powertrain"/>
    <s v="HV Battery"/>
    <s v="Operation Management - Computing"/>
    <s v="EV"/>
    <s v="Control Unit"/>
    <s v="BMS Control Unit"/>
    <s v="BMS Control Unit - Operation Management - Computing"/>
    <m/>
    <m/>
    <m/>
    <m/>
    <m/>
    <m/>
    <m/>
    <m/>
    <m/>
    <m/>
    <m/>
    <m/>
    <m/>
    <m/>
  </r>
  <r>
    <x v="62"/>
    <s v="14.0_HMI &amp; OutsideInformation"/>
    <s v="14.10_DriverInformation-System"/>
    <s v="F0631"/>
    <s v="Indications, Electric Range Estimation"/>
    <s v="B"/>
    <s v="Powertrain"/>
    <s v="HV Battery"/>
    <s v="Operation Management - Computing"/>
    <s v="EV"/>
    <s v="Control Unit"/>
    <s v="BMS Control Unit"/>
    <s v="BMS Control Unit - Operation Management - Computing"/>
    <m/>
    <m/>
    <m/>
    <m/>
    <m/>
    <m/>
    <m/>
    <m/>
    <m/>
    <m/>
    <m/>
    <m/>
    <m/>
    <m/>
  </r>
  <r>
    <x v="62"/>
    <s v="14.0_HMI &amp; OutsideInformation"/>
    <s v="14.10_DriverInformation-System"/>
    <s v="F0788"/>
    <s v="Indications, Battery Level (SOH)"/>
    <s v="TBD"/>
    <s v="Powertrain"/>
    <s v="HV Battery"/>
    <s v="Operation Management - Computing"/>
    <s v="EV"/>
    <s v="Control Unit"/>
    <s v="BMS Control Unit"/>
    <s v="BMS Control Unit - Operation Management - Computing"/>
    <m/>
    <m/>
    <m/>
    <m/>
    <m/>
    <m/>
    <m/>
    <m/>
    <m/>
    <m/>
    <m/>
    <m/>
    <m/>
    <m/>
  </r>
  <r>
    <x v="62"/>
    <s v="16.0_Comfort &amp; Safety"/>
    <s v="16.12_CrashHandling-System"/>
    <s v="F0641"/>
    <s v="Crashdetection, HV-Safety"/>
    <m/>
    <s v="Powertrain"/>
    <s v="HV Battery"/>
    <s v="Operation Management - Computing"/>
    <s v="EV"/>
    <s v="Control Unit"/>
    <s v="BMS Control Unit"/>
    <s v="BMS Control Unit - Operation Management - Computing"/>
    <m/>
    <m/>
    <m/>
    <m/>
    <m/>
    <m/>
    <m/>
    <m/>
    <m/>
    <m/>
    <m/>
    <m/>
    <m/>
    <m/>
  </r>
  <r>
    <x v="62"/>
    <s v="38.0_E-Drive &amp; HV-Safety"/>
    <s v="38.10 HVBordnet&amp;Safety-System"/>
    <s v="F0086"/>
    <s v="HV-Safety, Zero Potential Detection"/>
    <s v="A"/>
    <s v="Powertrain"/>
    <s v="HV Battery"/>
    <s v="Operation Management - Computing"/>
    <s v="EV"/>
    <s v="Control Unit"/>
    <s v="BMS Control Unit"/>
    <s v="BMS Control Unit - Operation Management - Computing"/>
    <m/>
    <m/>
    <m/>
    <m/>
    <m/>
    <m/>
    <m/>
    <m/>
    <m/>
    <m/>
    <m/>
    <m/>
    <m/>
    <m/>
  </r>
  <r>
    <x v="62"/>
    <s v="38.0_E-Drive &amp; HV-Safety"/>
    <s v="38.10 HVBordnet&amp;Safety-System"/>
    <s v="F0275"/>
    <s v="Battery Management, BMS Self Protection"/>
    <s v="A"/>
    <s v="Powertrain"/>
    <s v="HV Battery"/>
    <s v="Operation Management - Computing"/>
    <s v="EV"/>
    <s v="Control Unit"/>
    <s v="BMS Control Unit"/>
    <s v="BMS Control Unit - Operation Management - Computing"/>
    <m/>
    <m/>
    <m/>
    <m/>
    <m/>
    <m/>
    <m/>
    <m/>
    <m/>
    <m/>
    <m/>
    <m/>
    <m/>
    <m/>
  </r>
  <r>
    <x v="62"/>
    <s v="38.0_E-Drive &amp; HV-Safety"/>
    <s v="38.10 HVBordnet&amp;Safety-System"/>
    <s v="F0276"/>
    <s v="HV-Safety, Isolation Observation"/>
    <s v="A"/>
    <s v="Powertrain"/>
    <s v="HV Battery"/>
    <s v="Operation Management - Computing"/>
    <s v="EV"/>
    <s v="Control Unit"/>
    <s v="BMS Control Unit"/>
    <s v="BMS Control Unit - Operation Management - Computing"/>
    <m/>
    <m/>
    <m/>
    <m/>
    <m/>
    <m/>
    <m/>
    <m/>
    <m/>
    <m/>
    <m/>
    <m/>
    <m/>
    <m/>
  </r>
  <r>
    <x v="62"/>
    <s v="38.0_E-Drive &amp; HV-Safety"/>
    <s v="38.10 HVBordnet&amp;Safety-System"/>
    <s v="F0352"/>
    <s v="HV-Safety, Cooling Liquid Leakage Detection"/>
    <s v="A"/>
    <s v="Powertrain"/>
    <s v="HV Battery"/>
    <s v="Operation Management - Computing"/>
    <s v="EV"/>
    <s v="Control Unit"/>
    <s v="BMS Control Unit"/>
    <s v="BMS Control Unit - Operation Management - Computing"/>
    <m/>
    <m/>
    <m/>
    <m/>
    <m/>
    <m/>
    <m/>
    <m/>
    <m/>
    <m/>
    <m/>
    <m/>
    <m/>
    <m/>
  </r>
  <r>
    <x v="62"/>
    <s v="38.0_E-Drive &amp; HV-Safety"/>
    <s v="38.10 HVBordnet&amp;Safety-System"/>
    <s v="F0395"/>
    <s v="HV-Safety, HV-Battery Crash-Deactivation (Reversible)"/>
    <s v="A"/>
    <s v="Powertrain"/>
    <s v="HV Battery"/>
    <s v="Operation Management - Computing"/>
    <s v="EV"/>
    <s v="Control Unit"/>
    <s v="BMS Control Unit"/>
    <s v="BMS Control Unit - Operation Management - Computing"/>
    <m/>
    <m/>
    <m/>
    <m/>
    <m/>
    <m/>
    <m/>
    <m/>
    <m/>
    <m/>
    <m/>
    <m/>
    <m/>
    <m/>
  </r>
  <r>
    <x v="62"/>
    <s v="38.0_E-Drive &amp; HV-Safety"/>
    <s v="38.10 HVBordnet&amp;Safety-System"/>
    <s v="F0473"/>
    <s v="HV-Safety, HV-Battery Crash-Deactivation (Service Reversible)"/>
    <s v="A"/>
    <s v="Powertrain"/>
    <s v="HV Battery"/>
    <s v="Operation Management - Computing"/>
    <s v="EV"/>
    <s v="Control Unit"/>
    <s v="BMS Control Unit"/>
    <s v="BMS Control Unit - Operation Management - Computing"/>
    <m/>
    <m/>
    <m/>
    <m/>
    <m/>
    <m/>
    <m/>
    <m/>
    <m/>
    <m/>
    <m/>
    <m/>
    <m/>
    <m/>
  </r>
  <r>
    <x v="62"/>
    <s v="38.0_E-Drive &amp; HV-Safety"/>
    <s v="38.10 HVBordnet&amp;Safety-System"/>
    <s v="F0474"/>
    <s v="HV-Safety, Service Disconnect"/>
    <s v="A"/>
    <s v="Powertrain"/>
    <s v="HV Battery"/>
    <s v="Operation Management - Computing"/>
    <s v="EV"/>
    <s v="Control Unit"/>
    <s v="BMS Control Unit"/>
    <s v="BMS Control Unit - Operation Management - Computing"/>
    <m/>
    <m/>
    <m/>
    <m/>
    <m/>
    <m/>
    <m/>
    <m/>
    <m/>
    <m/>
    <m/>
    <m/>
    <m/>
    <m/>
  </r>
  <r>
    <x v="62"/>
    <s v="38.0_E-Drive &amp; HV-Safety"/>
    <s v="38.10 HVBordnet&amp;Safety-System"/>
    <s v="F0475"/>
    <s v="HV-Safety, Emergency Discharge (Active)"/>
    <s v="A"/>
    <s v="Powertrain"/>
    <s v="HV Battery"/>
    <s v="Operation Management - Computing"/>
    <s v="EV"/>
    <s v="Control Unit"/>
    <s v="BMS Control Unit"/>
    <s v="BMS Control Unit - Operation Management - Computing"/>
    <m/>
    <m/>
    <m/>
    <m/>
    <m/>
    <m/>
    <m/>
    <m/>
    <m/>
    <m/>
    <m/>
    <m/>
    <m/>
    <m/>
  </r>
  <r>
    <x v="62"/>
    <s v="38.0_E-Drive &amp; HV-Safety"/>
    <s v="38.10 HVBordnet&amp;Safety-System"/>
    <s v="F0526"/>
    <s v="HV-Safety, Fire Detection"/>
    <s v="QM"/>
    <s v="Powertrain"/>
    <s v="HV Battery"/>
    <s v="Operation Management - Computing"/>
    <s v="EV"/>
    <s v="Control Unit"/>
    <s v="BMS Control Unit"/>
    <s v="BMS Control Unit - Operation Management - Computing"/>
    <m/>
    <m/>
    <m/>
    <m/>
    <m/>
    <m/>
    <m/>
    <m/>
    <m/>
    <m/>
    <m/>
    <m/>
    <m/>
    <m/>
  </r>
  <r>
    <x v="62"/>
    <s v="38.0_E-Drive &amp; HV-Safety"/>
    <s v="38.10 HVBordnet&amp;Safety-System"/>
    <s v="F0558"/>
    <s v="HV-Safety, Passive Discharge"/>
    <s v="A"/>
    <s v="Powertrain"/>
    <s v="HV Battery"/>
    <s v="Operation Management - Computing"/>
    <s v="EV"/>
    <s v="Control Unit"/>
    <s v="BMS Control Unit"/>
    <s v="BMS Control Unit - Operation Management - Computing"/>
    <m/>
    <m/>
    <m/>
    <m/>
    <m/>
    <m/>
    <m/>
    <m/>
    <m/>
    <m/>
    <m/>
    <m/>
    <m/>
    <m/>
  </r>
  <r>
    <x v="62"/>
    <s v="38.0_E-Drive &amp; HV-Safety"/>
    <s v="38.10 HVBordnet&amp;Safety-System"/>
    <s v="F0687"/>
    <s v="Battery Management, Power Derating"/>
    <s v="QM"/>
    <s v="Powertrain"/>
    <s v="HV Battery"/>
    <s v="Operation Management - Computing"/>
    <s v="EV"/>
    <s v="Control Unit"/>
    <s v="BMS Control Unit"/>
    <s v="BMS Control Unit - Operation Management - Computing"/>
    <m/>
    <m/>
    <m/>
    <m/>
    <m/>
    <m/>
    <m/>
    <m/>
    <m/>
    <m/>
    <m/>
    <m/>
    <m/>
    <m/>
  </r>
  <r>
    <x v="62"/>
    <s v="38.0_E-Drive &amp; HV-Safety"/>
    <s v="38.10 HVBordnet&amp;Safety-System"/>
    <s v="F0691"/>
    <s v="Battery Management, State Of Health (SOH)"/>
    <s v="A"/>
    <s v="Powertrain"/>
    <s v="HV Battery"/>
    <s v="Operation Management - Computing"/>
    <s v="EV"/>
    <s v="Control Unit"/>
    <s v="BMS Control Unit"/>
    <s v="BMS Control Unit - Operation Management - Computing"/>
    <m/>
    <m/>
    <m/>
    <m/>
    <m/>
    <m/>
    <m/>
    <m/>
    <m/>
    <m/>
    <m/>
    <m/>
    <m/>
    <m/>
  </r>
  <r>
    <x v="62"/>
    <s v="38.0_E-Drive &amp; HV-Safety"/>
    <s v="38.10 HVBordnet&amp;Safety-System"/>
    <s v="F0692"/>
    <s v="Battery Management, State Of Charge (SOC)"/>
    <s v="QM"/>
    <s v="Powertrain"/>
    <s v="HV Battery"/>
    <s v="Operation Management - Computing"/>
    <s v="EV"/>
    <s v="Control Unit"/>
    <s v="BMS Control Unit"/>
    <s v="BMS Control Unit - Operation Management - Computing"/>
    <m/>
    <m/>
    <m/>
    <m/>
    <m/>
    <m/>
    <m/>
    <m/>
    <m/>
    <m/>
    <m/>
    <m/>
    <m/>
    <m/>
  </r>
  <r>
    <x v="62"/>
    <s v="38.0_E-Drive &amp; HV-Safety"/>
    <s v="38.10 HVBordnet&amp;Safety-System"/>
    <s v="F0693"/>
    <s v="Battery Management, Contactor Control"/>
    <m/>
    <s v="Powertrain"/>
    <s v="HV Battery"/>
    <s v="Operation Management - Computing"/>
    <s v="EV"/>
    <s v="Control Unit"/>
    <s v="BMS Control Unit"/>
    <s v="BMS Control Unit - Operation Management - Computing"/>
    <m/>
    <m/>
    <m/>
    <m/>
    <m/>
    <m/>
    <m/>
    <m/>
    <m/>
    <m/>
    <m/>
    <m/>
    <m/>
    <m/>
  </r>
  <r>
    <x v="62"/>
    <s v="38.0_E-Drive &amp; HV-Safety"/>
    <s v="38.10 HVBordnet&amp;Safety-System"/>
    <s v="F0996"/>
    <s v="HV-Safety, Contactor Diagnosis"/>
    <s v="QM"/>
    <s v="Powertrain"/>
    <s v="HV Battery"/>
    <s v="Operation Management - Computing"/>
    <s v="EV"/>
    <s v="Control Unit"/>
    <s v="BMS Control Unit"/>
    <s v="BMS Control Unit - Operation Management - Computing"/>
    <m/>
    <m/>
    <m/>
    <m/>
    <m/>
    <m/>
    <m/>
    <m/>
    <m/>
    <m/>
    <m/>
    <m/>
    <m/>
    <m/>
  </r>
  <r>
    <x v="62"/>
    <s v="38.0_E-Drive &amp; HV-Safety"/>
    <s v="38.10 HVBordnet&amp;Safety-System"/>
    <s v="F1026"/>
    <s v="Battery Management, Active Cell Balancing "/>
    <s v="A"/>
    <s v="Powertrain"/>
    <s v="HV Battery"/>
    <s v="Operation Management - Computing"/>
    <s v="EV"/>
    <s v="Control Unit"/>
    <s v="BMS Control Unit"/>
    <s v="BMS Control Unit - Operation Management - Computing"/>
    <m/>
    <m/>
    <m/>
    <m/>
    <m/>
    <m/>
    <m/>
    <m/>
    <m/>
    <m/>
    <m/>
    <m/>
    <m/>
    <m/>
  </r>
  <r>
    <x v="62"/>
    <s v="38.0_E-Drive &amp; HV-Safety"/>
    <s v="38.10 HVBordnet&amp;Safety-System"/>
    <s v="F1028"/>
    <s v="Battery Management, UI Monitoring"/>
    <s v="A"/>
    <s v="Powertrain"/>
    <s v="HV Battery"/>
    <s v="Operation Management - Computing"/>
    <s v="EV"/>
    <s v="Control Unit"/>
    <s v="BMS Control Unit"/>
    <s v="BMS Control Unit - Operation Management - Computing"/>
    <m/>
    <m/>
    <m/>
    <m/>
    <m/>
    <m/>
    <m/>
    <m/>
    <m/>
    <m/>
    <m/>
    <m/>
    <m/>
    <m/>
  </r>
  <r>
    <x v="62"/>
    <s v="38.0_E-Drive &amp; HV-Safety"/>
    <s v="38.18_HVBattery-HW-Design"/>
    <s v="F0324"/>
    <s v="HV-Battery, 400V / 800V Voltage-Level"/>
    <m/>
    <s v="Powertrain"/>
    <s v="HV Battery"/>
    <s v="Operation Management - Computing"/>
    <s v="EV"/>
    <s v="Control Unit"/>
    <s v="BMS Control Unit"/>
    <s v="BMS Control Unit - Operation Management - Computing"/>
    <m/>
    <m/>
    <m/>
    <m/>
    <m/>
    <m/>
    <m/>
    <m/>
    <m/>
    <m/>
    <m/>
    <m/>
    <m/>
    <m/>
  </r>
  <r>
    <x v="62"/>
    <s v="38.0_E-Drive &amp; HV-Safety"/>
    <s v="38.20_Charging-System"/>
    <s v="F0440"/>
    <s v="Charging Mode 2, AC 1-Phase Com"/>
    <m/>
    <s v="Powertrain"/>
    <s v="HV Battery"/>
    <s v="Operation Management - Computing"/>
    <s v="EV"/>
    <s v="Control Unit"/>
    <s v="BMS Control Unit"/>
    <s v="BMS Control Unit - Operation Management - Computing"/>
    <m/>
    <m/>
    <m/>
    <m/>
    <m/>
    <m/>
    <m/>
    <m/>
    <m/>
    <m/>
    <m/>
    <m/>
    <m/>
    <m/>
  </r>
  <r>
    <x v="62"/>
    <s v="38.0_E-Drive &amp; HV-Safety"/>
    <s v="38.20_Charging-System"/>
    <s v="F0458"/>
    <s v="Charging Management, Plug Lock"/>
    <m/>
    <s v="Powertrain"/>
    <s v="HV Battery"/>
    <s v="Operation Management - Computing"/>
    <s v="EV"/>
    <s v="Control Unit"/>
    <s v="BMS Control Unit"/>
    <s v="BMS Control Unit - Operation Management - Computing"/>
    <m/>
    <m/>
    <m/>
    <m/>
    <m/>
    <m/>
    <m/>
    <m/>
    <m/>
    <m/>
    <m/>
    <m/>
    <m/>
    <m/>
  </r>
  <r>
    <x v="62"/>
    <s v="38.0_E-Drive &amp; HV-Safety"/>
    <s v="38.20_Charging-System"/>
    <s v="F0683"/>
    <s v="Charging Mode 3 (IEC)/ Level 2 (SAE), AC 1-Phase Wallbox"/>
    <m/>
    <s v="Powertrain"/>
    <s v="HV Battery"/>
    <s v="Operation Management - Computing"/>
    <s v="EV"/>
    <s v="Control Unit"/>
    <s v="BMS Control Unit"/>
    <s v="BMS Control Unit - Operation Management - Computing"/>
    <m/>
    <m/>
    <m/>
    <m/>
    <m/>
    <m/>
    <m/>
    <m/>
    <m/>
    <m/>
    <m/>
    <m/>
    <m/>
    <m/>
  </r>
  <r>
    <x v="62"/>
    <s v="38.0_E-Drive &amp; HV-Safety"/>
    <s v="38.20_Charging-System"/>
    <s v="F0684"/>
    <s v="Charging Mode 3 (IEC)/ Level 2 (SAE), AC 3-Phase Wallbox"/>
    <m/>
    <s v="Powertrain"/>
    <s v="HV Battery"/>
    <s v="Operation Management - Computing"/>
    <s v="EV"/>
    <s v="Control Unit"/>
    <s v="BMS Control Unit"/>
    <s v="BMS Control Unit - Operation Management - Computing"/>
    <m/>
    <m/>
    <m/>
    <m/>
    <m/>
    <m/>
    <m/>
    <m/>
    <m/>
    <m/>
    <m/>
    <m/>
    <m/>
    <m/>
  </r>
  <r>
    <x v="62"/>
    <s v="38.0_E-Drive &amp; HV-Safety"/>
    <s v="38.20_Charging-System"/>
    <s v="F0947"/>
    <s v="Outside Lighting, Charging Indication"/>
    <s v="QM"/>
    <s v="Powertrain"/>
    <s v="HV Battery"/>
    <s v="Operation Management - Computing"/>
    <s v="EV"/>
    <s v="Control Unit"/>
    <s v="BMS Control Unit"/>
    <s v="BMS Control Unit - Operation Management - Computing"/>
    <m/>
    <m/>
    <m/>
    <m/>
    <m/>
    <m/>
    <m/>
    <m/>
    <m/>
    <m/>
    <m/>
    <m/>
    <m/>
    <m/>
  </r>
  <r>
    <x v="62"/>
    <s v="38.0_E-Drive &amp; HV-Safety"/>
    <s v="38.20_Charging-System"/>
    <s v="F0986"/>
    <s v="Charging Mode 4 (IEC)/ Level 3 (SAE), DC, fast charging power (&gt;50kW), Communication and protection between charging station and vehicle"/>
    <m/>
    <s v="Powertrain"/>
    <s v="HV Battery"/>
    <s v="Operation Management - Computing"/>
    <s v="EV"/>
    <s v="Control Unit"/>
    <s v="BMS Control Unit"/>
    <s v="BMS Control Unit - Operation Management - Computing"/>
    <m/>
    <m/>
    <m/>
    <m/>
    <m/>
    <m/>
    <m/>
    <m/>
    <m/>
    <m/>
    <m/>
    <m/>
    <m/>
    <m/>
  </r>
  <r>
    <x v="62"/>
    <s v="39.0_HVAC &amp; Thermal"/>
    <s v="39.11_ComponentThermal-System"/>
    <s v="F0189"/>
    <s v="Thermal Management, HV-Battery Heating"/>
    <s v="C"/>
    <s v="Powertrain"/>
    <s v="HV Battery"/>
    <s v="Operation Management - Computing"/>
    <s v="EV"/>
    <s v="Control Unit"/>
    <s v="BMS Control Unit"/>
    <s v="BMS Control Unit - Operation Management - Computing"/>
    <m/>
    <m/>
    <m/>
    <m/>
    <m/>
    <m/>
    <m/>
    <m/>
    <m/>
    <m/>
    <m/>
    <m/>
    <m/>
    <m/>
  </r>
  <r>
    <x v="62"/>
    <m/>
    <m/>
    <s v="F0277"/>
    <s v="Charging Mode 1 (IEC)/ Level 1 (SAE), AC 1-Phase NoCom"/>
    <s v="C"/>
    <s v="Powertrain"/>
    <s v="HV Battery"/>
    <s v="Operation Management - Computing"/>
    <s v="EV"/>
    <s v="Control Unit"/>
    <s v="BMS Control Unit"/>
    <s v="BMS Control Unit - Operation Management - Computing"/>
    <m/>
    <m/>
    <m/>
    <m/>
    <m/>
    <m/>
    <m/>
    <m/>
    <m/>
    <m/>
    <m/>
    <m/>
    <m/>
    <m/>
  </r>
  <r>
    <x v="62"/>
    <m/>
    <m/>
    <s v="F0441"/>
    <s v="Charging Mode 2, AC 3-Phase Com"/>
    <m/>
    <s v="Powertrain"/>
    <s v="HV Battery"/>
    <s v="Operation Management - Computing"/>
    <s v="EV"/>
    <s v="Control Unit"/>
    <s v="BMS Control Unit"/>
    <s v="BMS Control Unit - Operation Management - Computing"/>
    <m/>
    <m/>
    <m/>
    <m/>
    <m/>
    <m/>
    <m/>
    <m/>
    <m/>
    <m/>
    <m/>
    <m/>
    <m/>
    <m/>
  </r>
  <r>
    <x v="62"/>
    <m/>
    <m/>
    <s v="F1018"/>
    <s v="HV-Safety, Detection Of Open_x000a_HV Wiring"/>
    <s v="A"/>
    <s v="Powertrain"/>
    <s v="HV Battery"/>
    <s v="Operation Management - Computing"/>
    <s v="EV"/>
    <s v="Control Unit"/>
    <s v="BMS Control Unit"/>
    <s v="BMS Control Unit - Operation Management - Computing"/>
    <m/>
    <m/>
    <m/>
    <m/>
    <m/>
    <m/>
    <m/>
    <m/>
    <m/>
    <m/>
    <m/>
    <m/>
    <m/>
    <m/>
  </r>
  <r>
    <x v="63"/>
    <s v="32.0_Comfort &amp; Chassis"/>
    <s v="32.10_Braking-System"/>
    <s v="F0x43"/>
    <s v="Brake, Pad Warning"/>
    <s v=" "/>
    <s v="Chassis"/>
    <s v="Brake"/>
    <s v="Pad Warning"/>
    <s v="with Pad Warning"/>
    <s v="Sensor"/>
    <s v="Wear Sensor Rear Right"/>
    <s v="Wear Sensor Rear Right - Pad Warning"/>
    <m/>
    <m/>
    <s v="90;18"/>
    <s v="TE"/>
    <s v="1-1355200-1"/>
    <s v="2 Pos. MCP 2,8mm Sealed"/>
    <s v="No"/>
    <s v="No"/>
    <s v="No"/>
    <s v="Yes"/>
    <n v="1"/>
    <n v="1"/>
    <n v="1"/>
    <n v="1"/>
  </r>
  <r>
    <x v="64"/>
    <s v="16.0_Comfort &amp; Safety"/>
    <s v="16.20_Restraint-System"/>
    <s v="F0051"/>
    <s v="Belt Tensioner Front, With Belt Load Limiter"/>
    <s v="D"/>
    <s v="Chassis"/>
    <s v="Airbag"/>
    <s v="Retractor Load Limiter"/>
    <s v="Basic"/>
    <s v="Igniter"/>
    <s v="Retractor 1st Row R 2 - Load Limiter"/>
    <s v="Retractor 1st Row R 2 - Load Limiter - Retractor Load Limiter"/>
    <m/>
    <m/>
    <s v="58;1"/>
    <m/>
    <m/>
    <m/>
    <m/>
    <s v="No"/>
    <s v="No"/>
    <s v="Yes"/>
    <n v="0"/>
    <n v="0"/>
    <n v="0"/>
    <n v="0"/>
  </r>
  <r>
    <x v="65"/>
    <s v="16.0_Comfort &amp; Safety"/>
    <s v="16.20_Restraint-System"/>
    <s v="F0800"/>
    <s v="Belt Tensioner Rear, Outer Side"/>
    <s v="QM"/>
    <s v="Chassis"/>
    <s v="Airbag"/>
    <s v="Retractor"/>
    <s v="Basic"/>
    <s v="Igniter"/>
    <s v="Retractor 2nd Row R"/>
    <s v="Retractor 2nd Row R - Retractor"/>
    <m/>
    <m/>
    <s v="81;19"/>
    <m/>
    <m/>
    <m/>
    <m/>
    <s v="No"/>
    <s v="Yes"/>
    <s v="Yes"/>
    <n v="0"/>
    <n v="0"/>
    <n v="0"/>
    <n v="0"/>
  </r>
  <r>
    <x v="66"/>
    <s v="16.0_Comfort &amp; Safety"/>
    <s v="16.20_Restraint-System"/>
    <s v="F0051"/>
    <s v="Belt Tensioner Front, With Belt Load Limiter"/>
    <s v="D"/>
    <s v="Chassis"/>
    <s v="Airbag"/>
    <s v="Pretensioner Retractor"/>
    <s v="Basic"/>
    <s v="Igniter"/>
    <s v="Retractor 1st Row R 1 - Pretensioner"/>
    <s v="Retractor 1st Row R 1 - Pretensioner - Pretensioner Retractor"/>
    <m/>
    <m/>
    <s v="59;19"/>
    <m/>
    <m/>
    <m/>
    <m/>
    <s v="No"/>
    <s v="Yes"/>
    <s v="Yes"/>
    <n v="0"/>
    <n v="0"/>
    <n v="0"/>
    <n v="0"/>
  </r>
  <r>
    <x v="67"/>
    <s v="10.0_Comfort &amp; Exterior"/>
    <s v="10.30_OutsideLighting-System"/>
    <s v="F0002"/>
    <s v="Rear Lighting, Brake Light Adaptive"/>
    <s v="B"/>
    <s v="Body"/>
    <s v="External Illumination"/>
    <s v="Rear Lamps R"/>
    <s v="LED"/>
    <s v="Actuator"/>
    <s v="Taillamp Assy' LED Right - Body"/>
    <s v="Taillamp Assy' LED Right - Body - Rear Lamps R"/>
    <m/>
    <m/>
    <s v="108;17"/>
    <m/>
    <m/>
    <m/>
    <m/>
    <s v="No"/>
    <s v="Yes"/>
    <s v="No"/>
    <n v="0.35"/>
    <n v="0.16"/>
    <n v="0.56999999999999995"/>
    <n v="0.35"/>
  </r>
  <r>
    <x v="67"/>
    <s v="10.0_Comfort &amp; Exterior"/>
    <s v="10.30_OutsideLighting-System"/>
    <s v="F0028"/>
    <s v="Light Scenario, Comfort Direction Indication"/>
    <s v="B"/>
    <s v="Body"/>
    <s v="External Illumination"/>
    <s v="Rear Lamps R"/>
    <s v="LED"/>
    <s v="Actuator"/>
    <s v="Taillamp Assy' LED Right - Body"/>
    <s v="Taillamp Assy' LED Right - Body - Rear Lamps R"/>
    <m/>
    <m/>
    <s v="108;17"/>
    <m/>
    <m/>
    <m/>
    <m/>
    <s v="No"/>
    <s v="Yes"/>
    <s v="No"/>
    <n v="0.35"/>
    <n v="0.16"/>
    <n v="0.56999999999999995"/>
    <n v="0.35"/>
  </r>
  <r>
    <x v="67"/>
    <s v="10.0_Comfort &amp; Exterior"/>
    <s v="10.30_OutsideLighting-System"/>
    <s v="F0110"/>
    <s v="Rear Lighting, Taillamp"/>
    <s v="QM"/>
    <s v="Body"/>
    <s v="External Illumination"/>
    <s v="Rear Lamps R"/>
    <s v="LED"/>
    <s v="Actuator"/>
    <s v="Taillamp Assy' LED Right - Body"/>
    <s v="Taillamp Assy' LED Right - Body - Rear Lamps R"/>
    <m/>
    <m/>
    <s v="108;17"/>
    <m/>
    <m/>
    <m/>
    <m/>
    <s v="No"/>
    <s v="Yes"/>
    <s v="No"/>
    <n v="0.35"/>
    <n v="0.16"/>
    <n v="0.56999999999999995"/>
    <n v="0.35"/>
  </r>
  <r>
    <x v="67"/>
    <s v="10.0_Comfort &amp; Exterior"/>
    <s v="10.30_OutsideLighting-System"/>
    <s v="F0220"/>
    <s v="Light Scenario, Coming Home "/>
    <s v="QM"/>
    <s v="Body"/>
    <s v="External Illumination"/>
    <s v="Rear Lamps R"/>
    <s v="LED"/>
    <s v="Actuator"/>
    <s v="Taillamp Assy' LED Right - Body"/>
    <s v="Taillamp Assy' LED Right - Body - Rear Lamps R"/>
    <m/>
    <m/>
    <s v="108;17"/>
    <m/>
    <m/>
    <m/>
    <m/>
    <s v="No"/>
    <s v="Yes"/>
    <s v="No"/>
    <n v="0.35"/>
    <n v="0.16"/>
    <n v="0.56999999999999995"/>
    <n v="0.35"/>
  </r>
  <r>
    <x v="67"/>
    <s v="10.0_Comfort &amp; Exterior"/>
    <s v="10.30_OutsideLighting-System"/>
    <s v="F0221"/>
    <s v="Light Scenario, Welcome Light"/>
    <s v="QM"/>
    <s v="Body"/>
    <s v="External Illumination"/>
    <s v="Rear Lamps R"/>
    <s v="LED"/>
    <s v="Actuator"/>
    <s v="Taillamp Assy' LED Right - Body"/>
    <s v="Taillamp Assy' LED Right - Body - Rear Lamps R"/>
    <m/>
    <m/>
    <s v="108;17"/>
    <m/>
    <m/>
    <m/>
    <m/>
    <s v="No"/>
    <s v="Yes"/>
    <s v="No"/>
    <n v="0.35"/>
    <n v="0.16"/>
    <n v="0.56999999999999995"/>
    <n v="0.35"/>
  </r>
  <r>
    <x v="67"/>
    <s v="10.0_Comfort &amp; Exterior"/>
    <s v="10.30_OutsideLighting-System"/>
    <s v="F0227"/>
    <s v="Light Scenario, Parking Light"/>
    <s v="QM"/>
    <s v="Body"/>
    <s v="External Illumination"/>
    <s v="Rear Lamps R"/>
    <s v="LED"/>
    <s v="Actuator"/>
    <s v="Taillamp Assy' LED Right - Body"/>
    <s v="Taillamp Assy' LED Right - Body - Rear Lamps R"/>
    <m/>
    <m/>
    <s v="108;17"/>
    <m/>
    <m/>
    <m/>
    <m/>
    <s v="No"/>
    <s v="Yes"/>
    <s v="No"/>
    <n v="0.35"/>
    <n v="0.16"/>
    <n v="0.56999999999999995"/>
    <n v="0.35"/>
  </r>
  <r>
    <x v="67"/>
    <s v="10.0_Comfort &amp; Exterior"/>
    <s v="10.30_OutsideLighting-System"/>
    <s v="F0228"/>
    <s v="Surround Lighting, Hazard Light"/>
    <s v="B"/>
    <s v="Body"/>
    <s v="External Illumination"/>
    <s v="Rear Lamps R"/>
    <s v="LED"/>
    <s v="Actuator"/>
    <s v="Taillamp Assy' LED Right - Body"/>
    <s v="Taillamp Assy' LED Right - Body - Rear Lamps R"/>
    <m/>
    <m/>
    <s v="108;17"/>
    <m/>
    <m/>
    <m/>
    <m/>
    <s v="No"/>
    <s v="Yes"/>
    <s v="No"/>
    <n v="0.35"/>
    <n v="0.16"/>
    <n v="0.56999999999999995"/>
    <n v="0.35"/>
  </r>
  <r>
    <x v="67"/>
    <s v="10.0_Comfort &amp; Exterior"/>
    <s v="10.30_OutsideLighting-System"/>
    <s v="F0229"/>
    <s v="Surround Lighting, Turning Light"/>
    <s v="B"/>
    <s v="Body"/>
    <s v="External Illumination"/>
    <s v="Rear Lamps R"/>
    <s v="LED"/>
    <s v="Actuator"/>
    <s v="Taillamp Assy' LED Right - Body"/>
    <s v="Taillamp Assy' LED Right - Body - Rear Lamps R"/>
    <m/>
    <m/>
    <s v="108;17"/>
    <m/>
    <m/>
    <m/>
    <m/>
    <s v="No"/>
    <s v="Yes"/>
    <s v="No"/>
    <n v="0.35"/>
    <n v="0.16"/>
    <n v="0.56999999999999995"/>
    <n v="0.35"/>
  </r>
  <r>
    <x v="67"/>
    <s v="10.0_Comfort &amp; Exterior"/>
    <s v="10.30_OutsideLighting-System"/>
    <s v="F0230"/>
    <s v="Rear Lighting, Brake Light"/>
    <s v="B"/>
    <s v="Body"/>
    <s v="External Illumination"/>
    <s v="Rear Lamps R"/>
    <s v="LED"/>
    <s v="Actuator"/>
    <s v="Taillamp Assy' LED Right - Body"/>
    <s v="Taillamp Assy' LED Right - Body - Rear Lamps R"/>
    <m/>
    <m/>
    <s v="108;17"/>
    <m/>
    <m/>
    <m/>
    <m/>
    <s v="No"/>
    <s v="Yes"/>
    <s v="No"/>
    <n v="0.35"/>
    <n v="0.16"/>
    <n v="0.56999999999999995"/>
    <n v="0.35"/>
  </r>
  <r>
    <x v="67"/>
    <s v="10.0_Comfort &amp; Exterior"/>
    <s v="10.30_OutsideLighting-System"/>
    <s v="F0231"/>
    <s v="Rear Lighting, Rear Position Light"/>
    <s v="QM"/>
    <s v="Body"/>
    <s v="External Illumination"/>
    <s v="Rear Lamps R"/>
    <s v="LED"/>
    <s v="Actuator"/>
    <s v="Taillamp Assy' LED Right - Body"/>
    <s v="Taillamp Assy' LED Right - Body - Rear Lamps R"/>
    <m/>
    <m/>
    <s v="108;17"/>
    <m/>
    <m/>
    <m/>
    <m/>
    <s v="No"/>
    <s v="Yes"/>
    <s v="No"/>
    <n v="0.35"/>
    <n v="0.16"/>
    <n v="0.56999999999999995"/>
    <n v="0.35"/>
  </r>
  <r>
    <x v="67"/>
    <s v="28.0_Powertrain &amp; Driveability"/>
    <s v="28.13_Recuperation&amp;OPD-System"/>
    <s v="F0294"/>
    <s v="Recuperation, Brake Lights"/>
    <s v="B"/>
    <s v="Body"/>
    <s v="External Illumination"/>
    <s v="Rear Lamps R"/>
    <s v="LED"/>
    <s v="Actuator"/>
    <s v="Taillamp Assy' LED Right - Body"/>
    <s v="Taillamp Assy' LED Right - Body - Rear Lamps R"/>
    <m/>
    <m/>
    <s v="108;17"/>
    <m/>
    <m/>
    <m/>
    <m/>
    <s v="No"/>
    <s v="Yes"/>
    <s v="No"/>
    <n v="0.35"/>
    <n v="0.16"/>
    <n v="0.56999999999999995"/>
    <n v="0.35"/>
  </r>
  <r>
    <x v="68"/>
    <s v="14.0_HMI &amp; OutsideInformation"/>
    <s v="14.10_DriverInformation-System"/>
    <s v="F0674"/>
    <s v="Clock, System"/>
    <s v="QM"/>
    <s v="Infotainment"/>
    <s v="Communication"/>
    <s v="Navigation"/>
    <s v="with Navigation"/>
    <s v="Antenna"/>
    <s v="GPS Antenna"/>
    <s v="GPS Antenna - Navigation"/>
    <m/>
    <m/>
    <s v="83;1"/>
    <s v="TE"/>
    <s v="1452584-1"/>
    <s v="1 Pos. Fakra II Unsealed"/>
    <m/>
    <s v="No"/>
    <s v="Yes"/>
    <s v="Yes"/>
    <n v="1"/>
    <n v="1"/>
    <n v="1"/>
    <n v="1"/>
  </r>
  <r>
    <x v="68"/>
    <s v="36.0_Infotainment &amp; Connectivity"/>
    <s v="36.20_Navigation-System"/>
    <s v="F2023"/>
    <s v="Navigation, GPS"/>
    <m/>
    <s v="Infotainment"/>
    <s v="Communication"/>
    <s v="Navigation"/>
    <s v="with Navigation"/>
    <s v="Antenna"/>
    <s v="GPS Antenna"/>
    <s v="GPS Antenna - Navigation"/>
    <m/>
    <m/>
    <s v="83;1"/>
    <s v="TE"/>
    <s v="1452584-1"/>
    <s v="1 Pos. Fakra II Unsealed"/>
    <m/>
    <s v="No"/>
    <s v="Yes"/>
    <s v="Yes"/>
    <n v="1"/>
    <n v="1"/>
    <n v="1"/>
    <n v="1"/>
  </r>
  <r>
    <x v="68"/>
    <s v="37.0_ADAS &amp; AutomatedDriving"/>
    <s v="37.02_Alerting-System"/>
    <s v="F0594"/>
    <s v="Object Detection, Highway"/>
    <m/>
    <s v="Infotainment"/>
    <s v="Communication"/>
    <s v="Navigation"/>
    <s v="with Navigation"/>
    <s v="Antenna"/>
    <s v="GPS Antenna"/>
    <s v="GPS Antenna - Navigation"/>
    <m/>
    <m/>
    <s v="83;1"/>
    <s v="TE"/>
    <s v="1452584-1"/>
    <s v="1 Pos. Fakra II Unsealed"/>
    <m/>
    <s v="No"/>
    <s v="Yes"/>
    <s v="Yes"/>
    <n v="1"/>
    <n v="1"/>
    <n v="1"/>
    <n v="1"/>
  </r>
  <r>
    <x v="68"/>
    <s v="37.0_ADAS &amp; AutomatedDriving"/>
    <s v="37.10_ACC-System"/>
    <s v="F2001"/>
    <s v="ACC Predictive Driving Support"/>
    <m/>
    <s v="Infotainment"/>
    <s v="Communication"/>
    <s v="Navigation"/>
    <s v="with Navigation"/>
    <s v="Antenna"/>
    <s v="GPS Antenna"/>
    <s v="GPS Antenna - Navigation"/>
    <m/>
    <m/>
    <s v="83;1"/>
    <s v="TE"/>
    <s v="1452584-1"/>
    <s v="1 Pos. Fakra II Unsealed"/>
    <m/>
    <s v="No"/>
    <s v="Yes"/>
    <s v="Yes"/>
    <n v="1"/>
    <n v="1"/>
    <n v="1"/>
    <n v="1"/>
  </r>
  <r>
    <x v="69"/>
    <s v="37.0_ADAS &amp; AutomatedDriving"/>
    <s v="37.02_Alerting-System"/>
    <s v="F0599"/>
    <s v="Event Recorder, Video Capturing"/>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20_Parking-System"/>
    <s v="F0155"/>
    <s v="Park Assist, Front"/>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20_Parking-System"/>
    <s v="F0156"/>
    <s v="Park Assist, Rear"/>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20_Parking-System"/>
    <s v="F0314"/>
    <s v="Parking Pilot, Valet Parking"/>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20_Parking-System"/>
    <s v="F0536"/>
    <s v="Parking Pilot, Trained Parking"/>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20_Parking-System"/>
    <s v="F1301"/>
    <s v="Drive Away Assist"/>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20_Parking-System"/>
    <s v="F1304"/>
    <s v="Park Assist, Side"/>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20_Parking-System"/>
    <s v="F2003"/>
    <s v="Automatic Parking Support"/>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23_LaneSupporting-System"/>
    <s v="F0331"/>
    <s v="Lane Assist, Lane Change Assist (LCA)"/>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23_LaneSupporting-System"/>
    <s v="F0657"/>
    <s v="Lane Assist, Evasive Steering Support"/>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23_LaneSupporting-System"/>
    <s v="F0658"/>
    <s v="Lane Assist, Traffic Jam Assist"/>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23_LaneSupporting-System"/>
    <s v="F1187"/>
    <s v="Lane Support System, Lane Centering Control (LCC)"/>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23_LaneSupporting-System"/>
    <s v="F2010"/>
    <s v="Emergency Lane Keeping Support"/>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30_Piloting-System"/>
    <s v="F0332"/>
    <s v="Pilot, Traffic Jam"/>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30_Piloting-System"/>
    <s v="F0915"/>
    <s v="Pilot, Rush Hour"/>
    <m/>
    <s v="Drive Assistance"/>
    <s v="Automated Driving"/>
    <s v="Forward View Right"/>
    <s v="L2/L2+/L3"/>
    <s v="Camera"/>
    <s v="Camera RH B Pillar"/>
    <s v="Camera RH B Pillar - Forward View Right"/>
    <m/>
    <m/>
    <s v="58;18"/>
    <s v="TE"/>
    <s v="2-2310137-1"/>
    <s v="1 pos. MATE-AX Socket Housing Cod. A 180°"/>
    <m/>
    <s v="No"/>
    <s v="Yes"/>
    <s v="No"/>
    <n v="1"/>
    <n v="1"/>
    <n v="1"/>
    <n v="1"/>
  </r>
  <r>
    <x v="69"/>
    <s v="37.0_ADAS &amp; AutomatedDriving"/>
    <s v="37.30_Piloting-System"/>
    <s v="F1042"/>
    <s v="Pilot, Remote Operation"/>
    <m/>
    <s v="Drive Assistance"/>
    <s v="Automated Driving"/>
    <s v="Forward View Right"/>
    <s v="L2/L2+/L3"/>
    <s v="Camera"/>
    <s v="Camera RH B Pillar"/>
    <s v="Camera RH B Pillar - Forward View Right"/>
    <m/>
    <m/>
    <s v="58;18"/>
    <s v="TE"/>
    <s v="2-2310137-1"/>
    <s v="1 pos. MATE-AX Socket Housing Cod. A 180°"/>
    <m/>
    <s v="No"/>
    <s v="Yes"/>
    <s v="No"/>
    <n v="1"/>
    <n v="1"/>
    <n v="1"/>
    <n v="1"/>
  </r>
  <r>
    <x v="70"/>
    <s v="36.0_Infotainment &amp; Connectivity"/>
    <s v="36.34_V2S_System"/>
    <s v="F2018"/>
    <s v="Smartphone Application"/>
    <s v="QM"/>
    <s v="Infotainment"/>
    <s v="Communication"/>
    <s v="Telephone"/>
    <s v="Telephone"/>
    <s v="Antenna"/>
    <s v="GSM+E-Call Antenna"/>
    <s v="GSM+E-Call Antenna - Telephone"/>
    <m/>
    <m/>
    <s v="83;-1"/>
    <s v="TE"/>
    <s v="1452584-1"/>
    <s v="1 Pos. Fakra II Unsealed"/>
    <m/>
    <s v="Yes"/>
    <s v="Yes"/>
    <s v="Yes"/>
    <n v="1"/>
    <n v="1"/>
    <n v="1"/>
    <n v="1"/>
  </r>
  <r>
    <x v="70"/>
    <s v="80.0_Cross-Functions"/>
    <s v="80.98_Antenna-Design"/>
    <s v="F0205"/>
    <s v="LTE-Connection"/>
    <s v="QM"/>
    <s v="Infotainment"/>
    <s v="Communication"/>
    <s v="Telephone"/>
    <s v="Telephone"/>
    <s v="Antenna"/>
    <s v="GSM+E-Call Antenna"/>
    <s v="GSM+E-Call Antenna - Telephone"/>
    <m/>
    <m/>
    <s v="83;-1"/>
    <s v="TE"/>
    <s v="1452584-1"/>
    <s v="1 Pos. Fakra II Unsealed"/>
    <m/>
    <s v="Yes"/>
    <s v="Yes"/>
    <s v="Yes"/>
    <n v="1"/>
    <n v="1"/>
    <n v="1"/>
    <n v="1"/>
  </r>
  <r>
    <x v="71"/>
    <s v="10.0_Comfort &amp; Exterior"/>
    <s v="10.20_Mirroring-System"/>
    <s v="F0159"/>
    <s v="Rear View, Camera"/>
    <s v="A"/>
    <s v="Drive Assistance"/>
    <s v="Park Assistance"/>
    <s v="Rear View"/>
    <s v="L1+/L2/L2+/L3"/>
    <s v="Camera"/>
    <s v="Back-up Camera"/>
    <s v="Back-up Camera - Rear View"/>
    <m/>
    <m/>
    <s v="113;0"/>
    <s v="TE"/>
    <s v="0-1823853-1"/>
    <s v="5 Pos. HSD Ass'y Sealed"/>
    <s v="N/A"/>
    <s v="No"/>
    <s v="Yes"/>
    <s v="No"/>
    <n v="0.1"/>
    <n v="0"/>
    <n v="0.1"/>
    <n v="0"/>
  </r>
  <r>
    <x v="71"/>
    <s v="10.0_Comfort &amp; Exterior"/>
    <s v="10.20_Mirroring-System"/>
    <s v="F0912"/>
    <s v="Surround View, 3D-View"/>
    <m/>
    <s v="Drive Assistance"/>
    <s v="Park Assistance"/>
    <s v="Rear View"/>
    <s v="L1+/L2/L2+/L3"/>
    <s v="Camera"/>
    <s v="Back-up Camera"/>
    <s v="Back-up Camera - Rear View"/>
    <m/>
    <m/>
    <s v="113;0"/>
    <s v="TE"/>
    <s v="0-1823853-1"/>
    <s v="5 Pos. HSD Ass'y Sealed"/>
    <s v="N/A"/>
    <s v="No"/>
    <s v="Yes"/>
    <s v="No"/>
    <n v="0.1"/>
    <n v="0"/>
    <n v="0.1"/>
    <n v="0"/>
  </r>
  <r>
    <x v="71"/>
    <s v="37.0_ADAS &amp; AutomatedDriving"/>
    <s v="37.02_Alerting-System"/>
    <s v="F0599"/>
    <s v="Event Recorder, Video Capturing"/>
    <m/>
    <s v="Drive Assistance"/>
    <s v="Park Assistance"/>
    <s v="Rear View"/>
    <s v="L1+/L2/L2+/L3"/>
    <s v="Camera"/>
    <s v="Back-up Camera"/>
    <s v="Back-up Camera - Rear View"/>
    <m/>
    <m/>
    <s v="113;0"/>
    <s v="TE"/>
    <s v="0-1823853-1"/>
    <s v="5 Pos. HSD Ass'y Sealed"/>
    <s v="N/A"/>
    <s v="No"/>
    <s v="Yes"/>
    <s v="No"/>
    <n v="0.1"/>
    <n v="0"/>
    <n v="0.1"/>
    <n v="0"/>
  </r>
  <r>
    <x v="71"/>
    <s v="37.0_ADAS &amp; AutomatedDriving"/>
    <s v="37.20_Parking-System"/>
    <s v="F0155"/>
    <s v="Park Assist, Front"/>
    <m/>
    <s v="Drive Assistance"/>
    <s v="Park Assistance"/>
    <s v="Rear View"/>
    <s v="L1+/L2/L2+/L3"/>
    <s v="Camera"/>
    <s v="Back-up Camera"/>
    <s v="Back-up Camera - Rear View"/>
    <m/>
    <m/>
    <s v="113;0"/>
    <s v="TE"/>
    <s v="0-1823853-1"/>
    <s v="5 Pos. HSD Ass'y Sealed"/>
    <s v="N/A"/>
    <s v="No"/>
    <s v="Yes"/>
    <s v="No"/>
    <n v="0.1"/>
    <n v="0"/>
    <n v="0.1"/>
    <n v="0"/>
  </r>
  <r>
    <x v="71"/>
    <s v="37.0_ADAS &amp; AutomatedDriving"/>
    <s v="37.20_Parking-System"/>
    <s v="F0156"/>
    <s v="Park Assist, Rear"/>
    <m/>
    <s v="Drive Assistance"/>
    <s v="Park Assistance"/>
    <s v="Rear View"/>
    <s v="L1+/L2/L2+/L3"/>
    <s v="Camera"/>
    <s v="Back-up Camera"/>
    <s v="Back-up Camera - Rear View"/>
    <m/>
    <m/>
    <s v="113;0"/>
    <s v="TE"/>
    <s v="0-1823853-1"/>
    <s v="5 Pos. HSD Ass'y Sealed"/>
    <s v="N/A"/>
    <s v="No"/>
    <s v="Yes"/>
    <s v="No"/>
    <n v="0.1"/>
    <n v="0"/>
    <n v="0.1"/>
    <n v="0"/>
  </r>
  <r>
    <x v="71"/>
    <s v="37.0_ADAS &amp; AutomatedDriving"/>
    <s v="37.20_Parking-System"/>
    <s v="F0314"/>
    <s v="Parking Pilot, Valet Parking"/>
    <m/>
    <s v="Drive Assistance"/>
    <s v="Park Assistance"/>
    <s v="Rear View"/>
    <s v="L1+/L2/L2+/L3"/>
    <s v="Camera"/>
    <s v="Back-up Camera"/>
    <s v="Back-up Camera - Rear View"/>
    <m/>
    <m/>
    <s v="113;0"/>
    <s v="TE"/>
    <s v="0-1823853-1"/>
    <s v="5 Pos. HSD Ass'y Sealed"/>
    <s v="N/A"/>
    <s v="No"/>
    <s v="Yes"/>
    <s v="No"/>
    <n v="0.1"/>
    <n v="0"/>
    <n v="0.1"/>
    <n v="0"/>
  </r>
  <r>
    <x v="71"/>
    <s v="37.0_ADAS &amp; AutomatedDriving"/>
    <s v="37.20_Parking-System"/>
    <s v="F0536"/>
    <s v="Parking Pilot, Trained Parking"/>
    <m/>
    <s v="Drive Assistance"/>
    <s v="Park Assistance"/>
    <s v="Rear View"/>
    <s v="L1+/L2/L2+/L3"/>
    <s v="Camera"/>
    <s v="Back-up Camera"/>
    <s v="Back-up Camera - Rear View"/>
    <m/>
    <m/>
    <s v="113;0"/>
    <s v="TE"/>
    <s v="0-1823853-1"/>
    <s v="5 Pos. HSD Ass'y Sealed"/>
    <s v="N/A"/>
    <s v="No"/>
    <s v="Yes"/>
    <s v="No"/>
    <n v="0.1"/>
    <n v="0"/>
    <n v="0.1"/>
    <n v="0"/>
  </r>
  <r>
    <x v="71"/>
    <s v="37.0_ADAS &amp; AutomatedDriving"/>
    <s v="37.20_Parking-System"/>
    <s v="F1301"/>
    <s v="Drive Away Assist"/>
    <m/>
    <s v="Drive Assistance"/>
    <s v="Park Assistance"/>
    <s v="Rear View"/>
    <s v="L1+/L2/L2+/L3"/>
    <s v="Camera"/>
    <s v="Back-up Camera"/>
    <s v="Back-up Camera - Rear View"/>
    <m/>
    <m/>
    <s v="113;0"/>
    <s v="TE"/>
    <s v="0-1823853-1"/>
    <s v="5 Pos. HSD Ass'y Sealed"/>
    <s v="N/A"/>
    <s v="No"/>
    <s v="Yes"/>
    <s v="No"/>
    <n v="0.1"/>
    <n v="0"/>
    <n v="0.1"/>
    <n v="0"/>
  </r>
  <r>
    <x v="71"/>
    <s v="37.0_ADAS &amp; AutomatedDriving"/>
    <s v="37.20_Parking-System"/>
    <s v="F1304"/>
    <s v="Park Assist, Side"/>
    <m/>
    <s v="Drive Assistance"/>
    <s v="Park Assistance"/>
    <s v="Rear View"/>
    <s v="L1+/L2/L2+/L3"/>
    <s v="Camera"/>
    <s v="Back-up Camera"/>
    <s v="Back-up Camera - Rear View"/>
    <m/>
    <m/>
    <s v="113;0"/>
    <s v="TE"/>
    <s v="0-1823853-1"/>
    <s v="5 Pos. HSD Ass'y Sealed"/>
    <s v="N/A"/>
    <s v="No"/>
    <s v="Yes"/>
    <s v="No"/>
    <n v="0.1"/>
    <n v="0"/>
    <n v="0.1"/>
    <n v="0"/>
  </r>
  <r>
    <x v="71"/>
    <s v="37.0_ADAS &amp; AutomatedDriving"/>
    <s v="37.20_Parking-System"/>
    <s v="F2003"/>
    <s v="Automatic Parking Support"/>
    <m/>
    <s v="Drive Assistance"/>
    <s v="Park Assistance"/>
    <s v="Rear View"/>
    <s v="L1+/L2/L2+/L3"/>
    <s v="Camera"/>
    <s v="Back-up Camera"/>
    <s v="Back-up Camera - Rear View"/>
    <m/>
    <m/>
    <s v="113;0"/>
    <s v="TE"/>
    <s v="0-1823853-1"/>
    <s v="5 Pos. HSD Ass'y Sealed"/>
    <s v="N/A"/>
    <s v="No"/>
    <s v="Yes"/>
    <s v="No"/>
    <n v="0.1"/>
    <n v="0"/>
    <n v="0.1"/>
    <n v="0"/>
  </r>
  <r>
    <x v="71"/>
    <s v="37.0_ADAS &amp; AutomatedDriving"/>
    <s v="37.30_Piloting-System"/>
    <s v="F0332"/>
    <s v="Pilot, Traffic Jam"/>
    <m/>
    <s v="Drive Assistance"/>
    <s v="Park Assistance"/>
    <s v="Rear View"/>
    <s v="L1+/L2/L2+/L3"/>
    <s v="Camera"/>
    <s v="Back-up Camera"/>
    <s v="Back-up Camera - Rear View"/>
    <m/>
    <m/>
    <s v="113;0"/>
    <s v="TE"/>
    <s v="0-1823853-1"/>
    <s v="5 Pos. HSD Ass'y Sealed"/>
    <s v="N/A"/>
    <s v="No"/>
    <s v="Yes"/>
    <s v="No"/>
    <n v="0.1"/>
    <n v="0"/>
    <n v="0.1"/>
    <n v="0"/>
  </r>
  <r>
    <x v="71"/>
    <s v="37.0_ADAS &amp; AutomatedDriving"/>
    <s v="37.30_Piloting-System"/>
    <s v="F1042"/>
    <s v="Pilot, Remote Operation"/>
    <m/>
    <s v="Drive Assistance"/>
    <s v="Park Assistance"/>
    <s v="Rear View"/>
    <s v="L1+/L2/L2+/L3"/>
    <s v="Camera"/>
    <s v="Back-up Camera"/>
    <s v="Back-up Camera - Rear View"/>
    <m/>
    <m/>
    <s v="113;0"/>
    <s v="TE"/>
    <s v="0-1823853-1"/>
    <s v="5 Pos. HSD Ass'y Sealed"/>
    <s v="N/A"/>
    <s v="No"/>
    <s v="Yes"/>
    <s v="No"/>
    <n v="0.1"/>
    <n v="0"/>
    <n v="0.1"/>
    <n v="0"/>
  </r>
  <r>
    <x v="72"/>
    <s v="10.0_Comfort &amp; Exterior"/>
    <s v="10.20_Mirroring-System"/>
    <s v="F0912"/>
    <s v="Surround View, 3D-View"/>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01_LightingAssistant-System"/>
    <s v="F0145"/>
    <s v="Light Assist, High Beam Automatic"/>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02_Alerting-System"/>
    <s v="F0162"/>
    <s v="Object Detection, Traffic Sign Recognition"/>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02_Alerting-System"/>
    <s v="F0594"/>
    <s v="Object Detection, Highway"/>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02_Alerting-System"/>
    <s v="F0599"/>
    <s v="Event Recorder, Video Capturing"/>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20_Parking-System"/>
    <s v="F0155"/>
    <s v="Park Assist, Front"/>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20_Parking-System"/>
    <s v="F0156"/>
    <s v="Park Assist, Rear"/>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20_Parking-System"/>
    <s v="F0314"/>
    <s v="Parking Pilot, Valet Parking"/>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20_Parking-System"/>
    <s v="F0536"/>
    <s v="Parking Pilot, Trained Parking"/>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20_Parking-System"/>
    <s v="F1301"/>
    <s v="Drive Away Assist"/>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20_Parking-System"/>
    <s v="F1304"/>
    <s v="Park Assist, Side"/>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20_Parking-System"/>
    <s v="F2003"/>
    <s v="Automatic Parking Support"/>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23_LaneSupporting-System"/>
    <s v="F0331"/>
    <s v="Lane Assist, Lane Change Assist (LCA)"/>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23_LaneSupporting-System"/>
    <s v="F0657"/>
    <s v="Lane Assist, Evasive Steering Support"/>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23_LaneSupporting-System"/>
    <s v="F0658"/>
    <s v="Lane Assist, Traffic Jam Assist"/>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23_LaneSupporting-System"/>
    <s v="F1187"/>
    <s v="Lane Support System, Lane Centering Control (LCC)"/>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23_LaneSupporting-System"/>
    <s v="F2010"/>
    <s v="Emergency Lane Keeping Support"/>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30_Piloting-System"/>
    <s v="F0332"/>
    <s v="Pilot, Traffic Jam"/>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30_Piloting-System"/>
    <s v="F0915"/>
    <s v="Pilot, Rush Hour"/>
    <m/>
    <s v="Drive Assistance"/>
    <s v="Driver Assistance System"/>
    <s v="Wide Forward View"/>
    <s v="L2/L2+/L3"/>
    <s v="Camera"/>
    <s v="Fisheye/Narrow Camera"/>
    <s v="Fisheye/Narrow Camera - Wide Forward View"/>
    <m/>
    <m/>
    <s v="41;0"/>
    <s v="TE"/>
    <s v="0-2208145-3"/>
    <s v="5 Pos. HSD Ass'y Unsealed"/>
    <s v="N/A"/>
    <s v="No"/>
    <s v="Yes"/>
    <s v="No"/>
    <n v="1"/>
    <n v="1"/>
    <n v="1"/>
    <n v="1"/>
  </r>
  <r>
    <x v="72"/>
    <s v="37.0_ADAS &amp; AutomatedDriving"/>
    <s v="37.30_Piloting-System"/>
    <s v="F1042"/>
    <s v="Pilot, Remote Operation"/>
    <m/>
    <s v="Drive Assistance"/>
    <s v="Driver Assistance System"/>
    <s v="Wide Forward View"/>
    <s v="L2/L2+/L3"/>
    <s v="Camera"/>
    <s v="Fisheye/Narrow Camera"/>
    <s v="Fisheye/Narrow Camera - Wide Forward View"/>
    <m/>
    <m/>
    <s v="41;0"/>
    <s v="TE"/>
    <s v="0-2208145-3"/>
    <s v="5 Pos. HSD Ass'y Unsealed"/>
    <s v="N/A"/>
    <s v="No"/>
    <s v="Yes"/>
    <s v="No"/>
    <n v="1"/>
    <n v="1"/>
    <n v="1"/>
    <n v="1"/>
  </r>
  <r>
    <x v="73"/>
    <s v="10.0_Comfort &amp; Exterior"/>
    <s v="10.30_OutsideLighting-System"/>
    <s v="F0097"/>
    <s v="Outside Lighting, Side Marker Front"/>
    <s v="QM"/>
    <s v="Body"/>
    <s v="External Illumination"/>
    <s v="Side Marker Front Left"/>
    <s v="FOG"/>
    <s v="Actuator"/>
    <s v="Bulb P5W"/>
    <s v="Bulb P5W - Side Marker Front Left"/>
    <m/>
    <m/>
    <s v="-1;-23"/>
    <m/>
    <m/>
    <m/>
    <m/>
    <s v="Yes"/>
    <s v="No"/>
    <s v="No"/>
    <n v="0"/>
    <n v="0"/>
    <n v="1"/>
    <n v="1"/>
  </r>
  <r>
    <x v="73"/>
    <s v="10.0_Comfort &amp; Exterior"/>
    <s v="10.30_OutsideLighting-System"/>
    <s v="F0097"/>
    <s v="Outside Lighting, Side Marker Front"/>
    <s v="QM"/>
    <s v="Body"/>
    <s v="External Illumination"/>
    <s v="Position Lamp Left"/>
    <s v="FOG"/>
    <s v="Actuator"/>
    <s v="Side Marker Bulb P5W"/>
    <s v="Side Marker Bulb P5W - Position Lamp Left"/>
    <m/>
    <m/>
    <s v="-1;-23"/>
    <m/>
    <m/>
    <m/>
    <m/>
    <s v="Yes"/>
    <s v="No"/>
    <s v="No"/>
    <n v="0"/>
    <n v="0"/>
    <n v="1"/>
    <n v="1"/>
  </r>
  <r>
    <x v="74"/>
    <s v="10.0_Comfort &amp; Exterior"/>
    <s v="10.30_OutsideLighting-System"/>
    <s v="F0097"/>
    <s v="Outside Lighting, Side Marker Front"/>
    <s v="QM"/>
    <s v="Body"/>
    <s v="External Illumination"/>
    <s v="Side Marker Front Left"/>
    <s v="FOG"/>
    <s v="Actuator"/>
    <s v="LED Lamp"/>
    <s v="LED Lamp - Side Marker Front Left"/>
    <m/>
    <m/>
    <s v="-1;-23"/>
    <m/>
    <m/>
    <m/>
    <m/>
    <s v="No"/>
    <s v="Yes"/>
    <s v="Yes"/>
    <n v="0"/>
    <n v="0"/>
    <n v="1"/>
    <n v="1"/>
  </r>
  <r>
    <x v="74"/>
    <s v="10.0_Comfort &amp; Exterior"/>
    <s v="10.30_OutsideLighting-System"/>
    <s v="F0097"/>
    <s v="Outside Lighting, Side Marker Front"/>
    <s v="QM"/>
    <s v="Body"/>
    <s v="External Illumination"/>
    <s v="Position Lamp Left"/>
    <s v="FOG"/>
    <s v="Actuator"/>
    <s v="Side Marker LED Lamp"/>
    <s v="Side Marker LED Lamp - Position Lamp Left"/>
    <m/>
    <m/>
    <s v="-1;-23"/>
    <m/>
    <m/>
    <m/>
    <m/>
    <s v="No"/>
    <s v="Yes"/>
    <s v="Yes"/>
    <n v="0"/>
    <n v="0"/>
    <n v="1"/>
    <n v="1"/>
  </r>
  <r>
    <x v="75"/>
    <s v="13.0_Comfort &amp; Interior"/>
    <s v="13.30_InsideLighting-System"/>
    <s v="F0085"/>
    <s v="Reading Light Rear"/>
    <s v="QM"/>
    <s v="Comfort"/>
    <s v="Internal Illumination"/>
    <s v="Maplight RL"/>
    <s v="with Map Light Rear"/>
    <s v="Actuator"/>
    <s v="LED Lamp"/>
    <s v="LED Lamp - Maplight RL"/>
    <m/>
    <m/>
    <s v="62;-12"/>
    <s v="TE"/>
    <s v="2282150-1"/>
    <s v="2 Pos. NanoMQS 0,5mm Unsealed"/>
    <m/>
    <s v="No"/>
    <s v="No"/>
    <s v="Yes"/>
    <n v="0"/>
    <n v="0"/>
    <n v="0.05"/>
    <n v="0.05"/>
  </r>
  <r>
    <x v="76"/>
    <s v="13.0_Comfort &amp; Interior"/>
    <s v="13.30_InsideLighting-System"/>
    <s v="F0085"/>
    <s v="Reading Light Rear"/>
    <s v="QM"/>
    <s v="Comfort"/>
    <s v="Internal Illumination"/>
    <s v="Maplight RR"/>
    <s v="with Map Light Rear"/>
    <s v="Actuator"/>
    <s v="LED Lamp"/>
    <s v="LED Lamp - Maplight RR"/>
    <m/>
    <m/>
    <s v="62;12"/>
    <s v="TE"/>
    <s v="2282150-1"/>
    <s v="2 Pos. NanoMQS 0,5mm Unsealed"/>
    <m/>
    <s v="No"/>
    <s v="No"/>
    <s v="Yes"/>
    <n v="0"/>
    <n v="0"/>
    <n v="0.05"/>
    <n v="0.05"/>
  </r>
  <r>
    <x v="77"/>
    <s v="13.0_Comfort &amp; Interior"/>
    <s v="13.30_InsideLighting-System"/>
    <s v="F0072"/>
    <s v="Courtesy Light, Front"/>
    <s v="QM"/>
    <s v="Comfort"/>
    <s v="Internal Illumination"/>
    <s v="Dome Illumination"/>
    <s v="Basic"/>
    <s v="Actuator"/>
    <s v="LED Lamp"/>
    <s v="LED Lamp - Dome Illumination"/>
    <m/>
    <m/>
    <s v="43;0"/>
    <s v="TE"/>
    <s v="1-2141627-1"/>
    <s v="4 Pos. MQS 0,63mm / MCON 1,2mm Unsealed"/>
    <m/>
    <s v="Yes"/>
    <s v="Yes"/>
    <s v="Yes"/>
    <n v="2.5000000000000001E-2"/>
    <n v="2.5000000000000001E-2"/>
    <n v="2.5000000000000001E-2"/>
    <n v="2.5000000000000001E-2"/>
  </r>
  <r>
    <x v="78"/>
    <s v="28.0_Powertrain &amp; Driveability"/>
    <s v="28.11_TorqueCoordination-System"/>
    <s v="F0589"/>
    <s v="Engine Function, Acceleration Control"/>
    <s v="-"/>
    <s v="Powertrain"/>
    <s v="Motor"/>
    <s v="Power Convertion"/>
    <s v="EV AWD"/>
    <s v="Control Unit"/>
    <s v="Inverter Front"/>
    <s v="Inverter Front - Power Convertion"/>
    <m/>
    <m/>
    <s v="16;4"/>
    <s v="TE"/>
    <s v="1-1564514-1"/>
    <s v="8 Pos. MCP 1,5mm Sealed - Heavy Duty"/>
    <m/>
    <s v="No"/>
    <s v="No"/>
    <s v="Yes"/>
    <n v="1"/>
    <n v="1"/>
    <n v="1"/>
    <n v="1"/>
  </r>
  <r>
    <x v="79"/>
    <s v="28.0_Powertrain &amp; Driveability"/>
    <s v="28.11_TorqueCoordination-System"/>
    <s v="F1223"/>
    <s v="Transmission, BEV Second Gear"/>
    <m/>
    <s v="Powertrain"/>
    <s v="Transmission"/>
    <s v="Oil Flow"/>
    <s v="EV AWD"/>
    <s v="Actuator"/>
    <s v="Oil Pump - Front Drive Unit"/>
    <s v="Oil Pump - Front Drive Unit - Oil Flow"/>
    <m/>
    <m/>
    <m/>
    <m/>
    <m/>
    <m/>
    <m/>
    <m/>
    <m/>
    <m/>
    <m/>
    <m/>
    <m/>
    <m/>
  </r>
  <r>
    <x v="80"/>
    <s v="10.0_Comfort &amp; Exterior"/>
    <s v="10.21_WindowLifting-System"/>
    <s v="F0224"/>
    <s v="Power Window Lifter Function, Comfort Open/Close"/>
    <m/>
    <s v="Comfort"/>
    <s v="Power Window"/>
    <s v="Power Window Command Passenger Door"/>
    <s v="Automatic Power Window"/>
    <s v="Switch"/>
    <s v="User Selector"/>
    <s v="User Selector - Power Window Command Passenger Door"/>
    <m/>
    <m/>
    <s v="38;21"/>
    <s v="TE"/>
    <s v="1379029-1"/>
    <s v="4 Pos. MQS 0,63mm Unsealed"/>
    <m/>
    <s v="Yes"/>
    <s v="Yes"/>
    <s v="Yes"/>
    <n v="0"/>
    <n v="0"/>
    <n v="1"/>
    <n v="1"/>
  </r>
  <r>
    <x v="81"/>
    <s v="13.0_Comfort &amp; Interior"/>
    <s v="13.31_AmbientLighting-System"/>
    <s v="F0500"/>
    <s v="Ambient Lighting, Trimstrip Doors"/>
    <s v="QM"/>
    <s v="Comfort"/>
    <s v="Internal Illumination"/>
    <s v="Door Pocket Illumination FR"/>
    <s v="Basic"/>
    <s v="Actuator"/>
    <s v="LED Lamp"/>
    <s v="LED Lamp - Door Pocket Illumination FR"/>
    <m/>
    <m/>
    <s v="35;21"/>
    <s v="TE"/>
    <s v="1379029-1"/>
    <s v="4 Pos. MQS 0,63mm Unsealed"/>
    <m/>
    <s v="No"/>
    <s v="Yes"/>
    <s v="Yes"/>
    <n v="0.05"/>
    <n v="0.05"/>
    <n v="1"/>
    <n v="1"/>
  </r>
  <r>
    <x v="82"/>
    <s v="10.0_Comfort &amp; Exterior"/>
    <s v="10.21_WindowLifting-System"/>
    <s v="F0224"/>
    <s v="Power Window Lifter Function, Comfort Open/Close"/>
    <s v="A"/>
    <s v="Comfort"/>
    <s v="Power Window"/>
    <s v="Power Window Passenger"/>
    <s v="Automatic Power Window"/>
    <s v="Actuator"/>
    <s v="Window Motor"/>
    <s v="Window Motor - Power Window Passenger"/>
    <m/>
    <m/>
    <s v="33;21"/>
    <s v="TE"/>
    <s v="2337619-2"/>
    <s v="5 Pos. JPT 2,8mm Sealed"/>
    <m/>
    <s v="Yes"/>
    <s v="Yes"/>
    <s v="Yes"/>
    <n v="3.3333333333333333E-2"/>
    <n v="8.3333333333333332E-3"/>
    <n v="8.3333333333333332E-3"/>
    <n v="8.3333333333333332E-3"/>
  </r>
  <r>
    <x v="82"/>
    <s v="10.0_Comfort &amp; Exterior"/>
    <s v="10.21_WindowLifting-System"/>
    <s v="F2025"/>
    <s v="Power Window Lifter, Electric Adjustable"/>
    <s v="QM"/>
    <s v="Comfort"/>
    <s v="Power Window"/>
    <s v="Power Window Passenger"/>
    <s v="Automatic Power Window"/>
    <s v="Actuator"/>
    <s v="Window Motor"/>
    <s v="Window Motor - Power Window Passenger"/>
    <m/>
    <m/>
    <s v="33;21"/>
    <s v="TE"/>
    <s v="2337619-2"/>
    <s v="5 Pos. JPT 2,8mm Sealed"/>
    <m/>
    <s v="Yes"/>
    <s v="Yes"/>
    <s v="Yes"/>
    <n v="3.3333333333333333E-2"/>
    <n v="8.3333333333333332E-3"/>
    <n v="8.3333333333333332E-3"/>
    <n v="8.3333333333333332E-3"/>
  </r>
  <r>
    <x v="83"/>
    <s v="10.0_Comfort &amp; Exterior"/>
    <s v="10.10_CentralLocking-System"/>
    <s v="F0027"/>
    <s v="Central Door Lock, Radio Control Key Front"/>
    <s v="QM"/>
    <s v="Comfort"/>
    <s v="Central Locking"/>
    <s v="Door Opening and Closing Latch"/>
    <s v="with Central Locking"/>
    <s v="Actuator"/>
    <s v="Stepper Motor FR"/>
    <s v="Stepper Motor FR - Door Opening and Closing Latch"/>
    <m/>
    <m/>
    <s v="53;22"/>
    <s v="TE"/>
    <s v="2337619-2"/>
    <s v="5 Pos. JPT 2,8mm Sealed"/>
    <m/>
    <s v="No"/>
    <s v="No"/>
    <s v="Yes"/>
    <n v="0"/>
    <n v="0"/>
    <n v="0"/>
    <n v="0"/>
  </r>
  <r>
    <x v="83"/>
    <s v="10.0_Comfort &amp; Exterior"/>
    <s v="10.30_OutsideLighting-System"/>
    <s v="F0053"/>
    <s v="Door Lighting Outside, Open Door Front"/>
    <s v="QM"/>
    <s v="Comfort"/>
    <s v="Central Locking"/>
    <s v="Door Opening and Closing Latch"/>
    <s v="with Central Locking"/>
    <s v="Actuator"/>
    <s v="Stepper Motor FR"/>
    <s v="Stepper Motor FR - Door Opening and Closing Latch"/>
    <m/>
    <m/>
    <s v="53;22"/>
    <s v="TE"/>
    <s v="2337619-2"/>
    <s v="5 Pos. JPT 2,8mm Sealed"/>
    <m/>
    <s v="No"/>
    <s v="No"/>
    <s v="Yes"/>
    <n v="0"/>
    <n v="0"/>
    <n v="0"/>
    <n v="0"/>
  </r>
  <r>
    <x v="83"/>
    <s v="10.0_Comfort &amp; Exterior"/>
    <s v="10.30_OutsideLighting-System"/>
    <s v="F0xx5"/>
    <s v="Doors, Electric Release"/>
    <m/>
    <s v="Comfort"/>
    <s v="Central Locking"/>
    <s v="Door Opening and Closing Latch"/>
    <s v="with Central Locking"/>
    <s v="Actuator"/>
    <s v="Stepper Motor FR"/>
    <s v="Stepper Motor FR - Door Opening and Closing Latch"/>
    <m/>
    <m/>
    <s v="53;22"/>
    <s v="TE"/>
    <s v="2337619-2"/>
    <s v="5 Pos. JPT 2,8mm Sealed"/>
    <m/>
    <s v="No"/>
    <s v="No"/>
    <s v="Yes"/>
    <n v="0"/>
    <n v="0"/>
    <n v="0"/>
    <n v="0"/>
  </r>
  <r>
    <x v="84"/>
    <s v="14.0_HMI &amp; OutsideInformation"/>
    <s v="14.10_DriverInformation-System"/>
    <s v="F0904"/>
    <s v="Indications, Error in Airbag System"/>
    <m/>
    <s v="Chassis"/>
    <s v="Airbag"/>
    <s v="Crash Sensor"/>
    <s v="Side"/>
    <s v="Sensor"/>
    <s v="Side Impact Sensor RL"/>
    <s v="Side Impact Sensor RL - Crash Sensor"/>
    <m/>
    <m/>
    <s v="65;-23"/>
    <m/>
    <m/>
    <m/>
    <m/>
    <s v="No"/>
    <s v="No"/>
    <s v="Yes"/>
    <n v="1"/>
    <n v="1"/>
    <n v="1"/>
    <n v="1"/>
  </r>
  <r>
    <x v="85"/>
    <s v="10.0_Comfort &amp; Exterior"/>
    <s v="10.10_CentralLocking-System"/>
    <s v="F0646"/>
    <s v="Central Door Lock, Rear"/>
    <s v="QM"/>
    <s v="Comfort"/>
    <s v="Central Locking"/>
    <s v="Door External Handle Command RL"/>
    <s v="with Central Locking"/>
    <s v="Switch"/>
    <s v="User Selector"/>
    <s v="User Selector - Door External Handle Command RL"/>
    <m/>
    <m/>
    <s v="79;-22"/>
    <m/>
    <m/>
    <m/>
    <m/>
    <s v="Yes"/>
    <s v="Yes"/>
    <s v="Yes"/>
    <n v="0"/>
    <n v="0"/>
    <n v="0"/>
    <n v="0"/>
  </r>
  <r>
    <x v="86"/>
    <s v="10.0_Comfort &amp; Exterior"/>
    <s v="10.10_CentralLocking-System"/>
    <s v="F0053"/>
    <s v="Door Lighting Outside, Open Door Front"/>
    <s v="QM"/>
    <s v="Comfort"/>
    <s v="Central Locking"/>
    <s v="Door Opening and Closing Latch"/>
    <s v="with Central Locking"/>
    <s v="Actuator"/>
    <s v="Stepper Motor RR"/>
    <s v="Stepper Motor RR - Door Opening and Closing Latch"/>
    <m/>
    <m/>
    <s v="50;-22"/>
    <s v="TE"/>
    <s v="2337619-2"/>
    <s v="5 Pos. JPT 2,8mm Sealed"/>
    <m/>
    <s v="No"/>
    <s v="No"/>
    <s v="Yes"/>
    <n v="0"/>
    <n v="0"/>
    <n v="0"/>
    <n v="0"/>
  </r>
  <r>
    <x v="86"/>
    <s v="10.0_Comfort &amp; Exterior"/>
    <s v="10.10_CentralLocking-System"/>
    <s v="F0xx5"/>
    <s v="Doors, Electric Release"/>
    <m/>
    <s v="Comfort"/>
    <s v="Central Locking"/>
    <s v="Door Opening and Closing Latch"/>
    <s v="with Central Locking"/>
    <s v="Actuator"/>
    <s v="Stepper Motor RR"/>
    <s v="Stepper Motor RR - Door Opening and Closing Latch"/>
    <m/>
    <m/>
    <s v="50;-22"/>
    <s v="TE"/>
    <s v="2337619-2"/>
    <s v="5 Pos. JPT 2,8mm Sealed"/>
    <m/>
    <s v="No"/>
    <s v="No"/>
    <s v="Yes"/>
    <n v="0"/>
    <n v="0"/>
    <n v="0"/>
    <n v="0"/>
  </r>
  <r>
    <x v="86"/>
    <s v="10.0_Comfort &amp; Exterior"/>
    <s v="10.30_OutsideLighting-System"/>
    <s v="F0027"/>
    <s v="Central Door Lock, Radio Control Key Front"/>
    <s v="QM"/>
    <s v="Comfort"/>
    <s v="Central Locking"/>
    <s v="Door Opening and Closing Latch"/>
    <s v="with Central Locking"/>
    <s v="Actuator"/>
    <s v="Stepper Motor RR"/>
    <s v="Stepper Motor RR - Door Opening and Closing Latch"/>
    <m/>
    <m/>
    <s v="50;-22"/>
    <s v="TE"/>
    <s v="2337619-2"/>
    <s v="5 Pos. JPT 2,8mm Sealed"/>
    <m/>
    <s v="No"/>
    <s v="No"/>
    <s v="Yes"/>
    <n v="0"/>
    <n v="0"/>
    <n v="0"/>
    <n v="0"/>
  </r>
  <r>
    <x v="87"/>
    <s v="10.0_Comfort &amp; Exterior"/>
    <s v="10.21_WindowLifting-System"/>
    <s v="F0224"/>
    <s v="Power Window Lifter Function, Comfort Open/Close"/>
    <m/>
    <s v="Comfort"/>
    <s v="Power Window"/>
    <s v="Power Window Command Rear Door Left"/>
    <s v="Automatic Power Window"/>
    <s v="Switch"/>
    <s v="User Selector"/>
    <s v="User Selector - Power Window Command Rear Door Left"/>
    <m/>
    <m/>
    <s v="68;-21"/>
    <s v="TE"/>
    <s v="1379029-1"/>
    <s v="4 Pos. MQS 0,63mm Unsealed"/>
    <m/>
    <s v="No"/>
    <s v="Yes"/>
    <s v="Yes"/>
    <n v="0"/>
    <n v="0"/>
    <n v="1"/>
    <n v="1"/>
  </r>
  <r>
    <x v="87"/>
    <s v="10.0_Comfort &amp; Exterior"/>
    <s v="10.21_WindowLifting-System"/>
    <s v="F2025"/>
    <s v="Power Window Lifter, Electric Adjustable"/>
    <m/>
    <s v="Comfort"/>
    <s v="Power Window"/>
    <s v="Power Window Command Rear Door Left"/>
    <s v="Automatic Power Window"/>
    <s v="Switch"/>
    <s v="User Selector"/>
    <s v="User Selector - Power Window Command Rear Door Left"/>
    <m/>
    <m/>
    <s v="68;-21"/>
    <s v="TE"/>
    <s v="1379029-1"/>
    <s v="4 Pos. MQS 0,63mm Unsealed"/>
    <m/>
    <s v="No"/>
    <s v="Yes"/>
    <s v="Yes"/>
    <n v="4.1666666666666664E-2"/>
    <n v="4.1666666666666664E-2"/>
    <n v="1"/>
    <n v="1"/>
  </r>
  <r>
    <x v="88"/>
    <s v="10.0_Comfort &amp; Exterior"/>
    <s v="10.21_WindowLifting-System"/>
    <s v="F0224"/>
    <s v="Power Window Lifter Function, Comfort Open/Close"/>
    <s v="A"/>
    <s v="Comfort"/>
    <s v="Power Window"/>
    <s v="Power Window Rear Left"/>
    <s v="Automatic Power Window"/>
    <s v="Actuator"/>
    <s v="Window Motor"/>
    <s v="Window Motor - Power Window Rear Left"/>
    <m/>
    <m/>
    <s v="63;-21"/>
    <s v="TE"/>
    <s v="2337619-2"/>
    <s v="5 Pos. JPT 2,8mm Sealed"/>
    <m/>
    <s v="Yes"/>
    <s v="Yes"/>
    <s v="Yes"/>
    <n v="3.3333333333333333E-2"/>
    <n v="8.3333333333333332E-3"/>
    <n v="8.3333333333333332E-3"/>
    <n v="8.3333333333333332E-3"/>
  </r>
  <r>
    <x v="88"/>
    <s v="10.0_Comfort &amp; Exterior"/>
    <s v="10.21_WindowLifting-System"/>
    <s v="F2025"/>
    <s v="Power Window Lifter, Electric Adjustable"/>
    <s v="QM"/>
    <s v="Comfort"/>
    <s v="Power Window"/>
    <s v="Power Window Rear Left"/>
    <s v="Automatic Power Window"/>
    <s v="Actuator"/>
    <s v="Window Motor"/>
    <s v="Window Motor - Power Window Rear Left"/>
    <m/>
    <m/>
    <s v="63;-21"/>
    <s v="TE"/>
    <s v="2337619-2"/>
    <s v="5 Pos. JPT 2,8mm Sealed"/>
    <m/>
    <s v="Yes"/>
    <s v="Yes"/>
    <s v="Yes"/>
    <n v="3.3333333333333333E-2"/>
    <n v="8.3333333333333332E-3"/>
    <n v="8.3333333333333332E-3"/>
    <n v="8.3333333333333332E-3"/>
  </r>
  <r>
    <x v="89"/>
    <s v="13.0_Comfort &amp; Interior"/>
    <s v="13.31_AmbientLighting-System"/>
    <s v="F0500"/>
    <s v="Ambient Lighting, Trimstrip Doors"/>
    <s v="QM"/>
    <s v="Comfort"/>
    <s v="Internal Illumination"/>
    <s v="Door Pocket Illumination RL"/>
    <s v="Basic"/>
    <s v="Actuator"/>
    <s v="LED Lamp"/>
    <s v="LED Lamp - Door Pocket Illumination RL"/>
    <m/>
    <m/>
    <s v="60;-21"/>
    <s v="TE"/>
    <s v="1379029-1"/>
    <s v="4 Pos. MQS 0,63mm Unsealed"/>
    <m/>
    <s v="No"/>
    <s v="No"/>
    <s v="Yes"/>
    <n v="0.05"/>
    <n v="0.05"/>
    <n v="1"/>
    <n v="1"/>
  </r>
  <r>
    <x v="90"/>
    <s v="14.0_HMI &amp; OutsideInformation"/>
    <s v="14.10_DriverInformation-System"/>
    <s v="F0904"/>
    <s v="Indications, Error in Airbag System"/>
    <m/>
    <s v="Chassis"/>
    <s v="Airbag"/>
    <s v="Crash Sensor"/>
    <s v="Side"/>
    <s v="Sensor"/>
    <s v="Side Impact Sensor RR"/>
    <s v="Side Impact Sensor RR - Crash Sensor"/>
    <m/>
    <m/>
    <s v="65;23"/>
    <m/>
    <m/>
    <m/>
    <m/>
    <s v="No"/>
    <s v="No"/>
    <s v="Yes"/>
    <n v="1"/>
    <n v="1"/>
    <n v="1"/>
    <n v="1"/>
  </r>
  <r>
    <x v="91"/>
    <s v="10.0_Comfort &amp; Exterior"/>
    <s v="10.10_CentralLocking-System"/>
    <s v="F0646"/>
    <s v="Central Door Lock, Rear"/>
    <s v="QM"/>
    <s v="Comfort"/>
    <s v="Central Locking"/>
    <s v="Door External Handle Command RR"/>
    <s v="with Central Locking"/>
    <s v="Switch"/>
    <s v="User Selector"/>
    <s v="User Selector - Door External Handle Command RR"/>
    <m/>
    <m/>
    <s v="79;22"/>
    <m/>
    <m/>
    <m/>
    <m/>
    <s v="Yes"/>
    <s v="Yes"/>
    <s v="Yes"/>
    <n v="0"/>
    <n v="0"/>
    <n v="0"/>
    <n v="0"/>
  </r>
  <r>
    <x v="92"/>
    <s v="10.0_Comfort &amp; Exterior"/>
    <s v="10.10_CentralLocking-System"/>
    <s v="F0053"/>
    <s v="Door Lighting Outside, Open Door Front"/>
    <s v="QM"/>
    <s v="Comfort"/>
    <s v="Central Locking"/>
    <s v="Door Opening and Closing Latch"/>
    <s v="with Central Locking"/>
    <s v="Actuator"/>
    <s v="Stepper Motor RL"/>
    <s v="Stepper Motor RL - Door Opening and Closing Latch"/>
    <m/>
    <m/>
    <s v="50;22"/>
    <s v="TE"/>
    <s v="2337619-2"/>
    <s v="5 Pos. JPT 2,8mm Sealed"/>
    <m/>
    <s v="No"/>
    <s v="No"/>
    <s v="Yes"/>
    <n v="0"/>
    <n v="0"/>
    <n v="0"/>
    <n v="0"/>
  </r>
  <r>
    <x v="92"/>
    <s v="10.0_Comfort &amp; Exterior"/>
    <s v="10.10_CentralLocking-System"/>
    <s v="F0xx5"/>
    <s v="Doors, Electric Release"/>
    <m/>
    <s v="Comfort"/>
    <s v="Central Locking"/>
    <s v="Door Opening and Closing Latch"/>
    <s v="with Central Locking"/>
    <s v="Actuator"/>
    <s v="Stepper Motor RL"/>
    <s v="Stepper Motor RL - Door Opening and Closing Latch"/>
    <m/>
    <m/>
    <s v="50;22"/>
    <s v="TE"/>
    <s v="2337619-2"/>
    <s v="5 Pos. JPT 2,8mm Sealed"/>
    <m/>
    <s v="No"/>
    <s v="No"/>
    <s v="Yes"/>
    <n v="0"/>
    <n v="0"/>
    <n v="0"/>
    <n v="0"/>
  </r>
  <r>
    <x v="92"/>
    <s v="10.0_Comfort &amp; Exterior"/>
    <s v="10.30_OutsideLighting-System"/>
    <s v="F0027"/>
    <s v="Central Door Lock, Radio Control Key Front"/>
    <s v="QM"/>
    <s v="Comfort"/>
    <s v="Central Locking"/>
    <s v="Door Opening and Closing Latch"/>
    <s v="with Central Locking"/>
    <s v="Actuator"/>
    <s v="Stepper Motor RL"/>
    <s v="Stepper Motor RL - Door Opening and Closing Latch"/>
    <m/>
    <m/>
    <s v="50;22"/>
    <s v="TE"/>
    <s v="2337619-2"/>
    <s v="5 Pos. JPT 2,8mm Sealed"/>
    <m/>
    <s v="No"/>
    <s v="No"/>
    <s v="Yes"/>
    <n v="0"/>
    <n v="0"/>
    <n v="0"/>
    <n v="0"/>
  </r>
  <r>
    <x v="93"/>
    <s v="10.0_Comfort &amp; Exterior"/>
    <s v="10.21_WindowLifting-System"/>
    <s v="F0224"/>
    <s v="Power Window Lifter Function, Comfort Open/Close"/>
    <m/>
    <s v="Comfort"/>
    <s v="Power Window"/>
    <s v="Power Window Command Rear Door Right"/>
    <s v="Automatic Power Window"/>
    <s v="Switch"/>
    <s v="User Selector"/>
    <s v="User Selector - Power Window Command Rear Door Right"/>
    <m/>
    <m/>
    <s v="68;21"/>
    <s v="TE"/>
    <s v="1379029-1"/>
    <s v="4 Pos. MQS 0,63mm Unsealed"/>
    <m/>
    <s v="No"/>
    <s v="Yes"/>
    <s v="Yes"/>
    <n v="0"/>
    <n v="0"/>
    <n v="1"/>
    <n v="1"/>
  </r>
  <r>
    <x v="93"/>
    <s v="10.0_Comfort &amp; Exterior"/>
    <s v="10.21_WindowLifting-System"/>
    <s v="F2025"/>
    <s v="Power Window Lifter, Electric Adjustable"/>
    <m/>
    <s v="Comfort"/>
    <s v="Power Window"/>
    <s v="Power Window Command Rear Door Right"/>
    <s v="Automatic Power Window"/>
    <s v="Switch"/>
    <s v="User Selector"/>
    <s v="User Selector - Power Window Command Rear Door Right"/>
    <m/>
    <m/>
    <s v="68;21"/>
    <s v="TE"/>
    <s v="1379029-1"/>
    <s v="4 Pos. MQS 0,63mm Unsealed"/>
    <m/>
    <s v="No"/>
    <s v="Yes"/>
    <s v="Yes"/>
    <n v="4.1666666666666664E-2"/>
    <n v="4.1666666666666664E-2"/>
    <n v="1"/>
    <n v="1"/>
  </r>
  <r>
    <x v="94"/>
    <s v="10.0_Comfort &amp; Exterior"/>
    <s v="10.21_WindowLifting-System"/>
    <s v="F0224"/>
    <s v="Power Window Lifter Function, Comfort Open/Close"/>
    <s v="A"/>
    <s v="Comfort"/>
    <s v="Power Window"/>
    <s v="Power Window Rear Right"/>
    <s v="Automatic Power Window"/>
    <s v="Actuator"/>
    <s v="Window Motor"/>
    <s v="Window Motor - Power Window Rear Right"/>
    <m/>
    <m/>
    <s v="63;21"/>
    <s v="TE"/>
    <s v="2337619-2"/>
    <s v="5 Pos. JPT 2,8mm Sealed"/>
    <m/>
    <s v="Yes"/>
    <s v="Yes"/>
    <s v="Yes"/>
    <n v="3.3333333333333333E-2"/>
    <n v="8.3333333333333332E-3"/>
    <n v="8.3333333333333332E-3"/>
    <n v="8.3333333333333332E-3"/>
  </r>
  <r>
    <x v="94"/>
    <s v="10.0_Comfort &amp; Exterior"/>
    <s v="10.21_WindowLifting-System"/>
    <s v="F2025"/>
    <s v="Power Window Lifter, Electric Adjustable"/>
    <s v="QM"/>
    <s v="Comfort"/>
    <s v="Power Window"/>
    <s v="Power Window Rear Right"/>
    <s v="Automatic Power Window"/>
    <s v="Actuator"/>
    <s v="Window Motor"/>
    <s v="Window Motor - Power Window Rear Right"/>
    <m/>
    <m/>
    <s v="63;21"/>
    <s v="TE"/>
    <s v="2337619-2"/>
    <s v="5 Pos. JPT 2,8mm Sealed"/>
    <m/>
    <s v="Yes"/>
    <s v="Yes"/>
    <s v="Yes"/>
    <n v="3.3333333333333333E-2"/>
    <n v="8.3333333333333332E-3"/>
    <n v="8.3333333333333332E-3"/>
    <n v="8.3333333333333332E-3"/>
  </r>
  <r>
    <x v="95"/>
    <s v="13.0_Comfort &amp; Interior"/>
    <s v="13.31_AmbientLighting-System"/>
    <s v="F0500"/>
    <s v="Ambient Lighting, Trimstrip Doors"/>
    <s v="QM"/>
    <s v="Comfort"/>
    <s v="Internal Illumination"/>
    <s v="Door Pocket Illumination RR"/>
    <s v="Basic"/>
    <s v="Actuator"/>
    <s v="LED Lamp"/>
    <s v="LED Lamp - Door Pocket Illumination RR"/>
    <m/>
    <m/>
    <s v="60;21"/>
    <s v="TE"/>
    <s v="1379029-1"/>
    <s v="4 Pos. MQS 0,63mm Unsealed"/>
    <m/>
    <s v="No"/>
    <s v="No"/>
    <s v="Yes"/>
    <n v="0.05"/>
    <n v="0.05"/>
    <n v="1"/>
    <n v="1"/>
  </r>
  <r>
    <x v="96"/>
    <s v="10.0_Comfort &amp; Exterior"/>
    <s v="10.30_OutsideLighting-System"/>
    <s v="F0002"/>
    <s v="Rear Lighting, Brake Light Adaptive"/>
    <s v="B"/>
    <s v="Body"/>
    <s v="External Illumination"/>
    <s v="Rear Lamps L"/>
    <s v="LED"/>
    <s v="Actuator"/>
    <s v="Taillamp Assy' LED Left - Tailgate"/>
    <s v="Taillamp Assy' LED Left - Tailgate - Rear Lamps L"/>
    <m/>
    <m/>
    <s v="112;-12"/>
    <m/>
    <m/>
    <m/>
    <m/>
    <s v="No"/>
    <s v="Yes"/>
    <s v="No"/>
    <n v="0.1"/>
    <n v="0.03"/>
    <n v="0.39"/>
    <n v="0.33"/>
  </r>
  <r>
    <x v="96"/>
    <s v="10.0_Comfort &amp; Exterior"/>
    <s v="10.30_OutsideLighting-System"/>
    <s v="F0028"/>
    <s v="Light Scenario, Comfort Direction Indication"/>
    <s v="B"/>
    <s v="Body"/>
    <s v="External Illumination"/>
    <s v="Rear Lamps L"/>
    <s v="LED"/>
    <s v="Actuator"/>
    <s v="Taillamp Assy' LED Left - Tailgate"/>
    <s v="Taillamp Assy' LED Left - Tailgate - Rear Lamps L"/>
    <m/>
    <m/>
    <s v="112;-12"/>
    <m/>
    <m/>
    <m/>
    <m/>
    <s v="No"/>
    <s v="Yes"/>
    <s v="No"/>
    <n v="0.1"/>
    <n v="0.03"/>
    <n v="0.39"/>
    <n v="0.33"/>
  </r>
  <r>
    <x v="96"/>
    <s v="10.0_Comfort &amp; Exterior"/>
    <s v="10.30_OutsideLighting-System"/>
    <s v="F0091"/>
    <s v="Rear Lighting, Reverse Light"/>
    <s v="QM"/>
    <s v="Body"/>
    <s v="External Illumination"/>
    <s v="Rear Lamps L"/>
    <s v="LED"/>
    <s v="Actuator"/>
    <s v="Taillamp Assy' LED Left - Tailgate"/>
    <s v="Taillamp Assy' LED Left - Tailgate - Rear Lamps L"/>
    <m/>
    <m/>
    <s v="112;-12"/>
    <m/>
    <m/>
    <m/>
    <m/>
    <s v="No"/>
    <s v="Yes"/>
    <s v="No"/>
    <n v="0.1"/>
    <n v="0.03"/>
    <n v="0.39"/>
    <n v="0.33"/>
  </r>
  <r>
    <x v="96"/>
    <s v="10.0_Comfort &amp; Exterior"/>
    <s v="10.30_OutsideLighting-System"/>
    <s v="F0110"/>
    <s v="Rear Lighting, Taillamp"/>
    <s v="QM"/>
    <s v="Body"/>
    <s v="External Illumination"/>
    <s v="Rear Lamps L"/>
    <s v="LED"/>
    <s v="Actuator"/>
    <s v="Taillamp Assy' LED Left - Tailgate"/>
    <s v="Taillamp Assy' LED Left - Tailgate - Rear Lamps L"/>
    <m/>
    <m/>
    <s v="112;-12"/>
    <m/>
    <m/>
    <m/>
    <m/>
    <s v="No"/>
    <s v="Yes"/>
    <s v="No"/>
    <n v="0.1"/>
    <n v="0.03"/>
    <n v="0.39"/>
    <n v="0.33"/>
  </r>
  <r>
    <x v="96"/>
    <s v="10.0_Comfort &amp; Exterior"/>
    <s v="10.30_OutsideLighting-System"/>
    <s v="F0220"/>
    <s v="Light Scenario, Coming Home "/>
    <s v="QM"/>
    <s v="Body"/>
    <s v="External Illumination"/>
    <s v="Rear Lamps L"/>
    <s v="LED"/>
    <s v="Actuator"/>
    <s v="Taillamp Assy' LED Left - Tailgate"/>
    <s v="Taillamp Assy' LED Left - Tailgate - Rear Lamps L"/>
    <m/>
    <m/>
    <s v="112;-12"/>
    <m/>
    <m/>
    <m/>
    <m/>
    <s v="No"/>
    <s v="Yes"/>
    <s v="No"/>
    <n v="0.1"/>
    <n v="0.03"/>
    <n v="0.39"/>
    <n v="0.33"/>
  </r>
  <r>
    <x v="96"/>
    <s v="10.0_Comfort &amp; Exterior"/>
    <s v="10.30_OutsideLighting-System"/>
    <s v="F0221"/>
    <s v="Light Scenario, Welcome Light"/>
    <s v="QM"/>
    <s v="Body"/>
    <s v="External Illumination"/>
    <s v="Rear Lamps L"/>
    <s v="LED"/>
    <s v="Actuator"/>
    <s v="Taillamp Assy' LED Left - Tailgate"/>
    <s v="Taillamp Assy' LED Left - Tailgate - Rear Lamps L"/>
    <m/>
    <m/>
    <s v="112;-12"/>
    <m/>
    <m/>
    <m/>
    <m/>
    <s v="No"/>
    <s v="Yes"/>
    <s v="No"/>
    <n v="0.1"/>
    <n v="0.03"/>
    <n v="0.39"/>
    <n v="0.33"/>
  </r>
  <r>
    <x v="96"/>
    <s v="10.0_Comfort &amp; Exterior"/>
    <s v="10.30_OutsideLighting-System"/>
    <s v="F0227"/>
    <s v="Light Scenario, Parking Light"/>
    <s v="QM"/>
    <s v="Body"/>
    <s v="External Illumination"/>
    <s v="Rear Lamps L"/>
    <s v="LED"/>
    <s v="Actuator"/>
    <s v="Taillamp Assy' LED Left - Tailgate"/>
    <s v="Taillamp Assy' LED Left - Tailgate - Rear Lamps L"/>
    <m/>
    <m/>
    <s v="112;-12"/>
    <m/>
    <m/>
    <m/>
    <m/>
    <s v="No"/>
    <s v="Yes"/>
    <s v="No"/>
    <n v="0.1"/>
    <n v="0.03"/>
    <n v="0.39"/>
    <n v="0.33"/>
  </r>
  <r>
    <x v="96"/>
    <s v="10.0_Comfort &amp; Exterior"/>
    <s v="10.30_OutsideLighting-System"/>
    <s v="F0230"/>
    <s v="Rear Lighting, Brake Light"/>
    <s v="B"/>
    <s v="Body"/>
    <s v="External Illumination"/>
    <s v="Rear Lamps L"/>
    <s v="LED"/>
    <s v="Actuator"/>
    <s v="Taillamp Assy' LED Left - Tailgate"/>
    <s v="Taillamp Assy' LED Left - Tailgate - Rear Lamps L"/>
    <m/>
    <m/>
    <s v="112;-12"/>
    <m/>
    <m/>
    <m/>
    <m/>
    <s v="No"/>
    <s v="Yes"/>
    <s v="No"/>
    <n v="0.1"/>
    <n v="0.03"/>
    <n v="0.39"/>
    <n v="0.33"/>
  </r>
  <r>
    <x v="96"/>
    <s v="10.0_Comfort &amp; Exterior"/>
    <s v="10.30_OutsideLighting-System"/>
    <s v="F0231"/>
    <s v="Rear Lighting, Rear Position Light"/>
    <s v="QM"/>
    <s v="Body"/>
    <s v="External Illumination"/>
    <s v="Rear Lamps L"/>
    <s v="LED"/>
    <s v="Actuator"/>
    <s v="Taillamp Assy' LED Left - Tailgate"/>
    <s v="Taillamp Assy' LED Left - Tailgate - Rear Lamps L"/>
    <m/>
    <m/>
    <s v="112;-12"/>
    <m/>
    <m/>
    <m/>
    <m/>
    <s v="No"/>
    <s v="Yes"/>
    <s v="No"/>
    <n v="0.1"/>
    <n v="0.03"/>
    <n v="0.39"/>
    <n v="0.33"/>
  </r>
  <r>
    <x v="96"/>
    <s v="10.0_Comfort &amp; Exterior"/>
    <s v="10.30_OutsideLighting-System"/>
    <s v="F0378"/>
    <s v="Rear Lighting, Fog Rear"/>
    <m/>
    <s v="Body"/>
    <s v="External Illumination"/>
    <s v="Rear Lamps L"/>
    <s v="LED"/>
    <s v="Actuator"/>
    <s v="Taillamp Assy' LED Left - Tailgate"/>
    <s v="Taillamp Assy' LED Left - Tailgate - Rear Lamps L"/>
    <m/>
    <m/>
    <s v="112;-12"/>
    <m/>
    <m/>
    <m/>
    <m/>
    <s v="No"/>
    <s v="Yes"/>
    <s v="No"/>
    <n v="0.1"/>
    <n v="0.03"/>
    <n v="0.39"/>
    <n v="0.33"/>
  </r>
  <r>
    <x v="96"/>
    <s v="28.0_Powertrain &amp; Driveability"/>
    <s v="28.13_Recuperation&amp;OPD-System"/>
    <s v="F0294"/>
    <s v="Recuperation, Brake Lights"/>
    <s v="B"/>
    <s v="Body"/>
    <s v="External Illumination"/>
    <s v="Rear Lamps L"/>
    <s v="LED"/>
    <s v="Actuator"/>
    <s v="Taillamp Assy' LED Left - Tailgate"/>
    <s v="Taillamp Assy' LED Left - Tailgate - Rear Lamps L"/>
    <m/>
    <m/>
    <s v="112;-12"/>
    <m/>
    <m/>
    <m/>
    <m/>
    <s v="No"/>
    <s v="Yes"/>
    <s v="No"/>
    <n v="0.1"/>
    <n v="0.03"/>
    <n v="0.39"/>
    <n v="0.33"/>
  </r>
  <r>
    <x v="97"/>
    <s v="10.0_Comfort &amp; Exterior"/>
    <s v="10.30_OutsideLighting-System"/>
    <s v="F0002"/>
    <s v="Rear Lighting, Brake Light Adaptive"/>
    <s v="B"/>
    <s v="Body"/>
    <s v="External Illumination"/>
    <s v="Rear Lamps R"/>
    <s v="LED"/>
    <s v="Actuator"/>
    <s v="Taillamp Assy' LED Right - Tailgate"/>
    <s v="Taillamp Assy' LED Right - Tailgate - Rear Lamps R"/>
    <m/>
    <m/>
    <s v="112;12"/>
    <m/>
    <m/>
    <m/>
    <m/>
    <s v="No"/>
    <s v="Yes"/>
    <s v="No"/>
    <n v="0.1"/>
    <n v="0.03"/>
    <n v="0.39"/>
    <n v="0.33"/>
  </r>
  <r>
    <x v="97"/>
    <s v="10.0_Comfort &amp; Exterior"/>
    <s v="10.30_OutsideLighting-System"/>
    <s v="F0028"/>
    <s v="Light Scenario, Comfort Direction Indication"/>
    <s v="B"/>
    <s v="Body"/>
    <s v="External Illumination"/>
    <s v="Rear Lamps R"/>
    <s v="LED"/>
    <s v="Actuator"/>
    <s v="Taillamp Assy' LED Right - Tailgate"/>
    <s v="Taillamp Assy' LED Right - Tailgate - Rear Lamps R"/>
    <m/>
    <m/>
    <s v="112;12"/>
    <m/>
    <m/>
    <m/>
    <m/>
    <s v="No"/>
    <s v="Yes"/>
    <s v="No"/>
    <n v="0.1"/>
    <n v="0.03"/>
    <n v="0.39"/>
    <n v="0.33"/>
  </r>
  <r>
    <x v="97"/>
    <s v="10.0_Comfort &amp; Exterior"/>
    <s v="10.30_OutsideLighting-System"/>
    <s v="F0091"/>
    <s v="Rear Lighting, Reverse Light"/>
    <s v="QM"/>
    <s v="Body"/>
    <s v="External Illumination"/>
    <s v="Rear Lamps R"/>
    <s v="LED"/>
    <s v="Actuator"/>
    <s v="Taillamp Assy' LED Right - Tailgate"/>
    <s v="Taillamp Assy' LED Right - Tailgate - Rear Lamps R"/>
    <m/>
    <m/>
    <s v="112;12"/>
    <m/>
    <m/>
    <m/>
    <m/>
    <s v="No"/>
    <s v="Yes"/>
    <s v="No"/>
    <n v="0.1"/>
    <n v="0.03"/>
    <n v="0.39"/>
    <n v="0.33"/>
  </r>
  <r>
    <x v="97"/>
    <s v="10.0_Comfort &amp; Exterior"/>
    <s v="10.30_OutsideLighting-System"/>
    <s v="F0110"/>
    <s v="Rear Lighting, Taillamp"/>
    <s v="QM"/>
    <s v="Body"/>
    <s v="External Illumination"/>
    <s v="Rear Lamps R"/>
    <s v="LED"/>
    <s v="Actuator"/>
    <s v="Taillamp Assy' LED Right - Tailgate"/>
    <s v="Taillamp Assy' LED Right - Tailgate - Rear Lamps R"/>
    <m/>
    <m/>
    <s v="112;12"/>
    <m/>
    <m/>
    <m/>
    <m/>
    <s v="No"/>
    <s v="Yes"/>
    <s v="No"/>
    <n v="0.1"/>
    <n v="0.03"/>
    <n v="0.39"/>
    <n v="0.33"/>
  </r>
  <r>
    <x v="97"/>
    <s v="10.0_Comfort &amp; Exterior"/>
    <s v="10.30_OutsideLighting-System"/>
    <s v="F0220"/>
    <s v="Light Scenario, Coming Home "/>
    <s v="QM"/>
    <s v="Body"/>
    <s v="External Illumination"/>
    <s v="Rear Lamps R"/>
    <s v="LED"/>
    <s v="Actuator"/>
    <s v="Taillamp Assy' LED Right - Tailgate"/>
    <s v="Taillamp Assy' LED Right - Tailgate - Rear Lamps R"/>
    <m/>
    <m/>
    <s v="112;12"/>
    <m/>
    <m/>
    <m/>
    <m/>
    <s v="No"/>
    <s v="Yes"/>
    <s v="No"/>
    <n v="0.1"/>
    <n v="0.03"/>
    <n v="0.39"/>
    <n v="0.33"/>
  </r>
  <r>
    <x v="97"/>
    <s v="10.0_Comfort &amp; Exterior"/>
    <s v="10.30_OutsideLighting-System"/>
    <s v="F0221"/>
    <s v="Light Scenario, Welcome Light"/>
    <s v="QM"/>
    <s v="Body"/>
    <s v="External Illumination"/>
    <s v="Rear Lamps R"/>
    <s v="LED"/>
    <s v="Actuator"/>
    <s v="Taillamp Assy' LED Right - Tailgate"/>
    <s v="Taillamp Assy' LED Right - Tailgate - Rear Lamps R"/>
    <m/>
    <m/>
    <s v="112;12"/>
    <m/>
    <m/>
    <m/>
    <m/>
    <s v="No"/>
    <s v="Yes"/>
    <s v="No"/>
    <n v="0.1"/>
    <n v="0.03"/>
    <n v="0.39"/>
    <n v="0.33"/>
  </r>
  <r>
    <x v="97"/>
    <s v="10.0_Comfort &amp; Exterior"/>
    <s v="10.30_OutsideLighting-System"/>
    <s v="F0227"/>
    <s v="Light Scenario, Parking Light"/>
    <s v="QM"/>
    <s v="Body"/>
    <s v="External Illumination"/>
    <s v="Rear Lamps R"/>
    <s v="LED"/>
    <s v="Actuator"/>
    <s v="Taillamp Assy' LED Right - Tailgate"/>
    <s v="Taillamp Assy' LED Right - Tailgate - Rear Lamps R"/>
    <m/>
    <m/>
    <s v="112;12"/>
    <m/>
    <m/>
    <m/>
    <m/>
    <s v="No"/>
    <s v="Yes"/>
    <s v="No"/>
    <n v="0.1"/>
    <n v="0.03"/>
    <n v="0.39"/>
    <n v="0.33"/>
  </r>
  <r>
    <x v="97"/>
    <s v="10.0_Comfort &amp; Exterior"/>
    <s v="10.30_OutsideLighting-System"/>
    <s v="F0230"/>
    <s v="Rear Lighting, Brake Light"/>
    <s v="B"/>
    <s v="Body"/>
    <s v="External Illumination"/>
    <s v="Rear Lamps R"/>
    <s v="LED"/>
    <s v="Actuator"/>
    <s v="Taillamp Assy' LED Right - Tailgate"/>
    <s v="Taillamp Assy' LED Right - Tailgate - Rear Lamps R"/>
    <m/>
    <m/>
    <s v="112;12"/>
    <m/>
    <m/>
    <m/>
    <m/>
    <s v="No"/>
    <s v="Yes"/>
    <s v="No"/>
    <n v="0.1"/>
    <n v="0.03"/>
    <n v="0.39"/>
    <n v="0.33"/>
  </r>
  <r>
    <x v="97"/>
    <s v="10.0_Comfort &amp; Exterior"/>
    <s v="10.30_OutsideLighting-System"/>
    <s v="F0231"/>
    <s v="Rear Lighting, Rear Position Light"/>
    <s v="QM"/>
    <s v="Body"/>
    <s v="External Illumination"/>
    <s v="Rear Lamps R"/>
    <s v="LED"/>
    <s v="Actuator"/>
    <s v="Taillamp Assy' LED Right - Tailgate"/>
    <s v="Taillamp Assy' LED Right - Tailgate - Rear Lamps R"/>
    <m/>
    <m/>
    <s v="112;12"/>
    <m/>
    <m/>
    <m/>
    <m/>
    <s v="No"/>
    <s v="Yes"/>
    <s v="No"/>
    <n v="0.1"/>
    <n v="0.03"/>
    <n v="0.39"/>
    <n v="0.33"/>
  </r>
  <r>
    <x v="97"/>
    <s v="10.0_Comfort &amp; Exterior"/>
    <s v="10.30_OutsideLighting-System"/>
    <s v="F0378"/>
    <s v="Rear Lighting, Fog Rear"/>
    <m/>
    <s v="Body"/>
    <s v="External Illumination"/>
    <s v="Rear Lamps R"/>
    <s v="LED"/>
    <s v="Actuator"/>
    <s v="Taillamp Assy' LED Right - Tailgate"/>
    <s v="Taillamp Assy' LED Right - Tailgate - Rear Lamps R"/>
    <m/>
    <m/>
    <s v="112;12"/>
    <m/>
    <m/>
    <m/>
    <m/>
    <s v="No"/>
    <s v="Yes"/>
    <s v="No"/>
    <n v="0.1"/>
    <n v="0.03"/>
    <n v="0.39"/>
    <n v="0.33"/>
  </r>
  <r>
    <x v="97"/>
    <s v="28.0_Powertrain &amp; Driveability"/>
    <s v="28.13_Recuperation&amp;OPD-System"/>
    <s v="F0294"/>
    <s v="Recuperation, Brake Lights"/>
    <s v="B"/>
    <s v="Body"/>
    <s v="External Illumination"/>
    <s v="Rear Lamps R"/>
    <s v="LED"/>
    <s v="Actuator"/>
    <s v="Taillamp Assy' LED Right - Tailgate"/>
    <s v="Taillamp Assy' LED Right - Tailgate - Rear Lamps R"/>
    <m/>
    <m/>
    <s v="112;12"/>
    <m/>
    <m/>
    <m/>
    <m/>
    <s v="No"/>
    <s v="Yes"/>
    <s v="No"/>
    <n v="0.1"/>
    <n v="0.03"/>
    <n v="0.39"/>
    <n v="0.33"/>
  </r>
  <r>
    <x v="98"/>
    <s v="10.0_Comfort &amp; Exterior"/>
    <s v="10.10_CentralLocking-System"/>
    <s v="F0107"/>
    <s v="Tailgate, Electric Adjustment"/>
    <s v="B"/>
    <s v="Comfort"/>
    <s v="Central Locking"/>
    <s v="Tailgate Open and Close Warning"/>
    <s v="Power Tailgate"/>
    <s v="Actuator"/>
    <s v="Buzzer"/>
    <s v="Buzzer - Tailgate Open and Close Warning"/>
    <m/>
    <m/>
    <s v="113;11"/>
    <s v="TE"/>
    <s v="1-1418639-5"/>
    <s v="2 Pos. MQS 0,63mm Unsealed"/>
    <m/>
    <s v="No"/>
    <s v="Yes"/>
    <s v="Yes"/>
    <n v="0"/>
    <n v="0"/>
    <n v="0"/>
    <n v="0"/>
  </r>
  <r>
    <x v="99"/>
    <s v="10.0_Comfort &amp; Exterior"/>
    <s v="10.30_OutsideLighting-System"/>
    <s v="F0074"/>
    <s v="Rear Lighting, Licence Plate"/>
    <s v="QM"/>
    <s v="Body"/>
    <s v="External Illumination"/>
    <s v="License Plate Lamp Left"/>
    <s v="LED"/>
    <s v="Actuator"/>
    <s v="LED Lamp"/>
    <s v="LED Lamp - License Plate Lamp Left"/>
    <m/>
    <m/>
    <s v="115;-3"/>
    <m/>
    <m/>
    <m/>
    <m/>
    <s v="No"/>
    <s v="Yes"/>
    <s v="No"/>
    <n v="0"/>
    <n v="0"/>
    <n v="1"/>
    <n v="1"/>
  </r>
  <r>
    <x v="99"/>
    <s v="10.0_Comfort &amp; Exterior"/>
    <s v="10.30_OutsideLighting-System"/>
    <s v="F0074"/>
    <s v="Rear Lighting, Licence Plate"/>
    <s v="QM"/>
    <s v="Body"/>
    <s v="External Illumination"/>
    <s v="Position Lamp Left"/>
    <s v="LED"/>
    <s v="Actuator"/>
    <s v="License Plate Assy' LED Lamp"/>
    <s v="License Plate Assy' LED Lamp - Position Lamp Left"/>
    <m/>
    <m/>
    <s v="115;-3"/>
    <m/>
    <m/>
    <m/>
    <m/>
    <s v="No"/>
    <s v="Yes"/>
    <s v="No"/>
    <n v="0"/>
    <n v="0"/>
    <n v="1"/>
    <n v="1"/>
  </r>
  <r>
    <x v="100"/>
    <s v="10.0_Comfort &amp; Exterior"/>
    <s v="10.30_OutsideLighting-System"/>
    <s v="F0074"/>
    <s v="Rear Lighting, Licence Plate"/>
    <s v="QM"/>
    <s v="Body"/>
    <s v="External Illumination"/>
    <s v="License Plate Lamp Right"/>
    <s v="LED"/>
    <s v="Actuator"/>
    <s v="LED Lamp"/>
    <s v="LED Lamp - License Plate Lamp Right"/>
    <m/>
    <m/>
    <s v="115;3"/>
    <m/>
    <m/>
    <m/>
    <m/>
    <s v="No"/>
    <s v="Yes"/>
    <s v="No"/>
    <n v="0"/>
    <n v="0"/>
    <n v="1"/>
    <n v="1"/>
  </r>
  <r>
    <x v="100"/>
    <s v="10.0_Comfort &amp; Exterior"/>
    <s v="10.30_OutsideLighting-System"/>
    <s v="F0074"/>
    <s v="Rear Lighting, Licence Plate"/>
    <s v="QM"/>
    <s v="Body"/>
    <s v="External Illumination"/>
    <s v="Position Lamp Right"/>
    <s v="LED"/>
    <s v="Actuator"/>
    <s v="License Plate Assy' LED Lamp"/>
    <s v="License Plate Assy' LED Lamp - Position Lamp Right"/>
    <m/>
    <m/>
    <s v="115;3"/>
    <m/>
    <m/>
    <m/>
    <m/>
    <s v="No"/>
    <s v="Yes"/>
    <s v="No"/>
    <n v="0"/>
    <n v="0"/>
    <n v="1"/>
    <n v="1"/>
  </r>
  <r>
    <x v="101"/>
    <s v="36.0_Infotainment &amp; Connectivity"/>
    <s v="36.10_Radio-System"/>
    <s v="F0261"/>
    <s v="Radio, HD"/>
    <s v="QM"/>
    <s v="Infotainment"/>
    <s v="Communication"/>
    <s v="Radio Receiving"/>
    <s v="Basic"/>
    <s v="Noise Filter"/>
    <s v="Noise Filter"/>
    <s v="Noise Filter - Radio Receiving"/>
    <m/>
    <m/>
    <m/>
    <m/>
    <m/>
    <m/>
    <m/>
    <m/>
    <m/>
    <m/>
    <m/>
    <m/>
    <m/>
    <m/>
  </r>
  <r>
    <x v="102"/>
    <s v="10.0_Comfort &amp; Exterior"/>
    <s v="10.10_CentralLocking-System"/>
    <s v="F0107"/>
    <s v="Tailgate, Electric Adjustment"/>
    <s v="B"/>
    <s v="Comfort"/>
    <s v="Central Locking"/>
    <s v="Tailgate Opening and Closing External Command (Virtual Pedal)"/>
    <s v="Power Tailgate"/>
    <s v="Switch"/>
    <s v="User Selector"/>
    <s v="User Selector - Tailgate Opening and Closing External Command (Virtual Pedal)"/>
    <m/>
    <m/>
    <s v="115;0"/>
    <s v="TE"/>
    <s v="1801823-1"/>
    <s v="4 Pos. MCON 0,50mm Sealed"/>
    <m/>
    <s v="No"/>
    <s v="No"/>
    <s v="Yes"/>
    <n v="0"/>
    <n v="0"/>
    <n v="0"/>
    <n v="0"/>
  </r>
  <r>
    <x v="103"/>
    <s v="36.0_Infotainment &amp; Connectivity"/>
    <s v="36.10_Radio-System"/>
    <s v="F0261"/>
    <s v="Radio, HD"/>
    <s v="QM"/>
    <s v="Infotainment"/>
    <s v="Audio"/>
    <s v="Radio Receiving"/>
    <m/>
    <s v="Antenna"/>
    <s v="FM Antenna (w/ Amplifier)"/>
    <s v="FM Antenna (w/ Amplifier) - Radio Receiving"/>
    <m/>
    <m/>
    <s v="85;-15"/>
    <s v="TE"/>
    <s v="1452584-1"/>
    <s v="1 Pos. Fakra II Unsealed"/>
    <m/>
    <s v="No"/>
    <s v="No"/>
    <s v="Yes"/>
    <n v="1"/>
    <n v="1"/>
    <n v="1"/>
    <n v="1"/>
  </r>
  <r>
    <x v="104"/>
    <s v="38.0_E-Drive &amp; HV-Safety"/>
    <s v="38.11_EnergyStorage&amp;Converting-System"/>
    <s v="F0265"/>
    <s v="Energy Management, LV Power Supply"/>
    <s v="QM"/>
    <s v="System"/>
    <s v="Power Supply"/>
    <s v="12V Boardnet Supply"/>
    <m/>
    <s v="Source"/>
    <s v="48V-12V DC/DC Converter"/>
    <s v="48V-12V DC/DC Converter - 12V Boardnet Supply"/>
    <m/>
    <m/>
    <s v="99;6"/>
    <s v="TE"/>
    <s v="2133344-3"/>
    <s v="Eyelet M8x35"/>
    <m/>
    <s v="No"/>
    <s v="Yes"/>
    <s v="Yes"/>
    <n v="0.6"/>
    <n v="0.8"/>
    <n v="0.9"/>
    <n v="0.7"/>
  </r>
  <r>
    <x v="105"/>
    <s v="80.0_Cross-Functions"/>
    <s v="80.82_EnergyManagement"/>
    <s v="F0560"/>
    <s v="Energy Management, LV"/>
    <m/>
    <s v="System"/>
    <s v="Power Supply"/>
    <s v="48V Boardnet Supply"/>
    <m/>
    <s v="Source"/>
    <s v="HV-48V DC/DC Converter"/>
    <s v="HV-48V DC/DC Converter - 48V Boardnet Supply"/>
    <m/>
    <m/>
    <s v="99;6"/>
    <m/>
    <m/>
    <m/>
    <m/>
    <s v="No"/>
    <s v="No"/>
    <s v="Yes"/>
    <n v="0.6"/>
    <n v="0.8"/>
    <n v="0.9"/>
    <n v="0.7"/>
  </r>
  <r>
    <x v="106"/>
    <s v="80.0_Cross-Functions"/>
    <s v="80.82_EnergyManagement"/>
    <s v="F0560"/>
    <s v="Energy Management, LV"/>
    <m/>
    <s v="System"/>
    <s v="Power Supply"/>
    <s v="12V Boardnet Supply"/>
    <m/>
    <s v="Source"/>
    <s v="HV-12V DC/DC Converter"/>
    <s v="HV-12V DC/DC Converter - 12V Boardnet Supply"/>
    <m/>
    <m/>
    <s v="99;6"/>
    <s v="TE"/>
    <s v="2133344-3"/>
    <s v="Eyelet M8x35"/>
    <m/>
    <s v="No"/>
    <s v="No"/>
    <s v="No"/>
    <n v="0.6"/>
    <n v="0.8"/>
    <n v="0.9"/>
    <n v="0.7"/>
  </r>
  <r>
    <x v="107"/>
    <s v="10.0_Comfort &amp; Exterior"/>
    <s v="10.30_OutsideLighting-System"/>
    <s v="F0071"/>
    <s v="Light Scenario, Fog Cornering"/>
    <s v="QM"/>
    <s v="Chassis"/>
    <s v="Brake"/>
    <s v="Wheel Speed"/>
    <s v="Basic"/>
    <s v="Sensor"/>
    <s v="Wheel Speed Sensor FL"/>
    <s v="Wheel Speed Sensor FL - Wheel Speed"/>
    <m/>
    <m/>
    <s v="9;-18"/>
    <s v="TE"/>
    <s v="1-1355200-1"/>
    <s v="2 Pos. MCP 2,8mm Sealed"/>
    <s v="No"/>
    <s v="Yes"/>
    <s v="Yes"/>
    <s v="Yes"/>
    <n v="1"/>
    <n v="1"/>
    <n v="1"/>
    <n v="1"/>
  </r>
  <r>
    <x v="107"/>
    <s v="14.0_HMI &amp; OutsideInformation"/>
    <s v="14.10_DriverInformation-System"/>
    <s v="F0465"/>
    <s v="Indications, Vehicle Speed"/>
    <m/>
    <s v="Chassis"/>
    <s v="Brake"/>
    <s v="Wheel Speed"/>
    <s v="Basic"/>
    <s v="Sensor"/>
    <s v="Wheel Speed Sensor FL"/>
    <s v="Wheel Speed Sensor FL - Wheel Speed"/>
    <m/>
    <m/>
    <s v="9;-18"/>
    <s v="TE"/>
    <s v="1-1355200-1"/>
    <s v="2 Pos. MCP 2,8mm Sealed"/>
    <s v="No"/>
    <s v="Yes"/>
    <s v="Yes"/>
    <s v="Yes"/>
    <n v="1"/>
    <n v="1"/>
    <n v="1"/>
    <n v="1"/>
  </r>
  <r>
    <x v="107"/>
    <s v="14.0_HMI &amp; OutsideInformation"/>
    <s v="14.10_DriverInformation-System"/>
    <s v="F0631"/>
    <s v="Indications, Electric Range Estimation"/>
    <s v="B"/>
    <s v="Chassis"/>
    <s v="Brake"/>
    <s v="Wheel Speed"/>
    <s v="Basic"/>
    <s v="Sensor"/>
    <s v="Wheel Speed Sensor FL"/>
    <s v="Wheel Speed Sensor FL - Wheel Speed"/>
    <m/>
    <m/>
    <s v="9;-18"/>
    <s v="TE"/>
    <s v="1-1355200-1"/>
    <s v="2 Pos. MCP 2,8mm Sealed"/>
    <s v="No"/>
    <s v="Yes"/>
    <s v="Yes"/>
    <s v="Yes"/>
    <n v="1"/>
    <n v="1"/>
    <n v="1"/>
    <n v="1"/>
  </r>
  <r>
    <x v="107"/>
    <s v="32.0_Comfort &amp; Chassis"/>
    <s v="32.10_Braking-System"/>
    <s v="F0339"/>
    <s v="Brake, By Wire (Electro Mechanic)"/>
    <m/>
    <s v="Chassis"/>
    <s v="Brake"/>
    <s v="Wheel Speed"/>
    <s v="Basic"/>
    <s v="Sensor"/>
    <s v="Wheel Speed Sensor FL"/>
    <s v="Wheel Speed Sensor FL - Wheel Speed"/>
    <m/>
    <m/>
    <s v="9;-18"/>
    <s v="TE"/>
    <s v="1-1355200-1"/>
    <s v="2 Pos. MCP 2,8mm Sealed"/>
    <s v="No"/>
    <s v="Yes"/>
    <s v="Yes"/>
    <s v="Yes"/>
    <n v="1"/>
    <n v="1"/>
    <n v="1"/>
    <n v="1"/>
  </r>
  <r>
    <x v="107"/>
    <s v="32.0_Comfort &amp; Chassis"/>
    <s v="32.10_Braking-System"/>
    <s v="F2000"/>
    <s v="ABS"/>
    <s v="D"/>
    <s v="Chassis"/>
    <s v="Brake"/>
    <s v="Wheel Speed"/>
    <s v="Basic"/>
    <s v="Sensor"/>
    <s v="Wheel Speed Sensor FL"/>
    <s v="Wheel Speed Sensor FL - Wheel Speed"/>
    <m/>
    <m/>
    <s v="9;-18"/>
    <s v="TE"/>
    <s v="1-1355200-1"/>
    <s v="2 Pos. MCP 2,8mm Sealed"/>
    <s v="No"/>
    <s v="Yes"/>
    <s v="Yes"/>
    <s v="Yes"/>
    <n v="1"/>
    <n v="1"/>
    <n v="1"/>
    <n v="1"/>
  </r>
  <r>
    <x v="107"/>
    <s v="36.0_Infotainment &amp; Connectivity"/>
    <s v="36.12_Sound-System"/>
    <s v="F1342"/>
    <s v="Road-noise Active Noise Cancelation (RANC)"/>
    <s v="QM"/>
    <s v="Chassis"/>
    <s v="Brake"/>
    <s v="Wheel Speed"/>
    <s v="Basic"/>
    <s v="Sensor"/>
    <s v="Wheel Speed Sensor FL"/>
    <s v="Wheel Speed Sensor FL - Wheel Speed"/>
    <m/>
    <m/>
    <s v="9;-18"/>
    <s v="TE"/>
    <s v="1-1355200-1"/>
    <s v="2 Pos. MCP 2,8mm Sealed"/>
    <s v="No"/>
    <s v="Yes"/>
    <s v="Yes"/>
    <s v="Yes"/>
    <n v="1"/>
    <n v="1"/>
    <n v="1"/>
    <n v="1"/>
  </r>
  <r>
    <x v="108"/>
    <s v="10.0_Comfort &amp; Exterior"/>
    <s v="10.30_OutsideLighting-System"/>
    <s v="F0071"/>
    <s v="Light Scenario, Fog Cornering"/>
    <s v="QM"/>
    <s v="Chassis"/>
    <s v="Brake"/>
    <s v="Wheel Speed"/>
    <s v="Basic"/>
    <s v="Sensor"/>
    <s v="Wheel Speed Sensor FR"/>
    <s v="Wheel Speed Sensor FR - Wheel Speed"/>
    <m/>
    <m/>
    <s v="9;18"/>
    <s v="TE"/>
    <s v="1-1355200-1"/>
    <s v="2 Pos. MCP 2,8mm Sealed"/>
    <s v="No"/>
    <s v="Yes"/>
    <s v="Yes"/>
    <s v="Yes"/>
    <n v="1"/>
    <n v="1"/>
    <n v="1"/>
    <n v="1"/>
  </r>
  <r>
    <x v="108"/>
    <s v="14.0_HMI &amp; OutsideInformation"/>
    <s v="14.10_DriverInformation-System"/>
    <s v="F0465"/>
    <s v="Indications, Vehicle Speed"/>
    <m/>
    <s v="Chassis"/>
    <s v="Brake"/>
    <s v="Wheel Speed"/>
    <s v="Basic"/>
    <s v="Sensor"/>
    <s v="Wheel Speed Sensor FR"/>
    <s v="Wheel Speed Sensor FR - Wheel Speed"/>
    <m/>
    <m/>
    <s v="9;18"/>
    <s v="TE"/>
    <s v="1-1355200-1"/>
    <s v="2 Pos. MCP 2,8mm Sealed"/>
    <s v="No"/>
    <s v="Yes"/>
    <s v="Yes"/>
    <s v="Yes"/>
    <n v="1"/>
    <n v="1"/>
    <n v="1"/>
    <n v="1"/>
  </r>
  <r>
    <x v="108"/>
    <s v="14.0_HMI &amp; OutsideInformation"/>
    <s v="14.10_DriverInformation-System"/>
    <s v="F0631"/>
    <s v="Indications, Electric Range Estimation"/>
    <s v="B"/>
    <s v="Chassis"/>
    <s v="Brake"/>
    <s v="Wheel Speed"/>
    <s v="Basic"/>
    <s v="Sensor"/>
    <s v="Wheel Speed Sensor FR"/>
    <s v="Wheel Speed Sensor FR - Wheel Speed"/>
    <m/>
    <m/>
    <s v="9;18"/>
    <s v="TE"/>
    <s v="1-1355200-1"/>
    <s v="2 Pos. MCP 2,8mm Sealed"/>
    <s v="No"/>
    <s v="Yes"/>
    <s v="Yes"/>
    <s v="Yes"/>
    <n v="1"/>
    <n v="1"/>
    <n v="1"/>
    <n v="1"/>
  </r>
  <r>
    <x v="108"/>
    <s v="32.0_Comfort &amp; Chassis"/>
    <s v="32.10_Braking-System"/>
    <s v="F0339"/>
    <s v="Brake, By Wire (Electro Mechanic)"/>
    <m/>
    <s v="Chassis"/>
    <s v="Brake"/>
    <s v="Wheel Speed"/>
    <s v="Basic"/>
    <s v="Sensor"/>
    <s v="Wheel Speed Sensor FR"/>
    <s v="Wheel Speed Sensor FR - Wheel Speed"/>
    <m/>
    <m/>
    <s v="9;18"/>
    <s v="TE"/>
    <s v="1-1355200-1"/>
    <s v="2 Pos. MCP 2,8mm Sealed"/>
    <s v="No"/>
    <s v="Yes"/>
    <s v="Yes"/>
    <s v="Yes"/>
    <n v="1"/>
    <n v="1"/>
    <n v="1"/>
    <n v="1"/>
  </r>
  <r>
    <x v="108"/>
    <s v="32.0_Comfort &amp; Chassis"/>
    <s v="32.10_Braking-System"/>
    <s v="F2000"/>
    <s v="ABS"/>
    <s v="D"/>
    <s v="Chassis"/>
    <s v="Brake"/>
    <s v="Wheel Speed"/>
    <s v="Basic"/>
    <s v="Sensor"/>
    <s v="Wheel Speed Sensor FR"/>
    <s v="Wheel Speed Sensor FR - Wheel Speed"/>
    <m/>
    <m/>
    <s v="9;18"/>
    <s v="TE"/>
    <s v="1-1355200-1"/>
    <s v="2 Pos. MCP 2,8mm Sealed"/>
    <s v="No"/>
    <s v="Yes"/>
    <s v="Yes"/>
    <s v="Yes"/>
    <n v="1"/>
    <n v="1"/>
    <n v="1"/>
    <n v="1"/>
  </r>
  <r>
    <x v="108"/>
    <s v="36.0_Infotainment &amp; Connectivity"/>
    <s v="36.12_Sound-System"/>
    <s v="F1342"/>
    <s v="Road-noise Active Noise Cancelation (RANC)"/>
    <s v="QM"/>
    <s v="Chassis"/>
    <s v="Brake"/>
    <s v="Wheel Speed"/>
    <s v="Basic"/>
    <s v="Sensor"/>
    <s v="Wheel Speed Sensor FR"/>
    <s v="Wheel Speed Sensor FR - Wheel Speed"/>
    <m/>
    <m/>
    <s v="9;18"/>
    <s v="TE"/>
    <s v="1-1355200-1"/>
    <s v="2 Pos. MCP 2,8mm Sealed"/>
    <s v="No"/>
    <s v="Yes"/>
    <s v="Yes"/>
    <s v="Yes"/>
    <n v="1"/>
    <n v="1"/>
    <n v="1"/>
    <n v="1"/>
  </r>
  <r>
    <x v="109"/>
    <s v="39.0_HVAC &amp; Thermal"/>
    <s v="39.10_PassengerThermal-System"/>
    <s v="F0016"/>
    <s v="HVAC-System, 3- / 4-Zones"/>
    <s v="QM"/>
    <s v="Comfort"/>
    <s v="Climate Control"/>
    <s v="Air Flow Temperature Detection Front Left"/>
    <s v="Automatic Air Conditioning"/>
    <s v="Sensor"/>
    <s v="Air Deflector Temperature Sensor FL"/>
    <s v="Air Deflector Temperature Sensor FL - Air Flow Temperature Detection Front Left"/>
    <m/>
    <m/>
    <s v="32;-15"/>
    <m/>
    <m/>
    <m/>
    <m/>
    <s v="No"/>
    <s v="No"/>
    <s v="Yes"/>
    <n v="1"/>
    <n v="1"/>
    <n v="1"/>
    <n v="1"/>
  </r>
  <r>
    <x v="109"/>
    <s v="39.0_HVAC &amp; Thermal"/>
    <s v="39.10_PassengerThermal-System"/>
    <s v="F0233"/>
    <s v="HVAC-Temperature, Automatic"/>
    <s v="QM"/>
    <s v="Comfort"/>
    <s v="Climate Control"/>
    <s v="Air Flow Temperature Detection Front Left"/>
    <s v="Automatic Air Conditioning"/>
    <s v="Sensor"/>
    <s v="Air Deflector Temperature Sensor FL"/>
    <s v="Air Deflector Temperature Sensor FL - Air Flow Temperature Detection Front Left"/>
    <m/>
    <m/>
    <s v="32;-15"/>
    <m/>
    <m/>
    <m/>
    <m/>
    <s v="No"/>
    <s v="Yes"/>
    <s v="Yes"/>
    <n v="1"/>
    <n v="1"/>
    <n v="1"/>
    <n v="1"/>
  </r>
  <r>
    <x v="109"/>
    <s v="39.0_HVAC &amp; Thermal"/>
    <s v="39.10_PassengerThermal-System"/>
    <s v="F0234"/>
    <s v="HVAC-Blower, Automatic"/>
    <s v="QM"/>
    <s v="Comfort"/>
    <s v="Climate Control"/>
    <s v="Air Flow Temperature Detection Front Left"/>
    <s v="Automatic Air Conditioning"/>
    <s v="Sensor"/>
    <s v="Air Deflector Temperature Sensor FL"/>
    <s v="Air Deflector Temperature Sensor FL - Air Flow Temperature Detection Front Left"/>
    <m/>
    <m/>
    <s v="32;-15"/>
    <m/>
    <m/>
    <m/>
    <m/>
    <s v="No"/>
    <s v="Yes"/>
    <s v="Yes"/>
    <n v="1"/>
    <n v="1"/>
    <n v="1"/>
    <n v="1"/>
  </r>
  <r>
    <x v="109"/>
    <s v="39.0_HVAC &amp; Thermal"/>
    <s v="39.10_PassengerThermal-System"/>
    <s v="F0x17"/>
    <s v="HVAC-System, 2-Zones Front"/>
    <s v="QM"/>
    <s v="Comfort"/>
    <s v="Climate Control"/>
    <s v="Air Flow Temperature Detection Front Left"/>
    <s v="Automatic Air Conditioning"/>
    <s v="Sensor"/>
    <s v="Air Deflector Temperature Sensor FL"/>
    <s v="Air Deflector Temperature Sensor FL - Air Flow Temperature Detection Front Left"/>
    <m/>
    <m/>
    <s v="32;-15"/>
    <m/>
    <m/>
    <m/>
    <m/>
    <s v="No"/>
    <s v="Yes"/>
    <s v="No"/>
    <n v="1"/>
    <n v="1"/>
    <n v="1"/>
    <n v="1"/>
  </r>
  <r>
    <x v="109"/>
    <s v="39.0_HVAC &amp; Thermal"/>
    <s v="39.10_PassengerThermal-System"/>
    <s v="F0x19"/>
    <s v="HVAC-System, Heat Pump Driven"/>
    <s v="QM"/>
    <s v="Comfort"/>
    <s v="Climate Control"/>
    <s v="Air Flow Temperature Detection Front Left"/>
    <s v="Automatic Air Conditioning"/>
    <s v="Sensor"/>
    <s v="Air Deflector Temperature Sensor FL"/>
    <s v="Air Deflector Temperature Sensor FL - Air Flow Temperature Detection Front Left"/>
    <m/>
    <m/>
    <s v="32;-15"/>
    <m/>
    <m/>
    <m/>
    <m/>
    <s v="No"/>
    <s v="Yes"/>
    <s v="Yes"/>
    <n v="1"/>
    <n v="1"/>
    <n v="1"/>
    <n v="1"/>
  </r>
  <r>
    <x v="109"/>
    <s v="39.0_HVAC &amp; Thermal"/>
    <s v="39.10_PassengerThermal-System"/>
    <s v="F0x60"/>
    <s v="Parking Heating"/>
    <s v="QM"/>
    <s v="Comfort"/>
    <s v="Climate Control"/>
    <s v="Air Flow Temperature Detection Front Left"/>
    <s v="Automatic Air Conditioning"/>
    <s v="Sensor"/>
    <s v="Air Deflector Temperature Sensor FL"/>
    <s v="Air Deflector Temperature Sensor FL - Air Flow Temperature Detection Front Left"/>
    <m/>
    <m/>
    <s v="32;-15"/>
    <m/>
    <m/>
    <m/>
    <m/>
    <s v="No"/>
    <s v="No"/>
    <s v="Yes"/>
    <n v="1"/>
    <n v="1"/>
    <n v="1"/>
    <n v="1"/>
  </r>
  <r>
    <x v="110"/>
    <s v="39.0_HVAC &amp; Thermal"/>
    <s v="39.10_PassengerThermal-System"/>
    <s v="F0016"/>
    <s v="HVAC-System, 3- / 4-Zones"/>
    <s v="QM"/>
    <s v="Comfort"/>
    <s v="Climate Control"/>
    <s v="Air Flow Temperature Detection Front Right"/>
    <s v="Automatic Air Conditioning"/>
    <s v="Sensor"/>
    <s v="Air Deflector Temperature Sensor FR"/>
    <s v="Air Deflector Temperature Sensor FR - Air Flow Temperature Detection Front Right"/>
    <m/>
    <m/>
    <s v="32;15"/>
    <m/>
    <m/>
    <m/>
    <m/>
    <s v="No"/>
    <s v="No"/>
    <s v="Yes"/>
    <n v="1"/>
    <n v="1"/>
    <n v="1"/>
    <n v="1"/>
  </r>
  <r>
    <x v="110"/>
    <s v="39.0_HVAC &amp; Thermal"/>
    <s v="39.10_PassengerThermal-System"/>
    <s v="F0233"/>
    <s v="HVAC-Temperature, Automatic"/>
    <s v="QM"/>
    <s v="Comfort"/>
    <s v="Climate Control"/>
    <s v="Air Flow Temperature Detection Front Right"/>
    <s v="Automatic Air Conditioning"/>
    <s v="Sensor"/>
    <s v="Air Deflector Temperature Sensor FR"/>
    <s v="Air Deflector Temperature Sensor FR - Air Flow Temperature Detection Front Right"/>
    <m/>
    <m/>
    <s v="32;15"/>
    <m/>
    <m/>
    <m/>
    <m/>
    <s v="No"/>
    <s v="Yes"/>
    <s v="Yes"/>
    <n v="1"/>
    <n v="1"/>
    <n v="1"/>
    <n v="1"/>
  </r>
  <r>
    <x v="110"/>
    <s v="39.0_HVAC &amp; Thermal"/>
    <s v="39.10_PassengerThermal-System"/>
    <s v="F0234"/>
    <s v="HVAC-Blower, Automatic"/>
    <s v="QM"/>
    <s v="Comfort"/>
    <s v="Climate Control"/>
    <s v="Air Flow Temperature Detection Front Right"/>
    <s v="Automatic Air Conditioning"/>
    <s v="Sensor"/>
    <s v="Air Deflector Temperature Sensor FR"/>
    <s v="Air Deflector Temperature Sensor FR - Air Flow Temperature Detection Front Right"/>
    <m/>
    <m/>
    <s v="32;15"/>
    <m/>
    <m/>
    <m/>
    <m/>
    <s v="No"/>
    <s v="Yes"/>
    <s v="Yes"/>
    <n v="1"/>
    <n v="1"/>
    <n v="1"/>
    <n v="1"/>
  </r>
  <r>
    <x v="110"/>
    <s v="39.0_HVAC &amp; Thermal"/>
    <s v="39.10_PassengerThermal-System"/>
    <s v="F0x17"/>
    <s v="HVAC-System, 2-Zones Front"/>
    <s v="QM"/>
    <s v="Comfort"/>
    <s v="Climate Control"/>
    <s v="Air Flow Temperature Detection Front Right"/>
    <s v="Automatic Air Conditioning"/>
    <s v="Sensor"/>
    <s v="Air Deflector Temperature Sensor FR"/>
    <s v="Air Deflector Temperature Sensor FR - Air Flow Temperature Detection Front Right"/>
    <m/>
    <m/>
    <s v="32;15"/>
    <m/>
    <m/>
    <m/>
    <m/>
    <s v="No"/>
    <s v="Yes"/>
    <s v="No"/>
    <n v="1"/>
    <n v="1"/>
    <n v="1"/>
    <n v="1"/>
  </r>
  <r>
    <x v="110"/>
    <s v="39.0_HVAC &amp; Thermal"/>
    <s v="39.10_PassengerThermal-System"/>
    <s v="F0x19"/>
    <s v="HVAC-System, Heat Pump Driven"/>
    <s v="QM"/>
    <s v="Comfort"/>
    <s v="Climate Control"/>
    <s v="Air Flow Temperature Detection Front Right"/>
    <s v="Automatic Air Conditioning"/>
    <s v="Sensor"/>
    <s v="Air Deflector Temperature Sensor FR"/>
    <s v="Air Deflector Temperature Sensor FR - Air Flow Temperature Detection Front Right"/>
    <m/>
    <m/>
    <s v="32;15"/>
    <m/>
    <m/>
    <m/>
    <m/>
    <s v="No"/>
    <s v="Yes"/>
    <s v="Yes"/>
    <n v="1"/>
    <n v="1"/>
    <n v="1"/>
    <n v="1"/>
  </r>
  <r>
    <x v="110"/>
    <s v="39.0_HVAC &amp; Thermal"/>
    <s v="39.10_PassengerThermal-System"/>
    <s v="F0x60"/>
    <s v="Parking Heating"/>
    <s v="QM"/>
    <s v="Comfort"/>
    <s v="Climate Control"/>
    <s v="Air Flow Temperature Detection Front Right"/>
    <s v="Automatic Air Conditioning"/>
    <s v="Sensor"/>
    <s v="Air Deflector Temperature Sensor FR"/>
    <s v="Air Deflector Temperature Sensor FR - Air Flow Temperature Detection Front Right"/>
    <m/>
    <m/>
    <s v="32;15"/>
    <m/>
    <m/>
    <m/>
    <m/>
    <s v="No"/>
    <s v="No"/>
    <s v="Yes"/>
    <n v="1"/>
    <n v="1"/>
    <n v="1"/>
    <n v="1"/>
  </r>
  <r>
    <x v="111"/>
    <s v="39.0_HVAC &amp; Thermal"/>
    <s v="39.10_PassengerThermal-System"/>
    <s v="F0016"/>
    <s v="HVAC-System, 3- / 4-Zones"/>
    <s v="QM"/>
    <s v="Comfort"/>
    <s v="Climate Control"/>
    <s v="Air Flow Temperature Detection Front Middle"/>
    <s v="Automatic Air Conditioning"/>
    <s v="Sensor"/>
    <s v="Air Deflector Temperature Sensor FM"/>
    <s v="Air Deflector Temperature Sensor FM - Air Flow Temperature Detection Front Middle"/>
    <m/>
    <m/>
    <s v="31;0"/>
    <m/>
    <m/>
    <m/>
    <m/>
    <s v="No"/>
    <s v="No"/>
    <s v="Yes"/>
    <n v="1"/>
    <n v="1"/>
    <n v="1"/>
    <n v="1"/>
  </r>
  <r>
    <x v="111"/>
    <s v="39.0_HVAC &amp; Thermal"/>
    <s v="39.10_PassengerThermal-System"/>
    <s v="F0233"/>
    <s v="HVAC-Temperature, Automatic"/>
    <s v="QM"/>
    <s v="Comfort"/>
    <s v="Climate Control"/>
    <s v="Air Flow Temperature Detection Front Middle"/>
    <s v="Automatic Air Conditioning"/>
    <s v="Sensor"/>
    <s v="Air Deflector Temperature Sensor FM"/>
    <s v="Air Deflector Temperature Sensor FM - Air Flow Temperature Detection Front Middle"/>
    <m/>
    <m/>
    <s v="31;0"/>
    <m/>
    <m/>
    <m/>
    <m/>
    <s v="No"/>
    <s v="Yes"/>
    <s v="Yes"/>
    <n v="1"/>
    <n v="1"/>
    <n v="1"/>
    <n v="1"/>
  </r>
  <r>
    <x v="111"/>
    <s v="39.0_HVAC &amp; Thermal"/>
    <s v="39.10_PassengerThermal-System"/>
    <s v="F0234"/>
    <s v="HVAC-Blower, Automatic"/>
    <s v="QM"/>
    <s v="Comfort"/>
    <s v="Climate Control"/>
    <s v="Air Flow Temperature Detection Front Middle"/>
    <s v="Automatic Air Conditioning"/>
    <s v="Sensor"/>
    <s v="Air Deflector Temperature Sensor FM"/>
    <s v="Air Deflector Temperature Sensor FM - Air Flow Temperature Detection Front Middle"/>
    <m/>
    <m/>
    <s v="31;0"/>
    <m/>
    <m/>
    <m/>
    <m/>
    <s v="No"/>
    <s v="Yes"/>
    <s v="Yes"/>
    <n v="1"/>
    <n v="1"/>
    <n v="1"/>
    <n v="1"/>
  </r>
  <r>
    <x v="111"/>
    <s v="39.0_HVAC &amp; Thermal"/>
    <s v="39.10_PassengerThermal-System"/>
    <s v="F0x17"/>
    <s v="HVAC-System, 2-Zones Front"/>
    <s v="QM"/>
    <s v="Comfort"/>
    <s v="Climate Control"/>
    <s v="Air Flow Temperature Detection Front Middle"/>
    <s v="Automatic Air Conditioning"/>
    <s v="Sensor"/>
    <s v="Air Deflector Temperature Sensor FM"/>
    <s v="Air Deflector Temperature Sensor FM - Air Flow Temperature Detection Front Middle"/>
    <m/>
    <m/>
    <s v="31;0"/>
    <m/>
    <m/>
    <m/>
    <m/>
    <s v="No"/>
    <s v="Yes"/>
    <s v="No"/>
    <n v="1"/>
    <n v="1"/>
    <n v="1"/>
    <n v="1"/>
  </r>
  <r>
    <x v="111"/>
    <s v="39.0_HVAC &amp; Thermal"/>
    <s v="39.10_PassengerThermal-System"/>
    <s v="F0x19"/>
    <s v="HVAC-System, Heat Pump Driven"/>
    <s v="QM"/>
    <s v="Comfort"/>
    <s v="Climate Control"/>
    <s v="Air Flow Temperature Detection Front Middle"/>
    <s v="Automatic Air Conditioning"/>
    <s v="Sensor"/>
    <s v="Air Deflector Temperature Sensor FM"/>
    <s v="Air Deflector Temperature Sensor FM - Air Flow Temperature Detection Front Middle"/>
    <m/>
    <m/>
    <s v="31;0"/>
    <m/>
    <m/>
    <m/>
    <m/>
    <s v="No"/>
    <s v="Yes"/>
    <s v="Yes"/>
    <n v="1"/>
    <n v="1"/>
    <n v="1"/>
    <n v="1"/>
  </r>
  <r>
    <x v="111"/>
    <s v="39.0_HVAC &amp; Thermal"/>
    <s v="39.10_PassengerThermal-System"/>
    <s v="F0x60"/>
    <s v="Parking Heating"/>
    <s v="QM"/>
    <s v="Comfort"/>
    <s v="Climate Control"/>
    <s v="Air Flow Temperature Detection Front Middle"/>
    <s v="Automatic Air Conditioning"/>
    <s v="Sensor"/>
    <s v="Air Deflector Temperature Sensor FM"/>
    <s v="Air Deflector Temperature Sensor FM - Air Flow Temperature Detection Front Middle"/>
    <m/>
    <m/>
    <s v="31;0"/>
    <m/>
    <m/>
    <m/>
    <m/>
    <s v="No"/>
    <s v="No"/>
    <s v="Yes"/>
    <n v="1"/>
    <n v="1"/>
    <n v="1"/>
    <n v="1"/>
  </r>
  <r>
    <x v="112"/>
    <s v="10.0_Comfort &amp; Exterior"/>
    <s v="10.30_OutsideLighting-System"/>
    <s v="F0225"/>
    <s v="Front Lighting, Low Beam"/>
    <s v="B"/>
    <s v="Body"/>
    <s v="External Illumination"/>
    <s v="Power Supply"/>
    <s v="Full LED"/>
    <s v="Actuator"/>
    <s v="Headlamp Assy' Full LED Left"/>
    <s v="Headlamp Assy' Full LED Left - Power Supply"/>
    <m/>
    <m/>
    <s v="-6;-17"/>
    <s v="TE"/>
    <s v="2109441-2"/>
    <s v="8 Pos. MCP 2,8mm Sealed"/>
    <m/>
    <s v="No"/>
    <s v="Yes"/>
    <s v="No"/>
    <n v="0.24"/>
    <n v="0.24"/>
    <n v="0.43742166396542409"/>
    <n v="0.55032414910858996"/>
  </r>
  <r>
    <x v="112"/>
    <s v="10.0_Comfort &amp; Exterior"/>
    <s v="10.30_OutsideLighting-System"/>
    <s v="F0226"/>
    <s v="Front Lighting, High Beam"/>
    <s v="A"/>
    <s v="Body"/>
    <s v="External Illumination"/>
    <s v="Power Supply"/>
    <s v="Full LED"/>
    <s v="Actuator"/>
    <s v="Headlamp Assy' Full LED Left"/>
    <s v="Headlamp Assy' Full LED Left - Power Supply"/>
    <m/>
    <m/>
    <s v="-6;-17"/>
    <s v="TE"/>
    <s v="2109441-2"/>
    <s v="8 Pos. MCP 2,8mm Sealed"/>
    <m/>
    <s v="No"/>
    <s v="Yes"/>
    <s v="No"/>
    <n v="0.24"/>
    <n v="0.24"/>
    <n v="0.43742166396542409"/>
    <n v="0.55032414910858996"/>
  </r>
  <r>
    <x v="112"/>
    <s v="10.0_Comfort &amp; Exterior"/>
    <s v="10.30_OutsideLighting-System"/>
    <s v="F0227"/>
    <s v="Light Scenario, Parking Light"/>
    <s v="QM"/>
    <s v="Body"/>
    <s v="External Illumination"/>
    <s v="Power Supply"/>
    <s v="Full LED"/>
    <s v="Actuator"/>
    <s v="Headlamp Assy' Full LED Left"/>
    <s v="Headlamp Assy' Full LED Left - Power Supply"/>
    <m/>
    <m/>
    <s v="-6;-17"/>
    <s v="TE"/>
    <s v="2109441-2"/>
    <s v="8 Pos. MCP 2,8mm Sealed"/>
    <m/>
    <s v="No"/>
    <s v="Yes"/>
    <s v="No"/>
    <n v="0.24"/>
    <n v="0.24"/>
    <n v="0.43742166396542409"/>
    <n v="0.55032414910858996"/>
  </r>
  <r>
    <x v="112"/>
    <s v="37.0_ADAS &amp; AutomatedDriving"/>
    <s v="37.01_LightingAssistant-System"/>
    <s v="F0145"/>
    <s v="Light Assist, High Beam Automatic"/>
    <s v="A"/>
    <s v="Body"/>
    <s v="External Illumination"/>
    <s v="Power Supply"/>
    <s v="Full LED"/>
    <s v="Actuator"/>
    <s v="Headlamp Assy' Full LED Left"/>
    <s v="Headlamp Assy' Full LED Left - Power Supply"/>
    <m/>
    <m/>
    <s v="-6;-17"/>
    <s v="TE"/>
    <s v="2109441-2"/>
    <s v="8 Pos. MCP 2,8mm Sealed"/>
    <m/>
    <s v="No"/>
    <s v="Yes"/>
    <s v="No"/>
    <n v="0.24"/>
    <n v="0.24"/>
    <n v="0.43742166396542409"/>
    <n v="0.55032414910858996"/>
  </r>
  <r>
    <x v="113"/>
    <s v="10.0_Comfort &amp; Exterior"/>
    <s v="10.30_OutsideLighting-System"/>
    <s v="F0028"/>
    <s v="Light Scenario, Comfort Direction Indication"/>
    <s v="A"/>
    <s v="Body"/>
    <s v="External Illumination"/>
    <s v="Turn Signal L"/>
    <s v="Basic"/>
    <s v="Actuator"/>
    <s v="Side Repeater FL"/>
    <s v="Side Repeater FL - Turn Signal L"/>
    <m/>
    <m/>
    <s v="21;-23"/>
    <m/>
    <m/>
    <m/>
    <m/>
    <s v="No"/>
    <s v="Yes"/>
    <s v="Yes"/>
    <n v="0.3"/>
    <n v="0.1"/>
    <n v="0.3"/>
    <n v="0.1"/>
  </r>
  <r>
    <x v="113"/>
    <s v="10.0_Comfort &amp; Exterior"/>
    <s v="10.30_OutsideLighting-System"/>
    <s v="F0228"/>
    <s v="Surround Lighting, Hazard Light"/>
    <s v="A"/>
    <s v="Body"/>
    <s v="External Illumination"/>
    <s v="Turn Signal L"/>
    <s v="Basic"/>
    <s v="Actuator"/>
    <s v="Side Repeater FL"/>
    <s v="Side Repeater FL - Turn Signal L"/>
    <m/>
    <m/>
    <s v="21;-23"/>
    <m/>
    <m/>
    <m/>
    <m/>
    <s v="No"/>
    <s v="Yes"/>
    <s v="Yes"/>
    <n v="0.3"/>
    <n v="0.1"/>
    <n v="0.3"/>
    <n v="0.1"/>
  </r>
  <r>
    <x v="113"/>
    <s v="10.0_Comfort &amp; Exterior"/>
    <s v="10.30_OutsideLighting-System"/>
    <s v="F0229"/>
    <s v="Surround Lighting, Turning Light"/>
    <s v="A"/>
    <s v="Body"/>
    <s v="External Illumination"/>
    <s v="Turn Signal L"/>
    <s v="Basic"/>
    <s v="Actuator"/>
    <s v="Side Repeater FL"/>
    <s v="Side Repeater FL - Turn Signal L"/>
    <m/>
    <m/>
    <s v="21;-23"/>
    <m/>
    <m/>
    <m/>
    <m/>
    <s v="No"/>
    <s v="Yes"/>
    <s v="Yes"/>
    <n v="0.3"/>
    <n v="0.1"/>
    <n v="0.3"/>
    <n v="0.1"/>
  </r>
  <r>
    <x v="114"/>
    <s v="10.0_Comfort &amp; Exterior"/>
    <s v="10.30_OutsideLighting-System"/>
    <s v="F0028"/>
    <s v="Light Scenario, Comfort Direction Indication"/>
    <s v="A"/>
    <s v="Body"/>
    <s v="External Illumination"/>
    <s v="Turn Signal R"/>
    <s v="Basic"/>
    <s v="Actuator"/>
    <s v="Side Repeater FR"/>
    <s v="Side Repeater FR - Turn Signal R"/>
    <m/>
    <m/>
    <s v="21;23"/>
    <m/>
    <m/>
    <m/>
    <m/>
    <s v="No"/>
    <s v="Yes"/>
    <s v="Yes"/>
    <n v="0.3"/>
    <n v="0.1"/>
    <n v="0.3"/>
    <n v="0.1"/>
  </r>
  <r>
    <x v="114"/>
    <s v="10.0_Comfort &amp; Exterior"/>
    <s v="10.30_OutsideLighting-System"/>
    <s v="F0228"/>
    <s v="Surround Lighting, Hazard Light"/>
    <s v="A"/>
    <s v="Body"/>
    <s v="External Illumination"/>
    <s v="Turn Signal R"/>
    <s v="Basic"/>
    <s v="Actuator"/>
    <s v="Side Repeater FR"/>
    <s v="Side Repeater FR - Turn Signal R"/>
    <m/>
    <m/>
    <s v="21;23"/>
    <m/>
    <m/>
    <m/>
    <m/>
    <s v="No"/>
    <s v="Yes"/>
    <s v="Yes"/>
    <n v="0.3"/>
    <n v="0.1"/>
    <n v="0.3"/>
    <n v="0.1"/>
  </r>
  <r>
    <x v="114"/>
    <s v="10.0_Comfort &amp; Exterior"/>
    <s v="10.30_OutsideLighting-System"/>
    <s v="F0229"/>
    <s v="Surround Lighting, Turning Light"/>
    <s v="A"/>
    <s v="Body"/>
    <s v="External Illumination"/>
    <s v="Turn Signal R"/>
    <s v="Basic"/>
    <s v="Actuator"/>
    <s v="Side Repeater FR"/>
    <s v="Side Repeater FR - Turn Signal R"/>
    <m/>
    <m/>
    <s v="21;23"/>
    <m/>
    <m/>
    <m/>
    <m/>
    <s v="No"/>
    <s v="Yes"/>
    <s v="Yes"/>
    <n v="0.3"/>
    <n v="0.1"/>
    <n v="0.3"/>
    <n v="0.1"/>
  </r>
  <r>
    <x v="115"/>
    <s v="10.0_Comfort &amp; Exterior"/>
    <s v="10.40_Wiping-System"/>
    <s v="F0118"/>
    <s v="Wiper Front"/>
    <s v="A"/>
    <s v="Body"/>
    <s v="Wiper/Washer"/>
    <s v="Front Wiper"/>
    <s v="Basic"/>
    <s v="Actuator"/>
    <s v="Wiper Motor"/>
    <s v="Wiper Motor - Front Wiper"/>
    <m/>
    <m/>
    <s v="22;-9"/>
    <s v="TE"/>
    <s v="1-1718562-1"/>
    <s v="4 Pos. MCP 2,8mm Sealed"/>
    <s v="No"/>
    <s v="Yes"/>
    <s v="Yes"/>
    <s v="No"/>
    <n v="0"/>
    <n v="0"/>
    <n v="0.5"/>
    <n v="1"/>
  </r>
  <r>
    <x v="116"/>
    <s v="10.0_Comfort &amp; Exterior"/>
    <s v="10.41_Washing-System"/>
    <s v="F0222"/>
    <s v="Washing Front, not heatable"/>
    <s v="QM"/>
    <s v="Body"/>
    <s v="Wiper/Washer"/>
    <s v="Windshield and Rear Window Washer"/>
    <s v="Basic"/>
    <s v="Actuator"/>
    <s v="Washer Pump Dual"/>
    <s v="Washer Pump Dual - Windshield and Rear Window Washer"/>
    <m/>
    <m/>
    <s v="16;18"/>
    <s v="TE"/>
    <s v="1-1355200-1"/>
    <s v="2 Pos. MCP 2,8mm Sealed"/>
    <s v="No"/>
    <s v="No"/>
    <s v="Yes"/>
    <s v="Yes"/>
    <n v="0"/>
    <n v="8.3333333333333332E-3"/>
    <n v="1.6666666666666666E-2"/>
    <n v="1.6666666666666666E-2"/>
  </r>
  <r>
    <x v="117"/>
    <s v="10.0_Comfort &amp; Exterior"/>
    <s v="10.50_ExteriorHeating-System"/>
    <s v="F0061"/>
    <s v="Heating Windshield"/>
    <s v="QM"/>
    <s v="Comfort"/>
    <s v="Windshield Heating"/>
    <s v="Windshield Deffogging"/>
    <s v="with Windshield Heating"/>
    <s v="Actuator"/>
    <s v="Windshield Heater L"/>
    <s v="Windshield Heater L - Windshield Deffogging"/>
    <m/>
    <m/>
    <s v="26;15"/>
    <s v="TE"/>
    <s v="936619-2"/>
    <s v="2 Pos. MCP 9,5mm Unselaed"/>
    <m/>
    <s v="No"/>
    <s v="Yes"/>
    <s v="Yes"/>
    <n v="0"/>
    <n v="0.25"/>
    <n v="0.25"/>
    <n v="0.1"/>
  </r>
  <r>
    <x v="118"/>
    <s v="10.0_Comfort &amp; Exterior"/>
    <s v="10.50_ExteriorHeating-System"/>
    <s v="F0061"/>
    <s v="Heating Windshield"/>
    <s v="QM"/>
    <s v="Comfort"/>
    <s v="Windshield Heating"/>
    <s v="Windshield Deffogging"/>
    <s v="with Windshield Heating"/>
    <s v="Actuator"/>
    <s v="Windshield Heater R"/>
    <s v="Windshield Heater R - Windshield Deffogging"/>
    <m/>
    <m/>
    <s v="26;15"/>
    <s v="TE"/>
    <s v="1355328-1"/>
    <s v="2 Pos. MCP 9,5mm Sealed"/>
    <m/>
    <s v="No"/>
    <s v="Yes"/>
    <s v="Yes"/>
    <n v="0"/>
    <n v="0.25"/>
    <n v="0.25"/>
    <n v="0.1"/>
  </r>
  <r>
    <x v="119"/>
    <s v="14.0_HMI &amp; OutsideInformation"/>
    <s v="14.11_OutsideInformation-System"/>
    <s v="F0268"/>
    <s v="External Sound,  AVAS-Generator"/>
    <s v="TBD"/>
    <s v="Drive Assistance"/>
    <s v="Warning"/>
    <s v="Pedestrian Warning"/>
    <s v="EV"/>
    <s v="Loudspeaker"/>
    <s v="Warning"/>
    <s v="Warning - Pedestrian Warning"/>
    <m/>
    <m/>
    <s v="-13;0"/>
    <s v="TE"/>
    <s v="1745096-1"/>
    <s v="2 Pos. Superseal 1,5mm Sealed"/>
    <m/>
    <s v="No"/>
    <s v="No"/>
    <s v="Yes"/>
    <n v="0"/>
    <n v="0"/>
    <n v="0"/>
    <n v="0"/>
  </r>
  <r>
    <x v="120"/>
    <s v="10.0_Comfort &amp; Exterior"/>
    <s v="10.20_Mirroring-System"/>
    <s v="F0249"/>
    <s v="Outside Mirror Camera"/>
    <m/>
    <s v="Drive Assistance"/>
    <s v="Automated Driving"/>
    <s v="Reward View Left"/>
    <s v="L2/L2+/L3"/>
    <s v="Camera"/>
    <s v="Repeater Cam Left"/>
    <s v="Repeater Cam Left - Reward View Left"/>
    <m/>
    <m/>
    <s v="21;-23"/>
    <s v="TE"/>
    <s v="1452581-2"/>
    <s v="1 Pos. Fakra II Unsealed"/>
    <m/>
    <s v="No"/>
    <s v="Yes"/>
    <s v="No"/>
    <n v="1"/>
    <n v="1"/>
    <n v="1"/>
    <n v="1"/>
  </r>
  <r>
    <x v="120"/>
    <s v="10.0_Comfort &amp; Exterior"/>
    <s v="10.20_Mirroring-System"/>
    <s v="F0912"/>
    <s v="Surround View, 3D-View"/>
    <m/>
    <s v="Drive Assistance"/>
    <s v="Automated Driving"/>
    <s v="Reward View Left"/>
    <s v="L2/L2+/L3"/>
    <s v="Camera"/>
    <s v="Repeater Cam Left"/>
    <s v="Repeater Cam Left - Reward View Left"/>
    <m/>
    <m/>
    <s v="21;-23"/>
    <s v="TE"/>
    <s v="1452581-2"/>
    <s v="1 Pos. Fakra II Unsealed"/>
    <m/>
    <s v="No"/>
    <s v="Yes"/>
    <s v="No"/>
    <n v="1"/>
    <n v="1"/>
    <n v="1"/>
    <n v="1"/>
  </r>
  <r>
    <x v="120"/>
    <s v="37.0_ADAS &amp; AutomatedDriving"/>
    <s v="37.02_Alerting-System"/>
    <s v="F0599"/>
    <s v="Event Recorder, Video Capturing"/>
    <m/>
    <s v="Drive Assistance"/>
    <s v="Automated Driving"/>
    <s v="Reward View Left"/>
    <s v="L2/L2+/L3"/>
    <s v="Camera"/>
    <s v="Repeater Cam Left"/>
    <s v="Repeater Cam Left - Reward View Left"/>
    <m/>
    <m/>
    <s v="21;-23"/>
    <s v="TE"/>
    <s v="1452581-2"/>
    <s v="1 Pos. Fakra II Unsealed"/>
    <m/>
    <s v="No"/>
    <s v="Yes"/>
    <s v="No"/>
    <n v="1"/>
    <n v="1"/>
    <n v="1"/>
    <n v="1"/>
  </r>
  <r>
    <x v="120"/>
    <s v="37.0_ADAS &amp; AutomatedDriving"/>
    <s v="37.20_Parking-System"/>
    <s v="F0155"/>
    <s v="Park Assist, Front"/>
    <m/>
    <s v="Drive Assistance"/>
    <s v="Automated Driving"/>
    <s v="Reward View Left"/>
    <s v="L2/L2+/L3"/>
    <s v="Camera"/>
    <s v="Repeater Cam Left"/>
    <s v="Repeater Cam Left - Reward View Left"/>
    <m/>
    <m/>
    <s v="21;-23"/>
    <s v="TE"/>
    <s v="1452581-2"/>
    <s v="1 Pos. Fakra II Unsealed"/>
    <m/>
    <s v="No"/>
    <s v="Yes"/>
    <s v="No"/>
    <n v="1"/>
    <n v="1"/>
    <n v="1"/>
    <n v="1"/>
  </r>
  <r>
    <x v="120"/>
    <s v="37.0_ADAS &amp; AutomatedDriving"/>
    <s v="37.20_Parking-System"/>
    <s v="F0156"/>
    <s v="Park Assist, Rear"/>
    <m/>
    <s v="Drive Assistance"/>
    <s v="Automated Driving"/>
    <s v="Reward View Left"/>
    <s v="L2/L2+/L3"/>
    <s v="Camera"/>
    <s v="Repeater Cam Left"/>
    <s v="Repeater Cam Left - Reward View Left"/>
    <m/>
    <m/>
    <s v="21;-23"/>
    <s v="TE"/>
    <s v="1452581-2"/>
    <s v="1 Pos. Fakra II Unsealed"/>
    <m/>
    <s v="No"/>
    <s v="Yes"/>
    <s v="No"/>
    <n v="1"/>
    <n v="1"/>
    <n v="1"/>
    <n v="1"/>
  </r>
  <r>
    <x v="120"/>
    <s v="37.0_ADAS &amp; AutomatedDriving"/>
    <s v="37.20_Parking-System"/>
    <s v="F0314"/>
    <s v="Parking Pilot, Valet Parking"/>
    <m/>
    <s v="Drive Assistance"/>
    <s v="Automated Driving"/>
    <s v="Reward View Left"/>
    <s v="L2/L2+/L3"/>
    <s v="Camera"/>
    <s v="Repeater Cam Left"/>
    <s v="Repeater Cam Left - Reward View Left"/>
    <m/>
    <m/>
    <s v="21;-23"/>
    <s v="TE"/>
    <s v="1452581-2"/>
    <s v="1 Pos. Fakra II Unsealed"/>
    <m/>
    <s v="No"/>
    <s v="Yes"/>
    <s v="No"/>
    <n v="1"/>
    <n v="1"/>
    <n v="1"/>
    <n v="1"/>
  </r>
  <r>
    <x v="120"/>
    <s v="37.0_ADAS &amp; AutomatedDriving"/>
    <s v="37.20_Parking-System"/>
    <s v="F0536"/>
    <s v="Parking Pilot, Trained Parking"/>
    <m/>
    <s v="Drive Assistance"/>
    <s v="Automated Driving"/>
    <s v="Reward View Left"/>
    <s v="L2/L2+/L3"/>
    <s v="Camera"/>
    <s v="Repeater Cam Left"/>
    <s v="Repeater Cam Left - Reward View Left"/>
    <m/>
    <m/>
    <s v="21;-23"/>
    <s v="TE"/>
    <s v="1452581-2"/>
    <s v="1 Pos. Fakra II Unsealed"/>
    <m/>
    <s v="No"/>
    <s v="Yes"/>
    <s v="No"/>
    <n v="1"/>
    <n v="1"/>
    <n v="1"/>
    <n v="1"/>
  </r>
  <r>
    <x v="120"/>
    <s v="37.0_ADAS &amp; AutomatedDriving"/>
    <s v="37.20_Parking-System"/>
    <s v="F1301"/>
    <s v="Drive Away Assist"/>
    <m/>
    <s v="Drive Assistance"/>
    <s v="Automated Driving"/>
    <s v="Reward View Left"/>
    <s v="L2/L2+/L3"/>
    <s v="Camera"/>
    <s v="Repeater Cam Left"/>
    <s v="Repeater Cam Left - Reward View Left"/>
    <m/>
    <m/>
    <s v="21;-23"/>
    <s v="TE"/>
    <s v="1452581-2"/>
    <s v="1 Pos. Fakra II Unsealed"/>
    <m/>
    <s v="No"/>
    <s v="Yes"/>
    <s v="No"/>
    <n v="1"/>
    <n v="1"/>
    <n v="1"/>
    <n v="1"/>
  </r>
  <r>
    <x v="120"/>
    <s v="37.0_ADAS &amp; AutomatedDriving"/>
    <s v="37.20_Parking-System"/>
    <s v="F1304"/>
    <s v="Park Assist, Side"/>
    <m/>
    <s v="Drive Assistance"/>
    <s v="Automated Driving"/>
    <s v="Reward View Left"/>
    <s v="L2/L2+/L3"/>
    <s v="Camera"/>
    <s v="Repeater Cam Left"/>
    <s v="Repeater Cam Left - Reward View Left"/>
    <m/>
    <m/>
    <s v="21;-23"/>
    <s v="TE"/>
    <s v="1452581-2"/>
    <s v="1 Pos. Fakra II Unsealed"/>
    <m/>
    <s v="No"/>
    <s v="Yes"/>
    <s v="No"/>
    <n v="1"/>
    <n v="1"/>
    <n v="1"/>
    <n v="1"/>
  </r>
  <r>
    <x v="120"/>
    <s v="37.0_ADAS &amp; AutomatedDriving"/>
    <s v="37.20_Parking-System"/>
    <s v="F2003"/>
    <s v="Automatic Parking Support"/>
    <m/>
    <s v="Drive Assistance"/>
    <s v="Automated Driving"/>
    <s v="Reward View Left"/>
    <s v="L2/L2+/L3"/>
    <s v="Camera"/>
    <s v="Repeater Cam Left"/>
    <s v="Repeater Cam Left - Reward View Left"/>
    <m/>
    <m/>
    <s v="21;-23"/>
    <s v="TE"/>
    <s v="1452581-2"/>
    <s v="1 Pos. Fakra II Unsealed"/>
    <m/>
    <s v="No"/>
    <s v="Yes"/>
    <s v="No"/>
    <n v="1"/>
    <n v="1"/>
    <n v="1"/>
    <n v="1"/>
  </r>
  <r>
    <x v="120"/>
    <s v="37.0_ADAS &amp; AutomatedDriving"/>
    <s v="37.30_Piloting-System"/>
    <s v="F0332"/>
    <s v="Pilot, Traffic Jam"/>
    <m/>
    <s v="Drive Assistance"/>
    <s v="Automated Driving"/>
    <s v="Reward View Left"/>
    <s v="L2/L2+/L3"/>
    <s v="Camera"/>
    <s v="Repeater Cam Left"/>
    <s v="Repeater Cam Left - Reward View Left"/>
    <m/>
    <m/>
    <s v="21;-23"/>
    <s v="TE"/>
    <s v="1452581-2"/>
    <s v="1 Pos. Fakra II Unsealed"/>
    <m/>
    <s v="No"/>
    <s v="Yes"/>
    <s v="No"/>
    <n v="1"/>
    <n v="1"/>
    <n v="1"/>
    <n v="1"/>
  </r>
  <r>
    <x v="120"/>
    <s v="37.0_ADAS &amp; AutomatedDriving"/>
    <s v="37.30_Piloting-System"/>
    <s v="F0915"/>
    <s v="Pilot, Rush Hour"/>
    <m/>
    <s v="Drive Assistance"/>
    <s v="Automated Driving"/>
    <s v="Reward View Left"/>
    <s v="L2/L2+/L3"/>
    <s v="Camera"/>
    <s v="Repeater Cam Left"/>
    <s v="Repeater Cam Left - Reward View Left"/>
    <m/>
    <m/>
    <s v="21;-23"/>
    <s v="TE"/>
    <s v="1452581-2"/>
    <s v="1 Pos. Fakra II Unsealed"/>
    <m/>
    <s v="No"/>
    <s v="Yes"/>
    <s v="No"/>
    <n v="1"/>
    <n v="1"/>
    <n v="1"/>
    <n v="1"/>
  </r>
  <r>
    <x v="120"/>
    <s v="37.0_ADAS &amp; AutomatedDriving"/>
    <s v="37.30_Piloting-System"/>
    <s v="F1042"/>
    <s v="Pilot, Remote Operation"/>
    <m/>
    <s v="Drive Assistance"/>
    <s v="Automated Driving"/>
    <s v="Reward View Left"/>
    <s v="L2/L2+/L3"/>
    <s v="Camera"/>
    <s v="Repeater Cam Left"/>
    <s v="Repeater Cam Left - Reward View Left"/>
    <m/>
    <m/>
    <s v="21;-23"/>
    <s v="TE"/>
    <s v="1452581-2"/>
    <s v="1 Pos. Fakra II Unsealed"/>
    <m/>
    <s v="No"/>
    <s v="Yes"/>
    <s v="No"/>
    <n v="1"/>
    <n v="1"/>
    <n v="1"/>
    <n v="1"/>
  </r>
  <r>
    <x v="121"/>
    <s v="10.0_Comfort &amp; Exterior"/>
    <s v="10.20_Mirroring-System"/>
    <s v="F0249"/>
    <s v="Outside Mirror Camera"/>
    <m/>
    <s v="Drive Assistance"/>
    <s v="Automated Driving"/>
    <s v="Reward View Right"/>
    <s v="L2/L2+/L3"/>
    <s v="Camera"/>
    <s v="Repeater Cam Right"/>
    <s v="Repeater Cam Right - Reward View Right"/>
    <m/>
    <m/>
    <s v="21;23"/>
    <s v="TE"/>
    <s v="1452581-2"/>
    <s v="1 Pos. Fakra II Unsealed"/>
    <m/>
    <s v="No"/>
    <s v="Yes"/>
    <s v="No"/>
    <n v="1"/>
    <n v="1"/>
    <n v="1"/>
    <n v="1"/>
  </r>
  <r>
    <x v="121"/>
    <s v="10.0_Comfort &amp; Exterior"/>
    <s v="10.20_Mirroring-System"/>
    <s v="F0912"/>
    <s v="Surround View, 3D-View"/>
    <m/>
    <s v="Drive Assistance"/>
    <s v="Automated Driving"/>
    <s v="Reward View Right"/>
    <s v="L2/L2+/L3"/>
    <s v="Camera"/>
    <s v="Repeater Cam Right"/>
    <s v="Repeater Cam Right - Reward View Right"/>
    <m/>
    <m/>
    <s v="21;23"/>
    <s v="TE"/>
    <s v="1452581-2"/>
    <s v="1 Pos. Fakra II Unsealed"/>
    <m/>
    <s v="No"/>
    <s v="Yes"/>
    <s v="No"/>
    <n v="1"/>
    <n v="1"/>
    <n v="1"/>
    <n v="1"/>
  </r>
  <r>
    <x v="121"/>
    <s v="37.0_ADAS &amp; AutomatedDriving"/>
    <s v="37.02_Alerting-System"/>
    <s v="F0599"/>
    <s v="Event Recorder, Video Capturing"/>
    <m/>
    <s v="Drive Assistance"/>
    <s v="Automated Driving"/>
    <s v="Reward View Right"/>
    <s v="L2/L2+/L3"/>
    <s v="Camera"/>
    <s v="Repeater Cam Right"/>
    <s v="Repeater Cam Right - Reward View Right"/>
    <m/>
    <m/>
    <s v="21;23"/>
    <s v="TE"/>
    <s v="1452581-2"/>
    <s v="1 Pos. Fakra II Unsealed"/>
    <m/>
    <s v="No"/>
    <s v="Yes"/>
    <s v="No"/>
    <n v="1"/>
    <n v="1"/>
    <n v="1"/>
    <n v="1"/>
  </r>
  <r>
    <x v="121"/>
    <s v="37.0_ADAS &amp; AutomatedDriving"/>
    <s v="37.20_Parking-System"/>
    <s v="F0155"/>
    <s v="Park Assist, Front"/>
    <m/>
    <s v="Drive Assistance"/>
    <s v="Automated Driving"/>
    <s v="Reward View Right"/>
    <s v="L2/L2+/L3"/>
    <s v="Camera"/>
    <s v="Repeater Cam Right"/>
    <s v="Repeater Cam Right - Reward View Right"/>
    <m/>
    <m/>
    <s v="21;23"/>
    <s v="TE"/>
    <s v="1452581-2"/>
    <s v="1 Pos. Fakra II Unsealed"/>
    <m/>
    <s v="No"/>
    <s v="Yes"/>
    <s v="No"/>
    <n v="1"/>
    <n v="1"/>
    <n v="1"/>
    <n v="1"/>
  </r>
  <r>
    <x v="121"/>
    <s v="37.0_ADAS &amp; AutomatedDriving"/>
    <s v="37.20_Parking-System"/>
    <s v="F0156"/>
    <s v="Park Assist, Rear"/>
    <m/>
    <s v="Drive Assistance"/>
    <s v="Automated Driving"/>
    <s v="Reward View Right"/>
    <s v="L2/L2+/L3"/>
    <s v="Camera"/>
    <s v="Repeater Cam Right"/>
    <s v="Repeater Cam Right - Reward View Right"/>
    <m/>
    <m/>
    <s v="21;23"/>
    <s v="TE"/>
    <s v="1452581-2"/>
    <s v="1 Pos. Fakra II Unsealed"/>
    <m/>
    <s v="No"/>
    <s v="Yes"/>
    <s v="No"/>
    <n v="1"/>
    <n v="1"/>
    <n v="1"/>
    <n v="1"/>
  </r>
  <r>
    <x v="121"/>
    <s v="37.0_ADAS &amp; AutomatedDriving"/>
    <s v="37.20_Parking-System"/>
    <s v="F0314"/>
    <s v="Parking Pilot, Valet Parking"/>
    <m/>
    <s v="Drive Assistance"/>
    <s v="Automated Driving"/>
    <s v="Reward View Right"/>
    <s v="L2/L2+/L3"/>
    <s v="Camera"/>
    <s v="Repeater Cam Right"/>
    <s v="Repeater Cam Right - Reward View Right"/>
    <m/>
    <m/>
    <s v="21;23"/>
    <s v="TE"/>
    <s v="1452581-2"/>
    <s v="1 Pos. Fakra II Unsealed"/>
    <m/>
    <s v="No"/>
    <s v="Yes"/>
    <s v="No"/>
    <n v="1"/>
    <n v="1"/>
    <n v="1"/>
    <n v="1"/>
  </r>
  <r>
    <x v="121"/>
    <s v="37.0_ADAS &amp; AutomatedDriving"/>
    <s v="37.20_Parking-System"/>
    <s v="F0536"/>
    <s v="Parking Pilot, Trained Parking"/>
    <m/>
    <s v="Drive Assistance"/>
    <s v="Automated Driving"/>
    <s v="Reward View Right"/>
    <s v="L2/L2+/L3"/>
    <s v="Camera"/>
    <s v="Repeater Cam Right"/>
    <s v="Repeater Cam Right - Reward View Right"/>
    <m/>
    <m/>
    <s v="21;23"/>
    <s v="TE"/>
    <s v="1452581-2"/>
    <s v="1 Pos. Fakra II Unsealed"/>
    <m/>
    <s v="No"/>
    <s v="Yes"/>
    <s v="No"/>
    <n v="1"/>
    <n v="1"/>
    <n v="1"/>
    <n v="1"/>
  </r>
  <r>
    <x v="121"/>
    <s v="37.0_ADAS &amp; AutomatedDriving"/>
    <s v="37.20_Parking-System"/>
    <s v="F1301"/>
    <s v="Drive Away Assist"/>
    <m/>
    <s v="Drive Assistance"/>
    <s v="Automated Driving"/>
    <s v="Reward View Right"/>
    <s v="L2/L2+/L3"/>
    <s v="Camera"/>
    <s v="Repeater Cam Right"/>
    <s v="Repeater Cam Right - Reward View Right"/>
    <m/>
    <m/>
    <s v="21;23"/>
    <s v="TE"/>
    <s v="1452581-2"/>
    <s v="1 Pos. Fakra II Unsealed"/>
    <m/>
    <s v="No"/>
    <s v="Yes"/>
    <s v="No"/>
    <n v="1"/>
    <n v="1"/>
    <n v="1"/>
    <n v="1"/>
  </r>
  <r>
    <x v="121"/>
    <s v="37.0_ADAS &amp; AutomatedDriving"/>
    <s v="37.20_Parking-System"/>
    <s v="F1304"/>
    <s v="Park Assist, Side"/>
    <m/>
    <s v="Drive Assistance"/>
    <s v="Automated Driving"/>
    <s v="Reward View Right"/>
    <s v="L2/L2+/L3"/>
    <s v="Camera"/>
    <s v="Repeater Cam Right"/>
    <s v="Repeater Cam Right - Reward View Right"/>
    <m/>
    <m/>
    <s v="21;23"/>
    <s v="TE"/>
    <s v="1452581-2"/>
    <s v="1 Pos. Fakra II Unsealed"/>
    <m/>
    <s v="No"/>
    <s v="Yes"/>
    <s v="No"/>
    <n v="1"/>
    <n v="1"/>
    <n v="1"/>
    <n v="1"/>
  </r>
  <r>
    <x v="121"/>
    <s v="37.0_ADAS &amp; AutomatedDriving"/>
    <s v="37.20_Parking-System"/>
    <s v="F2003"/>
    <s v="Automatic Parking Support"/>
    <m/>
    <s v="Drive Assistance"/>
    <s v="Automated Driving"/>
    <s v="Reward View Right"/>
    <s v="L2/L2+/L3"/>
    <s v="Camera"/>
    <s v="Repeater Cam Right"/>
    <s v="Repeater Cam Right - Reward View Right"/>
    <m/>
    <m/>
    <s v="21;23"/>
    <s v="TE"/>
    <s v="1452581-2"/>
    <s v="1 Pos. Fakra II Unsealed"/>
    <m/>
    <s v="No"/>
    <s v="Yes"/>
    <s v="No"/>
    <n v="1"/>
    <n v="1"/>
    <n v="1"/>
    <n v="1"/>
  </r>
  <r>
    <x v="121"/>
    <s v="37.0_ADAS &amp; AutomatedDriving"/>
    <s v="37.30_Piloting-System"/>
    <s v="F0332"/>
    <s v="Pilot, Traffic Jam"/>
    <m/>
    <s v="Drive Assistance"/>
    <s v="Automated Driving"/>
    <s v="Reward View Right"/>
    <s v="L2/L2+/L3"/>
    <s v="Camera"/>
    <s v="Repeater Cam Right"/>
    <s v="Repeater Cam Right - Reward View Right"/>
    <m/>
    <m/>
    <s v="21;23"/>
    <s v="TE"/>
    <s v="1452581-2"/>
    <s v="1 Pos. Fakra II Unsealed"/>
    <m/>
    <s v="No"/>
    <s v="Yes"/>
    <s v="No"/>
    <n v="1"/>
    <n v="1"/>
    <n v="1"/>
    <n v="1"/>
  </r>
  <r>
    <x v="121"/>
    <s v="37.0_ADAS &amp; AutomatedDriving"/>
    <s v="37.30_Piloting-System"/>
    <s v="F0915"/>
    <s v="Pilot, Rush Hour"/>
    <m/>
    <s v="Drive Assistance"/>
    <s v="Automated Driving"/>
    <s v="Reward View Right"/>
    <s v="L2/L2+/L3"/>
    <s v="Camera"/>
    <s v="Repeater Cam Right"/>
    <s v="Repeater Cam Right - Reward View Right"/>
    <m/>
    <m/>
    <s v="21;23"/>
    <s v="TE"/>
    <s v="1452581-2"/>
    <s v="1 Pos. Fakra II Unsealed"/>
    <m/>
    <s v="No"/>
    <s v="Yes"/>
    <s v="No"/>
    <n v="1"/>
    <n v="1"/>
    <n v="1"/>
    <n v="1"/>
  </r>
  <r>
    <x v="121"/>
    <s v="37.0_ADAS &amp; AutomatedDriving"/>
    <s v="37.30_Piloting-System"/>
    <s v="F1042"/>
    <s v="Pilot, Remote Operation"/>
    <m/>
    <s v="Drive Assistance"/>
    <s v="Automated Driving"/>
    <s v="Reward View Right"/>
    <s v="L2/L2+/L3"/>
    <s v="Camera"/>
    <s v="Repeater Cam Right"/>
    <s v="Repeater Cam Right - Reward View Right"/>
    <m/>
    <m/>
    <s v="21;23"/>
    <s v="TE"/>
    <s v="1452581-2"/>
    <s v="1 Pos. Fakra II Unsealed"/>
    <m/>
    <s v="No"/>
    <s v="Yes"/>
    <s v="No"/>
    <n v="1"/>
    <n v="1"/>
    <n v="1"/>
    <n v="1"/>
  </r>
  <r>
    <x v="122"/>
    <s v="16.0_Comfort &amp; Safety"/>
    <s v="16.12_CrashHandling-System"/>
    <s v="F0641"/>
    <s v="Crashdetection, HV-Safety"/>
    <m/>
    <s v="Powertrain"/>
    <s v="HV Battery"/>
    <s v="Battery Disconnect"/>
    <s v="EV"/>
    <s v="Switch"/>
    <s v="Contactor Disconnect"/>
    <s v="Contactor Disconnect - Battery Disconnect"/>
    <m/>
    <m/>
    <m/>
    <m/>
    <m/>
    <m/>
    <m/>
    <m/>
    <m/>
    <m/>
    <m/>
    <m/>
    <m/>
    <m/>
  </r>
  <r>
    <x v="122"/>
    <s v="38.0_E-Drive &amp; HV-Safety"/>
    <s v="38.10 HVBordnet&amp;Safety-System"/>
    <s v="F0086"/>
    <s v="HV-Safety, Zero Potential Detection"/>
    <s v="A"/>
    <s v="Powertrain"/>
    <s v="HV Battery"/>
    <s v="Battery Disconnect"/>
    <s v="EV"/>
    <s v="Switch"/>
    <s v="Contactor Disconnect"/>
    <s v="Contactor Disconnect - Battery Disconnect"/>
    <m/>
    <m/>
    <m/>
    <m/>
    <m/>
    <m/>
    <m/>
    <m/>
    <m/>
    <m/>
    <m/>
    <m/>
    <m/>
    <m/>
  </r>
  <r>
    <x v="122"/>
    <s v="38.0_E-Drive &amp; HV-Safety"/>
    <s v="38.10 HVBordnet&amp;Safety-System"/>
    <s v="F0276"/>
    <s v="HV-Safety, Isolation Observation"/>
    <s v="A"/>
    <s v="Powertrain"/>
    <s v="HV Battery"/>
    <s v="Battery Disconnect"/>
    <s v="EV"/>
    <s v="Switch"/>
    <s v="Contactor Disconnect"/>
    <s v="Contactor Disconnect - Battery Disconnect"/>
    <m/>
    <m/>
    <m/>
    <m/>
    <m/>
    <m/>
    <m/>
    <m/>
    <m/>
    <m/>
    <m/>
    <m/>
    <m/>
    <m/>
  </r>
  <r>
    <x v="122"/>
    <s v="38.0_E-Drive &amp; HV-Safety"/>
    <s v="38.10 HVBordnet&amp;Safety-System"/>
    <s v="F0473"/>
    <s v="HV-Safety, HV-Battery Crash-Deactivation (Service Reversible)"/>
    <s v="A"/>
    <s v="Powertrain"/>
    <s v="HV Battery"/>
    <s v="Battery Disconnect"/>
    <s v="EV"/>
    <s v="Switch"/>
    <s v="Contactor Disconnect"/>
    <s v="Contactor Disconnect - Battery Disconnect"/>
    <m/>
    <m/>
    <m/>
    <m/>
    <m/>
    <m/>
    <m/>
    <m/>
    <m/>
    <m/>
    <m/>
    <m/>
    <m/>
    <m/>
  </r>
  <r>
    <x v="122"/>
    <s v="38.0_E-Drive &amp; HV-Safety"/>
    <s v="38.10 HVBordnet&amp;Safety-System"/>
    <s v="F0474"/>
    <s v="HV-Safety, Service Disconnect"/>
    <s v="A"/>
    <s v="Powertrain"/>
    <s v="HV Battery"/>
    <s v="Battery Disconnect"/>
    <s v="EV"/>
    <s v="Switch"/>
    <s v="Contactor Disconnect"/>
    <s v="Contactor Disconnect - Battery Disconnect"/>
    <m/>
    <m/>
    <m/>
    <m/>
    <m/>
    <m/>
    <m/>
    <m/>
    <m/>
    <m/>
    <m/>
    <m/>
    <m/>
    <m/>
  </r>
  <r>
    <x v="123"/>
    <s v="16.0_Comfort &amp; Safety"/>
    <s v="16.20_Restraint-System"/>
    <s v="F0093"/>
    <s v="Seatbelt Reminder, Driver"/>
    <s v="QM"/>
    <s v="Chassis"/>
    <s v="Airbag"/>
    <s v="Seat Belt"/>
    <s v="RHD"/>
    <s v="Sensor"/>
    <s v="Seat Belt Sensor 1st Row L"/>
    <s v="Seat Belt Sensor 1st Row L - Seat Belt"/>
    <m/>
    <m/>
    <s v="60;-1"/>
    <s v="TE"/>
    <s v="1-1718333-1"/>
    <s v="2 Pos. MQS 0,63mm Unsealed"/>
    <s v="No"/>
    <s v="No"/>
    <s v="No"/>
    <s v="No"/>
    <n v="1"/>
    <n v="1"/>
    <n v="1"/>
    <n v="1"/>
  </r>
  <r>
    <x v="124"/>
    <s v="10.0_Comfort &amp; Exterior"/>
    <s v="10.30_OutsideLighting-System"/>
    <s v="F0780"/>
    <s v="Door Lighting Outside, Door Handle"/>
    <s v="QM"/>
    <s v="Comfort"/>
    <s v="External Illumination"/>
    <s v="Tailgate Illumination"/>
    <s v="With or Without"/>
    <s v="Actuator"/>
    <s v="LED Lamp"/>
    <s v="LED Lamp - Tailgate Illumination"/>
    <m/>
    <m/>
    <s v="113;-6"/>
    <m/>
    <m/>
    <m/>
    <m/>
    <s v="No"/>
    <s v="No"/>
    <s v="Yes"/>
    <n v="0"/>
    <n v="0"/>
    <n v="0"/>
    <n v="0"/>
  </r>
  <r>
    <x v="125"/>
    <s v="13.0_Comfort &amp; Interior"/>
    <s v="13.20_SeatMoving-System"/>
    <s v="F0x10"/>
    <s v="Seats Rear, Release"/>
    <m/>
    <s v="Comfort"/>
    <s v="Seat Adjustment"/>
    <s v="Seat Release 2nd Row Right"/>
    <s v="Power Seats"/>
    <s v="Sensor"/>
    <s v="Sensor"/>
    <s v="Sensor - Seat Release 2nd Row Right"/>
    <m/>
    <m/>
    <s v="63;1"/>
    <m/>
    <m/>
    <m/>
    <m/>
    <s v="No"/>
    <s v="No"/>
    <s v="Yes"/>
    <n v="0"/>
    <n v="0"/>
    <n v="0"/>
    <n v="0"/>
  </r>
  <r>
    <x v="126"/>
    <s v="13.0_Comfort &amp; Interior"/>
    <s v="13.20_SeatMoving-System"/>
    <s v="F0xx9"/>
    <s v="Seats Rear, Position Electric Adjustable"/>
    <m/>
    <s v="Comfort"/>
    <s v="Seat Adjustment"/>
    <s v="Seat Backrest Tilting 2nd Row Right"/>
    <s v="Power Seats"/>
    <s v="Actuator"/>
    <s v="Motor"/>
    <s v="Motor - Seat Backrest Tilting 2nd Row Right"/>
    <m/>
    <m/>
    <s v="63;1"/>
    <s v="TE"/>
    <s v="157420-1"/>
    <s v="2 Pos. JPT 2,8mm Unsealed"/>
    <m/>
    <s v="No"/>
    <s v="No"/>
    <s v="Yes"/>
    <n v="0"/>
    <n v="0"/>
    <n v="0"/>
    <n v="0"/>
  </r>
  <r>
    <x v="127"/>
    <s v="16.0_Comfort &amp; Safety"/>
    <s v="16.20_Restraint-System"/>
    <s v="F0891"/>
    <s v="Seatbelt Reminder, Passenger"/>
    <s v="QM"/>
    <s v="Chassis"/>
    <s v="Airbag"/>
    <s v="Seat Belt"/>
    <s v="RHD"/>
    <s v="Sensor"/>
    <s v="Seat Belt Sensor 1st Row R"/>
    <s v="Seat Belt Sensor 1st Row R - Seat Belt"/>
    <m/>
    <m/>
    <s v="60;1"/>
    <s v="TE"/>
    <s v="1-1718333-1"/>
    <s v="2 Pos. MQS 0,63mm Unsealed"/>
    <s v="No"/>
    <s v="No"/>
    <s v="No"/>
    <s v="No"/>
    <n v="1"/>
    <n v="1"/>
    <n v="1"/>
    <n v="1"/>
  </r>
  <r>
    <x v="128"/>
    <s v="13.0_Comfort &amp; Interior"/>
    <s v="13.20_SeatMoving-System"/>
    <s v="F0xx9"/>
    <s v="Seats Rear, Position Electric Adjustable"/>
    <m/>
    <s v="Comfort"/>
    <s v="Seat Adjustment"/>
    <s v="Seat Backrest Tilting 2nd Row Right"/>
    <s v="Power Seats"/>
    <s v="Switch"/>
    <s v="User Selector"/>
    <s v="User Selector - Seat Backrest Tilting 2nd Row Right"/>
    <m/>
    <m/>
    <s v="63;1"/>
    <s v="TE"/>
    <s v="1-1418639-5"/>
    <s v="2 Pos. MQS 0,63mm Unsealed"/>
    <m/>
    <s v="No"/>
    <s v="No"/>
    <s v="Yes"/>
    <n v="0"/>
    <n v="0"/>
    <n v="0"/>
    <n v="0"/>
  </r>
  <r>
    <x v="129"/>
    <s v="13.0_Comfort &amp; Interior"/>
    <s v="13.20_SeatMoving-System"/>
    <s v="F0xx9"/>
    <s v="Seats Rear, Position Electric Adjustable"/>
    <m/>
    <s v="Comfort"/>
    <s v="Seat Adjustment"/>
    <s v="Seat Backrest Tilting 3rd Row Left"/>
    <s v="Power Seats"/>
    <s v="Switch"/>
    <s v="User Selector"/>
    <s v="User Selector - Seat Backrest Tilting 3rd Row Left"/>
    <m/>
    <m/>
    <s v="96;-17"/>
    <s v="TE"/>
    <s v="1-1418639-5"/>
    <s v="2 Pos. MQS 0,63mm Unsealed"/>
    <m/>
    <s v="No"/>
    <s v="No"/>
    <s v="Yes"/>
    <n v="0"/>
    <n v="0"/>
    <n v="0"/>
    <n v="0"/>
  </r>
  <r>
    <x v="130"/>
    <s v="13.0_Comfort &amp; Interior"/>
    <s v="13.20_SeatMoving-System"/>
    <s v="F0xx9"/>
    <s v="Seats Rear, Position Electric Adjustable"/>
    <m/>
    <s v="Comfort"/>
    <s v="Seat Adjustment"/>
    <s v="Seat Backrest Tilting 3rd Row Right"/>
    <s v="Power Seats"/>
    <s v="Switch"/>
    <s v="User Selector"/>
    <s v="User Selector - Seat Backrest Tilting 3rd Row Right"/>
    <m/>
    <m/>
    <s v="96;17"/>
    <s v="TE"/>
    <s v="1-1418639-5"/>
    <s v="2 Pos. MQS 0,63mm Unsealed"/>
    <m/>
    <s v="No"/>
    <s v="No"/>
    <s v="Yes"/>
    <n v="0"/>
    <n v="0"/>
    <n v="0"/>
    <n v="0"/>
  </r>
  <r>
    <x v="131"/>
    <s v="13.0_Comfort &amp; Interior"/>
    <s v="13.20_SeatMoving-System"/>
    <s v="F0xx9"/>
    <s v="Seats Rear, Position Electric Adjustable"/>
    <m/>
    <s v="Comfort"/>
    <s v="Seat Adjustment"/>
    <s v="Seat Backrest Tilting 3rd Row Left"/>
    <s v="Power Seats"/>
    <s v="Actuator"/>
    <s v="Motor"/>
    <s v="Motor - Seat Backrest Tilting 3rd Row Left"/>
    <m/>
    <m/>
    <s v="96;-17"/>
    <s v="TE"/>
    <s v="157420-1"/>
    <s v="2 Pos. JPT 2,8mm Unsealed"/>
    <m/>
    <s v="No"/>
    <s v="No"/>
    <s v="Yes"/>
    <n v="0"/>
    <n v="0"/>
    <n v="0"/>
    <n v="0"/>
  </r>
  <r>
    <x v="132"/>
    <s v="13.0_Comfort &amp; Interior"/>
    <s v="13.20_SeatMoving-System"/>
    <s v="F0xx9"/>
    <s v="Seats Rear, Position Electric Adjustable"/>
    <m/>
    <s v="Comfort"/>
    <s v="Seat Adjustment"/>
    <s v="Seat Backrest Tilting 3rd Row Right"/>
    <s v="Power Seats"/>
    <s v="Actuator"/>
    <s v="Motor"/>
    <s v="Motor - Seat Backrest Tilting 3rd Row Right"/>
    <m/>
    <m/>
    <s v="96;17"/>
    <s v="TE"/>
    <s v="157420-1"/>
    <s v="2 Pos. JPT 2,8mm Unsealed"/>
    <m/>
    <s v="No"/>
    <s v="No"/>
    <s v="Yes"/>
    <n v="0"/>
    <n v="0"/>
    <n v="0"/>
    <n v="0"/>
  </r>
  <r>
    <x v="133"/>
    <s v="16.0_Comfort &amp; Safety"/>
    <s v="16.20_Restraint-System"/>
    <s v="F0410"/>
    <s v="Seatbelt Reminder, Rear"/>
    <s v="QM"/>
    <s v="Chassis"/>
    <s v="Airbag"/>
    <s v="Seat Belt"/>
    <s v="7 Seats Model"/>
    <s v="Sensor"/>
    <s v="Seat Belt Sensor 3rd Row L"/>
    <s v="Seat Belt Sensor 3rd Row L - Seat Belt"/>
    <m/>
    <m/>
    <s v="99;-2"/>
    <s v="TE"/>
    <s v="1-1718333-1"/>
    <s v="2 Pos. MQS 0,63mm Unsealed"/>
    <s v="No"/>
    <s v="No"/>
    <s v="No"/>
    <s v="Yes"/>
    <n v="1"/>
    <n v="1"/>
    <n v="1"/>
    <n v="1"/>
  </r>
  <r>
    <x v="134"/>
    <s v="16.0_Comfort &amp; Safety"/>
    <s v="16.20_Restraint-System"/>
    <s v="F0410"/>
    <s v="Seatbelt Reminder, Rear"/>
    <s v="QM"/>
    <s v="Chassis"/>
    <s v="Airbag"/>
    <s v="Seat Belt"/>
    <s v="7 Seats Model"/>
    <s v="Sensor"/>
    <s v="Seat Belt Sensor 3rd Row R"/>
    <s v="Seat Belt Sensor 3rd Row R - Seat Belt"/>
    <m/>
    <m/>
    <s v="99;2"/>
    <s v="TE"/>
    <s v="1-1718333-1"/>
    <s v="2 Pos. MQS 0,63mm Unsealed"/>
    <s v="No"/>
    <s v="No"/>
    <s v="No"/>
    <s v="Yes"/>
    <n v="1"/>
    <n v="1"/>
    <n v="1"/>
    <n v="1"/>
  </r>
  <r>
    <x v="135"/>
    <s v="16.0_Comfort &amp; Safety"/>
    <s v="16.30_PassengerDetection-System"/>
    <s v="F0436"/>
    <s v="Passenger Detection, Rear"/>
    <s v="A"/>
    <s v="Chassis"/>
    <s v="Airbag"/>
    <s v="Seat Occupancy Detection"/>
    <s v="7 Seats Model"/>
    <s v="Sensor"/>
    <s v="Seat Occupancy Detection 3rd Row L"/>
    <s v="Seat Occupancy Detection 3rd Row L - Seat Occupancy Detection"/>
    <m/>
    <m/>
    <s v="99;-3"/>
    <s v="TE"/>
    <s v="1-1718333-1"/>
    <s v="2 Pos. MQS 0,63mm Unsealed"/>
    <s v="No"/>
    <s v="No"/>
    <s v="No"/>
    <s v="Yes"/>
    <n v="1"/>
    <n v="1"/>
    <n v="1"/>
    <n v="1"/>
  </r>
  <r>
    <x v="136"/>
    <s v="16.0_Comfort &amp; Safety"/>
    <s v="16.30_PassengerDetection-System"/>
    <s v="F0436"/>
    <s v="Passenger Detection, Rear"/>
    <s v="A"/>
    <s v="Chassis"/>
    <s v="Airbag"/>
    <s v="Seat Occupancy Detection"/>
    <s v="7 Seats Model"/>
    <s v="Sensor"/>
    <s v="Seat Occupancy Detection 3rd Row R"/>
    <s v="Seat Occupancy Detection 3rd Row R - Seat Occupancy Detection"/>
    <m/>
    <m/>
    <s v="99;3"/>
    <s v="TE"/>
    <s v="1-1718333-1"/>
    <s v="2 Pos. MQS 0,63mm Unsealed"/>
    <s v="No"/>
    <s v="No"/>
    <s v="No"/>
    <s v="Yes"/>
    <n v="1"/>
    <n v="1"/>
    <n v="1"/>
    <n v="1"/>
  </r>
  <r>
    <x v="137"/>
    <s v="13.0_Comfort &amp; Interior"/>
    <s v="13.20_SeatMoving-System"/>
    <s v="F0x10"/>
    <s v="Seats Rear, Release"/>
    <m/>
    <s v="Comfort"/>
    <s v="Seat Adjustment"/>
    <s v="Seat Release 2nd Row Left"/>
    <s v="Power Seats"/>
    <s v="Sensor"/>
    <s v="Sensor"/>
    <s v="Sensor - Seat Release 2nd Row Left"/>
    <m/>
    <m/>
    <s v="63;-1"/>
    <s v="TE"/>
    <s v="1-929080-5"/>
    <s v="2 Pos. MQS 0,63mm Unsealed"/>
    <m/>
    <s v="No"/>
    <s v="No"/>
    <s v="Yes"/>
    <n v="0"/>
    <n v="0"/>
    <n v="0"/>
    <n v="0"/>
  </r>
  <r>
    <x v="138"/>
    <s v="13.0_Comfort &amp; Interior"/>
    <s v="13.20_SeatMoving-System"/>
    <s v="F0x10"/>
    <s v="Seats Rear, Release"/>
    <m/>
    <s v="Comfort"/>
    <s v="Seat Adjustment"/>
    <s v="Seat Release 2nd Row Right"/>
    <s v="Power Seats"/>
    <s v="Switch"/>
    <s v="User Selector"/>
    <s v="User Selector - Seat Release 2nd Row Right"/>
    <m/>
    <m/>
    <s v="63;1"/>
    <s v="TE"/>
    <s v="1-1418639-5"/>
    <s v="2 Pos. MQS 0,63mm Unsealed"/>
    <m/>
    <s v="No"/>
    <s v="No"/>
    <s v="Yes"/>
    <n v="0"/>
    <n v="0"/>
    <n v="0"/>
    <n v="0"/>
  </r>
  <r>
    <x v="139"/>
    <s v="16.0_Comfort &amp; Safety"/>
    <s v="16.10_Airbag-System"/>
    <s v="F0439"/>
    <s v="Airbag Rear, Anti-Submarining"/>
    <s v=" "/>
    <s v="Chassis"/>
    <s v="Airbag"/>
    <s v="Seat Position"/>
    <s v="7 Seats Model"/>
    <s v="Sensor"/>
    <s v="Seat Position 2nd Row L"/>
    <s v="Seat Position 2nd Row L - Seat Position"/>
    <m/>
    <m/>
    <s v="80;0"/>
    <s v="TE"/>
    <s v="1-1718333-1"/>
    <s v="2 Pos. MQS 0,63mm Unsealed"/>
    <s v="No"/>
    <s v="No"/>
    <s v="No"/>
    <s v="Yes"/>
    <n v="1"/>
    <n v="1"/>
    <n v="1"/>
    <n v="1"/>
  </r>
  <r>
    <x v="139"/>
    <s v="16.0_Comfort &amp; Safety"/>
    <s v="16.10_Airbag-System"/>
    <s v="F0457"/>
    <s v="Airbag Rear, Left / Right "/>
    <s v=" "/>
    <s v="Chassis"/>
    <s v="Airbag"/>
    <s v="Seat Position"/>
    <s v="7 Seats Model"/>
    <s v="Sensor"/>
    <s v="Seat Position 2nd Row L"/>
    <s v="Seat Position 2nd Row L - Seat Position"/>
    <m/>
    <m/>
    <s v="80;0"/>
    <s v="TE"/>
    <s v="1-1718333-1"/>
    <s v="2 Pos. MQS 0,63mm Unsealed"/>
    <s v="No"/>
    <s v="No"/>
    <s v="No"/>
    <s v="Yes"/>
    <n v="1"/>
    <n v="1"/>
    <n v="1"/>
    <n v="1"/>
  </r>
  <r>
    <x v="140"/>
    <s v="16.0_Comfort &amp; Safety"/>
    <s v="16.30_PassengerDetection-System"/>
    <s v="F0436"/>
    <s v="Passenger Detection, Rear"/>
    <s v="A"/>
    <s v="Chassis"/>
    <s v="Airbag"/>
    <s v="Seat Occupancy Detection"/>
    <m/>
    <s v="Sensor"/>
    <s v="Seat Occupancy Detection 2nd Row L"/>
    <s v="Seat Occupancy Detection 2nd Row L - Seat Occupancy Detection"/>
    <m/>
    <m/>
    <s v="80;-8"/>
    <s v="TE"/>
    <s v="1-1718333-1"/>
    <s v="2 Pos. MQS 0,63mm Unsealed"/>
    <s v="No"/>
    <s v="No"/>
    <s v="Yes"/>
    <s v="Yes"/>
    <n v="1"/>
    <n v="1"/>
    <n v="1"/>
    <n v="1"/>
  </r>
  <r>
    <x v="141"/>
    <s v="16.0_Comfort &amp; Safety"/>
    <s v="16.30_PassengerDetection-System"/>
    <s v="F0436"/>
    <s v="Passenger Detection, Rear"/>
    <s v="A"/>
    <s v="Chassis"/>
    <s v="Airbag"/>
    <s v="Seat Occupancy Detection"/>
    <m/>
    <s v="Sensor"/>
    <s v="Seat Occupancy Detection 2nd Row C"/>
    <s v="Seat Occupancy Detection 2nd Row C - Seat Occupancy Detection"/>
    <m/>
    <m/>
    <s v="80;0"/>
    <s v="TE"/>
    <s v="1-1718333-1"/>
    <s v="2 Pos. MQS 0,63mm Unsealed"/>
    <s v="No"/>
    <s v="No"/>
    <s v="Yes"/>
    <s v="Yes"/>
    <n v="1"/>
    <n v="1"/>
    <n v="1"/>
    <n v="1"/>
  </r>
  <r>
    <x v="142"/>
    <s v="16.0_Comfort &amp; Safety"/>
    <s v="16.10_Airbag-System"/>
    <s v="F0439"/>
    <s v="Airbag Rear, Anti-Submarining"/>
    <s v=" "/>
    <s v="Chassis"/>
    <s v="Airbag"/>
    <s v="Seat Position"/>
    <s v="7 Seats Model"/>
    <s v="Sensor"/>
    <s v="Seat Position 2nd Row C"/>
    <s v="Seat Position 2nd Row C - Seat Position"/>
    <m/>
    <m/>
    <s v="80;0"/>
    <s v="TE"/>
    <s v="1-1718333-1"/>
    <s v="2 Pos. MQS 0,63mm Unsealed"/>
    <s v="No"/>
    <s v="No"/>
    <s v="No"/>
    <s v="Yes"/>
    <n v="1"/>
    <n v="1"/>
    <n v="1"/>
    <n v="1"/>
  </r>
  <r>
    <x v="142"/>
    <s v="16.0_Comfort &amp; Safety"/>
    <s v="16.10_Airbag-System"/>
    <s v="F0457"/>
    <s v="Airbag Rear, Left / Right "/>
    <s v=" "/>
    <s v="Chassis"/>
    <s v="Airbag"/>
    <s v="Seat Position"/>
    <s v="7 Seats Model"/>
    <s v="Sensor"/>
    <s v="Seat Position 2nd Row C"/>
    <s v="Seat Position 2nd Row C - Seat Position"/>
    <m/>
    <m/>
    <s v="80;0"/>
    <s v="TE"/>
    <s v="1-1718333-1"/>
    <s v="2 Pos. MQS 0,63mm Unsealed"/>
    <s v="No"/>
    <s v="No"/>
    <s v="No"/>
    <s v="Yes"/>
    <n v="1"/>
    <n v="1"/>
    <n v="1"/>
    <n v="1"/>
  </r>
  <r>
    <x v="143"/>
    <s v="16.0_Comfort &amp; Safety"/>
    <s v="16.10_Airbag-System"/>
    <s v="F0439"/>
    <s v="Airbag Rear, Anti-Submarining"/>
    <s v=" "/>
    <s v="Chassis"/>
    <s v="Airbag"/>
    <s v="Seat Position"/>
    <s v="7 Seats Model"/>
    <s v="Sensor"/>
    <s v="Seat Position 2nd Row R"/>
    <s v="Seat Position 2nd Row R - Seat Position"/>
    <m/>
    <m/>
    <s v="80;0"/>
    <s v="TE"/>
    <s v="1-1718333-1"/>
    <s v="2 Pos. MQS 0,63mm Unsealed"/>
    <s v="No"/>
    <s v="No"/>
    <s v="No"/>
    <s v="Yes"/>
    <n v="1"/>
    <n v="1"/>
    <n v="1"/>
    <n v="1"/>
  </r>
  <r>
    <x v="143"/>
    <s v="16.0_Comfort &amp; Safety"/>
    <s v="16.10_Airbag-System"/>
    <s v="F0457"/>
    <s v="Airbag Rear, Left / Right "/>
    <s v=" "/>
    <s v="Chassis"/>
    <s v="Airbag"/>
    <s v="Seat Position"/>
    <s v="7 Seats Model"/>
    <s v="Sensor"/>
    <s v="Seat Position 2nd Row R"/>
    <s v="Seat Position 2nd Row R - Seat Position"/>
    <m/>
    <m/>
    <s v="80;0"/>
    <s v="TE"/>
    <s v="1-1718333-1"/>
    <s v="2 Pos. MQS 0,63mm Unsealed"/>
    <s v="No"/>
    <s v="No"/>
    <s v="No"/>
    <s v="Yes"/>
    <n v="1"/>
    <n v="1"/>
    <n v="1"/>
    <n v="1"/>
  </r>
  <r>
    <x v="144"/>
    <s v="16.0_Comfort &amp; Safety"/>
    <s v="16.20_Restraint-System"/>
    <s v="F0410"/>
    <s v="Seatbelt Reminder, Rear"/>
    <s v="QM"/>
    <s v="Chassis"/>
    <s v="Airbag"/>
    <s v="Seat Belt"/>
    <s v="Basic"/>
    <s v="Sensor"/>
    <s v="Seat Belt Sensor 2nd Row L"/>
    <s v="Seat Belt Sensor 2nd Row L - Seat Belt"/>
    <m/>
    <m/>
    <s v="80;-2"/>
    <s v="TE"/>
    <s v="1-1718333-1"/>
    <s v="2 Pos. MQS 0,63mm Unsealed"/>
    <s v="No"/>
    <s v="Yes"/>
    <s v="Yes"/>
    <s v="Yes"/>
    <n v="1"/>
    <n v="1"/>
    <n v="1"/>
    <n v="1"/>
  </r>
  <r>
    <x v="145"/>
    <s v="16.0_Comfort &amp; Safety"/>
    <s v="16.20_Restraint-System"/>
    <s v="F0410"/>
    <s v="Seatbelt Reminder, Rear"/>
    <s v="QM"/>
    <s v="Chassis"/>
    <s v="Airbag"/>
    <s v="Seat Belt"/>
    <s v="Basic"/>
    <s v="Sensor"/>
    <s v="Seat Belt Sensor 2nd Row C"/>
    <s v="Seat Belt Sensor 2nd Row C - Seat Belt"/>
    <m/>
    <m/>
    <s v="80;0"/>
    <s v="TE"/>
    <s v="1-1718333-1"/>
    <s v="2 Pos. MQS 0,63mm Unsealed"/>
    <s v="No"/>
    <s v="Yes"/>
    <s v="Yes"/>
    <s v="Yes"/>
    <n v="1"/>
    <n v="1"/>
    <n v="1"/>
    <n v="1"/>
  </r>
  <r>
    <x v="146"/>
    <s v="16.0_Comfort &amp; Safety"/>
    <s v="16.30_PassengerDetection-System"/>
    <s v="F0436"/>
    <s v="Passenger Detection, Rear"/>
    <s v="A"/>
    <s v="Chassis"/>
    <s v="Airbag"/>
    <s v="Seat Occupancy Detection"/>
    <m/>
    <s v="Sensor"/>
    <s v="Seat Occupancy Detection 2nd Row R"/>
    <s v="Seat Occupancy Detection 2nd Row R - Seat Occupancy Detection"/>
    <m/>
    <m/>
    <s v="80;8"/>
    <s v="TE"/>
    <s v="1-1718333-1"/>
    <s v="2 Pos. MQS 0,63mm Unsealed"/>
    <s v="No"/>
    <s v="No"/>
    <s v="Yes"/>
    <s v="Yes"/>
    <n v="1"/>
    <n v="1"/>
    <n v="1"/>
    <n v="1"/>
  </r>
  <r>
    <x v="147"/>
    <s v="13.0_Comfort &amp; Interior"/>
    <s v="13.20_SeatMoving-System"/>
    <s v="F0x10"/>
    <s v="Seats Rear, Release"/>
    <m/>
    <s v="Comfort"/>
    <s v="Seat Adjustment"/>
    <s v="Seat Release 2nd Row Right"/>
    <s v="Power Seats"/>
    <s v="Actuator"/>
    <s v="Motor"/>
    <s v="Motor - Seat Release 2nd Row Right"/>
    <m/>
    <m/>
    <m/>
    <m/>
    <m/>
    <m/>
    <m/>
    <m/>
    <m/>
    <m/>
    <m/>
    <m/>
    <m/>
    <m/>
  </r>
  <r>
    <x v="148"/>
    <s v="16.0_Comfort &amp; Safety"/>
    <s v="16.20_Restraint-System"/>
    <s v="F0410"/>
    <s v="Seatbelt Reminder, Rear"/>
    <s v="QM"/>
    <s v="Chassis"/>
    <s v="Airbag"/>
    <s v="Seat Belt"/>
    <s v="Basic"/>
    <s v="Sensor"/>
    <s v="Seat Belt Sensor 2nd Row R"/>
    <s v="Seat Belt Sensor 2nd Row R - Seat Belt"/>
    <m/>
    <m/>
    <s v="80;2"/>
    <s v="TE"/>
    <s v="1-1718333-1"/>
    <s v="2 Pos. MQS 0,63mm Unsealed"/>
    <s v="No"/>
    <s v="Yes"/>
    <s v="Yes"/>
    <s v="Yes"/>
    <n v="1"/>
    <n v="1"/>
    <n v="1"/>
    <n v="1"/>
  </r>
  <r>
    <x v="149"/>
    <s v="39.0_HVAC &amp; Thermal"/>
    <s v="39.11_ComponentThermal-System"/>
    <s v="F0189"/>
    <s v="Thermal Management, HV-Battery Heating"/>
    <m/>
    <s v="Powertrain"/>
    <s v="Cooling/Heating"/>
    <s v="Motor Coolant Pump"/>
    <s v="EV"/>
    <s v="Actuator"/>
    <s v="Motor Coolant Pump"/>
    <s v="Motor Coolant Pump - Motor Coolant Pump"/>
    <m/>
    <m/>
    <s v="-5;-14"/>
    <s v="TE"/>
    <s v="2301127-2"/>
    <s v="3 Pos. MCP 2,8mm Sealed"/>
    <m/>
    <s v="No"/>
    <s v="No"/>
    <s v="Yes"/>
    <n v="0.6"/>
    <n v="0.4"/>
    <n v="0.4"/>
    <n v="0.6"/>
  </r>
  <r>
    <x v="149"/>
    <s v="39.0_HVAC &amp; Thermal"/>
    <s v="39.11_ComponentThermal-System"/>
    <s v="F0257"/>
    <s v="HV-Components, Cooling"/>
    <m/>
    <s v="Powertrain"/>
    <s v="Cooling/Heating"/>
    <s v="Motor Coolant Pump"/>
    <s v="EV"/>
    <s v="Actuator"/>
    <s v="Motor Coolant Pump"/>
    <s v="Motor Coolant Pump - Motor Coolant Pump"/>
    <m/>
    <m/>
    <s v="-5;-14"/>
    <s v="TE"/>
    <s v="2301127-2"/>
    <s v="3 Pos. MCP 2,8mm Sealed"/>
    <m/>
    <s v="No"/>
    <s v="No"/>
    <s v="Yes"/>
    <n v="0.6"/>
    <n v="0.4"/>
    <n v="0.4"/>
    <n v="0.6"/>
  </r>
  <r>
    <x v="149"/>
    <s v="39.0_HVAC &amp; Thermal"/>
    <s v="39.11_ComponentThermal-System"/>
    <s v="F0393"/>
    <s v="Thermal Management, Master (BEV Vehicles)"/>
    <m/>
    <s v="Powertrain"/>
    <s v="Cooling/Heating"/>
    <s v="Motor Coolant Pump"/>
    <s v="EV"/>
    <s v="Actuator"/>
    <s v="Motor Coolant Pump"/>
    <s v="Motor Coolant Pump - Motor Coolant Pump"/>
    <m/>
    <m/>
    <s v="-5;-14"/>
    <s v="TE"/>
    <s v="2301127-2"/>
    <s v="3 Pos. MCP 2,8mm Sealed"/>
    <m/>
    <s v="No"/>
    <s v="No"/>
    <s v="Yes"/>
    <n v="0.6"/>
    <n v="0.4"/>
    <n v="0.4"/>
    <n v="0.6"/>
  </r>
  <r>
    <x v="149"/>
    <s v="39.0_HVAC &amp; Thermal"/>
    <s v="39.11_ComponentThermal-System"/>
    <s v="F0459"/>
    <s v="Thermal Management, HV-Battery Cooling"/>
    <m/>
    <s v="Powertrain"/>
    <s v="Cooling/Heating"/>
    <s v="Motor Coolant Pump"/>
    <s v="EV"/>
    <s v="Actuator"/>
    <s v="Motor Coolant Pump"/>
    <s v="Motor Coolant Pump - Motor Coolant Pump"/>
    <m/>
    <m/>
    <s v="-5;-14"/>
    <s v="TE"/>
    <s v="2301127-2"/>
    <s v="3 Pos. MCP 2,8mm Sealed"/>
    <m/>
    <s v="No"/>
    <s v="No"/>
    <s v="Yes"/>
    <n v="0.6"/>
    <n v="0.4"/>
    <n v="0.4"/>
    <n v="0.6"/>
  </r>
  <r>
    <x v="149"/>
    <s v="39.0_HVAC &amp; Thermal"/>
    <s v="39.11_ComponentThermal-System"/>
    <s v="F0553"/>
    <s v="Thermal Management, HV-CoolingGeneration"/>
    <m/>
    <s v="Powertrain"/>
    <s v="Cooling/Heating"/>
    <s v="Motor Coolant Pump"/>
    <s v="EV"/>
    <s v="Actuator"/>
    <s v="Motor Coolant Pump"/>
    <s v="Motor Coolant Pump - Motor Coolant Pump"/>
    <m/>
    <m/>
    <s v="-5;-14"/>
    <s v="TE"/>
    <s v="2301127-2"/>
    <s v="3 Pos. MCP 2,8mm Sealed"/>
    <m/>
    <s v="No"/>
    <s v="No"/>
    <s v="Yes"/>
    <n v="0.6"/>
    <n v="0.4"/>
    <n v="0.4"/>
    <n v="0.6"/>
  </r>
  <r>
    <x v="149"/>
    <s v="39.0_HVAC &amp; Thermal"/>
    <s v="39.11_ComponentThermal-System"/>
    <s v="F0615"/>
    <s v="Thermal Management, HV-HeatingGeneration"/>
    <m/>
    <s v="Powertrain"/>
    <s v="Cooling/Heating"/>
    <s v="Motor Coolant Pump"/>
    <s v="EV"/>
    <s v="Actuator"/>
    <s v="Motor Coolant Pump"/>
    <s v="Motor Coolant Pump - Motor Coolant Pump"/>
    <m/>
    <m/>
    <s v="-5;-14"/>
    <s v="TE"/>
    <s v="2301127-2"/>
    <s v="3 Pos. MCP 2,8mm Sealed"/>
    <m/>
    <s v="No"/>
    <s v="No"/>
    <s v="Yes"/>
    <n v="0.6"/>
    <n v="0.4"/>
    <n v="0.4"/>
    <n v="0.6"/>
  </r>
  <r>
    <x v="149"/>
    <s v="39.0_HVAC &amp; Thermal"/>
    <s v="39.11_ComponentThermal-System"/>
    <s v="F0889"/>
    <s v="Thermal Management, Heat Pumping"/>
    <m/>
    <s v="Powertrain"/>
    <s v="Cooling/Heating"/>
    <s v="Motor Coolant Pump"/>
    <s v="EV"/>
    <s v="Actuator"/>
    <s v="Motor Coolant Pump"/>
    <s v="Motor Coolant Pump - Motor Coolant Pump"/>
    <m/>
    <m/>
    <s v="-5;-14"/>
    <s v="TE"/>
    <s v="2301127-2"/>
    <s v="3 Pos. MCP 2,8mm Sealed"/>
    <m/>
    <s v="No"/>
    <s v="No"/>
    <s v="Yes"/>
    <n v="0.6"/>
    <n v="0.4"/>
    <n v="0.4"/>
    <n v="0.6"/>
  </r>
  <r>
    <x v="149"/>
    <s v="39.0_HVAC &amp; Thermal"/>
    <s v="39.11_ComponentThermal-System"/>
    <s v="F1340"/>
    <s v="HV-Components, Heating"/>
    <m/>
    <s v="Powertrain"/>
    <s v="Cooling/Heating"/>
    <s v="Motor Coolant Pump"/>
    <s v="EV"/>
    <s v="Actuator"/>
    <s v="Motor Coolant Pump"/>
    <s v="Motor Coolant Pump - Motor Coolant Pump"/>
    <m/>
    <m/>
    <s v="-5;-14"/>
    <s v="TE"/>
    <s v="2301127-2"/>
    <s v="3 Pos. MCP 2,8mm Sealed"/>
    <m/>
    <s v="No"/>
    <s v="No"/>
    <s v="Yes"/>
    <n v="0.6"/>
    <n v="0.4"/>
    <n v="0.4"/>
    <n v="0.6"/>
  </r>
  <r>
    <x v="150"/>
    <s v="39.0_HVAC &amp; Thermal"/>
    <s v="39.10_PassengerThermal-System"/>
    <s v="F0016"/>
    <s v="HVAC-System, 3- / 4-Zones"/>
    <s v="QM"/>
    <s v="Comfort"/>
    <s v="Climate Control"/>
    <s v="Refrigerant Pressure and Temperature"/>
    <s v="with Air Conditioning"/>
    <s v="Sensor"/>
    <s v="Refrigerant Subcool PT"/>
    <s v="Refrigerant Subcool PT - Refrigerant Pressure and Temperature"/>
    <m/>
    <m/>
    <s v="16;-1"/>
    <s v="TE"/>
    <s v="1563689-1"/>
    <s v="4 Pos. MCP 1,5mm Sealed"/>
    <m/>
    <s v="No"/>
    <s v="No"/>
    <s v="Yes"/>
    <n v="1"/>
    <n v="1"/>
    <n v="1"/>
    <n v="1"/>
  </r>
  <r>
    <x v="150"/>
    <s v="39.0_HVAC &amp; Thermal"/>
    <s v="39.10_PassengerThermal-System"/>
    <s v="F0116"/>
    <s v="HVAC-Defrost, Manual"/>
    <s v="QM"/>
    <s v="Comfort"/>
    <s v="Climate Control"/>
    <s v="Refrigerant Pressure and Temperature"/>
    <s v="with Air Conditioning"/>
    <s v="Sensor"/>
    <s v="Refrigerant Subcool PT"/>
    <s v="Refrigerant Subcool PT - Refrigerant Pressure and Temperature"/>
    <m/>
    <m/>
    <s v="16;-1"/>
    <s v="TE"/>
    <s v="1563689-1"/>
    <s v="4 Pos. MCP 1,5mm Sealed"/>
    <m/>
    <s v="No"/>
    <s v="Yes"/>
    <s v="Yes"/>
    <n v="1"/>
    <n v="1"/>
    <n v="1"/>
    <n v="1"/>
  </r>
  <r>
    <x v="150"/>
    <s v="39.0_HVAC &amp; Thermal"/>
    <s v="39.10_PassengerThermal-System"/>
    <s v="F0233"/>
    <s v="HVAC-Temperature, Automatic"/>
    <s v="QM"/>
    <s v="Comfort"/>
    <s v="Climate Control"/>
    <s v="Refrigerant Pressure and Temperature"/>
    <s v="with Air Conditioning"/>
    <s v="Sensor"/>
    <s v="Refrigerant Subcool PT"/>
    <s v="Refrigerant Subcool PT - Refrigerant Pressure and Temperature"/>
    <m/>
    <m/>
    <s v="16;-1"/>
    <s v="TE"/>
    <s v="1563689-1"/>
    <s v="4 Pos. MCP 1,5mm Sealed"/>
    <m/>
    <s v="No"/>
    <s v="Yes"/>
    <s v="Yes"/>
    <n v="1"/>
    <n v="1"/>
    <n v="1"/>
    <n v="1"/>
  </r>
  <r>
    <x v="150"/>
    <s v="39.0_HVAC &amp; Thermal"/>
    <s v="39.10_PassengerThermal-System"/>
    <s v="F0234"/>
    <s v="HVAC-Blower, Automatic"/>
    <s v="QM"/>
    <s v="Comfort"/>
    <s v="Climate Control"/>
    <s v="Refrigerant Pressure and Temperature"/>
    <s v="with Air Conditioning"/>
    <s v="Sensor"/>
    <s v="Refrigerant Subcool PT"/>
    <s v="Refrigerant Subcool PT - Refrigerant Pressure and Temperature"/>
    <m/>
    <m/>
    <s v="16;-1"/>
    <s v="TE"/>
    <s v="1563689-1"/>
    <s v="4 Pos. MCP 1,5mm Sealed"/>
    <m/>
    <s v="No"/>
    <s v="Yes"/>
    <s v="Yes"/>
    <n v="1"/>
    <n v="1"/>
    <n v="1"/>
    <n v="1"/>
  </r>
  <r>
    <x v="150"/>
    <s v="39.0_HVAC &amp; Thermal"/>
    <s v="39.10_PassengerThermal-System"/>
    <s v="F0483"/>
    <s v="HVAC-System, Fully Manual"/>
    <s v="QM"/>
    <s v="Comfort"/>
    <s v="Climate Control"/>
    <s v="Refrigerant Pressure and Temperature"/>
    <s v="with Air Conditioning"/>
    <s v="Sensor"/>
    <s v="Refrigerant Subcool PT"/>
    <s v="Refrigerant Subcool PT - Refrigerant Pressure and Temperature"/>
    <m/>
    <m/>
    <s v="16;-1"/>
    <s v="TE"/>
    <s v="1563689-1"/>
    <s v="4 Pos. MCP 1,5mm Sealed"/>
    <m/>
    <s v="Yes"/>
    <s v="No"/>
    <s v="No"/>
    <n v="1"/>
    <n v="1"/>
    <n v="1"/>
    <n v="1"/>
  </r>
  <r>
    <x v="150"/>
    <s v="39.0_HVAC &amp; Thermal"/>
    <s v="39.10_PassengerThermal-System"/>
    <s v="F0906"/>
    <s v="HVAC Preconditioning"/>
    <s v="QM"/>
    <s v="Comfort"/>
    <s v="Climate Control"/>
    <s v="Refrigerant Pressure and Temperature"/>
    <s v="with Air Conditioning"/>
    <s v="Sensor"/>
    <s v="Refrigerant Subcool PT"/>
    <s v="Refrigerant Subcool PT - Refrigerant Pressure and Temperature"/>
    <m/>
    <m/>
    <s v="16;-1"/>
    <s v="TE"/>
    <s v="1563689-1"/>
    <s v="4 Pos. MCP 1,5mm Sealed"/>
    <m/>
    <s v="No"/>
    <s v="Yes"/>
    <s v="Yes"/>
    <n v="1"/>
    <n v="1"/>
    <n v="1"/>
    <n v="1"/>
  </r>
  <r>
    <x v="150"/>
    <s v="39.0_HVAC &amp; Thermal"/>
    <s v="39.10_PassengerThermal-System"/>
    <s v="F0x17"/>
    <s v="HVAC-System, 2-Zones Front"/>
    <s v="QM"/>
    <s v="Comfort"/>
    <s v="Climate Control"/>
    <s v="Refrigerant Pressure and Temperature"/>
    <s v="with Air Conditioning"/>
    <s v="Sensor"/>
    <s v="Refrigerant Subcool PT"/>
    <s v="Refrigerant Subcool PT - Refrigerant Pressure and Temperature"/>
    <m/>
    <m/>
    <s v="16;-1"/>
    <s v="TE"/>
    <s v="1563689-1"/>
    <s v="4 Pos. MCP 1,5mm Sealed"/>
    <m/>
    <s v="No"/>
    <s v="Yes"/>
    <s v="No"/>
    <n v="1"/>
    <n v="1"/>
    <n v="1"/>
    <n v="1"/>
  </r>
  <r>
    <x v="150"/>
    <s v="39.0_HVAC &amp; Thermal"/>
    <s v="39.10_PassengerThermal-System"/>
    <s v="F0x19"/>
    <s v="HVAC-System, Heat Pump Driven"/>
    <s v="QM"/>
    <s v="Comfort"/>
    <s v="Climate Control"/>
    <s v="Refrigerant Pressure and Temperature"/>
    <s v="with Air Conditioning"/>
    <s v="Sensor"/>
    <s v="Refrigerant Subcool PT"/>
    <s v="Refrigerant Subcool PT - Refrigerant Pressure and Temperature"/>
    <m/>
    <m/>
    <s v="16;-1"/>
    <s v="TE"/>
    <s v="1563689-1"/>
    <s v="4 Pos. MCP 1,5mm Sealed"/>
    <m/>
    <s v="No"/>
    <s v="Yes"/>
    <s v="Yes"/>
    <n v="1"/>
    <n v="1"/>
    <n v="1"/>
    <n v="1"/>
  </r>
  <r>
    <x v="150"/>
    <s v="39.0_HVAC &amp; Thermal"/>
    <s v="39.10_PassengerThermal-System"/>
    <s v="F0x20"/>
    <s v="HVAC-System, Electrical Heating"/>
    <s v="QM"/>
    <s v="Comfort"/>
    <s v="Climate Control"/>
    <s v="Refrigerant Pressure and Temperature"/>
    <s v="with Air Conditioning"/>
    <s v="Sensor"/>
    <s v="Refrigerant Subcool PT"/>
    <s v="Refrigerant Subcool PT - Refrigerant Pressure and Temperature"/>
    <m/>
    <m/>
    <s v="16;-1"/>
    <s v="TE"/>
    <s v="1563689-1"/>
    <s v="4 Pos. MCP 1,5mm Sealed"/>
    <m/>
    <s v="No"/>
    <s v="Yes"/>
    <s v="Yes"/>
    <n v="1"/>
    <n v="1"/>
    <n v="1"/>
    <n v="1"/>
  </r>
  <r>
    <x v="151"/>
    <s v="39.0_HVAC &amp; Thermal"/>
    <s v="39.11_ComponentThermal-System"/>
    <s v="F0189"/>
    <s v="Thermal Management, HV-Battery Heating"/>
    <m/>
    <s v="Powertrain"/>
    <s v="Cooling/Heating"/>
    <s v="Motor Coolant Temperature"/>
    <s v="EV"/>
    <s v="Sensor"/>
    <s v="Coolant Temperature"/>
    <s v="Coolant Temperature - Motor Coolant Temperature"/>
    <m/>
    <m/>
    <s v="10;-14"/>
    <s v="TE"/>
    <s v="1-1924067-1"/>
    <s v="2 Pos. MCON 1,2mm Sealed"/>
    <m/>
    <s v="No"/>
    <s v="No"/>
    <s v="Yes"/>
    <n v="1"/>
    <n v="1"/>
    <n v="1"/>
    <n v="1"/>
  </r>
  <r>
    <x v="151"/>
    <s v="39.0_HVAC &amp; Thermal"/>
    <s v="39.11_ComponentThermal-System"/>
    <s v="F0257"/>
    <s v="HV-Components, Cooling"/>
    <m/>
    <s v="Powertrain"/>
    <s v="Cooling/Heating"/>
    <s v="Motor Coolant Temperature"/>
    <s v="EV"/>
    <s v="Sensor"/>
    <s v="Coolant Temperature"/>
    <s v="Coolant Temperature - Motor Coolant Temperature"/>
    <m/>
    <m/>
    <s v="10;-14"/>
    <s v="TE"/>
    <s v="1-1924067-1"/>
    <s v="2 Pos. MCON 1,2mm Sealed"/>
    <m/>
    <s v="No"/>
    <s v="No"/>
    <s v="Yes"/>
    <n v="1"/>
    <n v="1"/>
    <n v="1"/>
    <n v="1"/>
  </r>
  <r>
    <x v="151"/>
    <s v="39.0_HVAC &amp; Thermal"/>
    <s v="39.11_ComponentThermal-System"/>
    <s v="F0393"/>
    <s v="Thermal Management, Master (BEV Vehicles)"/>
    <m/>
    <s v="Powertrain"/>
    <s v="Cooling/Heating"/>
    <s v="Motor Coolant Temperature"/>
    <s v="EV"/>
    <s v="Sensor"/>
    <s v="Coolant Temperature"/>
    <s v="Coolant Temperature - Motor Coolant Temperature"/>
    <m/>
    <m/>
    <s v="10;-14"/>
    <s v="TE"/>
    <s v="1-1924067-1"/>
    <s v="2 Pos. MCON 1,2mm Sealed"/>
    <m/>
    <s v="No"/>
    <s v="No"/>
    <s v="Yes"/>
    <n v="1"/>
    <n v="1"/>
    <n v="1"/>
    <n v="1"/>
  </r>
  <r>
    <x v="151"/>
    <s v="39.0_HVAC &amp; Thermal"/>
    <s v="39.11_ComponentThermal-System"/>
    <s v="F0459"/>
    <s v="Thermal Management, HV-Battery Cooling"/>
    <m/>
    <s v="Powertrain"/>
    <s v="Cooling/Heating"/>
    <s v="Motor Coolant Temperature"/>
    <s v="EV"/>
    <s v="Sensor"/>
    <s v="Coolant Temperature"/>
    <s v="Coolant Temperature - Motor Coolant Temperature"/>
    <m/>
    <m/>
    <s v="10;-14"/>
    <s v="TE"/>
    <s v="1-1924067-1"/>
    <s v="2 Pos. MCON 1,2mm Sealed"/>
    <m/>
    <s v="No"/>
    <s v="No"/>
    <s v="Yes"/>
    <n v="1"/>
    <n v="1"/>
    <n v="1"/>
    <n v="1"/>
  </r>
  <r>
    <x v="151"/>
    <s v="39.0_HVAC &amp; Thermal"/>
    <s v="39.11_ComponentThermal-System"/>
    <s v="F0553"/>
    <s v="Thermal Management, HV-CoolingGeneration"/>
    <m/>
    <s v="Powertrain"/>
    <s v="Cooling/Heating"/>
    <s v="Motor Coolant Temperature"/>
    <s v="EV"/>
    <s v="Sensor"/>
    <s v="Coolant Temperature"/>
    <s v="Coolant Temperature - Motor Coolant Temperature"/>
    <m/>
    <m/>
    <s v="10;-14"/>
    <s v="TE"/>
    <s v="1-1924067-1"/>
    <s v="2 Pos. MCON 1,2mm Sealed"/>
    <m/>
    <s v="No"/>
    <s v="No"/>
    <s v="Yes"/>
    <n v="1"/>
    <n v="1"/>
    <n v="1"/>
    <n v="1"/>
  </r>
  <r>
    <x v="151"/>
    <s v="39.0_HVAC &amp; Thermal"/>
    <s v="39.11_ComponentThermal-System"/>
    <s v="F0615"/>
    <s v="Thermal Management, HV-HeatingGeneration"/>
    <m/>
    <s v="Powertrain"/>
    <s v="Cooling/Heating"/>
    <s v="Motor Coolant Temperature"/>
    <s v="EV"/>
    <s v="Sensor"/>
    <s v="Coolant Temperature"/>
    <s v="Coolant Temperature - Motor Coolant Temperature"/>
    <m/>
    <m/>
    <s v="10;-14"/>
    <s v="TE"/>
    <s v="1-1924067-1"/>
    <s v="2 Pos. MCON 1,2mm Sealed"/>
    <m/>
    <s v="No"/>
    <s v="No"/>
    <s v="Yes"/>
    <n v="1"/>
    <n v="1"/>
    <n v="1"/>
    <n v="1"/>
  </r>
  <r>
    <x v="151"/>
    <s v="39.0_HVAC &amp; Thermal"/>
    <s v="39.11_ComponentThermal-System"/>
    <s v="F0889"/>
    <s v="Thermal Management, Heat Pumping"/>
    <m/>
    <s v="Powertrain"/>
    <s v="Cooling/Heating"/>
    <s v="Motor Coolant Temperature"/>
    <s v="EV"/>
    <s v="Sensor"/>
    <s v="Coolant Temperature"/>
    <s v="Coolant Temperature - Motor Coolant Temperature"/>
    <m/>
    <m/>
    <s v="10;-14"/>
    <s v="TE"/>
    <s v="1-1924067-1"/>
    <s v="2 Pos. MCON 1,2mm Sealed"/>
    <m/>
    <s v="No"/>
    <s v="No"/>
    <s v="Yes"/>
    <n v="1"/>
    <n v="1"/>
    <n v="1"/>
    <n v="1"/>
  </r>
  <r>
    <x v="151"/>
    <s v="39.0_HVAC &amp; Thermal"/>
    <s v="39.11_ComponentThermal-System"/>
    <s v="F1340"/>
    <s v="HV-Components, Heating"/>
    <m/>
    <s v="Powertrain"/>
    <s v="Cooling/Heating"/>
    <s v="Motor Coolant Temperature"/>
    <s v="EV"/>
    <s v="Sensor"/>
    <s v="Coolant Temperature"/>
    <s v="Coolant Temperature - Motor Coolant Temperature"/>
    <m/>
    <m/>
    <s v="10;-14"/>
    <s v="TE"/>
    <s v="1-1924067-1"/>
    <s v="2 Pos. MCON 1,2mm Sealed"/>
    <m/>
    <s v="No"/>
    <s v="No"/>
    <s v="Yes"/>
    <n v="1"/>
    <n v="1"/>
    <n v="1"/>
    <n v="1"/>
  </r>
  <r>
    <x v="152"/>
    <s v="39.0_HVAC &amp; Thermal"/>
    <s v="39.11_ComponentThermal-System"/>
    <s v="F0257"/>
    <s v="HV-Components, Cooling"/>
    <s v="TBD"/>
    <s v="Powertrain"/>
    <s v="Cooling/Heating"/>
    <s v="Coolant Flow Control"/>
    <s v="EV"/>
    <s v="Actuator"/>
    <s v="Coolant Valve"/>
    <s v="Coolant Valve - Coolant Flow Control"/>
    <m/>
    <m/>
    <m/>
    <m/>
    <m/>
    <m/>
    <m/>
    <m/>
    <m/>
    <m/>
    <m/>
    <m/>
    <m/>
    <m/>
  </r>
  <r>
    <x v="152"/>
    <s v="39.0_HVAC &amp; Thermal"/>
    <s v="39.11_ComponentThermal-System"/>
    <s v="F0459"/>
    <s v="Thermal Management, HV-Battery Cooling"/>
    <s v="C"/>
    <s v="Powertrain"/>
    <s v="Cooling/Heating"/>
    <s v="Coolant Flow Control"/>
    <s v="EV"/>
    <s v="Actuator"/>
    <s v="Coolant Valve"/>
    <s v="Coolant Valve - Coolant Flow Control"/>
    <m/>
    <m/>
    <m/>
    <m/>
    <m/>
    <m/>
    <m/>
    <m/>
    <m/>
    <m/>
    <m/>
    <m/>
    <m/>
    <m/>
  </r>
  <r>
    <x v="152"/>
    <s v="39.0_HVAC &amp; Thermal"/>
    <s v="39.11_ComponentThermal-System"/>
    <s v="F0553"/>
    <s v="Thermal Management, HV-CoolingGeneration"/>
    <s v="QM"/>
    <s v="Powertrain"/>
    <s v="Cooling/Heating"/>
    <s v="Coolant Flow Control"/>
    <s v="EV"/>
    <s v="Actuator"/>
    <s v="Coolant Valve"/>
    <s v="Coolant Valve - Coolant Flow Control"/>
    <m/>
    <m/>
    <m/>
    <m/>
    <m/>
    <m/>
    <m/>
    <m/>
    <m/>
    <m/>
    <m/>
    <m/>
    <m/>
    <m/>
  </r>
  <r>
    <x v="153"/>
    <s v="39.0_HVAC &amp; Thermal"/>
    <s v="39.10_PassengerThermal-System"/>
    <s v="F0016"/>
    <s v="HVAC-System, 3- / 4-Zones"/>
    <s v="QM"/>
    <s v="Comfort"/>
    <s v="Climate Control"/>
    <s v="Refrigerant Pressure and Temperature"/>
    <s v="with Air Conditioning"/>
    <s v="Sensor"/>
    <s v="Refrigerant Suction PT"/>
    <s v="Refrigerant Suction PT - Refrigerant Pressure and Temperature"/>
    <m/>
    <m/>
    <s v="16;1"/>
    <s v="TE"/>
    <s v="1563689-1"/>
    <s v="4 Pos. MCP 1,5mm Sealed"/>
    <m/>
    <s v="No"/>
    <s v="No"/>
    <s v="Yes"/>
    <n v="1"/>
    <n v="1"/>
    <n v="1"/>
    <n v="1"/>
  </r>
  <r>
    <x v="153"/>
    <s v="39.0_HVAC &amp; Thermal"/>
    <s v="39.10_PassengerThermal-System"/>
    <s v="F0116"/>
    <s v="HVAC-Defrost, Manual"/>
    <s v="QM"/>
    <s v="Comfort"/>
    <s v="Climate Control"/>
    <s v="Refrigerant Pressure and Temperature"/>
    <s v="with Air Conditioning"/>
    <s v="Sensor"/>
    <s v="Refrigerant Suction PT"/>
    <s v="Refrigerant Suction PT - Refrigerant Pressure and Temperature"/>
    <m/>
    <m/>
    <s v="16;1"/>
    <s v="TE"/>
    <s v="1563689-1"/>
    <s v="4 Pos. MCP 1,5mm Sealed"/>
    <m/>
    <s v="No"/>
    <s v="Yes"/>
    <s v="Yes"/>
    <n v="1"/>
    <n v="1"/>
    <n v="1"/>
    <n v="1"/>
  </r>
  <r>
    <x v="153"/>
    <s v="39.0_HVAC &amp; Thermal"/>
    <s v="39.10_PassengerThermal-System"/>
    <s v="F0233"/>
    <s v="HVAC-Temperature, Automatic"/>
    <s v="QM"/>
    <s v="Comfort"/>
    <s v="Climate Control"/>
    <s v="Refrigerant Pressure and Temperature"/>
    <s v="with Air Conditioning"/>
    <s v="Sensor"/>
    <s v="Refrigerant Suction PT"/>
    <s v="Refrigerant Suction PT - Refrigerant Pressure and Temperature"/>
    <m/>
    <m/>
    <s v="16;1"/>
    <s v="TE"/>
    <s v="1563689-1"/>
    <s v="4 Pos. MCP 1,5mm Sealed"/>
    <m/>
    <s v="No"/>
    <s v="Yes"/>
    <s v="Yes"/>
    <n v="1"/>
    <n v="1"/>
    <n v="1"/>
    <n v="1"/>
  </r>
  <r>
    <x v="153"/>
    <s v="39.0_HVAC &amp; Thermal"/>
    <s v="39.10_PassengerThermal-System"/>
    <s v="F0234"/>
    <s v="HVAC-Blower, Automatic"/>
    <s v="QM"/>
    <s v="Comfort"/>
    <s v="Climate Control"/>
    <s v="Refrigerant Pressure and Temperature"/>
    <s v="with Air Conditioning"/>
    <s v="Sensor"/>
    <s v="Refrigerant Suction PT"/>
    <s v="Refrigerant Suction PT - Refrigerant Pressure and Temperature"/>
    <m/>
    <m/>
    <s v="16;1"/>
    <s v="TE"/>
    <s v="1563689-1"/>
    <s v="4 Pos. MCP 1,5mm Sealed"/>
    <m/>
    <s v="No"/>
    <s v="Yes"/>
    <s v="Yes"/>
    <n v="1"/>
    <n v="1"/>
    <n v="1"/>
    <n v="1"/>
  </r>
  <r>
    <x v="153"/>
    <s v="39.0_HVAC &amp; Thermal"/>
    <s v="39.10_PassengerThermal-System"/>
    <s v="F0483"/>
    <s v="HVAC-System, Fully Manual"/>
    <s v="QM"/>
    <s v="Comfort"/>
    <s v="Climate Control"/>
    <s v="Refrigerant Pressure and Temperature"/>
    <s v="with Air Conditioning"/>
    <s v="Sensor"/>
    <s v="Refrigerant Suction PT"/>
    <s v="Refrigerant Suction PT - Refrigerant Pressure and Temperature"/>
    <m/>
    <m/>
    <s v="16;1"/>
    <s v="TE"/>
    <s v="1563689-1"/>
    <s v="4 Pos. MCP 1,5mm Sealed"/>
    <m/>
    <s v="Yes"/>
    <s v="No"/>
    <s v="No"/>
    <n v="1"/>
    <n v="1"/>
    <n v="1"/>
    <n v="1"/>
  </r>
  <r>
    <x v="153"/>
    <s v="39.0_HVAC &amp; Thermal"/>
    <s v="39.10_PassengerThermal-System"/>
    <s v="F0906"/>
    <s v="HVAC Preconditioning"/>
    <s v="QM"/>
    <s v="Comfort"/>
    <s v="Climate Control"/>
    <s v="Refrigerant Pressure and Temperature"/>
    <s v="with Air Conditioning"/>
    <s v="Sensor"/>
    <s v="Refrigerant Suction PT"/>
    <s v="Refrigerant Suction PT - Refrigerant Pressure and Temperature"/>
    <m/>
    <m/>
    <s v="16;1"/>
    <s v="TE"/>
    <s v="1563689-1"/>
    <s v="4 Pos. MCP 1,5mm Sealed"/>
    <m/>
    <s v="No"/>
    <s v="Yes"/>
    <s v="Yes"/>
    <n v="1"/>
    <n v="1"/>
    <n v="1"/>
    <n v="1"/>
  </r>
  <r>
    <x v="153"/>
    <s v="39.0_HVAC &amp; Thermal"/>
    <s v="39.10_PassengerThermal-System"/>
    <s v="F0x17"/>
    <s v="HVAC-System, 2-Zones Front"/>
    <s v="QM"/>
    <s v="Comfort"/>
    <s v="Climate Control"/>
    <s v="Refrigerant Pressure and Temperature"/>
    <s v="with Air Conditioning"/>
    <s v="Sensor"/>
    <s v="Refrigerant Suction PT"/>
    <s v="Refrigerant Suction PT - Refrigerant Pressure and Temperature"/>
    <m/>
    <m/>
    <s v="16;1"/>
    <s v="TE"/>
    <s v="1563689-1"/>
    <s v="4 Pos. MCP 1,5mm Sealed"/>
    <m/>
    <s v="No"/>
    <s v="Yes"/>
    <s v="No"/>
    <n v="1"/>
    <n v="1"/>
    <n v="1"/>
    <n v="1"/>
  </r>
  <r>
    <x v="153"/>
    <s v="39.0_HVAC &amp; Thermal"/>
    <s v="39.10_PassengerThermal-System"/>
    <s v="F0x19"/>
    <s v="HVAC-System, Heat Pump Driven"/>
    <s v="QM"/>
    <s v="Comfort"/>
    <s v="Climate Control"/>
    <s v="Refrigerant Pressure and Temperature"/>
    <s v="with Air Conditioning"/>
    <s v="Sensor"/>
    <s v="Refrigerant Suction PT"/>
    <s v="Refrigerant Suction PT - Refrigerant Pressure and Temperature"/>
    <m/>
    <m/>
    <s v="16;1"/>
    <s v="TE"/>
    <s v="1563689-1"/>
    <s v="4 Pos. MCP 1,5mm Sealed"/>
    <m/>
    <s v="No"/>
    <s v="Yes"/>
    <s v="Yes"/>
    <n v="1"/>
    <n v="1"/>
    <n v="1"/>
    <n v="1"/>
  </r>
  <r>
    <x v="153"/>
    <s v="39.0_HVAC &amp; Thermal"/>
    <s v="39.10_PassengerThermal-System"/>
    <s v="F0x20"/>
    <s v="HVAC-System, Electrical Heating"/>
    <s v="QM"/>
    <s v="Comfort"/>
    <s v="Climate Control"/>
    <s v="Refrigerant Pressure and Temperature"/>
    <s v="with Air Conditioning"/>
    <s v="Sensor"/>
    <s v="Refrigerant Suction PT"/>
    <s v="Refrigerant Suction PT - Refrigerant Pressure and Temperature"/>
    <m/>
    <m/>
    <s v="16;1"/>
    <s v="TE"/>
    <s v="1563689-1"/>
    <s v="4 Pos. MCP 1,5mm Sealed"/>
    <m/>
    <s v="No"/>
    <s v="Yes"/>
    <s v="Yes"/>
    <n v="1"/>
    <n v="1"/>
    <n v="1"/>
    <n v="1"/>
  </r>
  <r>
    <x v="154"/>
    <s v="39.0_HVAC &amp; Thermal"/>
    <s v="39.10_PassengerThermal-System"/>
    <s v="F0016"/>
    <s v="HVAC-System, 3- / 4-Zones"/>
    <s v="QM"/>
    <s v="Comfort"/>
    <s v="Climate Control"/>
    <s v="Refrigerant Pressure and Temperature"/>
    <s v="with Air Conditioning"/>
    <s v="Sensor"/>
    <s v="Refrigerant Discharge PT"/>
    <s v="Refrigerant Discharge PT - Refrigerant Pressure and Temperature"/>
    <m/>
    <m/>
    <s v="16;3"/>
    <s v="TE"/>
    <s v="1563689-1"/>
    <s v="4 Pos. MCP 1,5mm Sealed"/>
    <m/>
    <s v="No"/>
    <s v="No"/>
    <s v="Yes"/>
    <n v="1"/>
    <n v="1"/>
    <n v="1"/>
    <n v="1"/>
  </r>
  <r>
    <x v="154"/>
    <s v="39.0_HVAC &amp; Thermal"/>
    <s v="39.10_PassengerThermal-System"/>
    <s v="F0116"/>
    <s v="HVAC-Defrost, Manual"/>
    <s v="QM"/>
    <s v="Comfort"/>
    <s v="Climate Control"/>
    <s v="Refrigerant Pressure and Temperature"/>
    <s v="with Air Conditioning"/>
    <s v="Sensor"/>
    <s v="Refrigerant Discharge PT"/>
    <s v="Refrigerant Discharge PT - Refrigerant Pressure and Temperature"/>
    <m/>
    <m/>
    <s v="16;3"/>
    <s v="TE"/>
    <s v="1563689-1"/>
    <s v="4 Pos. MCP 1,5mm Sealed"/>
    <m/>
    <s v="No"/>
    <s v="Yes"/>
    <s v="Yes"/>
    <n v="1"/>
    <n v="1"/>
    <n v="1"/>
    <n v="1"/>
  </r>
  <r>
    <x v="154"/>
    <s v="39.0_HVAC &amp; Thermal"/>
    <s v="39.10_PassengerThermal-System"/>
    <s v="F0233"/>
    <s v="HVAC-Temperature, Automatic"/>
    <s v="QM"/>
    <s v="Comfort"/>
    <s v="Climate Control"/>
    <s v="Refrigerant Pressure and Temperature"/>
    <s v="with Air Conditioning"/>
    <s v="Sensor"/>
    <s v="Refrigerant Discharge PT"/>
    <s v="Refrigerant Discharge PT - Refrigerant Pressure and Temperature"/>
    <m/>
    <m/>
    <s v="16;3"/>
    <s v="TE"/>
    <s v="1563689-1"/>
    <s v="4 Pos. MCP 1,5mm Sealed"/>
    <m/>
    <s v="No"/>
    <s v="Yes"/>
    <s v="Yes"/>
    <n v="1"/>
    <n v="1"/>
    <n v="1"/>
    <n v="1"/>
  </r>
  <r>
    <x v="154"/>
    <s v="39.0_HVAC &amp; Thermal"/>
    <s v="39.10_PassengerThermal-System"/>
    <s v="F0234"/>
    <s v="HVAC-Blower, Automatic"/>
    <s v="QM"/>
    <s v="Comfort"/>
    <s v="Climate Control"/>
    <s v="Refrigerant Pressure and Temperature"/>
    <s v="with Air Conditioning"/>
    <s v="Sensor"/>
    <s v="Refrigerant Discharge PT"/>
    <s v="Refrigerant Discharge PT - Refrigerant Pressure and Temperature"/>
    <m/>
    <m/>
    <s v="16;3"/>
    <s v="TE"/>
    <s v="1563689-1"/>
    <s v="4 Pos. MCP 1,5mm Sealed"/>
    <m/>
    <s v="No"/>
    <s v="Yes"/>
    <s v="Yes"/>
    <n v="1"/>
    <n v="1"/>
    <n v="1"/>
    <n v="1"/>
  </r>
  <r>
    <x v="154"/>
    <s v="39.0_HVAC &amp; Thermal"/>
    <s v="39.10_PassengerThermal-System"/>
    <s v="F0483"/>
    <s v="HVAC-System, Fully Manual"/>
    <s v="QM"/>
    <s v="Comfort"/>
    <s v="Climate Control"/>
    <s v="Refrigerant Pressure and Temperature"/>
    <s v="with Air Conditioning"/>
    <s v="Sensor"/>
    <s v="Refrigerant Discharge PT"/>
    <s v="Refrigerant Discharge PT - Refrigerant Pressure and Temperature"/>
    <m/>
    <m/>
    <s v="16;3"/>
    <s v="TE"/>
    <s v="1563689-1"/>
    <s v="4 Pos. MCP 1,5mm Sealed"/>
    <m/>
    <s v="Yes"/>
    <s v="No"/>
    <s v="No"/>
    <n v="1"/>
    <n v="1"/>
    <n v="1"/>
    <n v="1"/>
  </r>
  <r>
    <x v="154"/>
    <s v="39.0_HVAC &amp; Thermal"/>
    <s v="39.10_PassengerThermal-System"/>
    <s v="F0906"/>
    <s v="HVAC Preconditioning"/>
    <s v="QM"/>
    <s v="Comfort"/>
    <s v="Climate Control"/>
    <s v="Refrigerant Pressure and Temperature"/>
    <s v="with Air Conditioning"/>
    <s v="Sensor"/>
    <s v="Refrigerant Discharge PT"/>
    <s v="Refrigerant Discharge PT - Refrigerant Pressure and Temperature"/>
    <m/>
    <m/>
    <s v="16;3"/>
    <s v="TE"/>
    <s v="1563689-1"/>
    <s v="4 Pos. MCP 1,5mm Sealed"/>
    <m/>
    <s v="No"/>
    <s v="Yes"/>
    <s v="Yes"/>
    <n v="1"/>
    <n v="1"/>
    <n v="1"/>
    <n v="1"/>
  </r>
  <r>
    <x v="154"/>
    <s v="39.0_HVAC &amp; Thermal"/>
    <s v="39.10_PassengerThermal-System"/>
    <s v="F0x17"/>
    <s v="HVAC-System, 2-Zones Front"/>
    <s v="QM"/>
    <s v="Comfort"/>
    <s v="Climate Control"/>
    <s v="Refrigerant Pressure and Temperature"/>
    <s v="with Air Conditioning"/>
    <s v="Sensor"/>
    <s v="Refrigerant Discharge PT"/>
    <s v="Refrigerant Discharge PT - Refrigerant Pressure and Temperature"/>
    <m/>
    <m/>
    <s v="16;3"/>
    <s v="TE"/>
    <s v="1563689-1"/>
    <s v="4 Pos. MCP 1,5mm Sealed"/>
    <m/>
    <s v="No"/>
    <s v="Yes"/>
    <s v="No"/>
    <n v="1"/>
    <n v="1"/>
    <n v="1"/>
    <n v="1"/>
  </r>
  <r>
    <x v="154"/>
    <s v="39.0_HVAC &amp; Thermal"/>
    <s v="39.10_PassengerThermal-System"/>
    <s v="F0x19"/>
    <s v="HVAC-System, Heat Pump Driven"/>
    <s v="QM"/>
    <s v="Comfort"/>
    <s v="Climate Control"/>
    <s v="Refrigerant Pressure and Temperature"/>
    <s v="with Air Conditioning"/>
    <s v="Sensor"/>
    <s v="Refrigerant Discharge PT"/>
    <s v="Refrigerant Discharge PT - Refrigerant Pressure and Temperature"/>
    <m/>
    <m/>
    <s v="16;3"/>
    <s v="TE"/>
    <s v="1563689-1"/>
    <s v="4 Pos. MCP 1,5mm Sealed"/>
    <m/>
    <s v="No"/>
    <s v="Yes"/>
    <s v="Yes"/>
    <n v="1"/>
    <n v="1"/>
    <n v="1"/>
    <n v="1"/>
  </r>
  <r>
    <x v="154"/>
    <s v="39.0_HVAC &amp; Thermal"/>
    <s v="39.10_PassengerThermal-System"/>
    <s v="F0x20"/>
    <s v="HVAC-System, Electrical Heating"/>
    <s v="QM"/>
    <s v="Comfort"/>
    <s v="Climate Control"/>
    <s v="Refrigerant Pressure and Temperature"/>
    <s v="with Air Conditioning"/>
    <s v="Sensor"/>
    <s v="Refrigerant Discharge PT"/>
    <s v="Refrigerant Discharge PT - Refrigerant Pressure and Temperature"/>
    <m/>
    <m/>
    <s v="16;3"/>
    <s v="TE"/>
    <s v="1563689-1"/>
    <s v="4 Pos. MCP 1,5mm Sealed"/>
    <m/>
    <s v="No"/>
    <s v="Yes"/>
    <s v="Yes"/>
    <n v="1"/>
    <n v="1"/>
    <n v="1"/>
    <n v="1"/>
  </r>
  <r>
    <x v="155"/>
    <s v="14.0_HMI &amp; OutsideInformation"/>
    <s v="14.10_DriverInformation-System"/>
    <s v="F0904"/>
    <s v="Indications, Error in Airbag System"/>
    <m/>
    <s v="Chassis"/>
    <s v="Airbag"/>
    <s v="Crash Sensor"/>
    <s v="Basic"/>
    <s v="Sensor"/>
    <s v="Front Impact Sensor Mid RH"/>
    <s v="Front Impact Sensor Mid RH - Crash Sensor"/>
    <m/>
    <m/>
    <s v="-14;8"/>
    <s v="TE"/>
    <s v="1-967644-1"/>
    <s v="2 Pos. MQS 0,63mm Sealed"/>
    <m/>
    <s v="No"/>
    <s v="Yes"/>
    <s v="Yes"/>
    <n v="1"/>
    <n v="1"/>
    <n v="1"/>
    <n v="1"/>
  </r>
  <r>
    <x v="156"/>
    <s v="14.0_HMI &amp; OutsideInformation"/>
    <s v="14.10_DriverInformation-System"/>
    <s v="F0904"/>
    <s v="Indications, Error in Airbag System"/>
    <m/>
    <s v="Chassis"/>
    <s v="Airbag"/>
    <s v="Crash Sensor"/>
    <s v="Basic"/>
    <s v="Sensor"/>
    <s v="Front Impact Sensor Mid LH"/>
    <s v="Front Impact Sensor Mid LH - Crash Sensor"/>
    <m/>
    <m/>
    <s v="-14;-8"/>
    <s v="TE"/>
    <s v="1-967644-1"/>
    <s v="2 Pos. MQS 0,63mm Sealed"/>
    <m/>
    <s v="No"/>
    <s v="Yes"/>
    <s v="Yes"/>
    <n v="1"/>
    <n v="1"/>
    <n v="1"/>
    <n v="1"/>
  </r>
  <r>
    <x v="157"/>
    <s v="10.0_Comfort &amp; Exterior"/>
    <s v="10.10_CentralLocking-System"/>
    <s v="F0xx1"/>
    <s v="Central Door Lock, Front Hood"/>
    <m/>
    <s v="Comfort"/>
    <s v="Central Locking"/>
    <s v="Hood Lock and Unlock"/>
    <s v="with Central Locking"/>
    <s v="Actuator"/>
    <s v="Hood Stepper Motor"/>
    <s v="Hood Stepper Motor - Hood Lock and Unlock"/>
    <m/>
    <m/>
    <s v="-14;0"/>
    <s v="TE"/>
    <s v="1563689-1"/>
    <s v="4 Pos. MCP 1,5mm Sealed"/>
    <m/>
    <s v="No"/>
    <s v="No"/>
    <s v="Yes"/>
    <n v="8.3333333333333339E-4"/>
    <n v="8.3333333333333339E-4"/>
    <n v="8.3333333333333339E-4"/>
    <n v="8.3333333333333339E-4"/>
  </r>
  <r>
    <x v="157"/>
    <s v="10.0_Comfort &amp; Exterior"/>
    <s v="10.10_CentralLocking-System"/>
    <s v="F0xx2"/>
    <s v="Front Hood, Electric Release"/>
    <m/>
    <s v="Comfort"/>
    <s v="Central Locking"/>
    <s v="Hood Lock and Unlock"/>
    <s v="with Central Locking"/>
    <s v="Actuator"/>
    <s v="Hood Stepper Motor"/>
    <s v="Hood Stepper Motor - Hood Lock and Unlock"/>
    <m/>
    <m/>
    <s v="-14;0"/>
    <s v="TE"/>
    <s v="1563689-1"/>
    <s v="4 Pos. MCP 1,5mm Sealed"/>
    <m/>
    <s v="No"/>
    <s v="No"/>
    <s v="Yes"/>
    <n v="8.3333333333333339E-4"/>
    <n v="8.3333333333333339E-4"/>
    <n v="8.3333333333333339E-4"/>
    <n v="8.3333333333333339E-4"/>
  </r>
  <r>
    <x v="158"/>
    <s v="10.0_Comfort &amp; Exterior"/>
    <s v="10.10_CentralLocking-System"/>
    <s v="F0xx2"/>
    <s v="Front Hood, Electric Release"/>
    <m/>
    <s v="Comfort"/>
    <s v="Central Locking"/>
    <s v="Hood Opening"/>
    <s v="with Central Locking"/>
    <s v="Sensor"/>
    <s v="Hood Latch Sensor"/>
    <s v="Hood Latch Sensor - Hood Opening"/>
    <m/>
    <m/>
    <s v="-14;0"/>
    <s v="TE"/>
    <s v="2141467-1"/>
    <s v="2 Pos. NanoMQS 0,5mm Sealed"/>
    <m/>
    <s v="No"/>
    <s v="No"/>
    <s v="No"/>
    <n v="8.3333333333333339E-4"/>
    <n v="8.3333333333333339E-4"/>
    <n v="8.3333333333333339E-4"/>
    <n v="8.3333333333333339E-4"/>
  </r>
  <r>
    <x v="159"/>
    <s v="10.0_Comfort &amp; Exterior"/>
    <s v="10.10_CentralLocking-System"/>
    <s v="F0xx1"/>
    <s v="Central Door Lock, Front Hood"/>
    <m/>
    <s v="Comfort"/>
    <s v="Central Locking"/>
    <s v="Hood Opening"/>
    <s v="with Central Locking"/>
    <s v="Switch"/>
    <s v="User Selector"/>
    <s v="User Selector - Hood Opening"/>
    <m/>
    <m/>
    <s v="33;-1"/>
    <s v="TE"/>
    <s v="2282151-1"/>
    <s v="3 Pos. NanoMQS 0,5mm Unsealed"/>
    <m/>
    <s v="No"/>
    <s v="No"/>
    <s v="Yes"/>
    <n v="8.3333333333333339E-4"/>
    <n v="8.3333333333333339E-4"/>
    <n v="8.3333333333333339E-4"/>
    <n v="8.3333333333333339E-4"/>
  </r>
  <r>
    <x v="159"/>
    <s v="13.0_Comfort &amp; Interior"/>
    <s v="13.30_InsideLighting-System"/>
    <s v="F0x52"/>
    <s v="Front Trunk Lighting"/>
    <s v="QM"/>
    <s v="Comfort"/>
    <s v="Central Locking"/>
    <s v="Hood Opening"/>
    <s v="with Central Locking"/>
    <s v="Switch"/>
    <s v="User Selector"/>
    <s v="User Selector - Hood Opening"/>
    <m/>
    <m/>
    <s v="33;-1"/>
    <s v="TE"/>
    <s v="2282151-1"/>
    <s v="3 Pos. NanoMQS 0,5mm Unsealed"/>
    <m/>
    <s v="No"/>
    <s v="No"/>
    <s v="Yes"/>
    <n v="8.3333333333333339E-4"/>
    <n v="8.3333333333333339E-4"/>
    <n v="8.3333333333333339E-4"/>
    <n v="8.3333333333333339E-4"/>
  </r>
  <r>
    <x v="160"/>
    <s v="10.0_Comfort &amp; Exterior"/>
    <s v="10.11_VehicleAccess-System"/>
    <s v="F0020"/>
    <s v="Anti Theft, Alarm"/>
    <m/>
    <s v="Comfort"/>
    <s v="Anti-Theft"/>
    <s v="Alarm Horn"/>
    <s v="Anti-Theft"/>
    <s v="Actuator"/>
    <s v="Horn"/>
    <s v="Horn - Alarm Horn"/>
    <m/>
    <m/>
    <s v="19;0"/>
    <s v="TE"/>
    <s v="1823679-1"/>
    <s v="3 Pos. MCP 1,5mm Sealed"/>
    <m/>
    <s v="No"/>
    <s v="Yes"/>
    <s v="Yes"/>
    <n v="8.3333333333333332E-3"/>
    <n v="8.3333333333333332E-3"/>
    <n v="8.3333333333333332E-3"/>
    <n v="8.3333333333333332E-3"/>
  </r>
  <r>
    <x v="161"/>
    <s v="39.0_HVAC &amp; Thermal"/>
    <s v="39.11_ComponentThermal-System"/>
    <s v="F0257"/>
    <s v="HV-Components, Cooling"/>
    <s v="TBD"/>
    <s v="Powertrain"/>
    <s v="Cooling/Heating"/>
    <s v="Radiator Air Flow Control"/>
    <s v="EV"/>
    <s v="Actuator"/>
    <s v="Louver Stepper Motor"/>
    <s v="Louver Stepper Motor - Radiator Air Flow Control"/>
    <m/>
    <m/>
    <m/>
    <m/>
    <m/>
    <m/>
    <m/>
    <m/>
    <m/>
    <m/>
    <m/>
    <m/>
    <m/>
    <m/>
  </r>
  <r>
    <x v="161"/>
    <s v="39.0_HVAC &amp; Thermal"/>
    <s v="39.11_ComponentThermal-System"/>
    <s v="F0553"/>
    <s v="Thermal Management, HV-CoolingGeneration"/>
    <s v="QM"/>
    <s v="Powertrain"/>
    <s v="Cooling/Heating"/>
    <s v="Radiator Air Flow Control"/>
    <s v="EV"/>
    <s v="Actuator"/>
    <s v="Louver Stepper Motor"/>
    <s v="Louver Stepper Motor - Radiator Air Flow Control"/>
    <m/>
    <m/>
    <m/>
    <m/>
    <m/>
    <m/>
    <m/>
    <m/>
    <m/>
    <m/>
    <m/>
    <m/>
    <m/>
    <m/>
  </r>
  <r>
    <x v="162"/>
    <s v="10.0_Comfort &amp; Exterior"/>
    <s v="10.30_OutsideLighting-System"/>
    <s v="F0031"/>
    <s v="Front Lighting, Daytime Running Light"/>
    <s v="QM"/>
    <s v="Body"/>
    <s v="Environment Detection"/>
    <s v="Environment Detection"/>
    <s v="Automatic Wiper and/or Lights Activation"/>
    <s v="Sensor"/>
    <s v="Rain and Light Detection"/>
    <s v="Rain and Light Detection - Environment Detection"/>
    <m/>
    <m/>
    <s v="39;0"/>
    <s v="TE"/>
    <s v="2282151-2"/>
    <s v="3 Pos. NanoMQS 0,5mm Unsealed"/>
    <m/>
    <s v="No"/>
    <s v="Yes"/>
    <s v="Yes"/>
    <n v="1"/>
    <n v="1"/>
    <n v="1"/>
    <n v="1"/>
  </r>
  <r>
    <x v="162"/>
    <s v="10.0_Comfort &amp; Exterior"/>
    <s v="10.30_OutsideLighting-System"/>
    <s v="F0053"/>
    <s v="Door Lighting Outside, Open Door Front"/>
    <s v="QM"/>
    <s v="Body"/>
    <s v="Environment Detection"/>
    <s v="Environment Detection"/>
    <s v="Automatic Wiper and/or Lights Activation"/>
    <s v="Sensor"/>
    <s v="Rain and Light Detection"/>
    <s v="Rain and Light Detection - Environment Detection"/>
    <m/>
    <m/>
    <s v="39;0"/>
    <s v="TE"/>
    <s v="2282151-2"/>
    <s v="3 Pos. NanoMQS 0,5mm Unsealed"/>
    <m/>
    <s v="No"/>
    <s v="Yes"/>
    <s v="Yes"/>
    <n v="1"/>
    <n v="1"/>
    <n v="1"/>
    <n v="1"/>
  </r>
  <r>
    <x v="162"/>
    <s v="10.0_Comfort &amp; Exterior"/>
    <s v="10.30_OutsideLighting-System"/>
    <s v="F0074"/>
    <s v="Rear Lighting, Licence Plate"/>
    <s v="QM"/>
    <s v="Body"/>
    <s v="Environment Detection"/>
    <s v="Environment Detection"/>
    <s v="Automatic Wiper and/or Lights Activation"/>
    <s v="Sensor"/>
    <s v="Rain and Light Detection"/>
    <s v="Rain and Light Detection - Environment Detection"/>
    <m/>
    <m/>
    <s v="39;0"/>
    <s v="TE"/>
    <s v="2282151-2"/>
    <s v="3 Pos. NanoMQS 0,5mm Unsealed"/>
    <m/>
    <s v="No"/>
    <s v="Yes"/>
    <s v="Yes"/>
    <n v="1"/>
    <n v="1"/>
    <n v="1"/>
    <n v="1"/>
  </r>
  <r>
    <x v="162"/>
    <s v="10.0_Comfort &amp; Exterior"/>
    <s v="10.30_OutsideLighting-System"/>
    <s v="F0076"/>
    <s v="Rain Light Sensing, Automatic Light"/>
    <s v="B"/>
    <s v="Body"/>
    <s v="Environment Detection"/>
    <s v="Environment Detection"/>
    <s v="Automatic Wiper and/or Lights Activation"/>
    <s v="Sensor"/>
    <s v="Rain and Light Detection"/>
    <s v="Rain and Light Detection - Environment Detection"/>
    <m/>
    <m/>
    <s v="39;0"/>
    <s v="TE"/>
    <s v="2282151-2"/>
    <s v="3 Pos. NanoMQS 0,5mm Unsealed"/>
    <m/>
    <s v="No"/>
    <s v="Yes"/>
    <s v="Yes"/>
    <n v="1"/>
    <n v="1"/>
    <n v="1"/>
    <n v="1"/>
  </r>
  <r>
    <x v="162"/>
    <s v="10.0_Comfort &amp; Exterior"/>
    <s v="10.30_OutsideLighting-System"/>
    <s v="F0225"/>
    <s v="Front Lighting, Low Beam"/>
    <s v="B"/>
    <s v="Body"/>
    <s v="Environment Detection"/>
    <s v="Environment Detection"/>
    <s v="Automatic Wiper and/or Lights Activation"/>
    <s v="Sensor"/>
    <s v="Rain and Light Detection"/>
    <s v="Rain and Light Detection - Environment Detection"/>
    <m/>
    <m/>
    <s v="39;0"/>
    <s v="TE"/>
    <s v="2282151-2"/>
    <s v="3 Pos. NanoMQS 0,5mm Unsealed"/>
    <m/>
    <s v="No"/>
    <s v="Yes"/>
    <s v="Yes"/>
    <n v="1"/>
    <n v="1"/>
    <n v="1"/>
    <n v="1"/>
  </r>
  <r>
    <x v="162"/>
    <s v="10.0_Comfort &amp; Exterior"/>
    <s v="10.30_OutsideLighting-System"/>
    <s v="F0379"/>
    <s v="Door Lighting Outside, Open Door Rear"/>
    <s v="QM"/>
    <s v="Body"/>
    <s v="Environment Detection"/>
    <s v="Environment Detection"/>
    <s v="Automatic Wiper and/or Lights Activation"/>
    <s v="Sensor"/>
    <s v="Rain and Light Detection"/>
    <s v="Rain and Light Detection - Environment Detection"/>
    <m/>
    <m/>
    <s v="39;0"/>
    <s v="TE"/>
    <s v="2282151-2"/>
    <s v="3 Pos. NanoMQS 0,5mm Unsealed"/>
    <m/>
    <s v="No"/>
    <s v="Yes"/>
    <s v="Yes"/>
    <n v="1"/>
    <n v="1"/>
    <n v="1"/>
    <n v="1"/>
  </r>
  <r>
    <x v="162"/>
    <s v="10.0_Comfort &amp; Exterior"/>
    <s v="10.40_Wiping-System"/>
    <s v="F0150"/>
    <s v="Rain Light Sensing, Automatic Wiper"/>
    <s v="A"/>
    <s v="Body"/>
    <s v="Environment Detection"/>
    <s v="Environment Detection"/>
    <s v="Automatic Wiper and/or Lights Activation"/>
    <s v="Sensor"/>
    <s v="Rain and Light Detection"/>
    <s v="Rain and Light Detection - Environment Detection"/>
    <m/>
    <m/>
    <s v="39;0"/>
    <s v="TE"/>
    <s v="2282151-2"/>
    <s v="3 Pos. NanoMQS 0,5mm Unsealed"/>
    <m/>
    <s v="No"/>
    <s v="Yes"/>
    <s v="Yes"/>
    <n v="1"/>
    <n v="1"/>
    <n v="1"/>
    <n v="1"/>
  </r>
  <r>
    <x v="163"/>
    <s v="37.0_ADAS &amp; AutomatedDriving"/>
    <s v="37.02_Alerting-System"/>
    <s v="F0599"/>
    <s v="Event Recorder, Video Capturing"/>
    <m/>
    <s v="Drive Assistance"/>
    <s v="Driver Assistance System"/>
    <s v="Driver Monitoring"/>
    <s v="L3"/>
    <s v="Camera"/>
    <s v="Interior Camera"/>
    <s v="Interior Camera - Driver Monitoring"/>
    <m/>
    <m/>
    <s v="42;-3"/>
    <s v="TE"/>
    <s v="1452581-2"/>
    <s v="1 Pos. Fakra II Unsealed"/>
    <m/>
    <s v="No"/>
    <s v="No"/>
    <s v="Yes"/>
    <n v="1"/>
    <n v="1"/>
    <n v="1"/>
    <n v="1"/>
  </r>
  <r>
    <x v="163"/>
    <s v="37.0_ADAS &amp; AutomatedDriving"/>
    <s v="37.02_Alerting-System"/>
    <s v="F2006"/>
    <s v="Driver Monitoring, Direct Drowsiness Detection"/>
    <m/>
    <s v="Drive Assistance"/>
    <s v="Driver Assistance System"/>
    <s v="Driver Monitoring"/>
    <s v="L3"/>
    <s v="Camera"/>
    <s v="Interior Camera"/>
    <s v="Interior Camera - Driver Monitoring"/>
    <m/>
    <m/>
    <s v="42;-3"/>
    <s v="TE"/>
    <s v="1452581-2"/>
    <s v="1 Pos. Fakra II Unsealed"/>
    <m/>
    <s v="No"/>
    <s v="No"/>
    <s v="Yes"/>
    <n v="1"/>
    <n v="1"/>
    <n v="1"/>
    <n v="1"/>
  </r>
  <r>
    <x v="164"/>
    <m/>
    <m/>
    <m/>
    <m/>
    <m/>
    <s v="Powertrain"/>
    <s v="Motor"/>
    <s v="Traction"/>
    <s v="EV"/>
    <s v="Actuator"/>
    <s v="Traction Motor Rear"/>
    <s v="Traction Motor Rear - Traction"/>
    <m/>
    <m/>
    <s v="99;8"/>
    <s v="TE"/>
    <s v="2-1418479-1"/>
    <s v="8 Pos. MCP 1,5mm Sealed - Heavy Duty"/>
    <m/>
    <s v="No"/>
    <s v="No"/>
    <s v="Yes"/>
    <n v="1"/>
    <n v="1"/>
    <n v="1"/>
    <n v="1"/>
  </r>
  <r>
    <x v="165"/>
    <m/>
    <m/>
    <m/>
    <m/>
    <m/>
    <s v="Powertrain"/>
    <s v="Motor"/>
    <s v="Traction"/>
    <s v="EV AWD"/>
    <s v="Actuator"/>
    <s v="Traction Motor Front"/>
    <s v="Traction Motor Front - Traction"/>
    <m/>
    <m/>
    <s v="16;8"/>
    <s v="TE"/>
    <s v="2-1418479-1"/>
    <s v="8 Pos. MCP 1,5mm Sealed - Heavy Duty"/>
    <m/>
    <s v="No"/>
    <s v="No"/>
    <s v="Yes"/>
    <n v="1"/>
    <n v="1"/>
    <n v="1"/>
    <n v="1"/>
  </r>
  <r>
    <x v="166"/>
    <s v="28.0_Powertrain &amp; Driveability"/>
    <s v="28.11_TorqueCoordination-System"/>
    <s v="F0589"/>
    <s v="Engine Function, Acceleration Control"/>
    <s v="-"/>
    <s v="Powertrain"/>
    <s v="Motor"/>
    <s v="Power Convertion"/>
    <s v="EV"/>
    <s v="Actuator"/>
    <s v="Inverter Rear"/>
    <s v="Inverter Rear - Power Convertion"/>
    <m/>
    <m/>
    <s v="99;4"/>
    <s v="TE"/>
    <s v="1-1564514-1"/>
    <s v="8 Pos. MCP 1,5mm Sealed - Heavy Duty"/>
    <m/>
    <s v="No"/>
    <s v="No"/>
    <s v="Yes"/>
    <n v="1"/>
    <n v="1"/>
    <n v="1"/>
    <n v="1"/>
  </r>
  <r>
    <x v="167"/>
    <s v="28.0_Powertrain &amp; Driveability"/>
    <s v="28.11_TorqueCoordination-System"/>
    <s v="F1223"/>
    <s v="Transmission, BEV Second Gear"/>
    <m/>
    <s v="Powertrain"/>
    <s v="Transmission"/>
    <s v="Oil Flow"/>
    <s v="EV"/>
    <s v="Actuator"/>
    <s v="Oil Pump - Rear Drive Unit"/>
    <s v="Oil Pump - Rear Drive Unit - Oil Flow"/>
    <m/>
    <m/>
    <m/>
    <m/>
    <m/>
    <m/>
    <m/>
    <m/>
    <m/>
    <m/>
    <m/>
    <m/>
    <m/>
    <m/>
  </r>
  <r>
    <x v="168"/>
    <s v="10.0_Comfort &amp; Exterior"/>
    <s v="10.30_OutsideLighting-System"/>
    <s v="F0071"/>
    <s v="Light Scenario, Fog Cornering"/>
    <s v="QM"/>
    <s v="Chassis"/>
    <s v="Brake"/>
    <s v="Wheel Speed"/>
    <s v="Basic"/>
    <s v="Sensor"/>
    <s v="Wheel Speed Sensor RL"/>
    <s v="Wheel Speed Sensor RL - Wheel Speed"/>
    <m/>
    <m/>
    <s v="90;-18"/>
    <s v="TE"/>
    <s v="1-1355200-1"/>
    <s v="2 Pos. MCP 2,8mm Sealed"/>
    <s v="No"/>
    <s v="Yes"/>
    <s v="Yes"/>
    <s v="Yes"/>
    <n v="1"/>
    <n v="1"/>
    <n v="1"/>
    <n v="1"/>
  </r>
  <r>
    <x v="168"/>
    <s v="14.0_HMI &amp; OutsideInformation"/>
    <s v="14.10_DriverInformation-System"/>
    <s v="F0465"/>
    <s v="Indications, Vehicle Speed"/>
    <m/>
    <s v="Chassis"/>
    <s v="Brake"/>
    <s v="Wheel Speed"/>
    <s v="Basic"/>
    <s v="Sensor"/>
    <s v="Wheel Speed Sensor RL"/>
    <s v="Wheel Speed Sensor RL - Wheel Speed"/>
    <m/>
    <m/>
    <s v="90;-18"/>
    <s v="TE"/>
    <s v="1-1355200-1"/>
    <s v="2 Pos. MCP 2,8mm Sealed"/>
    <s v="No"/>
    <s v="Yes"/>
    <s v="Yes"/>
    <s v="Yes"/>
    <n v="1"/>
    <n v="1"/>
    <n v="1"/>
    <n v="1"/>
  </r>
  <r>
    <x v="168"/>
    <s v="14.0_HMI &amp; OutsideInformation"/>
    <s v="14.10_DriverInformation-System"/>
    <s v="F0631"/>
    <s v="Indications, Electric Range Estimation"/>
    <s v="B"/>
    <s v="Chassis"/>
    <s v="Brake"/>
    <s v="Wheel Speed"/>
    <s v="Basic"/>
    <s v="Sensor"/>
    <s v="Wheel Speed Sensor RL"/>
    <s v="Wheel Speed Sensor RL - Wheel Speed"/>
    <m/>
    <m/>
    <s v="90;-18"/>
    <s v="TE"/>
    <s v="1-1355200-1"/>
    <s v="2 Pos. MCP 2,8mm Sealed"/>
    <s v="No"/>
    <s v="Yes"/>
    <s v="Yes"/>
    <s v="Yes"/>
    <n v="1"/>
    <n v="1"/>
    <n v="1"/>
    <n v="1"/>
  </r>
  <r>
    <x v="168"/>
    <s v="32.0_Comfort &amp; Chassis"/>
    <s v="32.10_Braking-System"/>
    <s v="F0339"/>
    <s v="Brake, By Wire (Electro Mechanic)"/>
    <m/>
    <s v="Chassis"/>
    <s v="Brake"/>
    <s v="Wheel Speed"/>
    <s v="Basic"/>
    <s v="Sensor"/>
    <s v="Wheel Speed Sensor RL"/>
    <s v="Wheel Speed Sensor RL - Wheel Speed"/>
    <m/>
    <m/>
    <s v="90;-18"/>
    <s v="TE"/>
    <s v="1-1355200-1"/>
    <s v="2 Pos. MCP 2,8mm Sealed"/>
    <s v="No"/>
    <s v="Yes"/>
    <s v="Yes"/>
    <s v="Yes"/>
    <n v="1"/>
    <n v="1"/>
    <n v="1"/>
    <n v="1"/>
  </r>
  <r>
    <x v="168"/>
    <s v="32.0_Comfort &amp; Chassis"/>
    <s v="32.10_Braking-System"/>
    <s v="F2000"/>
    <s v="ABS"/>
    <s v="D"/>
    <s v="Chassis"/>
    <s v="Brake"/>
    <s v="Wheel Speed"/>
    <s v="Basic"/>
    <s v="Sensor"/>
    <s v="Wheel Speed Sensor RL"/>
    <s v="Wheel Speed Sensor RL - Wheel Speed"/>
    <m/>
    <m/>
    <s v="90;-18"/>
    <s v="TE"/>
    <s v="1-1355200-1"/>
    <s v="2 Pos. MCP 2,8mm Sealed"/>
    <s v="No"/>
    <s v="Yes"/>
    <s v="Yes"/>
    <s v="Yes"/>
    <n v="1"/>
    <n v="1"/>
    <n v="1"/>
    <n v="1"/>
  </r>
  <r>
    <x v="168"/>
    <s v="36.0_Infotainment &amp; Connectivity"/>
    <s v="36.12_Sound-System"/>
    <s v="F1342"/>
    <s v="Road-noise Active Noise Cancelation (RANC)"/>
    <s v="QM"/>
    <s v="Chassis"/>
    <s v="Brake"/>
    <s v="Wheel Speed"/>
    <s v="Basic"/>
    <s v="Sensor"/>
    <s v="Wheel Speed Sensor RL"/>
    <s v="Wheel Speed Sensor RL - Wheel Speed"/>
    <m/>
    <m/>
    <s v="90;-18"/>
    <s v="TE"/>
    <s v="1-1355200-1"/>
    <s v="2 Pos. MCP 2,8mm Sealed"/>
    <s v="No"/>
    <s v="Yes"/>
    <s v="Yes"/>
    <s v="Yes"/>
    <n v="1"/>
    <n v="1"/>
    <n v="1"/>
    <n v="1"/>
  </r>
  <r>
    <x v="169"/>
    <s v="10.0_Comfort &amp; Exterior"/>
    <s v="10.30_OutsideLighting-System"/>
    <s v="F0071"/>
    <s v="Light Scenario, Fog Cornering"/>
    <s v="QM"/>
    <s v="Chassis"/>
    <s v="Brake"/>
    <s v="Wheel Speed"/>
    <s v="Basic"/>
    <s v="Sensor"/>
    <s v="Wheel Speed Sensor RR"/>
    <s v="Wheel Speed Sensor RR - Wheel Speed"/>
    <m/>
    <m/>
    <s v="90;18"/>
    <s v="TE"/>
    <s v="1-1355200-1"/>
    <s v="2 Pos. MCP 2,8mm Sealed"/>
    <s v="No"/>
    <s v="Yes"/>
    <s v="Yes"/>
    <s v="Yes"/>
    <n v="1"/>
    <n v="1"/>
    <n v="1"/>
    <n v="1"/>
  </r>
  <r>
    <x v="169"/>
    <s v="14.0_HMI &amp; OutsideInformation"/>
    <s v="14.10_DriverInformation-System"/>
    <s v="F0465"/>
    <s v="Indications, Vehicle Speed"/>
    <m/>
    <s v="Chassis"/>
    <s v="Brake"/>
    <s v="Wheel Speed"/>
    <s v="Basic"/>
    <s v="Sensor"/>
    <s v="Wheel Speed Sensor RR"/>
    <s v="Wheel Speed Sensor RR - Wheel Speed"/>
    <m/>
    <m/>
    <s v="90;18"/>
    <s v="TE"/>
    <s v="1-1355200-1"/>
    <s v="2 Pos. MCP 2,8mm Sealed"/>
    <s v="No"/>
    <s v="Yes"/>
    <s v="Yes"/>
    <s v="Yes"/>
    <n v="1"/>
    <n v="1"/>
    <n v="1"/>
    <n v="1"/>
  </r>
  <r>
    <x v="169"/>
    <s v="14.0_HMI &amp; OutsideInformation"/>
    <s v="14.10_DriverInformation-System"/>
    <s v="F0631"/>
    <s v="Indications, Electric Range Estimation"/>
    <s v="B"/>
    <s v="Chassis"/>
    <s v="Brake"/>
    <s v="Wheel Speed"/>
    <s v="Basic"/>
    <s v="Sensor"/>
    <s v="Wheel Speed Sensor RR"/>
    <s v="Wheel Speed Sensor RR - Wheel Speed"/>
    <m/>
    <m/>
    <s v="90;18"/>
    <s v="TE"/>
    <s v="1-1355200-1"/>
    <s v="2 Pos. MCP 2,8mm Sealed"/>
    <s v="No"/>
    <s v="Yes"/>
    <s v="Yes"/>
    <s v="Yes"/>
    <n v="1"/>
    <n v="1"/>
    <n v="1"/>
    <n v="1"/>
  </r>
  <r>
    <x v="169"/>
    <s v="32.0_Comfort &amp; Chassis"/>
    <s v="32.10_Braking-System"/>
    <s v="F0339"/>
    <s v="Brake, By Wire (Electro Mechanic)"/>
    <m/>
    <s v="Chassis"/>
    <s v="Brake"/>
    <s v="Wheel Speed"/>
    <s v="Basic"/>
    <s v="Sensor"/>
    <s v="Wheel Speed Sensor RR"/>
    <s v="Wheel Speed Sensor RR - Wheel Speed"/>
    <m/>
    <m/>
    <s v="90;18"/>
    <s v="TE"/>
    <s v="1-1355200-1"/>
    <s v="2 Pos. MCP 2,8mm Sealed"/>
    <s v="No"/>
    <s v="Yes"/>
    <s v="Yes"/>
    <s v="Yes"/>
    <n v="1"/>
    <n v="1"/>
    <n v="1"/>
    <n v="1"/>
  </r>
  <r>
    <x v="169"/>
    <s v="32.0_Comfort &amp; Chassis"/>
    <s v="32.10_Braking-System"/>
    <s v="F2000"/>
    <s v="ABS"/>
    <s v="D"/>
    <s v="Chassis"/>
    <s v="Brake"/>
    <s v="Wheel Speed"/>
    <s v="Basic"/>
    <s v="Sensor"/>
    <s v="Wheel Speed Sensor RR"/>
    <s v="Wheel Speed Sensor RR - Wheel Speed"/>
    <m/>
    <m/>
    <s v="90;18"/>
    <s v="TE"/>
    <s v="1-1355200-1"/>
    <s v="2 Pos. MCP 2,8mm Sealed"/>
    <s v="No"/>
    <s v="Yes"/>
    <s v="Yes"/>
    <s v="Yes"/>
    <n v="1"/>
    <n v="1"/>
    <n v="1"/>
    <n v="1"/>
  </r>
  <r>
    <x v="169"/>
    <s v="36.0_Infotainment &amp; Connectivity"/>
    <s v="36.12_Sound-System"/>
    <s v="F1342"/>
    <s v="Road-noise Active Noise Cancelation (RANC)"/>
    <s v="QM"/>
    <s v="Chassis"/>
    <s v="Brake"/>
    <s v="Wheel Speed"/>
    <s v="Basic"/>
    <s v="Sensor"/>
    <s v="Wheel Speed Sensor RR"/>
    <s v="Wheel Speed Sensor RR - Wheel Speed"/>
    <m/>
    <m/>
    <s v="90;18"/>
    <s v="TE"/>
    <s v="1-1355200-1"/>
    <s v="2 Pos. MCP 2,8mm Sealed"/>
    <s v="No"/>
    <s v="Yes"/>
    <s v="Yes"/>
    <s v="Yes"/>
    <n v="1"/>
    <n v="1"/>
    <n v="1"/>
    <n v="1"/>
  </r>
  <r>
    <x v="170"/>
    <s v="16.0_Comfort &amp; Safety"/>
    <s v="16.10_Airbag-System"/>
    <s v="F0012"/>
    <s v="Airbag Side, Front Left / Right"/>
    <s v="D"/>
    <s v="Chassis"/>
    <s v="Airbag"/>
    <s v="Airbag"/>
    <s v="LHST"/>
    <s v="Igniter"/>
    <s v="Seat Airbag 1st Row L Outboard"/>
    <s v="Seat Airbag 1st Row L Outboard - Airbag"/>
    <m/>
    <m/>
    <s v="53;-18"/>
    <s v="TE"/>
    <s v="353744-7"/>
    <s v="2 Pos. Squib Airbag"/>
    <m/>
    <s v="No"/>
    <s v="No"/>
    <s v="Yes"/>
    <n v="0"/>
    <n v="0"/>
    <n v="0"/>
    <n v="0"/>
  </r>
  <r>
    <x v="171"/>
    <s v="16.0_Comfort &amp; Safety"/>
    <s v="16.20_Restraint-System"/>
    <s v="F0093"/>
    <s v="Seatbelt Reminder, Driver"/>
    <s v="QM"/>
    <s v="Chassis"/>
    <s v="Airbag"/>
    <s v="Seat Belt"/>
    <s v="Basic"/>
    <s v="Sensor"/>
    <s v="Seat Belt Sensor 1st Row L"/>
    <s v="Seat Belt Sensor 1st Row L - Seat Belt"/>
    <m/>
    <m/>
    <s v="60;-1"/>
    <s v="TE"/>
    <s v="1-1718333-1"/>
    <s v="2 Pos. MQS 0,63mm Unsealed"/>
    <s v="No"/>
    <s v="Yes"/>
    <s v="Yes"/>
    <s v="No"/>
    <n v="1"/>
    <n v="1"/>
    <n v="1"/>
    <n v="1"/>
  </r>
  <r>
    <x v="172"/>
    <s v="39.0_HVAC &amp; Thermal"/>
    <s v="39.11_ComponentThermal-System"/>
    <s v="F0257"/>
    <s v="HV-Components, Cooling"/>
    <s v="TBD"/>
    <s v="Powertrain"/>
    <s v="Cooling/Heating"/>
    <s v="Radiator Ventilation"/>
    <s v="EV"/>
    <s v="Actuator"/>
    <s v="Cooling Fan Motor 400W"/>
    <s v="Cooling Fan Motor 400W - Radiator Ventilation"/>
    <m/>
    <m/>
    <s v="-11;-5"/>
    <s v="TE"/>
    <s v="1897210-1"/>
    <s v="4 Pos. MCP 2,8mm / 6,3mm Sealed"/>
    <m/>
    <s v="Yes"/>
    <s v="No"/>
    <s v="No"/>
    <n v="0.8"/>
    <n v="0.3"/>
    <n v="0.6"/>
    <n v="0.4"/>
  </r>
  <r>
    <x v="172"/>
    <s v="39.0_HVAC &amp; Thermal"/>
    <s v="39.11_ComponentThermal-System"/>
    <s v="F0553"/>
    <s v="Thermal Management, HV-CoolingGeneration"/>
    <s v="QM"/>
    <s v="Powertrain"/>
    <s v="Cooling/Heating"/>
    <s v="Radiator Ventilation"/>
    <s v="EV"/>
    <s v="Actuator"/>
    <s v="Cooling Fan Motor 400W"/>
    <s v="Cooling Fan Motor 400W - Radiator Ventilation"/>
    <m/>
    <m/>
    <s v="-11;-5"/>
    <s v="TE"/>
    <s v="1897210-1"/>
    <s v="4 Pos. MCP 2,8mm / 6,3mm Sealed"/>
    <m/>
    <s v="Yes"/>
    <s v="No"/>
    <s v="No"/>
    <n v="0.8"/>
    <n v="0.3"/>
    <n v="0.6"/>
    <n v="0.4"/>
  </r>
  <r>
    <x v="173"/>
    <s v="14.0_HMI &amp; OutsideInformation"/>
    <s v="14.10_DriverInformation-System"/>
    <s v="F0168"/>
    <s v="Indications, Charging Completed"/>
    <s v="TBD"/>
    <s v="Powertrain"/>
    <s v="Charge Port"/>
    <s v="Inlet"/>
    <s v="EV"/>
    <s v="Inlet"/>
    <s v="Inlet"/>
    <s v="Inlet - Inlet"/>
    <m/>
    <m/>
    <m/>
    <m/>
    <m/>
    <m/>
    <m/>
    <m/>
    <m/>
    <m/>
    <m/>
    <m/>
    <m/>
    <m/>
  </r>
  <r>
    <x v="173"/>
    <s v="14.0_HMI &amp; OutsideInformation"/>
    <s v="14.10_DriverInformation-System"/>
    <s v="F0624"/>
    <s v="Indications, Battery Charging"/>
    <m/>
    <s v="Powertrain"/>
    <s v="Charge Port"/>
    <s v="Inlet"/>
    <s v="EV"/>
    <s v="Inlet"/>
    <s v="Inlet"/>
    <s v="Inlet - Inlet"/>
    <m/>
    <m/>
    <m/>
    <m/>
    <m/>
    <m/>
    <m/>
    <m/>
    <m/>
    <m/>
    <m/>
    <m/>
    <m/>
    <m/>
  </r>
  <r>
    <x v="173"/>
    <s v="14.0_HMI &amp; OutsideInformation"/>
    <s v="14.10_DriverInformation-System"/>
    <s v="F0626"/>
    <s v="Indications, Error in HV System"/>
    <s v="A"/>
    <s v="Powertrain"/>
    <s v="Charge Port"/>
    <s v="Inlet"/>
    <s v="EV"/>
    <s v="Inlet"/>
    <s v="Inlet"/>
    <s v="Inlet - Inlet"/>
    <m/>
    <m/>
    <m/>
    <m/>
    <m/>
    <m/>
    <m/>
    <m/>
    <m/>
    <m/>
    <m/>
    <m/>
    <m/>
    <m/>
  </r>
  <r>
    <x v="173"/>
    <s v="38.0_E-Drive &amp; HV-Safety"/>
    <s v="38.20_Charging-System"/>
    <s v="F0947"/>
    <s v="Outside Lighting, Charging Indication"/>
    <s v="QM"/>
    <s v="Powertrain"/>
    <s v="Charge Port"/>
    <s v="Inlet"/>
    <s v="EV"/>
    <s v="Inlet"/>
    <s v="Inlet"/>
    <s v="Inlet - Inlet"/>
    <m/>
    <m/>
    <m/>
    <m/>
    <m/>
    <m/>
    <m/>
    <m/>
    <m/>
    <m/>
    <m/>
    <m/>
    <m/>
    <m/>
  </r>
  <r>
    <x v="173"/>
    <s v="38.0_E-Drive &amp; HV-Safety"/>
    <s v="38.29_Charging-HW-Design"/>
    <s v="F0258"/>
    <s v="Type 2 - Plug System (Europe)"/>
    <s v="C"/>
    <s v="Powertrain"/>
    <s v="Charge Port"/>
    <s v="Inlet"/>
    <s v="EV"/>
    <s v="Inlet"/>
    <s v="Inlet"/>
    <s v="Inlet - Inlet"/>
    <m/>
    <m/>
    <m/>
    <m/>
    <m/>
    <m/>
    <m/>
    <m/>
    <m/>
    <m/>
    <m/>
    <m/>
    <m/>
    <m/>
  </r>
  <r>
    <x v="173"/>
    <s v="38.0_E-Drive &amp; HV-Safety"/>
    <s v="38.29_Charging-HW-Design"/>
    <s v="F0682"/>
    <s v="Type 2 CCS - Plug System (Europe)"/>
    <s v="C"/>
    <s v="Powertrain"/>
    <s v="Charge Port"/>
    <s v="Inlet"/>
    <s v="EV"/>
    <s v="Inlet"/>
    <s v="Inlet"/>
    <s v="Inlet - Inlet"/>
    <m/>
    <m/>
    <m/>
    <m/>
    <m/>
    <m/>
    <m/>
    <m/>
    <m/>
    <m/>
    <m/>
    <m/>
    <m/>
    <m/>
  </r>
  <r>
    <x v="174"/>
    <s v="36.0_Infotainment &amp; Connectivity"/>
    <s v="36.33_V2N_System"/>
    <s v="F0x50"/>
    <s v="Car Sharing System"/>
    <s v=" "/>
    <s v="Infotainment"/>
    <s v="Car Sharing"/>
    <s v="Card Reading"/>
    <s v="Fleet and Public Transport"/>
    <s v="Sensor"/>
    <s v="Card Reader"/>
    <s v="Card Reader - Card Reading"/>
    <m/>
    <s v=" "/>
    <s v="30;14"/>
    <m/>
    <m/>
    <m/>
    <m/>
    <s v="No"/>
    <s v="No"/>
    <s v="No"/>
    <n v="1"/>
    <n v="1"/>
    <n v="1"/>
    <n v="1"/>
  </r>
  <r>
    <x v="175"/>
    <s v="10.0_Comfort &amp; Exterior"/>
    <s v="10.21_WindowLifting-System"/>
    <s v="F0224"/>
    <s v="Power Window Lifter Function, Comfort Open/Close"/>
    <s v="A"/>
    <s v="Body"/>
    <s v="Sun Roof"/>
    <s v="Sun Roof Opening and Closing"/>
    <s v="with Sun Roof"/>
    <s v="Actuator"/>
    <s v="Motor"/>
    <s v="Motor - Sun Roof Opening and Closing"/>
    <m/>
    <m/>
    <s v="63;0"/>
    <m/>
    <m/>
    <m/>
    <m/>
    <s v="No"/>
    <s v="No"/>
    <s v="Yes"/>
    <n v="2.5000000000000001E-2"/>
    <n v="0"/>
    <n v="0"/>
    <n v="0"/>
  </r>
  <r>
    <x v="176"/>
    <s v="10.0_Comfort &amp; Exterior"/>
    <s v="10.10_CentralLocking-System"/>
    <s v="F0039"/>
    <s v="Outside Mirror, Electric Adjustable"/>
    <s v="QM"/>
    <s v="Comfort"/>
    <s v="External Rear View Mirror"/>
    <s v="Mirror Positioning Right"/>
    <s v="with Power Mirror"/>
    <s v="Actuator"/>
    <s v="Outer Rear View Mirror Assembly Right"/>
    <s v="Outer Rear View Mirror Assembly Right - Mirror Positioning Right"/>
    <m/>
    <m/>
    <s v="32;22"/>
    <m/>
    <m/>
    <m/>
    <m/>
    <s v="Yes"/>
    <s v="Yes"/>
    <s v="Yes"/>
    <n v="0"/>
    <n v="0"/>
    <n v="0"/>
    <n v="0"/>
  </r>
  <r>
    <x v="176"/>
    <s v="10.0_Comfort &amp; Exterior"/>
    <s v="10.20_Mirroring-System"/>
    <s v="F0039"/>
    <s v="Outside Mirror, Electric Adjustable"/>
    <s v="QM"/>
    <s v="Comfort"/>
    <s v="External Rear View Mirror"/>
    <s v="Mirror Positioning Right"/>
    <s v="with Power Mirror"/>
    <s v="Actuator"/>
    <s v="Outer Rear View Mirror Assembly Right"/>
    <s v="Outer Rear View Mirror Assembly Right - Mirror Positioning Right"/>
    <m/>
    <m/>
    <s v="32;22"/>
    <m/>
    <m/>
    <m/>
    <m/>
    <s v="Yes"/>
    <s v="Yes"/>
    <s v="Yes"/>
    <n v="0.1"/>
    <n v="0.1"/>
    <n v="0.1"/>
    <n v="0.1"/>
  </r>
  <r>
    <x v="176"/>
    <s v="10.0_Comfort &amp; Exterior"/>
    <s v="10.20_Mirroring-System"/>
    <s v="F0041"/>
    <s v="Outside Mirror, Foldable"/>
    <s v="QM"/>
    <s v="Comfort"/>
    <s v="External Rear View Mirror"/>
    <s v="Foldable Mirror Right"/>
    <s v="with Power Mirror"/>
    <s v="Actuator"/>
    <s v="Outer Rear View Mirror Assembly Right"/>
    <s v="Outer Rear View Mirror Assembly Right - Foldable Mirror Right"/>
    <m/>
    <m/>
    <s v="32;22"/>
    <m/>
    <m/>
    <m/>
    <m/>
    <s v="No"/>
    <s v="Yes"/>
    <s v="Yes"/>
    <n v="0"/>
    <n v="0"/>
    <n v="0"/>
    <n v="0"/>
  </r>
  <r>
    <x v="176"/>
    <s v="10.0_Comfort &amp; Exterior"/>
    <s v="10.30_OutsideLighting-System"/>
    <s v="F0229"/>
    <s v="Surround Lighting, Turning Light"/>
    <s v="B"/>
    <s v="Comfort"/>
    <s v="External Rear View Mirror"/>
    <s v="Side Turn Signal Right"/>
    <s v="with Power Mirror"/>
    <s v="Actuator"/>
    <s v="Outer Rear View Mirror Assembly Right"/>
    <s v="Outer Rear View Mirror Assembly Right - Side Turn Signal Right"/>
    <m/>
    <m/>
    <s v="32;22"/>
    <m/>
    <m/>
    <m/>
    <m/>
    <s v="Yes"/>
    <s v="Yes"/>
    <s v="Yes"/>
    <n v="0.3"/>
    <n v="0.1"/>
    <n v="0.3"/>
    <n v="0.1"/>
  </r>
  <r>
    <x v="176"/>
    <s v="10.0_Comfort &amp; Exterior"/>
    <s v="10.30_OutsideLighting-System"/>
    <s v="F0781"/>
    <s v="Door Lighting Outside, Outer Mirror"/>
    <s v="QM"/>
    <s v="Comfort"/>
    <s v="External Rear View Mirror"/>
    <s v="Puddle Illumination/Projection Right"/>
    <s v="with Power Mirror"/>
    <s v="Actuator"/>
    <s v="Outer Rear View Mirror Assembly Right"/>
    <s v="Outer Rear View Mirror Assembly Right - Puddle Illumination/Projection Right"/>
    <m/>
    <m/>
    <s v="32;22"/>
    <m/>
    <m/>
    <m/>
    <m/>
    <s v="No"/>
    <s v="Yes"/>
    <s v="No"/>
    <n v="0"/>
    <n v="0"/>
    <n v="0"/>
    <n v="0"/>
  </r>
  <r>
    <x v="176"/>
    <s v="10.0_Comfort &amp; Exterior"/>
    <s v="10.50_ExteriorHeating-System"/>
    <s v="F0042"/>
    <s v="Heating Outside Mirror"/>
    <s v="QM"/>
    <s v="Comfort"/>
    <s v="External Rear View Mirror"/>
    <s v="Mirror Heating Right"/>
    <s v="with Power Mirror"/>
    <s v="Actuator"/>
    <s v="Outer Rear View Mirror Assembly Right"/>
    <s v="Outer Rear View Mirror Assembly Right - Mirror Heating Right"/>
    <m/>
    <m/>
    <s v="32;22"/>
    <m/>
    <m/>
    <m/>
    <m/>
    <s v="No"/>
    <s v="Yes"/>
    <s v="Yes"/>
    <n v="0"/>
    <n v="0.25"/>
    <n v="0.25"/>
    <n v="0"/>
  </r>
  <r>
    <x v="176"/>
    <s v="13.0_Comfort &amp; Interior"/>
    <s v="13.23_AntiGlareAndDimming-System"/>
    <s v="F0037"/>
    <s v="Electrochromatic (EC), External Rear View Mirror"/>
    <s v="QM"/>
    <s v="Comfort"/>
    <s v="External Rear View Mirror"/>
    <s v="Mirror Dimming Right"/>
    <s v="with Power Mirror"/>
    <s v="Actuator"/>
    <s v="Outer Rear View Mirror Assembly Right"/>
    <s v="Outer Rear View Mirror Assembly Right - Mirror Dimming Right"/>
    <m/>
    <m/>
    <s v="32;22"/>
    <m/>
    <m/>
    <m/>
    <m/>
    <s v="No"/>
    <s v="No"/>
    <s v="Yes"/>
    <n v="0"/>
    <n v="0"/>
    <n v="0.5"/>
    <n v="0.5"/>
  </r>
  <r>
    <x v="176"/>
    <s v="37.0_ADAS &amp; AutomatedDriving"/>
    <s v="37.02_Alerting-System"/>
    <s v="F0158"/>
    <s v="Collision Alert Rear, Rear Cross Traffic Alert"/>
    <m/>
    <s v="Comfort"/>
    <s v="External Rear View Mirror"/>
    <s v="Blind Spot Warning Right"/>
    <s v="with Power Mirror"/>
    <s v="Actuator"/>
    <s v="Outer Rear View Mirror Assembly Right"/>
    <s v="Outer Rear View Mirror Assembly Right - Blind Spot Warning Right"/>
    <m/>
    <m/>
    <s v="32;22"/>
    <m/>
    <m/>
    <m/>
    <m/>
    <s v="No"/>
    <s v="Yes"/>
    <s v="Yes"/>
    <n v="0.05"/>
    <n v="0.05"/>
    <n v="0.05"/>
    <n v="0.05"/>
  </r>
  <r>
    <x v="176"/>
    <s v="37.0_ADAS &amp; AutomatedDriving"/>
    <s v="37.02_Alerting-System"/>
    <s v="F1301"/>
    <s v="Drive Away Assist"/>
    <m/>
    <s v="Comfort"/>
    <s v="External Rear View Mirror"/>
    <s v="Blind Spot Warning Right"/>
    <s v="with Power Mirror"/>
    <s v="Actuator"/>
    <s v="Outer Rear View Mirror Assembly Right"/>
    <s v="Outer Rear View Mirror Assembly Right - Blind Spot Warning Right"/>
    <m/>
    <m/>
    <s v="32;22"/>
    <m/>
    <m/>
    <m/>
    <m/>
    <s v="No"/>
    <s v="Yes"/>
    <s v="Yes"/>
    <n v="0.05"/>
    <n v="0.05"/>
    <n v="0.05"/>
    <n v="0.05"/>
  </r>
  <r>
    <x v="176"/>
    <s v="37.0_ADAS &amp; AutomatedDriving"/>
    <s v="37.02_Alerting-System"/>
    <s v="F2021"/>
    <s v="Collision Alert Side, Blind Zone Support"/>
    <m/>
    <s v="Comfort"/>
    <s v="External Rear View Mirror"/>
    <s v="Blind Spot Warning Right"/>
    <s v="with Power Mirror"/>
    <s v="Actuator"/>
    <s v="Outer Rear View Mirror Assembly Right"/>
    <s v="Outer Rear View Mirror Assembly Right - Blind Spot Warning Right"/>
    <m/>
    <m/>
    <s v="32;22"/>
    <m/>
    <m/>
    <m/>
    <m/>
    <s v="No"/>
    <s v="Yes"/>
    <s v="Yes"/>
    <n v="0.05"/>
    <n v="0.05"/>
    <n v="0.05"/>
    <n v="0.05"/>
  </r>
  <r>
    <x v="177"/>
    <s v="10.0_Comfort &amp; Exterior"/>
    <s v="10.10_CentralLocking-System"/>
    <s v="F0107"/>
    <s v="Tailgate, Electric Adjustment"/>
    <s v="B"/>
    <s v="Comfort"/>
    <s v="Central Locking"/>
    <s v="Tailgate Opening and Closing Internal Command (Trunk)"/>
    <s v="Power Tailgate"/>
    <s v="Switch"/>
    <s v="User Selector"/>
    <s v="User Selector - Tailgate Opening and Closing Internal Command (Trunk)"/>
    <m/>
    <m/>
    <s v="107;-17"/>
    <s v="TE"/>
    <s v="936120-2"/>
    <s v="4 Pos. MQS 0,63mm Unsealed"/>
    <m/>
    <s v="No"/>
    <s v="Yes"/>
    <s v="Yes"/>
    <n v="1.6666666666666668E-3"/>
    <n v="1.6666666666666668E-3"/>
    <n v="1.6666666666666668E-3"/>
    <n v="1.6666666666666668E-3"/>
  </r>
  <r>
    <x v="177"/>
    <s v="10.0_Comfort &amp; Exterior"/>
    <s v="10.10_CentralLocking-System"/>
    <s v="F0xx4"/>
    <s v="Tailgate, Electric Release"/>
    <m/>
    <s v="Comfort"/>
    <s v="Central Locking"/>
    <s v="Tailgate Opening and Closing Internal Command (Trunk)"/>
    <s v="Power Tailgate"/>
    <s v="Switch"/>
    <s v="User Selector"/>
    <s v="User Selector - Tailgate Opening and Closing Internal Command (Trunk)"/>
    <m/>
    <m/>
    <s v="107;-17"/>
    <s v="TE"/>
    <s v="936120-2"/>
    <s v="4 Pos. MQS 0,63mm Unsealed"/>
    <m/>
    <s v="No"/>
    <s v="Yes"/>
    <s v="Yes"/>
    <n v="1.6666666666666668E-3"/>
    <n v="1.6666666666666668E-3"/>
    <n v="1.6666666666666668E-3"/>
    <n v="1.6666666666666668E-3"/>
  </r>
  <r>
    <x v="178"/>
    <s v="10.0_Comfort &amp; Exterior"/>
    <s v="10.40_Wiping-System"/>
    <s v="F0118"/>
    <s v="Wiper Front"/>
    <s v="A"/>
    <s v="Body"/>
    <s v="Wiper/Washer"/>
    <s v="Front Wiper"/>
    <s v="Basic"/>
    <s v="Actuator"/>
    <s v="Wiper Motor L"/>
    <s v="Wiper Motor L - Front Wiper"/>
    <m/>
    <m/>
    <s v="22;-13"/>
    <s v="TE"/>
    <s v="1-1718562-1"/>
    <s v="4 Pos. MCP 2,8mm Sealed"/>
    <s v="No"/>
    <s v="No"/>
    <s v="No"/>
    <s v="Yes"/>
    <n v="0"/>
    <n v="0"/>
    <n v="0.3"/>
    <n v="0.6"/>
  </r>
  <r>
    <x v="179"/>
    <s v="10.0_Comfort &amp; Exterior"/>
    <s v="10.40_Wiping-System"/>
    <s v="F0118"/>
    <s v="Wiper Front"/>
    <s v="A"/>
    <s v="Body"/>
    <s v="Wiper/Washer"/>
    <s v="Front Wiper"/>
    <s v="Basic"/>
    <s v="Actuator"/>
    <s v="Wiper Motor R"/>
    <s v="Wiper Motor R - Front Wiper"/>
    <m/>
    <m/>
    <s v="22;13"/>
    <s v="TE"/>
    <s v="1-1718562-1"/>
    <s v="4 Pos. MCP 2,8mm Sealed"/>
    <s v="No"/>
    <s v="No"/>
    <s v="No"/>
    <s v="Yes"/>
    <n v="0"/>
    <n v="0"/>
    <n v="0.3"/>
    <n v="0.6"/>
  </r>
  <r>
    <x v="180"/>
    <s v="39.0_HVAC &amp; Thermal"/>
    <s v="39.11_ComponentThermal-System"/>
    <s v="F0189"/>
    <s v="Thermal Management, HV-Battery Heating"/>
    <s v="C"/>
    <s v="Powertrain"/>
    <s v="HV Battery"/>
    <s v="Battery  Heating"/>
    <s v="EV"/>
    <s v="Actuator"/>
    <s v="PTC Heater High Voltage"/>
    <s v="PTC Heater High Voltage - Battery  Heating"/>
    <m/>
    <m/>
    <s v="21;0"/>
    <s v="TE"/>
    <s v="1563689-1"/>
    <s v="4 Pos. MCP 1,5mm Sealed"/>
    <m/>
    <s v="No"/>
    <s v="No"/>
    <s v="Yes"/>
    <n v="0.1"/>
    <n v="1"/>
    <n v="1"/>
    <n v="0.1"/>
  </r>
  <r>
    <x v="180"/>
    <s v="39.0_HVAC &amp; Thermal"/>
    <s v="39.11_ComponentThermal-System"/>
    <s v="F0615"/>
    <s v="Thermal Management, HV-HeatingGeneration"/>
    <s v="QM"/>
    <s v="Powertrain"/>
    <s v="HV Battery"/>
    <s v="Battery  Heating"/>
    <s v="EV"/>
    <s v="Actuator"/>
    <s v="PTC Heater High Voltage"/>
    <s v="PTC Heater High Voltage - Battery  Heating"/>
    <m/>
    <m/>
    <s v="21;0"/>
    <s v="TE"/>
    <s v="1563689-1"/>
    <s v="4 Pos. MCP 1,5mm Sealed"/>
    <m/>
    <s v="No"/>
    <s v="No"/>
    <s v="Yes"/>
    <n v="0.1"/>
    <n v="1"/>
    <n v="1"/>
    <n v="0.1"/>
  </r>
  <r>
    <x v="180"/>
    <s v="39.0_HVAC &amp; Thermal"/>
    <s v="39.11_ComponentThermal-System"/>
    <s v="F1340"/>
    <s v="HV-Components, Heating"/>
    <m/>
    <s v="Powertrain"/>
    <s v="HV Battery"/>
    <s v="Battery  Heating"/>
    <s v="EV"/>
    <s v="Actuator"/>
    <s v="PTC Heater High Voltage"/>
    <s v="PTC Heater High Voltage - Battery  Heating"/>
    <m/>
    <m/>
    <s v="21;0"/>
    <s v="TE"/>
    <s v="1563689-1"/>
    <s v="4 Pos. MCP 1,5mm Sealed"/>
    <m/>
    <s v="No"/>
    <s v="No"/>
    <s v="Yes"/>
    <n v="0.1"/>
    <n v="1"/>
    <n v="1"/>
    <n v="0.1"/>
  </r>
  <r>
    <x v="181"/>
    <s v="39.0_HVAC &amp; Thermal"/>
    <s v="39.11_ComponentThermal-System"/>
    <s v="F0459"/>
    <s v="Thermal Management, HV-Battery Cooling"/>
    <m/>
    <s v="Powertrain"/>
    <s v="HV Battery"/>
    <s v="Heating"/>
    <s v="EV"/>
    <s v="Actuator"/>
    <s v="Pre-Heating Valve Inlet"/>
    <s v="Pre-Heating Valve Inlet - Heating"/>
    <m/>
    <m/>
    <s v="22;16"/>
    <m/>
    <m/>
    <m/>
    <m/>
    <s v="No"/>
    <s v="No"/>
    <s v="Yes"/>
    <n v="0"/>
    <n v="0.5"/>
    <n v="0.5"/>
    <n v="0"/>
  </r>
  <r>
    <x v="182"/>
    <s v="39.0_HVAC &amp; Thermal"/>
    <s v="39.11_ComponentThermal-System"/>
    <s v="F0459"/>
    <s v="Thermal Management, HV-Battery Cooling"/>
    <m/>
    <s v="Powertrain"/>
    <s v="HV Battery"/>
    <s v="Heating"/>
    <s v="EV"/>
    <s v="Actuator"/>
    <s v="Pre-Heating Valve Outlet"/>
    <s v="Pre-Heating Valve Outlet - Heating"/>
    <m/>
    <m/>
    <s v="22;-16"/>
    <m/>
    <m/>
    <m/>
    <m/>
    <s v="No"/>
    <s v="No"/>
    <s v="Yes"/>
    <n v="0"/>
    <n v="0.5"/>
    <n v="0.5"/>
    <n v="0"/>
  </r>
  <r>
    <x v="183"/>
    <s v="39.0_HVAC &amp; Thermal"/>
    <s v="39.11_ComponentThermal-System"/>
    <s v="F0189"/>
    <s v="Thermal Management, HV-Battery Heating"/>
    <m/>
    <s v="Powertrain"/>
    <s v="HV Battery"/>
    <s v="Battery Coolant Pump"/>
    <s v="EV"/>
    <s v="Actuator"/>
    <s v="Battery Coolant Pump"/>
    <s v="Battery Coolant Pump - Battery Coolant Pump"/>
    <m/>
    <m/>
    <s v="20;16"/>
    <m/>
    <m/>
    <m/>
    <m/>
    <s v="No"/>
    <s v="No"/>
    <s v="Yes"/>
    <n v="0.6"/>
    <n v="0.4"/>
    <n v="0.4"/>
    <n v="0.6"/>
  </r>
  <r>
    <x v="183"/>
    <s v="39.0_HVAC &amp; Thermal"/>
    <s v="39.11_ComponentThermal-System"/>
    <s v="F0257"/>
    <s v="HV-Components, Cooling"/>
    <m/>
    <s v="Powertrain"/>
    <s v="HV Battery"/>
    <s v="Battery Coolant Pump"/>
    <s v="EV"/>
    <s v="Actuator"/>
    <s v="Battery Coolant Pump"/>
    <s v="Battery Coolant Pump - Battery Coolant Pump"/>
    <m/>
    <m/>
    <s v="20;16"/>
    <m/>
    <m/>
    <m/>
    <m/>
    <s v="No"/>
    <s v="No"/>
    <s v="Yes"/>
    <n v="0.6"/>
    <n v="0.4"/>
    <n v="0.4"/>
    <n v="0.6"/>
  </r>
  <r>
    <x v="183"/>
    <s v="39.0_HVAC &amp; Thermal"/>
    <s v="39.11_ComponentThermal-System"/>
    <s v="F0393"/>
    <s v="Thermal Management, Master (BEV Vehicles)"/>
    <m/>
    <s v="Powertrain"/>
    <s v="HV Battery"/>
    <s v="Battery Coolant Pump"/>
    <s v="EV"/>
    <s v="Actuator"/>
    <s v="Battery Coolant Pump"/>
    <s v="Battery Coolant Pump - Battery Coolant Pump"/>
    <m/>
    <m/>
    <s v="20;16"/>
    <m/>
    <m/>
    <m/>
    <m/>
    <s v="No"/>
    <s v="No"/>
    <s v="Yes"/>
    <n v="0.6"/>
    <n v="0.4"/>
    <n v="0.4"/>
    <n v="0.6"/>
  </r>
  <r>
    <x v="183"/>
    <s v="39.0_HVAC &amp; Thermal"/>
    <s v="39.11_ComponentThermal-System"/>
    <s v="F0459"/>
    <s v="Thermal Management, HV-Battery Cooling"/>
    <m/>
    <s v="Powertrain"/>
    <s v="HV Battery"/>
    <s v="Battery Coolant Pump"/>
    <s v="EV"/>
    <s v="Actuator"/>
    <s v="Battery Coolant Pump"/>
    <s v="Battery Coolant Pump - Battery Coolant Pump"/>
    <m/>
    <m/>
    <s v="20;16"/>
    <m/>
    <m/>
    <m/>
    <m/>
    <s v="No"/>
    <s v="No"/>
    <s v="Yes"/>
    <n v="0.6"/>
    <n v="0.4"/>
    <n v="0.4"/>
    <n v="0.6"/>
  </r>
  <r>
    <x v="183"/>
    <s v="39.0_HVAC &amp; Thermal"/>
    <s v="39.11_ComponentThermal-System"/>
    <s v="F0553"/>
    <s v="Thermal Management, HV-CoolingGeneration"/>
    <m/>
    <s v="Powertrain"/>
    <s v="HV Battery"/>
    <s v="Battery Coolant Pump"/>
    <s v="EV"/>
    <s v="Actuator"/>
    <s v="Battery Coolant Pump"/>
    <s v="Battery Coolant Pump - Battery Coolant Pump"/>
    <m/>
    <m/>
    <s v="20;16"/>
    <m/>
    <m/>
    <m/>
    <m/>
    <s v="No"/>
    <s v="No"/>
    <s v="Yes"/>
    <n v="0.6"/>
    <n v="0.4"/>
    <n v="0.4"/>
    <n v="0.6"/>
  </r>
  <r>
    <x v="183"/>
    <s v="39.0_HVAC &amp; Thermal"/>
    <s v="39.11_ComponentThermal-System"/>
    <s v="F0615"/>
    <s v="Thermal Management, HV-HeatingGeneration"/>
    <m/>
    <s v="Powertrain"/>
    <s v="HV Battery"/>
    <s v="Battery Coolant Pump"/>
    <s v="EV"/>
    <s v="Actuator"/>
    <s v="Battery Coolant Pump"/>
    <s v="Battery Coolant Pump - Battery Coolant Pump"/>
    <m/>
    <m/>
    <s v="20;16"/>
    <m/>
    <m/>
    <m/>
    <m/>
    <s v="No"/>
    <s v="No"/>
    <s v="Yes"/>
    <n v="0.6"/>
    <n v="0.4"/>
    <n v="0.4"/>
    <n v="0.6"/>
  </r>
  <r>
    <x v="183"/>
    <s v="39.0_HVAC &amp; Thermal"/>
    <s v="39.11_ComponentThermal-System"/>
    <s v="F0889"/>
    <s v="Thermal Management, Heat Pumping"/>
    <m/>
    <s v="Powertrain"/>
    <s v="HV Battery"/>
    <s v="Battery Coolant Pump"/>
    <s v="EV"/>
    <s v="Actuator"/>
    <s v="Battery Coolant Pump"/>
    <s v="Battery Coolant Pump - Battery Coolant Pump"/>
    <m/>
    <m/>
    <s v="20;16"/>
    <m/>
    <m/>
    <m/>
    <m/>
    <s v="No"/>
    <s v="No"/>
    <s v="Yes"/>
    <n v="0.6"/>
    <n v="0.4"/>
    <n v="0.4"/>
    <n v="0.6"/>
  </r>
  <r>
    <x v="183"/>
    <s v="39.0_HVAC &amp; Thermal"/>
    <s v="39.11_ComponentThermal-System"/>
    <s v="F1340"/>
    <s v="HV-Components, Heating"/>
    <m/>
    <s v="Powertrain"/>
    <s v="HV Battery"/>
    <s v="Battery Coolant Pump"/>
    <s v="EV"/>
    <s v="Actuator"/>
    <s v="Battery Coolant Pump"/>
    <s v="Battery Coolant Pump - Battery Coolant Pump"/>
    <m/>
    <m/>
    <s v="20;16"/>
    <m/>
    <m/>
    <m/>
    <m/>
    <s v="No"/>
    <s v="No"/>
    <s v="Yes"/>
    <n v="0.6"/>
    <n v="0.4"/>
    <n v="0.4"/>
    <n v="0.6"/>
  </r>
  <r>
    <x v="184"/>
    <s v="39.0_HVAC &amp; Thermal"/>
    <s v="39.10_PassengerThermal-System"/>
    <s v="F0x20"/>
    <s v="HVAC-System, Electrical Heating"/>
    <s v="QM"/>
    <s v="Comfort"/>
    <s v="Climate Control"/>
    <s v="Air Heating"/>
    <s v="EV"/>
    <s v="Actuator"/>
    <s v="PTC Heater 1 High Voltage"/>
    <s v="PTC Heater 1 High Voltage - Air Heating"/>
    <m/>
    <m/>
    <s v="26;1"/>
    <s v="TE"/>
    <s v="1563689-1"/>
    <s v="4 Pos. MCP 1,5mm Sealed"/>
    <m/>
    <s v="No"/>
    <s v="No"/>
    <s v="Yes"/>
    <n v="0"/>
    <n v="0.3"/>
    <n v="0.5"/>
    <n v="0"/>
  </r>
  <r>
    <x v="184"/>
    <s v="39.0_HVAC &amp; Thermal"/>
    <s v="39.10_PassengerThermal-System"/>
    <s v="F0x60"/>
    <s v="Parking Heating"/>
    <s v="QM"/>
    <s v="Comfort"/>
    <s v="Climate Control"/>
    <s v="Air Heating"/>
    <s v="EV"/>
    <s v="Actuator"/>
    <s v="PTC Heater 1 High Voltage"/>
    <s v="PTC Heater 1 High Voltage - Air Heating"/>
    <m/>
    <m/>
    <s v="26;1"/>
    <s v="TE"/>
    <s v="1563689-1"/>
    <s v="4 Pos. MCP 1,5mm Sealed"/>
    <m/>
    <s v="No"/>
    <s v="No"/>
    <s v="Yes"/>
    <n v="0"/>
    <n v="0.3"/>
    <n v="0.5"/>
    <n v="0"/>
  </r>
  <r>
    <x v="185"/>
    <s v="39.0_HVAC &amp; Thermal"/>
    <s v="39.10_PassengerThermal-System"/>
    <s v="F0x20"/>
    <s v="HVAC-System, Electrical Heating"/>
    <s v="QM"/>
    <s v="Comfort"/>
    <s v="Climate Control"/>
    <s v="Air Heating"/>
    <s v="EV"/>
    <s v="Actuator"/>
    <s v="PTC Heater 2 High Voltage"/>
    <s v="PTC Heater 2 High Voltage - Air Heating"/>
    <m/>
    <m/>
    <s v="26;9"/>
    <s v="TE"/>
    <s v="1563689-1"/>
    <s v="4 Pos. MCP 1,5mm Sealed"/>
    <m/>
    <s v="No"/>
    <s v="No"/>
    <s v="Yes"/>
    <n v="0"/>
    <n v="0.3"/>
    <n v="0.5"/>
    <n v="0"/>
  </r>
  <r>
    <x v="185"/>
    <s v="39.0_HVAC &amp; Thermal"/>
    <s v="39.10_PassengerThermal-System"/>
    <s v="F0x60"/>
    <s v="Parking Heating"/>
    <s v="QM"/>
    <s v="Comfort"/>
    <s v="Climate Control"/>
    <s v="Air Heating"/>
    <s v="EV"/>
    <s v="Actuator"/>
    <s v="PTC Heater 2 High Voltage"/>
    <s v="PTC Heater 2 High Voltage - Air Heating"/>
    <m/>
    <m/>
    <s v="26;9"/>
    <s v="TE"/>
    <s v="1563689-1"/>
    <s v="4 Pos. MCP 1,5mm Sealed"/>
    <m/>
    <s v="No"/>
    <s v="No"/>
    <s v="Yes"/>
    <n v="0"/>
    <n v="0.3"/>
    <n v="0.5"/>
    <n v="0"/>
  </r>
  <r>
    <x v="186"/>
    <s v="10.0_Comfort &amp; Exterior"/>
    <s v="10.30_OutsideLighting-System"/>
    <s v="F0028"/>
    <s v="Light Scenario, Comfort Direction Indication"/>
    <s v="A"/>
    <s v="Body"/>
    <s v="External Illumination"/>
    <s v="Grounding"/>
    <s v="Full LED"/>
    <s v="Actuator"/>
    <s v="Headlamp Assy' Full LED Left"/>
    <s v="Headlamp Assy' Full LED Left - Grounding"/>
    <m/>
    <m/>
    <s v="-4;-21"/>
    <m/>
    <m/>
    <m/>
    <m/>
    <s v="No"/>
    <s v="No"/>
    <s v="No"/>
    <n v="0.3"/>
    <n v="0.1"/>
    <n v="0.3"/>
    <n v="0.1"/>
  </r>
  <r>
    <x v="186"/>
    <s v="10.0_Comfort &amp; Exterior"/>
    <s v="10.30_OutsideLighting-System"/>
    <s v="F0071"/>
    <s v="Light Scenario, Fog Cornering"/>
    <s v="A"/>
    <s v="Body"/>
    <s v="External Illumination"/>
    <s v="Grounding"/>
    <s v="Full LED"/>
    <s v="Actuator"/>
    <s v="Headlamp Assy' Full LED Left"/>
    <s v="Headlamp Assy' Full LED Left - Grounding"/>
    <m/>
    <m/>
    <s v="-4;-21"/>
    <m/>
    <m/>
    <m/>
    <m/>
    <s v="No"/>
    <s v="No"/>
    <s v="No"/>
    <n v="0.3"/>
    <n v="0.1"/>
    <n v="0.3"/>
    <n v="0.1"/>
  </r>
  <r>
    <x v="186"/>
    <s v="10.0_Comfort &amp; Exterior"/>
    <s v="10.30_OutsideLighting-System"/>
    <s v="F0228"/>
    <s v="Surround Lighting, Hazard Light"/>
    <s v="A"/>
    <s v="Body"/>
    <s v="External Illumination"/>
    <s v="Grounding"/>
    <s v="Full LED"/>
    <s v="Actuator"/>
    <s v="Headlamp Assy' Full LED Left"/>
    <s v="Headlamp Assy' Full LED Left - Grounding"/>
    <m/>
    <m/>
    <s v="-4;-21"/>
    <m/>
    <m/>
    <m/>
    <m/>
    <s v="No"/>
    <s v="No"/>
    <s v="No"/>
    <n v="0.3"/>
    <n v="0.1"/>
    <n v="0.3"/>
    <n v="0.1"/>
  </r>
  <r>
    <x v="186"/>
    <s v="10.0_Comfort &amp; Exterior"/>
    <s v="10.30_OutsideLighting-System"/>
    <s v="F0229"/>
    <s v="Surround Lighting, Turning Light"/>
    <s v="A"/>
    <s v="Body"/>
    <s v="External Illumination"/>
    <s v="Grounding"/>
    <s v="Full LED"/>
    <s v="Actuator"/>
    <s v="Headlamp Assy' Full LED Left"/>
    <s v="Headlamp Assy' Full LED Left - Grounding"/>
    <m/>
    <m/>
    <s v="-4;-21"/>
    <m/>
    <m/>
    <m/>
    <m/>
    <s v="No"/>
    <s v="No"/>
    <s v="No"/>
    <n v="0.3"/>
    <n v="0.1"/>
    <n v="0.3"/>
    <n v="0.1"/>
  </r>
  <r>
    <x v="187"/>
    <s v="10.0_Comfort &amp; Exterior"/>
    <s v="10.40_Wiping-System"/>
    <s v="F0090"/>
    <s v="Wiper Rear"/>
    <s v="QM"/>
    <s v="Body"/>
    <s v="Wiper/Washer"/>
    <s v="Tailgate Wiper"/>
    <s v="Basic"/>
    <s v="Actuator"/>
    <s v="Motor"/>
    <s v="Motor - Tailgate Wiper"/>
    <m/>
    <m/>
    <s v="99;0"/>
    <s v="TE"/>
    <s v="1563689-1"/>
    <s v="4 Pos. MCP 1,5mm Sealed"/>
    <s v="No"/>
    <s v="No"/>
    <s v="Yes"/>
    <s v="Yes"/>
    <n v="0"/>
    <n v="0"/>
    <n v="1.6666666666666666E-2"/>
    <n v="1.6666666666666666E-2"/>
  </r>
  <r>
    <x v="188"/>
    <s v="10.0_Comfort &amp; Exterior"/>
    <s v="10.30_OutsideLighting-System"/>
    <s v="F0074"/>
    <s v="Rear Lighting, Licence Plate"/>
    <s v="QM"/>
    <s v="Body"/>
    <s v="External Illumination"/>
    <s v="License Plate Lamp Left"/>
    <s v="Full LED"/>
    <s v="Actuator"/>
    <s v="License Plate Assy' Full LED"/>
    <s v="License Plate Assy' Full LED - License Plate Lamp Left"/>
    <m/>
    <m/>
    <s v="115;-3"/>
    <m/>
    <m/>
    <m/>
    <m/>
    <s v="No"/>
    <s v="No"/>
    <s v="Yes"/>
    <n v="0"/>
    <n v="0"/>
    <n v="1"/>
    <n v="1"/>
  </r>
  <r>
    <x v="189"/>
    <s v="10.0_Comfort &amp; Exterior"/>
    <s v="10.30_OutsideLighting-System"/>
    <s v="F0074"/>
    <s v="Rear Lighting, Licence Plate"/>
    <s v="QM"/>
    <s v="Body"/>
    <s v="External Illumination"/>
    <s v="License Plate Lamp Right"/>
    <s v="Full LED"/>
    <s v="Actuator"/>
    <s v="License Plate Assy' Full LED"/>
    <s v="License Plate Assy' Full LED - License Plate Lamp Right"/>
    <m/>
    <m/>
    <s v="115;3"/>
    <m/>
    <m/>
    <m/>
    <m/>
    <s v="No"/>
    <s v="No"/>
    <s v="Yes"/>
    <n v="0"/>
    <n v="0"/>
    <n v="1"/>
    <n v="1"/>
  </r>
  <r>
    <x v="190"/>
    <s v="10.0_Comfort &amp; Exterior"/>
    <s v="10.10_CentralLocking-System"/>
    <s v="F0027"/>
    <s v="Central Door Lock, Radio Control Key Front"/>
    <s v="QM"/>
    <s v="Comfort"/>
    <s v="Central Locking"/>
    <s v="Door External Handle Command FR"/>
    <s v="with Central Locking"/>
    <s v="Switch"/>
    <s v="User Selector"/>
    <s v="User Selector - Door External Handle Command FR"/>
    <m/>
    <m/>
    <s v="53;23"/>
    <m/>
    <m/>
    <m/>
    <m/>
    <s v="Yes"/>
    <s v="Yes"/>
    <s v="Yes"/>
    <n v="0"/>
    <n v="0"/>
    <n v="0"/>
    <n v="0"/>
  </r>
  <r>
    <x v="191"/>
    <s v="10.0_Comfort &amp; Exterior"/>
    <s v="10.10_CentralLocking-System"/>
    <s v="F0027"/>
    <s v="Central Door Lock, Radio Control Key Front"/>
    <s v="QM"/>
    <s v="Comfort"/>
    <s v="Central Locking"/>
    <s v="Door External Handle Command FL"/>
    <s v="with Central Locking"/>
    <s v="Switch"/>
    <s v="User Selector"/>
    <s v="User Selector - Door External Handle Command FL"/>
    <m/>
    <m/>
    <s v="53;-23"/>
    <m/>
    <m/>
    <m/>
    <m/>
    <s v="Yes"/>
    <s v="Yes"/>
    <s v="Yes"/>
    <n v="0"/>
    <n v="0"/>
    <n v="0"/>
    <n v="0"/>
  </r>
  <r>
    <x v="192"/>
    <s v="10.0_Comfort &amp; Exterior"/>
    <s v="10.50_ExteriorHeating-System"/>
    <s v="F0089"/>
    <s v="Heating Rear Window"/>
    <s v="QM"/>
    <s v="Comfort"/>
    <s v="Rear Window Heater"/>
    <s v="Heated Backlite"/>
    <s v="Basic"/>
    <s v="Actuator"/>
    <s v="Heater -"/>
    <s v="Heater - - Heated Backlite"/>
    <m/>
    <m/>
    <s v="92;14"/>
    <m/>
    <m/>
    <m/>
    <m/>
    <s v="Yes"/>
    <s v="Yes"/>
    <s v="Yes"/>
    <n v="0"/>
    <n v="0.1"/>
    <n v="0.5"/>
    <n v="0.5"/>
  </r>
  <r>
    <x v="193"/>
    <s v="10.0_Comfort &amp; Exterior"/>
    <s v="10.50_ExteriorHeating-System"/>
    <s v="F0089"/>
    <s v="Heating Rear Window"/>
    <s v="QM"/>
    <s v="Comfort"/>
    <s v="Rear Window Heater"/>
    <s v="Heated Backlite"/>
    <s v="Basic"/>
    <s v="Actuator"/>
    <s v="Heater +"/>
    <s v="Heater + - Heated Backlite"/>
    <m/>
    <m/>
    <s v="92;-14"/>
    <m/>
    <m/>
    <m/>
    <m/>
    <s v="Yes"/>
    <s v="Yes"/>
    <s v="Yes"/>
    <n v="0"/>
    <n v="0.1"/>
    <n v="0.5"/>
    <n v="0.5"/>
  </r>
  <r>
    <x v="194"/>
    <s v="10.0_Comfort &amp; Exterior"/>
    <s v="10.30_OutsideLighting-System"/>
    <s v="F0228"/>
    <s v="Surround Lighting, Hazard Light"/>
    <s v="A"/>
    <s v="Body"/>
    <s v="External Illumination"/>
    <s v="Hazard"/>
    <s v="LIN"/>
    <s v="Switch"/>
    <s v="Switch - User Selector"/>
    <s v="Switch - User Selector - Hazard"/>
    <m/>
    <m/>
    <s v="32;0"/>
    <m/>
    <m/>
    <m/>
    <m/>
    <s v="Yes"/>
    <s v="Yes"/>
    <s v="Yes"/>
    <n v="0"/>
    <n v="0"/>
    <n v="1"/>
    <n v="1"/>
  </r>
  <r>
    <x v="195"/>
    <s v="38.0_E-Drive &amp; HV-Safety"/>
    <s v="38.10 HVBordnet&amp;Safety-System"/>
    <s v="F0275"/>
    <s v="Battery Management, BMS Self Protection"/>
    <s v="A"/>
    <s v="Powertrain"/>
    <s v="HV Battery"/>
    <s v="Operation Management Redundant - Computing"/>
    <s v="EV"/>
    <s v="Control Unit"/>
    <s v="Management"/>
    <s v="Management - Operation Management Redundant - Computing"/>
    <m/>
    <m/>
    <m/>
    <m/>
    <m/>
    <m/>
    <m/>
    <m/>
    <m/>
    <m/>
    <m/>
    <m/>
    <m/>
    <m/>
  </r>
  <r>
    <x v="195"/>
    <s v="38.0_E-Drive &amp; HV-Safety"/>
    <s v="38.10 HVBordnet&amp;Safety-System"/>
    <s v="F0276"/>
    <s v="HV-Safety, Isolation Observation"/>
    <s v="A"/>
    <s v="Powertrain"/>
    <s v="HV Battery"/>
    <s v="Operation Management Redundant - Computing"/>
    <s v="EV"/>
    <s v="Control Unit"/>
    <s v="Management"/>
    <s v="Management - Operation Management Redundant - Computing"/>
    <m/>
    <m/>
    <m/>
    <m/>
    <m/>
    <m/>
    <m/>
    <m/>
    <m/>
    <m/>
    <m/>
    <m/>
    <m/>
    <m/>
  </r>
  <r>
    <x v="196"/>
    <s v="10.0_Comfort &amp; Exterior"/>
    <s v="10.20_Mirroring-System"/>
    <s v="F0912"/>
    <s v="Surround View, 3D-View"/>
    <m/>
    <s v="Drive Assistance"/>
    <s v="Driver Assistance System"/>
    <s v="Front View"/>
    <s v="L2/L2+/L3"/>
    <s v="Camera"/>
    <s v="Mono Camera"/>
    <s v="Mono Camera - Front View"/>
    <m/>
    <m/>
    <s v="41;-2"/>
    <s v="TE"/>
    <s v="0-2208145-4"/>
    <s v="5 Pos. HSD Ass'y Unsealed"/>
    <s v="N/A"/>
    <s v="No"/>
    <s v="Yes"/>
    <s v="No"/>
    <n v="1"/>
    <n v="1"/>
    <n v="1"/>
    <n v="1"/>
  </r>
  <r>
    <x v="196"/>
    <s v="37.0_ADAS &amp; AutomatedDriving"/>
    <s v="37.01_LightingAssistant-System"/>
    <s v="F0145"/>
    <s v="Light Assist, High Beam Automatic"/>
    <m/>
    <s v="Drive Assistance"/>
    <s v="Driver Assistance System"/>
    <s v="Front View"/>
    <s v="L2/L2+/L3"/>
    <s v="Camera"/>
    <s v="Mono Camera"/>
    <s v="Mono Camera - Front View"/>
    <m/>
    <m/>
    <s v="41;-2"/>
    <s v="TE"/>
    <s v="0-2208145-4"/>
    <s v="5 Pos. HSD Ass'y Unsealed"/>
    <s v="N/A"/>
    <s v="No"/>
    <s v="Yes"/>
    <s v="No"/>
    <n v="1"/>
    <n v="1"/>
    <n v="1"/>
    <n v="1"/>
  </r>
  <r>
    <x v="196"/>
    <s v="37.0_ADAS &amp; AutomatedDriving"/>
    <s v="37.02_Alerting-System"/>
    <s v="F0162"/>
    <s v="Object Detection, Traffic Sign Recognition"/>
    <m/>
    <s v="Drive Assistance"/>
    <s v="Driver Assistance System"/>
    <s v="Front View"/>
    <s v="L2/L2+/L3"/>
    <s v="Camera"/>
    <s v="Mono Camera"/>
    <s v="Mono Camera - Front View"/>
    <m/>
    <m/>
    <s v="41;-2"/>
    <s v="TE"/>
    <s v="0-2208145-4"/>
    <s v="5 Pos. HSD Ass'y Unsealed"/>
    <s v="N/A"/>
    <s v="No"/>
    <s v="Yes"/>
    <s v="No"/>
    <n v="1"/>
    <n v="1"/>
    <n v="1"/>
    <n v="1"/>
  </r>
  <r>
    <x v="196"/>
    <s v="37.0_ADAS &amp; AutomatedDriving"/>
    <s v="37.02_Alerting-System"/>
    <s v="F0594"/>
    <s v="Object Detection, Highway"/>
    <m/>
    <s v="Drive Assistance"/>
    <s v="Driver Assistance System"/>
    <s v="Front View"/>
    <s v="L2/L2+/L3"/>
    <s v="Camera"/>
    <s v="Mono Camera"/>
    <s v="Mono Camera - Front View"/>
    <m/>
    <m/>
    <s v="41;-2"/>
    <s v="TE"/>
    <s v="0-2208145-4"/>
    <s v="5 Pos. HSD Ass'y Unsealed"/>
    <s v="N/A"/>
    <s v="No"/>
    <s v="Yes"/>
    <s v="No"/>
    <n v="1"/>
    <n v="1"/>
    <n v="1"/>
    <n v="1"/>
  </r>
  <r>
    <x v="196"/>
    <s v="37.0_ADAS &amp; AutomatedDriving"/>
    <s v="37.02_Alerting-System"/>
    <s v="F0599"/>
    <s v="Event Recorder, Video Capturing"/>
    <m/>
    <s v="Drive Assistance"/>
    <s v="Driver Assistance System"/>
    <s v="Front View"/>
    <s v="L2/L2+/L3"/>
    <s v="Camera"/>
    <s v="Mono Camera"/>
    <s v="Mono Camera - Front View"/>
    <m/>
    <m/>
    <s v="41;-2"/>
    <s v="TE"/>
    <s v="0-2208145-4"/>
    <s v="5 Pos. HSD Ass'y Unsealed"/>
    <s v="N/A"/>
    <s v="No"/>
    <s v="Yes"/>
    <s v="No"/>
    <n v="1"/>
    <n v="1"/>
    <n v="1"/>
    <n v="1"/>
  </r>
  <r>
    <x v="196"/>
    <s v="37.0_ADAS &amp; AutomatedDriving"/>
    <s v="37.20_Parking-System"/>
    <s v="F0155"/>
    <s v="Park Assist, Front"/>
    <m/>
    <s v="Drive Assistance"/>
    <s v="Driver Assistance System"/>
    <s v="Front View"/>
    <s v="L2/L2+/L3"/>
    <s v="Camera"/>
    <s v="Mono Camera"/>
    <s v="Mono Camera - Front View"/>
    <m/>
    <m/>
    <s v="41;-2"/>
    <s v="TE"/>
    <s v="0-2208145-4"/>
    <s v="5 Pos. HSD Ass'y Unsealed"/>
    <s v="N/A"/>
    <s v="No"/>
    <s v="Yes"/>
    <s v="No"/>
    <n v="1"/>
    <n v="1"/>
    <n v="1"/>
    <n v="1"/>
  </r>
  <r>
    <x v="196"/>
    <s v="37.0_ADAS &amp; AutomatedDriving"/>
    <s v="37.20_Parking-System"/>
    <s v="F0156"/>
    <s v="Park Assist, Rear"/>
    <m/>
    <s v="Drive Assistance"/>
    <s v="Driver Assistance System"/>
    <s v="Front View"/>
    <s v="L2/L2+/L3"/>
    <s v="Camera"/>
    <s v="Mono Camera"/>
    <s v="Mono Camera - Front View"/>
    <m/>
    <m/>
    <s v="41;-2"/>
    <s v="TE"/>
    <s v="0-2208145-4"/>
    <s v="5 Pos. HSD Ass'y Unsealed"/>
    <s v="N/A"/>
    <s v="No"/>
    <s v="Yes"/>
    <s v="No"/>
    <n v="1"/>
    <n v="1"/>
    <n v="1"/>
    <n v="1"/>
  </r>
  <r>
    <x v="196"/>
    <s v="37.0_ADAS &amp; AutomatedDriving"/>
    <s v="37.20_Parking-System"/>
    <s v="F0314"/>
    <s v="Parking Pilot, Valet Parking"/>
    <m/>
    <s v="Drive Assistance"/>
    <s v="Driver Assistance System"/>
    <s v="Front View"/>
    <s v="L2/L2+/L3"/>
    <s v="Camera"/>
    <s v="Mono Camera"/>
    <s v="Mono Camera - Front View"/>
    <m/>
    <m/>
    <s v="41;-2"/>
    <s v="TE"/>
    <s v="0-2208145-4"/>
    <s v="5 Pos. HSD Ass'y Unsealed"/>
    <s v="N/A"/>
    <s v="No"/>
    <s v="Yes"/>
    <s v="No"/>
    <n v="1"/>
    <n v="1"/>
    <n v="1"/>
    <n v="1"/>
  </r>
  <r>
    <x v="196"/>
    <s v="37.0_ADAS &amp; AutomatedDriving"/>
    <s v="37.20_Parking-System"/>
    <s v="F0536"/>
    <s v="Parking Pilot, Trained Parking"/>
    <m/>
    <s v="Drive Assistance"/>
    <s v="Driver Assistance System"/>
    <s v="Front View"/>
    <s v="L2/L2+/L3"/>
    <s v="Camera"/>
    <s v="Mono Camera"/>
    <s v="Mono Camera - Front View"/>
    <m/>
    <m/>
    <s v="41;-2"/>
    <s v="TE"/>
    <s v="0-2208145-4"/>
    <s v="5 Pos. HSD Ass'y Unsealed"/>
    <s v="N/A"/>
    <s v="No"/>
    <s v="Yes"/>
    <s v="No"/>
    <n v="1"/>
    <n v="1"/>
    <n v="1"/>
    <n v="1"/>
  </r>
  <r>
    <x v="196"/>
    <s v="37.0_ADAS &amp; AutomatedDriving"/>
    <s v="37.20_Parking-System"/>
    <s v="F1301"/>
    <s v="Drive Away Assist"/>
    <m/>
    <s v="Drive Assistance"/>
    <s v="Driver Assistance System"/>
    <s v="Front View"/>
    <s v="L2/L2+/L3"/>
    <s v="Camera"/>
    <s v="Mono Camera"/>
    <s v="Mono Camera - Front View"/>
    <m/>
    <m/>
    <s v="41;-2"/>
    <s v="TE"/>
    <s v="0-2208145-4"/>
    <s v="5 Pos. HSD Ass'y Unsealed"/>
    <s v="N/A"/>
    <s v="No"/>
    <s v="Yes"/>
    <s v="No"/>
    <n v="1"/>
    <n v="1"/>
    <n v="1"/>
    <n v="1"/>
  </r>
  <r>
    <x v="196"/>
    <s v="37.0_ADAS &amp; AutomatedDriving"/>
    <s v="37.20_Parking-System"/>
    <s v="F1304"/>
    <s v="Park Assist, Side"/>
    <m/>
    <s v="Drive Assistance"/>
    <s v="Driver Assistance System"/>
    <s v="Front View"/>
    <s v="L2/L2+/L3"/>
    <s v="Camera"/>
    <s v="Mono Camera"/>
    <s v="Mono Camera - Front View"/>
    <m/>
    <m/>
    <s v="41;-2"/>
    <s v="TE"/>
    <s v="0-2208145-4"/>
    <s v="5 Pos. HSD Ass'y Unsealed"/>
    <s v="N/A"/>
    <s v="No"/>
    <s v="Yes"/>
    <s v="No"/>
    <n v="1"/>
    <n v="1"/>
    <n v="1"/>
    <n v="1"/>
  </r>
  <r>
    <x v="196"/>
    <s v="37.0_ADAS &amp; AutomatedDriving"/>
    <s v="37.20_Parking-System"/>
    <s v="F2003"/>
    <s v="Automatic Parking Support"/>
    <m/>
    <s v="Drive Assistance"/>
    <s v="Driver Assistance System"/>
    <s v="Front View"/>
    <s v="L2/L2+/L3"/>
    <s v="Camera"/>
    <s v="Mono Camera"/>
    <s v="Mono Camera - Front View"/>
    <m/>
    <m/>
    <s v="41;-2"/>
    <s v="TE"/>
    <s v="0-2208145-4"/>
    <s v="5 Pos. HSD Ass'y Unsealed"/>
    <s v="N/A"/>
    <s v="No"/>
    <s v="Yes"/>
    <s v="No"/>
    <n v="1"/>
    <n v="1"/>
    <n v="1"/>
    <n v="1"/>
  </r>
  <r>
    <x v="196"/>
    <s v="37.0_ADAS &amp; AutomatedDriving"/>
    <s v="37.23_LaneSupporting-System"/>
    <s v="F0331"/>
    <s v="Lane Assist, Lane Change Assist (LCA)"/>
    <m/>
    <s v="Drive Assistance"/>
    <s v="Driver Assistance System"/>
    <s v="Front View"/>
    <s v="L2/L2+/L3"/>
    <s v="Camera"/>
    <s v="Mono Camera"/>
    <s v="Mono Camera - Front View"/>
    <m/>
    <m/>
    <s v="41;-2"/>
    <s v="TE"/>
    <s v="0-2208145-4"/>
    <s v="5 Pos. HSD Ass'y Unsealed"/>
    <s v="N/A"/>
    <s v="No"/>
    <s v="Yes"/>
    <s v="No"/>
    <n v="1"/>
    <n v="1"/>
    <n v="1"/>
    <n v="1"/>
  </r>
  <r>
    <x v="196"/>
    <s v="37.0_ADAS &amp; AutomatedDriving"/>
    <s v="37.23_LaneSupporting-System"/>
    <s v="F0657"/>
    <s v="Lane Assist, Evasive Steering Support"/>
    <m/>
    <s v="Drive Assistance"/>
    <s v="Driver Assistance System"/>
    <s v="Front View"/>
    <s v="L2/L2+/L3"/>
    <s v="Camera"/>
    <s v="Mono Camera"/>
    <s v="Mono Camera - Front View"/>
    <m/>
    <m/>
    <s v="41;-2"/>
    <s v="TE"/>
    <s v="0-2208145-4"/>
    <s v="5 Pos. HSD Ass'y Unsealed"/>
    <s v="N/A"/>
    <s v="No"/>
    <s v="Yes"/>
    <s v="No"/>
    <n v="1"/>
    <n v="1"/>
    <n v="1"/>
    <n v="1"/>
  </r>
  <r>
    <x v="196"/>
    <s v="37.0_ADAS &amp; AutomatedDriving"/>
    <s v="37.23_LaneSupporting-System"/>
    <s v="F0658"/>
    <s v="Lane Assist, Traffic Jam Assist"/>
    <m/>
    <s v="Drive Assistance"/>
    <s v="Driver Assistance System"/>
    <s v="Front View"/>
    <s v="L2/L2+/L3"/>
    <s v="Camera"/>
    <s v="Mono Camera"/>
    <s v="Mono Camera - Front View"/>
    <m/>
    <m/>
    <s v="41;-2"/>
    <s v="TE"/>
    <s v="0-2208145-4"/>
    <s v="5 Pos. HSD Ass'y Unsealed"/>
    <s v="N/A"/>
    <s v="No"/>
    <s v="Yes"/>
    <s v="No"/>
    <n v="1"/>
    <n v="1"/>
    <n v="1"/>
    <n v="1"/>
  </r>
  <r>
    <x v="196"/>
    <s v="37.0_ADAS &amp; AutomatedDriving"/>
    <s v="37.23_LaneSupporting-System"/>
    <s v="F1187"/>
    <s v="Lane Support System, Lane Centering Control (LCC)"/>
    <m/>
    <s v="Drive Assistance"/>
    <s v="Driver Assistance System"/>
    <s v="Front View"/>
    <s v="L2/L2+/L3"/>
    <s v="Camera"/>
    <s v="Mono Camera"/>
    <s v="Mono Camera - Front View"/>
    <m/>
    <m/>
    <s v="41;-2"/>
    <s v="TE"/>
    <s v="0-2208145-4"/>
    <s v="5 Pos. HSD Ass'y Unsealed"/>
    <s v="N/A"/>
    <s v="No"/>
    <s v="Yes"/>
    <s v="No"/>
    <n v="1"/>
    <n v="1"/>
    <n v="1"/>
    <n v="1"/>
  </r>
  <r>
    <x v="196"/>
    <s v="37.0_ADAS &amp; AutomatedDriving"/>
    <s v="37.23_LaneSupporting-System"/>
    <s v="F2010"/>
    <s v="Emergency Lane Keeping Support"/>
    <m/>
    <s v="Drive Assistance"/>
    <s v="Driver Assistance System"/>
    <s v="Front View"/>
    <s v="L2/L2+/L3"/>
    <s v="Camera"/>
    <s v="Mono Camera"/>
    <s v="Mono Camera - Front View"/>
    <m/>
    <m/>
    <s v="41;-2"/>
    <s v="TE"/>
    <s v="0-2208145-4"/>
    <s v="5 Pos. HSD Ass'y Unsealed"/>
    <s v="N/A"/>
    <s v="No"/>
    <s v="Yes"/>
    <s v="No"/>
    <n v="1"/>
    <n v="1"/>
    <n v="1"/>
    <n v="1"/>
  </r>
  <r>
    <x v="196"/>
    <s v="37.0_ADAS &amp; AutomatedDriving"/>
    <s v="37.30_Piloting-System"/>
    <s v="F0332"/>
    <s v="Pilot, Traffic Jam"/>
    <m/>
    <s v="Drive Assistance"/>
    <s v="Driver Assistance System"/>
    <s v="Front View"/>
    <s v="L2/L2+/L3"/>
    <s v="Camera"/>
    <s v="Mono Camera"/>
    <s v="Mono Camera - Front View"/>
    <m/>
    <m/>
    <s v="41;-2"/>
    <s v="TE"/>
    <s v="0-2208145-4"/>
    <s v="5 Pos. HSD Ass'y Unsealed"/>
    <s v="N/A"/>
    <s v="No"/>
    <s v="Yes"/>
    <s v="No"/>
    <n v="1"/>
    <n v="1"/>
    <n v="1"/>
    <n v="1"/>
  </r>
  <r>
    <x v="196"/>
    <s v="37.0_ADAS &amp; AutomatedDriving"/>
    <s v="37.30_Piloting-System"/>
    <s v="F0915"/>
    <s v="Pilot, Rush Hour"/>
    <m/>
    <s v="Drive Assistance"/>
    <s v="Driver Assistance System"/>
    <s v="Front View"/>
    <s v="L2/L2+/L3"/>
    <s v="Camera"/>
    <s v="Mono Camera"/>
    <s v="Mono Camera - Front View"/>
    <m/>
    <m/>
    <s v="41;-2"/>
    <s v="TE"/>
    <s v="0-2208145-4"/>
    <s v="5 Pos. HSD Ass'y Unsealed"/>
    <s v="N/A"/>
    <s v="No"/>
    <s v="Yes"/>
    <s v="No"/>
    <n v="1"/>
    <n v="1"/>
    <n v="1"/>
    <n v="1"/>
  </r>
  <r>
    <x v="196"/>
    <s v="37.0_ADAS &amp; AutomatedDriving"/>
    <s v="37.30_Piloting-System"/>
    <s v="F1042"/>
    <s v="Pilot, Remote Operation"/>
    <m/>
    <s v="Drive Assistance"/>
    <s v="Driver Assistance System"/>
    <s v="Front View"/>
    <s v="L2/L2+/L3"/>
    <s v="Camera"/>
    <s v="Mono Camera"/>
    <s v="Mono Camera - Front View"/>
    <m/>
    <m/>
    <s v="41;-2"/>
    <s v="TE"/>
    <s v="0-2208145-4"/>
    <s v="5 Pos. HSD Ass'y Unsealed"/>
    <s v="N/A"/>
    <s v="No"/>
    <s v="Yes"/>
    <s v="No"/>
    <n v="1"/>
    <n v="1"/>
    <n v="1"/>
    <n v="1"/>
  </r>
  <r>
    <x v="197"/>
    <s v="10.0_Comfort &amp; Exterior"/>
    <s v="10.20_Mirroring-System"/>
    <s v="F0912"/>
    <s v="Surround View, 3D-View"/>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01_LightingAssistant-System"/>
    <s v="F0145"/>
    <s v="Light Assist, High Beam Automatic"/>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02_Alerting-System"/>
    <s v="F0162"/>
    <s v="Object Detection, Traffic Sign Recognition"/>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02_Alerting-System"/>
    <s v="F0594"/>
    <s v="Object Detection, Highway"/>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02_Alerting-System"/>
    <s v="F0599"/>
    <s v="Event Recorder, Video Capturing"/>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20_Parking-System"/>
    <s v="F0155"/>
    <s v="Park Assist, Front"/>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20_Parking-System"/>
    <s v="F0156"/>
    <s v="Park Assist, Rear"/>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20_Parking-System"/>
    <s v="F0314"/>
    <s v="Parking Pilot, Valet Parking"/>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20_Parking-System"/>
    <s v="F0536"/>
    <s v="Parking Pilot, Trained Parking"/>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20_Parking-System"/>
    <s v="F1301"/>
    <s v="Drive Away Assist"/>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20_Parking-System"/>
    <s v="F1304"/>
    <s v="Park Assist, Side"/>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20_Parking-System"/>
    <s v="F2003"/>
    <s v="Automatic Parking Support"/>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23_LaneSupporting-System"/>
    <s v="F0331"/>
    <s v="Lane Assist, Lane Change Assist (LCA)"/>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23_LaneSupporting-System"/>
    <s v="F0657"/>
    <s v="Lane Assist, Evasive Steering Support"/>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23_LaneSupporting-System"/>
    <s v="F0658"/>
    <s v="Lane Assist, Traffic Jam Assist"/>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23_LaneSupporting-System"/>
    <s v="F1187"/>
    <s v="Lane Support System, Lane Centering Control (LCC)"/>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23_LaneSupporting-System"/>
    <s v="F2010"/>
    <s v="Emergency Lane Keeping Support"/>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30_Piloting-System"/>
    <s v="F0332"/>
    <s v="Pilot, Traffic Jam"/>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30_Piloting-System"/>
    <s v="F0915"/>
    <s v="Pilot, Rush Hour"/>
    <m/>
    <s v="Drive Assistance"/>
    <s v="Driver Assistance System"/>
    <s v="Wide Rear View"/>
    <s v="L2/L2+/L3"/>
    <s v="Camera"/>
    <s v="Fisheye Camera"/>
    <s v="Fisheye Camera - Wide Rear View"/>
    <m/>
    <m/>
    <s v="113;0"/>
    <s v="TE"/>
    <s v="0-2208145-2"/>
    <s v="5 Pos. HSD Ass'y Unsealed"/>
    <s v="N/A"/>
    <s v="No"/>
    <s v="Yes"/>
    <s v="No"/>
    <n v="1"/>
    <n v="1"/>
    <n v="1"/>
    <n v="1"/>
  </r>
  <r>
    <x v="197"/>
    <s v="37.0_ADAS &amp; AutomatedDriving"/>
    <s v="37.30_Piloting-System"/>
    <s v="F1042"/>
    <s v="Pilot, Remote Operation"/>
    <m/>
    <s v="Drive Assistance"/>
    <s v="Driver Assistance System"/>
    <s v="Wide Rear View"/>
    <s v="L2/L2+/L3"/>
    <s v="Camera"/>
    <s v="Fisheye Camera"/>
    <s v="Fisheye Camera - Wide Rear View"/>
    <m/>
    <m/>
    <s v="113;0"/>
    <s v="TE"/>
    <s v="0-2208145-2"/>
    <s v="5 Pos. HSD Ass'y Unsealed"/>
    <s v="N/A"/>
    <s v="No"/>
    <s v="Yes"/>
    <s v="No"/>
    <n v="1"/>
    <n v="1"/>
    <n v="1"/>
    <n v="1"/>
  </r>
  <r>
    <x v="198"/>
    <s v="37.0_ADAS &amp; AutomatedDriving"/>
    <s v="37.20_Parking-System"/>
    <s v="F0155"/>
    <s v="Park Assist, Front"/>
    <m/>
    <s v="Drive Assistance"/>
    <s v="Driver Assistance System"/>
    <s v="Short Range Distance Measurement"/>
    <s v="L1+/L2/L2+/L3/L4/L5"/>
    <s v="Sensor"/>
    <s v="Ultrasonic Sensor FSL"/>
    <s v="Ultrasonic Sensor FSL - Short Range Distance Measurement"/>
    <m/>
    <m/>
    <s v="0;-23"/>
    <s v="TE"/>
    <s v="0-1488991-6"/>
    <s v="3 Pos. MCON 1,2mm Sealed"/>
    <m/>
    <s v="No"/>
    <s v="Yes"/>
    <s v="Yes"/>
    <n v="0.05"/>
    <n v="0"/>
    <n v="0.05"/>
    <n v="0"/>
  </r>
  <r>
    <x v="198"/>
    <s v="37.0_ADAS &amp; AutomatedDriving"/>
    <s v="37.20_Parking-System"/>
    <s v="F0314"/>
    <s v="Parking Pilot, Valet Parking"/>
    <m/>
    <s v="Drive Assistance"/>
    <s v="Driver Assistance System"/>
    <s v="Short Range Distance Measurement"/>
    <s v="L1+/L2/L2+/L3/L4/L5"/>
    <s v="Sensor"/>
    <s v="Ultrasonic Sensor FSL"/>
    <s v="Ultrasonic Sensor FSL - Short Range Distance Measurement"/>
    <m/>
    <m/>
    <s v="0;-23"/>
    <s v="TE"/>
    <s v="0-1488991-6"/>
    <s v="3 Pos. MCON 1,2mm Sealed"/>
    <m/>
    <s v="No"/>
    <s v="No"/>
    <s v="Yes"/>
    <n v="0.05"/>
    <n v="0"/>
    <n v="0.05"/>
    <n v="0"/>
  </r>
  <r>
    <x v="198"/>
    <s v="37.0_ADAS &amp; AutomatedDriving"/>
    <s v="37.20_Parking-System"/>
    <s v="F0536"/>
    <s v="Parking Pilot, Trained Parking"/>
    <m/>
    <s v="Drive Assistance"/>
    <s v="Driver Assistance System"/>
    <s v="Short Range Distance Measurement"/>
    <s v="L1+/L2/L2+/L3/L4/L5"/>
    <s v="Sensor"/>
    <s v="Ultrasonic Sensor FSL"/>
    <s v="Ultrasonic Sensor FSL - Short Range Distance Measurement"/>
    <m/>
    <m/>
    <s v="0;-23"/>
    <s v="TE"/>
    <s v="0-1488991-6"/>
    <s v="3 Pos. MCON 1,2mm Sealed"/>
    <m/>
    <s v="No"/>
    <s v="No"/>
    <s v="Yes"/>
    <n v="0.05"/>
    <n v="0"/>
    <n v="0.05"/>
    <n v="0"/>
  </r>
  <r>
    <x v="198"/>
    <s v="37.0_ADAS &amp; AutomatedDriving"/>
    <s v="37.20_Parking-System"/>
    <s v="F1301"/>
    <s v="Drive Away Assist"/>
    <m/>
    <s v="Drive Assistance"/>
    <s v="Driver Assistance System"/>
    <s v="Short Range Distance Measurement"/>
    <s v="L1+/L2/L2+/L3/L4/L5"/>
    <s v="Sensor"/>
    <s v="Ultrasonic Sensor FSL"/>
    <s v="Ultrasonic Sensor FSL - Short Range Distance Measurement"/>
    <m/>
    <m/>
    <s v="0;-23"/>
    <s v="TE"/>
    <s v="0-1488991-6"/>
    <s v="3 Pos. MCON 1,2mm Sealed"/>
    <m/>
    <s v="No"/>
    <s v="No"/>
    <s v="Yes"/>
    <n v="0.05"/>
    <n v="0"/>
    <n v="0.05"/>
    <n v="0"/>
  </r>
  <r>
    <x v="198"/>
    <s v="37.0_ADAS &amp; AutomatedDriving"/>
    <s v="37.20_Parking-System"/>
    <s v="F1304"/>
    <s v="Park Assist, Side"/>
    <m/>
    <s v="Drive Assistance"/>
    <s v="Driver Assistance System"/>
    <s v="Short Range Distance Measurement"/>
    <s v="L1+/L2/L2+/L3/L4/L5"/>
    <s v="Sensor"/>
    <s v="Ultrasonic Sensor FSL"/>
    <s v="Ultrasonic Sensor FSL - Short Range Distance Measurement"/>
    <m/>
    <m/>
    <s v="0;-23"/>
    <s v="TE"/>
    <s v="0-1488991-6"/>
    <s v="3 Pos. MCON 1,2mm Sealed"/>
    <m/>
    <s v="No"/>
    <s v="Yes"/>
    <s v="Yes"/>
    <n v="0.05"/>
    <n v="0"/>
    <n v="0.05"/>
    <n v="0"/>
  </r>
  <r>
    <x v="198"/>
    <s v="37.0_ADAS &amp; AutomatedDriving"/>
    <s v="37.20_Parking-System"/>
    <s v="F2003"/>
    <s v="Automatic Parking Support"/>
    <m/>
    <s v="Drive Assistance"/>
    <s v="Driver Assistance System"/>
    <s v="Short Range Distance Measurement"/>
    <s v="L1+/L2/L2+/L3/L4/L5"/>
    <s v="Sensor"/>
    <s v="Ultrasonic Sensor FSL"/>
    <s v="Ultrasonic Sensor FSL - Short Range Distance Measurement"/>
    <m/>
    <m/>
    <s v="0;-23"/>
    <s v="TE"/>
    <s v="0-1488991-6"/>
    <s v="3 Pos. MCON 1,2mm Sealed"/>
    <m/>
    <s v="No"/>
    <s v="Yes"/>
    <s v="Yes"/>
    <n v="0.05"/>
    <n v="0"/>
    <n v="0.05"/>
    <n v="0"/>
  </r>
  <r>
    <x v="199"/>
    <s v="37.0_ADAS &amp; AutomatedDriving"/>
    <s v="37.02_Alerting-System"/>
    <s v="F0142"/>
    <s v="Driver Monitoring, Indirect Drowsiness Detection"/>
    <s v="QM"/>
    <s v="Drive Assistance"/>
    <s v="Driver Assistance System"/>
    <s v="Driver Monitoring"/>
    <s v="L1+"/>
    <s v="Sensor"/>
    <s v="Steering Wheel Sensor"/>
    <s v="Steering Wheel Sensor - Driver Monitoring"/>
    <m/>
    <m/>
    <m/>
    <m/>
    <m/>
    <m/>
    <m/>
    <m/>
    <m/>
    <m/>
    <m/>
    <m/>
    <m/>
    <m/>
  </r>
  <r>
    <x v="199"/>
    <s v="37.0_ADAS &amp; AutomatedDriving"/>
    <s v="37.02_Alerting-System"/>
    <s v="F2006"/>
    <s v="Driver Monitoring, Direct Drowsiness Detection"/>
    <m/>
    <s v="Drive Assistance"/>
    <s v="Driver Assistance System"/>
    <s v="Driver Monitoring"/>
    <s v="L1+"/>
    <s v="Sensor"/>
    <s v="Steering Wheel Sensor"/>
    <s v="Steering Wheel Sensor - Driver Monitoring"/>
    <m/>
    <m/>
    <m/>
    <m/>
    <m/>
    <m/>
    <m/>
    <m/>
    <m/>
    <m/>
    <m/>
    <m/>
    <m/>
    <m/>
  </r>
  <r>
    <x v="199"/>
    <s v="37.0_ADAS &amp; AutomatedDriving"/>
    <s v="37.02_Alerting-System"/>
    <s v="F2021"/>
    <s v="Collision Alert Side, Blind Zone Support"/>
    <m/>
    <s v="Drive Assistance"/>
    <s v="Driver Assistance System"/>
    <s v="Driver Monitoring"/>
    <s v="L1+"/>
    <s v="Sensor"/>
    <s v="Steering Wheel Sensor"/>
    <s v="Steering Wheel Sensor - Driver Monitoring"/>
    <m/>
    <m/>
    <m/>
    <m/>
    <m/>
    <m/>
    <m/>
    <m/>
    <m/>
    <m/>
    <m/>
    <m/>
    <m/>
    <m/>
  </r>
  <r>
    <x v="199"/>
    <s v="37.0_ADAS &amp; AutomatedDriving"/>
    <s v="37.11_EBA-System"/>
    <s v="F0967"/>
    <s v="Active Stop, Emergency  (AESA)"/>
    <m/>
    <s v="Drive Assistance"/>
    <s v="Driver Assistance System"/>
    <s v="Driver Monitoring"/>
    <s v="L1+"/>
    <s v="Sensor"/>
    <s v="Steering Wheel Sensor"/>
    <s v="Steering Wheel Sensor - Driver Monitoring"/>
    <m/>
    <m/>
    <m/>
    <m/>
    <m/>
    <m/>
    <m/>
    <m/>
    <m/>
    <m/>
    <m/>
    <m/>
    <m/>
    <m/>
  </r>
  <r>
    <x v="199"/>
    <s v="37.0_ADAS &amp; AutomatedDriving"/>
    <s v="37.23_LaneSupporting-System"/>
    <s v="F0595"/>
    <s v="Lane Assist, Highway Assist"/>
    <s v="D"/>
    <s v="Drive Assistance"/>
    <s v="Driver Assistance System"/>
    <s v="Driver Monitoring"/>
    <s v="L1+"/>
    <s v="Sensor"/>
    <s v="Steering Wheel Sensor"/>
    <s v="Steering Wheel Sensor - Driver Monitoring"/>
    <m/>
    <m/>
    <m/>
    <m/>
    <m/>
    <m/>
    <m/>
    <m/>
    <m/>
    <m/>
    <m/>
    <m/>
    <m/>
    <m/>
  </r>
  <r>
    <x v="199"/>
    <s v="37.0_ADAS &amp; AutomatedDriving"/>
    <s v="37.23_LaneSupporting-System"/>
    <s v="F0658"/>
    <s v="Lane Assist, Traffic Jam Assist"/>
    <s v="D"/>
    <s v="Drive Assistance"/>
    <s v="Driver Assistance System"/>
    <s v="Driver Monitoring"/>
    <s v="L1+"/>
    <s v="Sensor"/>
    <s v="Steering Wheel Sensor"/>
    <s v="Steering Wheel Sensor - Driver Monitoring"/>
    <m/>
    <m/>
    <m/>
    <m/>
    <m/>
    <m/>
    <m/>
    <m/>
    <m/>
    <m/>
    <m/>
    <m/>
    <m/>
    <m/>
  </r>
  <r>
    <x v="199"/>
    <s v="37.0_ADAS &amp; AutomatedDriving"/>
    <s v="37.23_LaneSupporting-System"/>
    <s v="F1187"/>
    <s v="Lane Support System, Lane Centering Control (LCC)"/>
    <s v="D"/>
    <s v="Drive Assistance"/>
    <s v="Driver Assistance System"/>
    <s v="Driver Monitoring"/>
    <s v="L1+"/>
    <s v="Sensor"/>
    <s v="Steering Wheel Sensor"/>
    <s v="Steering Wheel Sensor - Driver Monitoring"/>
    <m/>
    <m/>
    <m/>
    <m/>
    <m/>
    <m/>
    <m/>
    <m/>
    <m/>
    <m/>
    <m/>
    <m/>
    <m/>
    <m/>
  </r>
  <r>
    <x v="199"/>
    <s v="37.0_ADAS &amp; AutomatedDriving"/>
    <s v="37.30_Piloting-System"/>
    <s v="F0332"/>
    <s v="Pilot, Traffic Jam"/>
    <m/>
    <s v="Drive Assistance"/>
    <s v="Driver Assistance System"/>
    <s v="Driver Monitoring"/>
    <s v="L1+"/>
    <s v="Sensor"/>
    <s v="Steering Wheel Sensor"/>
    <s v="Steering Wheel Sensor - Driver Monitoring"/>
    <m/>
    <m/>
    <m/>
    <m/>
    <m/>
    <m/>
    <m/>
    <m/>
    <m/>
    <m/>
    <m/>
    <m/>
    <m/>
    <m/>
  </r>
  <r>
    <x v="199"/>
    <s v="37.0_ADAS &amp; AutomatedDriving"/>
    <s v="37.30_Piloting-System"/>
    <s v="F1105"/>
    <s v="Pilot, Data Storage System For Automated Driving (DSSAD)"/>
    <m/>
    <s v="Drive Assistance"/>
    <s v="Driver Assistance System"/>
    <s v="Driver Monitoring"/>
    <s v="L1+"/>
    <s v="Sensor"/>
    <s v="Steering Wheel Sensor"/>
    <s v="Steering Wheel Sensor - Driver Monitoring"/>
    <m/>
    <m/>
    <m/>
    <m/>
    <m/>
    <m/>
    <m/>
    <m/>
    <m/>
    <m/>
    <m/>
    <m/>
    <m/>
    <m/>
  </r>
  <r>
    <x v="200"/>
    <s v="16.0_Comfort &amp; Safety"/>
    <s v="16.10_Airbag-System"/>
    <s v="F0011"/>
    <s v="Airbag Driver, Single Stage"/>
    <s v="D"/>
    <s v="Chassis"/>
    <s v="Airbag"/>
    <s v="Airbag"/>
    <s v="Driver"/>
    <s v="Igniter"/>
    <s v="Airbag Driver"/>
    <s v="Airbag Driver - Airbag"/>
    <m/>
    <m/>
    <s v="38;-9"/>
    <s v="TE"/>
    <s v="353744-7"/>
    <s v="2 Pos. Squib Airbag"/>
    <m/>
    <s v="Yes"/>
    <s v="Yes"/>
    <s v="Yes"/>
    <n v="0"/>
    <n v="0"/>
    <n v="0"/>
    <n v="0"/>
  </r>
  <r>
    <x v="201"/>
    <s v="16.0_Comfort &amp; Safety"/>
    <s v="16.10_Airbag-System"/>
    <s v="F0612"/>
    <s v="Airbag Passenger, Single Stage"/>
    <s v="D"/>
    <s v="Chassis"/>
    <s v="Airbag"/>
    <s v="Airbag"/>
    <s v="Passenger"/>
    <s v="Igniter"/>
    <s v="Airbag Passenger"/>
    <s v="Airbag Passenger - Airbag"/>
    <m/>
    <m/>
    <s v="31;12"/>
    <s v="TE"/>
    <s v="353744-7"/>
    <s v="2 Pos. Squib Airbag"/>
    <m/>
    <s v="Yes"/>
    <s v="Yes"/>
    <s v="Yes"/>
    <n v="0"/>
    <n v="0"/>
    <n v="0"/>
    <n v="0"/>
  </r>
  <r>
    <x v="202"/>
    <s v="16.0_Comfort &amp; Safety"/>
    <s v="16.10_Airbag-System"/>
    <s v="F0010"/>
    <s v="Airbag Driver, Knee Bag"/>
    <s v="D"/>
    <s v="Chassis"/>
    <s v="Airbag"/>
    <s v="Airbag"/>
    <s v="Driver Knee"/>
    <s v="Igniter"/>
    <s v="Knee Airbag Driver"/>
    <s v="Knee Airbag Driver - Airbag"/>
    <m/>
    <m/>
    <s v="32;-10"/>
    <s v="TE"/>
    <s v="353744-7"/>
    <s v="2 Pos. Squib Airbag"/>
    <m/>
    <s v="No"/>
    <s v="No"/>
    <s v="Yes"/>
    <n v="0"/>
    <n v="0"/>
    <n v="0"/>
    <n v="0"/>
  </r>
  <r>
    <x v="203"/>
    <s v="16.0_Comfort &amp; Safety"/>
    <s v="16.10_Airbag-System"/>
    <s v="F0012"/>
    <s v="Airbag Side, Front Left / Right"/>
    <s v="D"/>
    <s v="Chassis"/>
    <s v="Airbag"/>
    <s v="Airbag"/>
    <s v="Seat"/>
    <s v="Igniter"/>
    <s v="Seat Airbag 1st Row L"/>
    <s v="Seat Airbag 1st Row L - Airbag"/>
    <m/>
    <m/>
    <s v="55;-18"/>
    <s v="TE"/>
    <s v="353744-7"/>
    <s v="2 Pos. Squib Airbag"/>
    <m/>
    <s v="No"/>
    <s v="Yes"/>
    <s v="Yes"/>
    <n v="0"/>
    <n v="0"/>
    <n v="0"/>
    <n v="0"/>
  </r>
  <r>
    <x v="204"/>
    <s v="16.0_Comfort &amp; Safety"/>
    <s v="16.10_Airbag-System"/>
    <s v="F0012"/>
    <s v="Airbag Side, Front Left / Right"/>
    <s v="D"/>
    <s v="Chassis"/>
    <s v="Airbag"/>
    <s v="Airbag"/>
    <s v="Seat"/>
    <s v="Igniter"/>
    <s v="Seat Airbag 1st Row R"/>
    <s v="Seat Airbag 1st Row R - Airbag"/>
    <m/>
    <m/>
    <s v="55;18"/>
    <s v="TE"/>
    <s v="353744-7"/>
    <s v="2 Pos. Squib Airbag"/>
    <m/>
    <s v="No"/>
    <s v="Yes"/>
    <s v="Yes"/>
    <n v="0"/>
    <n v="0"/>
    <n v="0"/>
    <n v="0"/>
  </r>
  <r>
    <x v="205"/>
    <s v="16.0_Comfort &amp; Safety"/>
    <s v="16.20_Restraint-System"/>
    <s v="F0051"/>
    <s v="Belt Tensioner Front, With Belt Load Limiter"/>
    <s v="D"/>
    <s v="Chassis"/>
    <s v="Airbag"/>
    <s v="Pretensioner"/>
    <s v="Basic"/>
    <s v="Igniter"/>
    <s v="Lap Pretensioner L"/>
    <s v="Lap Pretensioner L - Pretensioner"/>
    <m/>
    <m/>
    <s v="59;1"/>
    <m/>
    <m/>
    <m/>
    <m/>
    <s v="No"/>
    <s v="Yes"/>
    <s v="Yes"/>
    <n v="0"/>
    <n v="0"/>
    <n v="0"/>
    <n v="0"/>
  </r>
  <r>
    <x v="206"/>
    <s v="16.0_Comfort &amp; Safety"/>
    <s v="16.20_Restraint-System"/>
    <s v="F0051"/>
    <s v="Belt Tensioner Front, With Belt Load Limiter"/>
    <s v="D"/>
    <s v="Chassis"/>
    <s v="Airbag"/>
    <s v="Pretensioner"/>
    <s v="Basic"/>
    <s v="Igniter"/>
    <s v="Lap Pretensioner R"/>
    <s v="Lap Pretensioner R - Pretensioner"/>
    <m/>
    <m/>
    <s v="59;-1"/>
    <m/>
    <m/>
    <m/>
    <m/>
    <s v="No"/>
    <s v="Yes"/>
    <s v="Yes"/>
    <n v="0"/>
    <n v="0"/>
    <n v="0"/>
    <n v="0"/>
  </r>
  <r>
    <x v="207"/>
    <s v="16.0_Comfort &amp; Safety"/>
    <s v="16.10_Airbag-System"/>
    <s v="F0010"/>
    <s v="Airbag Driver, Knee Bag"/>
    <s v="D"/>
    <s v="Chassis"/>
    <s v="Airbag"/>
    <s v="Seat Position"/>
    <s v="Basic"/>
    <s v="Sensor"/>
    <s v="Seat Position 1st Row L"/>
    <s v="Seat Position 1st Row L - Seat Position"/>
    <m/>
    <m/>
    <s v="44;-3"/>
    <s v="TE"/>
    <s v="1-1718333-1"/>
    <s v="2 Pos. MQS 0,63mm Unsealed"/>
    <s v="No"/>
    <s v="No"/>
    <s v="No"/>
    <s v="Yes"/>
    <n v="1"/>
    <n v="1"/>
    <n v="1"/>
    <n v="1"/>
  </r>
  <r>
    <x v="207"/>
    <s v="16.0_Comfort &amp; Safety"/>
    <s v="16.10_Airbag-System"/>
    <s v="F0011"/>
    <s v="Airbag Driver, Single Stage"/>
    <s v="D"/>
    <s v="Chassis"/>
    <s v="Airbag"/>
    <s v="Seat Position"/>
    <s v="Basic"/>
    <s v="Sensor"/>
    <s v="Seat Position 1st Row L"/>
    <s v="Seat Position 1st Row L - Seat Position"/>
    <m/>
    <m/>
    <s v="44;-3"/>
    <s v="TE"/>
    <s v="1-1718333-1"/>
    <s v="2 Pos. MQS 0,63mm Unsealed"/>
    <s v="No"/>
    <s v="Yes"/>
    <s v="Yes"/>
    <s v="Yes"/>
    <n v="1"/>
    <n v="1"/>
    <n v="1"/>
    <n v="1"/>
  </r>
  <r>
    <x v="207"/>
    <s v="16.0_Comfort &amp; Safety"/>
    <s v="16.10_Airbag-System"/>
    <s v="F0419"/>
    <s v="Airbag Passenger, Anti-Submarining"/>
    <s v=" "/>
    <s v="Chassis"/>
    <s v="Airbag"/>
    <s v="Seat Position"/>
    <s v="Basic"/>
    <s v="Sensor"/>
    <s v="Seat Position 1st Row L"/>
    <s v="Seat Position 1st Row L - Seat Position"/>
    <m/>
    <m/>
    <s v="44;-3"/>
    <s v="TE"/>
    <s v="1-1718333-1"/>
    <s v="2 Pos. MQS 0,63mm Unsealed"/>
    <s v="No"/>
    <s v="No"/>
    <s v="Yes"/>
    <s v="Yes"/>
    <n v="1"/>
    <n v="1"/>
    <n v="1"/>
    <n v="1"/>
  </r>
  <r>
    <x v="207"/>
    <s v="16.0_Comfort &amp; Safety"/>
    <s v="16.10_Airbag-System"/>
    <s v="F0439"/>
    <s v="Airbag Rear, Anti-Submarining"/>
    <s v=" "/>
    <s v="Chassis"/>
    <s v="Airbag"/>
    <s v="Seat Position"/>
    <s v="Basic"/>
    <s v="Sensor"/>
    <s v="Seat Position 1st Row L"/>
    <s v="Seat Position 1st Row L - Seat Position"/>
    <m/>
    <m/>
    <s v="44;-3"/>
    <s v="TE"/>
    <s v="1-1718333-1"/>
    <s v="2 Pos. MQS 0,63mm Unsealed"/>
    <s v="No"/>
    <s v="No"/>
    <s v="No"/>
    <s v="Yes"/>
    <n v="1"/>
    <n v="1"/>
    <n v="1"/>
    <n v="1"/>
  </r>
  <r>
    <x v="207"/>
    <s v="16.0_Comfort &amp; Safety"/>
    <s v="16.10_Airbag-System"/>
    <s v="F0457"/>
    <s v="Airbag Rear, Left / Right "/>
    <s v=" "/>
    <s v="Chassis"/>
    <s v="Airbag"/>
    <s v="Seat Position"/>
    <s v="Basic"/>
    <s v="Sensor"/>
    <s v="Seat Position 1st Row L"/>
    <s v="Seat Position 1st Row L - Seat Position"/>
    <m/>
    <m/>
    <s v="44;-3"/>
    <s v="TE"/>
    <s v="1-1718333-1"/>
    <s v="2 Pos. MQS 0,63mm Unsealed"/>
    <s v="No"/>
    <s v="No"/>
    <s v="No"/>
    <s v="Yes"/>
    <n v="1"/>
    <n v="1"/>
    <n v="1"/>
    <n v="1"/>
  </r>
  <r>
    <x v="207"/>
    <s v="16.0_Comfort &amp; Safety"/>
    <s v="16.10_Airbag-System"/>
    <s v="F0612"/>
    <s v="Airbag Passenger, Single Stage"/>
    <s v="D"/>
    <s v="Chassis"/>
    <s v="Airbag"/>
    <s v="Seat Position"/>
    <s v="Basic"/>
    <s v="Sensor"/>
    <s v="Seat Position 1st Row L"/>
    <s v="Seat Position 1st Row L - Seat Position"/>
    <m/>
    <m/>
    <s v="44;-3"/>
    <s v="TE"/>
    <s v="1-1718333-1"/>
    <s v="2 Pos. MQS 0,63mm Unsealed"/>
    <s v="No"/>
    <s v="No"/>
    <s v="Yes"/>
    <s v="Yes"/>
    <n v="1"/>
    <n v="1"/>
    <n v="1"/>
    <n v="1"/>
  </r>
  <r>
    <x v="207"/>
    <s v="16.0_Comfort &amp; Safety"/>
    <s v="16.10_Airbag-System"/>
    <s v="F0x15"/>
    <s v="Airbag Passenger, Knee Bag"/>
    <s v="D"/>
    <s v="Chassis"/>
    <s v="Airbag"/>
    <s v="Seat Position"/>
    <s v="Basic"/>
    <s v="Sensor"/>
    <s v="Seat Position 1st Row L"/>
    <s v="Seat Position 1st Row L - Seat Position"/>
    <m/>
    <m/>
    <s v="44;-3"/>
    <s v="TE"/>
    <s v="1-1718333-1"/>
    <s v="2 Pos. MQS 0,63mm Unsealed"/>
    <s v="No"/>
    <s v="No"/>
    <s v="No"/>
    <s v="Yes"/>
    <n v="1"/>
    <n v="1"/>
    <n v="1"/>
    <n v="1"/>
  </r>
  <r>
    <x v="208"/>
    <s v="16.0_Comfort &amp; Safety"/>
    <s v="16.10_Airbag-System"/>
    <s v="F0010"/>
    <s v="Airbag Driver, Knee Bag"/>
    <s v="D"/>
    <s v="Chassis"/>
    <s v="Airbag"/>
    <s v="Seat Position"/>
    <s v="Basic"/>
    <s v="Sensor"/>
    <s v="Seat Position 1st Row R"/>
    <s v="Seat Position 1st Row R - Seat Position"/>
    <m/>
    <m/>
    <s v="44;3"/>
    <s v="TE"/>
    <s v="1-1718333-1"/>
    <s v="2 Pos. MQS 0,63mm Unsealed"/>
    <s v="No"/>
    <s v="No"/>
    <s v="No"/>
    <s v="Yes"/>
    <n v="1"/>
    <n v="1"/>
    <n v="1"/>
    <n v="1"/>
  </r>
  <r>
    <x v="208"/>
    <s v="16.0_Comfort &amp; Safety"/>
    <s v="16.10_Airbag-System"/>
    <s v="F0011"/>
    <s v="Airbag Driver, Single Stage"/>
    <s v="D"/>
    <s v="Chassis"/>
    <s v="Airbag"/>
    <s v="Seat Position"/>
    <s v="Basic"/>
    <s v="Sensor"/>
    <s v="Seat Position 1st Row R"/>
    <s v="Seat Position 1st Row R - Seat Position"/>
    <m/>
    <m/>
    <s v="44;3"/>
    <s v="TE"/>
    <s v="1-1718333-1"/>
    <s v="2 Pos. MQS 0,63mm Unsealed"/>
    <s v="No"/>
    <s v="Yes"/>
    <s v="Yes"/>
    <s v="Yes"/>
    <n v="1"/>
    <n v="1"/>
    <n v="1"/>
    <n v="1"/>
  </r>
  <r>
    <x v="208"/>
    <s v="16.0_Comfort &amp; Safety"/>
    <s v="16.10_Airbag-System"/>
    <s v="F0021"/>
    <s v="Airbag Driver, Anti-Submarining"/>
    <s v=" "/>
    <s v="Chassis"/>
    <s v="Airbag"/>
    <s v="Seat Position"/>
    <s v="Basic"/>
    <s v="Sensor"/>
    <s v="Seat Position 1st Row R"/>
    <s v="Seat Position 1st Row R - Seat Position"/>
    <m/>
    <m/>
    <s v="44;3"/>
    <s v="TE"/>
    <s v="1-1718333-1"/>
    <s v="2 Pos. MQS 0,63mm Unsealed"/>
    <s v="No"/>
    <s v="No"/>
    <s v="Yes"/>
    <s v="Yes"/>
    <n v="1"/>
    <n v="1"/>
    <n v="1"/>
    <n v="1"/>
  </r>
  <r>
    <x v="208"/>
    <s v="16.0_Comfort &amp; Safety"/>
    <s v="16.10_Airbag-System"/>
    <s v="F0419"/>
    <s v="Airbag Passenger, Anti-Submarining"/>
    <s v=" "/>
    <s v="Chassis"/>
    <s v="Airbag"/>
    <s v="Seat Position"/>
    <s v="Basic"/>
    <s v="Sensor"/>
    <s v="Seat Position 1st Row R"/>
    <s v="Seat Position 1st Row R - Seat Position"/>
    <m/>
    <m/>
    <s v="44;3"/>
    <s v="TE"/>
    <s v="1-1718333-1"/>
    <s v="2 Pos. MQS 0,63mm Unsealed"/>
    <s v="No"/>
    <s v="No"/>
    <s v="Yes"/>
    <s v="Yes"/>
    <n v="1"/>
    <n v="1"/>
    <n v="1"/>
    <n v="1"/>
  </r>
  <r>
    <x v="208"/>
    <s v="16.0_Comfort &amp; Safety"/>
    <s v="16.10_Airbag-System"/>
    <s v="F0439"/>
    <s v="Airbag Rear, Anti-Submarining"/>
    <s v=" "/>
    <s v="Chassis"/>
    <s v="Airbag"/>
    <s v="Seat Position"/>
    <s v="Basic"/>
    <s v="Sensor"/>
    <s v="Seat Position 1st Row R"/>
    <s v="Seat Position 1st Row R - Seat Position"/>
    <m/>
    <m/>
    <s v="44;3"/>
    <s v="TE"/>
    <s v="1-1718333-1"/>
    <s v="2 Pos. MQS 0,63mm Unsealed"/>
    <s v="No"/>
    <s v="No"/>
    <s v="No"/>
    <s v="Yes"/>
    <n v="1"/>
    <n v="1"/>
    <n v="1"/>
    <n v="1"/>
  </r>
  <r>
    <x v="208"/>
    <s v="16.0_Comfort &amp; Safety"/>
    <s v="16.10_Airbag-System"/>
    <s v="F0457"/>
    <s v="Airbag Rear, Left / Right "/>
    <s v=" "/>
    <s v="Chassis"/>
    <s v="Airbag"/>
    <s v="Seat Position"/>
    <s v="Basic"/>
    <s v="Sensor"/>
    <s v="Seat Position 1st Row R"/>
    <s v="Seat Position 1st Row R - Seat Position"/>
    <m/>
    <m/>
    <s v="44;3"/>
    <s v="TE"/>
    <s v="1-1718333-1"/>
    <s v="2 Pos. MQS 0,63mm Unsealed"/>
    <s v="No"/>
    <s v="No"/>
    <s v="No"/>
    <s v="Yes"/>
    <n v="1"/>
    <n v="1"/>
    <n v="1"/>
    <n v="1"/>
  </r>
  <r>
    <x v="208"/>
    <s v="16.0_Comfort &amp; Safety"/>
    <s v="16.10_Airbag-System"/>
    <s v="F0612"/>
    <s v="Airbag Passenger, Single Stage"/>
    <s v="D"/>
    <s v="Chassis"/>
    <s v="Airbag"/>
    <s v="Seat Position"/>
    <s v="Basic"/>
    <s v="Sensor"/>
    <s v="Seat Position 1st Row R"/>
    <s v="Seat Position 1st Row R - Seat Position"/>
    <m/>
    <m/>
    <s v="44;3"/>
    <s v="TE"/>
    <s v="1-1718333-1"/>
    <s v="2 Pos. MQS 0,63mm Unsealed"/>
    <s v="No"/>
    <s v="No"/>
    <s v="Yes"/>
    <s v="Yes"/>
    <n v="1"/>
    <n v="1"/>
    <n v="1"/>
    <n v="1"/>
  </r>
  <r>
    <x v="208"/>
    <s v="16.0_Comfort &amp; Safety"/>
    <s v="16.10_Airbag-System"/>
    <s v="F0x15"/>
    <s v="Airbag Passenger, Knee Bag"/>
    <s v="D"/>
    <s v="Chassis"/>
    <s v="Airbag"/>
    <s v="Seat Position"/>
    <s v="Basic"/>
    <s v="Sensor"/>
    <s v="Seat Position 1st Row R"/>
    <s v="Seat Position 1st Row R - Seat Position"/>
    <m/>
    <m/>
    <s v="44;3"/>
    <s v="TE"/>
    <s v="1-1718333-1"/>
    <s v="2 Pos. MQS 0,63mm Unsealed"/>
    <s v="No"/>
    <s v="No"/>
    <s v="No"/>
    <s v="Yes"/>
    <n v="1"/>
    <n v="1"/>
    <n v="1"/>
    <n v="1"/>
  </r>
  <r>
    <x v="209"/>
    <s v="10.0_Comfort &amp; Exterior"/>
    <s v="10.30_OutsideLighting-System"/>
    <s v="F0225"/>
    <s v="Front Lighting, Low Beam"/>
    <s v="B"/>
    <s v="Body"/>
    <s v="External Illumination"/>
    <s v="Daytime Runlight"/>
    <s v="Xenon + LED"/>
    <s v="Actuator"/>
    <s v="Headlamp Assy' Xenon + LED Left"/>
    <s v="Headlamp Assy' Xenon + LED Left - Daytime Runlight"/>
    <m/>
    <m/>
    <s v="-6;-17"/>
    <s v="TE"/>
    <s v="493577-1"/>
    <s v="10 Pos. JPT 2,8mm Sealed"/>
    <m/>
    <s v="No"/>
    <s v="No"/>
    <s v="No"/>
    <n v="1"/>
    <n v="1"/>
    <n v="0.5"/>
    <n v="0.5"/>
  </r>
  <r>
    <x v="209"/>
    <s v="10.0_Comfort &amp; Exterior"/>
    <s v="10.30_OutsideLighting-System"/>
    <s v="F0226"/>
    <s v="Front Lighting, High Beam"/>
    <s v="A"/>
    <s v="Body"/>
    <s v="External Illumination"/>
    <s v="Daytime Runlight"/>
    <s v="Xenon + LED"/>
    <s v="Actuator"/>
    <s v="Headlamp Assy' Xenon + LED Left"/>
    <s v="Headlamp Assy' Xenon + LED Left - Daytime Runlight"/>
    <m/>
    <m/>
    <s v="-6;-17"/>
    <s v="TE"/>
    <s v="493577-1"/>
    <s v="10 Pos. JPT 2,8mm Sealed"/>
    <m/>
    <s v="No"/>
    <s v="No"/>
    <s v="No"/>
    <n v="1"/>
    <n v="1"/>
    <n v="0.5"/>
    <n v="0.5"/>
  </r>
  <r>
    <x v="209"/>
    <s v="10.0_Comfort &amp; Exterior"/>
    <s v="10.30_OutsideLighting-System"/>
    <s v="F0227"/>
    <s v="Light Scenario, Parking Light"/>
    <s v="QM"/>
    <s v="Body"/>
    <s v="External Illumination"/>
    <s v="Grounding"/>
    <s v="Xenon + LED"/>
    <s v="Actuator"/>
    <s v="Headlamp Assy' Xenon + LED Left"/>
    <s v="Headlamp Assy' Xenon + LED Left - Grounding"/>
    <m/>
    <m/>
    <s v="-6;-17"/>
    <s v="TE"/>
    <s v="493577-1"/>
    <s v="10 Pos. JPT 2,8mm Sealed"/>
    <m/>
    <s v="No"/>
    <s v="No"/>
    <s v="No"/>
    <n v="0"/>
    <n v="0"/>
    <n v="1"/>
    <n v="1"/>
  </r>
  <r>
    <x v="209"/>
    <s v="37.0_ADAS &amp; AutomatedDriving"/>
    <s v="37.01_LightingAssistant-System"/>
    <s v="F0145"/>
    <s v="Light Assist, High Beam Automatic"/>
    <s v="A"/>
    <s v="Body"/>
    <s v="External Illumination"/>
    <s v="Daytime Runlight"/>
    <s v="Xenon + LED"/>
    <s v="Actuator"/>
    <s v="Headlamp Assy' Xenon + LED Left"/>
    <s v="Headlamp Assy' Xenon + LED Left - Daytime Runlight"/>
    <m/>
    <m/>
    <s v="-6;-17"/>
    <s v="TE"/>
    <s v="493577-1"/>
    <s v="10 Pos. JPT 2,8mm Sealed"/>
    <m/>
    <s v="No"/>
    <s v="No"/>
    <s v="No"/>
    <n v="1"/>
    <n v="1"/>
    <n v="0.5"/>
    <n v="0.5"/>
  </r>
  <r>
    <x v="210"/>
    <s v="10.0_Comfort &amp; Exterior"/>
    <s v="10.30_OutsideLighting-System"/>
    <s v="F0225"/>
    <s v="Front Lighting, Low Beam"/>
    <s v="B"/>
    <s v="Body"/>
    <s v="External Illumination"/>
    <s v="High Beam Left"/>
    <s v="Halogen"/>
    <s v="Actuator"/>
    <s v="Headlamp Assy' H4 + P21W + P5W Left"/>
    <s v="Headlamp Assy' H4 + P21W + P5W Left - High Beam Left"/>
    <m/>
    <m/>
    <s v="-6;-17"/>
    <s v="TE"/>
    <s v="2-2005159-1"/>
    <s v="3 Pos. Lamp Socket T20"/>
    <m/>
    <s v="No"/>
    <s v="No"/>
    <s v="No"/>
    <n v="0"/>
    <n v="0"/>
    <n v="1.6666666666666668E-3"/>
    <n v="0.3"/>
  </r>
  <r>
    <x v="210"/>
    <s v="10.0_Comfort &amp; Exterior"/>
    <s v="10.30_OutsideLighting-System"/>
    <s v="F0226"/>
    <s v="Front Lighting, High Beam"/>
    <s v="A"/>
    <s v="Body"/>
    <s v="External Illumination"/>
    <s v="High Beam Left"/>
    <s v="Halogen"/>
    <s v="Actuator"/>
    <s v="Headlamp Assy' H4 + P21W + P5W Left"/>
    <s v="Headlamp Assy' H4 + P21W + P5W Left - High Beam Left"/>
    <m/>
    <m/>
    <s v="-6;-17"/>
    <s v="TE"/>
    <s v="2-2005159-1"/>
    <s v="3 Pos. Lamp Socket T20"/>
    <m/>
    <s v="No"/>
    <s v="No"/>
    <s v="No"/>
    <n v="0"/>
    <n v="0"/>
    <n v="1.6666666666666668E-3"/>
    <n v="0.3"/>
  </r>
  <r>
    <x v="210"/>
    <s v="10.0_Comfort &amp; Exterior"/>
    <s v="10.30_OutsideLighting-System"/>
    <s v="F0227"/>
    <s v="Light Scenario, Parking Light"/>
    <s v="QM"/>
    <s v="Body"/>
    <s v="External Illumination"/>
    <s v="Grounding"/>
    <s v="Halogen"/>
    <s v="Actuator"/>
    <s v="Headlamp Assy' H4 + P21W + P5W Left"/>
    <s v="Headlamp Assy' H4 + P21W + P5W Left - Grounding"/>
    <m/>
    <m/>
    <s v="-6;-17"/>
    <s v="TE"/>
    <s v="2-2005159-1"/>
    <s v="3 Pos. Lamp Socket T20"/>
    <m/>
    <s v="No"/>
    <s v="No"/>
    <s v="No"/>
    <n v="0"/>
    <n v="0"/>
    <n v="1"/>
    <n v="1"/>
  </r>
  <r>
    <x v="210"/>
    <s v="37.0_ADAS &amp; AutomatedDriving"/>
    <s v="37.01_LightingAssistant-System"/>
    <s v="F0145"/>
    <s v="Light Assist, High Beam Automatic"/>
    <s v="A"/>
    <s v="Body"/>
    <s v="External Illumination"/>
    <s v="High Beam Left"/>
    <s v="Halogen"/>
    <s v="Actuator"/>
    <s v="Headlamp Assy' H4 + P21W + P5W Left"/>
    <s v="Headlamp Assy' H4 + P21W + P5W Left - High Beam Left"/>
    <m/>
    <m/>
    <s v="-6;-17"/>
    <s v="TE"/>
    <s v="2-2005159-1"/>
    <s v="3 Pos. Lamp Socket T20"/>
    <m/>
    <s v="No"/>
    <s v="No"/>
    <s v="No"/>
    <n v="0"/>
    <n v="0"/>
    <n v="1.6666666666666668E-3"/>
    <n v="0.3"/>
  </r>
  <r>
    <x v="211"/>
    <s v="10.0_Comfort &amp; Exterior"/>
    <s v="10.30_OutsideLighting-System"/>
    <s v="F0225"/>
    <s v="Front Lighting, Low Beam"/>
    <s v="B"/>
    <s v="Body"/>
    <s v="External Illumination"/>
    <s v="Low Beam Left"/>
    <s v="Double Halogen"/>
    <s v="Actuator"/>
    <s v="Headlamp Assy' H1 + H7 + P21W + P5W Left"/>
    <s v="Headlamp Assy' H1 + H7 + P21W + P5W Left - Low Beam Left"/>
    <m/>
    <m/>
    <s v="-6;-17"/>
    <s v="TE"/>
    <s v="4-1454396-7"/>
    <s v="2 Pos. Lamp Socket T3 1/4 / T5"/>
    <m/>
    <s v="Yes"/>
    <s v="No"/>
    <s v="No"/>
    <n v="0"/>
    <n v="0"/>
    <n v="1"/>
    <n v="1"/>
  </r>
  <r>
    <x v="211"/>
    <s v="10.0_Comfort &amp; Exterior"/>
    <s v="10.30_OutsideLighting-System"/>
    <s v="F0226"/>
    <s v="Front Lighting, High Beam"/>
    <s v="A"/>
    <s v="Body"/>
    <s v="External Illumination"/>
    <s v="Low Beam Left"/>
    <s v="Double Halogen"/>
    <s v="Actuator"/>
    <s v="Headlamp Assy' H1 + H7 + P21W + P5W Left"/>
    <s v="Headlamp Assy' H1 + H7 + P21W + P5W Left - Low Beam Left"/>
    <m/>
    <m/>
    <s v="-6;-17"/>
    <s v="TE"/>
    <s v="4-1454396-7"/>
    <s v="2 Pos. Lamp Socket T3 1/4 / T5"/>
    <m/>
    <s v="Yes"/>
    <s v="No"/>
    <s v="No"/>
    <n v="0"/>
    <n v="0"/>
    <n v="1"/>
    <n v="1"/>
  </r>
  <r>
    <x v="211"/>
    <s v="10.0_Comfort &amp; Exterior"/>
    <s v="10.30_OutsideLighting-System"/>
    <s v="F0227"/>
    <s v="Light Scenario, Parking Light"/>
    <s v="QM"/>
    <s v="Body"/>
    <s v="External Illumination"/>
    <s v="Grounding"/>
    <s v="Double Halogen"/>
    <s v="Actuator"/>
    <s v="Headlamp Assy' H1 + H7 + P21W + P5W Left"/>
    <s v="Headlamp Assy' H1 + H7 + P21W + P5W Left - Grounding"/>
    <m/>
    <m/>
    <s v="-6;-17"/>
    <s v="TE"/>
    <s v="4-1454396-7"/>
    <s v="2 Pos. Lamp Socket T3 1/4 / T5"/>
    <m/>
    <s v="Yes"/>
    <s v="No"/>
    <s v="No"/>
    <n v="0"/>
    <n v="0"/>
    <n v="1"/>
    <n v="1"/>
  </r>
  <r>
    <x v="211"/>
    <s v="37.0_ADAS &amp; AutomatedDriving"/>
    <s v="37.01_LightingAssistant-System"/>
    <s v="F0145"/>
    <s v="Light Assist, High Beam Automatic"/>
    <s v="A"/>
    <s v="Body"/>
    <s v="External Illumination"/>
    <s v="Low Beam Left"/>
    <s v="Double Halogen"/>
    <s v="Actuator"/>
    <s v="Headlamp Assy' H1 + H7 + P21W + P5W Left"/>
    <s v="Headlamp Assy' H1 + H7 + P21W + P5W Left - Low Beam Left"/>
    <m/>
    <m/>
    <s v="-6;-17"/>
    <s v="TE"/>
    <s v="4-1454396-7"/>
    <s v="2 Pos. Lamp Socket T3 1/4 / T5"/>
    <m/>
    <s v="Yes"/>
    <s v="No"/>
    <s v="No"/>
    <n v="0"/>
    <n v="0"/>
    <n v="1"/>
    <n v="1"/>
  </r>
  <r>
    <x v="212"/>
    <s v="10.0_Comfort &amp; Exterior"/>
    <s v="10.30_OutsideLighting-System"/>
    <s v="F0074"/>
    <s v="Rear Lighting, Licence Plate"/>
    <s v="QM"/>
    <s v="Body"/>
    <s v="External Illumination"/>
    <s v="Position Lamp Left"/>
    <s v="Bulb"/>
    <s v="Actuator"/>
    <s v="License Plate Assy' P5W"/>
    <s v="License Plate Assy' P5W - Position Lamp Left"/>
    <m/>
    <m/>
    <s v="115;-3"/>
    <m/>
    <m/>
    <m/>
    <m/>
    <s v="Yes"/>
    <s v="No"/>
    <s v="No"/>
    <n v="0"/>
    <n v="0"/>
    <n v="1"/>
    <n v="1"/>
  </r>
  <r>
    <x v="212"/>
    <s v="10.0_Comfort &amp; Exterior"/>
    <s v="10.30_OutsideLighting-System"/>
    <s v="F0074"/>
    <s v="Rear Lighting, Licence Plate"/>
    <s v="QM"/>
    <s v="Body"/>
    <s v="External Illumination"/>
    <s v="License Plate Lamp Left"/>
    <s v="Bulb"/>
    <s v="Actuator"/>
    <s v="P5W"/>
    <s v="P5W - License Plate Lamp Left"/>
    <m/>
    <m/>
    <s v="115;-3"/>
    <m/>
    <m/>
    <m/>
    <m/>
    <s v="Yes"/>
    <s v="No"/>
    <s v="No"/>
    <n v="0"/>
    <n v="0"/>
    <n v="1"/>
    <n v="1"/>
  </r>
  <r>
    <x v="213"/>
    <s v="10.0_Comfort &amp; Exterior"/>
    <s v="10.30_OutsideLighting-System"/>
    <s v="F0074"/>
    <s v="Rear Lighting, Licence Plate"/>
    <s v="QM"/>
    <s v="Body"/>
    <s v="External Illumination"/>
    <s v="Position Lamp Right"/>
    <s v="Bulb"/>
    <s v="Actuator"/>
    <s v="License Plate Assy' P5W"/>
    <s v="License Plate Assy' P5W - Position Lamp Right"/>
    <m/>
    <m/>
    <s v="115;3"/>
    <m/>
    <m/>
    <m/>
    <m/>
    <s v="Yes"/>
    <s v="No"/>
    <s v="No"/>
    <n v="0"/>
    <n v="0"/>
    <n v="1"/>
    <n v="1"/>
  </r>
  <r>
    <x v="213"/>
    <s v="10.0_Comfort &amp; Exterior"/>
    <s v="10.30_OutsideLighting-System"/>
    <s v="F0074"/>
    <s v="Rear Lighting, Licence Plate"/>
    <s v="QM"/>
    <s v="Body"/>
    <s v="External Illumination"/>
    <s v="License Plate Lamp Right"/>
    <s v="Bulb"/>
    <s v="Actuator"/>
    <s v="P5W"/>
    <s v="P5W - License Plate Lamp Right"/>
    <m/>
    <m/>
    <s v="115;3"/>
    <m/>
    <m/>
    <m/>
    <m/>
    <s v="Yes"/>
    <s v="No"/>
    <s v="No"/>
    <n v="0"/>
    <n v="0"/>
    <n v="1"/>
    <n v="1"/>
  </r>
  <r>
    <x v="214"/>
    <s v="10.0_Comfort &amp; Exterior"/>
    <s v="10.30_OutsideLighting-System"/>
    <s v="F0110"/>
    <s v="Rear Lighting, Taillamp"/>
    <s v="QM"/>
    <s v="Body"/>
    <s v="External Illumination"/>
    <s v="High Mounted Brake Lights"/>
    <s v="Bulb"/>
    <s v="Actuator"/>
    <s v="P5W"/>
    <s v="P5W - High Mounted Brake Lights"/>
    <m/>
    <m/>
    <s v="85;0"/>
    <m/>
    <m/>
    <m/>
    <m/>
    <s v="Yes"/>
    <s v="No"/>
    <s v="No"/>
    <n v="0.6"/>
    <n v="0.2"/>
    <n v="0.6"/>
    <n v="0.2"/>
  </r>
  <r>
    <x v="214"/>
    <s v="10.0_Comfort &amp; Exterior"/>
    <s v="10.30_OutsideLighting-System"/>
    <s v="F0230"/>
    <s v="Rear Lighting, Brake Light"/>
    <m/>
    <s v="Body"/>
    <s v="External Illumination"/>
    <s v="High Mounted Brake Lights"/>
    <s v="Bulb"/>
    <s v="Actuator"/>
    <s v="P5W"/>
    <s v="P5W - High Mounted Brake Lights"/>
    <m/>
    <m/>
    <s v="85;0"/>
    <m/>
    <m/>
    <m/>
    <m/>
    <s v="Yes"/>
    <s v="No"/>
    <s v="No"/>
    <n v="0.6"/>
    <n v="0.2"/>
    <n v="0.6"/>
    <n v="0.2"/>
  </r>
  <r>
    <x v="214"/>
    <s v="10.0_Comfort &amp; Exterior"/>
    <s v="10.30_OutsideLighting-System"/>
    <s v="F0409"/>
    <s v="Rear Lighting, CHMSL"/>
    <s v="B"/>
    <s v="Body"/>
    <s v="External Illumination"/>
    <s v="High Mounted Brake Lights"/>
    <s v="Bulb"/>
    <s v="Actuator"/>
    <s v="P5W"/>
    <s v="P5W - High Mounted Brake Lights"/>
    <m/>
    <m/>
    <s v="85;0"/>
    <m/>
    <m/>
    <m/>
    <m/>
    <s v="Yes"/>
    <s v="No"/>
    <s v="No"/>
    <n v="0.6"/>
    <n v="0.2"/>
    <n v="0.6"/>
    <n v="0.2"/>
  </r>
  <r>
    <x v="214"/>
    <s v="28.0_Powertrain &amp; Driveability"/>
    <s v="28.13_Recuperation&amp;OPD-System"/>
    <s v="F0294"/>
    <s v="Recuperation, Brake Lights"/>
    <m/>
    <s v="Body"/>
    <s v="External Illumination"/>
    <s v="High Mounted Brake Lights"/>
    <s v="Bulb"/>
    <s v="Actuator"/>
    <s v="P5W"/>
    <s v="P5W - High Mounted Brake Lights"/>
    <m/>
    <m/>
    <s v="85;0"/>
    <m/>
    <m/>
    <m/>
    <m/>
    <s v="Yes"/>
    <s v="No"/>
    <s v="No"/>
    <n v="0.6"/>
    <n v="0.2"/>
    <n v="0.6"/>
    <n v="0.2"/>
  </r>
  <r>
    <x v="215"/>
    <s v="10.0_Comfort &amp; Exterior"/>
    <s v="10.30_OutsideLighting-System"/>
    <s v="F0031"/>
    <s v="Front Lighting, Daytime Running Light"/>
    <s v="QM"/>
    <s v="Body"/>
    <s v="External Illumination"/>
    <s v="Lights Switch"/>
    <s v="Power Switch"/>
    <s v="Switch"/>
    <s v="Power Switch"/>
    <s v="Power Switch - Lights Switch"/>
    <m/>
    <m/>
    <s v="34;-14"/>
    <m/>
    <m/>
    <m/>
    <m/>
    <s v="No"/>
    <s v="No"/>
    <s v="No"/>
    <n v="0.05"/>
    <n v="0.05"/>
    <n v="1"/>
    <n v="1"/>
  </r>
  <r>
    <x v="215"/>
    <s v="10.0_Comfort &amp; Exterior"/>
    <s v="10.30_OutsideLighting-System"/>
    <s v="F0071"/>
    <s v="Light Scenario, Fog Cornering"/>
    <m/>
    <s v="Body"/>
    <s v="External Illumination"/>
    <s v="Lights Switch"/>
    <s v="Power Switch"/>
    <s v="Switch"/>
    <s v="Power Switch"/>
    <s v="Power Switch - Lights Switch"/>
    <m/>
    <m/>
    <s v="34;-14"/>
    <m/>
    <m/>
    <m/>
    <m/>
    <s v="No"/>
    <s v="No"/>
    <s v="No"/>
    <n v="0.05"/>
    <n v="0.05"/>
    <n v="1"/>
    <n v="1"/>
  </r>
  <r>
    <x v="215"/>
    <s v="10.0_Comfort &amp; Exterior"/>
    <s v="10.30_OutsideLighting-System"/>
    <s v="F0074"/>
    <s v="Rear Lighting, Licence Plate"/>
    <s v="QM"/>
    <s v="Body"/>
    <s v="External Illumination"/>
    <s v="Lights Switch"/>
    <s v="Power Switch"/>
    <s v="Switch"/>
    <s v="Power Switch"/>
    <s v="Power Switch - Lights Switch"/>
    <m/>
    <m/>
    <s v="34;-14"/>
    <m/>
    <m/>
    <m/>
    <m/>
    <s v="No"/>
    <s v="No"/>
    <s v="No"/>
    <n v="0.05"/>
    <n v="0.05"/>
    <n v="1"/>
    <n v="1"/>
  </r>
  <r>
    <x v="215"/>
    <s v="10.0_Comfort &amp; Exterior"/>
    <s v="10.30_OutsideLighting-System"/>
    <s v="F0097"/>
    <s v="Outside Lighting, Side Marker Front"/>
    <m/>
    <s v="Body"/>
    <s v="External Illumination"/>
    <s v="Lights Switch"/>
    <s v="Power Switch"/>
    <s v="Switch"/>
    <s v="Power Switch"/>
    <s v="Power Switch - Lights Switch"/>
    <m/>
    <m/>
    <s v="34;-14"/>
    <m/>
    <m/>
    <m/>
    <m/>
    <s v="No"/>
    <s v="No"/>
    <s v="No"/>
    <n v="0.05"/>
    <n v="0.05"/>
    <n v="1"/>
    <n v="1"/>
  </r>
  <r>
    <x v="215"/>
    <s v="10.0_Comfort &amp; Exterior"/>
    <s v="10.30_OutsideLighting-System"/>
    <s v="F0110"/>
    <s v="Rear Lighting, Taillamp"/>
    <m/>
    <s v="Body"/>
    <s v="External Illumination"/>
    <s v="Lights Switch"/>
    <s v="Power Switch"/>
    <s v="Switch"/>
    <s v="Power Switch"/>
    <s v="Power Switch - Lights Switch"/>
    <m/>
    <m/>
    <s v="34;-14"/>
    <m/>
    <m/>
    <m/>
    <m/>
    <s v="No"/>
    <s v="No"/>
    <s v="No"/>
    <n v="0.05"/>
    <n v="0.05"/>
    <n v="1"/>
    <n v="1"/>
  </r>
  <r>
    <x v="215"/>
    <s v="10.0_Comfort &amp; Exterior"/>
    <s v="10.30_OutsideLighting-System"/>
    <s v="F0225"/>
    <s v="Front Lighting, Low Beam"/>
    <s v="B"/>
    <s v="Body"/>
    <s v="External Illumination"/>
    <s v="Lights Switch"/>
    <s v="Power Switch"/>
    <s v="Switch"/>
    <s v="Power Switch"/>
    <s v="Power Switch - Lights Switch"/>
    <m/>
    <m/>
    <s v="34;-14"/>
    <m/>
    <m/>
    <m/>
    <m/>
    <s v="No"/>
    <s v="No"/>
    <s v="No"/>
    <n v="0.05"/>
    <n v="0.05"/>
    <n v="1"/>
    <n v="1"/>
  </r>
  <r>
    <x v="215"/>
    <s v="10.0_Comfort &amp; Exterior"/>
    <s v="10.30_OutsideLighting-System"/>
    <s v="F0227"/>
    <s v="Light Scenario, Parking Light"/>
    <m/>
    <s v="Body"/>
    <s v="External Illumination"/>
    <s v="Lights Switch"/>
    <s v="Power Switch"/>
    <s v="Switch"/>
    <s v="Power Switch"/>
    <s v="Power Switch - Lights Switch"/>
    <m/>
    <m/>
    <s v="34;-14"/>
    <m/>
    <m/>
    <m/>
    <m/>
    <s v="No"/>
    <s v="No"/>
    <s v="No"/>
    <n v="0.05"/>
    <n v="0.05"/>
    <n v="1"/>
    <n v="1"/>
  </r>
  <r>
    <x v="215"/>
    <s v="10.0_Comfort &amp; Exterior"/>
    <s v="10.30_OutsideLighting-System"/>
    <s v="F0231"/>
    <s v="Rear Lighting, Rear Position Light"/>
    <s v="QM"/>
    <s v="Body"/>
    <s v="External Illumination"/>
    <s v="Lights Switch"/>
    <s v="Power Switch"/>
    <s v="Switch"/>
    <s v="Power Switch"/>
    <s v="Power Switch - Lights Switch"/>
    <m/>
    <m/>
    <s v="34;-14"/>
    <m/>
    <m/>
    <m/>
    <m/>
    <s v="No"/>
    <s v="No"/>
    <s v="No"/>
    <n v="0.05"/>
    <n v="0.05"/>
    <n v="1"/>
    <n v="1"/>
  </r>
  <r>
    <x v="215"/>
    <s v="10.0_Comfort &amp; Exterior"/>
    <s v="10.30_OutsideLighting-System"/>
    <s v="F0377"/>
    <s v="Front Lighting, Fog Front"/>
    <m/>
    <s v="Body"/>
    <s v="External Illumination"/>
    <s v="Lights Switch"/>
    <s v="Power Switch"/>
    <s v="Switch"/>
    <s v="Power Switch"/>
    <s v="Power Switch - Lights Switch"/>
    <m/>
    <m/>
    <s v="34;-14"/>
    <m/>
    <m/>
    <m/>
    <m/>
    <s v="No"/>
    <s v="No"/>
    <s v="No"/>
    <n v="0.05"/>
    <n v="0.05"/>
    <n v="1"/>
    <n v="1"/>
  </r>
  <r>
    <x v="215"/>
    <s v="10.0_Comfort &amp; Exterior"/>
    <s v="10.30_OutsideLighting-System"/>
    <s v="F0378"/>
    <s v="Rear Lighting, Fog Rear"/>
    <m/>
    <s v="Body"/>
    <s v="External Illumination"/>
    <s v="Lights Switch"/>
    <s v="Power Switch"/>
    <s v="Switch"/>
    <s v="Power Switch"/>
    <s v="Power Switch - Lights Switch"/>
    <m/>
    <m/>
    <s v="34;-14"/>
    <m/>
    <m/>
    <m/>
    <m/>
    <s v="No"/>
    <s v="No"/>
    <s v="No"/>
    <n v="0.05"/>
    <n v="0.05"/>
    <n v="1"/>
    <n v="1"/>
  </r>
  <r>
    <x v="215"/>
    <s v="10.0_Comfort &amp; Exterior"/>
    <s v="10.30_OutsideLighting-System"/>
    <s v="F0619"/>
    <s v="Outside Lighting, Side Marker Rear"/>
    <m/>
    <s v="Body"/>
    <s v="External Illumination"/>
    <s v="Lights Switch"/>
    <s v="Power Switch"/>
    <s v="Switch"/>
    <s v="Power Switch"/>
    <s v="Power Switch - Lights Switch"/>
    <m/>
    <m/>
    <s v="34;-14"/>
    <m/>
    <m/>
    <m/>
    <m/>
    <s v="No"/>
    <s v="No"/>
    <s v="No"/>
    <n v="0.05"/>
    <n v="0.05"/>
    <n v="1"/>
    <n v="1"/>
  </r>
  <r>
    <x v="215"/>
    <s v="10.0_Comfort &amp; Exterior"/>
    <s v="10.30_OutsideLighting-System"/>
    <s v="F0x90"/>
    <s v="Outside Lighting, Vehicle Contours"/>
    <m/>
    <s v="Body"/>
    <s v="External Illumination"/>
    <s v="Lights Switch"/>
    <s v="Power Switch"/>
    <s v="Switch"/>
    <s v="Power Switch"/>
    <s v="Power Switch - Lights Switch"/>
    <m/>
    <m/>
    <s v="34;-14"/>
    <m/>
    <m/>
    <m/>
    <m/>
    <s v="No"/>
    <s v="No"/>
    <s v="No"/>
    <n v="0.05"/>
    <n v="0.05"/>
    <n v="1"/>
    <n v="1"/>
  </r>
  <r>
    <x v="216"/>
    <s v="10.0_Comfort &amp; Exterior"/>
    <s v="10.30_OutsideLighting-System"/>
    <s v="F0619"/>
    <s v="Outside Lighting, Side Marker Rear"/>
    <s v="QM"/>
    <s v="Body"/>
    <s v="External Illumination"/>
    <s v="Side Marker Rear Right"/>
    <s v="Full LED"/>
    <s v="Actuator"/>
    <s v="LED Lamp"/>
    <s v="LED Lamp - Side Marker Rear Right"/>
    <m/>
    <m/>
    <s v="98;22"/>
    <m/>
    <m/>
    <m/>
    <m/>
    <s v="No"/>
    <s v="Yes"/>
    <s v="Yes"/>
    <n v="0"/>
    <n v="0"/>
    <n v="1"/>
    <n v="1"/>
  </r>
  <r>
    <x v="216"/>
    <s v="10.0_Comfort &amp; Exterior"/>
    <s v="10.30_OutsideLighting-System"/>
    <s v="F0619"/>
    <s v="Outside Lighting, Side Marker Rear"/>
    <s v="QM"/>
    <s v="Body"/>
    <s v="External Illumination"/>
    <s v="Position Lamp Right"/>
    <s v="Full LED"/>
    <s v="Actuator"/>
    <s v="Side Marker LED Lamp"/>
    <s v="Side Marker LED Lamp - Position Lamp Right"/>
    <m/>
    <m/>
    <s v="98;22"/>
    <m/>
    <m/>
    <m/>
    <m/>
    <s v="No"/>
    <s v="Yes"/>
    <s v="Yes"/>
    <n v="0"/>
    <n v="0"/>
    <n v="1"/>
    <n v="1"/>
  </r>
  <r>
    <x v="217"/>
    <s v="10.0_Comfort &amp; Exterior"/>
    <s v="10.30_OutsideLighting-System"/>
    <s v="F0091"/>
    <s v="Rear Lighting, Reverse Light"/>
    <s v="QM"/>
    <s v="Body"/>
    <s v="External Illumination"/>
    <s v="Reverse Gear Lamp"/>
    <s v="Full LED"/>
    <s v="Actuator"/>
    <s v="LED Lamp"/>
    <s v="LED Lamp - Reverse Gear Lamp"/>
    <m/>
    <m/>
    <m/>
    <m/>
    <m/>
    <m/>
    <m/>
    <m/>
    <m/>
    <m/>
    <n v="0.01"/>
    <n v="0"/>
    <n v="0.01"/>
    <n v="0"/>
  </r>
  <r>
    <x v="218"/>
    <s v="10.0_Comfort &amp; Exterior"/>
    <s v="10.30_OutsideLighting-System"/>
    <s v="F0091"/>
    <s v="Rear Lighting, Reverse Light"/>
    <s v="QM"/>
    <s v="Body"/>
    <s v="External Illumination"/>
    <s v="Reverse Gear Lamp"/>
    <s v="Bulb"/>
    <s v="Actuator"/>
    <s v="P21W"/>
    <s v="P21W - Reverse Gear Lamp"/>
    <m/>
    <m/>
    <m/>
    <m/>
    <m/>
    <m/>
    <m/>
    <m/>
    <m/>
    <m/>
    <n v="0.01"/>
    <n v="0"/>
    <n v="0.01"/>
    <n v="0"/>
  </r>
  <r>
    <x v="219"/>
    <s v="10.0_Comfort &amp; Exterior"/>
    <s v="10.30_OutsideLighting-System"/>
    <s v="F0378"/>
    <s v="Rear Lighting, Fog Rear"/>
    <s v="QM"/>
    <s v="Body"/>
    <s v="External Illumination"/>
    <s v="Rear Fog Lamp"/>
    <s v="Full LED"/>
    <s v="Actuator"/>
    <s v="LED Lamp"/>
    <s v="LED Lamp - Rear Fog Lamp"/>
    <m/>
    <m/>
    <m/>
    <m/>
    <m/>
    <m/>
    <m/>
    <m/>
    <m/>
    <m/>
    <m/>
    <m/>
    <m/>
    <m/>
  </r>
  <r>
    <x v="220"/>
    <s v="10.0_Comfort &amp; Exterior"/>
    <s v="10.30_OutsideLighting-System"/>
    <s v="F0378"/>
    <s v="Rear Lighting, Fog Rear"/>
    <s v="QM"/>
    <s v="Body"/>
    <s v="External Illumination"/>
    <s v="Rear Fog Lamp"/>
    <s v="Bulb"/>
    <s v="Actuator"/>
    <s v="P21W"/>
    <s v="P21W - Rear Fog Lamp"/>
    <m/>
    <m/>
    <m/>
    <m/>
    <m/>
    <m/>
    <m/>
    <m/>
    <m/>
    <m/>
    <m/>
    <m/>
    <m/>
    <m/>
  </r>
  <r>
    <x v="221"/>
    <s v="10.0_Comfort &amp; Exterior"/>
    <s v="10.30_OutsideLighting-System"/>
    <s v="F0071"/>
    <s v="Light Scenario, Fog Cornering"/>
    <s v="QM"/>
    <s v="Body"/>
    <s v="External Illumination"/>
    <s v="Front Fog Lamp FL"/>
    <s v="Full LED"/>
    <s v="Actuator"/>
    <s v="LED Lamp"/>
    <s v="LED Lamp - Front Fog Lamp FL"/>
    <m/>
    <m/>
    <s v="-13;-13"/>
    <m/>
    <m/>
    <m/>
    <m/>
    <s v="No"/>
    <s v="Yes"/>
    <s v="Yes"/>
    <n v="0"/>
    <n v="0"/>
    <n v="0"/>
    <n v="1"/>
  </r>
  <r>
    <x v="221"/>
    <s v="10.0_Comfort &amp; Exterior"/>
    <s v="10.30_OutsideLighting-System"/>
    <s v="F0377"/>
    <s v="Front Lighting, Fog Front"/>
    <s v="QM"/>
    <s v="Body"/>
    <s v="External Illumination"/>
    <s v="Front Fog Lamp FL"/>
    <s v="Full LED"/>
    <s v="Actuator"/>
    <s v="LED Lamp"/>
    <s v="LED Lamp - Front Fog Lamp FL"/>
    <m/>
    <m/>
    <s v="-13;-13"/>
    <m/>
    <m/>
    <m/>
    <m/>
    <s v="No"/>
    <s v="Yes"/>
    <s v="Yes"/>
    <n v="0"/>
    <n v="0"/>
    <n v="0"/>
    <n v="1"/>
  </r>
  <r>
    <x v="222"/>
    <s v="10.0_Comfort &amp; Exterior"/>
    <s v="10.30_OutsideLighting-System"/>
    <s v="F0071"/>
    <s v="Light Scenario, Fog Cornering"/>
    <s v="QM"/>
    <s v="Body"/>
    <s v="External Illumination"/>
    <s v="Front Fog Lamp FL"/>
    <s v="Bulb"/>
    <s v="Actuator"/>
    <s v="H1"/>
    <s v="H1 - Front Fog Lamp FL"/>
    <m/>
    <m/>
    <s v="-13;-13"/>
    <m/>
    <m/>
    <m/>
    <m/>
    <s v="Yes"/>
    <s v="No"/>
    <s v="No"/>
    <n v="0"/>
    <n v="0"/>
    <n v="0"/>
    <n v="1"/>
  </r>
  <r>
    <x v="222"/>
    <s v="10.0_Comfort &amp; Exterior"/>
    <s v="10.30_OutsideLighting-System"/>
    <s v="F0377"/>
    <s v="Front Lighting, Fog Front"/>
    <s v="QM"/>
    <s v="Body"/>
    <s v="External Illumination"/>
    <s v="Front Fog Lamp FL"/>
    <s v="Bulb"/>
    <s v="Actuator"/>
    <s v="H1"/>
    <s v="H1 - Front Fog Lamp FL"/>
    <m/>
    <m/>
    <s v="-13;-13"/>
    <m/>
    <m/>
    <m/>
    <m/>
    <s v="Yes"/>
    <s v="No"/>
    <s v="No"/>
    <n v="0"/>
    <n v="0"/>
    <n v="0"/>
    <n v="1"/>
  </r>
  <r>
    <x v="223"/>
    <s v="10.0_Comfort &amp; Exterior"/>
    <s v="10.30_OutsideLighting-System"/>
    <s v="F0071"/>
    <s v="Light Scenario, Fog Cornering"/>
    <m/>
    <s v="Body"/>
    <s v="External Illumination"/>
    <s v="Fog Lamps Switch"/>
    <s v="Signal"/>
    <s v="Switch"/>
    <s v="Signal Switch"/>
    <s v="Signal Switch - Fog Lamps Switch"/>
    <m/>
    <m/>
    <s v="33;-16"/>
    <m/>
    <m/>
    <m/>
    <m/>
    <s v="No"/>
    <s v="No"/>
    <s v="No"/>
    <n v="0"/>
    <n v="0"/>
    <n v="0"/>
    <n v="1"/>
  </r>
  <r>
    <x v="223"/>
    <s v="10.0_Comfort &amp; Exterior"/>
    <s v="10.30_OutsideLighting-System"/>
    <s v="F0377"/>
    <s v="Front Lighting, Fog Front"/>
    <m/>
    <s v="Body"/>
    <s v="External Illumination"/>
    <s v="Fog Lamps Switch"/>
    <s v="Signal"/>
    <s v="Switch"/>
    <s v="Signal Switch"/>
    <s v="Signal Switch - Fog Lamps Switch"/>
    <m/>
    <m/>
    <s v="33;-16"/>
    <m/>
    <m/>
    <m/>
    <m/>
    <s v="No"/>
    <s v="No"/>
    <s v="No"/>
    <n v="0"/>
    <n v="0"/>
    <n v="0"/>
    <n v="1"/>
  </r>
  <r>
    <x v="223"/>
    <s v="10.0_Comfort &amp; Exterior"/>
    <s v="10.30_OutsideLighting-System"/>
    <s v="F0378"/>
    <s v="Rear Lighting, Fog Rear"/>
    <m/>
    <s v="Body"/>
    <s v="External Illumination"/>
    <s v="Fog Lamps Switch"/>
    <s v="Signal"/>
    <s v="Switch"/>
    <s v="Signal Switch"/>
    <s v="Signal Switch - Fog Lamps Switch"/>
    <m/>
    <m/>
    <s v="33;-16"/>
    <m/>
    <m/>
    <m/>
    <m/>
    <s v="No"/>
    <s v="No"/>
    <s v="No"/>
    <n v="0"/>
    <n v="0"/>
    <n v="0"/>
    <n v="1"/>
  </r>
  <r>
    <x v="224"/>
    <s v="10.0_Comfort &amp; Exterior"/>
    <s v="10.30_OutsideLighting-System"/>
    <s v="F0071"/>
    <s v="Light Scenario, Fog Cornering"/>
    <m/>
    <s v="Body"/>
    <s v="External Illumination"/>
    <s v="Fog Lamps Switch"/>
    <s v="Power Switch"/>
    <s v="Switch"/>
    <s v="Power Switch"/>
    <s v="Power Switch - Fog Lamps Switch"/>
    <m/>
    <m/>
    <s v="33;-16"/>
    <m/>
    <m/>
    <m/>
    <m/>
    <s v="No"/>
    <s v="No"/>
    <s v="No"/>
    <n v="0"/>
    <n v="0"/>
    <n v="0"/>
    <n v="1"/>
  </r>
  <r>
    <x v="224"/>
    <s v="10.0_Comfort &amp; Exterior"/>
    <s v="10.30_OutsideLighting-System"/>
    <s v="F0377"/>
    <s v="Front Lighting, Fog Front"/>
    <m/>
    <s v="Body"/>
    <s v="External Illumination"/>
    <s v="Fog Lamps Switch"/>
    <s v="Power Switch"/>
    <s v="Switch"/>
    <s v="Power Switch"/>
    <s v="Power Switch - Fog Lamps Switch"/>
    <m/>
    <m/>
    <s v="33;-16"/>
    <m/>
    <m/>
    <m/>
    <m/>
    <s v="No"/>
    <s v="No"/>
    <s v="No"/>
    <n v="0"/>
    <n v="0"/>
    <n v="0"/>
    <n v="1"/>
  </r>
  <r>
    <x v="224"/>
    <s v="10.0_Comfort &amp; Exterior"/>
    <s v="10.30_OutsideLighting-System"/>
    <s v="F0378"/>
    <s v="Rear Lighting, Fog Rear"/>
    <m/>
    <s v="Body"/>
    <s v="External Illumination"/>
    <s v="Fog Lamps Switch"/>
    <s v="Power Switch"/>
    <s v="Switch"/>
    <s v="Power Switch"/>
    <s v="Power Switch - Fog Lamps Switch"/>
    <m/>
    <m/>
    <s v="33;-16"/>
    <m/>
    <m/>
    <m/>
    <m/>
    <s v="No"/>
    <s v="No"/>
    <s v="No"/>
    <n v="0"/>
    <n v="0"/>
    <n v="0"/>
    <n v="1"/>
  </r>
  <r>
    <x v="225"/>
    <s v="10.0_Comfort &amp; Exterior"/>
    <s v="10.30_OutsideLighting-System"/>
    <s v="F0071"/>
    <s v="Light Scenario, Fog Cornering"/>
    <m/>
    <s v="Body"/>
    <s v="External Illumination"/>
    <s v="Fog Lamps Switch"/>
    <s v="LIN"/>
    <s v="Switch"/>
    <s v="LIN Switch"/>
    <s v="LIN Switch - Fog Lamps Switch"/>
    <m/>
    <m/>
    <s v="33;-16"/>
    <m/>
    <m/>
    <m/>
    <m/>
    <s v="Yes"/>
    <s v="Yes"/>
    <s v="Yes"/>
    <n v="1"/>
    <n v="1"/>
    <n v="1"/>
    <n v="1"/>
  </r>
  <r>
    <x v="225"/>
    <s v="10.0_Comfort &amp; Exterior"/>
    <s v="10.30_OutsideLighting-System"/>
    <s v="F0377"/>
    <s v="Front Lighting, Fog Front"/>
    <m/>
    <s v="Body"/>
    <s v="External Illumination"/>
    <s v="Fog Lamps Switch"/>
    <s v="LIN"/>
    <s v="Switch"/>
    <s v="LIN Switch"/>
    <s v="LIN Switch - Fog Lamps Switch"/>
    <m/>
    <m/>
    <s v="33;-16"/>
    <m/>
    <m/>
    <m/>
    <m/>
    <s v="Yes"/>
    <s v="Yes"/>
    <s v="Yes"/>
    <n v="1"/>
    <n v="1"/>
    <n v="1"/>
    <n v="1"/>
  </r>
  <r>
    <x v="225"/>
    <s v="10.0_Comfort &amp; Exterior"/>
    <s v="10.30_OutsideLighting-System"/>
    <s v="F0378"/>
    <s v="Rear Lighting, Fog Rear"/>
    <m/>
    <s v="Body"/>
    <s v="External Illumination"/>
    <s v="Fog Lamps Switch"/>
    <s v="LIN"/>
    <s v="Switch"/>
    <s v="LIN Switch"/>
    <s v="LIN Switch - Fog Lamps Switch"/>
    <m/>
    <m/>
    <s v="33;-16"/>
    <m/>
    <m/>
    <m/>
    <m/>
    <s v="Yes"/>
    <s v="Yes"/>
    <s v="Yes"/>
    <n v="1"/>
    <n v="1"/>
    <n v="1"/>
    <n v="1"/>
  </r>
  <r>
    <x v="226"/>
    <s v="10.0_Comfort &amp; Exterior"/>
    <s v="10.30_OutsideLighting-System"/>
    <s v="F0619"/>
    <s v="Outside Lighting, Side Marker Rear"/>
    <s v="QM"/>
    <s v="Body"/>
    <s v="External Illumination"/>
    <s v="Side Marker Rear Right"/>
    <s v="Bulb"/>
    <s v="Actuator"/>
    <s v="Bulb P5W"/>
    <s v="Bulb P5W - Side Marker Rear Right"/>
    <m/>
    <m/>
    <s v="98;22"/>
    <m/>
    <m/>
    <m/>
    <m/>
    <s v="Yes"/>
    <s v="No"/>
    <s v="No"/>
    <n v="0"/>
    <n v="0"/>
    <n v="1"/>
    <n v="1"/>
  </r>
  <r>
    <x v="226"/>
    <s v="10.0_Comfort &amp; Exterior"/>
    <s v="10.30_OutsideLighting-System"/>
    <s v="F0619"/>
    <s v="Outside Lighting, Side Marker Rear"/>
    <s v="QM"/>
    <s v="Body"/>
    <s v="External Illumination"/>
    <s v="Position Lamp Right"/>
    <s v="Bulb"/>
    <s v="Actuator"/>
    <s v="Side Marker Bulb P5W"/>
    <s v="Side Marker Bulb P5W - Position Lamp Right"/>
    <m/>
    <m/>
    <s v="98;22"/>
    <m/>
    <m/>
    <m/>
    <m/>
    <s v="Yes"/>
    <s v="No"/>
    <s v="No"/>
    <n v="0"/>
    <n v="0"/>
    <n v="1"/>
    <n v="1"/>
  </r>
  <r>
    <x v="227"/>
    <s v="10.0_Comfort &amp; Exterior"/>
    <s v="10.30_OutsideLighting-System"/>
    <s v="F0229"/>
    <s v="Surround Lighting, Turning Light"/>
    <s v="B"/>
    <s v="Body"/>
    <s v="External Illumination"/>
    <s v="Side Blinker Left"/>
    <s v="Bulb"/>
    <s v="Actuator"/>
    <s v="P21W"/>
    <s v="P21W - Side Blinker Left"/>
    <m/>
    <m/>
    <s v="21;-23"/>
    <m/>
    <m/>
    <m/>
    <m/>
    <s v="Yes"/>
    <s v="No"/>
    <s v="No"/>
    <n v="0.3"/>
    <n v="0.1"/>
    <n v="0.3"/>
    <n v="0.1"/>
  </r>
  <r>
    <x v="227"/>
    <s v="10.0_Comfort &amp; Exterior"/>
    <s v="10.30_OutsideLighting-System"/>
    <s v="F0229"/>
    <s v="Surround Lighting, Turning Light"/>
    <s v="A"/>
    <s v="Body"/>
    <s v="External Illumination"/>
    <s v="Turn Signal Left"/>
    <s v="Bulb"/>
    <s v="Actuator"/>
    <s v="Side Repeater P21W"/>
    <s v="Side Repeater P21W - Turn Signal Left"/>
    <m/>
    <m/>
    <s v="21;-23"/>
    <m/>
    <m/>
    <m/>
    <m/>
    <s v="Yes"/>
    <s v="No"/>
    <s v="No"/>
    <n v="0.3"/>
    <n v="0.1"/>
    <n v="0.3"/>
    <n v="0.1"/>
  </r>
  <r>
    <x v="228"/>
    <m/>
    <m/>
    <m/>
    <m/>
    <s v=" "/>
    <s v="Body"/>
    <s v="External Illumination"/>
    <s v="Beacon"/>
    <s v="Full LED"/>
    <s v="Actuator"/>
    <s v="LED Lamp"/>
    <s v="LED Lamp - Beacon"/>
    <m/>
    <m/>
    <m/>
    <m/>
    <m/>
    <m/>
    <m/>
    <s v="No"/>
    <s v="No"/>
    <s v="No"/>
    <m/>
    <m/>
    <m/>
    <m/>
  </r>
  <r>
    <x v="229"/>
    <m/>
    <m/>
    <m/>
    <m/>
    <s v=" "/>
    <s v="Body"/>
    <s v="External Illumination"/>
    <s v="Beacon"/>
    <s v="Bulb"/>
    <s v="Actuator"/>
    <s v="P21W"/>
    <s v="P21W - Beacon"/>
    <m/>
    <m/>
    <m/>
    <m/>
    <m/>
    <m/>
    <m/>
    <s v="No"/>
    <s v="No"/>
    <s v="No"/>
    <m/>
    <m/>
    <m/>
    <m/>
  </r>
  <r>
    <x v="230"/>
    <m/>
    <m/>
    <m/>
    <m/>
    <s v=" "/>
    <s v="Body"/>
    <s v="External Illumination"/>
    <s v="Beacon"/>
    <s v="Signal"/>
    <s v="Switch"/>
    <s v="Signal Switch"/>
    <s v="Signal Switch - Beacon"/>
    <m/>
    <m/>
    <m/>
    <m/>
    <m/>
    <m/>
    <m/>
    <s v="No"/>
    <s v="No"/>
    <s v="No"/>
    <m/>
    <m/>
    <m/>
    <m/>
  </r>
  <r>
    <x v="231"/>
    <m/>
    <m/>
    <m/>
    <m/>
    <s v=" "/>
    <s v="Body"/>
    <s v="External Illumination"/>
    <s v="Beacon"/>
    <s v="Power Switch"/>
    <s v="Switch"/>
    <s v="Power Switch"/>
    <s v="Power Switch - Beacon"/>
    <m/>
    <m/>
    <m/>
    <m/>
    <m/>
    <m/>
    <m/>
    <s v="No"/>
    <s v="No"/>
    <s v="No"/>
    <m/>
    <m/>
    <m/>
    <m/>
  </r>
  <r>
    <x v="232"/>
    <m/>
    <m/>
    <m/>
    <m/>
    <s v=" "/>
    <s v="Body"/>
    <s v="External Illumination"/>
    <s v="Beacon"/>
    <s v="LIN"/>
    <s v="Switch"/>
    <s v="LIN Switch"/>
    <s v="LIN Switch - Beacon"/>
    <m/>
    <m/>
    <m/>
    <m/>
    <m/>
    <m/>
    <m/>
    <s v="No"/>
    <s v="No"/>
    <s v="No"/>
    <m/>
    <m/>
    <m/>
    <m/>
  </r>
  <r>
    <x v="233"/>
    <s v="10.0_Comfort &amp; Exterior"/>
    <s v="10.30_OutsideLighting-System"/>
    <s v="F0x90"/>
    <s v="Outside Lighting, Vehicle Contours"/>
    <m/>
    <s v="Body"/>
    <s v="External Illumination"/>
    <s v="Front Grille Illumination"/>
    <s v="Full LED"/>
    <s v="Actuator"/>
    <s v="LED Lamp"/>
    <s v="LED Lamp - Front Grille Illumination"/>
    <m/>
    <m/>
    <s v="-14;0"/>
    <m/>
    <m/>
    <m/>
    <m/>
    <s v="No"/>
    <s v="No"/>
    <s v="Yes"/>
    <n v="0"/>
    <n v="0"/>
    <n v="1"/>
    <n v="1"/>
  </r>
  <r>
    <x v="234"/>
    <s v="32.0_Comfort &amp; Chassis"/>
    <s v="32.10_Braking-System"/>
    <s v="F0648"/>
    <s v="Park Brake, Manual"/>
    <m/>
    <s v="Chassis"/>
    <s v="Brake"/>
    <s v="Manual Parking Brake"/>
    <s v="with Manual Parking Brake"/>
    <s v="Switch"/>
    <s v="Lever Signal Switch - User Selector"/>
    <s v="Lever Signal Switch - User Selector - Manual Parking Brake"/>
    <m/>
    <m/>
    <s v="59;0"/>
    <s v="TE"/>
    <s v="1-929080-5"/>
    <s v="2 Pos. MQS 0,63mm Unsealed"/>
    <s v="No"/>
    <s v="Yes"/>
    <s v="No"/>
    <s v="No"/>
    <n v="1"/>
    <n v="1"/>
    <n v="1"/>
    <n v="1"/>
  </r>
  <r>
    <x v="235"/>
    <s v="10.0_Comfort &amp; Exterior"/>
    <s v="10.30_OutsideLighting-System"/>
    <s v="F0024"/>
    <s v="Headlamp Leveling, Automatic"/>
    <s v="QM"/>
    <s v="Body"/>
    <s v="External Illumination"/>
    <s v="Headlamps Leveling"/>
    <s v="Electric Headlamp Leveling"/>
    <s v="Switch"/>
    <s v="Leveling Potentiometer"/>
    <s v="Leveling Potentiometer - Headlamps Leveling"/>
    <m/>
    <m/>
    <s v="33;-14"/>
    <m/>
    <m/>
    <m/>
    <m/>
    <s v="Yes"/>
    <s v="No"/>
    <s v="No"/>
    <n v="0"/>
    <n v="0"/>
    <n v="1"/>
    <n v="1"/>
  </r>
  <r>
    <x v="236"/>
    <s v="10.0_Comfort &amp; Exterior"/>
    <s v="10.30_OutsideLighting-System"/>
    <s v="F0024"/>
    <s v="Headlamp Leveling, Automatic"/>
    <s v="QM"/>
    <s v="Body"/>
    <s v="External Illumination"/>
    <s v="Headlamps Leveling"/>
    <s v="Electric Headlamp Leveling"/>
    <s v="Actuator"/>
    <s v="Leveling Motor L"/>
    <s v="Leveling Motor L - Headlamps Leveling"/>
    <m/>
    <m/>
    <s v="-5;19"/>
    <m/>
    <m/>
    <m/>
    <m/>
    <s v="Yes"/>
    <s v="Yes"/>
    <s v="Yes"/>
    <n v="0"/>
    <n v="0"/>
    <n v="0"/>
    <n v="0"/>
  </r>
  <r>
    <x v="237"/>
    <s v="10.0_Comfort &amp; Exterior"/>
    <s v="10.30_OutsideLighting-System"/>
    <s v="F0024"/>
    <s v="Headlamp Leveling, Automatic"/>
    <s v="QM"/>
    <s v="Body"/>
    <s v="External Illumination"/>
    <s v="Headlamps Leveling"/>
    <s v="Electric Headlamp Leveling"/>
    <s v="Actuator"/>
    <s v="Leveling Motor R"/>
    <s v="Leveling Motor R - Headlamps Leveling"/>
    <m/>
    <m/>
    <s v="-5;-19"/>
    <m/>
    <m/>
    <m/>
    <m/>
    <s v="Yes"/>
    <s v="Yes"/>
    <s v="Yes"/>
    <n v="0"/>
    <n v="0"/>
    <n v="0"/>
    <n v="0"/>
  </r>
  <r>
    <x v="238"/>
    <s v="10.0_Comfort &amp; Exterior"/>
    <s v="10.11_VehicleAccess-System"/>
    <s v="F0064"/>
    <s v="Ignition Lock, Immobiliser "/>
    <m/>
    <s v="System"/>
    <s v="Main Switch"/>
    <s v="Vehicle Start and Stop"/>
    <s v="without Start Stop"/>
    <m/>
    <s v="Ignition Switch"/>
    <s v="Ignition Switch - Vehicle Start and Stop"/>
    <m/>
    <m/>
    <s v="33;-6"/>
    <m/>
    <m/>
    <m/>
    <m/>
    <s v="Yes"/>
    <s v="No"/>
    <s v="No"/>
    <n v="1"/>
    <n v="1"/>
    <n v="1"/>
    <n v="1"/>
  </r>
  <r>
    <x v="238"/>
    <s v="80.0_Cross-Functions"/>
    <s v="80.81_VehicleStateManagement"/>
    <s v="F0630"/>
    <s v="Vehicle State Management, LV"/>
    <m/>
    <s v="System"/>
    <s v="Main Switch"/>
    <s v="Vehicle Start and Stop"/>
    <s v="without Start Stop"/>
    <m/>
    <s v="Ignition Switch"/>
    <s v="Ignition Switch - Vehicle Start and Stop"/>
    <m/>
    <m/>
    <s v="33;-6"/>
    <m/>
    <m/>
    <m/>
    <m/>
    <s v="Yes"/>
    <s v="No"/>
    <s v="No"/>
    <n v="1"/>
    <n v="1"/>
    <n v="1"/>
    <n v="1"/>
  </r>
  <r>
    <x v="238"/>
    <s v="80.0_Cross-Functions"/>
    <s v="80.81_VehicleStateManagement"/>
    <s v="F1114"/>
    <s v="Clamp Management"/>
    <m/>
    <s v="System"/>
    <s v="Main Switch"/>
    <s v="Vehicle Start and Stop"/>
    <s v="without Start Stop"/>
    <m/>
    <s v="Ignition Switch"/>
    <s v="Ignition Switch - Vehicle Start and Stop"/>
    <m/>
    <m/>
    <s v="33;-6"/>
    <m/>
    <m/>
    <m/>
    <m/>
    <s v="Yes"/>
    <s v="No"/>
    <s v="No"/>
    <n v="1"/>
    <n v="1"/>
    <n v="1"/>
    <n v="1"/>
  </r>
  <r>
    <x v="239"/>
    <s v="80.0_Cross-Functions"/>
    <s v="80.84_Diagnosis&amp;Updates"/>
    <s v="F0629"/>
    <s v="Diagnosis, Under/Overvoltage Detection"/>
    <m/>
    <s v="System"/>
    <s v="Power Supply"/>
    <s v="12V SR1 High Current Distribution"/>
    <s v="L3 / L4 / L5 / X by Wire"/>
    <s v="Power Distributor"/>
    <s v="High Current Power Distributor"/>
    <s v="High Current Power Distributor - 12V SR1 High Current Distribution"/>
    <m/>
    <m/>
    <m/>
    <m/>
    <m/>
    <m/>
    <m/>
    <m/>
    <m/>
    <m/>
    <m/>
    <m/>
    <m/>
    <m/>
  </r>
  <r>
    <x v="239"/>
    <s v="80.0_Cross-Functions"/>
    <s v="80.89_WiringHarness-Design"/>
    <s v="F0484"/>
    <s v="Electrical System, 12V"/>
    <s v=" "/>
    <s v="System"/>
    <s v="Power Supply"/>
    <s v="12V SR1 High Current Distribution"/>
    <s v="L3 / L4 / L5 / X by Wire"/>
    <s v="Power Distributor"/>
    <s v="High Current Power Distributor"/>
    <s v="High Current Power Distributor - 12V SR1 High Current Distribution"/>
    <m/>
    <m/>
    <m/>
    <m/>
    <m/>
    <m/>
    <m/>
    <m/>
    <m/>
    <m/>
    <m/>
    <m/>
    <m/>
    <m/>
  </r>
  <r>
    <x v="240"/>
    <s v="32.0_Comfort &amp; Chassis"/>
    <s v="32.10_Braking-System"/>
    <s v="F0339"/>
    <s v="Brake, By Wire (Electro Mechanic)"/>
    <s v="D"/>
    <s v="Chassis"/>
    <s v="Brake"/>
    <s v="Brake Actuator"/>
    <s v="Basic"/>
    <s v="Actuator"/>
    <s v="ESP Unit"/>
    <s v="ESP Unit - Brake Actuator"/>
    <m/>
    <m/>
    <s v="9;-14"/>
    <m/>
    <m/>
    <m/>
    <m/>
    <s v="Yes"/>
    <s v="Yes"/>
    <s v="Yes"/>
    <n v="0.1"/>
    <n v="0.3"/>
    <n v="0.3"/>
    <n v="0.5"/>
  </r>
  <r>
    <x v="240"/>
    <s v="32.0_Comfort &amp; Chassis"/>
    <s v="32.10_Braking-System"/>
    <s v="F2000"/>
    <s v="ABS"/>
    <s v="D"/>
    <s v="Chassis"/>
    <s v="Brake"/>
    <s v="Brake Actuator"/>
    <s v="Basic"/>
    <s v="Actuator"/>
    <s v="ESP Unit"/>
    <s v="ESP Unit - Brake Actuator"/>
    <m/>
    <m/>
    <s v="9;-14"/>
    <m/>
    <m/>
    <m/>
    <m/>
    <s v="Yes"/>
    <s v="Yes"/>
    <s v="Yes"/>
    <n v="0.1"/>
    <n v="0.3"/>
    <n v="0.3"/>
    <n v="0.5"/>
  </r>
  <r>
    <x v="240"/>
    <s v="32.0_Comfort &amp; Chassis"/>
    <s v="32.10_Braking-System"/>
    <s v="F2007"/>
    <s v="Electric Park Brake"/>
    <m/>
    <s v="Chassis"/>
    <s v="Brake"/>
    <s v="Brake Actuator"/>
    <s v="Basic"/>
    <s v="Actuator"/>
    <s v="ESP Unit"/>
    <s v="ESP Unit - Brake Actuator"/>
    <m/>
    <m/>
    <s v="9;-14"/>
    <m/>
    <m/>
    <m/>
    <m/>
    <s v="Yes"/>
    <s v="Yes"/>
    <s v="Yes"/>
    <n v="0.1"/>
    <n v="0.3"/>
    <n v="0.3"/>
    <n v="0.5"/>
  </r>
  <r>
    <x v="240"/>
    <s v="32.0_Comfort &amp; Chassis"/>
    <s v="32.11_Stability&amp;Dynamics-System"/>
    <s v="F2008"/>
    <s v="ESC, Electronic Stability Control"/>
    <m/>
    <s v="Chassis"/>
    <s v="Brake"/>
    <s v="Brake Actuator"/>
    <s v="Basic"/>
    <s v="Actuator"/>
    <s v="ESP Unit"/>
    <s v="ESP Unit - Brake Actuator"/>
    <m/>
    <m/>
    <s v="9;-14"/>
    <m/>
    <m/>
    <m/>
    <m/>
    <s v="Yes"/>
    <s v="Yes"/>
    <s v="Yes"/>
    <n v="0.1"/>
    <n v="0.3"/>
    <n v="0.3"/>
    <n v="0.5"/>
  </r>
  <r>
    <x v="241"/>
    <s v="80.0_Cross-Functions"/>
    <s v="80.84_Diagnosis&amp;Updates"/>
    <s v="F0629"/>
    <s v="Diagnosis, Under/Overvoltage Detection"/>
    <m/>
    <s v="System"/>
    <s v="Power Supply"/>
    <s v="12V QM High Current Distribution"/>
    <s v="Basic"/>
    <s v="Power Distributor"/>
    <s v="High Current Power Distributor"/>
    <s v="High Current Power Distributor - 12V QM High Current Distribution"/>
    <m/>
    <m/>
    <m/>
    <m/>
    <m/>
    <m/>
    <m/>
    <m/>
    <m/>
    <m/>
    <m/>
    <m/>
    <m/>
    <m/>
  </r>
  <r>
    <x v="241"/>
    <s v="80.0_Cross-Functions"/>
    <s v="80.89_WiringHarness-Design"/>
    <s v="F0484"/>
    <s v="Electrical System, 12V"/>
    <s v=" "/>
    <s v="System"/>
    <s v="Power Supply"/>
    <s v="12V QM High Current Distribution"/>
    <s v="Basic"/>
    <s v="Power Distributor"/>
    <s v="High Current Power Distributor"/>
    <s v="High Current Power Distributor - 12V QM High Current Distribution"/>
    <m/>
    <m/>
    <m/>
    <m/>
    <m/>
    <m/>
    <m/>
    <m/>
    <m/>
    <m/>
    <m/>
    <m/>
    <m/>
    <m/>
  </r>
  <r>
    <x v="242"/>
    <s v="37.0_ADAS &amp; AutomatedDriving"/>
    <s v="37.10_ACC-System"/>
    <s v="F2001"/>
    <s v="ACC Predictive Driving Support"/>
    <m/>
    <s v="Infotainment"/>
    <s v="Communication"/>
    <s v="V2X Interface"/>
    <m/>
    <s v="Actuator"/>
    <s v="V2X Transceiver"/>
    <s v="V2X Transceiver - V2X Interface"/>
    <m/>
    <m/>
    <s v="25;0"/>
    <m/>
    <m/>
    <m/>
    <m/>
    <s v="No"/>
    <s v="No"/>
    <s v="Yes"/>
    <n v="1"/>
    <n v="1"/>
    <n v="1"/>
    <n v="1"/>
  </r>
  <r>
    <x v="242"/>
    <s v="37.0_ADAS &amp; AutomatedDriving"/>
    <s v="37.30_Piloting-System"/>
    <s v="F0337"/>
    <s v="Pilot, City"/>
    <m/>
    <s v="Infotainment"/>
    <s v="Communication"/>
    <s v="V2X Interface"/>
    <m/>
    <s v="Actuator"/>
    <s v="V2X Transceiver"/>
    <s v="V2X Transceiver - V2X Interface"/>
    <m/>
    <m/>
    <s v="25;0"/>
    <m/>
    <m/>
    <m/>
    <m/>
    <s v="No"/>
    <s v="No"/>
    <s v="Yes"/>
    <n v="1"/>
    <n v="1"/>
    <n v="1"/>
    <n v="1"/>
  </r>
  <r>
    <x v="242"/>
    <s v="37.0_ADAS &amp; AutomatedDriving"/>
    <s v="37.30_Piloting-System"/>
    <s v="F0651"/>
    <s v="Pilot, Country Road"/>
    <m/>
    <s v="Infotainment"/>
    <s v="Communication"/>
    <s v="V2X Interface"/>
    <m/>
    <s v="Actuator"/>
    <s v="V2X Transceiver"/>
    <s v="V2X Transceiver - V2X Interface"/>
    <m/>
    <m/>
    <s v="25;0"/>
    <m/>
    <m/>
    <m/>
    <m/>
    <s v="No"/>
    <s v="No"/>
    <s v="Yes"/>
    <n v="1"/>
    <n v="1"/>
    <n v="1"/>
    <n v="1"/>
  </r>
  <r>
    <x v="242"/>
    <s v="37.0_ADAS &amp; AutomatedDriving"/>
    <s v="37.30_Piloting-System"/>
    <s v="F1042"/>
    <s v="Pilot, Remote Operation"/>
    <m/>
    <s v="Infotainment"/>
    <s v="Communication"/>
    <s v="V2X Interface"/>
    <m/>
    <s v="Actuator"/>
    <s v="V2X Transceiver"/>
    <s v="V2X Transceiver - V2X Interface"/>
    <m/>
    <m/>
    <s v="25;0"/>
    <m/>
    <m/>
    <m/>
    <m/>
    <s v="No"/>
    <s v="No"/>
    <s v="Yes"/>
    <n v="1"/>
    <n v="1"/>
    <n v="1"/>
    <n v="1"/>
  </r>
  <r>
    <x v="242"/>
    <s v="80.0_Cross-Functions"/>
    <s v="80.84_Diagnosis&amp;Updates"/>
    <s v="F0253"/>
    <s v="Diagnosis, DoIP"/>
    <m/>
    <s v="Infotainment"/>
    <s v="Communication"/>
    <s v="V2X Interface"/>
    <m/>
    <s v="Actuator"/>
    <s v="V2X Transceiver"/>
    <s v="V2X Transceiver - V2X Interface"/>
    <m/>
    <m/>
    <s v="25;0"/>
    <m/>
    <m/>
    <m/>
    <m/>
    <s v="No"/>
    <s v="No"/>
    <s v="Yes"/>
    <n v="1"/>
    <n v="1"/>
    <n v="1"/>
    <n v="1"/>
  </r>
  <r>
    <x v="242"/>
    <s v="80.0_Cross-Functions"/>
    <s v="80.84_Diagnosis&amp;Updates"/>
    <s v="F0310"/>
    <s v="Diagnosis, Remote"/>
    <m/>
    <s v="Infotainment"/>
    <s v="Communication"/>
    <s v="V2X Interface"/>
    <m/>
    <s v="Actuator"/>
    <s v="V2X Transceiver"/>
    <s v="V2X Transceiver - V2X Interface"/>
    <m/>
    <m/>
    <s v="25;0"/>
    <m/>
    <m/>
    <m/>
    <m/>
    <s v="No"/>
    <s v="No"/>
    <s v="Yes"/>
    <n v="1"/>
    <n v="1"/>
    <n v="1"/>
    <n v="1"/>
  </r>
  <r>
    <x v="242"/>
    <s v="80.0_Cross-Functions"/>
    <s v="80.84_Diagnosis&amp;Updates"/>
    <s v="F0311"/>
    <s v="Updates, Over The Air (OTA)"/>
    <m/>
    <s v="Infotainment"/>
    <s v="Communication"/>
    <s v="V2X Interface"/>
    <m/>
    <s v="Actuator"/>
    <s v="V2X Transceiver"/>
    <s v="V2X Transceiver - V2X Interface"/>
    <m/>
    <m/>
    <s v="25;0"/>
    <m/>
    <m/>
    <m/>
    <m/>
    <s v="No"/>
    <s v="No"/>
    <s v="Yes"/>
    <n v="1"/>
    <n v="1"/>
    <n v="1"/>
    <n v="1"/>
  </r>
  <r>
    <x v="243"/>
    <s v="14.0_HMI &amp; OutsideInformation"/>
    <s v="14.10_DriverInformation-System"/>
    <s v="F0019"/>
    <s v="Indications, Outside Temperature"/>
    <s v="Q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115"/>
    <s v="Warning, Light On"/>
    <s v="Q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168"/>
    <s v="Indications, Charging Completed"/>
    <s v="TBD"/>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172"/>
    <s v="Indications, Board computer"/>
    <s v="B"/>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177"/>
    <s v="Clock, Digital"/>
    <s v="Q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203"/>
    <s v="Indications, Trip Computer"/>
    <s v="B"/>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232"/>
    <s v="Warning, Light Failure Detection"/>
    <s v="Q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238"/>
    <s v="Indications, Telltales"/>
    <s v="B"/>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239"/>
    <s v="Indications, Popups"/>
    <s v="Q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240"/>
    <s v="Indications, Odometer"/>
    <s v="B"/>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293"/>
    <s v="Warning, Brake Fluid Level Low"/>
    <s v="Q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411"/>
    <s v="Warning, Washer Fluid Level low"/>
    <s v="Q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463"/>
    <s v="Indications, Recuperation Statistics"/>
    <s v="B"/>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464"/>
    <s v="Indications, Engine Speed"/>
    <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465"/>
    <s v="Indications, Vehicle Speed"/>
    <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495"/>
    <s v="Indications, Energy Consumption"/>
    <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541"/>
    <s v="Indications, Service Intervall Assist"/>
    <s v="Q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608"/>
    <s v="Indications, Chimes"/>
    <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623"/>
    <s v="Indications, Open Door"/>
    <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624"/>
    <s v="Indications, Battery Charging"/>
    <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626"/>
    <s v="Indications, Error in HV System"/>
    <s v="A"/>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631"/>
    <s v="Indications, Electric Range Estimation"/>
    <s v="B"/>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788"/>
    <s v="Indications, Battery Level (SOH)"/>
    <s v="TBD"/>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789"/>
    <s v="Cluster Pre-Check"/>
    <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790"/>
    <s v="Indications, Gear"/>
    <s v="B"/>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791"/>
    <s v="Cluster Welcome Animation"/>
    <s v="Q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903"/>
    <s v="Indications, Error in Brake System"/>
    <s v="D"/>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0904"/>
    <s v="Indications, Error in Airbag System"/>
    <m/>
    <s v="Infotainment"/>
    <s v="Instrument Cluster"/>
    <s v="Driver Information"/>
    <s v="Basic"/>
    <s v="Actuator"/>
    <s v="Instrument Cluster"/>
    <s v="Instrument Cluster - Driver Information"/>
    <m/>
    <m/>
    <s v="28;-9"/>
    <m/>
    <m/>
    <m/>
    <m/>
    <s v="No"/>
    <s v="Yes"/>
    <s v="Yes"/>
    <n v="0.7"/>
    <n v="0.7"/>
    <n v="0.5"/>
    <n v="0.5"/>
  </r>
  <r>
    <x v="243"/>
    <s v="14.0_HMI &amp; OutsideInformation"/>
    <s v="14.10_DriverInformation-System"/>
    <s v="F1037"/>
    <s v="Warning, Icy Road"/>
    <m/>
    <s v="Infotainment"/>
    <s v="Instrument Cluster"/>
    <s v="Driver Information"/>
    <s v="Basic"/>
    <s v="Actuator"/>
    <s v="Instrument Cluster"/>
    <s v="Instrument Cluster - Driver Information"/>
    <m/>
    <m/>
    <s v="28;-9"/>
    <m/>
    <m/>
    <m/>
    <m/>
    <s v="No"/>
    <s v="Yes"/>
    <s v="Yes"/>
    <n v="0.7"/>
    <n v="0.7"/>
    <n v="0.5"/>
    <n v="0.5"/>
  </r>
  <r>
    <x v="243"/>
    <s v="36.0_Infotainment &amp; Connectivity"/>
    <s v="36.20_Navigation-System"/>
    <s v="F2023"/>
    <s v="Navigation, GPS"/>
    <m/>
    <s v="Infotainment"/>
    <s v="Instrument Cluster"/>
    <s v="Driver Information"/>
    <s v="Basic"/>
    <s v="Actuator"/>
    <s v="Instrument Cluster"/>
    <s v="Instrument Cluster - Driver Information"/>
    <m/>
    <m/>
    <s v="28;-9"/>
    <m/>
    <m/>
    <m/>
    <m/>
    <s v="No"/>
    <s v="Yes"/>
    <s v="Yes"/>
    <n v="0.7"/>
    <n v="0.7"/>
    <n v="0.5"/>
    <n v="0.5"/>
  </r>
  <r>
    <x v="243"/>
    <s v="36.0_Infotainment &amp; Connectivity"/>
    <s v="36.33_V2N_System"/>
    <s v="F0173"/>
    <s v="Hotspot"/>
    <s v="QM"/>
    <s v="Infotainment"/>
    <s v="Instrument Cluster"/>
    <s v="Driver Information"/>
    <s v="Basic"/>
    <s v="Actuator"/>
    <s v="Instrument Cluster"/>
    <s v="Instrument Cluster - Driver Information"/>
    <m/>
    <m/>
    <s v="28;-9"/>
    <m/>
    <m/>
    <m/>
    <m/>
    <s v="No"/>
    <s v="Yes"/>
    <s v="Yes"/>
    <n v="0.7"/>
    <n v="0.7"/>
    <n v="0.5"/>
    <n v="0.5"/>
  </r>
  <r>
    <x v="243"/>
    <s v="37.0_ADAS &amp; AutomatedDriving"/>
    <s v="37.11_EBA-System"/>
    <s v="F0136"/>
    <s v="EBA, Junction Assist &amp; Turn Across"/>
    <m/>
    <s v="Infotainment"/>
    <s v="Instrument Cluster"/>
    <s v="Driver Information"/>
    <s v="Basic"/>
    <s v="Actuator"/>
    <s v="Instrument Cluster"/>
    <s v="Instrument Cluster - Driver Information"/>
    <m/>
    <m/>
    <s v="28;-9"/>
    <m/>
    <m/>
    <m/>
    <m/>
    <s v="No"/>
    <s v="Yes"/>
    <s v="Yes"/>
    <n v="0.7"/>
    <n v="0.7"/>
    <n v="0.5"/>
    <n v="0.5"/>
  </r>
  <r>
    <x v="243"/>
    <s v="80.0_Cross-Functions"/>
    <s v="80.87_HMI-Design"/>
    <s v="F2016"/>
    <s v="Instrument Panel Cluster"/>
    <s v="QM"/>
    <s v="Infotainment"/>
    <s v="Instrument Cluster"/>
    <s v="Driver Information"/>
    <s v="Basic"/>
    <s v="Actuator"/>
    <s v="Instrument Cluster"/>
    <s v="Instrument Cluster - Driver Information"/>
    <m/>
    <m/>
    <s v="28;-9"/>
    <m/>
    <m/>
    <m/>
    <m/>
    <s v="No"/>
    <s v="Yes"/>
    <s v="Yes"/>
    <n v="0.7"/>
    <n v="0.7"/>
    <n v="0.5"/>
    <n v="0.5"/>
  </r>
  <r>
    <x v="244"/>
    <s v="37.0_ADAS &amp; AutomatedDriving"/>
    <s v="37.02_Alerting-System"/>
    <s v="F0158"/>
    <s v="Collision Alert Rear, Rear Cross Traffic Alert"/>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02_Alerting-System"/>
    <s v="F0160"/>
    <s v="Collision Alert Rear, Rear Collision Detection"/>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02_Alerting-System"/>
    <s v="F0529"/>
    <s v="Vibration Feedback, Steering Wheel"/>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02_Alerting-System"/>
    <s v="F0594"/>
    <s v="Object Detection, Highway"/>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02_Alerting-System"/>
    <s v="F2021"/>
    <s v="Collision Alert Side, Blind Zone Support"/>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10_ACC-System"/>
    <s v="F2002"/>
    <s v="ACC System"/>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11_EBA-System"/>
    <s v="F0136"/>
    <s v="EBA, Junction Assist &amp; Turn Across"/>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11_EBA-System"/>
    <s v="F0967"/>
    <s v="Active Stop, Emergency  (AESA)"/>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11_EBA-System"/>
    <s v="F2009"/>
    <s v="Emergency Brake Assist Front"/>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20_Parking-System"/>
    <s v="F0155"/>
    <s v="Park Assist, Front"/>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20_Parking-System"/>
    <s v="F0156"/>
    <s v="Park Assist, Rear"/>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20_Parking-System"/>
    <s v="F0314"/>
    <s v="Parking Pilot, Valet Parking"/>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20_Parking-System"/>
    <s v="F0536"/>
    <s v="Parking Pilot, Trained Parking"/>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20_Parking-System"/>
    <s v="F1301"/>
    <s v="Drive Away Assist"/>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20_Parking-System"/>
    <s v="F1304"/>
    <s v="Park Assist, Side"/>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20_Parking-System"/>
    <s v="F2003"/>
    <s v="Automatic Parking Support"/>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23_LaneSupporting-System"/>
    <s v="F0331"/>
    <s v="Lane Assist, Lane Change Assist (LCA)"/>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23_LaneSupporting-System"/>
    <s v="F0595"/>
    <s v="Lane Assist, Highway Assist"/>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23_LaneSupporting-System"/>
    <s v="F0657"/>
    <s v="Lane Assist, Evasive Steering Support"/>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23_LaneSupporting-System"/>
    <s v="F0658"/>
    <s v="Lane Assist, Traffic Jam Assist"/>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23_LaneSupporting-System"/>
    <s v="F1187"/>
    <s v="Lane Support System, Lane Centering Control (LCC)"/>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23_LaneSupporting-System"/>
    <s v="F2010"/>
    <s v="Emergency Lane Keeping Support"/>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30_Piloting-System"/>
    <s v="F0332"/>
    <s v="Pilot, Traffic Jam"/>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30_Piloting-System"/>
    <s v="F0335"/>
    <s v="Pilot, Highway"/>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30_Piloting-System"/>
    <s v="F0337"/>
    <s v="Pilot, City"/>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30_Piloting-System"/>
    <s v="F0651"/>
    <s v="Pilot, Country Road"/>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30_Piloting-System"/>
    <s v="F0915"/>
    <s v="Pilot, Rush Hour"/>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30_Piloting-System"/>
    <s v="F1042"/>
    <s v="Pilot, Remote Operation"/>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4"/>
    <s v="37.0_ADAS &amp; AutomatedDriving"/>
    <s v="37.30_Piloting-System"/>
    <s v="F1105"/>
    <s v="Pilot, Data Storage System For Automated Driving (DSSAD)"/>
    <m/>
    <s v="Drive Assistance"/>
    <s v="Automated Driving"/>
    <s v="Distance Measurements"/>
    <s v="L3/L4/L5"/>
    <s v="Radar"/>
    <s v="Short/Mid Range Radar FL / Radar +8°"/>
    <s v="Short/Mid Range Radar FL / Radar +8° - Distance Measurements"/>
    <m/>
    <m/>
    <s v="-13;-9"/>
    <s v="TE"/>
    <s v="2-2312192-1"/>
    <s v="1 pos. MATE-AX Socket Housing Cod. A 180° Sealed"/>
    <m/>
    <s v="No"/>
    <s v="No"/>
    <s v="Yes"/>
    <n v="1"/>
    <n v="1"/>
    <n v="1"/>
    <n v="1"/>
  </r>
  <r>
    <x v="245"/>
    <s v="37.0_ADAS &amp; AutomatedDriving"/>
    <s v="37.02_Alerting-System"/>
    <s v="F0594"/>
    <s v="Object Detection, Highway"/>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11_EBA-System"/>
    <s v="F0136"/>
    <s v="EBA, Junction Assist &amp; Turn Across"/>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20_Parking-System"/>
    <s v="F0155"/>
    <s v="Park Assist, Front"/>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20_Parking-System"/>
    <s v="F0156"/>
    <s v="Park Assist, Rear"/>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20_Parking-System"/>
    <s v="F0314"/>
    <s v="Parking Pilot, Valet Parking"/>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20_Parking-System"/>
    <s v="F0536"/>
    <s v="Parking Pilot, Trained Parking"/>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20_Parking-System"/>
    <s v="F1301"/>
    <s v="Drive Away Assist"/>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20_Parking-System"/>
    <s v="F1304"/>
    <s v="Park Assist, Side"/>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20_Parking-System"/>
    <s v="F2003"/>
    <s v="Automatic Parking Support"/>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30_Piloting-System"/>
    <s v="F0332"/>
    <s v="Pilot, Traffic Jam"/>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30_Piloting-System"/>
    <s v="F0335"/>
    <s v="Pilot, Highway"/>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30_Piloting-System"/>
    <s v="F0337"/>
    <s v="Pilot, City"/>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30_Piloting-System"/>
    <s v="F0651"/>
    <s v="Pilot, Country Road"/>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30_Piloting-System"/>
    <s v="F0915"/>
    <s v="Pilot, Rush Hour"/>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30_Piloting-System"/>
    <s v="F1042"/>
    <s v="Pilot, Remote Operation"/>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5"/>
    <s v="37.0_ADAS &amp; AutomatedDriving"/>
    <s v="37.30_Piloting-System"/>
    <s v="F1105"/>
    <s v="Pilot, Data Storage System For Automated Driving (DSSAD)"/>
    <m/>
    <s v="Drive Assistance"/>
    <s v="Automated Driving"/>
    <s v="Distance Measurements"/>
    <s v="L4/L5"/>
    <s v="Radar"/>
    <s v="Short/Mid Range Radar R / Radar -86°"/>
    <s v="Short/Mid Range Radar R / Radar -86° - Distance Measurements"/>
    <m/>
    <m/>
    <s v="18;23"/>
    <s v="TE"/>
    <s v="1-2312022-1"/>
    <s v="6 Pos. MCON 1,2mm Sealed"/>
    <m/>
    <s v="No"/>
    <s v="No"/>
    <s v="Yes"/>
    <n v="1"/>
    <n v="1"/>
    <n v="1"/>
    <n v="1"/>
  </r>
  <r>
    <x v="246"/>
    <s v="37.0_ADAS &amp; AutomatedDriving"/>
    <s v="37.02_Alerting-System"/>
    <s v="F0594"/>
    <s v="Object Detection, Highway"/>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11_EBA-System"/>
    <s v="F0136"/>
    <s v="EBA, Junction Assist &amp; Turn Across"/>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20_Parking-System"/>
    <s v="F0155"/>
    <s v="Park Assist, Front"/>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20_Parking-System"/>
    <s v="F0156"/>
    <s v="Park Assist, Rear"/>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20_Parking-System"/>
    <s v="F0314"/>
    <s v="Parking Pilot, Valet Parking"/>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20_Parking-System"/>
    <s v="F0536"/>
    <s v="Parking Pilot, Trained Parking"/>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20_Parking-System"/>
    <s v="F1301"/>
    <s v="Drive Away Assist"/>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20_Parking-System"/>
    <s v="F1304"/>
    <s v="Park Assist, Side"/>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20_Parking-System"/>
    <s v="F2003"/>
    <s v="Automatic Parking Support"/>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30_Piloting-System"/>
    <s v="F0332"/>
    <s v="Pilot, Traffic Jam"/>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30_Piloting-System"/>
    <s v="F0335"/>
    <s v="Pilot, Highway"/>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30_Piloting-System"/>
    <s v="F0337"/>
    <s v="Pilot, City"/>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30_Piloting-System"/>
    <s v="F0651"/>
    <s v="Pilot, Country Road"/>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30_Piloting-System"/>
    <s v="F0915"/>
    <s v="Pilot, Rush Hour"/>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30_Piloting-System"/>
    <s v="F1042"/>
    <s v="Pilot, Remote Operation"/>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6"/>
    <s v="37.0_ADAS &amp; AutomatedDriving"/>
    <s v="37.30_Piloting-System"/>
    <s v="F1105"/>
    <s v="Pilot, Data Storage System For Automated Driving (DSSAD)"/>
    <m/>
    <s v="Drive Assistance"/>
    <s v="Automated Driving"/>
    <s v="Distance Measurements"/>
    <s v="L4/L5"/>
    <s v="Radar"/>
    <s v="Short/Mid Range Radar L / Radar +86°"/>
    <s v="Short/Mid Range Radar L / Radar +86° - Distance Measurements"/>
    <m/>
    <m/>
    <s v="18;-23"/>
    <s v="TE"/>
    <s v="1-2312022-1"/>
    <s v="6 Pos. MCON 1,2mm Sealed"/>
    <m/>
    <s v="No"/>
    <s v="No"/>
    <s v="Yes"/>
    <n v="1"/>
    <n v="1"/>
    <n v="1"/>
    <n v="1"/>
  </r>
  <r>
    <x v="247"/>
    <s v="37.0_ADAS &amp; AutomatedDriving"/>
    <s v="37.02_Alerting-System"/>
    <s v="F0594"/>
    <s v="Object Detection, Highway"/>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11_EBA-System"/>
    <s v="F0136"/>
    <s v="EBA, Junction Assist &amp; Turn Across"/>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20_Parking-System"/>
    <s v="F0155"/>
    <s v="Park Assist, Front"/>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20_Parking-System"/>
    <s v="F0156"/>
    <s v="Park Assist, Rear"/>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20_Parking-System"/>
    <s v="F0314"/>
    <s v="Parking Pilot, Valet Parking"/>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20_Parking-System"/>
    <s v="F0536"/>
    <s v="Parking Pilot, Trained Parking"/>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20_Parking-System"/>
    <s v="F1301"/>
    <s v="Drive Away Assist"/>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20_Parking-System"/>
    <s v="F1304"/>
    <s v="Park Assist, Side"/>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20_Parking-System"/>
    <s v="F2003"/>
    <s v="Automatic Parking Support"/>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30_Piloting-System"/>
    <s v="F0332"/>
    <s v="Pilot, Traffic Jam"/>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30_Piloting-System"/>
    <s v="F0335"/>
    <s v="Pilot, Highway"/>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30_Piloting-System"/>
    <s v="F0337"/>
    <s v="Pilot, City"/>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30_Piloting-System"/>
    <s v="F0651"/>
    <s v="Pilot, Country Road"/>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30_Piloting-System"/>
    <s v="F0915"/>
    <s v="Pilot, Rush Hour"/>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30_Piloting-System"/>
    <s v="F1042"/>
    <s v="Pilot, Remote Operation"/>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7"/>
    <s v="37.0_ADAS &amp; AutomatedDriving"/>
    <s v="37.30_Piloting-System"/>
    <s v="F1105"/>
    <s v="Pilot, Data Storage System For Automated Driving (DSSAD)"/>
    <m/>
    <s v="Drive Assistance"/>
    <s v="Automated Driving"/>
    <s v="Distance Measurements"/>
    <s v="L4/L5"/>
    <s v="Radar"/>
    <s v="Short/Mid Range Radar R / Radar -97°"/>
    <s v="Short/Mid Range Radar R / Radar -97° - Distance Measurements"/>
    <m/>
    <m/>
    <s v="18;23"/>
    <s v="TE"/>
    <s v="1-2312022-1"/>
    <s v="6 Pos. MCON 1,2mm Sealed"/>
    <m/>
    <s v="No"/>
    <s v="No"/>
    <s v="Yes"/>
    <n v="1"/>
    <n v="1"/>
    <n v="1"/>
    <n v="1"/>
  </r>
  <r>
    <x v="248"/>
    <s v="37.0_ADAS &amp; AutomatedDriving"/>
    <s v="37.02_Alerting-System"/>
    <s v="F0158"/>
    <s v="Collision Alert Rear, Rear Cross Traffic Alert"/>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02_Alerting-System"/>
    <s v="F0160"/>
    <s v="Collision Alert Rear, Rear Collision Detection"/>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02_Alerting-System"/>
    <s v="F0529"/>
    <s v="Vibration Feedback, Steering Wheel"/>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02_Alerting-System"/>
    <s v="F0594"/>
    <s v="Object Detection, Highway"/>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02_Alerting-System"/>
    <s v="F2021"/>
    <s v="Collision Alert Side, Blind Zone Support"/>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10_ACC-System"/>
    <s v="F2002"/>
    <s v="ACC System"/>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11_EBA-System"/>
    <s v="F0136"/>
    <s v="EBA, Junction Assist &amp; Turn Across"/>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11_EBA-System"/>
    <s v="F0967"/>
    <s v="Active Stop, Emergency  (AESA)"/>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11_EBA-System"/>
    <s v="F2009"/>
    <s v="Emergency Brake Assist Front"/>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20_Parking-System"/>
    <s v="F0155"/>
    <s v="Park Assist, Front"/>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20_Parking-System"/>
    <s v="F0156"/>
    <s v="Park Assist, Rear"/>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20_Parking-System"/>
    <s v="F0314"/>
    <s v="Parking Pilot, Valet Parking"/>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20_Parking-System"/>
    <s v="F0536"/>
    <s v="Parking Pilot, Trained Parking"/>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20_Parking-System"/>
    <s v="F1301"/>
    <s v="Drive Away Assist"/>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20_Parking-System"/>
    <s v="F1304"/>
    <s v="Park Assist, Side"/>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20_Parking-System"/>
    <s v="F2003"/>
    <s v="Automatic Parking Support"/>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23_LaneSupporting-System"/>
    <s v="F0331"/>
    <s v="Lane Assist, Lane Change Assist (LCA)"/>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23_LaneSupporting-System"/>
    <s v="F0595"/>
    <s v="Lane Assist, Highway Assist"/>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23_LaneSupporting-System"/>
    <s v="F0657"/>
    <s v="Lane Assist, Evasive Steering Support"/>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23_LaneSupporting-System"/>
    <s v="F0658"/>
    <s v="Lane Assist, Traffic Jam Assist"/>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23_LaneSupporting-System"/>
    <s v="F1187"/>
    <s v="Lane Support System, Lane Centering Control (LCC)"/>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23_LaneSupporting-System"/>
    <s v="F2010"/>
    <s v="Emergency Lane Keeping Support"/>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30_Piloting-System"/>
    <s v="F0332"/>
    <s v="Pilot, Traffic Jam"/>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30_Piloting-System"/>
    <s v="F0335"/>
    <s v="Pilot, Highway"/>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30_Piloting-System"/>
    <s v="F0337"/>
    <s v="Pilot, City"/>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30_Piloting-System"/>
    <s v="F0651"/>
    <s v="Pilot, Country Road"/>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30_Piloting-System"/>
    <s v="F0915"/>
    <s v="Pilot, Rush Hour"/>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30_Piloting-System"/>
    <s v="F1042"/>
    <s v="Pilot, Remote Operation"/>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8"/>
    <s v="37.0_ADAS &amp; AutomatedDriving"/>
    <s v="37.30_Piloting-System"/>
    <s v="F1105"/>
    <s v="Pilot, Data Storage System For Automated Driving (DSSAD)"/>
    <m/>
    <s v="Drive Assistance"/>
    <s v="Automated Driving"/>
    <s v="Distance Measurements"/>
    <s v="L3/L4/L5"/>
    <s v="Radar"/>
    <s v="Short/Mid Range Radar FL / Radar +8°"/>
    <s v="Short/Mid Range Radar FL / Radar +8° - Distance Measurements"/>
    <m/>
    <m/>
    <s v="-13;-9"/>
    <s v="TE"/>
    <s v="1-2312022-1"/>
    <s v="6 Pos. MCON 1,2mm Sealed"/>
    <m/>
    <s v="No"/>
    <s v="No"/>
    <s v="Yes"/>
    <n v="1"/>
    <n v="1"/>
    <n v="1"/>
    <n v="1"/>
  </r>
  <r>
    <x v="249"/>
    <s v="37.0_ADAS &amp; AutomatedDriving"/>
    <s v="37.02_Alerting-System"/>
    <s v="F0158"/>
    <s v="Collision Alert Rear, Rear Cross Traffic Alert"/>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02_Alerting-System"/>
    <s v="F0160"/>
    <s v="Collision Alert Rear, Rear Collision Detection"/>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02_Alerting-System"/>
    <s v="F0529"/>
    <s v="Vibration Feedback, Steering Wheel"/>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02_Alerting-System"/>
    <s v="F0594"/>
    <s v="Object Detection, Highway"/>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02_Alerting-System"/>
    <s v="F2021"/>
    <s v="Collision Alert Side, Blind Zone Support"/>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10_ACC-System"/>
    <s v="F2002"/>
    <s v="ACC System"/>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11_EBA-System"/>
    <s v="F0136"/>
    <s v="EBA, Junction Assist &amp; Turn Across"/>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11_EBA-System"/>
    <s v="F0967"/>
    <s v="Active Stop, Emergency  (AESA)"/>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11_EBA-System"/>
    <s v="F2009"/>
    <s v="Emergency Brake Assist Front"/>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20_Parking-System"/>
    <s v="F0155"/>
    <s v="Park Assist, Front"/>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20_Parking-System"/>
    <s v="F0156"/>
    <s v="Park Assist, Rear"/>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20_Parking-System"/>
    <s v="F0314"/>
    <s v="Parking Pilot, Valet Parking"/>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20_Parking-System"/>
    <s v="F0536"/>
    <s v="Parking Pilot, Trained Parking"/>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20_Parking-System"/>
    <s v="F1301"/>
    <s v="Drive Away Assist"/>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20_Parking-System"/>
    <s v="F1304"/>
    <s v="Park Assist, Side"/>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20_Parking-System"/>
    <s v="F2003"/>
    <s v="Automatic Parking Support"/>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23_LaneSupporting-System"/>
    <s v="F0331"/>
    <s v="Lane Assist, Lane Change Assist (LCA)"/>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23_LaneSupporting-System"/>
    <s v="F0595"/>
    <s v="Lane Assist, Highway Assist"/>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23_LaneSupporting-System"/>
    <s v="F0657"/>
    <s v="Lane Assist, Evasive Steering Support"/>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23_LaneSupporting-System"/>
    <s v="F0658"/>
    <s v="Lane Assist, Traffic Jam Assist"/>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23_LaneSupporting-System"/>
    <s v="F1187"/>
    <s v="Lane Support System, Lane Centering Control (LCC)"/>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23_LaneSupporting-System"/>
    <s v="F2010"/>
    <s v="Emergency Lane Keeping Support"/>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30_Piloting-System"/>
    <s v="F0332"/>
    <s v="Pilot, Traffic Jam"/>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30_Piloting-System"/>
    <s v="F0335"/>
    <s v="Pilot, Highway"/>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30_Piloting-System"/>
    <s v="F0337"/>
    <s v="Pilot, City"/>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30_Piloting-System"/>
    <s v="F0651"/>
    <s v="Pilot, Country Road"/>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30_Piloting-System"/>
    <s v="F0915"/>
    <s v="Pilot, Rush Hour"/>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30_Piloting-System"/>
    <s v="F1042"/>
    <s v="Pilot, Remote Operation"/>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49"/>
    <s v="37.0_ADAS &amp; AutomatedDriving"/>
    <s v="37.30_Piloting-System"/>
    <s v="F1105"/>
    <s v="Pilot, Data Storage System For Automated Driving (DSSAD)"/>
    <m/>
    <s v="Drive Assistance"/>
    <s v="Automated Driving"/>
    <s v="Distance Measurements"/>
    <s v="L3/L4/L5"/>
    <s v="Radar"/>
    <s v="Short/Mid Range Radar FR / Radar -8°"/>
    <s v="Short/Mid Range Radar FR / Radar -8° - Distance Measurements"/>
    <m/>
    <m/>
    <s v="-13;9"/>
    <s v="TE"/>
    <s v="2-2312192-1"/>
    <s v="1 pos. MATE-AX Socket Housing Cod. A 180° Sealed"/>
    <m/>
    <s v="No"/>
    <s v="No"/>
    <s v="Yes"/>
    <n v="1"/>
    <n v="1"/>
    <n v="1"/>
    <n v="1"/>
  </r>
  <r>
    <x v="250"/>
    <s v="37.0_ADAS &amp; AutomatedDriving"/>
    <s v="37.02_Alerting-System"/>
    <s v="F0594"/>
    <s v="Object Detection, Highway"/>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10_ACC-System"/>
    <s v="F2002"/>
    <s v="ACC System"/>
    <m/>
    <s v="Drive Assistance"/>
    <s v="Driver Assistance System"/>
    <s v="Drive Assistance"/>
    <s v="L1+/L2/L2+/L3/L4/L5"/>
    <s v="Radar"/>
    <s v="Long Range Radar Front / Radar 0°"/>
    <s v="Long Range Radar Front / Radar 0° - Drive Assistance"/>
    <m/>
    <m/>
    <s v="40;0"/>
    <s v="TE"/>
    <s v="1-2312022-1"/>
    <s v="6 Pos. MCON 1,2mm Sealed"/>
    <m/>
    <s v="No"/>
    <s v="Yes"/>
    <s v="Yes"/>
    <n v="1"/>
    <n v="1"/>
    <n v="1"/>
    <n v="1"/>
  </r>
  <r>
    <x v="250"/>
    <s v="37.0_ADAS &amp; AutomatedDriving"/>
    <s v="37.11_EBA-System"/>
    <s v="F0967"/>
    <s v="Active Stop, Emergency  (AESA)"/>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11_EBA-System"/>
    <s v="F2009"/>
    <s v="Emergency Brake Assist Front"/>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20_Parking-System"/>
    <s v="F0155"/>
    <s v="Park Assist, Front"/>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20_Parking-System"/>
    <s v="F0156"/>
    <s v="Park Assist, Rear"/>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20_Parking-System"/>
    <s v="F0314"/>
    <s v="Parking Pilot, Valet Parking"/>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20_Parking-System"/>
    <s v="F0536"/>
    <s v="Parking Pilot, Trained Parking"/>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20_Parking-System"/>
    <s v="F1301"/>
    <s v="Drive Away Assist"/>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20_Parking-System"/>
    <s v="F1304"/>
    <s v="Park Assist, Side"/>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20_Parking-System"/>
    <s v="F2003"/>
    <s v="Automatic Parking Support"/>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30_Piloting-System"/>
    <s v="F0332"/>
    <s v="Pilot, Traffic Jam"/>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30_Piloting-System"/>
    <s v="F0335"/>
    <s v="Pilot, Highway"/>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30_Piloting-System"/>
    <s v="F0337"/>
    <s v="Pilot, City"/>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30_Piloting-System"/>
    <s v="F0651"/>
    <s v="Pilot, Country Road"/>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30_Piloting-System"/>
    <s v="F0915"/>
    <s v="Pilot, Rush Hour"/>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30_Piloting-System"/>
    <s v="F1042"/>
    <s v="Pilot, Remote Operation"/>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0"/>
    <s v="37.0_ADAS &amp; AutomatedDriving"/>
    <s v="37.30_Piloting-System"/>
    <s v="F1105"/>
    <s v="Pilot, Data Storage System For Automated Driving (DSSAD)"/>
    <m/>
    <s v="Drive Assistance"/>
    <s v="Driver Assistance System"/>
    <s v="Drive Assistance"/>
    <s v="L1+/L2/L2+/L3/L4/L5"/>
    <s v="Radar"/>
    <s v="Long Range Radar Front / Radar 0°"/>
    <s v="Long Range Radar Front / Radar 0° - Drive Assistance"/>
    <m/>
    <m/>
    <s v="40;0"/>
    <s v="TE"/>
    <s v="1-2312022-1"/>
    <s v="6 Pos. MCON 1,2mm Sealed"/>
    <m/>
    <s v="Yes"/>
    <s v="Yes"/>
    <s v="Yes"/>
    <n v="1"/>
    <n v="1"/>
    <n v="1"/>
    <n v="1"/>
  </r>
  <r>
    <x v="251"/>
    <s v="37.0_ADAS &amp; AutomatedDriving"/>
    <s v="37.02_Alerting-System"/>
    <s v="F0158"/>
    <s v="Collision Alert Rear, Rear Cross Traffic Alert"/>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02_Alerting-System"/>
    <s v="F0160"/>
    <s v="Collision Alert Rear, Rear Collision Detection"/>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02_Alerting-System"/>
    <s v="F0529"/>
    <s v="Vibration Feedback, Steering Wheel"/>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02_Alerting-System"/>
    <s v="F0594"/>
    <s v="Object Detection, Highway"/>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02_Alerting-System"/>
    <s v="F2021"/>
    <s v="Collision Alert Side, Blind Zone Support"/>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10_ACC-System"/>
    <s v="F2002"/>
    <s v="ACC System"/>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11_EBA-System"/>
    <s v="F0136"/>
    <s v="EBA, Junction Assist &amp; Turn Across"/>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11_EBA-System"/>
    <s v="F0967"/>
    <s v="Active Stop, Emergency  (AESA)"/>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11_EBA-System"/>
    <s v="F2009"/>
    <s v="Emergency Brake Assist Front"/>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20_Parking-System"/>
    <s v="F0155"/>
    <s v="Park Assist, Front"/>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20_Parking-System"/>
    <s v="F0156"/>
    <s v="Park Assist, Rear"/>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20_Parking-System"/>
    <s v="F0314"/>
    <s v="Parking Pilot, Valet Parking"/>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20_Parking-System"/>
    <s v="F0536"/>
    <s v="Parking Pilot, Trained Parking"/>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20_Parking-System"/>
    <s v="F1301"/>
    <s v="Drive Away Assist"/>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20_Parking-System"/>
    <s v="F1304"/>
    <s v="Park Assist, Side"/>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20_Parking-System"/>
    <s v="F2003"/>
    <s v="Automatic Parking Support"/>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23_LaneSupporting-System"/>
    <s v="F0331"/>
    <s v="Lane Assist, Lane Change Assist (LCA)"/>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23_LaneSupporting-System"/>
    <s v="F0595"/>
    <s v="Lane Assist, Highway Assist"/>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23_LaneSupporting-System"/>
    <s v="F0657"/>
    <s v="Lane Assist, Evasive Steering Support"/>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23_LaneSupporting-System"/>
    <s v="F0658"/>
    <s v="Lane Assist, Traffic Jam Assist"/>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23_LaneSupporting-System"/>
    <s v="F1187"/>
    <s v="Lane Support System, Lane Centering Control (LCC)"/>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23_LaneSupporting-System"/>
    <s v="F2010"/>
    <s v="Emergency Lane Keeping Support"/>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30_Piloting-System"/>
    <s v="F0332"/>
    <s v="Pilot, Traffic Jam"/>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30_Piloting-System"/>
    <s v="F0335"/>
    <s v="Pilot, Highway"/>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30_Piloting-System"/>
    <s v="F0337"/>
    <s v="Pilot, City"/>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30_Piloting-System"/>
    <s v="F0651"/>
    <s v="Pilot, Country Road"/>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30_Piloting-System"/>
    <s v="F0915"/>
    <s v="Pilot, Rush Hour"/>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30_Piloting-System"/>
    <s v="F1042"/>
    <s v="Pilot, Remote Operation"/>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1"/>
    <s v="37.0_ADAS &amp; AutomatedDriving"/>
    <s v="37.30_Piloting-System"/>
    <s v="F1105"/>
    <s v="Pilot, Data Storage System For Automated Driving (DSSAD)"/>
    <m/>
    <s v="Drive Assistance"/>
    <s v="Automated Driving"/>
    <s v="Distance Measurements"/>
    <s v="L3/L4/L5"/>
    <s v="Radar"/>
    <s v="Short/Mid Range Radar FR / Radar -8°"/>
    <s v="Short/Mid Range Radar FR / Radar -8° - Distance Measurements"/>
    <m/>
    <m/>
    <s v="-13;9"/>
    <s v="TE"/>
    <s v="1-2312022-1"/>
    <s v="6 Pos. MCON 1,2mm Sealed"/>
    <m/>
    <s v="No"/>
    <s v="No"/>
    <s v="Yes"/>
    <n v="1"/>
    <n v="1"/>
    <n v="1"/>
    <n v="1"/>
  </r>
  <r>
    <x v="252"/>
    <s v="37.0_ADAS &amp; AutomatedDriving"/>
    <s v="37.02_Alerting-System"/>
    <s v="F0594"/>
    <s v="Object Detection, Highway"/>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11_EBA-System"/>
    <s v="F0136"/>
    <s v="EBA, Junction Assist &amp; Turn Across"/>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20_Parking-System"/>
    <s v="F0155"/>
    <s v="Park Assist, Front"/>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20_Parking-System"/>
    <s v="F0156"/>
    <s v="Park Assist, Rear"/>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20_Parking-System"/>
    <s v="F0314"/>
    <s v="Parking Pilot, Valet Parking"/>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20_Parking-System"/>
    <s v="F0536"/>
    <s v="Parking Pilot, Trained Parking"/>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20_Parking-System"/>
    <s v="F1301"/>
    <s v="Drive Away Assist"/>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20_Parking-System"/>
    <s v="F1304"/>
    <s v="Park Assist, Side"/>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20_Parking-System"/>
    <s v="F2003"/>
    <s v="Automatic Parking Support"/>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30_Piloting-System"/>
    <s v="F0332"/>
    <s v="Pilot, Traffic Jam"/>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30_Piloting-System"/>
    <s v="F0335"/>
    <s v="Pilot, Highway"/>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30_Piloting-System"/>
    <s v="F0337"/>
    <s v="Pilot, City"/>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30_Piloting-System"/>
    <s v="F0651"/>
    <s v="Pilot, Country Road"/>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30_Piloting-System"/>
    <s v="F0915"/>
    <s v="Pilot, Rush Hour"/>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30_Piloting-System"/>
    <s v="F1042"/>
    <s v="Pilot, Remote Operation"/>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2"/>
    <s v="37.0_ADAS &amp; AutomatedDriving"/>
    <s v="37.30_Piloting-System"/>
    <s v="F1105"/>
    <s v="Pilot, Data Storage System For Automated Driving (DSSAD)"/>
    <m/>
    <s v="Drive Assistance"/>
    <s v="Automated Driving"/>
    <s v="Distance Measurements"/>
    <s v="L4/L5"/>
    <s v="Radar"/>
    <s v="Short/Mid Range Radar L / Radar +97°"/>
    <s v="Short/Mid Range Radar L / Radar +97° - Distance Measurements"/>
    <m/>
    <m/>
    <s v="18;-23"/>
    <s v="TE"/>
    <s v="1-2312022-1"/>
    <s v="6 Pos. MCON 1,2mm Sealed"/>
    <m/>
    <s v="No"/>
    <s v="No"/>
    <s v="Yes"/>
    <n v="1"/>
    <n v="1"/>
    <n v="1"/>
    <n v="1"/>
  </r>
  <r>
    <x v="253"/>
    <s v="37.0_ADAS &amp; AutomatedDriving"/>
    <s v="37.02_Alerting-System"/>
    <s v="F0594"/>
    <s v="Object Detection, Highway"/>
    <m/>
    <s v="Drive Assistance"/>
    <s v="Automated Driving"/>
    <s v="Environment Mapping"/>
    <s v="L5"/>
    <s v="Lidar"/>
    <s v="Lidar_LRL"/>
    <s v="Lidar_LRL - Environment Mapping"/>
    <m/>
    <m/>
    <s v="43;0"/>
    <s v="TE"/>
    <s v="0-1823853-1"/>
    <s v="5 Pos. HSD Ass'y Sealed"/>
    <m/>
    <s v="No"/>
    <s v="No"/>
    <s v="No"/>
    <n v="1"/>
    <n v="1"/>
    <n v="1"/>
    <n v="1"/>
  </r>
  <r>
    <x v="253"/>
    <s v="37.0_ADAS &amp; AutomatedDriving"/>
    <s v="37.20_Parking-System"/>
    <s v="F0155"/>
    <s v="Park Assist, Front"/>
    <m/>
    <s v="Drive Assistance"/>
    <s v="Automated Driving"/>
    <s v="Environment Mapping"/>
    <s v="L5"/>
    <s v="Lidar"/>
    <s v="Lidar_LRL"/>
    <s v="Lidar_LRL - Environment Mapping"/>
    <m/>
    <m/>
    <s v="43;0"/>
    <s v="TE"/>
    <s v="0-1823853-1"/>
    <s v="5 Pos. HSD Ass'y Sealed"/>
    <m/>
    <s v="No"/>
    <s v="No"/>
    <s v="No"/>
    <n v="1"/>
    <n v="1"/>
    <n v="1"/>
    <n v="1"/>
  </r>
  <r>
    <x v="253"/>
    <s v="37.0_ADAS &amp; AutomatedDriving"/>
    <s v="37.20_Parking-System"/>
    <s v="F0156"/>
    <s v="Park Assist, Rear"/>
    <m/>
    <s v="Drive Assistance"/>
    <s v="Automated Driving"/>
    <s v="Environment Mapping"/>
    <s v="L5"/>
    <s v="Lidar"/>
    <s v="Lidar_LRL"/>
    <s v="Lidar_LRL - Environment Mapping"/>
    <m/>
    <m/>
    <s v="43;0"/>
    <s v="TE"/>
    <s v="0-1823853-1"/>
    <s v="5 Pos. HSD Ass'y Sealed"/>
    <m/>
    <s v="No"/>
    <s v="No"/>
    <s v="No"/>
    <n v="1"/>
    <n v="1"/>
    <n v="1"/>
    <n v="1"/>
  </r>
  <r>
    <x v="253"/>
    <s v="37.0_ADAS &amp; AutomatedDriving"/>
    <s v="37.20_Parking-System"/>
    <s v="F0314"/>
    <s v="Parking Pilot, Valet Parking"/>
    <m/>
    <s v="Drive Assistance"/>
    <s v="Automated Driving"/>
    <s v="Environment Mapping"/>
    <s v="L5"/>
    <s v="Lidar"/>
    <s v="Lidar_LRL"/>
    <s v="Lidar_LRL - Environment Mapping"/>
    <m/>
    <m/>
    <s v="43;0"/>
    <s v="TE"/>
    <s v="0-1823853-1"/>
    <s v="5 Pos. HSD Ass'y Sealed"/>
    <m/>
    <s v="No"/>
    <s v="No"/>
    <s v="No"/>
    <n v="1"/>
    <n v="1"/>
    <n v="1"/>
    <n v="1"/>
  </r>
  <r>
    <x v="253"/>
    <s v="37.0_ADAS &amp; AutomatedDriving"/>
    <s v="37.20_Parking-System"/>
    <s v="F0536"/>
    <s v="Parking Pilot, Trained Parking"/>
    <m/>
    <s v="Drive Assistance"/>
    <s v="Automated Driving"/>
    <s v="Environment Mapping"/>
    <s v="L5"/>
    <s v="Lidar"/>
    <s v="Lidar_LRL"/>
    <s v="Lidar_LRL - Environment Mapping"/>
    <m/>
    <m/>
    <s v="43;0"/>
    <s v="TE"/>
    <s v="0-1823853-1"/>
    <s v="5 Pos. HSD Ass'y Sealed"/>
    <m/>
    <s v="No"/>
    <s v="No"/>
    <s v="No"/>
    <n v="1"/>
    <n v="1"/>
    <n v="1"/>
    <n v="1"/>
  </r>
  <r>
    <x v="253"/>
    <s v="37.0_ADAS &amp; AutomatedDriving"/>
    <s v="37.20_Parking-System"/>
    <s v="F1301"/>
    <s v="Drive Away Assist"/>
    <m/>
    <s v="Drive Assistance"/>
    <s v="Automated Driving"/>
    <s v="Environment Mapping"/>
    <s v="L5"/>
    <s v="Lidar"/>
    <s v="Lidar_LRL"/>
    <s v="Lidar_LRL - Environment Mapping"/>
    <m/>
    <m/>
    <s v="43;0"/>
    <s v="TE"/>
    <s v="0-1823853-1"/>
    <s v="5 Pos. HSD Ass'y Sealed"/>
    <m/>
    <s v="No"/>
    <s v="No"/>
    <s v="No"/>
    <n v="1"/>
    <n v="1"/>
    <n v="1"/>
    <n v="1"/>
  </r>
  <r>
    <x v="253"/>
    <s v="37.0_ADAS &amp; AutomatedDriving"/>
    <s v="37.20_Parking-System"/>
    <s v="F1304"/>
    <s v="Park Assist, Side"/>
    <m/>
    <s v="Drive Assistance"/>
    <s v="Automated Driving"/>
    <s v="Environment Mapping"/>
    <s v="L5"/>
    <s v="Lidar"/>
    <s v="Lidar_LRL"/>
    <s v="Lidar_LRL - Environment Mapping"/>
    <m/>
    <m/>
    <s v="43;0"/>
    <s v="TE"/>
    <s v="0-1823853-1"/>
    <s v="5 Pos. HSD Ass'y Sealed"/>
    <m/>
    <s v="No"/>
    <s v="No"/>
    <s v="No"/>
    <n v="1"/>
    <n v="1"/>
    <n v="1"/>
    <n v="1"/>
  </r>
  <r>
    <x v="253"/>
    <s v="37.0_ADAS &amp; AutomatedDriving"/>
    <s v="37.20_Parking-System"/>
    <s v="F2003"/>
    <s v="Automatic Parking Support"/>
    <m/>
    <s v="Drive Assistance"/>
    <s v="Automated Driving"/>
    <s v="Environment Mapping"/>
    <s v="L5"/>
    <s v="Lidar"/>
    <s v="Lidar_LRL"/>
    <s v="Lidar_LRL - Environment Mapping"/>
    <m/>
    <m/>
    <s v="43;0"/>
    <s v="TE"/>
    <s v="0-1823853-1"/>
    <s v="5 Pos. HSD Ass'y Sealed"/>
    <m/>
    <s v="No"/>
    <s v="No"/>
    <s v="No"/>
    <n v="1"/>
    <n v="1"/>
    <n v="1"/>
    <n v="1"/>
  </r>
  <r>
    <x v="253"/>
    <s v="37.0_ADAS &amp; AutomatedDriving"/>
    <s v="37.30_Piloting-System"/>
    <s v="F0332"/>
    <s v="Pilot, Traffic Jam"/>
    <m/>
    <s v="Drive Assistance"/>
    <s v="Automated Driving"/>
    <s v="Environment Mapping"/>
    <s v="L5"/>
    <s v="Lidar"/>
    <s v="Lidar_LRL"/>
    <s v="Lidar_LRL - Environment Mapping"/>
    <m/>
    <m/>
    <s v="43;0"/>
    <s v="TE"/>
    <s v="0-1823853-1"/>
    <s v="5 Pos. HSD Ass'y Sealed"/>
    <m/>
    <s v="No"/>
    <s v="No"/>
    <s v="No"/>
    <n v="1"/>
    <n v="1"/>
    <n v="1"/>
    <n v="1"/>
  </r>
  <r>
    <x v="253"/>
    <s v="37.0_ADAS &amp; AutomatedDriving"/>
    <s v="37.30_Piloting-System"/>
    <s v="F0335"/>
    <s v="Pilot, Highway"/>
    <m/>
    <s v="Drive Assistance"/>
    <s v="Automated Driving"/>
    <s v="Environment Mapping"/>
    <s v="L5"/>
    <s v="Lidar"/>
    <s v="Lidar_LRL"/>
    <s v="Lidar_LRL - Environment Mapping"/>
    <m/>
    <m/>
    <s v="43;0"/>
    <s v="TE"/>
    <s v="0-1823853-1"/>
    <s v="5 Pos. HSD Ass'y Sealed"/>
    <m/>
    <s v="No"/>
    <s v="No"/>
    <s v="No"/>
    <n v="1"/>
    <n v="1"/>
    <n v="1"/>
    <n v="1"/>
  </r>
  <r>
    <x v="253"/>
    <s v="37.0_ADAS &amp; AutomatedDriving"/>
    <s v="37.30_Piloting-System"/>
    <s v="F0337"/>
    <s v="Pilot, City"/>
    <m/>
    <s v="Drive Assistance"/>
    <s v="Automated Driving"/>
    <s v="Environment Mapping"/>
    <s v="L5"/>
    <s v="Lidar"/>
    <s v="Lidar_LRL"/>
    <s v="Lidar_LRL - Environment Mapping"/>
    <m/>
    <m/>
    <s v="43;0"/>
    <s v="TE"/>
    <s v="0-1823853-1"/>
    <s v="5 Pos. HSD Ass'y Sealed"/>
    <m/>
    <s v="No"/>
    <s v="No"/>
    <s v="No"/>
    <n v="1"/>
    <n v="1"/>
    <n v="1"/>
    <n v="1"/>
  </r>
  <r>
    <x v="253"/>
    <s v="37.0_ADAS &amp; AutomatedDriving"/>
    <s v="37.30_Piloting-System"/>
    <s v="F0651"/>
    <s v="Pilot, Country Road"/>
    <m/>
    <s v="Drive Assistance"/>
    <s v="Automated Driving"/>
    <s v="Environment Mapping"/>
    <s v="L5"/>
    <s v="Lidar"/>
    <s v="Lidar_LRL"/>
    <s v="Lidar_LRL - Environment Mapping"/>
    <m/>
    <m/>
    <s v="43;0"/>
    <s v="TE"/>
    <s v="0-1823853-1"/>
    <s v="5 Pos. HSD Ass'y Sealed"/>
    <m/>
    <s v="No"/>
    <s v="No"/>
    <s v="No"/>
    <n v="1"/>
    <n v="1"/>
    <n v="1"/>
    <n v="1"/>
  </r>
  <r>
    <x v="253"/>
    <s v="37.0_ADAS &amp; AutomatedDriving"/>
    <s v="37.30_Piloting-System"/>
    <s v="F0915"/>
    <s v="Pilot, Rush Hour"/>
    <m/>
    <s v="Drive Assistance"/>
    <s v="Automated Driving"/>
    <s v="Environment Mapping"/>
    <s v="L5"/>
    <s v="Lidar"/>
    <s v="Lidar_LRL"/>
    <s v="Lidar_LRL - Environment Mapping"/>
    <m/>
    <m/>
    <s v="43;0"/>
    <s v="TE"/>
    <s v="0-1823853-1"/>
    <s v="5 Pos. HSD Ass'y Sealed"/>
    <m/>
    <s v="No"/>
    <s v="No"/>
    <s v="No"/>
    <n v="1"/>
    <n v="1"/>
    <n v="1"/>
    <n v="1"/>
  </r>
  <r>
    <x v="253"/>
    <s v="37.0_ADAS &amp; AutomatedDriving"/>
    <s v="37.30_Piloting-System"/>
    <s v="F1042"/>
    <s v="Pilot, Remote Operation"/>
    <m/>
    <s v="Drive Assistance"/>
    <s v="Automated Driving"/>
    <s v="Environment Mapping"/>
    <s v="L5"/>
    <s v="Lidar"/>
    <s v="Lidar_LRL"/>
    <s v="Lidar_LRL - Environment Mapping"/>
    <m/>
    <m/>
    <s v="43;0"/>
    <s v="TE"/>
    <s v="0-1823853-1"/>
    <s v="5 Pos. HSD Ass'y Sealed"/>
    <m/>
    <s v="No"/>
    <s v="No"/>
    <s v="No"/>
    <n v="1"/>
    <n v="1"/>
    <n v="1"/>
    <n v="1"/>
  </r>
  <r>
    <x v="253"/>
    <s v="37.0_ADAS &amp; AutomatedDriving"/>
    <s v="37.30_Piloting-System"/>
    <s v="F1105"/>
    <s v="Pilot, Data Storage System For Automated Driving (DSSAD)"/>
    <m/>
    <s v="Drive Assistance"/>
    <s v="Automated Driving"/>
    <s v="Environment Mapping"/>
    <s v="L5"/>
    <s v="Lidar"/>
    <s v="Lidar_LRL"/>
    <s v="Lidar_LRL - Environment Mapping"/>
    <m/>
    <m/>
    <s v="43;0"/>
    <s v="TE"/>
    <s v="0-1823853-1"/>
    <s v="5 Pos. HSD Ass'y Sealed"/>
    <m/>
    <s v="No"/>
    <s v="No"/>
    <s v="No"/>
    <n v="1"/>
    <n v="1"/>
    <n v="1"/>
    <n v="1"/>
  </r>
  <r>
    <x v="254"/>
    <s v="37.0_ADAS &amp; AutomatedDriving"/>
    <s v="37.02_Alerting-System"/>
    <s v="F0594"/>
    <s v="Object Detection, Highway"/>
    <m/>
    <s v="Drive Assistance"/>
    <s v="Automated Driving"/>
    <s v="Environment Mapping"/>
    <s v="L5"/>
    <s v="Lidar"/>
    <s v="Lidar_SRL1"/>
    <s v="Lidar_SRL1 - Environment Mapping"/>
    <m/>
    <m/>
    <s v="-11;17"/>
    <s v="TE"/>
    <s v="0-1823853-1"/>
    <s v="5 Pos. HSD Ass'y Sealed"/>
    <m/>
    <s v="No"/>
    <s v="No"/>
    <s v="No"/>
    <n v="1"/>
    <n v="1"/>
    <n v="1"/>
    <n v="1"/>
  </r>
  <r>
    <x v="254"/>
    <s v="37.0_ADAS &amp; AutomatedDriving"/>
    <s v="37.20_Parking-System"/>
    <s v="F0155"/>
    <s v="Park Assist, Front"/>
    <m/>
    <s v="Drive Assistance"/>
    <s v="Automated Driving"/>
    <s v="Environment Mapping"/>
    <s v="L5"/>
    <s v="Lidar"/>
    <s v="Lidar_SRL1"/>
    <s v="Lidar_SRL1 - Environment Mapping"/>
    <m/>
    <m/>
    <s v="-11;17"/>
    <s v="TE"/>
    <s v="0-1823853-1"/>
    <s v="5 Pos. HSD Ass'y Sealed"/>
    <m/>
    <s v="No"/>
    <s v="No"/>
    <s v="No"/>
    <n v="1"/>
    <n v="1"/>
    <n v="1"/>
    <n v="1"/>
  </r>
  <r>
    <x v="254"/>
    <s v="37.0_ADAS &amp; AutomatedDriving"/>
    <s v="37.20_Parking-System"/>
    <s v="F0156"/>
    <s v="Park Assist, Rear"/>
    <m/>
    <s v="Drive Assistance"/>
    <s v="Automated Driving"/>
    <s v="Environment Mapping"/>
    <s v="L5"/>
    <s v="Lidar"/>
    <s v="Lidar_SRL1"/>
    <s v="Lidar_SRL1 - Environment Mapping"/>
    <m/>
    <m/>
    <s v="-11;17"/>
    <s v="TE"/>
    <s v="0-1823853-1"/>
    <s v="5 Pos. HSD Ass'y Sealed"/>
    <m/>
    <s v="No"/>
    <s v="No"/>
    <s v="No"/>
    <n v="1"/>
    <n v="1"/>
    <n v="1"/>
    <n v="1"/>
  </r>
  <r>
    <x v="254"/>
    <s v="37.0_ADAS &amp; AutomatedDriving"/>
    <s v="37.20_Parking-System"/>
    <s v="F0314"/>
    <s v="Parking Pilot, Valet Parking"/>
    <m/>
    <s v="Drive Assistance"/>
    <s v="Automated Driving"/>
    <s v="Environment Mapping"/>
    <s v="L5"/>
    <s v="Lidar"/>
    <s v="Lidar_SRL1"/>
    <s v="Lidar_SRL1 - Environment Mapping"/>
    <m/>
    <m/>
    <s v="-11;17"/>
    <s v="TE"/>
    <s v="0-1823853-1"/>
    <s v="5 Pos. HSD Ass'y Sealed"/>
    <m/>
    <s v="No"/>
    <s v="No"/>
    <s v="No"/>
    <n v="1"/>
    <n v="1"/>
    <n v="1"/>
    <n v="1"/>
  </r>
  <r>
    <x v="254"/>
    <s v="37.0_ADAS &amp; AutomatedDriving"/>
    <s v="37.20_Parking-System"/>
    <s v="F0536"/>
    <s v="Parking Pilot, Trained Parking"/>
    <m/>
    <s v="Drive Assistance"/>
    <s v="Automated Driving"/>
    <s v="Environment Mapping"/>
    <s v="L5"/>
    <s v="Lidar"/>
    <s v="Lidar_SRL1"/>
    <s v="Lidar_SRL1 - Environment Mapping"/>
    <m/>
    <m/>
    <s v="-11;17"/>
    <s v="TE"/>
    <s v="0-1823853-1"/>
    <s v="5 Pos. HSD Ass'y Sealed"/>
    <m/>
    <s v="No"/>
    <s v="No"/>
    <s v="No"/>
    <n v="1"/>
    <n v="1"/>
    <n v="1"/>
    <n v="1"/>
  </r>
  <r>
    <x v="254"/>
    <s v="37.0_ADAS &amp; AutomatedDriving"/>
    <s v="37.20_Parking-System"/>
    <s v="F1301"/>
    <s v="Drive Away Assist"/>
    <m/>
    <s v="Drive Assistance"/>
    <s v="Automated Driving"/>
    <s v="Environment Mapping"/>
    <s v="L5"/>
    <s v="Lidar"/>
    <s v="Lidar_SRL1"/>
    <s v="Lidar_SRL1 - Environment Mapping"/>
    <m/>
    <m/>
    <s v="-11;17"/>
    <s v="TE"/>
    <s v="0-1823853-1"/>
    <s v="5 Pos. HSD Ass'y Sealed"/>
    <m/>
    <s v="No"/>
    <s v="No"/>
    <s v="No"/>
    <n v="1"/>
    <n v="1"/>
    <n v="1"/>
    <n v="1"/>
  </r>
  <r>
    <x v="254"/>
    <s v="37.0_ADAS &amp; AutomatedDriving"/>
    <s v="37.20_Parking-System"/>
    <s v="F1304"/>
    <s v="Park Assist, Side"/>
    <m/>
    <s v="Drive Assistance"/>
    <s v="Automated Driving"/>
    <s v="Environment Mapping"/>
    <s v="L5"/>
    <s v="Lidar"/>
    <s v="Lidar_SRL1"/>
    <s v="Lidar_SRL1 - Environment Mapping"/>
    <m/>
    <m/>
    <s v="-11;17"/>
    <s v="TE"/>
    <s v="0-1823853-1"/>
    <s v="5 Pos. HSD Ass'y Sealed"/>
    <m/>
    <s v="No"/>
    <s v="No"/>
    <s v="No"/>
    <n v="1"/>
    <n v="1"/>
    <n v="1"/>
    <n v="1"/>
  </r>
  <r>
    <x v="254"/>
    <s v="37.0_ADAS &amp; AutomatedDriving"/>
    <s v="37.20_Parking-System"/>
    <s v="F2003"/>
    <s v="Automatic Parking Support"/>
    <m/>
    <s v="Drive Assistance"/>
    <s v="Automated Driving"/>
    <s v="Environment Mapping"/>
    <s v="L5"/>
    <s v="Lidar"/>
    <s v="Lidar_SRL1"/>
    <s v="Lidar_SRL1 - Environment Mapping"/>
    <m/>
    <m/>
    <s v="-11;17"/>
    <s v="TE"/>
    <s v="0-1823853-1"/>
    <s v="5 Pos. HSD Ass'y Sealed"/>
    <m/>
    <s v="No"/>
    <s v="No"/>
    <s v="No"/>
    <n v="1"/>
    <n v="1"/>
    <n v="1"/>
    <n v="1"/>
  </r>
  <r>
    <x v="254"/>
    <s v="37.0_ADAS &amp; AutomatedDriving"/>
    <s v="37.30_Piloting-System"/>
    <s v="F0332"/>
    <s v="Pilot, Traffic Jam"/>
    <m/>
    <s v="Drive Assistance"/>
    <s v="Automated Driving"/>
    <s v="Environment Mapping"/>
    <s v="L5"/>
    <s v="Lidar"/>
    <s v="Lidar_SRL1"/>
    <s v="Lidar_SRL1 - Environment Mapping"/>
    <m/>
    <m/>
    <s v="-11;17"/>
    <s v="TE"/>
    <s v="0-1823853-1"/>
    <s v="5 Pos. HSD Ass'y Sealed"/>
    <m/>
    <s v="No"/>
    <s v="No"/>
    <s v="No"/>
    <n v="1"/>
    <n v="1"/>
    <n v="1"/>
    <n v="1"/>
  </r>
  <r>
    <x v="254"/>
    <s v="37.0_ADAS &amp; AutomatedDriving"/>
    <s v="37.30_Piloting-System"/>
    <s v="F0335"/>
    <s v="Pilot, Highway"/>
    <m/>
    <s v="Drive Assistance"/>
    <s v="Automated Driving"/>
    <s v="Environment Mapping"/>
    <s v="L5"/>
    <s v="Lidar"/>
    <s v="Lidar_SRL1"/>
    <s v="Lidar_SRL1 - Environment Mapping"/>
    <m/>
    <m/>
    <s v="-11;17"/>
    <s v="TE"/>
    <s v="0-1823853-1"/>
    <s v="5 Pos. HSD Ass'y Sealed"/>
    <m/>
    <s v="No"/>
    <s v="No"/>
    <s v="No"/>
    <n v="1"/>
    <n v="1"/>
    <n v="1"/>
    <n v="1"/>
  </r>
  <r>
    <x v="254"/>
    <s v="37.0_ADAS &amp; AutomatedDriving"/>
    <s v="37.30_Piloting-System"/>
    <s v="F0337"/>
    <s v="Pilot, City"/>
    <m/>
    <s v="Drive Assistance"/>
    <s v="Automated Driving"/>
    <s v="Environment Mapping"/>
    <s v="L5"/>
    <s v="Lidar"/>
    <s v="Lidar_SRL1"/>
    <s v="Lidar_SRL1 - Environment Mapping"/>
    <m/>
    <m/>
    <s v="-11;17"/>
    <s v="TE"/>
    <s v="0-1823853-1"/>
    <s v="5 Pos. HSD Ass'y Sealed"/>
    <m/>
    <s v="No"/>
    <s v="No"/>
    <s v="No"/>
    <n v="1"/>
    <n v="1"/>
    <n v="1"/>
    <n v="1"/>
  </r>
  <r>
    <x v="254"/>
    <s v="37.0_ADAS &amp; AutomatedDriving"/>
    <s v="37.30_Piloting-System"/>
    <s v="F0651"/>
    <s v="Pilot, Country Road"/>
    <m/>
    <s v="Drive Assistance"/>
    <s v="Automated Driving"/>
    <s v="Environment Mapping"/>
    <s v="L5"/>
    <s v="Lidar"/>
    <s v="Lidar_SRL1"/>
    <s v="Lidar_SRL1 - Environment Mapping"/>
    <m/>
    <m/>
    <s v="-11;17"/>
    <s v="TE"/>
    <s v="0-1823853-1"/>
    <s v="5 Pos. HSD Ass'y Sealed"/>
    <m/>
    <s v="No"/>
    <s v="No"/>
    <s v="No"/>
    <n v="1"/>
    <n v="1"/>
    <n v="1"/>
    <n v="1"/>
  </r>
  <r>
    <x v="254"/>
    <s v="37.0_ADAS &amp; AutomatedDriving"/>
    <s v="37.30_Piloting-System"/>
    <s v="F0915"/>
    <s v="Pilot, Rush Hour"/>
    <m/>
    <s v="Drive Assistance"/>
    <s v="Automated Driving"/>
    <s v="Environment Mapping"/>
    <s v="L5"/>
    <s v="Lidar"/>
    <s v="Lidar_SRL1"/>
    <s v="Lidar_SRL1 - Environment Mapping"/>
    <m/>
    <m/>
    <s v="-11;17"/>
    <s v="TE"/>
    <s v="0-1823853-1"/>
    <s v="5 Pos. HSD Ass'y Sealed"/>
    <m/>
    <s v="No"/>
    <s v="No"/>
    <s v="No"/>
    <n v="1"/>
    <n v="1"/>
    <n v="1"/>
    <n v="1"/>
  </r>
  <r>
    <x v="254"/>
    <s v="37.0_ADAS &amp; AutomatedDriving"/>
    <s v="37.30_Piloting-System"/>
    <s v="F1042"/>
    <s v="Pilot, Remote Operation"/>
    <m/>
    <s v="Drive Assistance"/>
    <s v="Automated Driving"/>
    <s v="Environment Mapping"/>
    <s v="L5"/>
    <s v="Lidar"/>
    <s v="Lidar_SRL1"/>
    <s v="Lidar_SRL1 - Environment Mapping"/>
    <m/>
    <m/>
    <s v="-11;17"/>
    <s v="TE"/>
    <s v="0-1823853-1"/>
    <s v="5 Pos. HSD Ass'y Sealed"/>
    <m/>
    <s v="No"/>
    <s v="No"/>
    <s v="No"/>
    <n v="1"/>
    <n v="1"/>
    <n v="1"/>
    <n v="1"/>
  </r>
  <r>
    <x v="254"/>
    <s v="37.0_ADAS &amp; AutomatedDriving"/>
    <s v="37.30_Piloting-System"/>
    <s v="F1105"/>
    <s v="Pilot, Data Storage System For Automated Driving (DSSAD)"/>
    <m/>
    <s v="Drive Assistance"/>
    <s v="Automated Driving"/>
    <s v="Environment Mapping"/>
    <s v="L5"/>
    <s v="Lidar"/>
    <s v="Lidar_SRL1"/>
    <s v="Lidar_SRL1 - Environment Mapping"/>
    <m/>
    <m/>
    <s v="-11;17"/>
    <s v="TE"/>
    <s v="0-1823853-1"/>
    <s v="5 Pos. HSD Ass'y Sealed"/>
    <m/>
    <s v="No"/>
    <s v="No"/>
    <s v="No"/>
    <n v="1"/>
    <n v="1"/>
    <n v="1"/>
    <n v="1"/>
  </r>
  <r>
    <x v="255"/>
    <s v="37.0_ADAS &amp; AutomatedDriving"/>
    <s v="37.02_Alerting-System"/>
    <s v="F0594"/>
    <s v="Object Detection, Highway"/>
    <m/>
    <s v="Drive Assistance"/>
    <s v="Automated Driving"/>
    <s v="Environment Mapping"/>
    <s v="L5"/>
    <s v="Lidar"/>
    <s v="Lidar_SRL5"/>
    <s v="Lidar_SRL5 - Environment Mapping"/>
    <m/>
    <m/>
    <s v="-11;-17"/>
    <s v="TE"/>
    <s v="0-1823853-1"/>
    <s v="5 Pos. HSD Ass'y Sealed"/>
    <m/>
    <s v="No"/>
    <s v="No"/>
    <s v="No"/>
    <n v="1"/>
    <n v="1"/>
    <n v="1"/>
    <n v="1"/>
  </r>
  <r>
    <x v="255"/>
    <s v="37.0_ADAS &amp; AutomatedDriving"/>
    <s v="37.20_Parking-System"/>
    <s v="F0155"/>
    <s v="Park Assist, Front"/>
    <m/>
    <s v="Drive Assistance"/>
    <s v="Automated Driving"/>
    <s v="Environment Mapping"/>
    <s v="L5"/>
    <s v="Lidar"/>
    <s v="Lidar_SRL5"/>
    <s v="Lidar_SRL5 - Environment Mapping"/>
    <m/>
    <m/>
    <s v="-11;-17"/>
    <s v="TE"/>
    <s v="0-1823853-1"/>
    <s v="5 Pos. HSD Ass'y Sealed"/>
    <m/>
    <s v="No"/>
    <s v="No"/>
    <s v="No"/>
    <n v="1"/>
    <n v="1"/>
    <n v="1"/>
    <n v="1"/>
  </r>
  <r>
    <x v="255"/>
    <s v="37.0_ADAS &amp; AutomatedDriving"/>
    <s v="37.20_Parking-System"/>
    <s v="F0156"/>
    <s v="Park Assist, Rear"/>
    <m/>
    <s v="Drive Assistance"/>
    <s v="Automated Driving"/>
    <s v="Environment Mapping"/>
    <s v="L5"/>
    <s v="Lidar"/>
    <s v="Lidar_SRL5"/>
    <s v="Lidar_SRL5 - Environment Mapping"/>
    <m/>
    <m/>
    <s v="-11;-17"/>
    <s v="TE"/>
    <s v="0-1823853-1"/>
    <s v="5 Pos. HSD Ass'y Sealed"/>
    <m/>
    <s v="No"/>
    <s v="No"/>
    <s v="No"/>
    <n v="1"/>
    <n v="1"/>
    <n v="1"/>
    <n v="1"/>
  </r>
  <r>
    <x v="255"/>
    <s v="37.0_ADAS &amp; AutomatedDriving"/>
    <s v="37.20_Parking-System"/>
    <s v="F0314"/>
    <s v="Parking Pilot, Valet Parking"/>
    <m/>
    <s v="Drive Assistance"/>
    <s v="Automated Driving"/>
    <s v="Environment Mapping"/>
    <s v="L5"/>
    <s v="Lidar"/>
    <s v="Lidar_SRL5"/>
    <s v="Lidar_SRL5 - Environment Mapping"/>
    <m/>
    <m/>
    <s v="-11;-17"/>
    <s v="TE"/>
    <s v="0-1823853-1"/>
    <s v="5 Pos. HSD Ass'y Sealed"/>
    <m/>
    <s v="No"/>
    <s v="No"/>
    <s v="No"/>
    <n v="1"/>
    <n v="1"/>
    <n v="1"/>
    <n v="1"/>
  </r>
  <r>
    <x v="255"/>
    <s v="37.0_ADAS &amp; AutomatedDriving"/>
    <s v="37.20_Parking-System"/>
    <s v="F0536"/>
    <s v="Parking Pilot, Trained Parking"/>
    <m/>
    <s v="Drive Assistance"/>
    <s v="Automated Driving"/>
    <s v="Environment Mapping"/>
    <s v="L5"/>
    <s v="Lidar"/>
    <s v="Lidar_SRL5"/>
    <s v="Lidar_SRL5 - Environment Mapping"/>
    <m/>
    <m/>
    <s v="-11;-17"/>
    <s v="TE"/>
    <s v="0-1823853-1"/>
    <s v="5 Pos. HSD Ass'y Sealed"/>
    <m/>
    <s v="No"/>
    <s v="No"/>
    <s v="No"/>
    <n v="1"/>
    <n v="1"/>
    <n v="1"/>
    <n v="1"/>
  </r>
  <r>
    <x v="255"/>
    <s v="37.0_ADAS &amp; AutomatedDriving"/>
    <s v="37.20_Parking-System"/>
    <s v="F1301"/>
    <s v="Drive Away Assist"/>
    <m/>
    <s v="Drive Assistance"/>
    <s v="Automated Driving"/>
    <s v="Environment Mapping"/>
    <s v="L5"/>
    <s v="Lidar"/>
    <s v="Lidar_SRL5"/>
    <s v="Lidar_SRL5 - Environment Mapping"/>
    <m/>
    <m/>
    <s v="-11;-17"/>
    <s v="TE"/>
    <s v="0-1823853-1"/>
    <s v="5 Pos. HSD Ass'y Sealed"/>
    <m/>
    <s v="No"/>
    <s v="No"/>
    <s v="No"/>
    <n v="1"/>
    <n v="1"/>
    <n v="1"/>
    <n v="1"/>
  </r>
  <r>
    <x v="255"/>
    <s v="37.0_ADAS &amp; AutomatedDriving"/>
    <s v="37.20_Parking-System"/>
    <s v="F1304"/>
    <s v="Park Assist, Side"/>
    <m/>
    <s v="Drive Assistance"/>
    <s v="Automated Driving"/>
    <s v="Environment Mapping"/>
    <s v="L5"/>
    <s v="Lidar"/>
    <s v="Lidar_SRL5"/>
    <s v="Lidar_SRL5 - Environment Mapping"/>
    <m/>
    <m/>
    <s v="-11;-17"/>
    <s v="TE"/>
    <s v="0-1823853-1"/>
    <s v="5 Pos. HSD Ass'y Sealed"/>
    <m/>
    <s v="No"/>
    <s v="No"/>
    <s v="No"/>
    <n v="1"/>
    <n v="1"/>
    <n v="1"/>
    <n v="1"/>
  </r>
  <r>
    <x v="255"/>
    <s v="37.0_ADAS &amp; AutomatedDriving"/>
    <s v="37.20_Parking-System"/>
    <s v="F2003"/>
    <s v="Automatic Parking Support"/>
    <m/>
    <s v="Drive Assistance"/>
    <s v="Automated Driving"/>
    <s v="Environment Mapping"/>
    <s v="L5"/>
    <s v="Lidar"/>
    <s v="Lidar_SRL5"/>
    <s v="Lidar_SRL5 - Environment Mapping"/>
    <m/>
    <m/>
    <s v="-11;-17"/>
    <s v="TE"/>
    <s v="0-1823853-1"/>
    <s v="5 Pos. HSD Ass'y Sealed"/>
    <m/>
    <s v="No"/>
    <s v="No"/>
    <s v="No"/>
    <n v="1"/>
    <n v="1"/>
    <n v="1"/>
    <n v="1"/>
  </r>
  <r>
    <x v="255"/>
    <s v="37.0_ADAS &amp; AutomatedDriving"/>
    <s v="37.30_Piloting-System"/>
    <s v="F0332"/>
    <s v="Pilot, Traffic Jam"/>
    <m/>
    <s v="Drive Assistance"/>
    <s v="Automated Driving"/>
    <s v="Environment Mapping"/>
    <s v="L5"/>
    <s v="Lidar"/>
    <s v="Lidar_SRL5"/>
    <s v="Lidar_SRL5 - Environment Mapping"/>
    <m/>
    <m/>
    <s v="-11;-17"/>
    <s v="TE"/>
    <s v="0-1823853-1"/>
    <s v="5 Pos. HSD Ass'y Sealed"/>
    <m/>
    <s v="No"/>
    <s v="No"/>
    <s v="No"/>
    <n v="1"/>
    <n v="1"/>
    <n v="1"/>
    <n v="1"/>
  </r>
  <r>
    <x v="255"/>
    <s v="37.0_ADAS &amp; AutomatedDriving"/>
    <s v="37.30_Piloting-System"/>
    <s v="F0335"/>
    <s v="Pilot, Highway"/>
    <m/>
    <s v="Drive Assistance"/>
    <s v="Automated Driving"/>
    <s v="Environment Mapping"/>
    <s v="L5"/>
    <s v="Lidar"/>
    <s v="Lidar_SRL5"/>
    <s v="Lidar_SRL5 - Environment Mapping"/>
    <m/>
    <m/>
    <s v="-11;-17"/>
    <s v="TE"/>
    <s v="0-1823853-1"/>
    <s v="5 Pos. HSD Ass'y Sealed"/>
    <m/>
    <s v="No"/>
    <s v="No"/>
    <s v="No"/>
    <n v="1"/>
    <n v="1"/>
    <n v="1"/>
    <n v="1"/>
  </r>
  <r>
    <x v="255"/>
    <s v="37.0_ADAS &amp; AutomatedDriving"/>
    <s v="37.30_Piloting-System"/>
    <s v="F0337"/>
    <s v="Pilot, City"/>
    <m/>
    <s v="Drive Assistance"/>
    <s v="Automated Driving"/>
    <s v="Environment Mapping"/>
    <s v="L5"/>
    <s v="Lidar"/>
    <s v="Lidar_SRL5"/>
    <s v="Lidar_SRL5 - Environment Mapping"/>
    <m/>
    <m/>
    <s v="-11;-17"/>
    <s v="TE"/>
    <s v="0-1823853-1"/>
    <s v="5 Pos. HSD Ass'y Sealed"/>
    <m/>
    <s v="No"/>
    <s v="No"/>
    <s v="No"/>
    <n v="1"/>
    <n v="1"/>
    <n v="1"/>
    <n v="1"/>
  </r>
  <r>
    <x v="255"/>
    <s v="37.0_ADAS &amp; AutomatedDriving"/>
    <s v="37.30_Piloting-System"/>
    <s v="F0651"/>
    <s v="Pilot, Country Road"/>
    <m/>
    <s v="Drive Assistance"/>
    <s v="Automated Driving"/>
    <s v="Environment Mapping"/>
    <s v="L5"/>
    <s v="Lidar"/>
    <s v="Lidar_SRL5"/>
    <s v="Lidar_SRL5 - Environment Mapping"/>
    <m/>
    <m/>
    <s v="-11;-17"/>
    <s v="TE"/>
    <s v="0-1823853-1"/>
    <s v="5 Pos. HSD Ass'y Sealed"/>
    <m/>
    <s v="No"/>
    <s v="No"/>
    <s v="No"/>
    <n v="1"/>
    <n v="1"/>
    <n v="1"/>
    <n v="1"/>
  </r>
  <r>
    <x v="255"/>
    <s v="37.0_ADAS &amp; AutomatedDriving"/>
    <s v="37.30_Piloting-System"/>
    <s v="F0915"/>
    <s v="Pilot, Rush Hour"/>
    <m/>
    <s v="Drive Assistance"/>
    <s v="Automated Driving"/>
    <s v="Environment Mapping"/>
    <s v="L5"/>
    <s v="Lidar"/>
    <s v="Lidar_SRL5"/>
    <s v="Lidar_SRL5 - Environment Mapping"/>
    <m/>
    <m/>
    <s v="-11;-17"/>
    <s v="TE"/>
    <s v="0-1823853-1"/>
    <s v="5 Pos. HSD Ass'y Sealed"/>
    <m/>
    <s v="No"/>
    <s v="No"/>
    <s v="No"/>
    <n v="1"/>
    <n v="1"/>
    <n v="1"/>
    <n v="1"/>
  </r>
  <r>
    <x v="255"/>
    <s v="37.0_ADAS &amp; AutomatedDriving"/>
    <s v="37.30_Piloting-System"/>
    <s v="F1042"/>
    <s v="Pilot, Remote Operation"/>
    <m/>
    <s v="Drive Assistance"/>
    <s v="Automated Driving"/>
    <s v="Environment Mapping"/>
    <s v="L5"/>
    <s v="Lidar"/>
    <s v="Lidar_SRL5"/>
    <s v="Lidar_SRL5 - Environment Mapping"/>
    <m/>
    <m/>
    <s v="-11;-17"/>
    <s v="TE"/>
    <s v="0-1823853-1"/>
    <s v="5 Pos. HSD Ass'y Sealed"/>
    <m/>
    <s v="No"/>
    <s v="No"/>
    <s v="No"/>
    <n v="1"/>
    <n v="1"/>
    <n v="1"/>
    <n v="1"/>
  </r>
  <r>
    <x v="255"/>
    <s v="37.0_ADAS &amp; AutomatedDriving"/>
    <s v="37.30_Piloting-System"/>
    <s v="F1105"/>
    <s v="Pilot, Data Storage System For Automated Driving (DSSAD)"/>
    <m/>
    <s v="Drive Assistance"/>
    <s v="Automated Driving"/>
    <s v="Environment Mapping"/>
    <s v="L5"/>
    <s v="Lidar"/>
    <s v="Lidar_SRL5"/>
    <s v="Lidar_SRL5 - Environment Mapping"/>
    <m/>
    <m/>
    <s v="-11;-17"/>
    <s v="TE"/>
    <s v="0-1823853-1"/>
    <s v="5 Pos. HSD Ass'y Sealed"/>
    <m/>
    <s v="No"/>
    <s v="No"/>
    <s v="No"/>
    <n v="1"/>
    <n v="1"/>
    <n v="1"/>
    <n v="1"/>
  </r>
  <r>
    <x v="256"/>
    <s v="37.0_ADAS &amp; AutomatedDriving"/>
    <s v="37.02_Alerting-System"/>
    <s v="F0594"/>
    <s v="Object Detection, Highway"/>
    <m/>
    <s v="Drive Assistance"/>
    <s v="Automated Driving"/>
    <s v="Short Range View"/>
    <s v="L4/L5"/>
    <s v="Camera"/>
    <s v="Camera_NFC1"/>
    <s v="Camera_NFC1 - Short Range View"/>
    <m/>
    <m/>
    <s v="-11;17"/>
    <s v="TE"/>
    <s v="1452581-2"/>
    <s v="1 Pos. Fakra II Unsealed"/>
    <m/>
    <s v="No"/>
    <s v="No"/>
    <s v="Yes"/>
    <n v="1"/>
    <n v="1"/>
    <n v="1"/>
    <n v="1"/>
  </r>
  <r>
    <x v="256"/>
    <s v="37.0_ADAS &amp; AutomatedDriving"/>
    <s v="37.02_Alerting-System"/>
    <s v="F0599"/>
    <s v="Event Recorder, Video Capturing"/>
    <m/>
    <s v="Drive Assistance"/>
    <s v="Automated Driving"/>
    <s v="Short Range View"/>
    <s v="L4/L5"/>
    <s v="Camera"/>
    <s v="Camera_NFC1"/>
    <s v="Camera_NFC1 - Short Range View"/>
    <m/>
    <m/>
    <s v="-11;17"/>
    <s v="TE"/>
    <s v="1452581-2"/>
    <s v="1 Pos. Fakra II Unsealed"/>
    <m/>
    <s v="No"/>
    <s v="No"/>
    <s v="Yes"/>
    <n v="1"/>
    <n v="1"/>
    <n v="1"/>
    <n v="1"/>
  </r>
  <r>
    <x v="256"/>
    <s v="37.0_ADAS &amp; AutomatedDriving"/>
    <s v="37.20_Parking-System"/>
    <s v="F0155"/>
    <s v="Park Assist, Front"/>
    <m/>
    <s v="Drive Assistance"/>
    <s v="Automated Driving"/>
    <s v="Short Range View"/>
    <s v="L4/L5"/>
    <s v="Camera"/>
    <s v="Camera_NFC1"/>
    <s v="Camera_NFC1 - Short Range View"/>
    <m/>
    <m/>
    <s v="-11;17"/>
    <s v="TE"/>
    <s v="1452581-2"/>
    <s v="1 Pos. Fakra II Unsealed"/>
    <m/>
    <s v="No"/>
    <s v="No"/>
    <s v="Yes"/>
    <n v="1"/>
    <n v="1"/>
    <n v="1"/>
    <n v="1"/>
  </r>
  <r>
    <x v="256"/>
    <s v="37.0_ADAS &amp; AutomatedDriving"/>
    <s v="37.20_Parking-System"/>
    <s v="F0156"/>
    <s v="Park Assist, Rear"/>
    <m/>
    <s v="Drive Assistance"/>
    <s v="Automated Driving"/>
    <s v="Short Range View"/>
    <s v="L4/L5"/>
    <s v="Camera"/>
    <s v="Camera_NFC1"/>
    <s v="Camera_NFC1 - Short Range View"/>
    <m/>
    <m/>
    <s v="-11;17"/>
    <s v="TE"/>
    <s v="1452581-2"/>
    <s v="1 Pos. Fakra II Unsealed"/>
    <m/>
    <s v="No"/>
    <s v="No"/>
    <s v="Yes"/>
    <n v="1"/>
    <n v="1"/>
    <n v="1"/>
    <n v="1"/>
  </r>
  <r>
    <x v="256"/>
    <s v="37.0_ADAS &amp; AutomatedDriving"/>
    <s v="37.20_Parking-System"/>
    <s v="F0314"/>
    <s v="Parking Pilot, Valet Parking"/>
    <m/>
    <s v="Drive Assistance"/>
    <s v="Automated Driving"/>
    <s v="Short Range View"/>
    <s v="L4/L5"/>
    <s v="Camera"/>
    <s v="Camera_NFC1"/>
    <s v="Camera_NFC1 - Short Range View"/>
    <m/>
    <m/>
    <s v="-11;17"/>
    <s v="TE"/>
    <s v="1452581-2"/>
    <s v="1 Pos. Fakra II Unsealed"/>
    <m/>
    <s v="No"/>
    <s v="No"/>
    <s v="Yes"/>
    <n v="1"/>
    <n v="1"/>
    <n v="1"/>
    <n v="1"/>
  </r>
  <r>
    <x v="256"/>
    <s v="37.0_ADAS &amp; AutomatedDriving"/>
    <s v="37.20_Parking-System"/>
    <s v="F0536"/>
    <s v="Parking Pilot, Trained Parking"/>
    <m/>
    <s v="Drive Assistance"/>
    <s v="Automated Driving"/>
    <s v="Short Range View"/>
    <s v="L4/L5"/>
    <s v="Camera"/>
    <s v="Camera_NFC1"/>
    <s v="Camera_NFC1 - Short Range View"/>
    <m/>
    <m/>
    <s v="-11;17"/>
    <s v="TE"/>
    <s v="1452581-2"/>
    <s v="1 Pos. Fakra II Unsealed"/>
    <m/>
    <s v="No"/>
    <s v="No"/>
    <s v="Yes"/>
    <n v="1"/>
    <n v="1"/>
    <n v="1"/>
    <n v="1"/>
  </r>
  <r>
    <x v="256"/>
    <s v="37.0_ADAS &amp; AutomatedDriving"/>
    <s v="37.20_Parking-System"/>
    <s v="F1301"/>
    <s v="Drive Away Assist"/>
    <m/>
    <s v="Drive Assistance"/>
    <s v="Automated Driving"/>
    <s v="Short Range View"/>
    <s v="L4/L5"/>
    <s v="Camera"/>
    <s v="Camera_NFC1"/>
    <s v="Camera_NFC1 - Short Range View"/>
    <m/>
    <m/>
    <s v="-11;17"/>
    <s v="TE"/>
    <s v="1452581-2"/>
    <s v="1 Pos. Fakra II Unsealed"/>
    <m/>
    <s v="No"/>
    <s v="No"/>
    <s v="Yes"/>
    <n v="1"/>
    <n v="1"/>
    <n v="1"/>
    <n v="1"/>
  </r>
  <r>
    <x v="256"/>
    <s v="37.0_ADAS &amp; AutomatedDriving"/>
    <s v="37.20_Parking-System"/>
    <s v="F1304"/>
    <s v="Park Assist, Side"/>
    <m/>
    <s v="Drive Assistance"/>
    <s v="Automated Driving"/>
    <s v="Short Range View"/>
    <s v="L4/L5"/>
    <s v="Camera"/>
    <s v="Camera_NFC1"/>
    <s v="Camera_NFC1 - Short Range View"/>
    <m/>
    <m/>
    <s v="-11;17"/>
    <s v="TE"/>
    <s v="1452581-2"/>
    <s v="1 Pos. Fakra II Unsealed"/>
    <m/>
    <s v="No"/>
    <s v="No"/>
    <s v="Yes"/>
    <n v="1"/>
    <n v="1"/>
    <n v="1"/>
    <n v="1"/>
  </r>
  <r>
    <x v="256"/>
    <s v="37.0_ADAS &amp; AutomatedDriving"/>
    <s v="37.20_Parking-System"/>
    <s v="F2003"/>
    <s v="Automatic Parking Support"/>
    <m/>
    <s v="Drive Assistance"/>
    <s v="Automated Driving"/>
    <s v="Short Range View"/>
    <s v="L4/L5"/>
    <s v="Camera"/>
    <s v="Camera_NFC1"/>
    <s v="Camera_NFC1 - Short Range View"/>
    <m/>
    <m/>
    <s v="-11;17"/>
    <s v="TE"/>
    <s v="1452581-2"/>
    <s v="1 Pos. Fakra II Unsealed"/>
    <m/>
    <s v="No"/>
    <s v="No"/>
    <s v="Yes"/>
    <n v="1"/>
    <n v="1"/>
    <n v="1"/>
    <n v="1"/>
  </r>
  <r>
    <x v="256"/>
    <s v="37.0_ADAS &amp; AutomatedDriving"/>
    <s v="37.30_Piloting-System"/>
    <s v="F0332"/>
    <s v="Pilot, Traffic Jam"/>
    <m/>
    <s v="Drive Assistance"/>
    <s v="Automated Driving"/>
    <s v="Short Range View"/>
    <s v="L4/L5"/>
    <s v="Camera"/>
    <s v="Camera_NFC1"/>
    <s v="Camera_NFC1 - Short Range View"/>
    <m/>
    <m/>
    <s v="-11;17"/>
    <s v="TE"/>
    <s v="1452581-2"/>
    <s v="1 Pos. Fakra II Unsealed"/>
    <m/>
    <s v="No"/>
    <s v="No"/>
    <s v="Yes"/>
    <n v="1"/>
    <n v="1"/>
    <n v="1"/>
    <n v="1"/>
  </r>
  <r>
    <x v="256"/>
    <s v="37.0_ADAS &amp; AutomatedDriving"/>
    <s v="37.30_Piloting-System"/>
    <s v="F0335"/>
    <s v="Pilot, Highway"/>
    <m/>
    <s v="Drive Assistance"/>
    <s v="Automated Driving"/>
    <s v="Short Range View"/>
    <s v="L4/L5"/>
    <s v="Camera"/>
    <s v="Camera_NFC1"/>
    <s v="Camera_NFC1 - Short Range View"/>
    <m/>
    <m/>
    <s v="-11;17"/>
    <s v="TE"/>
    <s v="1452581-2"/>
    <s v="1 Pos. Fakra II Unsealed"/>
    <m/>
    <s v="No"/>
    <s v="No"/>
    <s v="Yes"/>
    <n v="1"/>
    <n v="1"/>
    <n v="1"/>
    <n v="1"/>
  </r>
  <r>
    <x v="256"/>
    <s v="37.0_ADAS &amp; AutomatedDriving"/>
    <s v="37.30_Piloting-System"/>
    <s v="F0337"/>
    <s v="Pilot, City"/>
    <m/>
    <s v="Drive Assistance"/>
    <s v="Automated Driving"/>
    <s v="Short Range View"/>
    <s v="L4/L5"/>
    <s v="Camera"/>
    <s v="Camera_NFC1"/>
    <s v="Camera_NFC1 - Short Range View"/>
    <m/>
    <m/>
    <s v="-11;17"/>
    <s v="TE"/>
    <s v="1452581-2"/>
    <s v="1 Pos. Fakra II Unsealed"/>
    <m/>
    <s v="No"/>
    <s v="No"/>
    <s v="Yes"/>
    <n v="1"/>
    <n v="1"/>
    <n v="1"/>
    <n v="1"/>
  </r>
  <r>
    <x v="256"/>
    <s v="37.0_ADAS &amp; AutomatedDriving"/>
    <s v="37.30_Piloting-System"/>
    <s v="F0651"/>
    <s v="Pilot, Country Road"/>
    <m/>
    <s v="Drive Assistance"/>
    <s v="Automated Driving"/>
    <s v="Short Range View"/>
    <s v="L4/L5"/>
    <s v="Camera"/>
    <s v="Camera_NFC1"/>
    <s v="Camera_NFC1 - Short Range View"/>
    <m/>
    <m/>
    <s v="-11;17"/>
    <s v="TE"/>
    <s v="1452581-2"/>
    <s v="1 Pos. Fakra II Unsealed"/>
    <m/>
    <s v="No"/>
    <s v="No"/>
    <s v="Yes"/>
    <n v="1"/>
    <n v="1"/>
    <n v="1"/>
    <n v="1"/>
  </r>
  <r>
    <x v="256"/>
    <s v="37.0_ADAS &amp; AutomatedDriving"/>
    <s v="37.30_Piloting-System"/>
    <s v="F0915"/>
    <s v="Pilot, Rush Hour"/>
    <m/>
    <s v="Drive Assistance"/>
    <s v="Automated Driving"/>
    <s v="Short Range View"/>
    <s v="L4/L5"/>
    <s v="Camera"/>
    <s v="Camera_NFC1"/>
    <s v="Camera_NFC1 - Short Range View"/>
    <m/>
    <m/>
    <s v="-11;17"/>
    <s v="TE"/>
    <s v="1452581-2"/>
    <s v="1 Pos. Fakra II Unsealed"/>
    <m/>
    <s v="No"/>
    <s v="No"/>
    <s v="Yes"/>
    <n v="1"/>
    <n v="1"/>
    <n v="1"/>
    <n v="1"/>
  </r>
  <r>
    <x v="256"/>
    <s v="37.0_ADAS &amp; AutomatedDriving"/>
    <s v="37.30_Piloting-System"/>
    <s v="F1042"/>
    <s v="Pilot, Remote Operation"/>
    <m/>
    <s v="Drive Assistance"/>
    <s v="Automated Driving"/>
    <s v="Short Range View"/>
    <s v="L4/L5"/>
    <s v="Camera"/>
    <s v="Camera_NFC1"/>
    <s v="Camera_NFC1 - Short Range View"/>
    <m/>
    <m/>
    <s v="-11;17"/>
    <s v="TE"/>
    <s v="1452581-2"/>
    <s v="1 Pos. Fakra II Unsealed"/>
    <m/>
    <s v="No"/>
    <s v="No"/>
    <s v="Yes"/>
    <n v="1"/>
    <n v="1"/>
    <n v="1"/>
    <n v="1"/>
  </r>
  <r>
    <x v="256"/>
    <s v="37.0_ADAS &amp; AutomatedDriving"/>
    <s v="37.30_Piloting-System"/>
    <s v="F1105"/>
    <s v="Pilot, Data Storage System For Automated Driving (DSSAD)"/>
    <m/>
    <s v="Drive Assistance"/>
    <s v="Automated Driving"/>
    <s v="Short Range View"/>
    <s v="L4/L5"/>
    <s v="Camera"/>
    <s v="Camera_NFC1"/>
    <s v="Camera_NFC1 - Short Range View"/>
    <m/>
    <m/>
    <s v="-11;17"/>
    <s v="TE"/>
    <s v="1452581-2"/>
    <s v="1 Pos. Fakra II Unsealed"/>
    <m/>
    <s v="No"/>
    <s v="No"/>
    <s v="Yes"/>
    <n v="1"/>
    <n v="1"/>
    <n v="1"/>
    <n v="1"/>
  </r>
  <r>
    <x v="257"/>
    <s v="10.0_Comfort &amp; Exterior"/>
    <s v="10.20_Mirroring-System"/>
    <s v="F0249"/>
    <s v="Outside Mirror Camera"/>
    <m/>
    <s v="Drive Assistance"/>
    <s v="Automated Driving"/>
    <s v="Short Range View"/>
    <s v="L4/L5"/>
    <s v="Camera"/>
    <s v="Camera_NFC2"/>
    <s v="Camera_NFC2 - Short Range View"/>
    <m/>
    <m/>
    <s v="19;23"/>
    <s v="TE"/>
    <s v="1452581-2"/>
    <s v="1 Pos. Fakra II Unsealed"/>
    <m/>
    <s v="No"/>
    <s v="No"/>
    <s v="Yes"/>
    <n v="1"/>
    <n v="1"/>
    <n v="1"/>
    <n v="1"/>
  </r>
  <r>
    <x v="257"/>
    <s v="37.0_ADAS &amp; AutomatedDriving"/>
    <s v="37.02_Alerting-System"/>
    <s v="F0594"/>
    <s v="Object Detection, Highway"/>
    <m/>
    <s v="Drive Assistance"/>
    <s v="Automated Driving"/>
    <s v="Short Range View"/>
    <s v="L4/L5"/>
    <s v="Camera"/>
    <s v="Camera_NFC2"/>
    <s v="Camera_NFC2 - Short Range View"/>
    <m/>
    <m/>
    <s v="19;23"/>
    <s v="TE"/>
    <s v="1452581-2"/>
    <s v="1 Pos. Fakra II Unsealed"/>
    <m/>
    <s v="No"/>
    <s v="No"/>
    <s v="Yes"/>
    <n v="1"/>
    <n v="1"/>
    <n v="1"/>
    <n v="1"/>
  </r>
  <r>
    <x v="257"/>
    <s v="37.0_ADAS &amp; AutomatedDriving"/>
    <s v="37.02_Alerting-System"/>
    <s v="F0599"/>
    <s v="Event Recorder, Video Capturing"/>
    <m/>
    <s v="Drive Assistance"/>
    <s v="Automated Driving"/>
    <s v="Short Range View"/>
    <s v="L4/L5"/>
    <s v="Camera"/>
    <s v="Camera_NFC2"/>
    <s v="Camera_NFC2 - Short Range View"/>
    <m/>
    <m/>
    <s v="19;23"/>
    <s v="TE"/>
    <s v="1452581-2"/>
    <s v="1 Pos. Fakra II Unsealed"/>
    <m/>
    <s v="No"/>
    <s v="No"/>
    <s v="Yes"/>
    <n v="1"/>
    <n v="1"/>
    <n v="1"/>
    <n v="1"/>
  </r>
  <r>
    <x v="257"/>
    <s v="37.0_ADAS &amp; AutomatedDriving"/>
    <s v="37.20_Parking-System"/>
    <s v="F0155"/>
    <s v="Park Assist, Front"/>
    <m/>
    <s v="Drive Assistance"/>
    <s v="Automated Driving"/>
    <s v="Short Range View"/>
    <s v="L4/L5"/>
    <s v="Camera"/>
    <s v="Camera_NFC2"/>
    <s v="Camera_NFC2 - Short Range View"/>
    <m/>
    <m/>
    <s v="19;23"/>
    <s v="TE"/>
    <s v="1452581-2"/>
    <s v="1 Pos. Fakra II Unsealed"/>
    <m/>
    <s v="No"/>
    <s v="No"/>
    <s v="Yes"/>
    <n v="1"/>
    <n v="1"/>
    <n v="1"/>
    <n v="1"/>
  </r>
  <r>
    <x v="257"/>
    <s v="37.0_ADAS &amp; AutomatedDriving"/>
    <s v="37.20_Parking-System"/>
    <s v="F0156"/>
    <s v="Park Assist, Rear"/>
    <m/>
    <s v="Drive Assistance"/>
    <s v="Automated Driving"/>
    <s v="Short Range View"/>
    <s v="L4/L5"/>
    <s v="Camera"/>
    <s v="Camera_NFC2"/>
    <s v="Camera_NFC2 - Short Range View"/>
    <m/>
    <m/>
    <s v="19;23"/>
    <s v="TE"/>
    <s v="1452581-2"/>
    <s v="1 Pos. Fakra II Unsealed"/>
    <m/>
    <s v="No"/>
    <s v="No"/>
    <s v="Yes"/>
    <n v="1"/>
    <n v="1"/>
    <n v="1"/>
    <n v="1"/>
  </r>
  <r>
    <x v="257"/>
    <s v="37.0_ADAS &amp; AutomatedDriving"/>
    <s v="37.20_Parking-System"/>
    <s v="F0314"/>
    <s v="Parking Pilot, Valet Parking"/>
    <m/>
    <s v="Drive Assistance"/>
    <s v="Automated Driving"/>
    <s v="Short Range View"/>
    <s v="L4/L5"/>
    <s v="Camera"/>
    <s v="Camera_NFC2"/>
    <s v="Camera_NFC2 - Short Range View"/>
    <m/>
    <m/>
    <s v="19;23"/>
    <s v="TE"/>
    <s v="1452581-2"/>
    <s v="1 Pos. Fakra II Unsealed"/>
    <m/>
    <s v="No"/>
    <s v="No"/>
    <s v="Yes"/>
    <n v="1"/>
    <n v="1"/>
    <n v="1"/>
    <n v="1"/>
  </r>
  <r>
    <x v="257"/>
    <s v="37.0_ADAS &amp; AutomatedDriving"/>
    <s v="37.20_Parking-System"/>
    <s v="F0536"/>
    <s v="Parking Pilot, Trained Parking"/>
    <m/>
    <s v="Drive Assistance"/>
    <s v="Automated Driving"/>
    <s v="Short Range View"/>
    <s v="L4/L5"/>
    <s v="Camera"/>
    <s v="Camera_NFC2"/>
    <s v="Camera_NFC2 - Short Range View"/>
    <m/>
    <m/>
    <s v="19;23"/>
    <s v="TE"/>
    <s v="1452581-2"/>
    <s v="1 Pos. Fakra II Unsealed"/>
    <m/>
    <s v="No"/>
    <s v="No"/>
    <s v="Yes"/>
    <n v="1"/>
    <n v="1"/>
    <n v="1"/>
    <n v="1"/>
  </r>
  <r>
    <x v="257"/>
    <s v="37.0_ADAS &amp; AutomatedDriving"/>
    <s v="37.20_Parking-System"/>
    <s v="F1301"/>
    <s v="Drive Away Assist"/>
    <m/>
    <s v="Drive Assistance"/>
    <s v="Automated Driving"/>
    <s v="Short Range View"/>
    <s v="L4/L5"/>
    <s v="Camera"/>
    <s v="Camera_NFC2"/>
    <s v="Camera_NFC2 - Short Range View"/>
    <m/>
    <m/>
    <s v="19;23"/>
    <s v="TE"/>
    <s v="1452581-2"/>
    <s v="1 Pos. Fakra II Unsealed"/>
    <m/>
    <s v="No"/>
    <s v="No"/>
    <s v="Yes"/>
    <n v="1"/>
    <n v="1"/>
    <n v="1"/>
    <n v="1"/>
  </r>
  <r>
    <x v="257"/>
    <s v="37.0_ADAS &amp; AutomatedDriving"/>
    <s v="37.20_Parking-System"/>
    <s v="F1304"/>
    <s v="Park Assist, Side"/>
    <m/>
    <s v="Drive Assistance"/>
    <s v="Automated Driving"/>
    <s v="Short Range View"/>
    <s v="L4/L5"/>
    <s v="Camera"/>
    <s v="Camera_NFC2"/>
    <s v="Camera_NFC2 - Short Range View"/>
    <m/>
    <m/>
    <s v="19;23"/>
    <s v="TE"/>
    <s v="1452581-2"/>
    <s v="1 Pos. Fakra II Unsealed"/>
    <m/>
    <s v="No"/>
    <s v="No"/>
    <s v="Yes"/>
    <n v="1"/>
    <n v="1"/>
    <n v="1"/>
    <n v="1"/>
  </r>
  <r>
    <x v="257"/>
    <s v="37.0_ADAS &amp; AutomatedDriving"/>
    <s v="37.20_Parking-System"/>
    <s v="F2003"/>
    <s v="Automatic Parking Support"/>
    <m/>
    <s v="Drive Assistance"/>
    <s v="Automated Driving"/>
    <s v="Short Range View"/>
    <s v="L4/L5"/>
    <s v="Camera"/>
    <s v="Camera_NFC2"/>
    <s v="Camera_NFC2 - Short Range View"/>
    <m/>
    <m/>
    <s v="19;23"/>
    <s v="TE"/>
    <s v="1452581-2"/>
    <s v="1 Pos. Fakra II Unsealed"/>
    <m/>
    <s v="No"/>
    <s v="No"/>
    <s v="Yes"/>
    <n v="1"/>
    <n v="1"/>
    <n v="1"/>
    <n v="1"/>
  </r>
  <r>
    <x v="257"/>
    <s v="37.0_ADAS &amp; AutomatedDriving"/>
    <s v="37.30_Piloting-System"/>
    <s v="F0332"/>
    <s v="Pilot, Traffic Jam"/>
    <m/>
    <s v="Drive Assistance"/>
    <s v="Automated Driving"/>
    <s v="Short Range View"/>
    <s v="L4/L5"/>
    <s v="Camera"/>
    <s v="Camera_NFC2"/>
    <s v="Camera_NFC2 - Short Range View"/>
    <m/>
    <m/>
    <s v="19;23"/>
    <s v="TE"/>
    <s v="1452581-2"/>
    <s v="1 Pos. Fakra II Unsealed"/>
    <m/>
    <s v="No"/>
    <s v="No"/>
    <s v="Yes"/>
    <n v="1"/>
    <n v="1"/>
    <n v="1"/>
    <n v="1"/>
  </r>
  <r>
    <x v="257"/>
    <s v="37.0_ADAS &amp; AutomatedDriving"/>
    <s v="37.30_Piloting-System"/>
    <s v="F0335"/>
    <s v="Pilot, Highway"/>
    <m/>
    <s v="Drive Assistance"/>
    <s v="Automated Driving"/>
    <s v="Short Range View"/>
    <s v="L4/L5"/>
    <s v="Camera"/>
    <s v="Camera_NFC2"/>
    <s v="Camera_NFC2 - Short Range View"/>
    <m/>
    <m/>
    <s v="19;23"/>
    <s v="TE"/>
    <s v="1452581-2"/>
    <s v="1 Pos. Fakra II Unsealed"/>
    <m/>
    <s v="No"/>
    <s v="No"/>
    <s v="Yes"/>
    <n v="1"/>
    <n v="1"/>
    <n v="1"/>
    <n v="1"/>
  </r>
  <r>
    <x v="257"/>
    <s v="37.0_ADAS &amp; AutomatedDriving"/>
    <s v="37.30_Piloting-System"/>
    <s v="F0337"/>
    <s v="Pilot, City"/>
    <m/>
    <s v="Drive Assistance"/>
    <s v="Automated Driving"/>
    <s v="Short Range View"/>
    <s v="L4/L5"/>
    <s v="Camera"/>
    <s v="Camera_NFC2"/>
    <s v="Camera_NFC2 - Short Range View"/>
    <m/>
    <m/>
    <s v="19;23"/>
    <s v="TE"/>
    <s v="1452581-2"/>
    <s v="1 Pos. Fakra II Unsealed"/>
    <m/>
    <s v="No"/>
    <s v="No"/>
    <s v="Yes"/>
    <n v="1"/>
    <n v="1"/>
    <n v="1"/>
    <n v="1"/>
  </r>
  <r>
    <x v="257"/>
    <s v="37.0_ADAS &amp; AutomatedDriving"/>
    <s v="37.30_Piloting-System"/>
    <s v="F0651"/>
    <s v="Pilot, Country Road"/>
    <m/>
    <s v="Drive Assistance"/>
    <s v="Automated Driving"/>
    <s v="Short Range View"/>
    <s v="L4/L5"/>
    <s v="Camera"/>
    <s v="Camera_NFC2"/>
    <s v="Camera_NFC2 - Short Range View"/>
    <m/>
    <m/>
    <s v="19;23"/>
    <s v="TE"/>
    <s v="1452581-2"/>
    <s v="1 Pos. Fakra II Unsealed"/>
    <m/>
    <s v="No"/>
    <s v="No"/>
    <s v="Yes"/>
    <n v="1"/>
    <n v="1"/>
    <n v="1"/>
    <n v="1"/>
  </r>
  <r>
    <x v="257"/>
    <s v="37.0_ADAS &amp; AutomatedDriving"/>
    <s v="37.30_Piloting-System"/>
    <s v="F0915"/>
    <s v="Pilot, Rush Hour"/>
    <m/>
    <s v="Drive Assistance"/>
    <s v="Automated Driving"/>
    <s v="Short Range View"/>
    <s v="L4/L5"/>
    <s v="Camera"/>
    <s v="Camera_NFC2"/>
    <s v="Camera_NFC2 - Short Range View"/>
    <m/>
    <m/>
    <s v="19;23"/>
    <s v="TE"/>
    <s v="1452581-2"/>
    <s v="1 Pos. Fakra II Unsealed"/>
    <m/>
    <s v="No"/>
    <s v="No"/>
    <s v="Yes"/>
    <n v="1"/>
    <n v="1"/>
    <n v="1"/>
    <n v="1"/>
  </r>
  <r>
    <x v="257"/>
    <s v="37.0_ADAS &amp; AutomatedDriving"/>
    <s v="37.30_Piloting-System"/>
    <s v="F1042"/>
    <s v="Pilot, Remote Operation"/>
    <m/>
    <s v="Drive Assistance"/>
    <s v="Automated Driving"/>
    <s v="Short Range View"/>
    <s v="L4/L5"/>
    <s v="Camera"/>
    <s v="Camera_NFC2"/>
    <s v="Camera_NFC2 - Short Range View"/>
    <m/>
    <m/>
    <s v="19;23"/>
    <s v="TE"/>
    <s v="1452581-2"/>
    <s v="1 Pos. Fakra II Unsealed"/>
    <m/>
    <s v="No"/>
    <s v="No"/>
    <s v="Yes"/>
    <n v="1"/>
    <n v="1"/>
    <n v="1"/>
    <n v="1"/>
  </r>
  <r>
    <x v="257"/>
    <s v="37.0_ADAS &amp; AutomatedDriving"/>
    <s v="37.30_Piloting-System"/>
    <s v="F1105"/>
    <s v="Pilot, Data Storage System For Automated Driving (DSSAD)"/>
    <m/>
    <s v="Drive Assistance"/>
    <s v="Automated Driving"/>
    <s v="Short Range View"/>
    <s v="L4/L5"/>
    <s v="Camera"/>
    <s v="Camera_NFC2"/>
    <s v="Camera_NFC2 - Short Range View"/>
    <m/>
    <m/>
    <s v="19;23"/>
    <s v="TE"/>
    <s v="1452581-2"/>
    <s v="1 Pos. Fakra II Unsealed"/>
    <m/>
    <s v="No"/>
    <s v="No"/>
    <s v="Yes"/>
    <n v="1"/>
    <n v="1"/>
    <n v="1"/>
    <n v="1"/>
  </r>
  <r>
    <x v="258"/>
    <s v="10.0_Comfort &amp; Exterior"/>
    <s v="10.20_Mirroring-System"/>
    <s v="F0249"/>
    <s v="Outside Mirror Camera"/>
    <m/>
    <s v="Drive Assistance"/>
    <s v="Automated Driving"/>
    <s v="Short Range View"/>
    <s v="L4/L5"/>
    <s v="Camera"/>
    <s v="Camera_NFC3"/>
    <s v="Camera_NFC3 - Short Range View"/>
    <m/>
    <m/>
    <s v="113;0"/>
    <s v="TE"/>
    <s v="1452581-2"/>
    <s v="1 Pos. Fakra II Unsealed"/>
    <m/>
    <s v="No"/>
    <s v="No"/>
    <s v="Yes"/>
    <n v="1"/>
    <n v="1"/>
    <n v="1"/>
    <n v="1"/>
  </r>
  <r>
    <x v="258"/>
    <s v="37.0_ADAS &amp; AutomatedDriving"/>
    <s v="37.02_Alerting-System"/>
    <s v="F0594"/>
    <s v="Object Detection, Highway"/>
    <m/>
    <s v="Drive Assistance"/>
    <s v="Automated Driving"/>
    <s v="Short Range View"/>
    <s v="L4/L5"/>
    <s v="Camera"/>
    <s v="Camera_NFC3"/>
    <s v="Camera_NFC3 - Short Range View"/>
    <m/>
    <m/>
    <s v="113;0"/>
    <s v="TE"/>
    <s v="1452581-2"/>
    <s v="1 Pos. Fakra II Unsealed"/>
    <m/>
    <s v="No"/>
    <s v="No"/>
    <s v="Yes"/>
    <n v="1"/>
    <n v="1"/>
    <n v="1"/>
    <n v="1"/>
  </r>
  <r>
    <x v="258"/>
    <s v="37.0_ADAS &amp; AutomatedDriving"/>
    <s v="37.02_Alerting-System"/>
    <s v="F0599"/>
    <s v="Event Recorder, Video Capturing"/>
    <m/>
    <s v="Drive Assistance"/>
    <s v="Automated Driving"/>
    <s v="Short Range View"/>
    <s v="L4/L5"/>
    <s v="Camera"/>
    <s v="Camera_NFC3"/>
    <s v="Camera_NFC3 - Short Range View"/>
    <m/>
    <m/>
    <s v="113;0"/>
    <s v="TE"/>
    <s v="1452581-2"/>
    <s v="1 Pos. Fakra II Unsealed"/>
    <m/>
    <s v="No"/>
    <s v="No"/>
    <s v="Yes"/>
    <n v="1"/>
    <n v="1"/>
    <n v="1"/>
    <n v="1"/>
  </r>
  <r>
    <x v="258"/>
    <s v="37.0_ADAS &amp; AutomatedDriving"/>
    <s v="37.20_Parking-System"/>
    <s v="F0155"/>
    <s v="Park Assist, Front"/>
    <m/>
    <s v="Drive Assistance"/>
    <s v="Automated Driving"/>
    <s v="Short Range View"/>
    <s v="L4/L5"/>
    <s v="Camera"/>
    <s v="Camera_NFC3"/>
    <s v="Camera_NFC3 - Short Range View"/>
    <m/>
    <m/>
    <s v="113;0"/>
    <s v="TE"/>
    <s v="1452581-2"/>
    <s v="1 Pos. Fakra II Unsealed"/>
    <m/>
    <s v="No"/>
    <s v="No"/>
    <s v="Yes"/>
    <n v="1"/>
    <n v="1"/>
    <n v="1"/>
    <n v="1"/>
  </r>
  <r>
    <x v="258"/>
    <s v="37.0_ADAS &amp; AutomatedDriving"/>
    <s v="37.20_Parking-System"/>
    <s v="F0156"/>
    <s v="Park Assist, Rear"/>
    <m/>
    <s v="Drive Assistance"/>
    <s v="Automated Driving"/>
    <s v="Short Range View"/>
    <s v="L4/L5"/>
    <s v="Camera"/>
    <s v="Camera_NFC3"/>
    <s v="Camera_NFC3 - Short Range View"/>
    <m/>
    <m/>
    <s v="113;0"/>
    <s v="TE"/>
    <s v="1452581-2"/>
    <s v="1 Pos. Fakra II Unsealed"/>
    <m/>
    <s v="No"/>
    <s v="No"/>
    <s v="Yes"/>
    <n v="1"/>
    <n v="1"/>
    <n v="1"/>
    <n v="1"/>
  </r>
  <r>
    <x v="258"/>
    <s v="37.0_ADAS &amp; AutomatedDriving"/>
    <s v="37.20_Parking-System"/>
    <s v="F0314"/>
    <s v="Parking Pilot, Valet Parking"/>
    <m/>
    <s v="Drive Assistance"/>
    <s v="Automated Driving"/>
    <s v="Short Range View"/>
    <s v="L4/L5"/>
    <s v="Camera"/>
    <s v="Camera_NFC3"/>
    <s v="Camera_NFC3 - Short Range View"/>
    <m/>
    <m/>
    <s v="113;0"/>
    <s v="TE"/>
    <s v="1452581-2"/>
    <s v="1 Pos. Fakra II Unsealed"/>
    <m/>
    <s v="No"/>
    <s v="No"/>
    <s v="Yes"/>
    <n v="1"/>
    <n v="1"/>
    <n v="1"/>
    <n v="1"/>
  </r>
  <r>
    <x v="258"/>
    <s v="37.0_ADAS &amp; AutomatedDriving"/>
    <s v="37.20_Parking-System"/>
    <s v="F0536"/>
    <s v="Parking Pilot, Trained Parking"/>
    <m/>
    <s v="Drive Assistance"/>
    <s v="Automated Driving"/>
    <s v="Short Range View"/>
    <s v="L4/L5"/>
    <s v="Camera"/>
    <s v="Camera_NFC3"/>
    <s v="Camera_NFC3 - Short Range View"/>
    <m/>
    <m/>
    <s v="113;0"/>
    <s v="TE"/>
    <s v="1452581-2"/>
    <s v="1 Pos. Fakra II Unsealed"/>
    <m/>
    <s v="No"/>
    <s v="No"/>
    <s v="Yes"/>
    <n v="1"/>
    <n v="1"/>
    <n v="1"/>
    <n v="1"/>
  </r>
  <r>
    <x v="258"/>
    <s v="37.0_ADAS &amp; AutomatedDriving"/>
    <s v="37.20_Parking-System"/>
    <s v="F1301"/>
    <s v="Drive Away Assist"/>
    <m/>
    <s v="Drive Assistance"/>
    <s v="Automated Driving"/>
    <s v="Short Range View"/>
    <s v="L4/L5"/>
    <s v="Camera"/>
    <s v="Camera_NFC3"/>
    <s v="Camera_NFC3 - Short Range View"/>
    <m/>
    <m/>
    <s v="113;0"/>
    <s v="TE"/>
    <s v="1452581-2"/>
    <s v="1 Pos. Fakra II Unsealed"/>
    <m/>
    <s v="No"/>
    <s v="No"/>
    <s v="Yes"/>
    <n v="1"/>
    <n v="1"/>
    <n v="1"/>
    <n v="1"/>
  </r>
  <r>
    <x v="258"/>
    <s v="37.0_ADAS &amp; AutomatedDriving"/>
    <s v="37.20_Parking-System"/>
    <s v="F1304"/>
    <s v="Park Assist, Side"/>
    <m/>
    <s v="Drive Assistance"/>
    <s v="Automated Driving"/>
    <s v="Short Range View"/>
    <s v="L4/L5"/>
    <s v="Camera"/>
    <s v="Camera_NFC3"/>
    <s v="Camera_NFC3 - Short Range View"/>
    <m/>
    <m/>
    <s v="113;0"/>
    <s v="TE"/>
    <s v="1452581-2"/>
    <s v="1 Pos. Fakra II Unsealed"/>
    <m/>
    <s v="No"/>
    <s v="No"/>
    <s v="Yes"/>
    <n v="1"/>
    <n v="1"/>
    <n v="1"/>
    <n v="1"/>
  </r>
  <r>
    <x v="258"/>
    <s v="37.0_ADAS &amp; AutomatedDriving"/>
    <s v="37.20_Parking-System"/>
    <s v="F2003"/>
    <s v="Automatic Parking Support"/>
    <m/>
    <s v="Drive Assistance"/>
    <s v="Automated Driving"/>
    <s v="Short Range View"/>
    <s v="L4/L5"/>
    <s v="Camera"/>
    <s v="Camera_NFC3"/>
    <s v="Camera_NFC3 - Short Range View"/>
    <m/>
    <m/>
    <s v="113;0"/>
    <s v="TE"/>
    <s v="1452581-2"/>
    <s v="1 Pos. Fakra II Unsealed"/>
    <m/>
    <s v="No"/>
    <s v="No"/>
    <s v="Yes"/>
    <n v="1"/>
    <n v="1"/>
    <n v="1"/>
    <n v="1"/>
  </r>
  <r>
    <x v="258"/>
    <s v="37.0_ADAS &amp; AutomatedDriving"/>
    <s v="37.30_Piloting-System"/>
    <s v="F0332"/>
    <s v="Pilot, Traffic Jam"/>
    <m/>
    <s v="Drive Assistance"/>
    <s v="Automated Driving"/>
    <s v="Short Range View"/>
    <s v="L4/L5"/>
    <s v="Camera"/>
    <s v="Camera_NFC3"/>
    <s v="Camera_NFC3 - Short Range View"/>
    <m/>
    <m/>
    <s v="113;0"/>
    <s v="TE"/>
    <s v="1452581-2"/>
    <s v="1 Pos. Fakra II Unsealed"/>
    <m/>
    <s v="No"/>
    <s v="No"/>
    <s v="Yes"/>
    <n v="1"/>
    <n v="1"/>
    <n v="1"/>
    <n v="1"/>
  </r>
  <r>
    <x v="258"/>
    <s v="37.0_ADAS &amp; AutomatedDriving"/>
    <s v="37.30_Piloting-System"/>
    <s v="F0335"/>
    <s v="Pilot, Highway"/>
    <m/>
    <s v="Drive Assistance"/>
    <s v="Automated Driving"/>
    <s v="Short Range View"/>
    <s v="L4/L5"/>
    <s v="Camera"/>
    <s v="Camera_NFC3"/>
    <s v="Camera_NFC3 - Short Range View"/>
    <m/>
    <m/>
    <s v="113;0"/>
    <s v="TE"/>
    <s v="1452581-2"/>
    <s v="1 Pos. Fakra II Unsealed"/>
    <m/>
    <s v="No"/>
    <s v="No"/>
    <s v="Yes"/>
    <n v="1"/>
    <n v="1"/>
    <n v="1"/>
    <n v="1"/>
  </r>
  <r>
    <x v="258"/>
    <s v="37.0_ADAS &amp; AutomatedDriving"/>
    <s v="37.30_Piloting-System"/>
    <s v="F0337"/>
    <s v="Pilot, City"/>
    <m/>
    <s v="Drive Assistance"/>
    <s v="Automated Driving"/>
    <s v="Short Range View"/>
    <s v="L4/L5"/>
    <s v="Camera"/>
    <s v="Camera_NFC3"/>
    <s v="Camera_NFC3 - Short Range View"/>
    <m/>
    <m/>
    <s v="113;0"/>
    <s v="TE"/>
    <s v="1452581-2"/>
    <s v="1 Pos. Fakra II Unsealed"/>
    <m/>
    <s v="No"/>
    <s v="No"/>
    <s v="Yes"/>
    <n v="1"/>
    <n v="1"/>
    <n v="1"/>
    <n v="1"/>
  </r>
  <r>
    <x v="258"/>
    <s v="37.0_ADAS &amp; AutomatedDriving"/>
    <s v="37.30_Piloting-System"/>
    <s v="F0651"/>
    <s v="Pilot, Country Road"/>
    <m/>
    <s v="Drive Assistance"/>
    <s v="Automated Driving"/>
    <s v="Short Range View"/>
    <s v="L4/L5"/>
    <s v="Camera"/>
    <s v="Camera_NFC3"/>
    <s v="Camera_NFC3 - Short Range View"/>
    <m/>
    <m/>
    <s v="113;0"/>
    <s v="TE"/>
    <s v="1452581-2"/>
    <s v="1 Pos. Fakra II Unsealed"/>
    <m/>
    <s v="No"/>
    <s v="No"/>
    <s v="Yes"/>
    <n v="1"/>
    <n v="1"/>
    <n v="1"/>
    <n v="1"/>
  </r>
  <r>
    <x v="258"/>
    <s v="37.0_ADAS &amp; AutomatedDriving"/>
    <s v="37.30_Piloting-System"/>
    <s v="F0915"/>
    <s v="Pilot, Rush Hour"/>
    <m/>
    <s v="Drive Assistance"/>
    <s v="Automated Driving"/>
    <s v="Short Range View"/>
    <s v="L4/L5"/>
    <s v="Camera"/>
    <s v="Camera_NFC3"/>
    <s v="Camera_NFC3 - Short Range View"/>
    <m/>
    <m/>
    <s v="113;0"/>
    <s v="TE"/>
    <s v="1452581-2"/>
    <s v="1 Pos. Fakra II Unsealed"/>
    <m/>
    <s v="No"/>
    <s v="No"/>
    <s v="Yes"/>
    <n v="1"/>
    <n v="1"/>
    <n v="1"/>
    <n v="1"/>
  </r>
  <r>
    <x v="258"/>
    <s v="37.0_ADAS &amp; AutomatedDriving"/>
    <s v="37.30_Piloting-System"/>
    <s v="F1042"/>
    <s v="Pilot, Remote Operation"/>
    <m/>
    <s v="Drive Assistance"/>
    <s v="Automated Driving"/>
    <s v="Short Range View"/>
    <s v="L4/L5"/>
    <s v="Camera"/>
    <s v="Camera_NFC3"/>
    <s v="Camera_NFC3 - Short Range View"/>
    <m/>
    <m/>
    <s v="113;0"/>
    <s v="TE"/>
    <s v="1452581-2"/>
    <s v="1 Pos. Fakra II Unsealed"/>
    <m/>
    <s v="No"/>
    <s v="No"/>
    <s v="Yes"/>
    <n v="1"/>
    <n v="1"/>
    <n v="1"/>
    <n v="1"/>
  </r>
  <r>
    <x v="258"/>
    <s v="37.0_ADAS &amp; AutomatedDriving"/>
    <s v="37.30_Piloting-System"/>
    <s v="F1105"/>
    <s v="Pilot, Data Storage System For Automated Driving (DSSAD)"/>
    <m/>
    <s v="Drive Assistance"/>
    <s v="Automated Driving"/>
    <s v="Short Range View"/>
    <s v="L4/L5"/>
    <s v="Camera"/>
    <s v="Camera_NFC3"/>
    <s v="Camera_NFC3 - Short Range View"/>
    <m/>
    <m/>
    <s v="113;0"/>
    <s v="TE"/>
    <s v="1452581-2"/>
    <s v="1 Pos. Fakra II Unsealed"/>
    <m/>
    <s v="No"/>
    <s v="No"/>
    <s v="Yes"/>
    <n v="1"/>
    <n v="1"/>
    <n v="1"/>
    <n v="1"/>
  </r>
  <r>
    <x v="259"/>
    <s v="10.0_Comfort &amp; Exterior"/>
    <s v="10.20_Mirroring-System"/>
    <s v="F0249"/>
    <s v="Outside Mirror Camera"/>
    <m/>
    <s v="Drive Assistance"/>
    <s v="Automated Driving"/>
    <s v="Short Range View"/>
    <s v="L4/L5"/>
    <s v="Camera"/>
    <s v="Camera_NFC4"/>
    <s v="Camera_NFC4 - Short Range View"/>
    <m/>
    <m/>
    <s v="19;-23"/>
    <s v="TE"/>
    <s v="1452581-2"/>
    <s v="1 Pos. Fakra II Unsealed"/>
    <m/>
    <s v="No"/>
    <s v="No"/>
    <s v="Yes"/>
    <n v="1"/>
    <n v="1"/>
    <n v="1"/>
    <n v="1"/>
  </r>
  <r>
    <x v="259"/>
    <s v="37.0_ADAS &amp; AutomatedDriving"/>
    <s v="37.02_Alerting-System"/>
    <s v="F0594"/>
    <s v="Object Detection, Highway"/>
    <m/>
    <s v="Drive Assistance"/>
    <s v="Automated Driving"/>
    <s v="Short Range View"/>
    <s v="L4/L5"/>
    <s v="Camera"/>
    <s v="Camera_NFC4"/>
    <s v="Camera_NFC4 - Short Range View"/>
    <m/>
    <m/>
    <s v="19;-23"/>
    <s v="TE"/>
    <s v="1452581-2"/>
    <s v="1 Pos. Fakra II Unsealed"/>
    <m/>
    <s v="No"/>
    <s v="No"/>
    <s v="Yes"/>
    <n v="1"/>
    <n v="1"/>
    <n v="1"/>
    <n v="1"/>
  </r>
  <r>
    <x v="259"/>
    <s v="37.0_ADAS &amp; AutomatedDriving"/>
    <s v="37.02_Alerting-System"/>
    <s v="F0599"/>
    <s v="Event Recorder, Video Capturing"/>
    <m/>
    <s v="Drive Assistance"/>
    <s v="Automated Driving"/>
    <s v="Short Range View"/>
    <s v="L4/L5"/>
    <s v="Camera"/>
    <s v="Camera_NFC4"/>
    <s v="Camera_NFC4 - Short Range View"/>
    <m/>
    <m/>
    <s v="19;-23"/>
    <s v="TE"/>
    <s v="1452581-2"/>
    <s v="1 Pos. Fakra II Unsealed"/>
    <m/>
    <s v="No"/>
    <s v="No"/>
    <s v="Yes"/>
    <n v="1"/>
    <n v="1"/>
    <n v="1"/>
    <n v="1"/>
  </r>
  <r>
    <x v="259"/>
    <s v="37.0_ADAS &amp; AutomatedDriving"/>
    <s v="37.20_Parking-System"/>
    <s v="F0155"/>
    <s v="Park Assist, Front"/>
    <m/>
    <s v="Drive Assistance"/>
    <s v="Automated Driving"/>
    <s v="Short Range View"/>
    <s v="L4/L5"/>
    <s v="Camera"/>
    <s v="Camera_NFC4"/>
    <s v="Camera_NFC4 - Short Range View"/>
    <m/>
    <m/>
    <s v="19;-23"/>
    <s v="TE"/>
    <s v="1452581-2"/>
    <s v="1 Pos. Fakra II Unsealed"/>
    <m/>
    <s v="No"/>
    <s v="No"/>
    <s v="Yes"/>
    <n v="1"/>
    <n v="1"/>
    <n v="1"/>
    <n v="1"/>
  </r>
  <r>
    <x v="259"/>
    <s v="37.0_ADAS &amp; AutomatedDriving"/>
    <s v="37.20_Parking-System"/>
    <s v="F0156"/>
    <s v="Park Assist, Rear"/>
    <m/>
    <s v="Drive Assistance"/>
    <s v="Automated Driving"/>
    <s v="Short Range View"/>
    <s v="L4/L5"/>
    <s v="Camera"/>
    <s v="Camera_NFC4"/>
    <s v="Camera_NFC4 - Short Range View"/>
    <m/>
    <m/>
    <s v="19;-23"/>
    <s v="TE"/>
    <s v="1452581-2"/>
    <s v="1 Pos. Fakra II Unsealed"/>
    <m/>
    <s v="No"/>
    <s v="No"/>
    <s v="Yes"/>
    <n v="1"/>
    <n v="1"/>
    <n v="1"/>
    <n v="1"/>
  </r>
  <r>
    <x v="259"/>
    <s v="37.0_ADAS &amp; AutomatedDriving"/>
    <s v="37.20_Parking-System"/>
    <s v="F0314"/>
    <s v="Parking Pilot, Valet Parking"/>
    <m/>
    <s v="Drive Assistance"/>
    <s v="Automated Driving"/>
    <s v="Short Range View"/>
    <s v="L4/L5"/>
    <s v="Camera"/>
    <s v="Camera_NFC4"/>
    <s v="Camera_NFC4 - Short Range View"/>
    <m/>
    <m/>
    <s v="19;-23"/>
    <s v="TE"/>
    <s v="1452581-2"/>
    <s v="1 Pos. Fakra II Unsealed"/>
    <m/>
    <s v="No"/>
    <s v="No"/>
    <s v="Yes"/>
    <n v="1"/>
    <n v="1"/>
    <n v="1"/>
    <n v="1"/>
  </r>
  <r>
    <x v="259"/>
    <s v="37.0_ADAS &amp; AutomatedDriving"/>
    <s v="37.20_Parking-System"/>
    <s v="F0536"/>
    <s v="Parking Pilot, Trained Parking"/>
    <m/>
    <s v="Drive Assistance"/>
    <s v="Automated Driving"/>
    <s v="Short Range View"/>
    <s v="L4/L5"/>
    <s v="Camera"/>
    <s v="Camera_NFC4"/>
    <s v="Camera_NFC4 - Short Range View"/>
    <m/>
    <m/>
    <s v="19;-23"/>
    <s v="TE"/>
    <s v="1452581-2"/>
    <s v="1 Pos. Fakra II Unsealed"/>
    <m/>
    <s v="No"/>
    <s v="No"/>
    <s v="Yes"/>
    <n v="1"/>
    <n v="1"/>
    <n v="1"/>
    <n v="1"/>
  </r>
  <r>
    <x v="259"/>
    <s v="37.0_ADAS &amp; AutomatedDriving"/>
    <s v="37.20_Parking-System"/>
    <s v="F1301"/>
    <s v="Drive Away Assist"/>
    <m/>
    <s v="Drive Assistance"/>
    <s v="Automated Driving"/>
    <s v="Short Range View"/>
    <s v="L4/L5"/>
    <s v="Camera"/>
    <s v="Camera_NFC4"/>
    <s v="Camera_NFC4 - Short Range View"/>
    <m/>
    <m/>
    <s v="19;-23"/>
    <s v="TE"/>
    <s v="1452581-2"/>
    <s v="1 Pos. Fakra II Unsealed"/>
    <m/>
    <s v="No"/>
    <s v="No"/>
    <s v="Yes"/>
    <n v="1"/>
    <n v="1"/>
    <n v="1"/>
    <n v="1"/>
  </r>
  <r>
    <x v="259"/>
    <s v="37.0_ADAS &amp; AutomatedDriving"/>
    <s v="37.20_Parking-System"/>
    <s v="F1304"/>
    <s v="Park Assist, Side"/>
    <m/>
    <s v="Drive Assistance"/>
    <s v="Automated Driving"/>
    <s v="Short Range View"/>
    <s v="L4/L5"/>
    <s v="Camera"/>
    <s v="Camera_NFC4"/>
    <s v="Camera_NFC4 - Short Range View"/>
    <m/>
    <m/>
    <s v="19;-23"/>
    <s v="TE"/>
    <s v="1452581-2"/>
    <s v="1 Pos. Fakra II Unsealed"/>
    <m/>
    <s v="No"/>
    <s v="No"/>
    <s v="Yes"/>
    <n v="1"/>
    <n v="1"/>
    <n v="1"/>
    <n v="1"/>
  </r>
  <r>
    <x v="259"/>
    <s v="37.0_ADAS &amp; AutomatedDriving"/>
    <s v="37.20_Parking-System"/>
    <s v="F2003"/>
    <s v="Automatic Parking Support"/>
    <m/>
    <s v="Drive Assistance"/>
    <s v="Automated Driving"/>
    <s v="Short Range View"/>
    <s v="L4/L5"/>
    <s v="Camera"/>
    <s v="Camera_NFC4"/>
    <s v="Camera_NFC4 - Short Range View"/>
    <m/>
    <m/>
    <s v="19;-23"/>
    <s v="TE"/>
    <s v="1452581-2"/>
    <s v="1 Pos. Fakra II Unsealed"/>
    <m/>
    <s v="No"/>
    <s v="No"/>
    <s v="Yes"/>
    <n v="1"/>
    <n v="1"/>
    <n v="1"/>
    <n v="1"/>
  </r>
  <r>
    <x v="259"/>
    <s v="37.0_ADAS &amp; AutomatedDriving"/>
    <s v="37.30_Piloting-System"/>
    <s v="F0332"/>
    <s v="Pilot, Traffic Jam"/>
    <m/>
    <s v="Drive Assistance"/>
    <s v="Automated Driving"/>
    <s v="Short Range View"/>
    <s v="L4/L5"/>
    <s v="Camera"/>
    <s v="Camera_NFC4"/>
    <s v="Camera_NFC4 - Short Range View"/>
    <m/>
    <m/>
    <s v="19;-23"/>
    <s v="TE"/>
    <s v="1452581-2"/>
    <s v="1 Pos. Fakra II Unsealed"/>
    <m/>
    <s v="No"/>
    <s v="No"/>
    <s v="Yes"/>
    <n v="1"/>
    <n v="1"/>
    <n v="1"/>
    <n v="1"/>
  </r>
  <r>
    <x v="259"/>
    <s v="37.0_ADAS &amp; AutomatedDriving"/>
    <s v="37.30_Piloting-System"/>
    <s v="F0335"/>
    <s v="Pilot, Highway"/>
    <m/>
    <s v="Drive Assistance"/>
    <s v="Automated Driving"/>
    <s v="Short Range View"/>
    <s v="L4/L5"/>
    <s v="Camera"/>
    <s v="Camera_NFC4"/>
    <s v="Camera_NFC4 - Short Range View"/>
    <m/>
    <m/>
    <s v="19;-23"/>
    <s v="TE"/>
    <s v="1452581-2"/>
    <s v="1 Pos. Fakra II Unsealed"/>
    <m/>
    <s v="No"/>
    <s v="No"/>
    <s v="Yes"/>
    <n v="1"/>
    <n v="1"/>
    <n v="1"/>
    <n v="1"/>
  </r>
  <r>
    <x v="259"/>
    <s v="37.0_ADAS &amp; AutomatedDriving"/>
    <s v="37.30_Piloting-System"/>
    <s v="F0337"/>
    <s v="Pilot, City"/>
    <m/>
    <s v="Drive Assistance"/>
    <s v="Automated Driving"/>
    <s v="Short Range View"/>
    <s v="L4/L5"/>
    <s v="Camera"/>
    <s v="Camera_NFC4"/>
    <s v="Camera_NFC4 - Short Range View"/>
    <m/>
    <m/>
    <s v="19;-23"/>
    <s v="TE"/>
    <s v="1452581-2"/>
    <s v="1 Pos. Fakra II Unsealed"/>
    <m/>
    <s v="No"/>
    <s v="No"/>
    <s v="Yes"/>
    <n v="1"/>
    <n v="1"/>
    <n v="1"/>
    <n v="1"/>
  </r>
  <r>
    <x v="259"/>
    <s v="37.0_ADAS &amp; AutomatedDriving"/>
    <s v="37.30_Piloting-System"/>
    <s v="F0651"/>
    <s v="Pilot, Country Road"/>
    <m/>
    <s v="Drive Assistance"/>
    <s v="Automated Driving"/>
    <s v="Short Range View"/>
    <s v="L4/L5"/>
    <s v="Camera"/>
    <s v="Camera_NFC4"/>
    <s v="Camera_NFC4 - Short Range View"/>
    <m/>
    <m/>
    <s v="19;-23"/>
    <s v="TE"/>
    <s v="1452581-2"/>
    <s v="1 Pos. Fakra II Unsealed"/>
    <m/>
    <s v="No"/>
    <s v="No"/>
    <s v="Yes"/>
    <n v="1"/>
    <n v="1"/>
    <n v="1"/>
    <n v="1"/>
  </r>
  <r>
    <x v="259"/>
    <s v="37.0_ADAS &amp; AutomatedDriving"/>
    <s v="37.30_Piloting-System"/>
    <s v="F0915"/>
    <s v="Pilot, Rush Hour"/>
    <m/>
    <s v="Drive Assistance"/>
    <s v="Automated Driving"/>
    <s v="Short Range View"/>
    <s v="L4/L5"/>
    <s v="Camera"/>
    <s v="Camera_NFC4"/>
    <s v="Camera_NFC4 - Short Range View"/>
    <m/>
    <m/>
    <s v="19;-23"/>
    <s v="TE"/>
    <s v="1452581-2"/>
    <s v="1 Pos. Fakra II Unsealed"/>
    <m/>
    <s v="No"/>
    <s v="No"/>
    <s v="Yes"/>
    <n v="1"/>
    <n v="1"/>
    <n v="1"/>
    <n v="1"/>
  </r>
  <r>
    <x v="259"/>
    <s v="37.0_ADAS &amp; AutomatedDriving"/>
    <s v="37.30_Piloting-System"/>
    <s v="F1042"/>
    <s v="Pilot, Remote Operation"/>
    <m/>
    <s v="Drive Assistance"/>
    <s v="Automated Driving"/>
    <s v="Short Range View"/>
    <s v="L4/L5"/>
    <s v="Camera"/>
    <s v="Camera_NFC4"/>
    <s v="Camera_NFC4 - Short Range View"/>
    <m/>
    <m/>
    <s v="19;-23"/>
    <s v="TE"/>
    <s v="1452581-2"/>
    <s v="1 Pos. Fakra II Unsealed"/>
    <m/>
    <s v="No"/>
    <s v="No"/>
    <s v="Yes"/>
    <n v="1"/>
    <n v="1"/>
    <n v="1"/>
    <n v="1"/>
  </r>
  <r>
    <x v="259"/>
    <s v="37.0_ADAS &amp; AutomatedDriving"/>
    <s v="37.30_Piloting-System"/>
    <s v="F1105"/>
    <s v="Pilot, Data Storage System For Automated Driving (DSSAD)"/>
    <m/>
    <s v="Drive Assistance"/>
    <s v="Automated Driving"/>
    <s v="Short Range View"/>
    <s v="L4/L5"/>
    <s v="Camera"/>
    <s v="Camera_NFC4"/>
    <s v="Camera_NFC4 - Short Range View"/>
    <m/>
    <m/>
    <s v="19;-23"/>
    <s v="TE"/>
    <s v="1452581-2"/>
    <s v="1 Pos. Fakra II Unsealed"/>
    <m/>
    <s v="No"/>
    <s v="No"/>
    <s v="Yes"/>
    <n v="1"/>
    <n v="1"/>
    <n v="1"/>
    <n v="1"/>
  </r>
  <r>
    <x v="260"/>
    <s v="37.0_ADAS &amp; AutomatedDriving"/>
    <s v="37.02_Alerting-System"/>
    <s v="F0594"/>
    <s v="Object Detection, Highway"/>
    <m/>
    <s v="Drive Assistance"/>
    <s v="Automated Driving"/>
    <s v="Short Range View"/>
    <s v="L4/L5"/>
    <s v="Camera"/>
    <s v="Camera_NFC5"/>
    <s v="Camera_NFC5 - Short Range View"/>
    <m/>
    <m/>
    <s v="-11;-17"/>
    <s v="TE"/>
    <s v="1452581-2"/>
    <s v="1 Pos. Fakra II Unsealed"/>
    <m/>
    <s v="No"/>
    <s v="No"/>
    <s v="Yes"/>
    <n v="1"/>
    <n v="1"/>
    <n v="1"/>
    <n v="1"/>
  </r>
  <r>
    <x v="260"/>
    <s v="37.0_ADAS &amp; AutomatedDriving"/>
    <s v="37.02_Alerting-System"/>
    <s v="F0599"/>
    <s v="Event Recorder, Video Capturing"/>
    <m/>
    <s v="Drive Assistance"/>
    <s v="Automated Driving"/>
    <s v="Short Range View"/>
    <s v="L4/L5"/>
    <s v="Camera"/>
    <s v="Camera_NFC5"/>
    <s v="Camera_NFC5 - Short Range View"/>
    <m/>
    <m/>
    <s v="-11;-17"/>
    <s v="TE"/>
    <s v="1452581-2"/>
    <s v="1 Pos. Fakra II Unsealed"/>
    <m/>
    <s v="No"/>
    <s v="No"/>
    <s v="Yes"/>
    <n v="1"/>
    <n v="1"/>
    <n v="1"/>
    <n v="1"/>
  </r>
  <r>
    <x v="260"/>
    <s v="37.0_ADAS &amp; AutomatedDriving"/>
    <s v="37.20_Parking-System"/>
    <s v="F0155"/>
    <s v="Park Assist, Front"/>
    <m/>
    <s v="Drive Assistance"/>
    <s v="Automated Driving"/>
    <s v="Short Range View"/>
    <s v="L4/L5"/>
    <s v="Camera"/>
    <s v="Camera_NFC5"/>
    <s v="Camera_NFC5 - Short Range View"/>
    <m/>
    <m/>
    <s v="-11;-17"/>
    <s v="TE"/>
    <s v="1452581-2"/>
    <s v="1 Pos. Fakra II Unsealed"/>
    <m/>
    <s v="No"/>
    <s v="No"/>
    <s v="Yes"/>
    <n v="1"/>
    <n v="1"/>
    <n v="1"/>
    <n v="1"/>
  </r>
  <r>
    <x v="260"/>
    <s v="37.0_ADAS &amp; AutomatedDriving"/>
    <s v="37.20_Parking-System"/>
    <s v="F0156"/>
    <s v="Park Assist, Rear"/>
    <m/>
    <s v="Drive Assistance"/>
    <s v="Automated Driving"/>
    <s v="Short Range View"/>
    <s v="L4/L5"/>
    <s v="Camera"/>
    <s v="Camera_NFC5"/>
    <s v="Camera_NFC5 - Short Range View"/>
    <m/>
    <m/>
    <s v="-11;-17"/>
    <s v="TE"/>
    <s v="1452581-2"/>
    <s v="1 Pos. Fakra II Unsealed"/>
    <m/>
    <s v="No"/>
    <s v="No"/>
    <s v="Yes"/>
    <n v="1"/>
    <n v="1"/>
    <n v="1"/>
    <n v="1"/>
  </r>
  <r>
    <x v="260"/>
    <s v="37.0_ADAS &amp; AutomatedDriving"/>
    <s v="37.20_Parking-System"/>
    <s v="F0314"/>
    <s v="Parking Pilot, Valet Parking"/>
    <m/>
    <s v="Drive Assistance"/>
    <s v="Automated Driving"/>
    <s v="Short Range View"/>
    <s v="L4/L5"/>
    <s v="Camera"/>
    <s v="Camera_NFC5"/>
    <s v="Camera_NFC5 - Short Range View"/>
    <m/>
    <m/>
    <s v="-11;-17"/>
    <s v="TE"/>
    <s v="1452581-2"/>
    <s v="1 Pos. Fakra II Unsealed"/>
    <m/>
    <s v="No"/>
    <s v="No"/>
    <s v="Yes"/>
    <n v="1"/>
    <n v="1"/>
    <n v="1"/>
    <n v="1"/>
  </r>
  <r>
    <x v="260"/>
    <s v="37.0_ADAS &amp; AutomatedDriving"/>
    <s v="37.20_Parking-System"/>
    <s v="F0536"/>
    <s v="Parking Pilot, Trained Parking"/>
    <m/>
    <s v="Drive Assistance"/>
    <s v="Automated Driving"/>
    <s v="Short Range View"/>
    <s v="L4/L5"/>
    <s v="Camera"/>
    <s v="Camera_NFC5"/>
    <s v="Camera_NFC5 - Short Range View"/>
    <m/>
    <m/>
    <s v="-11;-17"/>
    <s v="TE"/>
    <s v="1452581-2"/>
    <s v="1 Pos. Fakra II Unsealed"/>
    <m/>
    <s v="No"/>
    <s v="No"/>
    <s v="Yes"/>
    <n v="1"/>
    <n v="1"/>
    <n v="1"/>
    <n v="1"/>
  </r>
  <r>
    <x v="260"/>
    <s v="37.0_ADAS &amp; AutomatedDriving"/>
    <s v="37.20_Parking-System"/>
    <s v="F1301"/>
    <s v="Drive Away Assist"/>
    <m/>
    <s v="Drive Assistance"/>
    <s v="Automated Driving"/>
    <s v="Short Range View"/>
    <s v="L4/L5"/>
    <s v="Camera"/>
    <s v="Camera_NFC5"/>
    <s v="Camera_NFC5 - Short Range View"/>
    <m/>
    <m/>
    <s v="-11;-17"/>
    <s v="TE"/>
    <s v="1452581-2"/>
    <s v="1 Pos. Fakra II Unsealed"/>
    <m/>
    <s v="No"/>
    <s v="No"/>
    <s v="Yes"/>
    <n v="1"/>
    <n v="1"/>
    <n v="1"/>
    <n v="1"/>
  </r>
  <r>
    <x v="260"/>
    <s v="37.0_ADAS &amp; AutomatedDriving"/>
    <s v="37.20_Parking-System"/>
    <s v="F1304"/>
    <s v="Park Assist, Side"/>
    <m/>
    <s v="Drive Assistance"/>
    <s v="Automated Driving"/>
    <s v="Short Range View"/>
    <s v="L4/L5"/>
    <s v="Camera"/>
    <s v="Camera_NFC5"/>
    <s v="Camera_NFC5 - Short Range View"/>
    <m/>
    <m/>
    <s v="-11;-17"/>
    <s v="TE"/>
    <s v="1452581-2"/>
    <s v="1 Pos. Fakra II Unsealed"/>
    <m/>
    <s v="No"/>
    <s v="No"/>
    <s v="Yes"/>
    <n v="1"/>
    <n v="1"/>
    <n v="1"/>
    <n v="1"/>
  </r>
  <r>
    <x v="260"/>
    <s v="37.0_ADAS &amp; AutomatedDriving"/>
    <s v="37.20_Parking-System"/>
    <s v="F2003"/>
    <s v="Automatic Parking Support"/>
    <m/>
    <s v="Drive Assistance"/>
    <s v="Automated Driving"/>
    <s v="Short Range View"/>
    <s v="L4/L5"/>
    <s v="Camera"/>
    <s v="Camera_NFC5"/>
    <s v="Camera_NFC5 - Short Range View"/>
    <m/>
    <m/>
    <s v="-11;-17"/>
    <s v="TE"/>
    <s v="1452581-2"/>
    <s v="1 Pos. Fakra II Unsealed"/>
    <m/>
    <s v="No"/>
    <s v="No"/>
    <s v="Yes"/>
    <n v="1"/>
    <n v="1"/>
    <n v="1"/>
    <n v="1"/>
  </r>
  <r>
    <x v="260"/>
    <s v="37.0_ADAS &amp; AutomatedDriving"/>
    <s v="37.30_Piloting-System"/>
    <s v="F0332"/>
    <s v="Pilot, Traffic Jam"/>
    <m/>
    <s v="Drive Assistance"/>
    <s v="Automated Driving"/>
    <s v="Short Range View"/>
    <s v="L4/L5"/>
    <s v="Camera"/>
    <s v="Camera_NFC5"/>
    <s v="Camera_NFC5 - Short Range View"/>
    <m/>
    <m/>
    <s v="-11;-17"/>
    <s v="TE"/>
    <s v="1452581-2"/>
    <s v="1 Pos. Fakra II Unsealed"/>
    <m/>
    <s v="No"/>
    <s v="No"/>
    <s v="Yes"/>
    <n v="1"/>
    <n v="1"/>
    <n v="1"/>
    <n v="1"/>
  </r>
  <r>
    <x v="260"/>
    <s v="37.0_ADAS &amp; AutomatedDriving"/>
    <s v="37.30_Piloting-System"/>
    <s v="F0335"/>
    <s v="Pilot, Highway"/>
    <m/>
    <s v="Drive Assistance"/>
    <s v="Automated Driving"/>
    <s v="Short Range View"/>
    <s v="L4/L5"/>
    <s v="Camera"/>
    <s v="Camera_NFC5"/>
    <s v="Camera_NFC5 - Short Range View"/>
    <m/>
    <m/>
    <s v="-11;-17"/>
    <s v="TE"/>
    <s v="1452581-2"/>
    <s v="1 Pos. Fakra II Unsealed"/>
    <m/>
    <s v="No"/>
    <s v="No"/>
    <s v="Yes"/>
    <n v="1"/>
    <n v="1"/>
    <n v="1"/>
    <n v="1"/>
  </r>
  <r>
    <x v="260"/>
    <s v="37.0_ADAS &amp; AutomatedDriving"/>
    <s v="37.30_Piloting-System"/>
    <s v="F0337"/>
    <s v="Pilot, City"/>
    <m/>
    <s v="Drive Assistance"/>
    <s v="Automated Driving"/>
    <s v="Short Range View"/>
    <s v="L4/L5"/>
    <s v="Camera"/>
    <s v="Camera_NFC5"/>
    <s v="Camera_NFC5 - Short Range View"/>
    <m/>
    <m/>
    <s v="-11;-17"/>
    <s v="TE"/>
    <s v="1452581-2"/>
    <s v="1 Pos. Fakra II Unsealed"/>
    <m/>
    <s v="No"/>
    <s v="No"/>
    <s v="Yes"/>
    <n v="1"/>
    <n v="1"/>
    <n v="1"/>
    <n v="1"/>
  </r>
  <r>
    <x v="260"/>
    <s v="37.0_ADAS &amp; AutomatedDriving"/>
    <s v="37.30_Piloting-System"/>
    <s v="F0651"/>
    <s v="Pilot, Country Road"/>
    <m/>
    <s v="Drive Assistance"/>
    <s v="Automated Driving"/>
    <s v="Short Range View"/>
    <s v="L4/L5"/>
    <s v="Camera"/>
    <s v="Camera_NFC5"/>
    <s v="Camera_NFC5 - Short Range View"/>
    <m/>
    <m/>
    <s v="-11;-17"/>
    <s v="TE"/>
    <s v="1452581-2"/>
    <s v="1 Pos. Fakra II Unsealed"/>
    <m/>
    <s v="No"/>
    <s v="No"/>
    <s v="Yes"/>
    <n v="1"/>
    <n v="1"/>
    <n v="1"/>
    <n v="1"/>
  </r>
  <r>
    <x v="260"/>
    <s v="37.0_ADAS &amp; AutomatedDriving"/>
    <s v="37.30_Piloting-System"/>
    <s v="F0915"/>
    <s v="Pilot, Rush Hour"/>
    <m/>
    <s v="Drive Assistance"/>
    <s v="Automated Driving"/>
    <s v="Short Range View"/>
    <s v="L4/L5"/>
    <s v="Camera"/>
    <s v="Camera_NFC5"/>
    <s v="Camera_NFC5 - Short Range View"/>
    <m/>
    <m/>
    <s v="-11;-17"/>
    <s v="TE"/>
    <s v="1452581-2"/>
    <s v="1 Pos. Fakra II Unsealed"/>
    <m/>
    <s v="No"/>
    <s v="No"/>
    <s v="Yes"/>
    <n v="1"/>
    <n v="1"/>
    <n v="1"/>
    <n v="1"/>
  </r>
  <r>
    <x v="260"/>
    <s v="37.0_ADAS &amp; AutomatedDriving"/>
    <s v="37.30_Piloting-System"/>
    <s v="F1042"/>
    <s v="Pilot, Remote Operation"/>
    <m/>
    <s v="Drive Assistance"/>
    <s v="Automated Driving"/>
    <s v="Short Range View"/>
    <s v="L4/L5"/>
    <s v="Camera"/>
    <s v="Camera_NFC5"/>
    <s v="Camera_NFC5 - Short Range View"/>
    <m/>
    <m/>
    <s v="-11;-17"/>
    <s v="TE"/>
    <s v="1452581-2"/>
    <s v="1 Pos. Fakra II Unsealed"/>
    <m/>
    <s v="No"/>
    <s v="No"/>
    <s v="Yes"/>
    <n v="1"/>
    <n v="1"/>
    <n v="1"/>
    <n v="1"/>
  </r>
  <r>
    <x v="260"/>
    <s v="37.0_ADAS &amp; AutomatedDriving"/>
    <s v="37.30_Piloting-System"/>
    <s v="F1105"/>
    <s v="Pilot, Data Storage System For Automated Driving (DSSAD)"/>
    <m/>
    <s v="Drive Assistance"/>
    <s v="Automated Driving"/>
    <s v="Short Range View"/>
    <s v="L4/L5"/>
    <s v="Camera"/>
    <s v="Camera_NFC5"/>
    <s v="Camera_NFC5 - Short Range View"/>
    <m/>
    <m/>
    <s v="-11;-17"/>
    <s v="TE"/>
    <s v="1452581-2"/>
    <s v="1 Pos. Fakra II Unsealed"/>
    <m/>
    <s v="No"/>
    <s v="No"/>
    <s v="Yes"/>
    <n v="1"/>
    <n v="1"/>
    <n v="1"/>
    <n v="1"/>
  </r>
  <r>
    <x v="261"/>
    <s v="10.0_Comfort &amp; Exterior"/>
    <s v="10.20_Mirroring-System"/>
    <s v="F0912"/>
    <s v="Surround View, 3D-View"/>
    <m/>
    <s v="Drive Assistance"/>
    <s v="Automated Driving"/>
    <s v="Long Range View"/>
    <s v="L4/L5"/>
    <s v="Camera"/>
    <s v="Camera_FFC1"/>
    <s v="Camera_FFC1 - Long Range View"/>
    <m/>
    <m/>
    <s v="41;2"/>
    <s v="TE"/>
    <s v="2307383-1"/>
    <s v="1 Pos. Fakra Sealed"/>
    <m/>
    <s v="No"/>
    <s v="No"/>
    <s v="Yes"/>
    <n v="1"/>
    <n v="1"/>
    <n v="1"/>
    <n v="1"/>
  </r>
  <r>
    <x v="261"/>
    <s v="37.0_ADAS &amp; AutomatedDriving"/>
    <s v="37.01_LightingAssistant-System"/>
    <s v="F0145"/>
    <s v="Light Assist, High Beam Automatic"/>
    <m/>
    <s v="Drive Assistance"/>
    <s v="Automated Driving"/>
    <s v="Long Range View"/>
    <s v="L4/L5"/>
    <s v="Camera"/>
    <s v="Camera_FFC1"/>
    <s v="Camera_FFC1 - Long Range View"/>
    <m/>
    <m/>
    <s v="41;2"/>
    <s v="TE"/>
    <s v="2307383-1"/>
    <s v="1 Pos. Fakra Sealed"/>
    <m/>
    <s v="No"/>
    <s v="No"/>
    <s v="Yes"/>
    <n v="1"/>
    <n v="1"/>
    <n v="1"/>
    <n v="1"/>
  </r>
  <r>
    <x v="261"/>
    <s v="37.0_ADAS &amp; AutomatedDriving"/>
    <s v="37.02_Alerting-System"/>
    <s v="F0162"/>
    <s v="Object Detection, Traffic Sign Recognition"/>
    <m/>
    <s v="Drive Assistance"/>
    <s v="Automated Driving"/>
    <s v="Long Range View"/>
    <s v="L4/L5"/>
    <s v="Camera"/>
    <s v="Camera_FFC1"/>
    <s v="Camera_FFC1 - Long Range View"/>
    <m/>
    <m/>
    <s v="41;2"/>
    <s v="TE"/>
    <s v="2307383-1"/>
    <s v="1 Pos. Fakra Sealed"/>
    <m/>
    <s v="No"/>
    <s v="No"/>
    <s v="Yes"/>
    <n v="1"/>
    <n v="1"/>
    <n v="1"/>
    <n v="1"/>
  </r>
  <r>
    <x v="261"/>
    <s v="37.0_ADAS &amp; AutomatedDriving"/>
    <s v="37.02_Alerting-System"/>
    <s v="F0594"/>
    <s v="Object Detection, Highway"/>
    <m/>
    <s v="Drive Assistance"/>
    <s v="Automated Driving"/>
    <s v="Long Range View"/>
    <s v="L4/L5"/>
    <s v="Camera"/>
    <s v="Camera_FFC1"/>
    <s v="Camera_FFC1 - Long Range View"/>
    <m/>
    <m/>
    <s v="41;2"/>
    <s v="TE"/>
    <s v="2307383-1"/>
    <s v="1 Pos. Fakra Sealed"/>
    <m/>
    <s v="No"/>
    <s v="No"/>
    <s v="Yes"/>
    <n v="1"/>
    <n v="1"/>
    <n v="1"/>
    <n v="1"/>
  </r>
  <r>
    <x v="261"/>
    <s v="37.0_ADAS &amp; AutomatedDriving"/>
    <s v="37.02_Alerting-System"/>
    <s v="F0599"/>
    <s v="Event Recorder, Video Capturing"/>
    <m/>
    <s v="Drive Assistance"/>
    <s v="Automated Driving"/>
    <s v="Long Range View"/>
    <s v="L4/L5"/>
    <s v="Camera"/>
    <s v="Camera_FFC1"/>
    <s v="Camera_FFC1 - Long Range View"/>
    <m/>
    <m/>
    <s v="41;2"/>
    <s v="TE"/>
    <s v="2307383-1"/>
    <s v="1 Pos. Fakra Sealed"/>
    <m/>
    <s v="No"/>
    <s v="No"/>
    <s v="Yes"/>
    <n v="1"/>
    <n v="1"/>
    <n v="1"/>
    <n v="1"/>
  </r>
  <r>
    <x v="261"/>
    <s v="37.0_ADAS &amp; AutomatedDriving"/>
    <s v="37.20_Parking-System"/>
    <s v="F0155"/>
    <s v="Park Assist, Front"/>
    <m/>
    <s v="Drive Assistance"/>
    <s v="Automated Driving"/>
    <s v="Long Range View"/>
    <s v="L4/L5"/>
    <s v="Camera"/>
    <s v="Camera_FFC1"/>
    <s v="Camera_FFC1 - Long Range View"/>
    <m/>
    <m/>
    <s v="41;2"/>
    <s v="TE"/>
    <s v="2307383-1"/>
    <s v="1 Pos. Fakra Sealed"/>
    <m/>
    <s v="No"/>
    <s v="No"/>
    <s v="Yes"/>
    <n v="1"/>
    <n v="1"/>
    <n v="1"/>
    <n v="1"/>
  </r>
  <r>
    <x v="261"/>
    <s v="37.0_ADAS &amp; AutomatedDriving"/>
    <s v="37.20_Parking-System"/>
    <s v="F0156"/>
    <s v="Park Assist, Rear"/>
    <m/>
    <s v="Drive Assistance"/>
    <s v="Automated Driving"/>
    <s v="Long Range View"/>
    <s v="L4/L5"/>
    <s v="Camera"/>
    <s v="Camera_FFC1"/>
    <s v="Camera_FFC1 - Long Range View"/>
    <m/>
    <m/>
    <s v="41;2"/>
    <s v="TE"/>
    <s v="2307383-1"/>
    <s v="1 Pos. Fakra Sealed"/>
    <m/>
    <s v="No"/>
    <s v="No"/>
    <s v="Yes"/>
    <n v="1"/>
    <n v="1"/>
    <n v="1"/>
    <n v="1"/>
  </r>
  <r>
    <x v="261"/>
    <s v="37.0_ADAS &amp; AutomatedDriving"/>
    <s v="37.20_Parking-System"/>
    <s v="F0314"/>
    <s v="Parking Pilot, Valet Parking"/>
    <m/>
    <s v="Drive Assistance"/>
    <s v="Automated Driving"/>
    <s v="Long Range View"/>
    <s v="L4/L5"/>
    <s v="Camera"/>
    <s v="Camera_FFC1"/>
    <s v="Camera_FFC1 - Long Range View"/>
    <m/>
    <m/>
    <s v="41;2"/>
    <s v="TE"/>
    <s v="2307383-1"/>
    <s v="1 Pos. Fakra Sealed"/>
    <m/>
    <s v="No"/>
    <s v="No"/>
    <s v="Yes"/>
    <n v="1"/>
    <n v="1"/>
    <n v="1"/>
    <n v="1"/>
  </r>
  <r>
    <x v="261"/>
    <s v="37.0_ADAS &amp; AutomatedDriving"/>
    <s v="37.20_Parking-System"/>
    <s v="F0536"/>
    <s v="Parking Pilot, Trained Parking"/>
    <m/>
    <s v="Drive Assistance"/>
    <s v="Automated Driving"/>
    <s v="Long Range View"/>
    <s v="L4/L5"/>
    <s v="Camera"/>
    <s v="Camera_FFC1"/>
    <s v="Camera_FFC1 - Long Range View"/>
    <m/>
    <m/>
    <s v="41;2"/>
    <s v="TE"/>
    <s v="2307383-1"/>
    <s v="1 Pos. Fakra Sealed"/>
    <m/>
    <s v="No"/>
    <s v="No"/>
    <s v="Yes"/>
    <n v="1"/>
    <n v="1"/>
    <n v="1"/>
    <n v="1"/>
  </r>
  <r>
    <x v="261"/>
    <s v="37.0_ADAS &amp; AutomatedDriving"/>
    <s v="37.20_Parking-System"/>
    <s v="F1301"/>
    <s v="Drive Away Assist"/>
    <m/>
    <s v="Drive Assistance"/>
    <s v="Automated Driving"/>
    <s v="Long Range View"/>
    <s v="L4/L5"/>
    <s v="Camera"/>
    <s v="Camera_FFC1"/>
    <s v="Camera_FFC1 - Long Range View"/>
    <m/>
    <m/>
    <s v="41;2"/>
    <s v="TE"/>
    <s v="2307383-1"/>
    <s v="1 Pos. Fakra Sealed"/>
    <m/>
    <s v="No"/>
    <s v="No"/>
    <s v="Yes"/>
    <n v="1"/>
    <n v="1"/>
    <n v="1"/>
    <n v="1"/>
  </r>
  <r>
    <x v="261"/>
    <s v="37.0_ADAS &amp; AutomatedDriving"/>
    <s v="37.20_Parking-System"/>
    <s v="F1304"/>
    <s v="Park Assist, Side"/>
    <m/>
    <s v="Drive Assistance"/>
    <s v="Automated Driving"/>
    <s v="Long Range View"/>
    <s v="L4/L5"/>
    <s v="Camera"/>
    <s v="Camera_FFC1"/>
    <s v="Camera_FFC1 - Long Range View"/>
    <m/>
    <m/>
    <s v="41;2"/>
    <s v="TE"/>
    <s v="2307383-1"/>
    <s v="1 Pos. Fakra Sealed"/>
    <m/>
    <s v="No"/>
    <s v="No"/>
    <s v="Yes"/>
    <n v="1"/>
    <n v="1"/>
    <n v="1"/>
    <n v="1"/>
  </r>
  <r>
    <x v="261"/>
    <s v="37.0_ADAS &amp; AutomatedDriving"/>
    <s v="37.20_Parking-System"/>
    <s v="F2003"/>
    <s v="Automatic Parking Support"/>
    <m/>
    <s v="Drive Assistance"/>
    <s v="Automated Driving"/>
    <s v="Long Range View"/>
    <s v="L4/L5"/>
    <s v="Camera"/>
    <s v="Camera_FFC1"/>
    <s v="Camera_FFC1 - Long Range View"/>
    <m/>
    <m/>
    <s v="41;2"/>
    <s v="TE"/>
    <s v="2307383-1"/>
    <s v="1 Pos. Fakra Sealed"/>
    <m/>
    <s v="No"/>
    <s v="No"/>
    <s v="Yes"/>
    <n v="1"/>
    <n v="1"/>
    <n v="1"/>
    <n v="1"/>
  </r>
  <r>
    <x v="261"/>
    <s v="37.0_ADAS &amp; AutomatedDriving"/>
    <s v="37.23_LaneSupporting-System"/>
    <s v="F0331"/>
    <s v="Lane Assist, Lane Change Assist (LCA)"/>
    <m/>
    <s v="Drive Assistance"/>
    <s v="Automated Driving"/>
    <s v="Long Range View"/>
    <s v="L4/L5"/>
    <s v="Camera"/>
    <s v="Camera_FFC1"/>
    <s v="Camera_FFC1 - Long Range View"/>
    <m/>
    <m/>
    <s v="41;2"/>
    <s v="TE"/>
    <s v="2307383-1"/>
    <s v="1 Pos. Fakra Sealed"/>
    <m/>
    <s v="No"/>
    <s v="No"/>
    <s v="Yes"/>
    <n v="1"/>
    <n v="1"/>
    <n v="1"/>
    <n v="1"/>
  </r>
  <r>
    <x v="261"/>
    <s v="37.0_ADAS &amp; AutomatedDriving"/>
    <s v="37.23_LaneSupporting-System"/>
    <s v="F0595"/>
    <s v="Lane Assist, Highway Assist"/>
    <m/>
    <s v="Drive Assistance"/>
    <s v="Automated Driving"/>
    <s v="Long Range View"/>
    <s v="L4/L5"/>
    <s v="Camera"/>
    <s v="Camera_FFC1"/>
    <s v="Camera_FFC1 - Long Range View"/>
    <m/>
    <m/>
    <s v="41;2"/>
    <s v="TE"/>
    <s v="2307383-1"/>
    <s v="1 Pos. Fakra Sealed"/>
    <m/>
    <s v="No"/>
    <s v="No"/>
    <s v="Yes"/>
    <n v="1"/>
    <n v="1"/>
    <n v="1"/>
    <n v="1"/>
  </r>
  <r>
    <x v="261"/>
    <s v="37.0_ADAS &amp; AutomatedDriving"/>
    <s v="37.23_LaneSupporting-System"/>
    <s v="F0657"/>
    <s v="Lane Assist, Evasive Steering Support"/>
    <m/>
    <s v="Drive Assistance"/>
    <s v="Automated Driving"/>
    <s v="Long Range View"/>
    <s v="L4/L5"/>
    <s v="Camera"/>
    <s v="Camera_FFC1"/>
    <s v="Camera_FFC1 - Long Range View"/>
    <m/>
    <m/>
    <s v="41;2"/>
    <s v="TE"/>
    <s v="2307383-1"/>
    <s v="1 Pos. Fakra Sealed"/>
    <m/>
    <s v="No"/>
    <s v="No"/>
    <s v="Yes"/>
    <n v="1"/>
    <n v="1"/>
    <n v="1"/>
    <n v="1"/>
  </r>
  <r>
    <x v="261"/>
    <s v="37.0_ADAS &amp; AutomatedDriving"/>
    <s v="37.23_LaneSupporting-System"/>
    <s v="F0658"/>
    <s v="Lane Assist, Traffic Jam Assist"/>
    <m/>
    <s v="Drive Assistance"/>
    <s v="Automated Driving"/>
    <s v="Long Range View"/>
    <s v="L4/L5"/>
    <s v="Camera"/>
    <s v="Camera_FFC1"/>
    <s v="Camera_FFC1 - Long Range View"/>
    <m/>
    <m/>
    <s v="41;2"/>
    <s v="TE"/>
    <s v="2307383-1"/>
    <s v="1 Pos. Fakra Sealed"/>
    <m/>
    <s v="No"/>
    <s v="No"/>
    <s v="Yes"/>
    <n v="1"/>
    <n v="1"/>
    <n v="1"/>
    <n v="1"/>
  </r>
  <r>
    <x v="261"/>
    <s v="37.0_ADAS &amp; AutomatedDriving"/>
    <s v="37.23_LaneSupporting-System"/>
    <s v="F1187"/>
    <s v="Lane Support System, Lane Centering Control (LCC)"/>
    <m/>
    <s v="Drive Assistance"/>
    <s v="Automated Driving"/>
    <s v="Long Range View"/>
    <s v="L4/L5"/>
    <s v="Camera"/>
    <s v="Camera_FFC1"/>
    <s v="Camera_FFC1 - Long Range View"/>
    <m/>
    <m/>
    <s v="41;2"/>
    <s v="TE"/>
    <s v="2307383-1"/>
    <s v="1 Pos. Fakra Sealed"/>
    <m/>
    <s v="No"/>
    <s v="No"/>
    <s v="Yes"/>
    <n v="1"/>
    <n v="1"/>
    <n v="1"/>
    <n v="1"/>
  </r>
  <r>
    <x v="261"/>
    <s v="37.0_ADAS &amp; AutomatedDriving"/>
    <s v="37.23_LaneSupporting-System"/>
    <s v="F2010"/>
    <s v="Emergency Lane Keeping Support"/>
    <m/>
    <s v="Drive Assistance"/>
    <s v="Automated Driving"/>
    <s v="Long Range View"/>
    <s v="L4/L5"/>
    <s v="Camera"/>
    <s v="Camera_FFC1"/>
    <s v="Camera_FFC1 - Long Range View"/>
    <m/>
    <m/>
    <s v="41;2"/>
    <s v="TE"/>
    <s v="2307383-1"/>
    <s v="1 Pos. Fakra Sealed"/>
    <m/>
    <s v="No"/>
    <s v="No"/>
    <s v="Yes"/>
    <n v="1"/>
    <n v="1"/>
    <n v="1"/>
    <n v="1"/>
  </r>
  <r>
    <x v="261"/>
    <s v="37.0_ADAS &amp; AutomatedDriving"/>
    <s v="37.30_Piloting-System"/>
    <s v="F0332"/>
    <s v="Pilot, Traffic Jam"/>
    <m/>
    <s v="Drive Assistance"/>
    <s v="Automated Driving"/>
    <s v="Long Range View"/>
    <s v="L4/L5"/>
    <s v="Camera"/>
    <s v="Camera_FFC1"/>
    <s v="Camera_FFC1 - Long Range View"/>
    <m/>
    <m/>
    <s v="41;2"/>
    <s v="TE"/>
    <s v="2307383-1"/>
    <s v="1 Pos. Fakra Sealed"/>
    <m/>
    <s v="No"/>
    <s v="No"/>
    <s v="Yes"/>
    <n v="1"/>
    <n v="1"/>
    <n v="1"/>
    <n v="1"/>
  </r>
  <r>
    <x v="261"/>
    <s v="37.0_ADAS &amp; AutomatedDriving"/>
    <s v="37.30_Piloting-System"/>
    <s v="F0335"/>
    <s v="Pilot, Highway"/>
    <m/>
    <s v="Drive Assistance"/>
    <s v="Automated Driving"/>
    <s v="Long Range View"/>
    <s v="L4/L5"/>
    <s v="Camera"/>
    <s v="Camera_FFC1"/>
    <s v="Camera_FFC1 - Long Range View"/>
    <m/>
    <m/>
    <s v="41;2"/>
    <s v="TE"/>
    <s v="2307383-1"/>
    <s v="1 Pos. Fakra Sealed"/>
    <m/>
    <s v="No"/>
    <s v="No"/>
    <s v="Yes"/>
    <n v="1"/>
    <n v="1"/>
    <n v="1"/>
    <n v="1"/>
  </r>
  <r>
    <x v="261"/>
    <s v="37.0_ADAS &amp; AutomatedDriving"/>
    <s v="37.30_Piloting-System"/>
    <s v="F0337"/>
    <s v="Pilot, City"/>
    <m/>
    <s v="Drive Assistance"/>
    <s v="Automated Driving"/>
    <s v="Long Range View"/>
    <s v="L4/L5"/>
    <s v="Camera"/>
    <s v="Camera_FFC1"/>
    <s v="Camera_FFC1 - Long Range View"/>
    <m/>
    <m/>
    <s v="41;2"/>
    <s v="TE"/>
    <s v="2307383-1"/>
    <s v="1 Pos. Fakra Sealed"/>
    <m/>
    <s v="No"/>
    <s v="No"/>
    <s v="Yes"/>
    <n v="1"/>
    <n v="1"/>
    <n v="1"/>
    <n v="1"/>
  </r>
  <r>
    <x v="261"/>
    <s v="37.0_ADAS &amp; AutomatedDriving"/>
    <s v="37.30_Piloting-System"/>
    <s v="F0651"/>
    <s v="Pilot, Country Road"/>
    <m/>
    <s v="Drive Assistance"/>
    <s v="Automated Driving"/>
    <s v="Long Range View"/>
    <s v="L4/L5"/>
    <s v="Camera"/>
    <s v="Camera_FFC1"/>
    <s v="Camera_FFC1 - Long Range View"/>
    <m/>
    <m/>
    <s v="41;2"/>
    <s v="TE"/>
    <s v="2307383-1"/>
    <s v="1 Pos. Fakra Sealed"/>
    <m/>
    <s v="No"/>
    <s v="No"/>
    <s v="Yes"/>
    <n v="1"/>
    <n v="1"/>
    <n v="1"/>
    <n v="1"/>
  </r>
  <r>
    <x v="261"/>
    <s v="37.0_ADAS &amp; AutomatedDriving"/>
    <s v="37.30_Piloting-System"/>
    <s v="F0915"/>
    <s v="Pilot, Rush Hour"/>
    <m/>
    <s v="Drive Assistance"/>
    <s v="Automated Driving"/>
    <s v="Long Range View"/>
    <s v="L4/L5"/>
    <s v="Camera"/>
    <s v="Camera_FFC1"/>
    <s v="Camera_FFC1 - Long Range View"/>
    <m/>
    <m/>
    <s v="41;2"/>
    <s v="TE"/>
    <s v="2307383-1"/>
    <s v="1 Pos. Fakra Sealed"/>
    <m/>
    <s v="No"/>
    <s v="No"/>
    <s v="Yes"/>
    <n v="1"/>
    <n v="1"/>
    <n v="1"/>
    <n v="1"/>
  </r>
  <r>
    <x v="261"/>
    <s v="37.0_ADAS &amp; AutomatedDriving"/>
    <s v="37.30_Piloting-System"/>
    <s v="F1042"/>
    <s v="Pilot, Remote Operation"/>
    <m/>
    <s v="Drive Assistance"/>
    <s v="Automated Driving"/>
    <s v="Long Range View"/>
    <s v="L4/L5"/>
    <s v="Camera"/>
    <s v="Camera_FFC1"/>
    <s v="Camera_FFC1 - Long Range View"/>
    <m/>
    <m/>
    <s v="41;2"/>
    <s v="TE"/>
    <s v="2307383-1"/>
    <s v="1 Pos. Fakra Sealed"/>
    <m/>
    <s v="No"/>
    <s v="No"/>
    <s v="Yes"/>
    <n v="1"/>
    <n v="1"/>
    <n v="1"/>
    <n v="1"/>
  </r>
  <r>
    <x v="261"/>
    <s v="37.0_ADAS &amp; AutomatedDriving"/>
    <s v="37.30_Piloting-System"/>
    <s v="F1105"/>
    <s v="Pilot, Data Storage System For Automated Driving (DSSAD)"/>
    <m/>
    <s v="Drive Assistance"/>
    <s v="Automated Driving"/>
    <s v="Long Range View"/>
    <s v="L4/L5"/>
    <s v="Camera"/>
    <s v="Camera_FFC1"/>
    <s v="Camera_FFC1 - Long Range View"/>
    <m/>
    <m/>
    <s v="41;2"/>
    <s v="TE"/>
    <s v="2307383-1"/>
    <s v="1 Pos. Fakra Sealed"/>
    <m/>
    <s v="No"/>
    <s v="No"/>
    <s v="Yes"/>
    <n v="1"/>
    <n v="1"/>
    <n v="1"/>
    <n v="1"/>
  </r>
  <r>
    <x v="262"/>
    <s v="10.0_Comfort &amp; Exterior"/>
    <s v="10.20_Mirroring-System"/>
    <s v="F0912"/>
    <s v="Surround View, 3D-View"/>
    <m/>
    <s v="Drive Assistance"/>
    <s v="Automated Driving"/>
    <s v="Long Range View"/>
    <s v="L4/L5"/>
    <s v="Camera"/>
    <s v="Camera_FFC2"/>
    <s v="Camera_FFC2 - Long Range View"/>
    <m/>
    <m/>
    <s v="41;3"/>
    <s v="TE"/>
    <s v="2307383-1"/>
    <s v="1 Pos. Fakra Sealed"/>
    <m/>
    <s v="No"/>
    <s v="No"/>
    <s v="Yes"/>
    <n v="1"/>
    <n v="1"/>
    <n v="1"/>
    <n v="1"/>
  </r>
  <r>
    <x v="262"/>
    <s v="37.0_ADAS &amp; AutomatedDriving"/>
    <s v="37.01_LightingAssistant-System"/>
    <s v="F0145"/>
    <s v="Light Assist, High Beam Automatic"/>
    <m/>
    <s v="Drive Assistance"/>
    <s v="Automated Driving"/>
    <s v="Long Range View"/>
    <s v="L4/L5"/>
    <s v="Camera"/>
    <s v="Camera_FFC2"/>
    <s v="Camera_FFC2 - Long Range View"/>
    <m/>
    <m/>
    <s v="41;3"/>
    <s v="TE"/>
    <s v="2307383-1"/>
    <s v="1 Pos. Fakra Sealed"/>
    <m/>
    <s v="No"/>
    <s v="No"/>
    <s v="Yes"/>
    <n v="1"/>
    <n v="1"/>
    <n v="1"/>
    <n v="1"/>
  </r>
  <r>
    <x v="262"/>
    <s v="37.0_ADAS &amp; AutomatedDriving"/>
    <s v="37.02_Alerting-System"/>
    <s v="F0162"/>
    <s v="Object Detection, Traffic Sign Recognition"/>
    <m/>
    <s v="Drive Assistance"/>
    <s v="Automated Driving"/>
    <s v="Long Range View"/>
    <s v="L4/L5"/>
    <s v="Camera"/>
    <s v="Camera_FFC2"/>
    <s v="Camera_FFC2 - Long Range View"/>
    <m/>
    <m/>
    <s v="41;3"/>
    <s v="TE"/>
    <s v="2307383-1"/>
    <s v="1 Pos. Fakra Sealed"/>
    <m/>
    <s v="No"/>
    <s v="No"/>
    <s v="Yes"/>
    <n v="1"/>
    <n v="1"/>
    <n v="1"/>
    <n v="1"/>
  </r>
  <r>
    <x v="262"/>
    <s v="37.0_ADAS &amp; AutomatedDriving"/>
    <s v="37.02_Alerting-System"/>
    <s v="F0594"/>
    <s v="Object Detection, Highway"/>
    <m/>
    <s v="Drive Assistance"/>
    <s v="Automated Driving"/>
    <s v="Long Range View"/>
    <s v="L4/L5"/>
    <s v="Camera"/>
    <s v="Camera_FFC2"/>
    <s v="Camera_FFC2 - Long Range View"/>
    <m/>
    <m/>
    <s v="41;3"/>
    <s v="TE"/>
    <s v="2307383-1"/>
    <s v="1 Pos. Fakra Sealed"/>
    <m/>
    <s v="No"/>
    <s v="No"/>
    <s v="Yes"/>
    <n v="1"/>
    <n v="1"/>
    <n v="1"/>
    <n v="1"/>
  </r>
  <r>
    <x v="262"/>
    <s v="37.0_ADAS &amp; AutomatedDriving"/>
    <s v="37.02_Alerting-System"/>
    <s v="F0599"/>
    <s v="Event Recorder, Video Capturing"/>
    <m/>
    <s v="Drive Assistance"/>
    <s v="Automated Driving"/>
    <s v="Long Range View"/>
    <s v="L4/L5"/>
    <s v="Camera"/>
    <s v="Camera_FFC2"/>
    <s v="Camera_FFC2 - Long Range View"/>
    <m/>
    <m/>
    <s v="41;3"/>
    <s v="TE"/>
    <s v="2307383-1"/>
    <s v="1 Pos. Fakra Sealed"/>
    <m/>
    <s v="No"/>
    <s v="No"/>
    <s v="Yes"/>
    <n v="1"/>
    <n v="1"/>
    <n v="1"/>
    <n v="1"/>
  </r>
  <r>
    <x v="262"/>
    <s v="37.0_ADAS &amp; AutomatedDriving"/>
    <s v="37.20_Parking-System"/>
    <s v="F0155"/>
    <s v="Park Assist, Front"/>
    <m/>
    <s v="Drive Assistance"/>
    <s v="Automated Driving"/>
    <s v="Long Range View"/>
    <s v="L4/L5"/>
    <s v="Camera"/>
    <s v="Camera_FFC2"/>
    <s v="Camera_FFC2 - Long Range View"/>
    <m/>
    <m/>
    <s v="41;3"/>
    <s v="TE"/>
    <s v="2307383-1"/>
    <s v="1 Pos. Fakra Sealed"/>
    <m/>
    <s v="No"/>
    <s v="No"/>
    <s v="Yes"/>
    <n v="1"/>
    <n v="1"/>
    <n v="1"/>
    <n v="1"/>
  </r>
  <r>
    <x v="262"/>
    <s v="37.0_ADAS &amp; AutomatedDriving"/>
    <s v="37.20_Parking-System"/>
    <s v="F0156"/>
    <s v="Park Assist, Rear"/>
    <m/>
    <s v="Drive Assistance"/>
    <s v="Automated Driving"/>
    <s v="Long Range View"/>
    <s v="L4/L5"/>
    <s v="Camera"/>
    <s v="Camera_FFC2"/>
    <s v="Camera_FFC2 - Long Range View"/>
    <m/>
    <m/>
    <s v="41;3"/>
    <s v="TE"/>
    <s v="2307383-1"/>
    <s v="1 Pos. Fakra Sealed"/>
    <m/>
    <s v="No"/>
    <s v="No"/>
    <s v="Yes"/>
    <n v="1"/>
    <n v="1"/>
    <n v="1"/>
    <n v="1"/>
  </r>
  <r>
    <x v="262"/>
    <s v="37.0_ADAS &amp; AutomatedDriving"/>
    <s v="37.20_Parking-System"/>
    <s v="F0314"/>
    <s v="Parking Pilot, Valet Parking"/>
    <m/>
    <s v="Drive Assistance"/>
    <s v="Automated Driving"/>
    <s v="Long Range View"/>
    <s v="L4/L5"/>
    <s v="Camera"/>
    <s v="Camera_FFC2"/>
    <s v="Camera_FFC2 - Long Range View"/>
    <m/>
    <m/>
    <s v="41;3"/>
    <s v="TE"/>
    <s v="2307383-1"/>
    <s v="1 Pos. Fakra Sealed"/>
    <m/>
    <s v="No"/>
    <s v="No"/>
    <s v="Yes"/>
    <n v="1"/>
    <n v="1"/>
    <n v="1"/>
    <n v="1"/>
  </r>
  <r>
    <x v="262"/>
    <s v="37.0_ADAS &amp; AutomatedDriving"/>
    <s v="37.20_Parking-System"/>
    <s v="F0536"/>
    <s v="Parking Pilot, Trained Parking"/>
    <m/>
    <s v="Drive Assistance"/>
    <s v="Automated Driving"/>
    <s v="Long Range View"/>
    <s v="L4/L5"/>
    <s v="Camera"/>
    <s v="Camera_FFC2"/>
    <s v="Camera_FFC2 - Long Range View"/>
    <m/>
    <m/>
    <s v="41;3"/>
    <s v="TE"/>
    <s v="2307383-1"/>
    <s v="1 Pos. Fakra Sealed"/>
    <m/>
    <s v="No"/>
    <s v="No"/>
    <s v="Yes"/>
    <n v="1"/>
    <n v="1"/>
    <n v="1"/>
    <n v="1"/>
  </r>
  <r>
    <x v="262"/>
    <s v="37.0_ADAS &amp; AutomatedDriving"/>
    <s v="37.20_Parking-System"/>
    <s v="F1301"/>
    <s v="Drive Away Assist"/>
    <m/>
    <s v="Drive Assistance"/>
    <s v="Automated Driving"/>
    <s v="Long Range View"/>
    <s v="L4/L5"/>
    <s v="Camera"/>
    <s v="Camera_FFC2"/>
    <s v="Camera_FFC2 - Long Range View"/>
    <m/>
    <m/>
    <s v="41;3"/>
    <s v="TE"/>
    <s v="2307383-1"/>
    <s v="1 Pos. Fakra Sealed"/>
    <m/>
    <s v="No"/>
    <s v="No"/>
    <s v="Yes"/>
    <n v="1"/>
    <n v="1"/>
    <n v="1"/>
    <n v="1"/>
  </r>
  <r>
    <x v="262"/>
    <s v="37.0_ADAS &amp; AutomatedDriving"/>
    <s v="37.20_Parking-System"/>
    <s v="F1304"/>
    <s v="Park Assist, Side"/>
    <m/>
    <s v="Drive Assistance"/>
    <s v="Automated Driving"/>
    <s v="Long Range View"/>
    <s v="L4/L5"/>
    <s v="Camera"/>
    <s v="Camera_FFC2"/>
    <s v="Camera_FFC2 - Long Range View"/>
    <m/>
    <m/>
    <s v="41;3"/>
    <s v="TE"/>
    <s v="2307383-1"/>
    <s v="1 Pos. Fakra Sealed"/>
    <m/>
    <s v="No"/>
    <s v="No"/>
    <s v="Yes"/>
    <n v="1"/>
    <n v="1"/>
    <n v="1"/>
    <n v="1"/>
  </r>
  <r>
    <x v="262"/>
    <s v="37.0_ADAS &amp; AutomatedDriving"/>
    <s v="37.20_Parking-System"/>
    <s v="F2003"/>
    <s v="Automatic Parking Support"/>
    <m/>
    <s v="Drive Assistance"/>
    <s v="Automated Driving"/>
    <s v="Long Range View"/>
    <s v="L4/L5"/>
    <s v="Camera"/>
    <s v="Camera_FFC2"/>
    <s v="Camera_FFC2 - Long Range View"/>
    <m/>
    <m/>
    <s v="41;3"/>
    <s v="TE"/>
    <s v="2307383-1"/>
    <s v="1 Pos. Fakra Sealed"/>
    <m/>
    <s v="No"/>
    <s v="No"/>
    <s v="Yes"/>
    <n v="1"/>
    <n v="1"/>
    <n v="1"/>
    <n v="1"/>
  </r>
  <r>
    <x v="262"/>
    <s v="37.0_ADAS &amp; AutomatedDriving"/>
    <s v="37.23_LaneSupporting-System"/>
    <s v="F0331"/>
    <s v="Lane Assist, Lane Change Assist (LCA)"/>
    <m/>
    <s v="Drive Assistance"/>
    <s v="Automated Driving"/>
    <s v="Long Range View"/>
    <s v="L4/L5"/>
    <s v="Camera"/>
    <s v="Camera_FFC2"/>
    <s v="Camera_FFC2 - Long Range View"/>
    <m/>
    <m/>
    <s v="41;3"/>
    <s v="TE"/>
    <s v="2307383-1"/>
    <s v="1 Pos. Fakra Sealed"/>
    <m/>
    <s v="No"/>
    <s v="No"/>
    <s v="Yes"/>
    <n v="1"/>
    <n v="1"/>
    <n v="1"/>
    <n v="1"/>
  </r>
  <r>
    <x v="262"/>
    <s v="37.0_ADAS &amp; AutomatedDriving"/>
    <s v="37.23_LaneSupporting-System"/>
    <s v="F0595"/>
    <s v="Lane Assist, Highway Assist"/>
    <m/>
    <s v="Drive Assistance"/>
    <s v="Automated Driving"/>
    <s v="Long Range View"/>
    <s v="L4/L5"/>
    <s v="Camera"/>
    <s v="Camera_FFC2"/>
    <s v="Camera_FFC2 - Long Range View"/>
    <m/>
    <m/>
    <s v="41;3"/>
    <s v="TE"/>
    <s v="2307383-1"/>
    <s v="1 Pos. Fakra Sealed"/>
    <m/>
    <s v="No"/>
    <s v="No"/>
    <s v="Yes"/>
    <n v="1"/>
    <n v="1"/>
    <n v="1"/>
    <n v="1"/>
  </r>
  <r>
    <x v="262"/>
    <s v="37.0_ADAS &amp; AutomatedDriving"/>
    <s v="37.23_LaneSupporting-System"/>
    <s v="F0657"/>
    <s v="Lane Assist, Evasive Steering Support"/>
    <m/>
    <s v="Drive Assistance"/>
    <s v="Automated Driving"/>
    <s v="Long Range View"/>
    <s v="L4/L5"/>
    <s v="Camera"/>
    <s v="Camera_FFC2"/>
    <s v="Camera_FFC2 - Long Range View"/>
    <m/>
    <m/>
    <s v="41;3"/>
    <s v="TE"/>
    <s v="2307383-1"/>
    <s v="1 Pos. Fakra Sealed"/>
    <m/>
    <s v="No"/>
    <s v="No"/>
    <s v="Yes"/>
    <n v="1"/>
    <n v="1"/>
    <n v="1"/>
    <n v="1"/>
  </r>
  <r>
    <x v="262"/>
    <s v="37.0_ADAS &amp; AutomatedDriving"/>
    <s v="37.23_LaneSupporting-System"/>
    <s v="F0658"/>
    <s v="Lane Assist, Traffic Jam Assist"/>
    <m/>
    <s v="Drive Assistance"/>
    <s v="Automated Driving"/>
    <s v="Long Range View"/>
    <s v="L4/L5"/>
    <s v="Camera"/>
    <s v="Camera_FFC2"/>
    <s v="Camera_FFC2 - Long Range View"/>
    <m/>
    <m/>
    <s v="41;3"/>
    <s v="TE"/>
    <s v="2307383-1"/>
    <s v="1 Pos. Fakra Sealed"/>
    <m/>
    <s v="No"/>
    <s v="No"/>
    <s v="Yes"/>
    <n v="1"/>
    <n v="1"/>
    <n v="1"/>
    <n v="1"/>
  </r>
  <r>
    <x v="262"/>
    <s v="37.0_ADAS &amp; AutomatedDriving"/>
    <s v="37.23_LaneSupporting-System"/>
    <s v="F1187"/>
    <s v="Lane Support System, Lane Centering Control (LCC)"/>
    <m/>
    <s v="Drive Assistance"/>
    <s v="Automated Driving"/>
    <s v="Long Range View"/>
    <s v="L4/L5"/>
    <s v="Camera"/>
    <s v="Camera_FFC2"/>
    <s v="Camera_FFC2 - Long Range View"/>
    <m/>
    <m/>
    <s v="41;3"/>
    <s v="TE"/>
    <s v="2307383-1"/>
    <s v="1 Pos. Fakra Sealed"/>
    <m/>
    <s v="No"/>
    <s v="No"/>
    <s v="Yes"/>
    <n v="1"/>
    <n v="1"/>
    <n v="1"/>
    <n v="1"/>
  </r>
  <r>
    <x v="262"/>
    <s v="37.0_ADAS &amp; AutomatedDriving"/>
    <s v="37.23_LaneSupporting-System"/>
    <s v="F2010"/>
    <s v="Emergency Lane Keeping Support"/>
    <m/>
    <s v="Drive Assistance"/>
    <s v="Automated Driving"/>
    <s v="Long Range View"/>
    <s v="L4/L5"/>
    <s v="Camera"/>
    <s v="Camera_FFC2"/>
    <s v="Camera_FFC2 - Long Range View"/>
    <m/>
    <m/>
    <s v="41;3"/>
    <s v="TE"/>
    <s v="2307383-1"/>
    <s v="1 Pos. Fakra Sealed"/>
    <m/>
    <s v="No"/>
    <s v="No"/>
    <s v="Yes"/>
    <n v="1"/>
    <n v="1"/>
    <n v="1"/>
    <n v="1"/>
  </r>
  <r>
    <x v="262"/>
    <s v="37.0_ADAS &amp; AutomatedDriving"/>
    <s v="37.30_Piloting-System"/>
    <s v="F0332"/>
    <s v="Pilot, Traffic Jam"/>
    <m/>
    <s v="Drive Assistance"/>
    <s v="Automated Driving"/>
    <s v="Long Range View"/>
    <s v="L4/L5"/>
    <s v="Camera"/>
    <s v="Camera_FFC2"/>
    <s v="Camera_FFC2 - Long Range View"/>
    <m/>
    <m/>
    <s v="41;3"/>
    <s v="TE"/>
    <s v="2307383-1"/>
    <s v="1 Pos. Fakra Sealed"/>
    <m/>
    <s v="No"/>
    <s v="No"/>
    <s v="Yes"/>
    <n v="1"/>
    <n v="1"/>
    <n v="1"/>
    <n v="1"/>
  </r>
  <r>
    <x v="262"/>
    <s v="37.0_ADAS &amp; AutomatedDriving"/>
    <s v="37.30_Piloting-System"/>
    <s v="F0335"/>
    <s v="Pilot, Highway"/>
    <m/>
    <s v="Drive Assistance"/>
    <s v="Automated Driving"/>
    <s v="Long Range View"/>
    <s v="L4/L5"/>
    <s v="Camera"/>
    <s v="Camera_FFC2"/>
    <s v="Camera_FFC2 - Long Range View"/>
    <m/>
    <m/>
    <s v="41;3"/>
    <s v="TE"/>
    <s v="2307383-1"/>
    <s v="1 Pos. Fakra Sealed"/>
    <m/>
    <s v="No"/>
    <s v="No"/>
    <s v="Yes"/>
    <n v="1"/>
    <n v="1"/>
    <n v="1"/>
    <n v="1"/>
  </r>
  <r>
    <x v="262"/>
    <s v="37.0_ADAS &amp; AutomatedDriving"/>
    <s v="37.30_Piloting-System"/>
    <s v="F0337"/>
    <s v="Pilot, City"/>
    <m/>
    <s v="Drive Assistance"/>
    <s v="Automated Driving"/>
    <s v="Long Range View"/>
    <s v="L4/L5"/>
    <s v="Camera"/>
    <s v="Camera_FFC2"/>
    <s v="Camera_FFC2 - Long Range View"/>
    <m/>
    <m/>
    <s v="41;3"/>
    <s v="TE"/>
    <s v="2307383-1"/>
    <s v="1 Pos. Fakra Sealed"/>
    <m/>
    <s v="No"/>
    <s v="No"/>
    <s v="Yes"/>
    <n v="1"/>
    <n v="1"/>
    <n v="1"/>
    <n v="1"/>
  </r>
  <r>
    <x v="262"/>
    <s v="37.0_ADAS &amp; AutomatedDriving"/>
    <s v="37.30_Piloting-System"/>
    <s v="F0651"/>
    <s v="Pilot, Country Road"/>
    <m/>
    <s v="Drive Assistance"/>
    <s v="Automated Driving"/>
    <s v="Long Range View"/>
    <s v="L4/L5"/>
    <s v="Camera"/>
    <s v="Camera_FFC2"/>
    <s v="Camera_FFC2 - Long Range View"/>
    <m/>
    <m/>
    <s v="41;3"/>
    <s v="TE"/>
    <s v="2307383-1"/>
    <s v="1 Pos. Fakra Sealed"/>
    <m/>
    <s v="No"/>
    <s v="No"/>
    <s v="Yes"/>
    <n v="1"/>
    <n v="1"/>
    <n v="1"/>
    <n v="1"/>
  </r>
  <r>
    <x v="262"/>
    <s v="37.0_ADAS &amp; AutomatedDriving"/>
    <s v="37.30_Piloting-System"/>
    <s v="F0915"/>
    <s v="Pilot, Rush Hour"/>
    <m/>
    <s v="Drive Assistance"/>
    <s v="Automated Driving"/>
    <s v="Long Range View"/>
    <s v="L4/L5"/>
    <s v="Camera"/>
    <s v="Camera_FFC2"/>
    <s v="Camera_FFC2 - Long Range View"/>
    <m/>
    <m/>
    <s v="41;3"/>
    <s v="TE"/>
    <s v="2307383-1"/>
    <s v="1 Pos. Fakra Sealed"/>
    <m/>
    <s v="No"/>
    <s v="No"/>
    <s v="Yes"/>
    <n v="1"/>
    <n v="1"/>
    <n v="1"/>
    <n v="1"/>
  </r>
  <r>
    <x v="262"/>
    <s v="37.0_ADAS &amp; AutomatedDriving"/>
    <s v="37.30_Piloting-System"/>
    <s v="F1042"/>
    <s v="Pilot, Remote Operation"/>
    <m/>
    <s v="Drive Assistance"/>
    <s v="Automated Driving"/>
    <s v="Long Range View"/>
    <s v="L4/L5"/>
    <s v="Camera"/>
    <s v="Camera_FFC2"/>
    <s v="Camera_FFC2 - Long Range View"/>
    <m/>
    <m/>
    <s v="41;3"/>
    <s v="TE"/>
    <s v="2307383-1"/>
    <s v="1 Pos. Fakra Sealed"/>
    <m/>
    <s v="No"/>
    <s v="No"/>
    <s v="Yes"/>
    <n v="1"/>
    <n v="1"/>
    <n v="1"/>
    <n v="1"/>
  </r>
  <r>
    <x v="262"/>
    <s v="37.0_ADAS &amp; AutomatedDriving"/>
    <s v="37.30_Piloting-System"/>
    <s v="F1105"/>
    <s v="Pilot, Data Storage System For Automated Driving (DSSAD)"/>
    <m/>
    <s v="Drive Assistance"/>
    <s v="Automated Driving"/>
    <s v="Long Range View"/>
    <s v="L4/L5"/>
    <s v="Camera"/>
    <s v="Camera_FFC2"/>
    <s v="Camera_FFC2 - Long Range View"/>
    <m/>
    <m/>
    <s v="41;3"/>
    <s v="TE"/>
    <s v="2307383-1"/>
    <s v="1 Pos. Fakra Sealed"/>
    <m/>
    <s v="No"/>
    <s v="No"/>
    <s v="Yes"/>
    <n v="1"/>
    <n v="1"/>
    <n v="1"/>
    <n v="1"/>
  </r>
  <r>
    <x v="263"/>
    <s v="10.0_Comfort &amp; Exterior"/>
    <s v="10.20_Mirroring-System"/>
    <s v="F0912"/>
    <s v="Surround View, 3D-View"/>
    <m/>
    <s v="Drive Assistance"/>
    <s v="Automated Driving"/>
    <s v="Long Range View"/>
    <s v="L4/L5"/>
    <s v="Camera"/>
    <s v="Camera_FFC3"/>
    <s v="Camera_FFC3 - Long Range View"/>
    <m/>
    <m/>
    <s v="42;14"/>
    <s v="TE"/>
    <s v="2307383-1"/>
    <s v="1 Pos. Fakra Sealed"/>
    <m/>
    <s v="No"/>
    <s v="No"/>
    <s v="Yes"/>
    <n v="1"/>
    <n v="1"/>
    <n v="1"/>
    <n v="1"/>
  </r>
  <r>
    <x v="263"/>
    <s v="37.0_ADAS &amp; AutomatedDriving"/>
    <s v="37.01_LightingAssistant-System"/>
    <s v="F0145"/>
    <s v="Light Assist, High Beam Automatic"/>
    <m/>
    <s v="Drive Assistance"/>
    <s v="Automated Driving"/>
    <s v="Long Range View"/>
    <s v="L4/L5"/>
    <s v="Camera"/>
    <s v="Camera_FFC3"/>
    <s v="Camera_FFC3 - Long Range View"/>
    <m/>
    <m/>
    <s v="42;14"/>
    <s v="TE"/>
    <s v="2307383-1"/>
    <s v="1 Pos. Fakra Sealed"/>
    <m/>
    <s v="No"/>
    <s v="No"/>
    <s v="Yes"/>
    <n v="1"/>
    <n v="1"/>
    <n v="1"/>
    <n v="1"/>
  </r>
  <r>
    <x v="263"/>
    <s v="37.0_ADAS &amp; AutomatedDriving"/>
    <s v="37.02_Alerting-System"/>
    <s v="F0162"/>
    <s v="Object Detection, Traffic Sign Recognition"/>
    <m/>
    <s v="Drive Assistance"/>
    <s v="Automated Driving"/>
    <s v="Long Range View"/>
    <s v="L4/L5"/>
    <s v="Camera"/>
    <s v="Camera_FFC3"/>
    <s v="Camera_FFC3 - Long Range View"/>
    <m/>
    <m/>
    <s v="42;14"/>
    <s v="TE"/>
    <s v="2307383-1"/>
    <s v="1 Pos. Fakra Sealed"/>
    <m/>
    <s v="No"/>
    <s v="No"/>
    <s v="Yes"/>
    <n v="1"/>
    <n v="1"/>
    <n v="1"/>
    <n v="1"/>
  </r>
  <r>
    <x v="263"/>
    <s v="37.0_ADAS &amp; AutomatedDriving"/>
    <s v="37.02_Alerting-System"/>
    <s v="F0594"/>
    <s v="Object Detection, Highway"/>
    <m/>
    <s v="Drive Assistance"/>
    <s v="Automated Driving"/>
    <s v="Long Range View"/>
    <s v="L4/L5"/>
    <s v="Camera"/>
    <s v="Camera_FFC3"/>
    <s v="Camera_FFC3 - Long Range View"/>
    <m/>
    <m/>
    <s v="42;14"/>
    <s v="TE"/>
    <s v="2307383-1"/>
    <s v="1 Pos. Fakra Sealed"/>
    <m/>
    <s v="No"/>
    <s v="No"/>
    <s v="Yes"/>
    <n v="1"/>
    <n v="1"/>
    <n v="1"/>
    <n v="1"/>
  </r>
  <r>
    <x v="263"/>
    <s v="37.0_ADAS &amp; AutomatedDriving"/>
    <s v="37.02_Alerting-System"/>
    <s v="F0599"/>
    <s v="Event Recorder, Video Capturing"/>
    <m/>
    <s v="Drive Assistance"/>
    <s v="Automated Driving"/>
    <s v="Long Range View"/>
    <s v="L4/L5"/>
    <s v="Camera"/>
    <s v="Camera_FFC3"/>
    <s v="Camera_FFC3 - Long Range View"/>
    <m/>
    <m/>
    <s v="42;14"/>
    <s v="TE"/>
    <s v="2307383-1"/>
    <s v="1 Pos. Fakra Sealed"/>
    <m/>
    <s v="No"/>
    <s v="No"/>
    <s v="Yes"/>
    <n v="1"/>
    <n v="1"/>
    <n v="1"/>
    <n v="1"/>
  </r>
  <r>
    <x v="263"/>
    <s v="37.0_ADAS &amp; AutomatedDriving"/>
    <s v="37.20_Parking-System"/>
    <s v="F0155"/>
    <s v="Park Assist, Front"/>
    <m/>
    <s v="Drive Assistance"/>
    <s v="Automated Driving"/>
    <s v="Long Range View"/>
    <s v="L4/L5"/>
    <s v="Camera"/>
    <s v="Camera_FFC3"/>
    <s v="Camera_FFC3 - Long Range View"/>
    <m/>
    <m/>
    <s v="42;14"/>
    <s v="TE"/>
    <s v="2307383-1"/>
    <s v="1 Pos. Fakra Sealed"/>
    <m/>
    <s v="No"/>
    <s v="No"/>
    <s v="Yes"/>
    <n v="1"/>
    <n v="1"/>
    <n v="1"/>
    <n v="1"/>
  </r>
  <r>
    <x v="263"/>
    <s v="37.0_ADAS &amp; AutomatedDriving"/>
    <s v="37.20_Parking-System"/>
    <s v="F0156"/>
    <s v="Park Assist, Rear"/>
    <m/>
    <s v="Drive Assistance"/>
    <s v="Automated Driving"/>
    <s v="Long Range View"/>
    <s v="L4/L5"/>
    <s v="Camera"/>
    <s v="Camera_FFC3"/>
    <s v="Camera_FFC3 - Long Range View"/>
    <m/>
    <m/>
    <s v="42;14"/>
    <s v="TE"/>
    <s v="2307383-1"/>
    <s v="1 Pos. Fakra Sealed"/>
    <m/>
    <s v="No"/>
    <s v="No"/>
    <s v="Yes"/>
    <n v="1"/>
    <n v="1"/>
    <n v="1"/>
    <n v="1"/>
  </r>
  <r>
    <x v="263"/>
    <s v="37.0_ADAS &amp; AutomatedDriving"/>
    <s v="37.20_Parking-System"/>
    <s v="F0314"/>
    <s v="Parking Pilot, Valet Parking"/>
    <m/>
    <s v="Drive Assistance"/>
    <s v="Automated Driving"/>
    <s v="Long Range View"/>
    <s v="L4/L5"/>
    <s v="Camera"/>
    <s v="Camera_FFC3"/>
    <s v="Camera_FFC3 - Long Range View"/>
    <m/>
    <m/>
    <s v="42;14"/>
    <s v="TE"/>
    <s v="2307383-1"/>
    <s v="1 Pos. Fakra Sealed"/>
    <m/>
    <s v="No"/>
    <s v="No"/>
    <s v="Yes"/>
    <n v="1"/>
    <n v="1"/>
    <n v="1"/>
    <n v="1"/>
  </r>
  <r>
    <x v="263"/>
    <s v="37.0_ADAS &amp; AutomatedDriving"/>
    <s v="37.20_Parking-System"/>
    <s v="F0536"/>
    <s v="Parking Pilot, Trained Parking"/>
    <m/>
    <s v="Drive Assistance"/>
    <s v="Automated Driving"/>
    <s v="Long Range View"/>
    <s v="L4/L5"/>
    <s v="Camera"/>
    <s v="Camera_FFC3"/>
    <s v="Camera_FFC3 - Long Range View"/>
    <m/>
    <m/>
    <s v="42;14"/>
    <s v="TE"/>
    <s v="2307383-1"/>
    <s v="1 Pos. Fakra Sealed"/>
    <m/>
    <s v="No"/>
    <s v="No"/>
    <s v="Yes"/>
    <n v="1"/>
    <n v="1"/>
    <n v="1"/>
    <n v="1"/>
  </r>
  <r>
    <x v="263"/>
    <s v="37.0_ADAS &amp; AutomatedDriving"/>
    <s v="37.20_Parking-System"/>
    <s v="F1301"/>
    <s v="Drive Away Assist"/>
    <m/>
    <s v="Drive Assistance"/>
    <s v="Automated Driving"/>
    <s v="Long Range View"/>
    <s v="L4/L5"/>
    <s v="Camera"/>
    <s v="Camera_FFC3"/>
    <s v="Camera_FFC3 - Long Range View"/>
    <m/>
    <m/>
    <s v="42;14"/>
    <s v="TE"/>
    <s v="2307383-1"/>
    <s v="1 Pos. Fakra Sealed"/>
    <m/>
    <s v="No"/>
    <s v="No"/>
    <s v="Yes"/>
    <n v="1"/>
    <n v="1"/>
    <n v="1"/>
    <n v="1"/>
  </r>
  <r>
    <x v="263"/>
    <s v="37.0_ADAS &amp; AutomatedDriving"/>
    <s v="37.20_Parking-System"/>
    <s v="F1304"/>
    <s v="Park Assist, Side"/>
    <m/>
    <s v="Drive Assistance"/>
    <s v="Automated Driving"/>
    <s v="Long Range View"/>
    <s v="L4/L5"/>
    <s v="Camera"/>
    <s v="Camera_FFC3"/>
    <s v="Camera_FFC3 - Long Range View"/>
    <m/>
    <m/>
    <s v="42;14"/>
    <s v="TE"/>
    <s v="2307383-1"/>
    <s v="1 Pos. Fakra Sealed"/>
    <m/>
    <s v="No"/>
    <s v="No"/>
    <s v="Yes"/>
    <n v="1"/>
    <n v="1"/>
    <n v="1"/>
    <n v="1"/>
  </r>
  <r>
    <x v="263"/>
    <s v="37.0_ADAS &amp; AutomatedDriving"/>
    <s v="37.20_Parking-System"/>
    <s v="F2003"/>
    <s v="Automatic Parking Support"/>
    <m/>
    <s v="Drive Assistance"/>
    <s v="Automated Driving"/>
    <s v="Long Range View"/>
    <s v="L4/L5"/>
    <s v="Camera"/>
    <s v="Camera_FFC3"/>
    <s v="Camera_FFC3 - Long Range View"/>
    <m/>
    <m/>
    <s v="42;14"/>
    <s v="TE"/>
    <s v="2307383-1"/>
    <s v="1 Pos. Fakra Sealed"/>
    <m/>
    <s v="No"/>
    <s v="No"/>
    <s v="Yes"/>
    <n v="1"/>
    <n v="1"/>
    <n v="1"/>
    <n v="1"/>
  </r>
  <r>
    <x v="263"/>
    <s v="37.0_ADAS &amp; AutomatedDriving"/>
    <s v="37.23_LaneSupporting-System"/>
    <s v="F0331"/>
    <s v="Lane Assist, Lane Change Assist (LCA)"/>
    <m/>
    <s v="Drive Assistance"/>
    <s v="Automated Driving"/>
    <s v="Long Range View"/>
    <s v="L4/L5"/>
    <s v="Camera"/>
    <s v="Camera_FFC3"/>
    <s v="Camera_FFC3 - Long Range View"/>
    <m/>
    <m/>
    <s v="42;14"/>
    <s v="TE"/>
    <s v="2307383-1"/>
    <s v="1 Pos. Fakra Sealed"/>
    <m/>
    <s v="No"/>
    <s v="No"/>
    <s v="Yes"/>
    <n v="1"/>
    <n v="1"/>
    <n v="1"/>
    <n v="1"/>
  </r>
  <r>
    <x v="263"/>
    <s v="37.0_ADAS &amp; AutomatedDriving"/>
    <s v="37.23_LaneSupporting-System"/>
    <s v="F0595"/>
    <s v="Lane Assist, Highway Assist"/>
    <m/>
    <s v="Drive Assistance"/>
    <s v="Automated Driving"/>
    <s v="Long Range View"/>
    <s v="L4/L5"/>
    <s v="Camera"/>
    <s v="Camera_FFC3"/>
    <s v="Camera_FFC3 - Long Range View"/>
    <m/>
    <m/>
    <s v="42;14"/>
    <s v="TE"/>
    <s v="2307383-1"/>
    <s v="1 Pos. Fakra Sealed"/>
    <m/>
    <s v="No"/>
    <s v="No"/>
    <s v="Yes"/>
    <n v="1"/>
    <n v="1"/>
    <n v="1"/>
    <n v="1"/>
  </r>
  <r>
    <x v="263"/>
    <s v="37.0_ADAS &amp; AutomatedDriving"/>
    <s v="37.23_LaneSupporting-System"/>
    <s v="F0657"/>
    <s v="Lane Assist, Evasive Steering Support"/>
    <m/>
    <s v="Drive Assistance"/>
    <s v="Automated Driving"/>
    <s v="Long Range View"/>
    <s v="L4/L5"/>
    <s v="Camera"/>
    <s v="Camera_FFC3"/>
    <s v="Camera_FFC3 - Long Range View"/>
    <m/>
    <m/>
    <s v="42;14"/>
    <s v="TE"/>
    <s v="2307383-1"/>
    <s v="1 Pos. Fakra Sealed"/>
    <m/>
    <s v="No"/>
    <s v="No"/>
    <s v="Yes"/>
    <n v="1"/>
    <n v="1"/>
    <n v="1"/>
    <n v="1"/>
  </r>
  <r>
    <x v="263"/>
    <s v="37.0_ADAS &amp; AutomatedDriving"/>
    <s v="37.23_LaneSupporting-System"/>
    <s v="F0658"/>
    <s v="Lane Assist, Traffic Jam Assist"/>
    <m/>
    <s v="Drive Assistance"/>
    <s v="Automated Driving"/>
    <s v="Long Range View"/>
    <s v="L4/L5"/>
    <s v="Camera"/>
    <s v="Camera_FFC3"/>
    <s v="Camera_FFC3 - Long Range View"/>
    <m/>
    <m/>
    <s v="42;14"/>
    <s v="TE"/>
    <s v="2307383-1"/>
    <s v="1 Pos. Fakra Sealed"/>
    <m/>
    <s v="No"/>
    <s v="No"/>
    <s v="Yes"/>
    <n v="1"/>
    <n v="1"/>
    <n v="1"/>
    <n v="1"/>
  </r>
  <r>
    <x v="263"/>
    <s v="37.0_ADAS &amp; AutomatedDriving"/>
    <s v="37.23_LaneSupporting-System"/>
    <s v="F1187"/>
    <s v="Lane Support System, Lane Centering Control (LCC)"/>
    <m/>
    <s v="Drive Assistance"/>
    <s v="Automated Driving"/>
    <s v="Long Range View"/>
    <s v="L4/L5"/>
    <s v="Camera"/>
    <s v="Camera_FFC3"/>
    <s v="Camera_FFC3 - Long Range View"/>
    <m/>
    <m/>
    <s v="42;14"/>
    <s v="TE"/>
    <s v="2307383-1"/>
    <s v="1 Pos. Fakra Sealed"/>
    <m/>
    <s v="No"/>
    <s v="No"/>
    <s v="Yes"/>
    <n v="1"/>
    <n v="1"/>
    <n v="1"/>
    <n v="1"/>
  </r>
  <r>
    <x v="263"/>
    <s v="37.0_ADAS &amp; AutomatedDriving"/>
    <s v="37.23_LaneSupporting-System"/>
    <s v="F2010"/>
    <s v="Emergency Lane Keeping Support"/>
    <m/>
    <s v="Drive Assistance"/>
    <s v="Automated Driving"/>
    <s v="Long Range View"/>
    <s v="L4/L5"/>
    <s v="Camera"/>
    <s v="Camera_FFC3"/>
    <s v="Camera_FFC3 - Long Range View"/>
    <m/>
    <m/>
    <s v="42;14"/>
    <s v="TE"/>
    <s v="2307383-1"/>
    <s v="1 Pos. Fakra Sealed"/>
    <m/>
    <s v="No"/>
    <s v="No"/>
    <s v="Yes"/>
    <n v="1"/>
    <n v="1"/>
    <n v="1"/>
    <n v="1"/>
  </r>
  <r>
    <x v="263"/>
    <s v="37.0_ADAS &amp; AutomatedDriving"/>
    <s v="37.30_Piloting-System"/>
    <s v="F0332"/>
    <s v="Pilot, Traffic Jam"/>
    <m/>
    <s v="Drive Assistance"/>
    <s v="Automated Driving"/>
    <s v="Long Range View"/>
    <s v="L4/L5"/>
    <s v="Camera"/>
    <s v="Camera_FFC3"/>
    <s v="Camera_FFC3 - Long Range View"/>
    <m/>
    <m/>
    <s v="42;14"/>
    <s v="TE"/>
    <s v="2307383-1"/>
    <s v="1 Pos. Fakra Sealed"/>
    <m/>
    <s v="No"/>
    <s v="No"/>
    <s v="Yes"/>
    <n v="1"/>
    <n v="1"/>
    <n v="1"/>
    <n v="1"/>
  </r>
  <r>
    <x v="263"/>
    <s v="37.0_ADAS &amp; AutomatedDriving"/>
    <s v="37.30_Piloting-System"/>
    <s v="F0335"/>
    <s v="Pilot, Highway"/>
    <m/>
    <s v="Drive Assistance"/>
    <s v="Automated Driving"/>
    <s v="Long Range View"/>
    <s v="L4/L5"/>
    <s v="Camera"/>
    <s v="Camera_FFC3"/>
    <s v="Camera_FFC3 - Long Range View"/>
    <m/>
    <m/>
    <s v="42;14"/>
    <s v="TE"/>
    <s v="2307383-1"/>
    <s v="1 Pos. Fakra Sealed"/>
    <m/>
    <s v="No"/>
    <s v="No"/>
    <s v="Yes"/>
    <n v="1"/>
    <n v="1"/>
    <n v="1"/>
    <n v="1"/>
  </r>
  <r>
    <x v="263"/>
    <s v="37.0_ADAS &amp; AutomatedDriving"/>
    <s v="37.30_Piloting-System"/>
    <s v="F0337"/>
    <s v="Pilot, City"/>
    <m/>
    <s v="Drive Assistance"/>
    <s v="Automated Driving"/>
    <s v="Long Range View"/>
    <s v="L4/L5"/>
    <s v="Camera"/>
    <s v="Camera_FFC3"/>
    <s v="Camera_FFC3 - Long Range View"/>
    <m/>
    <m/>
    <s v="42;14"/>
    <s v="TE"/>
    <s v="2307383-1"/>
    <s v="1 Pos. Fakra Sealed"/>
    <m/>
    <s v="No"/>
    <s v="No"/>
    <s v="Yes"/>
    <n v="1"/>
    <n v="1"/>
    <n v="1"/>
    <n v="1"/>
  </r>
  <r>
    <x v="263"/>
    <s v="37.0_ADAS &amp; AutomatedDriving"/>
    <s v="37.30_Piloting-System"/>
    <s v="F0651"/>
    <s v="Pilot, Country Road"/>
    <m/>
    <s v="Drive Assistance"/>
    <s v="Automated Driving"/>
    <s v="Long Range View"/>
    <s v="L4/L5"/>
    <s v="Camera"/>
    <s v="Camera_FFC3"/>
    <s v="Camera_FFC3 - Long Range View"/>
    <m/>
    <m/>
    <s v="42;14"/>
    <s v="TE"/>
    <s v="2307383-1"/>
    <s v="1 Pos. Fakra Sealed"/>
    <m/>
    <s v="No"/>
    <s v="No"/>
    <s v="Yes"/>
    <n v="1"/>
    <n v="1"/>
    <n v="1"/>
    <n v="1"/>
  </r>
  <r>
    <x v="263"/>
    <s v="37.0_ADAS &amp; AutomatedDriving"/>
    <s v="37.30_Piloting-System"/>
    <s v="F0915"/>
    <s v="Pilot, Rush Hour"/>
    <m/>
    <s v="Drive Assistance"/>
    <s v="Automated Driving"/>
    <s v="Long Range View"/>
    <s v="L4/L5"/>
    <s v="Camera"/>
    <s v="Camera_FFC3"/>
    <s v="Camera_FFC3 - Long Range View"/>
    <m/>
    <m/>
    <s v="42;14"/>
    <s v="TE"/>
    <s v="2307383-1"/>
    <s v="1 Pos. Fakra Sealed"/>
    <m/>
    <s v="No"/>
    <s v="No"/>
    <s v="Yes"/>
    <n v="1"/>
    <n v="1"/>
    <n v="1"/>
    <n v="1"/>
  </r>
  <r>
    <x v="263"/>
    <s v="37.0_ADAS &amp; AutomatedDriving"/>
    <s v="37.30_Piloting-System"/>
    <s v="F1042"/>
    <s v="Pilot, Remote Operation"/>
    <m/>
    <s v="Drive Assistance"/>
    <s v="Automated Driving"/>
    <s v="Long Range View"/>
    <s v="L4/L5"/>
    <s v="Camera"/>
    <s v="Camera_FFC3"/>
    <s v="Camera_FFC3 - Long Range View"/>
    <m/>
    <m/>
    <s v="42;14"/>
    <s v="TE"/>
    <s v="2307383-1"/>
    <s v="1 Pos. Fakra Sealed"/>
    <m/>
    <s v="No"/>
    <s v="No"/>
    <s v="Yes"/>
    <n v="1"/>
    <n v="1"/>
    <n v="1"/>
    <n v="1"/>
  </r>
  <r>
    <x v="263"/>
    <s v="37.0_ADAS &amp; AutomatedDriving"/>
    <s v="37.30_Piloting-System"/>
    <s v="F1105"/>
    <s v="Pilot, Data Storage System For Automated Driving (DSSAD)"/>
    <m/>
    <s v="Drive Assistance"/>
    <s v="Automated Driving"/>
    <s v="Long Range View"/>
    <s v="L4/L5"/>
    <s v="Camera"/>
    <s v="Camera_FFC3"/>
    <s v="Camera_FFC3 - Long Range View"/>
    <m/>
    <m/>
    <s v="42;14"/>
    <s v="TE"/>
    <s v="2307383-1"/>
    <s v="1 Pos. Fakra Sealed"/>
    <m/>
    <s v="No"/>
    <s v="No"/>
    <s v="Yes"/>
    <n v="1"/>
    <n v="1"/>
    <n v="1"/>
    <n v="1"/>
  </r>
  <r>
    <x v="264"/>
    <s v="10.0_Comfort &amp; Exterior"/>
    <s v="10.20_Mirroring-System"/>
    <s v="F0249"/>
    <s v="Outside Mirror Camera"/>
    <m/>
    <s v="Drive Assistance"/>
    <s v="Automated Driving"/>
    <s v="Long Range View"/>
    <s v="L4/L5"/>
    <s v="Camera"/>
    <s v="Camera_FFC4"/>
    <s v="Camera_FFC4 - Long Range View"/>
    <m/>
    <m/>
    <s v="43;14"/>
    <s v="TE"/>
    <s v="2307383-1"/>
    <s v="1 Pos. Fakra Sealed"/>
    <m/>
    <s v="No"/>
    <s v="No"/>
    <s v="Yes"/>
    <n v="1"/>
    <n v="1"/>
    <n v="1"/>
    <n v="1"/>
  </r>
  <r>
    <x v="264"/>
    <s v="10.0_Comfort &amp; Exterior"/>
    <s v="10.20_Mirroring-System"/>
    <s v="F0912"/>
    <s v="Surround View, 3D-View"/>
    <m/>
    <s v="Drive Assistance"/>
    <s v="Automated Driving"/>
    <s v="Long Range View"/>
    <s v="L4/L5"/>
    <s v="Camera"/>
    <s v="Camera_FFC4"/>
    <s v="Camera_FFC4 - Long Range View"/>
    <m/>
    <m/>
    <s v="43;14"/>
    <s v="TE"/>
    <s v="2307383-1"/>
    <s v="1 Pos. Fakra Sealed"/>
    <m/>
    <s v="No"/>
    <s v="No"/>
    <s v="Yes"/>
    <n v="1"/>
    <n v="1"/>
    <n v="1"/>
    <n v="1"/>
  </r>
  <r>
    <x v="264"/>
    <s v="37.0_ADAS &amp; AutomatedDriving"/>
    <s v="37.02_Alerting-System"/>
    <s v="F0599"/>
    <s v="Event Recorder, Video Capturing"/>
    <m/>
    <s v="Drive Assistance"/>
    <s v="Automated Driving"/>
    <s v="Long Range View"/>
    <s v="L4/L5"/>
    <s v="Camera"/>
    <s v="Camera_FFC4"/>
    <s v="Camera_FFC4 - Long Range View"/>
    <m/>
    <m/>
    <s v="43;14"/>
    <s v="TE"/>
    <s v="2307383-1"/>
    <s v="1 Pos. Fakra Sealed"/>
    <m/>
    <s v="No"/>
    <s v="No"/>
    <s v="Yes"/>
    <n v="1"/>
    <n v="1"/>
    <n v="1"/>
    <n v="1"/>
  </r>
  <r>
    <x v="264"/>
    <s v="37.0_ADAS &amp; AutomatedDriving"/>
    <s v="37.20_Parking-System"/>
    <s v="F0155"/>
    <s v="Park Assist, Front"/>
    <m/>
    <s v="Drive Assistance"/>
    <s v="Automated Driving"/>
    <s v="Long Range View"/>
    <s v="L4/L5"/>
    <s v="Camera"/>
    <s v="Camera_FFC4"/>
    <s v="Camera_FFC4 - Long Range View"/>
    <m/>
    <m/>
    <s v="43;14"/>
    <s v="TE"/>
    <s v="2307383-1"/>
    <s v="1 Pos. Fakra Sealed"/>
    <m/>
    <s v="No"/>
    <s v="No"/>
    <s v="Yes"/>
    <n v="1"/>
    <n v="1"/>
    <n v="1"/>
    <n v="1"/>
  </r>
  <r>
    <x v="264"/>
    <s v="37.0_ADAS &amp; AutomatedDriving"/>
    <s v="37.20_Parking-System"/>
    <s v="F0156"/>
    <s v="Park Assist, Rear"/>
    <m/>
    <s v="Drive Assistance"/>
    <s v="Automated Driving"/>
    <s v="Long Range View"/>
    <s v="L4/L5"/>
    <s v="Camera"/>
    <s v="Camera_FFC4"/>
    <s v="Camera_FFC4 - Long Range View"/>
    <m/>
    <m/>
    <s v="43;14"/>
    <s v="TE"/>
    <s v="2307383-1"/>
    <s v="1 Pos. Fakra Sealed"/>
    <m/>
    <s v="No"/>
    <s v="No"/>
    <s v="Yes"/>
    <n v="1"/>
    <n v="1"/>
    <n v="1"/>
    <n v="1"/>
  </r>
  <r>
    <x v="264"/>
    <s v="37.0_ADAS &amp; AutomatedDriving"/>
    <s v="37.20_Parking-System"/>
    <s v="F0314"/>
    <s v="Parking Pilot, Valet Parking"/>
    <m/>
    <s v="Drive Assistance"/>
    <s v="Automated Driving"/>
    <s v="Long Range View"/>
    <s v="L4/L5"/>
    <s v="Camera"/>
    <s v="Camera_FFC4"/>
    <s v="Camera_FFC4 - Long Range View"/>
    <m/>
    <m/>
    <s v="43;14"/>
    <s v="TE"/>
    <s v="2307383-1"/>
    <s v="1 Pos. Fakra Sealed"/>
    <m/>
    <s v="No"/>
    <s v="No"/>
    <s v="Yes"/>
    <n v="1"/>
    <n v="1"/>
    <n v="1"/>
    <n v="1"/>
  </r>
  <r>
    <x v="264"/>
    <s v="37.0_ADAS &amp; AutomatedDriving"/>
    <s v="37.20_Parking-System"/>
    <s v="F0536"/>
    <s v="Parking Pilot, Trained Parking"/>
    <m/>
    <s v="Drive Assistance"/>
    <s v="Automated Driving"/>
    <s v="Long Range View"/>
    <s v="L4/L5"/>
    <s v="Camera"/>
    <s v="Camera_FFC4"/>
    <s v="Camera_FFC4 - Long Range View"/>
    <m/>
    <m/>
    <s v="43;14"/>
    <s v="TE"/>
    <s v="2307383-1"/>
    <s v="1 Pos. Fakra Sealed"/>
    <m/>
    <s v="No"/>
    <s v="No"/>
    <s v="Yes"/>
    <n v="1"/>
    <n v="1"/>
    <n v="1"/>
    <n v="1"/>
  </r>
  <r>
    <x v="264"/>
    <s v="37.0_ADAS &amp; AutomatedDriving"/>
    <s v="37.20_Parking-System"/>
    <s v="F1301"/>
    <s v="Drive Away Assist"/>
    <m/>
    <s v="Drive Assistance"/>
    <s v="Automated Driving"/>
    <s v="Long Range View"/>
    <s v="L4/L5"/>
    <s v="Camera"/>
    <s v="Camera_FFC4"/>
    <s v="Camera_FFC4 - Long Range View"/>
    <m/>
    <m/>
    <s v="43;14"/>
    <s v="TE"/>
    <s v="2307383-1"/>
    <s v="1 Pos. Fakra Sealed"/>
    <m/>
    <s v="No"/>
    <s v="No"/>
    <s v="Yes"/>
    <n v="1"/>
    <n v="1"/>
    <n v="1"/>
    <n v="1"/>
  </r>
  <r>
    <x v="264"/>
    <s v="37.0_ADAS &amp; AutomatedDriving"/>
    <s v="37.20_Parking-System"/>
    <s v="F1304"/>
    <s v="Park Assist, Side"/>
    <m/>
    <s v="Drive Assistance"/>
    <s v="Automated Driving"/>
    <s v="Long Range View"/>
    <s v="L4/L5"/>
    <s v="Camera"/>
    <s v="Camera_FFC4"/>
    <s v="Camera_FFC4 - Long Range View"/>
    <m/>
    <m/>
    <s v="43;14"/>
    <s v="TE"/>
    <s v="2307383-1"/>
    <s v="1 Pos. Fakra Sealed"/>
    <m/>
    <s v="No"/>
    <s v="No"/>
    <s v="Yes"/>
    <n v="1"/>
    <n v="1"/>
    <n v="1"/>
    <n v="1"/>
  </r>
  <r>
    <x v="264"/>
    <s v="37.0_ADAS &amp; AutomatedDriving"/>
    <s v="37.20_Parking-System"/>
    <s v="F2003"/>
    <s v="Automatic Parking Support"/>
    <m/>
    <s v="Drive Assistance"/>
    <s v="Automated Driving"/>
    <s v="Long Range View"/>
    <s v="L4/L5"/>
    <s v="Camera"/>
    <s v="Camera_FFC4"/>
    <s v="Camera_FFC4 - Long Range View"/>
    <m/>
    <m/>
    <s v="43;14"/>
    <s v="TE"/>
    <s v="2307383-1"/>
    <s v="1 Pos. Fakra Sealed"/>
    <m/>
    <s v="No"/>
    <s v="No"/>
    <s v="Yes"/>
    <n v="1"/>
    <n v="1"/>
    <n v="1"/>
    <n v="1"/>
  </r>
  <r>
    <x v="264"/>
    <s v="37.0_ADAS &amp; AutomatedDriving"/>
    <s v="37.30_Piloting-System"/>
    <s v="F0332"/>
    <s v="Pilot, Traffic Jam"/>
    <m/>
    <s v="Drive Assistance"/>
    <s v="Automated Driving"/>
    <s v="Long Range View"/>
    <s v="L4/L5"/>
    <s v="Camera"/>
    <s v="Camera_FFC4"/>
    <s v="Camera_FFC4 - Long Range View"/>
    <m/>
    <m/>
    <s v="43;14"/>
    <s v="TE"/>
    <s v="2307383-1"/>
    <s v="1 Pos. Fakra Sealed"/>
    <m/>
    <s v="No"/>
    <s v="No"/>
    <s v="Yes"/>
    <n v="1"/>
    <n v="1"/>
    <n v="1"/>
    <n v="1"/>
  </r>
  <r>
    <x v="264"/>
    <s v="37.0_ADAS &amp; AutomatedDriving"/>
    <s v="37.30_Piloting-System"/>
    <s v="F0335"/>
    <s v="Pilot, Highway"/>
    <m/>
    <s v="Drive Assistance"/>
    <s v="Automated Driving"/>
    <s v="Long Range View"/>
    <s v="L4/L5"/>
    <s v="Camera"/>
    <s v="Camera_FFC4"/>
    <s v="Camera_FFC4 - Long Range View"/>
    <m/>
    <m/>
    <s v="43;14"/>
    <s v="TE"/>
    <s v="2307383-1"/>
    <s v="1 Pos. Fakra Sealed"/>
    <m/>
    <s v="No"/>
    <s v="No"/>
    <s v="Yes"/>
    <n v="1"/>
    <n v="1"/>
    <n v="1"/>
    <n v="1"/>
  </r>
  <r>
    <x v="264"/>
    <s v="37.0_ADAS &amp; AutomatedDriving"/>
    <s v="37.30_Piloting-System"/>
    <s v="F0337"/>
    <s v="Pilot, City"/>
    <m/>
    <s v="Drive Assistance"/>
    <s v="Automated Driving"/>
    <s v="Long Range View"/>
    <s v="L4/L5"/>
    <s v="Camera"/>
    <s v="Camera_FFC4"/>
    <s v="Camera_FFC4 - Long Range View"/>
    <m/>
    <m/>
    <s v="43;14"/>
    <s v="TE"/>
    <s v="2307383-1"/>
    <s v="1 Pos. Fakra Sealed"/>
    <m/>
    <s v="No"/>
    <s v="No"/>
    <s v="Yes"/>
    <n v="1"/>
    <n v="1"/>
    <n v="1"/>
    <n v="1"/>
  </r>
  <r>
    <x v="264"/>
    <s v="37.0_ADAS &amp; AutomatedDriving"/>
    <s v="37.30_Piloting-System"/>
    <s v="F0651"/>
    <s v="Pilot, Country Road"/>
    <m/>
    <s v="Drive Assistance"/>
    <s v="Automated Driving"/>
    <s v="Long Range View"/>
    <s v="L4/L5"/>
    <s v="Camera"/>
    <s v="Camera_FFC4"/>
    <s v="Camera_FFC4 - Long Range View"/>
    <m/>
    <m/>
    <s v="43;14"/>
    <s v="TE"/>
    <s v="2307383-1"/>
    <s v="1 Pos. Fakra Sealed"/>
    <m/>
    <s v="No"/>
    <s v="No"/>
    <s v="Yes"/>
    <n v="1"/>
    <n v="1"/>
    <n v="1"/>
    <n v="1"/>
  </r>
  <r>
    <x v="264"/>
    <s v="37.0_ADAS &amp; AutomatedDriving"/>
    <s v="37.30_Piloting-System"/>
    <s v="F0915"/>
    <s v="Pilot, Rush Hour"/>
    <m/>
    <s v="Drive Assistance"/>
    <s v="Automated Driving"/>
    <s v="Long Range View"/>
    <s v="L4/L5"/>
    <s v="Camera"/>
    <s v="Camera_FFC4"/>
    <s v="Camera_FFC4 - Long Range View"/>
    <m/>
    <m/>
    <s v="43;14"/>
    <s v="TE"/>
    <s v="2307383-1"/>
    <s v="1 Pos. Fakra Sealed"/>
    <m/>
    <s v="No"/>
    <s v="No"/>
    <s v="Yes"/>
    <n v="1"/>
    <n v="1"/>
    <n v="1"/>
    <n v="1"/>
  </r>
  <r>
    <x v="264"/>
    <s v="37.0_ADAS &amp; AutomatedDriving"/>
    <s v="37.30_Piloting-System"/>
    <s v="F1042"/>
    <s v="Pilot, Remote Operation"/>
    <m/>
    <s v="Drive Assistance"/>
    <s v="Automated Driving"/>
    <s v="Long Range View"/>
    <s v="L4/L5"/>
    <s v="Camera"/>
    <s v="Camera_FFC4"/>
    <s v="Camera_FFC4 - Long Range View"/>
    <m/>
    <m/>
    <s v="43;14"/>
    <s v="TE"/>
    <s v="2307383-1"/>
    <s v="1 Pos. Fakra Sealed"/>
    <m/>
    <s v="No"/>
    <s v="No"/>
    <s v="Yes"/>
    <n v="1"/>
    <n v="1"/>
    <n v="1"/>
    <n v="1"/>
  </r>
  <r>
    <x v="264"/>
    <s v="37.0_ADAS &amp; AutomatedDriving"/>
    <s v="37.30_Piloting-System"/>
    <s v="F1105"/>
    <s v="Pilot, Data Storage System For Automated Driving (DSSAD)"/>
    <m/>
    <s v="Drive Assistance"/>
    <s v="Automated Driving"/>
    <s v="Long Range View"/>
    <s v="L4/L5"/>
    <s v="Camera"/>
    <s v="Camera_FFC4"/>
    <s v="Camera_FFC4 - Long Range View"/>
    <m/>
    <m/>
    <s v="43;14"/>
    <s v="TE"/>
    <s v="2307383-1"/>
    <s v="1 Pos. Fakra Sealed"/>
    <m/>
    <s v="No"/>
    <s v="No"/>
    <s v="Yes"/>
    <n v="1"/>
    <n v="1"/>
    <n v="1"/>
    <n v="1"/>
  </r>
  <r>
    <x v="265"/>
    <s v="10.0_Comfort &amp; Exterior"/>
    <s v="10.20_Mirroring-System"/>
    <s v="F0249"/>
    <s v="Outside Mirror Camera"/>
    <m/>
    <s v="Drive Assistance"/>
    <s v="Automated Driving"/>
    <s v="Long Range View"/>
    <s v="L4/L5"/>
    <s v="Camera"/>
    <s v="Camera_FFC5"/>
    <s v="Camera_FFC5 - Long Range View"/>
    <m/>
    <m/>
    <s v="113;8"/>
    <s v="TE"/>
    <s v="2307383-1"/>
    <s v="1 Pos. Fakra Sealed"/>
    <m/>
    <s v="No"/>
    <s v="No"/>
    <s v="Yes"/>
    <n v="1"/>
    <n v="1"/>
    <n v="1"/>
    <n v="1"/>
  </r>
  <r>
    <x v="265"/>
    <s v="10.0_Comfort &amp; Exterior"/>
    <s v="10.20_Mirroring-System"/>
    <s v="F0912"/>
    <s v="Surround View, 3D-View"/>
    <m/>
    <s v="Drive Assistance"/>
    <s v="Automated Driving"/>
    <s v="Long Range View"/>
    <s v="L4/L5"/>
    <s v="Camera"/>
    <s v="Camera_FFC5"/>
    <s v="Camera_FFC5 - Long Range View"/>
    <m/>
    <m/>
    <s v="113;8"/>
    <s v="TE"/>
    <s v="2307383-1"/>
    <s v="1 Pos. Fakra Sealed"/>
    <m/>
    <s v="No"/>
    <s v="No"/>
    <s v="Yes"/>
    <n v="1"/>
    <n v="1"/>
    <n v="1"/>
    <n v="1"/>
  </r>
  <r>
    <x v="265"/>
    <s v="37.0_ADAS &amp; AutomatedDriving"/>
    <s v="37.02_Alerting-System"/>
    <s v="F0599"/>
    <s v="Event Recorder, Video Capturing"/>
    <m/>
    <s v="Drive Assistance"/>
    <s v="Automated Driving"/>
    <s v="Long Range View"/>
    <s v="L4/L5"/>
    <s v="Camera"/>
    <s v="Camera_FFC5"/>
    <s v="Camera_FFC5 - Long Range View"/>
    <m/>
    <m/>
    <s v="113;8"/>
    <s v="TE"/>
    <s v="2307383-1"/>
    <s v="1 Pos. Fakra Sealed"/>
    <m/>
    <s v="No"/>
    <s v="No"/>
    <s v="Yes"/>
    <n v="1"/>
    <n v="1"/>
    <n v="1"/>
    <n v="1"/>
  </r>
  <r>
    <x v="265"/>
    <s v="37.0_ADAS &amp; AutomatedDriving"/>
    <s v="37.20_Parking-System"/>
    <s v="F0155"/>
    <s v="Park Assist, Front"/>
    <m/>
    <s v="Drive Assistance"/>
    <s v="Automated Driving"/>
    <s v="Long Range View"/>
    <s v="L4/L5"/>
    <s v="Camera"/>
    <s v="Camera_FFC5"/>
    <s v="Camera_FFC5 - Long Range View"/>
    <m/>
    <m/>
    <s v="113;8"/>
    <s v="TE"/>
    <s v="2307383-1"/>
    <s v="1 Pos. Fakra Sealed"/>
    <m/>
    <s v="No"/>
    <s v="No"/>
    <s v="Yes"/>
    <n v="1"/>
    <n v="1"/>
    <n v="1"/>
    <n v="1"/>
  </r>
  <r>
    <x v="265"/>
    <s v="37.0_ADAS &amp; AutomatedDriving"/>
    <s v="37.20_Parking-System"/>
    <s v="F0156"/>
    <s v="Park Assist, Rear"/>
    <m/>
    <s v="Drive Assistance"/>
    <s v="Automated Driving"/>
    <s v="Long Range View"/>
    <s v="L4/L5"/>
    <s v="Camera"/>
    <s v="Camera_FFC5"/>
    <s v="Camera_FFC5 - Long Range View"/>
    <m/>
    <m/>
    <s v="113;8"/>
    <s v="TE"/>
    <s v="2307383-1"/>
    <s v="1 Pos. Fakra Sealed"/>
    <m/>
    <s v="No"/>
    <s v="No"/>
    <s v="Yes"/>
    <n v="1"/>
    <n v="1"/>
    <n v="1"/>
    <n v="1"/>
  </r>
  <r>
    <x v="265"/>
    <s v="37.0_ADAS &amp; AutomatedDriving"/>
    <s v="37.20_Parking-System"/>
    <s v="F0314"/>
    <s v="Parking Pilot, Valet Parking"/>
    <m/>
    <s v="Drive Assistance"/>
    <s v="Automated Driving"/>
    <s v="Long Range View"/>
    <s v="L4/L5"/>
    <s v="Camera"/>
    <s v="Camera_FFC5"/>
    <s v="Camera_FFC5 - Long Range View"/>
    <m/>
    <m/>
    <s v="113;8"/>
    <s v="TE"/>
    <s v="2307383-1"/>
    <s v="1 Pos. Fakra Sealed"/>
    <m/>
    <s v="No"/>
    <s v="No"/>
    <s v="Yes"/>
    <n v="1"/>
    <n v="1"/>
    <n v="1"/>
    <n v="1"/>
  </r>
  <r>
    <x v="265"/>
    <s v="37.0_ADAS &amp; AutomatedDriving"/>
    <s v="37.20_Parking-System"/>
    <s v="F0536"/>
    <s v="Parking Pilot, Trained Parking"/>
    <m/>
    <s v="Drive Assistance"/>
    <s v="Automated Driving"/>
    <s v="Long Range View"/>
    <s v="L4/L5"/>
    <s v="Camera"/>
    <s v="Camera_FFC5"/>
    <s v="Camera_FFC5 - Long Range View"/>
    <m/>
    <m/>
    <s v="113;8"/>
    <s v="TE"/>
    <s v="2307383-1"/>
    <s v="1 Pos. Fakra Sealed"/>
    <m/>
    <s v="No"/>
    <s v="No"/>
    <s v="Yes"/>
    <n v="1"/>
    <n v="1"/>
    <n v="1"/>
    <n v="1"/>
  </r>
  <r>
    <x v="265"/>
    <s v="37.0_ADAS &amp; AutomatedDriving"/>
    <s v="37.20_Parking-System"/>
    <s v="F1301"/>
    <s v="Drive Away Assist"/>
    <m/>
    <s v="Drive Assistance"/>
    <s v="Automated Driving"/>
    <s v="Long Range View"/>
    <s v="L4/L5"/>
    <s v="Camera"/>
    <s v="Camera_FFC5"/>
    <s v="Camera_FFC5 - Long Range View"/>
    <m/>
    <m/>
    <s v="113;8"/>
    <s v="TE"/>
    <s v="2307383-1"/>
    <s v="1 Pos. Fakra Sealed"/>
    <m/>
    <s v="No"/>
    <s v="No"/>
    <s v="Yes"/>
    <n v="1"/>
    <n v="1"/>
    <n v="1"/>
    <n v="1"/>
  </r>
  <r>
    <x v="265"/>
    <s v="37.0_ADAS &amp; AutomatedDriving"/>
    <s v="37.20_Parking-System"/>
    <s v="F1304"/>
    <s v="Park Assist, Side"/>
    <m/>
    <s v="Drive Assistance"/>
    <s v="Automated Driving"/>
    <s v="Long Range View"/>
    <s v="L4/L5"/>
    <s v="Camera"/>
    <s v="Camera_FFC5"/>
    <s v="Camera_FFC5 - Long Range View"/>
    <m/>
    <m/>
    <s v="113;8"/>
    <s v="TE"/>
    <s v="2307383-1"/>
    <s v="1 Pos. Fakra Sealed"/>
    <m/>
    <s v="No"/>
    <s v="No"/>
    <s v="Yes"/>
    <n v="1"/>
    <n v="1"/>
    <n v="1"/>
    <n v="1"/>
  </r>
  <r>
    <x v="265"/>
    <s v="37.0_ADAS &amp; AutomatedDriving"/>
    <s v="37.20_Parking-System"/>
    <s v="F2003"/>
    <s v="Automatic Parking Support"/>
    <m/>
    <s v="Drive Assistance"/>
    <s v="Automated Driving"/>
    <s v="Long Range View"/>
    <s v="L4/L5"/>
    <s v="Camera"/>
    <s v="Camera_FFC5"/>
    <s v="Camera_FFC5 - Long Range View"/>
    <m/>
    <m/>
    <s v="113;8"/>
    <s v="TE"/>
    <s v="2307383-1"/>
    <s v="1 Pos. Fakra Sealed"/>
    <m/>
    <s v="No"/>
    <s v="No"/>
    <s v="Yes"/>
    <n v="1"/>
    <n v="1"/>
    <n v="1"/>
    <n v="1"/>
  </r>
  <r>
    <x v="265"/>
    <s v="37.0_ADAS &amp; AutomatedDriving"/>
    <s v="37.30_Piloting-System"/>
    <s v="F0332"/>
    <s v="Pilot, Traffic Jam"/>
    <m/>
    <s v="Drive Assistance"/>
    <s v="Automated Driving"/>
    <s v="Long Range View"/>
    <s v="L4/L5"/>
    <s v="Camera"/>
    <s v="Camera_FFC5"/>
    <s v="Camera_FFC5 - Long Range View"/>
    <m/>
    <m/>
    <s v="113;8"/>
    <s v="TE"/>
    <s v="2307383-1"/>
    <s v="1 Pos. Fakra Sealed"/>
    <m/>
    <s v="No"/>
    <s v="No"/>
    <s v="Yes"/>
    <n v="1"/>
    <n v="1"/>
    <n v="1"/>
    <n v="1"/>
  </r>
  <r>
    <x v="265"/>
    <s v="37.0_ADAS &amp; AutomatedDriving"/>
    <s v="37.30_Piloting-System"/>
    <s v="F0335"/>
    <s v="Pilot, Highway"/>
    <m/>
    <s v="Drive Assistance"/>
    <s v="Automated Driving"/>
    <s v="Long Range View"/>
    <s v="L4/L5"/>
    <s v="Camera"/>
    <s v="Camera_FFC5"/>
    <s v="Camera_FFC5 - Long Range View"/>
    <m/>
    <m/>
    <s v="113;8"/>
    <s v="TE"/>
    <s v="2307383-1"/>
    <s v="1 Pos. Fakra Sealed"/>
    <m/>
    <s v="No"/>
    <s v="No"/>
    <s v="Yes"/>
    <n v="1"/>
    <n v="1"/>
    <n v="1"/>
    <n v="1"/>
  </r>
  <r>
    <x v="265"/>
    <s v="37.0_ADAS &amp; AutomatedDriving"/>
    <s v="37.30_Piloting-System"/>
    <s v="F0337"/>
    <s v="Pilot, City"/>
    <m/>
    <s v="Drive Assistance"/>
    <s v="Automated Driving"/>
    <s v="Long Range View"/>
    <s v="L4/L5"/>
    <s v="Camera"/>
    <s v="Camera_FFC5"/>
    <s v="Camera_FFC5 - Long Range View"/>
    <m/>
    <m/>
    <s v="113;8"/>
    <s v="TE"/>
    <s v="2307383-1"/>
    <s v="1 Pos. Fakra Sealed"/>
    <m/>
    <s v="No"/>
    <s v="No"/>
    <s v="Yes"/>
    <n v="1"/>
    <n v="1"/>
    <n v="1"/>
    <n v="1"/>
  </r>
  <r>
    <x v="265"/>
    <s v="37.0_ADAS &amp; AutomatedDriving"/>
    <s v="37.30_Piloting-System"/>
    <s v="F0651"/>
    <s v="Pilot, Country Road"/>
    <m/>
    <s v="Drive Assistance"/>
    <s v="Automated Driving"/>
    <s v="Long Range View"/>
    <s v="L4/L5"/>
    <s v="Camera"/>
    <s v="Camera_FFC5"/>
    <s v="Camera_FFC5 - Long Range View"/>
    <m/>
    <m/>
    <s v="113;8"/>
    <s v="TE"/>
    <s v="2307383-1"/>
    <s v="1 Pos. Fakra Sealed"/>
    <m/>
    <s v="No"/>
    <s v="No"/>
    <s v="Yes"/>
    <n v="1"/>
    <n v="1"/>
    <n v="1"/>
    <n v="1"/>
  </r>
  <r>
    <x v="265"/>
    <s v="37.0_ADAS &amp; AutomatedDriving"/>
    <s v="37.30_Piloting-System"/>
    <s v="F0915"/>
    <s v="Pilot, Rush Hour"/>
    <m/>
    <s v="Drive Assistance"/>
    <s v="Automated Driving"/>
    <s v="Long Range View"/>
    <s v="L4/L5"/>
    <s v="Camera"/>
    <s v="Camera_FFC5"/>
    <s v="Camera_FFC5 - Long Range View"/>
    <m/>
    <m/>
    <s v="113;8"/>
    <s v="TE"/>
    <s v="2307383-1"/>
    <s v="1 Pos. Fakra Sealed"/>
    <m/>
    <s v="No"/>
    <s v="No"/>
    <s v="Yes"/>
    <n v="1"/>
    <n v="1"/>
    <n v="1"/>
    <n v="1"/>
  </r>
  <r>
    <x v="265"/>
    <s v="37.0_ADAS &amp; AutomatedDriving"/>
    <s v="37.30_Piloting-System"/>
    <s v="F1042"/>
    <s v="Pilot, Remote Operation"/>
    <m/>
    <s v="Drive Assistance"/>
    <s v="Automated Driving"/>
    <s v="Long Range View"/>
    <s v="L4/L5"/>
    <s v="Camera"/>
    <s v="Camera_FFC5"/>
    <s v="Camera_FFC5 - Long Range View"/>
    <m/>
    <m/>
    <s v="113;8"/>
    <s v="TE"/>
    <s v="2307383-1"/>
    <s v="1 Pos. Fakra Sealed"/>
    <m/>
    <s v="No"/>
    <s v="No"/>
    <s v="Yes"/>
    <n v="1"/>
    <n v="1"/>
    <n v="1"/>
    <n v="1"/>
  </r>
  <r>
    <x v="265"/>
    <s v="37.0_ADAS &amp; AutomatedDriving"/>
    <s v="37.30_Piloting-System"/>
    <s v="F1105"/>
    <s v="Pilot, Data Storage System For Automated Driving (DSSAD)"/>
    <m/>
    <s v="Drive Assistance"/>
    <s v="Automated Driving"/>
    <s v="Long Range View"/>
    <s v="L4/L5"/>
    <s v="Camera"/>
    <s v="Camera_FFC5"/>
    <s v="Camera_FFC5 - Long Range View"/>
    <m/>
    <m/>
    <s v="113;8"/>
    <s v="TE"/>
    <s v="2307383-1"/>
    <s v="1 Pos. Fakra Sealed"/>
    <m/>
    <s v="No"/>
    <s v="No"/>
    <s v="Yes"/>
    <n v="1"/>
    <n v="1"/>
    <n v="1"/>
    <n v="1"/>
  </r>
  <r>
    <x v="266"/>
    <s v="10.0_Comfort &amp; Exterior"/>
    <s v="10.20_Mirroring-System"/>
    <s v="F0249"/>
    <s v="Outside Mirror Camera"/>
    <m/>
    <s v="Drive Assistance"/>
    <s v="Automated Driving"/>
    <s v="Long Range View"/>
    <s v="L4/L5"/>
    <s v="Camera"/>
    <s v="Camera_FFC6"/>
    <s v="Camera_FFC6 - Long Range View"/>
    <m/>
    <m/>
    <s v="113;-8"/>
    <s v="TE"/>
    <s v="2307383-1"/>
    <s v="1 Pos. Fakra Sealed"/>
    <m/>
    <s v="No"/>
    <s v="No"/>
    <s v="Yes"/>
    <n v="1"/>
    <n v="1"/>
    <n v="1"/>
    <n v="1"/>
  </r>
  <r>
    <x v="266"/>
    <s v="10.0_Comfort &amp; Exterior"/>
    <s v="10.20_Mirroring-System"/>
    <s v="F0912"/>
    <s v="Surround View, 3D-View"/>
    <m/>
    <s v="Drive Assistance"/>
    <s v="Automated Driving"/>
    <s v="Long Range View"/>
    <s v="L4/L5"/>
    <s v="Camera"/>
    <s v="Camera_FFC6"/>
    <s v="Camera_FFC6 - Long Range View"/>
    <m/>
    <m/>
    <s v="113;-8"/>
    <s v="TE"/>
    <s v="2307383-1"/>
    <s v="1 Pos. Fakra Sealed"/>
    <m/>
    <s v="No"/>
    <s v="No"/>
    <s v="Yes"/>
    <n v="1"/>
    <n v="1"/>
    <n v="1"/>
    <n v="1"/>
  </r>
  <r>
    <x v="266"/>
    <s v="37.0_ADAS &amp; AutomatedDriving"/>
    <s v="37.02_Alerting-System"/>
    <s v="F0599"/>
    <s v="Event Recorder, Video Capturing"/>
    <m/>
    <s v="Drive Assistance"/>
    <s v="Automated Driving"/>
    <s v="Long Range View"/>
    <s v="L4/L5"/>
    <s v="Camera"/>
    <s v="Camera_FFC6"/>
    <s v="Camera_FFC6 - Long Range View"/>
    <m/>
    <m/>
    <s v="113;-8"/>
    <s v="TE"/>
    <s v="2307383-1"/>
    <s v="1 Pos. Fakra Sealed"/>
    <m/>
    <s v="No"/>
    <s v="No"/>
    <s v="Yes"/>
    <n v="1"/>
    <n v="1"/>
    <n v="1"/>
    <n v="1"/>
  </r>
  <r>
    <x v="266"/>
    <s v="37.0_ADAS &amp; AutomatedDriving"/>
    <s v="37.20_Parking-System"/>
    <s v="F0155"/>
    <s v="Park Assist, Front"/>
    <m/>
    <s v="Drive Assistance"/>
    <s v="Automated Driving"/>
    <s v="Long Range View"/>
    <s v="L4/L5"/>
    <s v="Camera"/>
    <s v="Camera_FFC6"/>
    <s v="Camera_FFC6 - Long Range View"/>
    <m/>
    <m/>
    <s v="113;-8"/>
    <s v="TE"/>
    <s v="2307383-1"/>
    <s v="1 Pos. Fakra Sealed"/>
    <m/>
    <s v="No"/>
    <s v="No"/>
    <s v="Yes"/>
    <n v="1"/>
    <n v="1"/>
    <n v="1"/>
    <n v="1"/>
  </r>
  <r>
    <x v="266"/>
    <s v="37.0_ADAS &amp; AutomatedDriving"/>
    <s v="37.20_Parking-System"/>
    <s v="F0156"/>
    <s v="Park Assist, Rear"/>
    <m/>
    <s v="Drive Assistance"/>
    <s v="Automated Driving"/>
    <s v="Long Range View"/>
    <s v="L4/L5"/>
    <s v="Camera"/>
    <s v="Camera_FFC6"/>
    <s v="Camera_FFC6 - Long Range View"/>
    <m/>
    <m/>
    <s v="113;-8"/>
    <s v="TE"/>
    <s v="2307383-1"/>
    <s v="1 Pos. Fakra Sealed"/>
    <m/>
    <s v="No"/>
    <s v="No"/>
    <s v="Yes"/>
    <n v="1"/>
    <n v="1"/>
    <n v="1"/>
    <n v="1"/>
  </r>
  <r>
    <x v="266"/>
    <s v="37.0_ADAS &amp; AutomatedDriving"/>
    <s v="37.20_Parking-System"/>
    <s v="F0314"/>
    <s v="Parking Pilot, Valet Parking"/>
    <m/>
    <s v="Drive Assistance"/>
    <s v="Automated Driving"/>
    <s v="Long Range View"/>
    <s v="L4/L5"/>
    <s v="Camera"/>
    <s v="Camera_FFC6"/>
    <s v="Camera_FFC6 - Long Range View"/>
    <m/>
    <m/>
    <s v="113;-8"/>
    <s v="TE"/>
    <s v="2307383-1"/>
    <s v="1 Pos. Fakra Sealed"/>
    <m/>
    <s v="No"/>
    <s v="No"/>
    <s v="Yes"/>
    <n v="1"/>
    <n v="1"/>
    <n v="1"/>
    <n v="1"/>
  </r>
  <r>
    <x v="266"/>
    <s v="37.0_ADAS &amp; AutomatedDriving"/>
    <s v="37.20_Parking-System"/>
    <s v="F0536"/>
    <s v="Parking Pilot, Trained Parking"/>
    <m/>
    <s v="Drive Assistance"/>
    <s v="Automated Driving"/>
    <s v="Long Range View"/>
    <s v="L4/L5"/>
    <s v="Camera"/>
    <s v="Camera_FFC6"/>
    <s v="Camera_FFC6 - Long Range View"/>
    <m/>
    <m/>
    <s v="113;-8"/>
    <s v="TE"/>
    <s v="2307383-1"/>
    <s v="1 Pos. Fakra Sealed"/>
    <m/>
    <s v="No"/>
    <s v="No"/>
    <s v="Yes"/>
    <n v="1"/>
    <n v="1"/>
    <n v="1"/>
    <n v="1"/>
  </r>
  <r>
    <x v="266"/>
    <s v="37.0_ADAS &amp; AutomatedDriving"/>
    <s v="37.20_Parking-System"/>
    <s v="F1301"/>
    <s v="Drive Away Assist"/>
    <m/>
    <s v="Drive Assistance"/>
    <s v="Automated Driving"/>
    <s v="Long Range View"/>
    <s v="L4/L5"/>
    <s v="Camera"/>
    <s v="Camera_FFC6"/>
    <s v="Camera_FFC6 - Long Range View"/>
    <m/>
    <m/>
    <s v="113;-8"/>
    <s v="TE"/>
    <s v="2307383-1"/>
    <s v="1 Pos. Fakra Sealed"/>
    <m/>
    <s v="No"/>
    <s v="No"/>
    <s v="Yes"/>
    <n v="1"/>
    <n v="1"/>
    <n v="1"/>
    <n v="1"/>
  </r>
  <r>
    <x v="266"/>
    <s v="37.0_ADAS &amp; AutomatedDriving"/>
    <s v="37.20_Parking-System"/>
    <s v="F1304"/>
    <s v="Park Assist, Side"/>
    <m/>
    <s v="Drive Assistance"/>
    <s v="Automated Driving"/>
    <s v="Long Range View"/>
    <s v="L4/L5"/>
    <s v="Camera"/>
    <s v="Camera_FFC6"/>
    <s v="Camera_FFC6 - Long Range View"/>
    <m/>
    <m/>
    <s v="113;-8"/>
    <s v="TE"/>
    <s v="2307383-1"/>
    <s v="1 Pos. Fakra Sealed"/>
    <m/>
    <s v="No"/>
    <s v="No"/>
    <s v="Yes"/>
    <n v="1"/>
    <n v="1"/>
    <n v="1"/>
    <n v="1"/>
  </r>
  <r>
    <x v="266"/>
    <s v="37.0_ADAS &amp; AutomatedDriving"/>
    <s v="37.20_Parking-System"/>
    <s v="F2003"/>
    <s v="Automatic Parking Support"/>
    <m/>
    <s v="Drive Assistance"/>
    <s v="Automated Driving"/>
    <s v="Long Range View"/>
    <s v="L4/L5"/>
    <s v="Camera"/>
    <s v="Camera_FFC6"/>
    <s v="Camera_FFC6 - Long Range View"/>
    <m/>
    <m/>
    <s v="113;-8"/>
    <s v="TE"/>
    <s v="2307383-1"/>
    <s v="1 Pos. Fakra Sealed"/>
    <m/>
    <s v="No"/>
    <s v="No"/>
    <s v="Yes"/>
    <n v="1"/>
    <n v="1"/>
    <n v="1"/>
    <n v="1"/>
  </r>
  <r>
    <x v="266"/>
    <s v="37.0_ADAS &amp; AutomatedDriving"/>
    <s v="37.30_Piloting-System"/>
    <s v="F0332"/>
    <s v="Pilot, Traffic Jam"/>
    <m/>
    <s v="Drive Assistance"/>
    <s v="Automated Driving"/>
    <s v="Long Range View"/>
    <s v="L4/L5"/>
    <s v="Camera"/>
    <s v="Camera_FFC6"/>
    <s v="Camera_FFC6 - Long Range View"/>
    <m/>
    <m/>
    <s v="113;-8"/>
    <s v="TE"/>
    <s v="2307383-1"/>
    <s v="1 Pos. Fakra Sealed"/>
    <m/>
    <s v="No"/>
    <s v="No"/>
    <s v="Yes"/>
    <n v="1"/>
    <n v="1"/>
    <n v="1"/>
    <n v="1"/>
  </r>
  <r>
    <x v="266"/>
    <s v="37.0_ADAS &amp; AutomatedDriving"/>
    <s v="37.30_Piloting-System"/>
    <s v="F0335"/>
    <s v="Pilot, Highway"/>
    <m/>
    <s v="Drive Assistance"/>
    <s v="Automated Driving"/>
    <s v="Long Range View"/>
    <s v="L4/L5"/>
    <s v="Camera"/>
    <s v="Camera_FFC6"/>
    <s v="Camera_FFC6 - Long Range View"/>
    <m/>
    <m/>
    <s v="113;-8"/>
    <s v="TE"/>
    <s v="2307383-1"/>
    <s v="1 Pos. Fakra Sealed"/>
    <m/>
    <s v="No"/>
    <s v="No"/>
    <s v="Yes"/>
    <n v="1"/>
    <n v="1"/>
    <n v="1"/>
    <n v="1"/>
  </r>
  <r>
    <x v="266"/>
    <s v="37.0_ADAS &amp; AutomatedDriving"/>
    <s v="37.30_Piloting-System"/>
    <s v="F0337"/>
    <s v="Pilot, City"/>
    <m/>
    <s v="Drive Assistance"/>
    <s v="Automated Driving"/>
    <s v="Long Range View"/>
    <s v="L4/L5"/>
    <s v="Camera"/>
    <s v="Camera_FFC6"/>
    <s v="Camera_FFC6 - Long Range View"/>
    <m/>
    <m/>
    <s v="113;-8"/>
    <s v="TE"/>
    <s v="2307383-1"/>
    <s v="1 Pos. Fakra Sealed"/>
    <m/>
    <s v="No"/>
    <s v="No"/>
    <s v="Yes"/>
    <n v="1"/>
    <n v="1"/>
    <n v="1"/>
    <n v="1"/>
  </r>
  <r>
    <x v="266"/>
    <s v="37.0_ADAS &amp; AutomatedDriving"/>
    <s v="37.30_Piloting-System"/>
    <s v="F0651"/>
    <s v="Pilot, Country Road"/>
    <m/>
    <s v="Drive Assistance"/>
    <s v="Automated Driving"/>
    <s v="Long Range View"/>
    <s v="L4/L5"/>
    <s v="Camera"/>
    <s v="Camera_FFC6"/>
    <s v="Camera_FFC6 - Long Range View"/>
    <m/>
    <m/>
    <s v="113;-8"/>
    <s v="TE"/>
    <s v="2307383-1"/>
    <s v="1 Pos. Fakra Sealed"/>
    <m/>
    <s v="No"/>
    <s v="No"/>
    <s v="Yes"/>
    <n v="1"/>
    <n v="1"/>
    <n v="1"/>
    <n v="1"/>
  </r>
  <r>
    <x v="266"/>
    <s v="37.0_ADAS &amp; AutomatedDriving"/>
    <s v="37.30_Piloting-System"/>
    <s v="F0915"/>
    <s v="Pilot, Rush Hour"/>
    <m/>
    <s v="Drive Assistance"/>
    <s v="Automated Driving"/>
    <s v="Long Range View"/>
    <s v="L4/L5"/>
    <s v="Camera"/>
    <s v="Camera_FFC6"/>
    <s v="Camera_FFC6 - Long Range View"/>
    <m/>
    <m/>
    <s v="113;-8"/>
    <s v="TE"/>
    <s v="2307383-1"/>
    <s v="1 Pos. Fakra Sealed"/>
    <m/>
    <s v="No"/>
    <s v="No"/>
    <s v="Yes"/>
    <n v="1"/>
    <n v="1"/>
    <n v="1"/>
    <n v="1"/>
  </r>
  <r>
    <x v="266"/>
    <s v="37.0_ADAS &amp; AutomatedDriving"/>
    <s v="37.30_Piloting-System"/>
    <s v="F1042"/>
    <s v="Pilot, Remote Operation"/>
    <m/>
    <s v="Drive Assistance"/>
    <s v="Automated Driving"/>
    <s v="Long Range View"/>
    <s v="L4/L5"/>
    <s v="Camera"/>
    <s v="Camera_FFC6"/>
    <s v="Camera_FFC6 - Long Range View"/>
    <m/>
    <m/>
    <s v="113;-8"/>
    <s v="TE"/>
    <s v="2307383-1"/>
    <s v="1 Pos. Fakra Sealed"/>
    <m/>
    <s v="No"/>
    <s v="No"/>
    <s v="Yes"/>
    <n v="1"/>
    <n v="1"/>
    <n v="1"/>
    <n v="1"/>
  </r>
  <r>
    <x v="266"/>
    <s v="37.0_ADAS &amp; AutomatedDriving"/>
    <s v="37.30_Piloting-System"/>
    <s v="F1105"/>
    <s v="Pilot, Data Storage System For Automated Driving (DSSAD)"/>
    <m/>
    <s v="Drive Assistance"/>
    <s v="Automated Driving"/>
    <s v="Long Range View"/>
    <s v="L4/L5"/>
    <s v="Camera"/>
    <s v="Camera_FFC6"/>
    <s v="Camera_FFC6 - Long Range View"/>
    <m/>
    <m/>
    <s v="113;-8"/>
    <s v="TE"/>
    <s v="2307383-1"/>
    <s v="1 Pos. Fakra Sealed"/>
    <m/>
    <s v="No"/>
    <s v="No"/>
    <s v="Yes"/>
    <n v="1"/>
    <n v="1"/>
    <n v="1"/>
    <n v="1"/>
  </r>
  <r>
    <x v="267"/>
    <s v="10.0_Comfort &amp; Exterior"/>
    <s v="10.20_Mirroring-System"/>
    <s v="F0249"/>
    <s v="Outside Mirror Camera"/>
    <m/>
    <s v="Drive Assistance"/>
    <s v="Automated Driving"/>
    <s v="Long Range View"/>
    <s v="L4/L5"/>
    <s v="Camera"/>
    <s v="Camera_FFC7"/>
    <s v="Camera_FFC7 - Long Range View"/>
    <m/>
    <m/>
    <s v="43;-14"/>
    <s v="TE"/>
    <s v="2307383-1"/>
    <s v="1 Pos. Fakra Sealed"/>
    <m/>
    <s v="No"/>
    <s v="No"/>
    <s v="Yes"/>
    <n v="1"/>
    <n v="1"/>
    <n v="1"/>
    <n v="1"/>
  </r>
  <r>
    <x v="267"/>
    <s v="10.0_Comfort &amp; Exterior"/>
    <s v="10.20_Mirroring-System"/>
    <s v="F0912"/>
    <s v="Surround View, 3D-View"/>
    <m/>
    <s v="Drive Assistance"/>
    <s v="Automated Driving"/>
    <s v="Long Range View"/>
    <s v="L4/L5"/>
    <s v="Camera"/>
    <s v="Camera_FFC7"/>
    <s v="Camera_FFC7 - Long Range View"/>
    <m/>
    <m/>
    <s v="43;-14"/>
    <s v="TE"/>
    <s v="2307383-1"/>
    <s v="1 Pos. Fakra Sealed"/>
    <m/>
    <s v="No"/>
    <s v="No"/>
    <s v="Yes"/>
    <n v="1"/>
    <n v="1"/>
    <n v="1"/>
    <n v="1"/>
  </r>
  <r>
    <x v="267"/>
    <s v="37.0_ADAS &amp; AutomatedDriving"/>
    <s v="37.02_Alerting-System"/>
    <s v="F0599"/>
    <s v="Event Recorder, Video Capturing"/>
    <m/>
    <s v="Drive Assistance"/>
    <s v="Automated Driving"/>
    <s v="Long Range View"/>
    <s v="L4/L5"/>
    <s v="Camera"/>
    <s v="Camera_FFC7"/>
    <s v="Camera_FFC7 - Long Range View"/>
    <m/>
    <m/>
    <s v="43;-14"/>
    <s v="TE"/>
    <s v="2307383-1"/>
    <s v="1 Pos. Fakra Sealed"/>
    <m/>
    <s v="No"/>
    <s v="No"/>
    <s v="Yes"/>
    <n v="1"/>
    <n v="1"/>
    <n v="1"/>
    <n v="1"/>
  </r>
  <r>
    <x v="267"/>
    <s v="37.0_ADAS &amp; AutomatedDriving"/>
    <s v="37.20_Parking-System"/>
    <s v="F0155"/>
    <s v="Park Assist, Front"/>
    <m/>
    <s v="Drive Assistance"/>
    <s v="Automated Driving"/>
    <s v="Long Range View"/>
    <s v="L4/L5"/>
    <s v="Camera"/>
    <s v="Camera_FFC7"/>
    <s v="Camera_FFC7 - Long Range View"/>
    <m/>
    <m/>
    <s v="43;-14"/>
    <s v="TE"/>
    <s v="2307383-1"/>
    <s v="1 Pos. Fakra Sealed"/>
    <m/>
    <s v="No"/>
    <s v="No"/>
    <s v="Yes"/>
    <n v="1"/>
    <n v="1"/>
    <n v="1"/>
    <n v="1"/>
  </r>
  <r>
    <x v="267"/>
    <s v="37.0_ADAS &amp; AutomatedDriving"/>
    <s v="37.20_Parking-System"/>
    <s v="F0156"/>
    <s v="Park Assist, Rear"/>
    <m/>
    <s v="Drive Assistance"/>
    <s v="Automated Driving"/>
    <s v="Long Range View"/>
    <s v="L4/L5"/>
    <s v="Camera"/>
    <s v="Camera_FFC7"/>
    <s v="Camera_FFC7 - Long Range View"/>
    <m/>
    <m/>
    <s v="43;-14"/>
    <s v="TE"/>
    <s v="2307383-1"/>
    <s v="1 Pos. Fakra Sealed"/>
    <m/>
    <s v="No"/>
    <s v="No"/>
    <s v="Yes"/>
    <n v="1"/>
    <n v="1"/>
    <n v="1"/>
    <n v="1"/>
  </r>
  <r>
    <x v="267"/>
    <s v="37.0_ADAS &amp; AutomatedDriving"/>
    <s v="37.20_Parking-System"/>
    <s v="F0314"/>
    <s v="Parking Pilot, Valet Parking"/>
    <m/>
    <s v="Drive Assistance"/>
    <s v="Automated Driving"/>
    <s v="Long Range View"/>
    <s v="L4/L5"/>
    <s v="Camera"/>
    <s v="Camera_FFC7"/>
    <s v="Camera_FFC7 - Long Range View"/>
    <m/>
    <m/>
    <s v="43;-14"/>
    <s v="TE"/>
    <s v="2307383-1"/>
    <s v="1 Pos. Fakra Sealed"/>
    <m/>
    <s v="No"/>
    <s v="No"/>
    <s v="Yes"/>
    <n v="1"/>
    <n v="1"/>
    <n v="1"/>
    <n v="1"/>
  </r>
  <r>
    <x v="267"/>
    <s v="37.0_ADAS &amp; AutomatedDriving"/>
    <s v="37.20_Parking-System"/>
    <s v="F0536"/>
    <s v="Parking Pilot, Trained Parking"/>
    <m/>
    <s v="Drive Assistance"/>
    <s v="Automated Driving"/>
    <s v="Long Range View"/>
    <s v="L4/L5"/>
    <s v="Camera"/>
    <s v="Camera_FFC7"/>
    <s v="Camera_FFC7 - Long Range View"/>
    <m/>
    <m/>
    <s v="43;-14"/>
    <s v="TE"/>
    <s v="2307383-1"/>
    <s v="1 Pos. Fakra Sealed"/>
    <m/>
    <s v="No"/>
    <s v="No"/>
    <s v="Yes"/>
    <n v="1"/>
    <n v="1"/>
    <n v="1"/>
    <n v="1"/>
  </r>
  <r>
    <x v="267"/>
    <s v="37.0_ADAS &amp; AutomatedDriving"/>
    <s v="37.20_Parking-System"/>
    <s v="F1301"/>
    <s v="Drive Away Assist"/>
    <m/>
    <s v="Drive Assistance"/>
    <s v="Automated Driving"/>
    <s v="Long Range View"/>
    <s v="L4/L5"/>
    <s v="Camera"/>
    <s v="Camera_FFC7"/>
    <s v="Camera_FFC7 - Long Range View"/>
    <m/>
    <m/>
    <s v="43;-14"/>
    <s v="TE"/>
    <s v="2307383-1"/>
    <s v="1 Pos. Fakra Sealed"/>
    <m/>
    <s v="No"/>
    <s v="No"/>
    <s v="Yes"/>
    <n v="1"/>
    <n v="1"/>
    <n v="1"/>
    <n v="1"/>
  </r>
  <r>
    <x v="267"/>
    <s v="37.0_ADAS &amp; AutomatedDriving"/>
    <s v="37.20_Parking-System"/>
    <s v="F1304"/>
    <s v="Park Assist, Side"/>
    <m/>
    <s v="Drive Assistance"/>
    <s v="Automated Driving"/>
    <s v="Long Range View"/>
    <s v="L4/L5"/>
    <s v="Camera"/>
    <s v="Camera_FFC7"/>
    <s v="Camera_FFC7 - Long Range View"/>
    <m/>
    <m/>
    <s v="43;-14"/>
    <s v="TE"/>
    <s v="2307383-1"/>
    <s v="1 Pos. Fakra Sealed"/>
    <m/>
    <s v="No"/>
    <s v="No"/>
    <s v="Yes"/>
    <n v="1"/>
    <n v="1"/>
    <n v="1"/>
    <n v="1"/>
  </r>
  <r>
    <x v="267"/>
    <s v="37.0_ADAS &amp; AutomatedDriving"/>
    <s v="37.20_Parking-System"/>
    <s v="F2003"/>
    <s v="Automatic Parking Support"/>
    <m/>
    <s v="Drive Assistance"/>
    <s v="Automated Driving"/>
    <s v="Long Range View"/>
    <s v="L4/L5"/>
    <s v="Camera"/>
    <s v="Camera_FFC7"/>
    <s v="Camera_FFC7 - Long Range View"/>
    <m/>
    <m/>
    <s v="43;-14"/>
    <s v="TE"/>
    <s v="2307383-1"/>
    <s v="1 Pos. Fakra Sealed"/>
    <m/>
    <s v="No"/>
    <s v="No"/>
    <s v="Yes"/>
    <n v="1"/>
    <n v="1"/>
    <n v="1"/>
    <n v="1"/>
  </r>
  <r>
    <x v="267"/>
    <s v="37.0_ADAS &amp; AutomatedDriving"/>
    <s v="37.30_Piloting-System"/>
    <s v="F0332"/>
    <s v="Pilot, Traffic Jam"/>
    <m/>
    <s v="Drive Assistance"/>
    <s v="Automated Driving"/>
    <s v="Long Range View"/>
    <s v="L4/L5"/>
    <s v="Camera"/>
    <s v="Camera_FFC7"/>
    <s v="Camera_FFC7 - Long Range View"/>
    <m/>
    <m/>
    <s v="43;-14"/>
    <s v="TE"/>
    <s v="2307383-1"/>
    <s v="1 Pos. Fakra Sealed"/>
    <m/>
    <s v="No"/>
    <s v="No"/>
    <s v="Yes"/>
    <n v="1"/>
    <n v="1"/>
    <n v="1"/>
    <n v="1"/>
  </r>
  <r>
    <x v="267"/>
    <s v="37.0_ADAS &amp; AutomatedDriving"/>
    <s v="37.30_Piloting-System"/>
    <s v="F0335"/>
    <s v="Pilot, Highway"/>
    <m/>
    <s v="Drive Assistance"/>
    <s v="Automated Driving"/>
    <s v="Long Range View"/>
    <s v="L4/L5"/>
    <s v="Camera"/>
    <s v="Camera_FFC7"/>
    <s v="Camera_FFC7 - Long Range View"/>
    <m/>
    <m/>
    <s v="43;-14"/>
    <s v="TE"/>
    <s v="2307383-1"/>
    <s v="1 Pos. Fakra Sealed"/>
    <m/>
    <s v="No"/>
    <s v="No"/>
    <s v="Yes"/>
    <n v="1"/>
    <n v="1"/>
    <n v="1"/>
    <n v="1"/>
  </r>
  <r>
    <x v="267"/>
    <s v="37.0_ADAS &amp; AutomatedDriving"/>
    <s v="37.30_Piloting-System"/>
    <s v="F0337"/>
    <s v="Pilot, City"/>
    <m/>
    <s v="Drive Assistance"/>
    <s v="Automated Driving"/>
    <s v="Long Range View"/>
    <s v="L4/L5"/>
    <s v="Camera"/>
    <s v="Camera_FFC7"/>
    <s v="Camera_FFC7 - Long Range View"/>
    <m/>
    <m/>
    <s v="43;-14"/>
    <s v="TE"/>
    <s v="2307383-1"/>
    <s v="1 Pos. Fakra Sealed"/>
    <m/>
    <s v="No"/>
    <s v="No"/>
    <s v="Yes"/>
    <n v="1"/>
    <n v="1"/>
    <n v="1"/>
    <n v="1"/>
  </r>
  <r>
    <x v="267"/>
    <s v="37.0_ADAS &amp; AutomatedDriving"/>
    <s v="37.30_Piloting-System"/>
    <s v="F0651"/>
    <s v="Pilot, Country Road"/>
    <m/>
    <s v="Drive Assistance"/>
    <s v="Automated Driving"/>
    <s v="Long Range View"/>
    <s v="L4/L5"/>
    <s v="Camera"/>
    <s v="Camera_FFC7"/>
    <s v="Camera_FFC7 - Long Range View"/>
    <m/>
    <m/>
    <s v="43;-14"/>
    <s v="TE"/>
    <s v="2307383-1"/>
    <s v="1 Pos. Fakra Sealed"/>
    <m/>
    <s v="No"/>
    <s v="No"/>
    <s v="Yes"/>
    <n v="1"/>
    <n v="1"/>
    <n v="1"/>
    <n v="1"/>
  </r>
  <r>
    <x v="267"/>
    <s v="37.0_ADAS &amp; AutomatedDriving"/>
    <s v="37.30_Piloting-System"/>
    <s v="F0915"/>
    <s v="Pilot, Rush Hour"/>
    <m/>
    <s v="Drive Assistance"/>
    <s v="Automated Driving"/>
    <s v="Long Range View"/>
    <s v="L4/L5"/>
    <s v="Camera"/>
    <s v="Camera_FFC7"/>
    <s v="Camera_FFC7 - Long Range View"/>
    <m/>
    <m/>
    <s v="43;-14"/>
    <s v="TE"/>
    <s v="2307383-1"/>
    <s v="1 Pos. Fakra Sealed"/>
    <m/>
    <s v="No"/>
    <s v="No"/>
    <s v="Yes"/>
    <n v="1"/>
    <n v="1"/>
    <n v="1"/>
    <n v="1"/>
  </r>
  <r>
    <x v="267"/>
    <s v="37.0_ADAS &amp; AutomatedDriving"/>
    <s v="37.30_Piloting-System"/>
    <s v="F1042"/>
    <s v="Pilot, Remote Operation"/>
    <m/>
    <s v="Drive Assistance"/>
    <s v="Automated Driving"/>
    <s v="Long Range View"/>
    <s v="L4/L5"/>
    <s v="Camera"/>
    <s v="Camera_FFC7"/>
    <s v="Camera_FFC7 - Long Range View"/>
    <m/>
    <m/>
    <s v="43;-14"/>
    <s v="TE"/>
    <s v="2307383-1"/>
    <s v="1 Pos. Fakra Sealed"/>
    <m/>
    <s v="No"/>
    <s v="No"/>
    <s v="Yes"/>
    <n v="1"/>
    <n v="1"/>
    <n v="1"/>
    <n v="1"/>
  </r>
  <r>
    <x v="267"/>
    <s v="37.0_ADAS &amp; AutomatedDriving"/>
    <s v="37.30_Piloting-System"/>
    <s v="F1105"/>
    <s v="Pilot, Data Storage System For Automated Driving (DSSAD)"/>
    <m/>
    <s v="Drive Assistance"/>
    <s v="Automated Driving"/>
    <s v="Long Range View"/>
    <s v="L4/L5"/>
    <s v="Camera"/>
    <s v="Camera_FFC7"/>
    <s v="Camera_FFC7 - Long Range View"/>
    <m/>
    <m/>
    <s v="43;-14"/>
    <s v="TE"/>
    <s v="2307383-1"/>
    <s v="1 Pos. Fakra Sealed"/>
    <m/>
    <s v="No"/>
    <s v="No"/>
    <s v="Yes"/>
    <n v="1"/>
    <n v="1"/>
    <n v="1"/>
    <n v="1"/>
  </r>
  <r>
    <x v="268"/>
    <s v="10.0_Comfort &amp; Exterior"/>
    <s v="10.20_Mirroring-System"/>
    <s v="F0912"/>
    <s v="Surround View, 3D-View"/>
    <m/>
    <s v="Drive Assistance"/>
    <s v="Automated Driving"/>
    <s v="Long Range View"/>
    <s v="L4/L5"/>
    <s v="Camera"/>
    <s v="Camera_FFC8"/>
    <s v="Camera_FFC8 - Long Range View"/>
    <m/>
    <m/>
    <s v="42;-14"/>
    <s v="TE"/>
    <s v="2307383-1"/>
    <s v="1 Pos. Fakra Sealed"/>
    <m/>
    <s v="No"/>
    <s v="No"/>
    <s v="Yes"/>
    <n v="1"/>
    <n v="1"/>
    <n v="1"/>
    <n v="1"/>
  </r>
  <r>
    <x v="268"/>
    <s v="37.0_ADAS &amp; AutomatedDriving"/>
    <s v="37.01_LightingAssistant-System"/>
    <s v="F0145"/>
    <s v="Light Assist, High Beam Automatic"/>
    <m/>
    <s v="Drive Assistance"/>
    <s v="Automated Driving"/>
    <s v="Long Range View"/>
    <s v="L4/L5"/>
    <s v="Camera"/>
    <s v="Camera_FFC8"/>
    <s v="Camera_FFC8 - Long Range View"/>
    <m/>
    <m/>
    <s v="42;-14"/>
    <s v="TE"/>
    <s v="2307383-1"/>
    <s v="1 Pos. Fakra Sealed"/>
    <m/>
    <s v="No"/>
    <s v="No"/>
    <s v="Yes"/>
    <n v="1"/>
    <n v="1"/>
    <n v="1"/>
    <n v="1"/>
  </r>
  <r>
    <x v="268"/>
    <s v="37.0_ADAS &amp; AutomatedDriving"/>
    <s v="37.02_Alerting-System"/>
    <s v="F0162"/>
    <s v="Object Detection, Traffic Sign Recognition"/>
    <m/>
    <s v="Drive Assistance"/>
    <s v="Automated Driving"/>
    <s v="Long Range View"/>
    <s v="L4/L5"/>
    <s v="Camera"/>
    <s v="Camera_FFC8"/>
    <s v="Camera_FFC8 - Long Range View"/>
    <m/>
    <m/>
    <s v="42;-14"/>
    <s v="TE"/>
    <s v="2307383-1"/>
    <s v="1 Pos. Fakra Sealed"/>
    <m/>
    <s v="No"/>
    <s v="No"/>
    <s v="Yes"/>
    <n v="1"/>
    <n v="1"/>
    <n v="1"/>
    <n v="1"/>
  </r>
  <r>
    <x v="268"/>
    <s v="37.0_ADAS &amp; AutomatedDriving"/>
    <s v="37.02_Alerting-System"/>
    <s v="F0594"/>
    <s v="Object Detection, Highway"/>
    <m/>
    <s v="Drive Assistance"/>
    <s v="Automated Driving"/>
    <s v="Long Range View"/>
    <s v="L4/L5"/>
    <s v="Camera"/>
    <s v="Camera_FFC8"/>
    <s v="Camera_FFC8 - Long Range View"/>
    <m/>
    <m/>
    <s v="42;-14"/>
    <s v="TE"/>
    <s v="2307383-1"/>
    <s v="1 Pos. Fakra Sealed"/>
    <m/>
    <s v="No"/>
    <s v="No"/>
    <s v="Yes"/>
    <n v="1"/>
    <n v="1"/>
    <n v="1"/>
    <n v="1"/>
  </r>
  <r>
    <x v="268"/>
    <s v="37.0_ADAS &amp; AutomatedDriving"/>
    <s v="37.02_Alerting-System"/>
    <s v="F0599"/>
    <s v="Event Recorder, Video Capturing"/>
    <m/>
    <s v="Drive Assistance"/>
    <s v="Automated Driving"/>
    <s v="Long Range View"/>
    <s v="L4/L5"/>
    <s v="Camera"/>
    <s v="Camera_FFC8"/>
    <s v="Camera_FFC8 - Long Range View"/>
    <m/>
    <m/>
    <s v="42;-14"/>
    <s v="TE"/>
    <s v="2307383-1"/>
    <s v="1 Pos. Fakra Sealed"/>
    <m/>
    <s v="No"/>
    <s v="No"/>
    <s v="Yes"/>
    <n v="1"/>
    <n v="1"/>
    <n v="1"/>
    <n v="1"/>
  </r>
  <r>
    <x v="268"/>
    <s v="37.0_ADAS &amp; AutomatedDriving"/>
    <s v="37.20_Parking-System"/>
    <s v="F0155"/>
    <s v="Park Assist, Front"/>
    <m/>
    <s v="Drive Assistance"/>
    <s v="Automated Driving"/>
    <s v="Long Range View"/>
    <s v="L4/L5"/>
    <s v="Camera"/>
    <s v="Camera_FFC8"/>
    <s v="Camera_FFC8 - Long Range View"/>
    <m/>
    <m/>
    <s v="42;-14"/>
    <s v="TE"/>
    <s v="2307383-1"/>
    <s v="1 Pos. Fakra Sealed"/>
    <m/>
    <s v="No"/>
    <s v="No"/>
    <s v="Yes"/>
    <n v="1"/>
    <n v="1"/>
    <n v="1"/>
    <n v="1"/>
  </r>
  <r>
    <x v="268"/>
    <s v="37.0_ADAS &amp; AutomatedDriving"/>
    <s v="37.20_Parking-System"/>
    <s v="F0156"/>
    <s v="Park Assist, Rear"/>
    <m/>
    <s v="Drive Assistance"/>
    <s v="Automated Driving"/>
    <s v="Long Range View"/>
    <s v="L4/L5"/>
    <s v="Camera"/>
    <s v="Camera_FFC8"/>
    <s v="Camera_FFC8 - Long Range View"/>
    <m/>
    <m/>
    <s v="42;-14"/>
    <s v="TE"/>
    <s v="2307383-1"/>
    <s v="1 Pos. Fakra Sealed"/>
    <m/>
    <s v="No"/>
    <s v="No"/>
    <s v="Yes"/>
    <n v="1"/>
    <n v="1"/>
    <n v="1"/>
    <n v="1"/>
  </r>
  <r>
    <x v="268"/>
    <s v="37.0_ADAS &amp; AutomatedDriving"/>
    <s v="37.20_Parking-System"/>
    <s v="F0314"/>
    <s v="Parking Pilot, Valet Parking"/>
    <m/>
    <s v="Drive Assistance"/>
    <s v="Automated Driving"/>
    <s v="Long Range View"/>
    <s v="L4/L5"/>
    <s v="Camera"/>
    <s v="Camera_FFC8"/>
    <s v="Camera_FFC8 - Long Range View"/>
    <m/>
    <m/>
    <s v="42;-14"/>
    <s v="TE"/>
    <s v="2307383-1"/>
    <s v="1 Pos. Fakra Sealed"/>
    <m/>
    <s v="No"/>
    <s v="No"/>
    <s v="Yes"/>
    <n v="1"/>
    <n v="1"/>
    <n v="1"/>
    <n v="1"/>
  </r>
  <r>
    <x v="268"/>
    <s v="37.0_ADAS &amp; AutomatedDriving"/>
    <s v="37.20_Parking-System"/>
    <s v="F0536"/>
    <s v="Parking Pilot, Trained Parking"/>
    <m/>
    <s v="Drive Assistance"/>
    <s v="Automated Driving"/>
    <s v="Long Range View"/>
    <s v="L4/L5"/>
    <s v="Camera"/>
    <s v="Camera_FFC8"/>
    <s v="Camera_FFC8 - Long Range View"/>
    <m/>
    <m/>
    <s v="42;-14"/>
    <s v="TE"/>
    <s v="2307383-1"/>
    <s v="1 Pos. Fakra Sealed"/>
    <m/>
    <s v="No"/>
    <s v="No"/>
    <s v="Yes"/>
    <n v="1"/>
    <n v="1"/>
    <n v="1"/>
    <n v="1"/>
  </r>
  <r>
    <x v="268"/>
    <s v="37.0_ADAS &amp; AutomatedDriving"/>
    <s v="37.20_Parking-System"/>
    <s v="F1301"/>
    <s v="Drive Away Assist"/>
    <m/>
    <s v="Drive Assistance"/>
    <s v="Automated Driving"/>
    <s v="Long Range View"/>
    <s v="L4/L5"/>
    <s v="Camera"/>
    <s v="Camera_FFC8"/>
    <s v="Camera_FFC8 - Long Range View"/>
    <m/>
    <m/>
    <s v="42;-14"/>
    <s v="TE"/>
    <s v="2307383-1"/>
    <s v="1 Pos. Fakra Sealed"/>
    <m/>
    <s v="No"/>
    <s v="No"/>
    <s v="Yes"/>
    <n v="1"/>
    <n v="1"/>
    <n v="1"/>
    <n v="1"/>
  </r>
  <r>
    <x v="268"/>
    <s v="37.0_ADAS &amp; AutomatedDriving"/>
    <s v="37.20_Parking-System"/>
    <s v="F1304"/>
    <s v="Park Assist, Side"/>
    <m/>
    <s v="Drive Assistance"/>
    <s v="Automated Driving"/>
    <s v="Long Range View"/>
    <s v="L4/L5"/>
    <s v="Camera"/>
    <s v="Camera_FFC8"/>
    <s v="Camera_FFC8 - Long Range View"/>
    <m/>
    <m/>
    <s v="42;-14"/>
    <s v="TE"/>
    <s v="2307383-1"/>
    <s v="1 Pos. Fakra Sealed"/>
    <m/>
    <s v="No"/>
    <s v="No"/>
    <s v="Yes"/>
    <n v="1"/>
    <n v="1"/>
    <n v="1"/>
    <n v="1"/>
  </r>
  <r>
    <x v="268"/>
    <s v="37.0_ADAS &amp; AutomatedDriving"/>
    <s v="37.20_Parking-System"/>
    <s v="F2003"/>
    <s v="Automatic Parking Support"/>
    <m/>
    <s v="Drive Assistance"/>
    <s v="Automated Driving"/>
    <s v="Long Range View"/>
    <s v="L4/L5"/>
    <s v="Camera"/>
    <s v="Camera_FFC8"/>
    <s v="Camera_FFC8 - Long Range View"/>
    <m/>
    <m/>
    <s v="42;-14"/>
    <s v="TE"/>
    <s v="2307383-1"/>
    <s v="1 Pos. Fakra Sealed"/>
    <m/>
    <s v="No"/>
    <s v="No"/>
    <s v="Yes"/>
    <n v="1"/>
    <n v="1"/>
    <n v="1"/>
    <n v="1"/>
  </r>
  <r>
    <x v="268"/>
    <s v="37.0_ADAS &amp; AutomatedDriving"/>
    <s v="37.23_LaneSupporting-System"/>
    <s v="F0331"/>
    <s v="Lane Assist, Lane Change Assist (LCA)"/>
    <m/>
    <s v="Drive Assistance"/>
    <s v="Automated Driving"/>
    <s v="Long Range View"/>
    <s v="L4/L5"/>
    <s v="Camera"/>
    <s v="Camera_FFC8"/>
    <s v="Camera_FFC8 - Long Range View"/>
    <m/>
    <m/>
    <s v="42;-14"/>
    <s v="TE"/>
    <s v="2307383-1"/>
    <s v="1 Pos. Fakra Sealed"/>
    <m/>
    <s v="No"/>
    <s v="No"/>
    <s v="Yes"/>
    <n v="1"/>
    <n v="1"/>
    <n v="1"/>
    <n v="1"/>
  </r>
  <r>
    <x v="268"/>
    <s v="37.0_ADAS &amp; AutomatedDriving"/>
    <s v="37.23_LaneSupporting-System"/>
    <s v="F0595"/>
    <s v="Lane Assist, Highway Assist"/>
    <m/>
    <s v="Drive Assistance"/>
    <s v="Automated Driving"/>
    <s v="Long Range View"/>
    <s v="L4/L5"/>
    <s v="Camera"/>
    <s v="Camera_FFC8"/>
    <s v="Camera_FFC8 - Long Range View"/>
    <m/>
    <m/>
    <s v="42;-14"/>
    <s v="TE"/>
    <s v="2307383-1"/>
    <s v="1 Pos. Fakra Sealed"/>
    <m/>
    <s v="No"/>
    <s v="No"/>
    <s v="Yes"/>
    <n v="1"/>
    <n v="1"/>
    <n v="1"/>
    <n v="1"/>
  </r>
  <r>
    <x v="268"/>
    <s v="37.0_ADAS &amp; AutomatedDriving"/>
    <s v="37.23_LaneSupporting-System"/>
    <s v="F0657"/>
    <s v="Lane Assist, Evasive Steering Support"/>
    <m/>
    <s v="Drive Assistance"/>
    <s v="Automated Driving"/>
    <s v="Long Range View"/>
    <s v="L4/L5"/>
    <s v="Camera"/>
    <s v="Camera_FFC8"/>
    <s v="Camera_FFC8 - Long Range View"/>
    <m/>
    <m/>
    <s v="42;-14"/>
    <s v="TE"/>
    <s v="2307383-1"/>
    <s v="1 Pos. Fakra Sealed"/>
    <m/>
    <s v="No"/>
    <s v="No"/>
    <s v="Yes"/>
    <n v="1"/>
    <n v="1"/>
    <n v="1"/>
    <n v="1"/>
  </r>
  <r>
    <x v="268"/>
    <s v="37.0_ADAS &amp; AutomatedDriving"/>
    <s v="37.23_LaneSupporting-System"/>
    <s v="F0658"/>
    <s v="Lane Assist, Traffic Jam Assist"/>
    <m/>
    <s v="Drive Assistance"/>
    <s v="Automated Driving"/>
    <s v="Long Range View"/>
    <s v="L4/L5"/>
    <s v="Camera"/>
    <s v="Camera_FFC8"/>
    <s v="Camera_FFC8 - Long Range View"/>
    <m/>
    <m/>
    <s v="42;-14"/>
    <s v="TE"/>
    <s v="2307383-1"/>
    <s v="1 Pos. Fakra Sealed"/>
    <m/>
    <s v="No"/>
    <s v="No"/>
    <s v="Yes"/>
    <n v="1"/>
    <n v="1"/>
    <n v="1"/>
    <n v="1"/>
  </r>
  <r>
    <x v="268"/>
    <s v="37.0_ADAS &amp; AutomatedDriving"/>
    <s v="37.23_LaneSupporting-System"/>
    <s v="F1187"/>
    <s v="Lane Support System, Lane Centering Control (LCC)"/>
    <m/>
    <s v="Drive Assistance"/>
    <s v="Automated Driving"/>
    <s v="Long Range View"/>
    <s v="L4/L5"/>
    <s v="Camera"/>
    <s v="Camera_FFC8"/>
    <s v="Camera_FFC8 - Long Range View"/>
    <m/>
    <m/>
    <s v="42;-14"/>
    <s v="TE"/>
    <s v="2307383-1"/>
    <s v="1 Pos. Fakra Sealed"/>
    <m/>
    <s v="No"/>
    <s v="No"/>
    <s v="Yes"/>
    <n v="1"/>
    <n v="1"/>
    <n v="1"/>
    <n v="1"/>
  </r>
  <r>
    <x v="268"/>
    <s v="37.0_ADAS &amp; AutomatedDriving"/>
    <s v="37.23_LaneSupporting-System"/>
    <s v="F2010"/>
    <s v="Emergency Lane Keeping Support"/>
    <m/>
    <s v="Drive Assistance"/>
    <s v="Automated Driving"/>
    <s v="Long Range View"/>
    <s v="L4/L5"/>
    <s v="Camera"/>
    <s v="Camera_FFC8"/>
    <s v="Camera_FFC8 - Long Range View"/>
    <m/>
    <m/>
    <s v="42;-14"/>
    <s v="TE"/>
    <s v="2307383-1"/>
    <s v="1 Pos. Fakra Sealed"/>
    <m/>
    <s v="No"/>
    <s v="No"/>
    <s v="Yes"/>
    <n v="1"/>
    <n v="1"/>
    <n v="1"/>
    <n v="1"/>
  </r>
  <r>
    <x v="268"/>
    <s v="37.0_ADAS &amp; AutomatedDriving"/>
    <s v="37.30_Piloting-System"/>
    <s v="F0332"/>
    <s v="Pilot, Traffic Jam"/>
    <m/>
    <s v="Drive Assistance"/>
    <s v="Automated Driving"/>
    <s v="Long Range View"/>
    <s v="L4/L5"/>
    <s v="Camera"/>
    <s v="Camera_FFC8"/>
    <s v="Camera_FFC8 - Long Range View"/>
    <m/>
    <m/>
    <s v="42;-14"/>
    <s v="TE"/>
    <s v="2307383-1"/>
    <s v="1 Pos. Fakra Sealed"/>
    <m/>
    <s v="No"/>
    <s v="No"/>
    <s v="Yes"/>
    <n v="1"/>
    <n v="1"/>
    <n v="1"/>
    <n v="1"/>
  </r>
  <r>
    <x v="268"/>
    <s v="37.0_ADAS &amp; AutomatedDriving"/>
    <s v="37.30_Piloting-System"/>
    <s v="F0335"/>
    <s v="Pilot, Highway"/>
    <m/>
    <s v="Drive Assistance"/>
    <s v="Automated Driving"/>
    <s v="Long Range View"/>
    <s v="L4/L5"/>
    <s v="Camera"/>
    <s v="Camera_FFC8"/>
    <s v="Camera_FFC8 - Long Range View"/>
    <m/>
    <m/>
    <s v="42;-14"/>
    <s v="TE"/>
    <s v="2307383-1"/>
    <s v="1 Pos. Fakra Sealed"/>
    <m/>
    <s v="No"/>
    <s v="No"/>
    <s v="Yes"/>
    <n v="1"/>
    <n v="1"/>
    <n v="1"/>
    <n v="1"/>
  </r>
  <r>
    <x v="268"/>
    <s v="37.0_ADAS &amp; AutomatedDriving"/>
    <s v="37.30_Piloting-System"/>
    <s v="F0337"/>
    <s v="Pilot, City"/>
    <m/>
    <s v="Drive Assistance"/>
    <s v="Automated Driving"/>
    <s v="Long Range View"/>
    <s v="L4/L5"/>
    <s v="Camera"/>
    <s v="Camera_FFC8"/>
    <s v="Camera_FFC8 - Long Range View"/>
    <m/>
    <m/>
    <s v="42;-14"/>
    <s v="TE"/>
    <s v="2307383-1"/>
    <s v="1 Pos. Fakra Sealed"/>
    <m/>
    <s v="No"/>
    <s v="No"/>
    <s v="Yes"/>
    <n v="1"/>
    <n v="1"/>
    <n v="1"/>
    <n v="1"/>
  </r>
  <r>
    <x v="268"/>
    <s v="37.0_ADAS &amp; AutomatedDriving"/>
    <s v="37.30_Piloting-System"/>
    <s v="F0651"/>
    <s v="Pilot, Country Road"/>
    <m/>
    <s v="Drive Assistance"/>
    <s v="Automated Driving"/>
    <s v="Long Range View"/>
    <s v="L4/L5"/>
    <s v="Camera"/>
    <s v="Camera_FFC8"/>
    <s v="Camera_FFC8 - Long Range View"/>
    <m/>
    <m/>
    <s v="42;-14"/>
    <s v="TE"/>
    <s v="2307383-1"/>
    <s v="1 Pos. Fakra Sealed"/>
    <m/>
    <s v="No"/>
    <s v="No"/>
    <s v="Yes"/>
    <n v="1"/>
    <n v="1"/>
    <n v="1"/>
    <n v="1"/>
  </r>
  <r>
    <x v="268"/>
    <s v="37.0_ADAS &amp; AutomatedDriving"/>
    <s v="37.30_Piloting-System"/>
    <s v="F0915"/>
    <s v="Pilot, Rush Hour"/>
    <m/>
    <s v="Drive Assistance"/>
    <s v="Automated Driving"/>
    <s v="Long Range View"/>
    <s v="L4/L5"/>
    <s v="Camera"/>
    <s v="Camera_FFC8"/>
    <s v="Camera_FFC8 - Long Range View"/>
    <m/>
    <m/>
    <s v="42;-14"/>
    <s v="TE"/>
    <s v="2307383-1"/>
    <s v="1 Pos. Fakra Sealed"/>
    <m/>
    <s v="No"/>
    <s v="No"/>
    <s v="Yes"/>
    <n v="1"/>
    <n v="1"/>
    <n v="1"/>
    <n v="1"/>
  </r>
  <r>
    <x v="268"/>
    <s v="37.0_ADAS &amp; AutomatedDriving"/>
    <s v="37.30_Piloting-System"/>
    <s v="F1042"/>
    <s v="Pilot, Remote Operation"/>
    <m/>
    <s v="Drive Assistance"/>
    <s v="Automated Driving"/>
    <s v="Long Range View"/>
    <s v="L4/L5"/>
    <s v="Camera"/>
    <s v="Camera_FFC8"/>
    <s v="Camera_FFC8 - Long Range View"/>
    <m/>
    <m/>
    <s v="42;-14"/>
    <s v="TE"/>
    <s v="2307383-1"/>
    <s v="1 Pos. Fakra Sealed"/>
    <m/>
    <s v="No"/>
    <s v="No"/>
    <s v="Yes"/>
    <n v="1"/>
    <n v="1"/>
    <n v="1"/>
    <n v="1"/>
  </r>
  <r>
    <x v="268"/>
    <s v="37.0_ADAS &amp; AutomatedDriving"/>
    <s v="37.30_Piloting-System"/>
    <s v="F1105"/>
    <s v="Pilot, Data Storage System For Automated Driving (DSSAD)"/>
    <m/>
    <s v="Drive Assistance"/>
    <s v="Automated Driving"/>
    <s v="Long Range View"/>
    <s v="L4/L5"/>
    <s v="Camera"/>
    <s v="Camera_FFC8"/>
    <s v="Camera_FFC8 - Long Range View"/>
    <m/>
    <m/>
    <s v="42;-14"/>
    <s v="TE"/>
    <s v="2307383-1"/>
    <s v="1 Pos. Fakra Sealed"/>
    <m/>
    <s v="No"/>
    <s v="No"/>
    <s v="Yes"/>
    <n v="1"/>
    <n v="1"/>
    <n v="1"/>
    <n v="1"/>
  </r>
  <r>
    <x v="269"/>
    <s v="10.0_Comfort &amp; Exterior"/>
    <s v="10.20_Mirroring-System"/>
    <s v="F0912"/>
    <s v="Surround View, 3D-View"/>
    <m/>
    <s v="Drive Assistance"/>
    <s v="Automated Driving"/>
    <s v="Long Range View"/>
    <s v="L4/L5"/>
    <s v="Camera"/>
    <s v="Camera_FFC9"/>
    <s v="Camera_FFC9 - Long Range View"/>
    <m/>
    <m/>
    <s v="41;-3"/>
    <s v="TE"/>
    <s v="2307383-1"/>
    <s v="1 Pos. Fakra Sealed"/>
    <m/>
    <s v="No"/>
    <s v="No"/>
    <s v="Yes"/>
    <n v="1"/>
    <n v="1"/>
    <n v="1"/>
    <n v="1"/>
  </r>
  <r>
    <x v="269"/>
    <s v="37.0_ADAS &amp; AutomatedDriving"/>
    <s v="37.01_LightingAssistant-System"/>
    <s v="F0145"/>
    <s v="Light Assist, High Beam Automatic"/>
    <m/>
    <s v="Drive Assistance"/>
    <s v="Automated Driving"/>
    <s v="Long Range View"/>
    <s v="L4/L5"/>
    <s v="Camera"/>
    <s v="Camera_FFC9"/>
    <s v="Camera_FFC9 - Long Range View"/>
    <m/>
    <m/>
    <s v="41;-3"/>
    <s v="TE"/>
    <s v="2307383-1"/>
    <s v="1 Pos. Fakra Sealed"/>
    <m/>
    <s v="No"/>
    <s v="No"/>
    <s v="Yes"/>
    <n v="1"/>
    <n v="1"/>
    <n v="1"/>
    <n v="1"/>
  </r>
  <r>
    <x v="269"/>
    <s v="37.0_ADAS &amp; AutomatedDriving"/>
    <s v="37.02_Alerting-System"/>
    <s v="F0162"/>
    <s v="Object Detection, Traffic Sign Recognition"/>
    <m/>
    <s v="Drive Assistance"/>
    <s v="Automated Driving"/>
    <s v="Long Range View"/>
    <s v="L4/L5"/>
    <s v="Camera"/>
    <s v="Camera_FFC9"/>
    <s v="Camera_FFC9 - Long Range View"/>
    <m/>
    <m/>
    <s v="41;-3"/>
    <s v="TE"/>
    <s v="2307383-1"/>
    <s v="1 Pos. Fakra Sealed"/>
    <m/>
    <s v="No"/>
    <s v="No"/>
    <s v="Yes"/>
    <n v="1"/>
    <n v="1"/>
    <n v="1"/>
    <n v="1"/>
  </r>
  <r>
    <x v="269"/>
    <s v="37.0_ADAS &amp; AutomatedDriving"/>
    <s v="37.02_Alerting-System"/>
    <s v="F0594"/>
    <s v="Object Detection, Highway"/>
    <m/>
    <s v="Drive Assistance"/>
    <s v="Automated Driving"/>
    <s v="Long Range View"/>
    <s v="L4/L5"/>
    <s v="Camera"/>
    <s v="Camera_FFC9"/>
    <s v="Camera_FFC9 - Long Range View"/>
    <m/>
    <m/>
    <s v="41;-3"/>
    <s v="TE"/>
    <s v="2307383-1"/>
    <s v="1 Pos. Fakra Sealed"/>
    <m/>
    <s v="No"/>
    <s v="No"/>
    <s v="Yes"/>
    <n v="1"/>
    <n v="1"/>
    <n v="1"/>
    <n v="1"/>
  </r>
  <r>
    <x v="269"/>
    <s v="37.0_ADAS &amp; AutomatedDriving"/>
    <s v="37.02_Alerting-System"/>
    <s v="F0599"/>
    <s v="Event Recorder, Video Capturing"/>
    <m/>
    <s v="Drive Assistance"/>
    <s v="Automated Driving"/>
    <s v="Long Range View"/>
    <s v="L4/L5"/>
    <s v="Camera"/>
    <s v="Camera_FFC9"/>
    <s v="Camera_FFC9 - Long Range View"/>
    <m/>
    <m/>
    <s v="41;-3"/>
    <s v="TE"/>
    <s v="2307383-1"/>
    <s v="1 Pos. Fakra Sealed"/>
    <m/>
    <s v="No"/>
    <s v="No"/>
    <s v="Yes"/>
    <n v="1"/>
    <n v="1"/>
    <n v="1"/>
    <n v="1"/>
  </r>
  <r>
    <x v="269"/>
    <s v="37.0_ADAS &amp; AutomatedDriving"/>
    <s v="37.20_Parking-System"/>
    <s v="F0155"/>
    <s v="Park Assist, Front"/>
    <m/>
    <s v="Drive Assistance"/>
    <s v="Automated Driving"/>
    <s v="Long Range View"/>
    <s v="L4/L5"/>
    <s v="Camera"/>
    <s v="Camera_FFC9"/>
    <s v="Camera_FFC9 - Long Range View"/>
    <m/>
    <m/>
    <s v="41;-3"/>
    <s v="TE"/>
    <s v="2307383-1"/>
    <s v="1 Pos. Fakra Sealed"/>
    <m/>
    <s v="No"/>
    <s v="No"/>
    <s v="Yes"/>
    <n v="1"/>
    <n v="1"/>
    <n v="1"/>
    <n v="1"/>
  </r>
  <r>
    <x v="269"/>
    <s v="37.0_ADAS &amp; AutomatedDriving"/>
    <s v="37.20_Parking-System"/>
    <s v="F0156"/>
    <s v="Park Assist, Rear"/>
    <m/>
    <s v="Drive Assistance"/>
    <s v="Automated Driving"/>
    <s v="Long Range View"/>
    <s v="L4/L5"/>
    <s v="Camera"/>
    <s v="Camera_FFC9"/>
    <s v="Camera_FFC9 - Long Range View"/>
    <m/>
    <m/>
    <s v="41;-3"/>
    <s v="TE"/>
    <s v="2307383-1"/>
    <s v="1 Pos. Fakra Sealed"/>
    <m/>
    <s v="No"/>
    <s v="No"/>
    <s v="Yes"/>
    <n v="1"/>
    <n v="1"/>
    <n v="1"/>
    <n v="1"/>
  </r>
  <r>
    <x v="269"/>
    <s v="37.0_ADAS &amp; AutomatedDriving"/>
    <s v="37.20_Parking-System"/>
    <s v="F0314"/>
    <s v="Parking Pilot, Valet Parking"/>
    <m/>
    <s v="Drive Assistance"/>
    <s v="Automated Driving"/>
    <s v="Long Range View"/>
    <s v="L4/L5"/>
    <s v="Camera"/>
    <s v="Camera_FFC9"/>
    <s v="Camera_FFC9 - Long Range View"/>
    <m/>
    <m/>
    <s v="41;-3"/>
    <s v="TE"/>
    <s v="2307383-1"/>
    <s v="1 Pos. Fakra Sealed"/>
    <m/>
    <s v="No"/>
    <s v="No"/>
    <s v="Yes"/>
    <n v="1"/>
    <n v="1"/>
    <n v="1"/>
    <n v="1"/>
  </r>
  <r>
    <x v="269"/>
    <s v="37.0_ADAS &amp; AutomatedDriving"/>
    <s v="37.20_Parking-System"/>
    <s v="F0536"/>
    <s v="Parking Pilot, Trained Parking"/>
    <m/>
    <s v="Drive Assistance"/>
    <s v="Automated Driving"/>
    <s v="Long Range View"/>
    <s v="L4/L5"/>
    <s v="Camera"/>
    <s v="Camera_FFC9"/>
    <s v="Camera_FFC9 - Long Range View"/>
    <m/>
    <m/>
    <s v="41;-3"/>
    <s v="TE"/>
    <s v="2307383-1"/>
    <s v="1 Pos. Fakra Sealed"/>
    <m/>
    <s v="No"/>
    <s v="No"/>
    <s v="Yes"/>
    <n v="1"/>
    <n v="1"/>
    <n v="1"/>
    <n v="1"/>
  </r>
  <r>
    <x v="269"/>
    <s v="37.0_ADAS &amp; AutomatedDriving"/>
    <s v="37.20_Parking-System"/>
    <s v="F1301"/>
    <s v="Drive Away Assist"/>
    <m/>
    <s v="Drive Assistance"/>
    <s v="Automated Driving"/>
    <s v="Long Range View"/>
    <s v="L4/L5"/>
    <s v="Camera"/>
    <s v="Camera_FFC9"/>
    <s v="Camera_FFC9 - Long Range View"/>
    <m/>
    <m/>
    <s v="41;-3"/>
    <s v="TE"/>
    <s v="2307383-1"/>
    <s v="1 Pos. Fakra Sealed"/>
    <m/>
    <s v="No"/>
    <s v="No"/>
    <s v="Yes"/>
    <n v="1"/>
    <n v="1"/>
    <n v="1"/>
    <n v="1"/>
  </r>
  <r>
    <x v="269"/>
    <s v="37.0_ADAS &amp; AutomatedDriving"/>
    <s v="37.20_Parking-System"/>
    <s v="F1304"/>
    <s v="Park Assist, Side"/>
    <m/>
    <s v="Drive Assistance"/>
    <s v="Automated Driving"/>
    <s v="Long Range View"/>
    <s v="L4/L5"/>
    <s v="Camera"/>
    <s v="Camera_FFC9"/>
    <s v="Camera_FFC9 - Long Range View"/>
    <m/>
    <m/>
    <s v="41;-3"/>
    <s v="TE"/>
    <s v="2307383-1"/>
    <s v="1 Pos. Fakra Sealed"/>
    <m/>
    <s v="No"/>
    <s v="No"/>
    <s v="Yes"/>
    <n v="1"/>
    <n v="1"/>
    <n v="1"/>
    <n v="1"/>
  </r>
  <r>
    <x v="269"/>
    <s v="37.0_ADAS &amp; AutomatedDriving"/>
    <s v="37.20_Parking-System"/>
    <s v="F2003"/>
    <s v="Automatic Parking Support"/>
    <m/>
    <s v="Drive Assistance"/>
    <s v="Automated Driving"/>
    <s v="Long Range View"/>
    <s v="L4/L5"/>
    <s v="Camera"/>
    <s v="Camera_FFC9"/>
    <s v="Camera_FFC9 - Long Range View"/>
    <m/>
    <m/>
    <s v="41;-3"/>
    <s v="TE"/>
    <s v="2307383-1"/>
    <s v="1 Pos. Fakra Sealed"/>
    <m/>
    <s v="No"/>
    <s v="No"/>
    <s v="Yes"/>
    <n v="1"/>
    <n v="1"/>
    <n v="1"/>
    <n v="1"/>
  </r>
  <r>
    <x v="269"/>
    <s v="37.0_ADAS &amp; AutomatedDriving"/>
    <s v="37.23_LaneSupporting-System"/>
    <s v="F0331"/>
    <s v="Lane Assist, Lane Change Assist (LCA)"/>
    <m/>
    <s v="Drive Assistance"/>
    <s v="Automated Driving"/>
    <s v="Long Range View"/>
    <s v="L4/L5"/>
    <s v="Camera"/>
    <s v="Camera_FFC9"/>
    <s v="Camera_FFC9 - Long Range View"/>
    <m/>
    <m/>
    <s v="41;-3"/>
    <s v="TE"/>
    <s v="2307383-1"/>
    <s v="1 Pos. Fakra Sealed"/>
    <m/>
    <s v="No"/>
    <s v="No"/>
    <s v="Yes"/>
    <n v="1"/>
    <n v="1"/>
    <n v="1"/>
    <n v="1"/>
  </r>
  <r>
    <x v="269"/>
    <s v="37.0_ADAS &amp; AutomatedDriving"/>
    <s v="37.23_LaneSupporting-System"/>
    <s v="F0595"/>
    <s v="Lane Assist, Highway Assist"/>
    <m/>
    <s v="Drive Assistance"/>
    <s v="Automated Driving"/>
    <s v="Long Range View"/>
    <s v="L4/L5"/>
    <s v="Camera"/>
    <s v="Camera_FFC9"/>
    <s v="Camera_FFC9 - Long Range View"/>
    <m/>
    <m/>
    <s v="41;-3"/>
    <s v="TE"/>
    <s v="2307383-1"/>
    <s v="1 Pos. Fakra Sealed"/>
    <m/>
    <s v="No"/>
    <s v="No"/>
    <s v="Yes"/>
    <n v="1"/>
    <n v="1"/>
    <n v="1"/>
    <n v="1"/>
  </r>
  <r>
    <x v="269"/>
    <s v="37.0_ADAS &amp; AutomatedDriving"/>
    <s v="37.23_LaneSupporting-System"/>
    <s v="F0657"/>
    <s v="Lane Assist, Evasive Steering Support"/>
    <m/>
    <s v="Drive Assistance"/>
    <s v="Automated Driving"/>
    <s v="Long Range View"/>
    <s v="L4/L5"/>
    <s v="Camera"/>
    <s v="Camera_FFC9"/>
    <s v="Camera_FFC9 - Long Range View"/>
    <m/>
    <m/>
    <s v="41;-3"/>
    <s v="TE"/>
    <s v="2307383-1"/>
    <s v="1 Pos. Fakra Sealed"/>
    <m/>
    <s v="No"/>
    <s v="No"/>
    <s v="Yes"/>
    <n v="1"/>
    <n v="1"/>
    <n v="1"/>
    <n v="1"/>
  </r>
  <r>
    <x v="269"/>
    <s v="37.0_ADAS &amp; AutomatedDriving"/>
    <s v="37.23_LaneSupporting-System"/>
    <s v="F0658"/>
    <s v="Lane Assist, Traffic Jam Assist"/>
    <m/>
    <s v="Drive Assistance"/>
    <s v="Automated Driving"/>
    <s v="Long Range View"/>
    <s v="L4/L5"/>
    <s v="Camera"/>
    <s v="Camera_FFC9"/>
    <s v="Camera_FFC9 - Long Range View"/>
    <m/>
    <m/>
    <s v="41;-3"/>
    <s v="TE"/>
    <s v="2307383-1"/>
    <s v="1 Pos. Fakra Sealed"/>
    <m/>
    <s v="No"/>
    <s v="No"/>
    <s v="Yes"/>
    <n v="1"/>
    <n v="1"/>
    <n v="1"/>
    <n v="1"/>
  </r>
  <r>
    <x v="269"/>
    <s v="37.0_ADAS &amp; AutomatedDriving"/>
    <s v="37.23_LaneSupporting-System"/>
    <s v="F1187"/>
    <s v="Lane Support System, Lane Centering Control (LCC)"/>
    <m/>
    <s v="Drive Assistance"/>
    <s v="Automated Driving"/>
    <s v="Long Range View"/>
    <s v="L4/L5"/>
    <s v="Camera"/>
    <s v="Camera_FFC9"/>
    <s v="Camera_FFC9 - Long Range View"/>
    <m/>
    <m/>
    <s v="41;-3"/>
    <s v="TE"/>
    <s v="2307383-1"/>
    <s v="1 Pos. Fakra Sealed"/>
    <m/>
    <s v="No"/>
    <s v="No"/>
    <s v="Yes"/>
    <n v="1"/>
    <n v="1"/>
    <n v="1"/>
    <n v="1"/>
  </r>
  <r>
    <x v="269"/>
    <s v="37.0_ADAS &amp; AutomatedDriving"/>
    <s v="37.23_LaneSupporting-System"/>
    <s v="F2010"/>
    <s v="Emergency Lane Keeping Support"/>
    <m/>
    <s v="Drive Assistance"/>
    <s v="Automated Driving"/>
    <s v="Long Range View"/>
    <s v="L4/L5"/>
    <s v="Camera"/>
    <s v="Camera_FFC9"/>
    <s v="Camera_FFC9 - Long Range View"/>
    <m/>
    <m/>
    <s v="41;-3"/>
    <s v="TE"/>
    <s v="2307383-1"/>
    <s v="1 Pos. Fakra Sealed"/>
    <m/>
    <s v="No"/>
    <s v="No"/>
    <s v="Yes"/>
    <n v="1"/>
    <n v="1"/>
    <n v="1"/>
    <n v="1"/>
  </r>
  <r>
    <x v="269"/>
    <s v="37.0_ADAS &amp; AutomatedDriving"/>
    <s v="37.30_Piloting-System"/>
    <s v="F0332"/>
    <s v="Pilot, Traffic Jam"/>
    <m/>
    <s v="Drive Assistance"/>
    <s v="Automated Driving"/>
    <s v="Long Range View"/>
    <s v="L4/L5"/>
    <s v="Camera"/>
    <s v="Camera_FFC9"/>
    <s v="Camera_FFC9 - Long Range View"/>
    <m/>
    <m/>
    <s v="41;-3"/>
    <s v="TE"/>
    <s v="2307383-1"/>
    <s v="1 Pos. Fakra Sealed"/>
    <m/>
    <s v="No"/>
    <s v="No"/>
    <s v="Yes"/>
    <n v="1"/>
    <n v="1"/>
    <n v="1"/>
    <n v="1"/>
  </r>
  <r>
    <x v="269"/>
    <s v="37.0_ADAS &amp; AutomatedDriving"/>
    <s v="37.30_Piloting-System"/>
    <s v="F0335"/>
    <s v="Pilot, Highway"/>
    <m/>
    <s v="Drive Assistance"/>
    <s v="Automated Driving"/>
    <s v="Long Range View"/>
    <s v="L4/L5"/>
    <s v="Camera"/>
    <s v="Camera_FFC9"/>
    <s v="Camera_FFC9 - Long Range View"/>
    <m/>
    <m/>
    <s v="41;-3"/>
    <s v="TE"/>
    <s v="2307383-1"/>
    <s v="1 Pos. Fakra Sealed"/>
    <m/>
    <s v="No"/>
    <s v="No"/>
    <s v="Yes"/>
    <n v="1"/>
    <n v="1"/>
    <n v="1"/>
    <n v="1"/>
  </r>
  <r>
    <x v="269"/>
    <s v="37.0_ADAS &amp; AutomatedDriving"/>
    <s v="37.30_Piloting-System"/>
    <s v="F0337"/>
    <s v="Pilot, City"/>
    <m/>
    <s v="Drive Assistance"/>
    <s v="Automated Driving"/>
    <s v="Long Range View"/>
    <s v="L4/L5"/>
    <s v="Camera"/>
    <s v="Camera_FFC9"/>
    <s v="Camera_FFC9 - Long Range View"/>
    <m/>
    <m/>
    <s v="41;-3"/>
    <s v="TE"/>
    <s v="2307383-1"/>
    <s v="1 Pos. Fakra Sealed"/>
    <m/>
    <s v="No"/>
    <s v="No"/>
    <s v="Yes"/>
    <n v="1"/>
    <n v="1"/>
    <n v="1"/>
    <n v="1"/>
  </r>
  <r>
    <x v="269"/>
    <s v="37.0_ADAS &amp; AutomatedDriving"/>
    <s v="37.30_Piloting-System"/>
    <s v="F0651"/>
    <s v="Pilot, Country Road"/>
    <m/>
    <s v="Drive Assistance"/>
    <s v="Automated Driving"/>
    <s v="Long Range View"/>
    <s v="L4/L5"/>
    <s v="Camera"/>
    <s v="Camera_FFC9"/>
    <s v="Camera_FFC9 - Long Range View"/>
    <m/>
    <m/>
    <s v="41;-3"/>
    <s v="TE"/>
    <s v="2307383-1"/>
    <s v="1 Pos. Fakra Sealed"/>
    <m/>
    <s v="No"/>
    <s v="No"/>
    <s v="Yes"/>
    <n v="1"/>
    <n v="1"/>
    <n v="1"/>
    <n v="1"/>
  </r>
  <r>
    <x v="269"/>
    <s v="37.0_ADAS &amp; AutomatedDriving"/>
    <s v="37.30_Piloting-System"/>
    <s v="F0915"/>
    <s v="Pilot, Rush Hour"/>
    <m/>
    <s v="Drive Assistance"/>
    <s v="Automated Driving"/>
    <s v="Long Range View"/>
    <s v="L4/L5"/>
    <s v="Camera"/>
    <s v="Camera_FFC9"/>
    <s v="Camera_FFC9 - Long Range View"/>
    <m/>
    <m/>
    <s v="41;-3"/>
    <s v="TE"/>
    <s v="2307383-1"/>
    <s v="1 Pos. Fakra Sealed"/>
    <m/>
    <s v="No"/>
    <s v="No"/>
    <s v="Yes"/>
    <n v="1"/>
    <n v="1"/>
    <n v="1"/>
    <n v="1"/>
  </r>
  <r>
    <x v="269"/>
    <s v="37.0_ADAS &amp; AutomatedDriving"/>
    <s v="37.30_Piloting-System"/>
    <s v="F1042"/>
    <s v="Pilot, Remote Operation"/>
    <m/>
    <s v="Drive Assistance"/>
    <s v="Automated Driving"/>
    <s v="Long Range View"/>
    <s v="L4/L5"/>
    <s v="Camera"/>
    <s v="Camera_FFC9"/>
    <s v="Camera_FFC9 - Long Range View"/>
    <m/>
    <m/>
    <s v="41;-3"/>
    <s v="TE"/>
    <s v="2307383-1"/>
    <s v="1 Pos. Fakra Sealed"/>
    <m/>
    <s v="No"/>
    <s v="No"/>
    <s v="Yes"/>
    <n v="1"/>
    <n v="1"/>
    <n v="1"/>
    <n v="1"/>
  </r>
  <r>
    <x v="269"/>
    <s v="37.0_ADAS &amp; AutomatedDriving"/>
    <s v="37.30_Piloting-System"/>
    <s v="F1105"/>
    <s v="Pilot, Data Storage System For Automated Driving (DSSAD)"/>
    <m/>
    <s v="Drive Assistance"/>
    <s v="Automated Driving"/>
    <s v="Long Range View"/>
    <s v="L4/L5"/>
    <s v="Camera"/>
    <s v="Camera_FFC9"/>
    <s v="Camera_FFC9 - Long Range View"/>
    <m/>
    <m/>
    <s v="41;-3"/>
    <s v="TE"/>
    <s v="2307383-1"/>
    <s v="1 Pos. Fakra Sealed"/>
    <m/>
    <s v="No"/>
    <s v="No"/>
    <s v="Yes"/>
    <n v="1"/>
    <n v="1"/>
    <n v="1"/>
    <n v="1"/>
  </r>
  <r>
    <x v="270"/>
    <s v="10.0_Comfort &amp; Exterior"/>
    <s v="10.20_Mirroring-System"/>
    <s v="F0912"/>
    <s v="Surround View, 3D-View"/>
    <m/>
    <s v="Drive Assistance"/>
    <s v="Automated Driving"/>
    <s v="Long Range View"/>
    <s v="L4/L5"/>
    <s v="Camera"/>
    <s v="Camera_FFC10"/>
    <s v="Camera_FFC10 - Long Range View"/>
    <m/>
    <m/>
    <s v="41;-2"/>
    <s v="TE"/>
    <s v="2307383-1"/>
    <s v="1 Pos. Fakra Sealed"/>
    <m/>
    <s v="No"/>
    <s v="No"/>
    <s v="Yes"/>
    <n v="1"/>
    <n v="1"/>
    <n v="1"/>
    <n v="1"/>
  </r>
  <r>
    <x v="270"/>
    <s v="37.0_ADAS &amp; AutomatedDriving"/>
    <s v="37.01_LightingAssistant-System"/>
    <s v="F0145"/>
    <s v="Light Assist, High Beam Automatic"/>
    <m/>
    <s v="Drive Assistance"/>
    <s v="Automated Driving"/>
    <s v="Long Range View"/>
    <s v="L4/L5"/>
    <s v="Camera"/>
    <s v="Camera_FFC10"/>
    <s v="Camera_FFC10 - Long Range View"/>
    <m/>
    <m/>
    <s v="41;-2"/>
    <s v="TE"/>
    <s v="2307383-1"/>
    <s v="1 Pos. Fakra Sealed"/>
    <m/>
    <s v="No"/>
    <s v="No"/>
    <s v="Yes"/>
    <n v="1"/>
    <n v="1"/>
    <n v="1"/>
    <n v="1"/>
  </r>
  <r>
    <x v="270"/>
    <s v="37.0_ADAS &amp; AutomatedDriving"/>
    <s v="37.02_Alerting-System"/>
    <s v="F0162"/>
    <s v="Object Detection, Traffic Sign Recognition"/>
    <m/>
    <s v="Drive Assistance"/>
    <s v="Automated Driving"/>
    <s v="Long Range View"/>
    <s v="L4/L5"/>
    <s v="Camera"/>
    <s v="Camera_FFC10"/>
    <s v="Camera_FFC10 - Long Range View"/>
    <m/>
    <m/>
    <s v="41;-2"/>
    <s v="TE"/>
    <s v="2307383-1"/>
    <s v="1 Pos. Fakra Sealed"/>
    <m/>
    <s v="No"/>
    <s v="No"/>
    <s v="Yes"/>
    <n v="1"/>
    <n v="1"/>
    <n v="1"/>
    <n v="1"/>
  </r>
  <r>
    <x v="270"/>
    <s v="37.0_ADAS &amp; AutomatedDriving"/>
    <s v="37.02_Alerting-System"/>
    <s v="F0594"/>
    <s v="Object Detection, Highway"/>
    <m/>
    <s v="Drive Assistance"/>
    <s v="Automated Driving"/>
    <s v="Long Range View"/>
    <s v="L4/L5"/>
    <s v="Camera"/>
    <s v="Camera_FFC10"/>
    <s v="Camera_FFC10 - Long Range View"/>
    <m/>
    <m/>
    <s v="41;-2"/>
    <s v="TE"/>
    <s v="2307383-1"/>
    <s v="1 Pos. Fakra Sealed"/>
    <m/>
    <s v="No"/>
    <s v="No"/>
    <s v="Yes"/>
    <n v="1"/>
    <n v="1"/>
    <n v="1"/>
    <n v="1"/>
  </r>
  <r>
    <x v="270"/>
    <s v="37.0_ADAS &amp; AutomatedDriving"/>
    <s v="37.02_Alerting-System"/>
    <s v="F0599"/>
    <s v="Event Recorder, Video Capturing"/>
    <m/>
    <s v="Drive Assistance"/>
    <s v="Automated Driving"/>
    <s v="Long Range View"/>
    <s v="L4/L5"/>
    <s v="Camera"/>
    <s v="Camera_FFC10"/>
    <s v="Camera_FFC10 - Long Range View"/>
    <m/>
    <m/>
    <s v="41;-2"/>
    <s v="TE"/>
    <s v="2307383-1"/>
    <s v="1 Pos. Fakra Sealed"/>
    <m/>
    <s v="No"/>
    <s v="No"/>
    <s v="Yes"/>
    <n v="1"/>
    <n v="1"/>
    <n v="1"/>
    <n v="1"/>
  </r>
  <r>
    <x v="270"/>
    <s v="37.0_ADAS &amp; AutomatedDriving"/>
    <s v="37.20_Parking-System"/>
    <s v="F0155"/>
    <s v="Park Assist, Front"/>
    <m/>
    <s v="Drive Assistance"/>
    <s v="Automated Driving"/>
    <s v="Long Range View"/>
    <s v="L4/L5"/>
    <s v="Camera"/>
    <s v="Camera_FFC10"/>
    <s v="Camera_FFC10 - Long Range View"/>
    <m/>
    <m/>
    <s v="41;-2"/>
    <s v="TE"/>
    <s v="2307383-1"/>
    <s v="1 Pos. Fakra Sealed"/>
    <m/>
    <s v="No"/>
    <s v="No"/>
    <s v="Yes"/>
    <n v="1"/>
    <n v="1"/>
    <n v="1"/>
    <n v="1"/>
  </r>
  <r>
    <x v="270"/>
    <s v="37.0_ADAS &amp; AutomatedDriving"/>
    <s v="37.20_Parking-System"/>
    <s v="F0156"/>
    <s v="Park Assist, Rear"/>
    <m/>
    <s v="Drive Assistance"/>
    <s v="Automated Driving"/>
    <s v="Long Range View"/>
    <s v="L4/L5"/>
    <s v="Camera"/>
    <s v="Camera_FFC10"/>
    <s v="Camera_FFC10 - Long Range View"/>
    <m/>
    <m/>
    <s v="41;-2"/>
    <s v="TE"/>
    <s v="2307383-1"/>
    <s v="1 Pos. Fakra Sealed"/>
    <m/>
    <s v="No"/>
    <s v="No"/>
    <s v="Yes"/>
    <n v="1"/>
    <n v="1"/>
    <n v="1"/>
    <n v="1"/>
  </r>
  <r>
    <x v="270"/>
    <s v="37.0_ADAS &amp; AutomatedDriving"/>
    <s v="37.20_Parking-System"/>
    <s v="F0314"/>
    <s v="Parking Pilot, Valet Parking"/>
    <m/>
    <s v="Drive Assistance"/>
    <s v="Automated Driving"/>
    <s v="Long Range View"/>
    <s v="L4/L5"/>
    <s v="Camera"/>
    <s v="Camera_FFC10"/>
    <s v="Camera_FFC10 - Long Range View"/>
    <m/>
    <m/>
    <s v="41;-2"/>
    <s v="TE"/>
    <s v="2307383-1"/>
    <s v="1 Pos. Fakra Sealed"/>
    <m/>
    <s v="No"/>
    <s v="No"/>
    <s v="Yes"/>
    <n v="1"/>
    <n v="1"/>
    <n v="1"/>
    <n v="1"/>
  </r>
  <r>
    <x v="270"/>
    <s v="37.0_ADAS &amp; AutomatedDriving"/>
    <s v="37.20_Parking-System"/>
    <s v="F0536"/>
    <s v="Parking Pilot, Trained Parking"/>
    <m/>
    <s v="Drive Assistance"/>
    <s v="Automated Driving"/>
    <s v="Long Range View"/>
    <s v="L4/L5"/>
    <s v="Camera"/>
    <s v="Camera_FFC10"/>
    <s v="Camera_FFC10 - Long Range View"/>
    <m/>
    <m/>
    <s v="41;-2"/>
    <s v="TE"/>
    <s v="2307383-1"/>
    <s v="1 Pos. Fakra Sealed"/>
    <m/>
    <s v="No"/>
    <s v="No"/>
    <s v="Yes"/>
    <n v="1"/>
    <n v="1"/>
    <n v="1"/>
    <n v="1"/>
  </r>
  <r>
    <x v="270"/>
    <s v="37.0_ADAS &amp; AutomatedDriving"/>
    <s v="37.20_Parking-System"/>
    <s v="F1301"/>
    <s v="Drive Away Assist"/>
    <m/>
    <s v="Drive Assistance"/>
    <s v="Automated Driving"/>
    <s v="Long Range View"/>
    <s v="L4/L5"/>
    <s v="Camera"/>
    <s v="Camera_FFC10"/>
    <s v="Camera_FFC10 - Long Range View"/>
    <m/>
    <m/>
    <s v="41;-2"/>
    <s v="TE"/>
    <s v="2307383-1"/>
    <s v="1 Pos. Fakra Sealed"/>
    <m/>
    <s v="No"/>
    <s v="No"/>
    <s v="Yes"/>
    <n v="1"/>
    <n v="1"/>
    <n v="1"/>
    <n v="1"/>
  </r>
  <r>
    <x v="270"/>
    <s v="37.0_ADAS &amp; AutomatedDriving"/>
    <s v="37.20_Parking-System"/>
    <s v="F1304"/>
    <s v="Park Assist, Side"/>
    <m/>
    <s v="Drive Assistance"/>
    <s v="Automated Driving"/>
    <s v="Long Range View"/>
    <s v="L4/L5"/>
    <s v="Camera"/>
    <s v="Camera_FFC10"/>
    <s v="Camera_FFC10 - Long Range View"/>
    <m/>
    <m/>
    <s v="41;-2"/>
    <s v="TE"/>
    <s v="2307383-1"/>
    <s v="1 Pos. Fakra Sealed"/>
    <m/>
    <s v="No"/>
    <s v="No"/>
    <s v="Yes"/>
    <n v="1"/>
    <n v="1"/>
    <n v="1"/>
    <n v="1"/>
  </r>
  <r>
    <x v="270"/>
    <s v="37.0_ADAS &amp; AutomatedDriving"/>
    <s v="37.20_Parking-System"/>
    <s v="F2003"/>
    <s v="Automatic Parking Support"/>
    <m/>
    <s v="Drive Assistance"/>
    <s v="Automated Driving"/>
    <s v="Long Range View"/>
    <s v="L4/L5"/>
    <s v="Camera"/>
    <s v="Camera_FFC10"/>
    <s v="Camera_FFC10 - Long Range View"/>
    <m/>
    <m/>
    <s v="41;-2"/>
    <s v="TE"/>
    <s v="2307383-1"/>
    <s v="1 Pos. Fakra Sealed"/>
    <m/>
    <s v="No"/>
    <s v="No"/>
    <s v="Yes"/>
    <n v="1"/>
    <n v="1"/>
    <n v="1"/>
    <n v="1"/>
  </r>
  <r>
    <x v="270"/>
    <s v="37.0_ADAS &amp; AutomatedDriving"/>
    <s v="37.23_LaneSupporting-System"/>
    <s v="F0331"/>
    <s v="Lane Assist, Lane Change Assist (LCA)"/>
    <m/>
    <s v="Drive Assistance"/>
    <s v="Automated Driving"/>
    <s v="Long Range View"/>
    <s v="L4/L5"/>
    <s v="Camera"/>
    <s v="Camera_FFC10"/>
    <s v="Camera_FFC10 - Long Range View"/>
    <m/>
    <m/>
    <s v="41;-2"/>
    <s v="TE"/>
    <s v="2307383-1"/>
    <s v="1 Pos. Fakra Sealed"/>
    <m/>
    <s v="No"/>
    <s v="No"/>
    <s v="Yes"/>
    <n v="1"/>
    <n v="1"/>
    <n v="1"/>
    <n v="1"/>
  </r>
  <r>
    <x v="270"/>
    <s v="37.0_ADAS &amp; AutomatedDriving"/>
    <s v="37.23_LaneSupporting-System"/>
    <s v="F0595"/>
    <s v="Lane Assist, Highway Assist"/>
    <m/>
    <s v="Drive Assistance"/>
    <s v="Automated Driving"/>
    <s v="Long Range View"/>
    <s v="L4/L5"/>
    <s v="Camera"/>
    <s v="Camera_FFC10"/>
    <s v="Camera_FFC10 - Long Range View"/>
    <m/>
    <m/>
    <s v="41;-2"/>
    <s v="TE"/>
    <s v="2307383-1"/>
    <s v="1 Pos. Fakra Sealed"/>
    <m/>
    <s v="No"/>
    <s v="No"/>
    <s v="Yes"/>
    <n v="1"/>
    <n v="1"/>
    <n v="1"/>
    <n v="1"/>
  </r>
  <r>
    <x v="270"/>
    <s v="37.0_ADAS &amp; AutomatedDriving"/>
    <s v="37.23_LaneSupporting-System"/>
    <s v="F0657"/>
    <s v="Lane Assist, Evasive Steering Support"/>
    <m/>
    <s v="Drive Assistance"/>
    <s v="Automated Driving"/>
    <s v="Long Range View"/>
    <s v="L4/L5"/>
    <s v="Camera"/>
    <s v="Camera_FFC10"/>
    <s v="Camera_FFC10 - Long Range View"/>
    <m/>
    <m/>
    <s v="41;-2"/>
    <s v="TE"/>
    <s v="2307383-1"/>
    <s v="1 Pos. Fakra Sealed"/>
    <m/>
    <s v="No"/>
    <s v="No"/>
    <s v="Yes"/>
    <n v="1"/>
    <n v="1"/>
    <n v="1"/>
    <n v="1"/>
  </r>
  <r>
    <x v="270"/>
    <s v="37.0_ADAS &amp; AutomatedDriving"/>
    <s v="37.23_LaneSupporting-System"/>
    <s v="F0658"/>
    <s v="Lane Assist, Traffic Jam Assist"/>
    <m/>
    <s v="Drive Assistance"/>
    <s v="Automated Driving"/>
    <s v="Long Range View"/>
    <s v="L4/L5"/>
    <s v="Camera"/>
    <s v="Camera_FFC10"/>
    <s v="Camera_FFC10 - Long Range View"/>
    <m/>
    <m/>
    <s v="41;-2"/>
    <s v="TE"/>
    <s v="2307383-1"/>
    <s v="1 Pos. Fakra Sealed"/>
    <m/>
    <s v="No"/>
    <s v="No"/>
    <s v="Yes"/>
    <n v="1"/>
    <n v="1"/>
    <n v="1"/>
    <n v="1"/>
  </r>
  <r>
    <x v="270"/>
    <s v="37.0_ADAS &amp; AutomatedDriving"/>
    <s v="37.23_LaneSupporting-System"/>
    <s v="F1187"/>
    <s v="Lane Support System, Lane Centering Control (LCC)"/>
    <m/>
    <s v="Drive Assistance"/>
    <s v="Automated Driving"/>
    <s v="Long Range View"/>
    <s v="L4/L5"/>
    <s v="Camera"/>
    <s v="Camera_FFC10"/>
    <s v="Camera_FFC10 - Long Range View"/>
    <m/>
    <m/>
    <s v="41;-2"/>
    <s v="TE"/>
    <s v="2307383-1"/>
    <s v="1 Pos. Fakra Sealed"/>
    <m/>
    <s v="No"/>
    <s v="No"/>
    <s v="Yes"/>
    <n v="1"/>
    <n v="1"/>
    <n v="1"/>
    <n v="1"/>
  </r>
  <r>
    <x v="270"/>
    <s v="37.0_ADAS &amp; AutomatedDriving"/>
    <s v="37.23_LaneSupporting-System"/>
    <s v="F2010"/>
    <s v="Emergency Lane Keeping Support"/>
    <m/>
    <s v="Drive Assistance"/>
    <s v="Automated Driving"/>
    <s v="Long Range View"/>
    <s v="L4/L5"/>
    <s v="Camera"/>
    <s v="Camera_FFC10"/>
    <s v="Camera_FFC10 - Long Range View"/>
    <m/>
    <m/>
    <s v="41;-2"/>
    <s v="TE"/>
    <s v="2307383-1"/>
    <s v="1 Pos. Fakra Sealed"/>
    <m/>
    <s v="No"/>
    <s v="No"/>
    <s v="Yes"/>
    <n v="1"/>
    <n v="1"/>
    <n v="1"/>
    <n v="1"/>
  </r>
  <r>
    <x v="270"/>
    <s v="37.0_ADAS &amp; AutomatedDriving"/>
    <s v="37.30_Piloting-System"/>
    <s v="F0332"/>
    <s v="Pilot, Traffic Jam"/>
    <m/>
    <s v="Drive Assistance"/>
    <s v="Automated Driving"/>
    <s v="Long Range View"/>
    <s v="L4/L5"/>
    <s v="Camera"/>
    <s v="Camera_FFC10"/>
    <s v="Camera_FFC10 - Long Range View"/>
    <m/>
    <m/>
    <s v="41;-2"/>
    <s v="TE"/>
    <s v="2307383-1"/>
    <s v="1 Pos. Fakra Sealed"/>
    <m/>
    <s v="No"/>
    <s v="No"/>
    <s v="Yes"/>
    <n v="1"/>
    <n v="1"/>
    <n v="1"/>
    <n v="1"/>
  </r>
  <r>
    <x v="270"/>
    <s v="37.0_ADAS &amp; AutomatedDriving"/>
    <s v="37.30_Piloting-System"/>
    <s v="F0335"/>
    <s v="Pilot, Highway"/>
    <m/>
    <s v="Drive Assistance"/>
    <s v="Automated Driving"/>
    <s v="Long Range View"/>
    <s v="L4/L5"/>
    <s v="Camera"/>
    <s v="Camera_FFC10"/>
    <s v="Camera_FFC10 - Long Range View"/>
    <m/>
    <m/>
    <s v="41;-2"/>
    <s v="TE"/>
    <s v="2307383-1"/>
    <s v="1 Pos. Fakra Sealed"/>
    <m/>
    <s v="No"/>
    <s v="No"/>
    <s v="Yes"/>
    <n v="1"/>
    <n v="1"/>
    <n v="1"/>
    <n v="1"/>
  </r>
  <r>
    <x v="270"/>
    <s v="37.0_ADAS &amp; AutomatedDriving"/>
    <s v="37.30_Piloting-System"/>
    <s v="F0337"/>
    <s v="Pilot, City"/>
    <m/>
    <s v="Drive Assistance"/>
    <s v="Automated Driving"/>
    <s v="Long Range View"/>
    <s v="L4/L5"/>
    <s v="Camera"/>
    <s v="Camera_FFC10"/>
    <s v="Camera_FFC10 - Long Range View"/>
    <m/>
    <m/>
    <s v="41;-2"/>
    <s v="TE"/>
    <s v="2307383-1"/>
    <s v="1 Pos. Fakra Sealed"/>
    <m/>
    <s v="No"/>
    <s v="No"/>
    <s v="Yes"/>
    <n v="1"/>
    <n v="1"/>
    <n v="1"/>
    <n v="1"/>
  </r>
  <r>
    <x v="270"/>
    <s v="37.0_ADAS &amp; AutomatedDriving"/>
    <s v="37.30_Piloting-System"/>
    <s v="F0651"/>
    <s v="Pilot, Country Road"/>
    <m/>
    <s v="Drive Assistance"/>
    <s v="Automated Driving"/>
    <s v="Long Range View"/>
    <s v="L4/L5"/>
    <s v="Camera"/>
    <s v="Camera_FFC10"/>
    <s v="Camera_FFC10 - Long Range View"/>
    <m/>
    <m/>
    <s v="41;-2"/>
    <s v="TE"/>
    <s v="2307383-1"/>
    <s v="1 Pos. Fakra Sealed"/>
    <m/>
    <s v="No"/>
    <s v="No"/>
    <s v="Yes"/>
    <n v="1"/>
    <n v="1"/>
    <n v="1"/>
    <n v="1"/>
  </r>
  <r>
    <x v="270"/>
    <s v="37.0_ADAS &amp; AutomatedDriving"/>
    <s v="37.30_Piloting-System"/>
    <s v="F0915"/>
    <s v="Pilot, Rush Hour"/>
    <m/>
    <s v="Drive Assistance"/>
    <s v="Automated Driving"/>
    <s v="Long Range View"/>
    <s v="L4/L5"/>
    <s v="Camera"/>
    <s v="Camera_FFC10"/>
    <s v="Camera_FFC10 - Long Range View"/>
    <m/>
    <m/>
    <s v="41;-2"/>
    <s v="TE"/>
    <s v="2307383-1"/>
    <s v="1 Pos. Fakra Sealed"/>
    <m/>
    <s v="No"/>
    <s v="No"/>
    <s v="Yes"/>
    <n v="1"/>
    <n v="1"/>
    <n v="1"/>
    <n v="1"/>
  </r>
  <r>
    <x v="270"/>
    <s v="37.0_ADAS &amp; AutomatedDriving"/>
    <s v="37.30_Piloting-System"/>
    <s v="F1042"/>
    <s v="Pilot, Remote Operation"/>
    <m/>
    <s v="Drive Assistance"/>
    <s v="Automated Driving"/>
    <s v="Long Range View"/>
    <s v="L4/L5"/>
    <s v="Camera"/>
    <s v="Camera_FFC10"/>
    <s v="Camera_FFC10 - Long Range View"/>
    <m/>
    <m/>
    <s v="41;-2"/>
    <s v="TE"/>
    <s v="2307383-1"/>
    <s v="1 Pos. Fakra Sealed"/>
    <m/>
    <s v="No"/>
    <s v="No"/>
    <s v="Yes"/>
    <n v="1"/>
    <n v="1"/>
    <n v="1"/>
    <n v="1"/>
  </r>
  <r>
    <x v="270"/>
    <s v="37.0_ADAS &amp; AutomatedDriving"/>
    <s v="37.30_Piloting-System"/>
    <s v="F1105"/>
    <s v="Pilot, Data Storage System For Automated Driving (DSSAD)"/>
    <m/>
    <s v="Drive Assistance"/>
    <s v="Automated Driving"/>
    <s v="Long Range View"/>
    <s v="L4/L5"/>
    <s v="Camera"/>
    <s v="Camera_FFC10"/>
    <s v="Camera_FFC10 - Long Range View"/>
    <m/>
    <m/>
    <s v="41;-2"/>
    <s v="TE"/>
    <s v="2307383-1"/>
    <s v="1 Pos. Fakra Sealed"/>
    <m/>
    <s v="No"/>
    <s v="No"/>
    <s v="Yes"/>
    <n v="1"/>
    <n v="1"/>
    <n v="1"/>
    <n v="1"/>
  </r>
  <r>
    <x v="271"/>
    <s v="37.0_ADAS &amp; AutomatedDriving"/>
    <s v="37.02_Alerting-System"/>
    <s v="F0594"/>
    <s v="Object Detection, Highway"/>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11_EBA-System"/>
    <s v="F0136"/>
    <s v="EBA, Junction Assist &amp; Turn Across"/>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20_Parking-System"/>
    <s v="F0155"/>
    <s v="Park Assist, Front"/>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20_Parking-System"/>
    <s v="F0156"/>
    <s v="Park Assist, Rear"/>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20_Parking-System"/>
    <s v="F0314"/>
    <s v="Parking Pilot, Valet Parking"/>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20_Parking-System"/>
    <s v="F0536"/>
    <s v="Parking Pilot, Trained Parking"/>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20_Parking-System"/>
    <s v="F1301"/>
    <s v="Drive Away Assist"/>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20_Parking-System"/>
    <s v="F1304"/>
    <s v="Park Assist, Side"/>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20_Parking-System"/>
    <s v="F2003"/>
    <s v="Automatic Parking Support"/>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30_Piloting-System"/>
    <s v="F0332"/>
    <s v="Pilot, Traffic Jam"/>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30_Piloting-System"/>
    <s v="F0335"/>
    <s v="Pilot, Highway"/>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30_Piloting-System"/>
    <s v="F0337"/>
    <s v="Pilot, City"/>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30_Piloting-System"/>
    <s v="F0651"/>
    <s v="Pilot, Country Road"/>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30_Piloting-System"/>
    <s v="F0915"/>
    <s v="Pilot, Rush Hour"/>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30_Piloting-System"/>
    <s v="F1042"/>
    <s v="Pilot, Remote Operation"/>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1"/>
    <s v="37.0_ADAS &amp; AutomatedDriving"/>
    <s v="37.30_Piloting-System"/>
    <s v="F1105"/>
    <s v="Pilot, Data Storage System For Automated Driving (DSSAD)"/>
    <m/>
    <s v="Drive Assistance"/>
    <s v="Automated Driving"/>
    <s v="Distance Measurements"/>
    <s v="L4/L5"/>
    <s v="Radar"/>
    <s v="Short/Mid Range Radar R / Radar -108°"/>
    <s v="Short/Mid Range Radar R / Radar -108° - Distance Measurements"/>
    <m/>
    <m/>
    <s v="18;23"/>
    <s v="TE"/>
    <s v="1-2312022-1"/>
    <s v="6 Pos. MCON 1,2mm Sealed"/>
    <m/>
    <s v="No"/>
    <s v="No"/>
    <s v="Yes"/>
    <n v="1"/>
    <n v="1"/>
    <n v="1"/>
    <n v="1"/>
  </r>
  <r>
    <x v="272"/>
    <s v="37.0_ADAS &amp; AutomatedDriving"/>
    <s v="37.02_Alerting-System"/>
    <s v="F0594"/>
    <s v="Object Detection, Highway"/>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11_EBA-System"/>
    <s v="F0136"/>
    <s v="EBA, Junction Assist &amp; Turn Across"/>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20_Parking-System"/>
    <s v="F0155"/>
    <s v="Park Assist, Front"/>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20_Parking-System"/>
    <s v="F0156"/>
    <s v="Park Assist, Rear"/>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20_Parking-System"/>
    <s v="F0314"/>
    <s v="Parking Pilot, Valet Parking"/>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20_Parking-System"/>
    <s v="F0536"/>
    <s v="Parking Pilot, Trained Parking"/>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20_Parking-System"/>
    <s v="F1301"/>
    <s v="Drive Away Assist"/>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20_Parking-System"/>
    <s v="F1304"/>
    <s v="Park Assist, Side"/>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20_Parking-System"/>
    <s v="F2003"/>
    <s v="Automatic Parking Support"/>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30_Piloting-System"/>
    <s v="F0332"/>
    <s v="Pilot, Traffic Jam"/>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30_Piloting-System"/>
    <s v="F0335"/>
    <s v="Pilot, Highway"/>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30_Piloting-System"/>
    <s v="F0337"/>
    <s v="Pilot, City"/>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30_Piloting-System"/>
    <s v="F0651"/>
    <s v="Pilot, Country Road"/>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30_Piloting-System"/>
    <s v="F0915"/>
    <s v="Pilot, Rush Hour"/>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30_Piloting-System"/>
    <s v="F1042"/>
    <s v="Pilot, Remote Operation"/>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2"/>
    <s v="37.0_ADAS &amp; AutomatedDriving"/>
    <s v="37.30_Piloting-System"/>
    <s v="F1105"/>
    <s v="Pilot, Data Storage System For Automated Driving (DSSAD)"/>
    <m/>
    <s v="Drive Assistance"/>
    <s v="Automated Driving"/>
    <s v="Distance Measurements"/>
    <s v="L4/L5"/>
    <s v="Radar"/>
    <s v="Short/Mid Range Radar L / Radar +108°"/>
    <s v="Short/Mid Range Radar L / Radar +108° - Distance Measurements"/>
    <m/>
    <m/>
    <s v="18;-23"/>
    <s v="TE"/>
    <s v="1-2312022-1"/>
    <s v="6 Pos. MCON 1,2mm Sealed"/>
    <m/>
    <s v="No"/>
    <s v="No"/>
    <s v="Yes"/>
    <n v="1"/>
    <n v="1"/>
    <n v="1"/>
    <n v="1"/>
  </r>
  <r>
    <x v="273"/>
    <s v="37.0_ADAS &amp; AutomatedDriving"/>
    <s v="37.02_Alerting-System"/>
    <s v="F0158"/>
    <s v="Collision Alert Rear, Rear Cross Traffic Alert"/>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02_Alerting-System"/>
    <s v="F0160"/>
    <s v="Collision Alert Rear, Rear Collision Detection"/>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02_Alerting-System"/>
    <s v="F0529"/>
    <s v="Vibration Feedback, Steering Wheel"/>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02_Alerting-System"/>
    <s v="F2021"/>
    <s v="Collision Alert Side, Blind Zone Support"/>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11_EBA-System"/>
    <s v="F0136"/>
    <s v="EBA, Junction Assist &amp; Turn Across"/>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11_EBA-System"/>
    <s v="F0885"/>
    <s v="EBA, Reverse"/>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20_Parking-System"/>
    <s v="F0155"/>
    <s v="Park Assist, Front"/>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20_Parking-System"/>
    <s v="F0156"/>
    <s v="Park Assist, Rear"/>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20_Parking-System"/>
    <s v="F0314"/>
    <s v="Parking Pilot, Valet Parking"/>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20_Parking-System"/>
    <s v="F0536"/>
    <s v="Parking Pilot, Trained Parking"/>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20_Parking-System"/>
    <s v="F1301"/>
    <s v="Drive Away Assist"/>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20_Parking-System"/>
    <s v="F1304"/>
    <s v="Park Assist, Side"/>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20_Parking-System"/>
    <s v="F2003"/>
    <s v="Automatic Parking Support"/>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23_LaneSupporting-System"/>
    <s v="F0331"/>
    <s v="Lane Assist, Lane Change Assist (LCA)"/>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23_LaneSupporting-System"/>
    <s v="F0595"/>
    <s v="Lane Assist, Highway Assist"/>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23_LaneSupporting-System"/>
    <s v="F0657"/>
    <s v="Lane Assist, Evasive Steering Support"/>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23_LaneSupporting-System"/>
    <s v="F0658"/>
    <s v="Lane Assist, Traffic Jam Assist"/>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23_LaneSupporting-System"/>
    <s v="F1187"/>
    <s v="Lane Support System, Lane Centering Control (LCC)"/>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23_LaneSupporting-System"/>
    <s v="F2010"/>
    <s v="Emergency Lane Keeping Support"/>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30_Piloting-System"/>
    <s v="F0332"/>
    <s v="Pilot, Traffic Jam"/>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30_Piloting-System"/>
    <s v="F0335"/>
    <s v="Pilot, Highway"/>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30_Piloting-System"/>
    <s v="F0337"/>
    <s v="Pilot, City"/>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30_Piloting-System"/>
    <s v="F0651"/>
    <s v="Pilot, Country Road"/>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30_Piloting-System"/>
    <s v="F0915"/>
    <s v="Pilot, Rush Hour"/>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30_Piloting-System"/>
    <s v="F1042"/>
    <s v="Pilot, Remote Operation"/>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3"/>
    <s v="37.0_ADAS &amp; AutomatedDriving"/>
    <s v="37.30_Piloting-System"/>
    <s v="F1105"/>
    <s v="Pilot, Data Storage System For Automated Driving (DSSAD)"/>
    <m/>
    <s v="Drive Assistance"/>
    <s v="Driver Assistance System"/>
    <s v="Drive Assistance"/>
    <s v="L3/L4/L5"/>
    <s v="Radar"/>
    <s v="Short/Mid Range Radar RR / Radar -176°"/>
    <s v="Short/Mid Range Radar RR / Radar -176° - Drive Assistance"/>
    <m/>
    <m/>
    <s v="115;7"/>
    <s v="TE"/>
    <s v="1-2312022-1"/>
    <s v="6 Pos. MCON 1,2mm Sealed"/>
    <m/>
    <s v="No"/>
    <s v="No"/>
    <s v="Yes"/>
    <n v="1"/>
    <n v="1"/>
    <n v="1"/>
    <n v="1"/>
  </r>
  <r>
    <x v="274"/>
    <s v="37.0_ADAS &amp; AutomatedDriving"/>
    <s v="37.02_Alerting-System"/>
    <s v="F0158"/>
    <s v="Collision Alert Rear, Rear Cross Traffic Alert"/>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02_Alerting-System"/>
    <s v="F0160"/>
    <s v="Collision Alert Rear, Rear Collision Detection"/>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02_Alerting-System"/>
    <s v="F0529"/>
    <s v="Vibration Feedback, Steering Wheel"/>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02_Alerting-System"/>
    <s v="F2021"/>
    <s v="Collision Alert Side, Blind Zone Support"/>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11_EBA-System"/>
    <s v="F0136"/>
    <s v="EBA, Junction Assist &amp; Turn Across"/>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11_EBA-System"/>
    <s v="F0885"/>
    <s v="EBA, Reverse"/>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20_Parking-System"/>
    <s v="F0155"/>
    <s v="Park Assist, Front"/>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20_Parking-System"/>
    <s v="F0156"/>
    <s v="Park Assist, Rear"/>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20_Parking-System"/>
    <s v="F0314"/>
    <s v="Parking Pilot, Valet Parking"/>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20_Parking-System"/>
    <s v="F0536"/>
    <s v="Parking Pilot, Trained Parking"/>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20_Parking-System"/>
    <s v="F1301"/>
    <s v="Drive Away Assist"/>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20_Parking-System"/>
    <s v="F1304"/>
    <s v="Park Assist, Side"/>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20_Parking-System"/>
    <s v="F2003"/>
    <s v="Automatic Parking Support"/>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23_LaneSupporting-System"/>
    <s v="F0331"/>
    <s v="Lane Assist, Lane Change Assist (LCA)"/>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23_LaneSupporting-System"/>
    <s v="F0595"/>
    <s v="Lane Assist, Highway Assist"/>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23_LaneSupporting-System"/>
    <s v="F0657"/>
    <s v="Lane Assist, Evasive Steering Support"/>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23_LaneSupporting-System"/>
    <s v="F0658"/>
    <s v="Lane Assist, Traffic Jam Assist"/>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23_LaneSupporting-System"/>
    <s v="F1187"/>
    <s v="Lane Support System, Lane Centering Control (LCC)"/>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23_LaneSupporting-System"/>
    <s v="F2010"/>
    <s v="Emergency Lane Keeping Support"/>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30_Piloting-System"/>
    <s v="F0332"/>
    <s v="Pilot, Traffic Jam"/>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30_Piloting-System"/>
    <s v="F0335"/>
    <s v="Pilot, Highway"/>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30_Piloting-System"/>
    <s v="F0337"/>
    <s v="Pilot, City"/>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30_Piloting-System"/>
    <s v="F0651"/>
    <s v="Pilot, Country Road"/>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30_Piloting-System"/>
    <s v="F0915"/>
    <s v="Pilot, Rush Hour"/>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30_Piloting-System"/>
    <s v="F1042"/>
    <s v="Pilot, Remote Operation"/>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4"/>
    <s v="37.0_ADAS &amp; AutomatedDriving"/>
    <s v="37.30_Piloting-System"/>
    <s v="F1105"/>
    <s v="Pilot, Data Storage System For Automated Driving (DSSAD)"/>
    <m/>
    <s v="Drive Assistance"/>
    <s v="Driver Assistance System"/>
    <s v="Drive Assistance"/>
    <s v="L3/L4/L5"/>
    <s v="Radar"/>
    <s v="Short/Mid Range Radar RL / Radar +176°"/>
    <s v="Short/Mid Range Radar RL / Radar +176° - Drive Assistance"/>
    <m/>
    <m/>
    <s v="115;-7"/>
    <s v="TE"/>
    <s v="1-2312022-1"/>
    <s v="6 Pos. MCON 1,2mm Sealed"/>
    <m/>
    <s v="No"/>
    <s v="No"/>
    <s v="Yes"/>
    <n v="1"/>
    <n v="1"/>
    <n v="1"/>
    <n v="1"/>
  </r>
  <r>
    <x v="275"/>
    <s v="80.0_Cross-Functions"/>
    <s v="80.84_Diagnosis&amp;Updates"/>
    <s v="F0629"/>
    <s v="Diagnosis, Under/Overvoltage Detection"/>
    <m/>
    <s v="System"/>
    <s v="Power Supply"/>
    <s v="Power Distribution Management"/>
    <s v="Basic"/>
    <s v="Control Unit"/>
    <s v="Power Distribution Control Unit"/>
    <s v="Power Distribution Control Unit - Power Distribution Management"/>
    <m/>
    <m/>
    <m/>
    <m/>
    <m/>
    <m/>
    <m/>
    <m/>
    <m/>
    <m/>
    <m/>
    <m/>
    <m/>
    <m/>
  </r>
  <r>
    <x v="275"/>
    <s v="80.0_Cross-Functions"/>
    <s v="80.89_WiringHarness-Design"/>
    <s v="F0484"/>
    <s v="Electrical System, 12V"/>
    <s v=" "/>
    <s v="System"/>
    <s v="Power Supply"/>
    <s v="Power Distribution Management"/>
    <s v="Basic"/>
    <s v="Control Unit"/>
    <s v="Power Distribution Control Unit"/>
    <s v="Power Distribution Control Unit - Power Distribution Management"/>
    <m/>
    <m/>
    <m/>
    <m/>
    <m/>
    <m/>
    <m/>
    <m/>
    <m/>
    <m/>
    <m/>
    <m/>
    <m/>
    <m/>
  </r>
  <r>
    <x v="276"/>
    <s v="16.0_Comfort &amp; Safety"/>
    <s v="16.10_Airbag-System"/>
    <s v="F0009"/>
    <s v="Airbag Side, Curtain Left / Right"/>
    <m/>
    <s v="Chassis"/>
    <s v="Airbag"/>
    <s v="Airbag"/>
    <m/>
    <s v="Control Unit"/>
    <s v="Airbag Control Unit"/>
    <s v="Airbag Control Unit - Airbag"/>
    <m/>
    <m/>
    <s v="48;0"/>
    <m/>
    <m/>
    <m/>
    <m/>
    <s v="Yes"/>
    <s v="Yes"/>
    <s v="Yes"/>
    <n v="1"/>
    <n v="1"/>
    <n v="1"/>
    <n v="1"/>
  </r>
  <r>
    <x v="276"/>
    <s v="16.0_Comfort &amp; Safety"/>
    <s v="16.10_Airbag-System"/>
    <s v="F0010"/>
    <s v="Airbag Driver, Knee Bag"/>
    <m/>
    <s v="Chassis"/>
    <s v="Airbag"/>
    <s v="Airbag"/>
    <m/>
    <s v="Control Unit"/>
    <s v="Airbag Control Unit"/>
    <s v="Airbag Control Unit - Airbag"/>
    <m/>
    <m/>
    <s v="48;0"/>
    <m/>
    <m/>
    <m/>
    <m/>
    <s v="Yes"/>
    <s v="Yes"/>
    <s v="Yes"/>
    <n v="1"/>
    <n v="1"/>
    <n v="1"/>
    <n v="1"/>
  </r>
  <r>
    <x v="276"/>
    <s v="16.0_Comfort &amp; Safety"/>
    <s v="16.10_Airbag-System"/>
    <s v="F0011"/>
    <s v="Airbag Driver, Single Stage"/>
    <m/>
    <s v="Chassis"/>
    <s v="Airbag"/>
    <s v="Airbag"/>
    <m/>
    <s v="Control Unit"/>
    <s v="Airbag Control Unit"/>
    <s v="Airbag Control Unit - Airbag"/>
    <m/>
    <m/>
    <s v="48;0"/>
    <m/>
    <m/>
    <m/>
    <m/>
    <s v="Yes"/>
    <s v="Yes"/>
    <s v="Yes"/>
    <n v="1"/>
    <n v="1"/>
    <n v="1"/>
    <n v="1"/>
  </r>
  <r>
    <x v="276"/>
    <s v="16.0_Comfort &amp; Safety"/>
    <s v="16.10_Airbag-System"/>
    <s v="F0012"/>
    <s v="Airbag Side, Front Left / Right"/>
    <m/>
    <s v="Chassis"/>
    <s v="Airbag"/>
    <s v="Airbag"/>
    <m/>
    <s v="Control Unit"/>
    <s v="Airbag Control Unit"/>
    <s v="Airbag Control Unit - Airbag"/>
    <m/>
    <m/>
    <s v="48;0"/>
    <m/>
    <m/>
    <m/>
    <m/>
    <s v="Yes"/>
    <s v="Yes"/>
    <s v="Yes"/>
    <n v="1"/>
    <n v="1"/>
    <n v="1"/>
    <n v="1"/>
  </r>
  <r>
    <x v="276"/>
    <s v="16.0_Comfort &amp; Safety"/>
    <s v="16.10_Airbag-System"/>
    <s v="F0013"/>
    <s v="Airbag Side, Rear Left / Right "/>
    <m/>
    <s v="Chassis"/>
    <s v="Airbag"/>
    <s v="Airbag"/>
    <m/>
    <s v="Control Unit"/>
    <s v="Airbag Control Unit"/>
    <s v="Airbag Control Unit - Airbag"/>
    <m/>
    <m/>
    <s v="48;0"/>
    <m/>
    <m/>
    <m/>
    <m/>
    <s v="Yes"/>
    <s v="Yes"/>
    <s v="Yes"/>
    <n v="1"/>
    <n v="1"/>
    <n v="1"/>
    <n v="1"/>
  </r>
  <r>
    <x v="276"/>
    <s v="16.0_Comfort &amp; Safety"/>
    <s v="16.10_Airbag-System"/>
    <s v="F0021"/>
    <s v="Airbag Driver, Anti-Submarining"/>
    <m/>
    <s v="Chassis"/>
    <s v="Airbag"/>
    <s v="Airbag"/>
    <m/>
    <s v="Control Unit"/>
    <s v="Airbag Control Unit"/>
    <s v="Airbag Control Unit - Airbag"/>
    <m/>
    <m/>
    <s v="48;0"/>
    <m/>
    <m/>
    <m/>
    <m/>
    <s v="Yes"/>
    <s v="Yes"/>
    <s v="Yes"/>
    <n v="1"/>
    <n v="1"/>
    <n v="1"/>
    <n v="1"/>
  </r>
  <r>
    <x v="276"/>
    <s v="16.0_Comfort &amp; Safety"/>
    <s v="16.10_Airbag-System"/>
    <s v="F0419"/>
    <s v="Airbag Passenger, Anti-Submarining"/>
    <m/>
    <s v="Chassis"/>
    <s v="Airbag"/>
    <s v="Airbag"/>
    <m/>
    <s v="Control Unit"/>
    <s v="Airbag Control Unit"/>
    <s v="Airbag Control Unit - Airbag"/>
    <m/>
    <m/>
    <s v="48;0"/>
    <m/>
    <m/>
    <m/>
    <m/>
    <s v="Yes"/>
    <s v="Yes"/>
    <s v="Yes"/>
    <n v="1"/>
    <n v="1"/>
    <n v="1"/>
    <n v="1"/>
  </r>
  <r>
    <x v="276"/>
    <s v="16.0_Comfort &amp; Safety"/>
    <s v="16.10_Airbag-System"/>
    <s v="F0439"/>
    <s v="Airbag Rear, Anti-Submarining"/>
    <m/>
    <s v="Chassis"/>
    <s v="Airbag"/>
    <s v="Airbag"/>
    <m/>
    <s v="Control Unit"/>
    <s v="Airbag Control Unit"/>
    <s v="Airbag Control Unit - Airbag"/>
    <m/>
    <m/>
    <s v="48;0"/>
    <m/>
    <m/>
    <m/>
    <m/>
    <s v="Yes"/>
    <s v="Yes"/>
    <s v="Yes"/>
    <n v="1"/>
    <n v="1"/>
    <n v="1"/>
    <n v="1"/>
  </r>
  <r>
    <x v="276"/>
    <s v="16.0_Comfort &amp; Safety"/>
    <s v="16.10_Airbag-System"/>
    <s v="F0457"/>
    <s v="Airbag Rear, Left / Right "/>
    <m/>
    <s v="Chassis"/>
    <s v="Airbag"/>
    <s v="Airbag"/>
    <m/>
    <s v="Control Unit"/>
    <s v="Airbag Control Unit"/>
    <s v="Airbag Control Unit - Airbag"/>
    <m/>
    <m/>
    <s v="48;0"/>
    <m/>
    <m/>
    <m/>
    <m/>
    <s v="Yes"/>
    <s v="Yes"/>
    <s v="Yes"/>
    <n v="1"/>
    <n v="1"/>
    <n v="1"/>
    <n v="1"/>
  </r>
  <r>
    <x v="276"/>
    <s v="16.0_Comfort &amp; Safety"/>
    <s v="16.10_Airbag-System"/>
    <s v="F0610"/>
    <s v="Airbag Driver, Head"/>
    <m/>
    <s v="Chassis"/>
    <s v="Airbag"/>
    <s v="Airbag"/>
    <m/>
    <s v="Control Unit"/>
    <s v="Airbag Control Unit"/>
    <s v="Airbag Control Unit - Airbag"/>
    <m/>
    <m/>
    <s v="48;0"/>
    <m/>
    <m/>
    <m/>
    <m/>
    <s v="Yes"/>
    <s v="Yes"/>
    <s v="Yes"/>
    <n v="1"/>
    <n v="1"/>
    <n v="1"/>
    <n v="1"/>
  </r>
  <r>
    <x v="276"/>
    <s v="16.0_Comfort &amp; Safety"/>
    <s v="16.10_Airbag-System"/>
    <s v="F0612"/>
    <s v="Airbag Passenger, Single Stage"/>
    <m/>
    <s v="Chassis"/>
    <s v="Airbag"/>
    <s v="Airbag"/>
    <m/>
    <s v="Control Unit"/>
    <s v="Airbag Control Unit"/>
    <s v="Airbag Control Unit - Airbag"/>
    <m/>
    <m/>
    <s v="48;0"/>
    <m/>
    <m/>
    <m/>
    <m/>
    <s v="Yes"/>
    <s v="Yes"/>
    <s v="Yes"/>
    <n v="1"/>
    <n v="1"/>
    <n v="1"/>
    <n v="1"/>
  </r>
  <r>
    <x v="276"/>
    <s v="16.0_Comfort &amp; Safety"/>
    <s v="16.10_Airbag-System"/>
    <s v="F0894"/>
    <s v="Airbag Side, Far Side Airbag Front"/>
    <m/>
    <s v="Chassis"/>
    <s v="Airbag"/>
    <s v="Airbag"/>
    <m/>
    <s v="Control Unit"/>
    <s v="Airbag Control Unit"/>
    <s v="Airbag Control Unit - Airbag"/>
    <m/>
    <m/>
    <s v="48;0"/>
    <m/>
    <m/>
    <m/>
    <m/>
    <s v="Yes"/>
    <s v="Yes"/>
    <s v="Yes"/>
    <n v="1"/>
    <n v="1"/>
    <n v="1"/>
    <n v="1"/>
  </r>
  <r>
    <x v="276"/>
    <s v="16.0_Comfort &amp; Safety"/>
    <s v="16.10_Airbag-System"/>
    <s v="F0x13"/>
    <s v="Airbag, Rollover Left/Right"/>
    <m/>
    <s v="Chassis"/>
    <s v="Airbag"/>
    <s v="Airbag"/>
    <m/>
    <s v="Control Unit"/>
    <s v="Airbag Control Unit"/>
    <s v="Airbag Control Unit - Airbag"/>
    <m/>
    <m/>
    <s v="48;0"/>
    <m/>
    <m/>
    <m/>
    <m/>
    <s v="Yes"/>
    <s v="Yes"/>
    <s v="Yes"/>
    <n v="1"/>
    <n v="1"/>
    <n v="1"/>
    <n v="1"/>
  </r>
  <r>
    <x v="276"/>
    <s v="16.0_Comfort &amp; Safety"/>
    <s v="16.10_Airbag-System"/>
    <s v="F0x14"/>
    <s v="Airbag Passenger, Head"/>
    <m/>
    <s v="Chassis"/>
    <s v="Airbag"/>
    <s v="Airbag"/>
    <m/>
    <s v="Control Unit"/>
    <s v="Airbag Control Unit"/>
    <s v="Airbag Control Unit - Airbag"/>
    <m/>
    <m/>
    <s v="48;0"/>
    <m/>
    <m/>
    <m/>
    <m/>
    <s v="Yes"/>
    <s v="Yes"/>
    <s v="Yes"/>
    <n v="1"/>
    <n v="1"/>
    <n v="1"/>
    <n v="1"/>
  </r>
  <r>
    <x v="276"/>
    <s v="16.0_Comfort &amp; Safety"/>
    <s v="16.10_Airbag-System"/>
    <s v="F0x15"/>
    <s v="Airbag Passenger, Knee Bag"/>
    <m/>
    <s v="Chassis"/>
    <s v="Airbag"/>
    <s v="Airbag"/>
    <m/>
    <s v="Control Unit"/>
    <s v="Airbag Control Unit"/>
    <s v="Airbag Control Unit - Airbag"/>
    <m/>
    <m/>
    <s v="48;0"/>
    <m/>
    <m/>
    <m/>
    <m/>
    <s v="Yes"/>
    <s v="Yes"/>
    <s v="Yes"/>
    <n v="1"/>
    <n v="1"/>
    <n v="1"/>
    <n v="1"/>
  </r>
  <r>
    <x v="276"/>
    <s v="16.0_Comfort &amp; Safety"/>
    <s v="16.11_Pedestrian-System"/>
    <s v="F0001"/>
    <s v="Active Hood"/>
    <m/>
    <s v="Chassis"/>
    <s v="Airbag"/>
    <s v="Airbag"/>
    <m/>
    <s v="Control Unit"/>
    <s v="Airbag Control Unit"/>
    <s v="Airbag Control Unit - Airbag"/>
    <m/>
    <m/>
    <s v="48;0"/>
    <m/>
    <m/>
    <m/>
    <m/>
    <s v="Yes"/>
    <s v="Yes"/>
    <s v="Yes"/>
    <n v="1"/>
    <n v="1"/>
    <n v="1"/>
    <n v="1"/>
  </r>
  <r>
    <x v="276"/>
    <s v="16.0_Comfort &amp; Safety"/>
    <s v="16.11_Pedestrian-System"/>
    <s v="F0141"/>
    <s v="Post Crash, Door Release and Warning Light"/>
    <m/>
    <s v="Chassis"/>
    <s v="Airbag"/>
    <s v="Airbag"/>
    <m/>
    <s v="Control Unit"/>
    <s v="Airbag Control Unit"/>
    <s v="Airbag Control Unit - Airbag"/>
    <m/>
    <m/>
    <s v="48;0"/>
    <m/>
    <m/>
    <m/>
    <m/>
    <s v="Yes"/>
    <s v="Yes"/>
    <s v="Yes"/>
    <n v="1"/>
    <n v="1"/>
    <n v="1"/>
    <n v="1"/>
  </r>
  <r>
    <x v="276"/>
    <s v="16.0_Comfort &amp; Safety"/>
    <s v="16.12_CrashHandling-System"/>
    <s v="F0036"/>
    <s v="Event Recorder, EDR"/>
    <m/>
    <s v="Chassis"/>
    <s v="Airbag"/>
    <s v="Airbag"/>
    <m/>
    <s v="Control Unit"/>
    <s v="Airbag Control Unit"/>
    <s v="Airbag Control Unit - Airbag"/>
    <m/>
    <m/>
    <s v="48;0"/>
    <m/>
    <m/>
    <m/>
    <m/>
    <s v="Yes"/>
    <s v="Yes"/>
    <s v="Yes"/>
    <n v="1"/>
    <n v="1"/>
    <n v="1"/>
    <n v="1"/>
  </r>
  <r>
    <x v="276"/>
    <s v="16.0_Comfort &amp; Safety"/>
    <s v="16.12_CrashHandling-System"/>
    <s v="F0083"/>
    <s v="Pre-Crash"/>
    <m/>
    <s v="Chassis"/>
    <s v="Airbag"/>
    <s v="Airbag"/>
    <m/>
    <s v="Control Unit"/>
    <s v="Airbag Control Unit"/>
    <s v="Airbag Control Unit - Airbag"/>
    <m/>
    <m/>
    <s v="48;0"/>
    <m/>
    <m/>
    <m/>
    <m/>
    <s v="Yes"/>
    <s v="Yes"/>
    <s v="Yes"/>
    <n v="1"/>
    <n v="1"/>
    <n v="1"/>
    <n v="1"/>
  </r>
  <r>
    <x v="276"/>
    <s v="16.0_Comfort &amp; Safety"/>
    <s v="16.12_CrashHandling-System"/>
    <s v="F0641"/>
    <s v="Crashdetection, HV-Safety"/>
    <m/>
    <s v="Chassis"/>
    <s v="Airbag"/>
    <s v="Airbag"/>
    <m/>
    <s v="Control Unit"/>
    <s v="Airbag Control Unit"/>
    <s v="Airbag Control Unit - Airbag"/>
    <m/>
    <m/>
    <s v="48;0"/>
    <m/>
    <m/>
    <m/>
    <m/>
    <s v="Yes"/>
    <s v="Yes"/>
    <s v="Yes"/>
    <n v="1"/>
    <n v="1"/>
    <n v="1"/>
    <n v="1"/>
  </r>
  <r>
    <x v="276"/>
    <s v="16.0_Comfort &amp; Safety"/>
    <s v="16.12_CrashHandling-System"/>
    <s v="F0649"/>
    <s v="Post Crash, Ignition Off"/>
    <m/>
    <s v="Chassis"/>
    <s v="Airbag"/>
    <s v="Airbag"/>
    <m/>
    <s v="Control Unit"/>
    <s v="Airbag Control Unit"/>
    <s v="Airbag Control Unit - Airbag"/>
    <m/>
    <m/>
    <s v="48;0"/>
    <m/>
    <m/>
    <m/>
    <m/>
    <s v="Yes"/>
    <s v="Yes"/>
    <s v="Yes"/>
    <n v="1"/>
    <n v="1"/>
    <n v="1"/>
    <n v="1"/>
  </r>
  <r>
    <x v="276"/>
    <s v="16.0_Comfort &amp; Safety"/>
    <s v="16.12_CrashHandling-System"/>
    <s v="F0777"/>
    <s v="Crashdetection, LV-Safety"/>
    <m/>
    <s v="Chassis"/>
    <s v="Airbag"/>
    <s v="Airbag"/>
    <m/>
    <s v="Control Unit"/>
    <s v="Airbag Control Unit"/>
    <s v="Airbag Control Unit - Airbag"/>
    <m/>
    <m/>
    <s v="48;0"/>
    <m/>
    <m/>
    <m/>
    <m/>
    <s v="Yes"/>
    <s v="Yes"/>
    <s v="Yes"/>
    <n v="1"/>
    <n v="1"/>
    <n v="1"/>
    <n v="1"/>
  </r>
  <r>
    <x v="276"/>
    <s v="16.0_Comfort &amp; Safety"/>
    <s v="16.12_CrashHandling-System"/>
    <s v="F0797"/>
    <s v="Crashdetection, Roll Over Detection"/>
    <m/>
    <s v="Chassis"/>
    <s v="Airbag"/>
    <s v="Airbag"/>
    <m/>
    <s v="Control Unit"/>
    <s v="Airbag Control Unit"/>
    <s v="Airbag Control Unit - Airbag"/>
    <m/>
    <m/>
    <s v="48;0"/>
    <m/>
    <m/>
    <m/>
    <m/>
    <s v="Yes"/>
    <s v="Yes"/>
    <s v="Yes"/>
    <n v="1"/>
    <n v="1"/>
    <n v="1"/>
    <n v="1"/>
  </r>
  <r>
    <x v="276"/>
    <s v="16.0_Comfort &amp; Safety"/>
    <s v="16.12_CrashHandling-System"/>
    <s v="F0x16"/>
    <s v="Crashdetection, Pedestrian"/>
    <m/>
    <s v="Chassis"/>
    <s v="Airbag"/>
    <s v="Airbag"/>
    <m/>
    <s v="Control Unit"/>
    <s v="Airbag Control Unit"/>
    <s v="Airbag Control Unit - Airbag"/>
    <m/>
    <m/>
    <s v="48;0"/>
    <m/>
    <m/>
    <m/>
    <m/>
    <s v="Yes"/>
    <s v="Yes"/>
    <s v="Yes"/>
    <n v="1"/>
    <n v="1"/>
    <n v="1"/>
    <n v="1"/>
  </r>
  <r>
    <x v="276"/>
    <s v="16.0_Comfort &amp; Safety"/>
    <s v="16.20_Restraint-System"/>
    <s v="F0049"/>
    <s v="Active Headrest, Front"/>
    <m/>
    <s v="Chassis"/>
    <s v="Airbag"/>
    <s v="Airbag"/>
    <m/>
    <s v="Control Unit"/>
    <s v="Airbag Control Unit"/>
    <s v="Airbag Control Unit - Airbag"/>
    <m/>
    <m/>
    <s v="48;0"/>
    <m/>
    <m/>
    <m/>
    <m/>
    <s v="Yes"/>
    <s v="Yes"/>
    <s v="Yes"/>
    <n v="1"/>
    <n v="1"/>
    <n v="1"/>
    <n v="1"/>
  </r>
  <r>
    <x v="276"/>
    <s v="16.0_Comfort &amp; Safety"/>
    <s v="16.20_Restraint-System"/>
    <s v="F0051"/>
    <s v="Belt Tensioner Front, With Belt Load Limiter"/>
    <m/>
    <s v="Chassis"/>
    <s v="Airbag"/>
    <s v="Airbag"/>
    <m/>
    <s v="Control Unit"/>
    <s v="Airbag Control Unit"/>
    <s v="Airbag Control Unit - Airbag"/>
    <m/>
    <m/>
    <s v="48;0"/>
    <m/>
    <m/>
    <m/>
    <m/>
    <s v="Yes"/>
    <s v="Yes"/>
    <s v="Yes"/>
    <n v="1"/>
    <n v="1"/>
    <n v="1"/>
    <n v="1"/>
  </r>
  <r>
    <x v="276"/>
    <s v="16.0_Comfort &amp; Safety"/>
    <s v="16.20_Restraint-System"/>
    <s v="F0093"/>
    <s v="Seatbelt Reminder, Driver"/>
    <m/>
    <s v="Chassis"/>
    <s v="Airbag"/>
    <s v="Airbag"/>
    <m/>
    <s v="Control Unit"/>
    <s v="Airbag Control Unit"/>
    <s v="Airbag Control Unit - Airbag"/>
    <m/>
    <m/>
    <s v="48;0"/>
    <m/>
    <m/>
    <m/>
    <m/>
    <s v="Yes"/>
    <s v="Yes"/>
    <s v="Yes"/>
    <n v="1"/>
    <n v="1"/>
    <n v="1"/>
    <n v="1"/>
  </r>
  <r>
    <x v="276"/>
    <s v="16.0_Comfort &amp; Safety"/>
    <s v="16.20_Restraint-System"/>
    <s v="F0410"/>
    <s v="Seatbelt Reminder, Rear"/>
    <m/>
    <s v="Chassis"/>
    <s v="Airbag"/>
    <s v="Airbag"/>
    <m/>
    <s v="Control Unit"/>
    <s v="Airbag Control Unit"/>
    <s v="Airbag Control Unit - Airbag"/>
    <m/>
    <m/>
    <s v="48;0"/>
    <m/>
    <m/>
    <m/>
    <m/>
    <s v="Yes"/>
    <s v="Yes"/>
    <s v="Yes"/>
    <n v="1"/>
    <n v="1"/>
    <n v="1"/>
    <n v="1"/>
  </r>
  <r>
    <x v="276"/>
    <s v="16.0_Comfort &amp; Safety"/>
    <s v="16.20_Restraint-System"/>
    <s v="F0800"/>
    <s v="Belt Tensioner Rear, Outer Side"/>
    <m/>
    <s v="Chassis"/>
    <s v="Airbag"/>
    <s v="Airbag"/>
    <m/>
    <s v="Control Unit"/>
    <s v="Airbag Control Unit"/>
    <s v="Airbag Control Unit - Airbag"/>
    <m/>
    <m/>
    <s v="48;0"/>
    <m/>
    <m/>
    <m/>
    <m/>
    <s v="Yes"/>
    <s v="Yes"/>
    <s v="Yes"/>
    <n v="1"/>
    <n v="1"/>
    <n v="1"/>
    <n v="1"/>
  </r>
  <r>
    <x v="276"/>
    <s v="16.0_Comfort &amp; Safety"/>
    <s v="16.20_Restraint-System"/>
    <s v="F0891"/>
    <s v="Seatbelt Reminder, Passenger"/>
    <m/>
    <s v="Chassis"/>
    <s v="Airbag"/>
    <s v="Airbag"/>
    <m/>
    <s v="Control Unit"/>
    <s v="Airbag Control Unit"/>
    <s v="Airbag Control Unit - Airbag"/>
    <m/>
    <m/>
    <s v="48;0"/>
    <m/>
    <m/>
    <m/>
    <m/>
    <s v="Yes"/>
    <s v="Yes"/>
    <s v="Yes"/>
    <n v="1"/>
    <n v="1"/>
    <n v="1"/>
    <n v="1"/>
  </r>
  <r>
    <x v="276"/>
    <s v="16.0_Comfort &amp; Safety"/>
    <s v="16.30_PassengerDetection-System"/>
    <s v="F0005"/>
    <s v="Airbag Passenger, Deactivation Manual"/>
    <m/>
    <s v="Chassis"/>
    <s v="Airbag"/>
    <s v="Airbag"/>
    <m/>
    <s v="Control Unit"/>
    <s v="Airbag Control Unit"/>
    <s v="Airbag Control Unit - Airbag"/>
    <m/>
    <m/>
    <s v="48;0"/>
    <m/>
    <m/>
    <m/>
    <m/>
    <s v="Yes"/>
    <s v="Yes"/>
    <s v="Yes"/>
    <n v="1"/>
    <n v="1"/>
    <n v="1"/>
    <n v="1"/>
  </r>
  <r>
    <x v="276"/>
    <s v="16.0_Comfort &amp; Safety"/>
    <s v="16.30_PassengerDetection-System"/>
    <s v="F0080"/>
    <s v="Passenger Detection, Front"/>
    <m/>
    <s v="Chassis"/>
    <s v="Airbag"/>
    <s v="Airbag"/>
    <m/>
    <s v="Control Unit"/>
    <s v="Airbag Control Unit"/>
    <s v="Airbag Control Unit - Airbag"/>
    <m/>
    <m/>
    <s v="48;0"/>
    <m/>
    <m/>
    <m/>
    <m/>
    <s v="Yes"/>
    <s v="Yes"/>
    <s v="Yes"/>
    <n v="1"/>
    <n v="1"/>
    <n v="1"/>
    <n v="1"/>
  </r>
  <r>
    <x v="276"/>
    <s v="16.0_Comfort &amp; Safety"/>
    <s v="16.30_PassengerDetection-System"/>
    <s v="F0436"/>
    <s v="Passenger Detection, Rear"/>
    <m/>
    <s v="Chassis"/>
    <s v="Airbag"/>
    <s v="Airbag"/>
    <m/>
    <s v="Control Unit"/>
    <s v="Airbag Control Unit"/>
    <s v="Airbag Control Unit - Airbag"/>
    <m/>
    <m/>
    <s v="48;0"/>
    <m/>
    <m/>
    <m/>
    <m/>
    <s v="Yes"/>
    <s v="Yes"/>
    <s v="Yes"/>
    <n v="1"/>
    <n v="1"/>
    <n v="1"/>
    <n v="1"/>
  </r>
  <r>
    <x v="277"/>
    <s v="32.0_Comfort &amp; Chassis"/>
    <s v="32.20_Steering-System"/>
    <s v="F0400"/>
    <s v="Steering, Modes"/>
    <m/>
    <s v="Chassis"/>
    <s v="Dynamic Steering"/>
    <s v="Steering Ratio Variation"/>
    <s v="Sports / High Performance Driving Versions"/>
    <s v="Actuator"/>
    <s v="Dynamic Motor"/>
    <s v="Dynamic Motor - Steering Ratio Variation"/>
    <m/>
    <m/>
    <s v="28;-9"/>
    <s v="TE"/>
    <s v="9-1355493-3"/>
    <s v="4 Pos. MCP 2,8mm Unsealed"/>
    <m/>
    <s v="No"/>
    <s v="No"/>
    <s v="Yes"/>
    <n v="0"/>
    <n v="0.1"/>
    <n v="0"/>
    <n v="0.1"/>
  </r>
  <r>
    <x v="278"/>
    <s v="32.0_Comfort &amp; Chassis"/>
    <s v="32.20_Steering-System"/>
    <s v="F0400"/>
    <s v="Steering, Modes"/>
    <m/>
    <s v="Chassis"/>
    <s v="Dynamic Steering"/>
    <s v="Sensing"/>
    <s v="Sports / High Performance Driving Versions"/>
    <s v="Sensor"/>
    <s v="Sensor - Rotor Signal"/>
    <s v="Sensor - Rotor Signal - Sensing"/>
    <m/>
    <m/>
    <s v="28;-9"/>
    <m/>
    <m/>
    <m/>
    <m/>
    <s v="No"/>
    <s v="No"/>
    <s v="Yes"/>
    <n v="1"/>
    <n v="1"/>
    <n v="1"/>
    <n v="1"/>
  </r>
  <r>
    <x v="279"/>
    <s v="32.0_Comfort &amp; Chassis"/>
    <s v="32.20_Steering-System"/>
    <s v="F0400"/>
    <s v="Steering, Modes"/>
    <m/>
    <s v="Chassis"/>
    <s v="Dynamic Steering"/>
    <s v="Steering Wheel Column Locking"/>
    <s v="Sports / High Performance Driving Versions"/>
    <s v="Actuator"/>
    <s v="Solenoid Lock"/>
    <s v="Solenoid Lock - Steering Wheel Column Locking"/>
    <m/>
    <m/>
    <m/>
    <m/>
    <m/>
    <m/>
    <m/>
    <m/>
    <m/>
    <m/>
    <m/>
    <m/>
    <m/>
    <m/>
  </r>
  <r>
    <x v="280"/>
    <s v="32.0_Comfort &amp; Chassis"/>
    <s v="32.10_Braking-System"/>
    <s v="F2007"/>
    <s v="Electric Park Brake"/>
    <s v=" "/>
    <s v="Chassis"/>
    <s v="Brake"/>
    <s v="Ramp Assistance"/>
    <s v="Electric Parking Brake"/>
    <s v="Switch"/>
    <s v="Signal Switch - User Selector"/>
    <s v="Signal Switch - User Selector - Ramp Assistance"/>
    <m/>
    <m/>
    <s v="51;-1"/>
    <m/>
    <m/>
    <m/>
    <m/>
    <s v="No"/>
    <s v="No"/>
    <s v="Yes"/>
    <n v="1"/>
    <n v="1"/>
    <n v="1"/>
    <n v="1"/>
  </r>
  <r>
    <x v="281"/>
    <s v="10.0_Comfort &amp; Exterior"/>
    <s v="10.22_ExteriorMoving-System"/>
    <s v="F0341"/>
    <s v="Trailer Hitch, Electric Swiveling"/>
    <m/>
    <s v="Chassis"/>
    <s v="Trailer"/>
    <s v="Hitch Folding"/>
    <s v="Trailer Hitch Foldable"/>
    <s v="Switch"/>
    <s v="User Command"/>
    <s v="User Command - Hitch Folding"/>
    <m/>
    <m/>
    <s v="107;-17"/>
    <m/>
    <m/>
    <m/>
    <m/>
    <s v="No"/>
    <s v="No"/>
    <s v="Yes"/>
    <n v="0"/>
    <n v="0"/>
    <n v="0"/>
    <n v="0"/>
  </r>
  <r>
    <x v="282"/>
    <s v="10.0_Comfort &amp; Exterior"/>
    <s v="10.22_ExteriorMoving-System"/>
    <s v="F0341"/>
    <s v="Trailer Hitch, Electric Swiveling"/>
    <m/>
    <s v="Chassis"/>
    <s v="Trailer"/>
    <s v="Hitch Folding"/>
    <s v="Trailer Hitch Foldable"/>
    <s v="Actuator"/>
    <s v="Motor"/>
    <s v="Motor - Hitch Folding"/>
    <m/>
    <m/>
    <s v="115;0"/>
    <m/>
    <m/>
    <m/>
    <m/>
    <s v="No"/>
    <s v="No"/>
    <s v="Yes"/>
    <n v="0"/>
    <n v="0"/>
    <n v="0"/>
    <n v="0"/>
  </r>
  <r>
    <x v="283"/>
    <s v="36.0_Infotainment &amp; Connectivity"/>
    <s v="36.11_MediaPlayback-System"/>
    <s v="F0170"/>
    <s v="Media, USB-Connection"/>
    <s v="QM"/>
    <s v="Infotainment"/>
    <s v="User Media"/>
    <s v="Personal Device Charging and Connecting"/>
    <s v="with USB Outlet"/>
    <s v="Actuator"/>
    <s v="USB Outlet"/>
    <s v="USB Outlet - Personal Device Charging and Connecting"/>
    <m/>
    <m/>
    <s v="61;0"/>
    <s v="TE"/>
    <s v="0-1823898-1"/>
    <s v="5 Pos. HSD Ass'y Unsealed"/>
    <m/>
    <s v="No"/>
    <s v="Yes"/>
    <s v="Yes"/>
    <n v="1"/>
    <n v="1"/>
    <n v="1"/>
    <n v="1"/>
  </r>
  <r>
    <x v="283"/>
    <s v="36.0_Infotainment &amp; Connectivity"/>
    <s v="36.11_MediaPlayback-System"/>
    <s v="F0762"/>
    <s v="USB, High Speed"/>
    <s v="QM"/>
    <s v="Infotainment"/>
    <s v="User Media"/>
    <s v="Personal Device Charging and Connecting"/>
    <s v="with USB Outlet"/>
    <s v="Actuator"/>
    <s v="USB Outlet"/>
    <s v="USB Outlet - Personal Device Charging and Connecting"/>
    <m/>
    <m/>
    <s v="61;0"/>
    <s v="TE"/>
    <s v="0-1823898-1"/>
    <s v="5 Pos. HSD Ass'y Unsealed"/>
    <m/>
    <s v="No"/>
    <s v="Yes"/>
    <s v="Yes"/>
    <n v="1"/>
    <n v="1"/>
    <n v="1"/>
    <n v="1"/>
  </r>
  <r>
    <x v="283"/>
    <s v="36.0_Infotainment &amp; Connectivity"/>
    <s v="36.34_V2S_System"/>
    <s v="F0319"/>
    <s v="Android Auto, Basis"/>
    <s v="QM"/>
    <s v="Infotainment"/>
    <s v="User Media"/>
    <s v="Personal Device Charging and Connecting"/>
    <s v="with USB Outlet"/>
    <s v="Actuator"/>
    <s v="USB Outlet"/>
    <s v="USB Outlet - Personal Device Charging and Connecting"/>
    <m/>
    <m/>
    <s v="61;0"/>
    <s v="TE"/>
    <s v="0-1823898-1"/>
    <s v="5 Pos. HSD Ass'y Unsealed"/>
    <m/>
    <s v="No"/>
    <s v="Yes"/>
    <s v="Yes"/>
    <n v="1"/>
    <n v="1"/>
    <n v="1"/>
    <n v="1"/>
  </r>
  <r>
    <x v="283"/>
    <s v="36.0_Infotainment &amp; Connectivity"/>
    <s v="36.34_V2S_System"/>
    <s v="F0561"/>
    <s v="Apple Car Play, Wireless"/>
    <s v="QM"/>
    <s v="Infotainment"/>
    <s v="User Media"/>
    <s v="Personal Device Charging and Connecting"/>
    <s v="with USB Outlet"/>
    <s v="Actuator"/>
    <s v="USB Outlet"/>
    <s v="USB Outlet - Personal Device Charging and Connecting"/>
    <m/>
    <m/>
    <s v="61;0"/>
    <s v="TE"/>
    <s v="0-1823898-1"/>
    <s v="5 Pos. HSD Ass'y Unsealed"/>
    <m/>
    <s v="No"/>
    <s v="Yes"/>
    <s v="Yes"/>
    <n v="1"/>
    <n v="1"/>
    <n v="1"/>
    <n v="1"/>
  </r>
  <r>
    <x v="283"/>
    <s v="80.0_Cross-Functions"/>
    <s v="80.89_WiringHarness-Design"/>
    <s v="F0251"/>
    <s v="Charging LV, USB Ports"/>
    <s v="QM"/>
    <s v="Infotainment"/>
    <s v="User Media"/>
    <s v="Personal Device Charging and Connecting"/>
    <s v="with USB Outlet"/>
    <s v="Actuator"/>
    <s v="USB Outlet"/>
    <s v="USB Outlet - Personal Device Charging and Connecting"/>
    <m/>
    <m/>
    <s v="61;0"/>
    <s v="TE"/>
    <s v="0-1823898-1"/>
    <s v="5 Pos. HSD Ass'y Unsealed"/>
    <m/>
    <s v="No"/>
    <s v="Yes"/>
    <s v="Yes"/>
    <n v="1"/>
    <n v="1"/>
    <n v="1"/>
    <n v="1"/>
  </r>
  <r>
    <x v="284"/>
    <s v="36.0_Infotainment &amp; Connectivity"/>
    <s v="36.10_Radio-System"/>
    <s v="F0574"/>
    <s v="Radio, DAB+"/>
    <s v="QM"/>
    <s v="Infotainment"/>
    <s v="Audio"/>
    <s v="Radio Receiving"/>
    <m/>
    <s v="Antenna"/>
    <s v="DAB Antenna (w/ Amplifier)"/>
    <s v="DAB Antenna (w/ Amplifier) - Radio Receiving"/>
    <m/>
    <m/>
    <s v="85;-15"/>
    <s v="TE"/>
    <s v="1452584-1"/>
    <s v="1 Pos. Fakra II Unsealed"/>
    <m/>
    <s v="No"/>
    <s v="Yes"/>
    <s v="Yes"/>
    <n v="1"/>
    <n v="1"/>
    <n v="1"/>
    <n v="1"/>
  </r>
  <r>
    <x v="284"/>
    <s v="80.0_Cross-Functions"/>
    <s v="80.89_WiringHarness-Design"/>
    <s v="F0251"/>
    <s v="Charging LV, USB Ports"/>
    <m/>
    <s v="Comfort"/>
    <s v="USB Charging Port"/>
    <s v="Personal Device Charging FL"/>
    <m/>
    <s v="Actuator"/>
    <s v="USB Charging Port"/>
    <s v="USB Charging Port - Personal Device Charging FL"/>
    <m/>
    <m/>
    <s v="35;-2"/>
    <s v="TE"/>
    <s v="2282151-1"/>
    <s v="3 Pos. NanoMQS 0,5mm Unsealed"/>
    <m/>
    <s v="No"/>
    <s v="No"/>
    <s v="Yes"/>
    <n v="0.6"/>
    <n v="0.6"/>
    <n v="0.6"/>
    <n v="0.6"/>
  </r>
  <r>
    <x v="285"/>
    <s v="80.0_Cross-Functions"/>
    <s v="80.89_WiringHarness-Design"/>
    <s v="F0251"/>
    <s v="Charging LV, USB Ports"/>
    <m/>
    <s v="Comfort"/>
    <s v="USB Charging Port"/>
    <s v="Personal Device Charging FR"/>
    <m/>
    <s v="Actuator"/>
    <s v="USB Charging Port"/>
    <s v="USB Charging Port - Personal Device Charging FR"/>
    <m/>
    <m/>
    <s v="35;2"/>
    <s v="TE"/>
    <s v="2282151-1"/>
    <s v="3 Pos. NanoMQS 0,5mm Unsealed"/>
    <m/>
    <s v="No"/>
    <s v="No"/>
    <s v="Yes"/>
    <n v="0.6"/>
    <n v="0.6"/>
    <n v="0.6"/>
    <n v="0.6"/>
  </r>
  <r>
    <x v="286"/>
    <s v="80.0_Cross-Functions"/>
    <s v="80.89_WiringHarness-Design"/>
    <s v="F0251"/>
    <s v="Charging LV, USB Ports"/>
    <m/>
    <s v="Comfort"/>
    <s v="USB Charging Port"/>
    <s v="Personal Device Charging RL"/>
    <m/>
    <s v="Actuator"/>
    <s v="USB Charging Port"/>
    <s v="USB Charging Port - Personal Device Charging RL"/>
    <m/>
    <m/>
    <s v="62;-2"/>
    <s v="TE"/>
    <s v="2282151-1"/>
    <s v="3 Pos. NanoMQS 0,5mm Unsealed"/>
    <m/>
    <s v="No"/>
    <s v="Yes"/>
    <s v="Yes"/>
    <n v="0.6"/>
    <n v="0.6"/>
    <n v="0.6"/>
    <n v="0.6"/>
  </r>
  <r>
    <x v="287"/>
    <s v="10.0_Comfort &amp; Exterior"/>
    <s v="10.30_OutsideLighting-System"/>
    <s v="F0112"/>
    <s v="Trailer Lights, Trailer"/>
    <s v="A"/>
    <s v="Chassis"/>
    <s v="Trailer"/>
    <s v="Turn Signal Left"/>
    <s v="Trailer Outlet"/>
    <s v="Actuator"/>
    <s v="Trailer Outlet"/>
    <s v="Trailer Outlet - Turn Signal Left"/>
    <m/>
    <m/>
    <s v="115;0"/>
    <m/>
    <m/>
    <m/>
    <m/>
    <s v="No"/>
    <s v="No"/>
    <s v="Yes"/>
    <n v="0.3"/>
    <n v="0.1"/>
    <n v="0.3"/>
    <n v="0.1"/>
  </r>
  <r>
    <x v="288"/>
    <s v="80.0_Cross-Functions"/>
    <s v="80.89_WiringHarness-Design"/>
    <s v="F0251"/>
    <s v="Charging LV, USB Ports"/>
    <m/>
    <s v="Comfort"/>
    <s v="USB Charging Port"/>
    <s v="Personal Device Charging RR"/>
    <m/>
    <s v="Actuator"/>
    <s v="USB Charging Port"/>
    <s v="USB Charging Port - Personal Device Charging RR"/>
    <m/>
    <m/>
    <s v="62;2"/>
    <s v="TE"/>
    <s v="2282151-1"/>
    <s v="3 Pos. NanoMQS 0,5mm Unsealed"/>
    <m/>
    <s v="No"/>
    <s v="Yes"/>
    <s v="Yes"/>
    <n v="0.6"/>
    <n v="0.6"/>
    <n v="0.6"/>
    <n v="0.6"/>
  </r>
  <r>
    <x v="289"/>
    <s v="80.0_Cross-Functions"/>
    <s v="80.89_WiringHarness-Design"/>
    <s v="F0251"/>
    <s v="Charging LV, USB Ports"/>
    <m/>
    <s v="Comfort"/>
    <s v="USB Charging Port"/>
    <s v="Personal Device Charging RL - 3rd Seat Row"/>
    <m/>
    <s v="Actuator"/>
    <s v="USB Charging Port"/>
    <s v="USB Charging Port - Personal Device Charging RL - 3rd Seat Row"/>
    <m/>
    <m/>
    <s v="104;-17"/>
    <s v="TE"/>
    <s v="2282151-1"/>
    <s v="3 Pos. NanoMQS 0,5mm Unsealed"/>
    <m/>
    <s v="No"/>
    <s v="No"/>
    <s v="Yes"/>
    <n v="0.6"/>
    <n v="0.6"/>
    <n v="0.6"/>
    <n v="0.6"/>
  </r>
  <r>
    <x v="290"/>
    <s v="80.0_Cross-Functions"/>
    <s v="80.89_WiringHarness-Design"/>
    <s v="F0251"/>
    <s v="Charging LV, USB Ports"/>
    <m/>
    <s v="Comfort"/>
    <s v="USB Charging Port"/>
    <s v="Personal Device Charging RR - 3rd Seat Row"/>
    <m/>
    <s v="Actuator"/>
    <s v="USB Charging Port"/>
    <s v="USB Charging Port - Personal Device Charging RR - 3rd Seat Row"/>
    <m/>
    <m/>
    <s v="104;17"/>
    <s v="TE"/>
    <s v="2282151-1"/>
    <s v="3 Pos. NanoMQS 0,5mm Unsealed"/>
    <m/>
    <s v="No"/>
    <s v="No"/>
    <s v="Yes"/>
    <n v="0.6"/>
    <n v="0.6"/>
    <n v="0.6"/>
    <n v="0.6"/>
  </r>
  <r>
    <x v="291"/>
    <s v="10.0_Comfort &amp; Exterior"/>
    <s v="10.30_OutsideLighting-System"/>
    <s v="F0053"/>
    <s v="Door Lighting Outside, Open Door Front"/>
    <s v="QM"/>
    <s v="Infotainment"/>
    <s v="Safety"/>
    <s v="Hop Off Warning FR"/>
    <s v="Safety Module"/>
    <s v="Actuator"/>
    <s v="LED Lamp"/>
    <s v="LED Lamp - Hop Off Warning FR"/>
    <m/>
    <m/>
    <s v="38;21"/>
    <s v="TE"/>
    <s v="2282150-1"/>
    <s v="2 Pos. NanoMQS 0,5mm Unsealed"/>
    <m/>
    <s v="No"/>
    <s v="No"/>
    <s v="Yes"/>
    <n v="0"/>
    <n v="0"/>
    <n v="0"/>
    <n v="0"/>
  </r>
  <r>
    <x v="292"/>
    <s v="10.0_Comfort &amp; Exterior"/>
    <s v="10.30_OutsideLighting-System"/>
    <s v="F0053"/>
    <s v="Door Lighting Outside, Open Door Front"/>
    <s v="QM"/>
    <s v="Infotainment"/>
    <s v="Safety"/>
    <s v="Hop Off Warning FL"/>
    <s v="Safety Module"/>
    <s v="Actuator"/>
    <s v="LED Lamp"/>
    <s v="LED Lamp - Hop Off Warning FL"/>
    <m/>
    <m/>
    <s v="38;-21"/>
    <s v="TE"/>
    <s v="2282150-1"/>
    <s v="2 Pos. NanoMQS 0,5mm Unsealed"/>
    <m/>
    <s v="No"/>
    <s v="No"/>
    <s v="Yes"/>
    <n v="0"/>
    <n v="0"/>
    <n v="0"/>
    <n v="0"/>
  </r>
  <r>
    <x v="293"/>
    <s v="10.0_Comfort &amp; Exterior"/>
    <s v="10.30_OutsideLighting-System"/>
    <s v="F0379"/>
    <s v="Door Lighting Outside, Open Door Rear"/>
    <s v="QM"/>
    <s v="Infotainment"/>
    <s v="Safety"/>
    <s v="Hop Off Warning RL"/>
    <s v="Safety Module"/>
    <s v="Actuator"/>
    <s v="LED Lamp"/>
    <s v="LED Lamp - Hop Off Warning RL"/>
    <m/>
    <m/>
    <s v="62;-21"/>
    <s v="TE"/>
    <s v="2282150-1"/>
    <s v="2 Pos. NanoMQS 0,5mm Unsealed"/>
    <m/>
    <s v="No"/>
    <s v="No"/>
    <s v="Yes"/>
    <n v="0"/>
    <n v="0"/>
    <n v="0"/>
    <n v="0"/>
  </r>
  <r>
    <x v="294"/>
    <s v="10.0_Comfort &amp; Exterior"/>
    <s v="10.30_OutsideLighting-System"/>
    <s v="F0379"/>
    <s v="Door Lighting Outside, Open Door Rear"/>
    <s v="QM"/>
    <s v="Infotainment"/>
    <s v="Safety"/>
    <s v="Hop Off Warning RR"/>
    <s v="Safety Module"/>
    <s v="Actuator"/>
    <s v="LED Lamp"/>
    <s v="LED Lamp - Hop Off Warning RR"/>
    <m/>
    <m/>
    <s v="62;21"/>
    <s v="TE"/>
    <s v="2282150-1"/>
    <s v="2 Pos. NanoMQS 0,5mm Unsealed"/>
    <m/>
    <s v="No"/>
    <s v="No"/>
    <s v="Yes"/>
    <n v="0"/>
    <n v="0"/>
    <n v="0"/>
    <n v="0"/>
  </r>
  <r>
    <x v="295"/>
    <s v="14.0_HMI &amp; OutsideInformation"/>
    <s v="14.10_DriverInformation-System"/>
    <s v="F0019"/>
    <s v="Indications, Outside Temperature"/>
    <s v="QM"/>
    <s v="Comfort"/>
    <s v="Climate Control"/>
    <s v="External Temperature"/>
    <s v="Basic"/>
    <s v="Sensor"/>
    <s v="Temperature Sensor"/>
    <s v="Temperature Sensor - External Temperature"/>
    <m/>
    <m/>
    <s v="32;24"/>
    <s v="TE"/>
    <s v="1-1418463-9"/>
    <s v="2 Pos. MQS 0,63mm Sealed"/>
    <s v="No"/>
    <s v="No"/>
    <s v="Yes"/>
    <s v="Yes"/>
    <n v="1"/>
    <n v="1"/>
    <n v="1"/>
    <n v="1"/>
  </r>
  <r>
    <x v="295"/>
    <s v="14.0_HMI &amp; OutsideInformation"/>
    <s v="14.10_DriverInformation-System"/>
    <s v="F1037"/>
    <s v="Warning, Icy Road"/>
    <m/>
    <s v="Comfort"/>
    <s v="Climate Control"/>
    <s v="External Temperature"/>
    <s v="Basic"/>
    <s v="Sensor"/>
    <s v="Temperature Sensor"/>
    <s v="Temperature Sensor - External Temperature"/>
    <m/>
    <m/>
    <s v="32;24"/>
    <s v="TE"/>
    <s v="1-1418463-9"/>
    <s v="2 Pos. MQS 0,63mm Sealed"/>
    <s v="No"/>
    <s v="No"/>
    <s v="Yes"/>
    <s v="Yes"/>
    <n v="1"/>
    <n v="1"/>
    <n v="1"/>
    <n v="1"/>
  </r>
  <r>
    <x v="295"/>
    <s v="39.0_HVAC &amp; Thermal"/>
    <s v="39.10_PassengerThermal-System"/>
    <s v="F0016"/>
    <s v="HVAC-System, 3- / 4-Zones"/>
    <s v="QM"/>
    <s v="Comfort"/>
    <s v="Climate Control"/>
    <s v="External Temperature"/>
    <s v="Basic"/>
    <s v="Sensor"/>
    <s v="Temperature Sensor"/>
    <s v="Temperature Sensor - External Temperature"/>
    <m/>
    <m/>
    <s v="32;24"/>
    <s v="TE"/>
    <s v="1-1418463-9"/>
    <s v="2 Pos. MQS 0,63mm Sealed"/>
    <s v="No"/>
    <s v="No"/>
    <s v="No"/>
    <s v="Yes"/>
    <n v="1"/>
    <n v="1"/>
    <n v="1"/>
    <n v="1"/>
  </r>
  <r>
    <x v="295"/>
    <s v="39.0_HVAC &amp; Thermal"/>
    <s v="39.10_PassengerThermal-System"/>
    <s v="F0233"/>
    <s v="HVAC-Temperature, Automatic"/>
    <s v="QM"/>
    <s v="Comfort"/>
    <s v="Climate Control"/>
    <s v="External Temperature"/>
    <s v="Basic"/>
    <s v="Sensor"/>
    <s v="Temperature Sensor"/>
    <s v="Temperature Sensor - External Temperature"/>
    <m/>
    <m/>
    <s v="32;24"/>
    <s v="TE"/>
    <s v="1-1418463-9"/>
    <s v="2 Pos. MQS 0,63mm Sealed"/>
    <s v="No"/>
    <s v="No"/>
    <s v="Yes"/>
    <s v="Yes"/>
    <n v="1"/>
    <n v="1"/>
    <n v="1"/>
    <n v="1"/>
  </r>
  <r>
    <x v="295"/>
    <s v="39.0_HVAC &amp; Thermal"/>
    <s v="39.10_PassengerThermal-System"/>
    <s v="F0234"/>
    <s v="HVAC-Blower, Automatic"/>
    <s v="QM"/>
    <s v="Comfort"/>
    <s v="Climate Control"/>
    <s v="External Temperature"/>
    <s v="Basic"/>
    <s v="Sensor"/>
    <s v="Temperature Sensor"/>
    <s v="Temperature Sensor - External Temperature"/>
    <m/>
    <m/>
    <s v="32;24"/>
    <s v="TE"/>
    <s v="1-1418463-9"/>
    <s v="2 Pos. MQS 0,63mm Sealed"/>
    <s v="No"/>
    <s v="No"/>
    <s v="Yes"/>
    <s v="Yes"/>
    <n v="1"/>
    <n v="1"/>
    <n v="1"/>
    <n v="1"/>
  </r>
  <r>
    <x v="295"/>
    <s v="39.0_HVAC &amp; Thermal"/>
    <s v="39.10_PassengerThermal-System"/>
    <s v="F0483"/>
    <s v="HVAC-System, Fully Manual"/>
    <s v="QM"/>
    <s v="Comfort"/>
    <s v="Climate Control"/>
    <s v="External Temperature"/>
    <s v="Basic"/>
    <s v="Sensor"/>
    <s v="Temperature Sensor"/>
    <s v="Temperature Sensor - External Temperature"/>
    <m/>
    <m/>
    <s v="32;24"/>
    <s v="TE"/>
    <s v="1-1418463-9"/>
    <s v="2 Pos. MQS 0,63mm Sealed"/>
    <s v="No"/>
    <s v="Yes"/>
    <s v="No"/>
    <s v="No"/>
    <n v="1"/>
    <n v="1"/>
    <n v="1"/>
    <n v="1"/>
  </r>
  <r>
    <x v="295"/>
    <s v="39.0_HVAC &amp; Thermal"/>
    <s v="39.10_PassengerThermal-System"/>
    <s v="F0721"/>
    <s v="HVAC-System, Rear Temperature Control"/>
    <s v="QM"/>
    <s v="Comfort"/>
    <s v="Climate Control"/>
    <s v="External Temperature"/>
    <s v="Basic"/>
    <s v="Sensor"/>
    <s v="Temperature Sensor"/>
    <s v="Temperature Sensor - External Temperature"/>
    <m/>
    <m/>
    <s v="32;24"/>
    <s v="TE"/>
    <s v="1-1418463-9"/>
    <s v="2 Pos. MQS 0,63mm Sealed"/>
    <s v="No"/>
    <s v="No"/>
    <s v="No"/>
    <s v="Yes"/>
    <n v="1"/>
    <n v="1"/>
    <n v="1"/>
    <n v="1"/>
  </r>
  <r>
    <x v="295"/>
    <s v="39.0_HVAC &amp; Thermal"/>
    <s v="39.10_PassengerThermal-System"/>
    <s v="F0722"/>
    <s v="HVAC-System, Rear HVAC Off"/>
    <s v="QM"/>
    <s v="Comfort"/>
    <s v="Climate Control"/>
    <s v="External Temperature"/>
    <s v="Basic"/>
    <s v="Sensor"/>
    <s v="Temperature Sensor"/>
    <s v="Temperature Sensor - External Temperature"/>
    <m/>
    <m/>
    <s v="32;24"/>
    <s v="TE"/>
    <s v="1-1418463-9"/>
    <s v="2 Pos. MQS 0,63mm Sealed"/>
    <s v="No"/>
    <s v="No"/>
    <s v="No"/>
    <s v="Yes"/>
    <n v="1"/>
    <n v="1"/>
    <n v="1"/>
    <n v="1"/>
  </r>
  <r>
    <x v="295"/>
    <s v="39.0_HVAC &amp; Thermal"/>
    <s v="39.10_PassengerThermal-System"/>
    <s v="F0x17"/>
    <s v="HVAC-System, 2-Zones Front"/>
    <s v="QM"/>
    <s v="Comfort"/>
    <s v="Climate Control"/>
    <s v="External Temperature"/>
    <s v="Basic"/>
    <s v="Sensor"/>
    <s v="Temperature Sensor"/>
    <s v="Temperature Sensor - External Temperature"/>
    <m/>
    <m/>
    <s v="32;24"/>
    <s v="TE"/>
    <s v="1-1418463-9"/>
    <s v="2 Pos. MQS 0,63mm Sealed"/>
    <s v="No"/>
    <s v="No"/>
    <s v="Yes"/>
    <s v="No"/>
    <n v="1"/>
    <n v="1"/>
    <n v="1"/>
    <n v="1"/>
  </r>
  <r>
    <x v="295"/>
    <s v="39.0_HVAC &amp; Thermal"/>
    <s v="39.10_PassengerThermal-System"/>
    <s v="F0x19"/>
    <s v="HVAC-System, Heat Pump Driven"/>
    <s v="QM"/>
    <s v="Comfort"/>
    <s v="Climate Control"/>
    <s v="External Temperature"/>
    <s v="Basic"/>
    <s v="Sensor"/>
    <s v="Temperature Sensor"/>
    <s v="Temperature Sensor - External Temperature"/>
    <m/>
    <m/>
    <s v="32;24"/>
    <s v="TE"/>
    <s v="1-1418463-9"/>
    <s v="2 Pos. MQS 0,63mm Sealed"/>
    <s v="No"/>
    <s v="No"/>
    <s v="Yes"/>
    <s v="Yes"/>
    <n v="1"/>
    <n v="1"/>
    <n v="1"/>
    <n v="1"/>
  </r>
  <r>
    <x v="296"/>
    <s v="16.0_Comfort &amp; Safety"/>
    <s v="16.10_Airbag-System"/>
    <s v="F0612"/>
    <s v="Airbag Passenger, Single Stage"/>
    <s v="D"/>
    <s v="Chassis"/>
    <s v="Airbag"/>
    <s v="Relief Valve"/>
    <s v="Basic"/>
    <s v="Igniter"/>
    <s v="Relief Valve FL"/>
    <s v="Relief Valve FL - Relief Valve"/>
    <m/>
    <m/>
    <s v="57;-20"/>
    <s v="TE"/>
    <s v="353744-7"/>
    <s v="2 Pos. Squib Airbag"/>
    <m/>
    <s v="Yes"/>
    <s v="Yes"/>
    <s v="Yes"/>
    <n v="0"/>
    <n v="0"/>
    <n v="0"/>
    <n v="0"/>
  </r>
  <r>
    <x v="297"/>
    <s v="16.0_Comfort &amp; Safety"/>
    <s v="16.10_Airbag-System"/>
    <s v="F0612"/>
    <s v="Airbag Passenger, Single Stage"/>
    <s v="D"/>
    <s v="Chassis"/>
    <s v="Airbag"/>
    <s v="Relief Valve"/>
    <s v="Basic"/>
    <s v="Igniter"/>
    <s v="Relief Valve FR"/>
    <s v="Relief Valve FR - Relief Valve"/>
    <m/>
    <m/>
    <s v="57;20"/>
    <s v="TE"/>
    <s v="353744-7"/>
    <s v="2 Pos. Squib Airbag"/>
    <m/>
    <s v="Yes"/>
    <s v="Yes"/>
    <s v="Yes"/>
    <n v="0"/>
    <n v="0"/>
    <n v="0"/>
    <n v="0"/>
  </r>
  <r>
    <x v="298"/>
    <s v="28.0_Powertrain &amp; Driveability"/>
    <s v="28.13_Recuperation&amp;OPD-System"/>
    <s v="F0215"/>
    <s v="LV Power, Recuperation (LV)"/>
    <m/>
    <s v="System"/>
    <s v="Power Supply"/>
    <s v="12V Battery Management"/>
    <s v="High Class"/>
    <s v="Actuator"/>
    <s v="12V Lead-Acid Battery BMS"/>
    <s v="12V Lead-Acid Battery BMS - 12V Battery Management"/>
    <m/>
    <m/>
    <s v="98;18"/>
    <s v="NR"/>
    <s v="NR"/>
    <m/>
    <m/>
    <s v="No"/>
    <s v="Yes"/>
    <s v="Yes"/>
    <n v="1"/>
    <n v="1"/>
    <n v="1"/>
    <n v="1"/>
  </r>
  <r>
    <x v="298"/>
    <s v="80.0_Cross-Functions"/>
    <s v="80.82_EnergyManagement"/>
    <s v="F0219"/>
    <s v="LV Power, Intelligent Battery Sensing"/>
    <m/>
    <s v="System"/>
    <s v="Power Supply"/>
    <s v="12V Battery Management"/>
    <s v="High Class"/>
    <s v="Actuator"/>
    <s v="12V Lead-Acid Battery BMS"/>
    <s v="12V Lead-Acid Battery BMS - 12V Battery Management"/>
    <m/>
    <m/>
    <s v="98;18"/>
    <s v="NR"/>
    <s v="NR"/>
    <m/>
    <m/>
    <s v="No"/>
    <s v="Yes"/>
    <s v="Yes"/>
    <n v="1"/>
    <n v="1"/>
    <n v="1"/>
    <n v="1"/>
  </r>
  <r>
    <x v="298"/>
    <s v="80.0_Cross-Functions"/>
    <s v="80.84_Diagnosis&amp;Updates"/>
    <s v="F0629"/>
    <s v="Diagnosis, Under/Overvoltage Detection"/>
    <m/>
    <s v="System"/>
    <s v="Power Supply"/>
    <s v="12V Battery Management"/>
    <s v="High Class"/>
    <s v="Actuator"/>
    <s v="12V Lead-Acid Battery BMS"/>
    <s v="12V Lead-Acid Battery BMS - 12V Battery Management"/>
    <m/>
    <m/>
    <s v="98;18"/>
    <s v="NR"/>
    <s v="NR"/>
    <m/>
    <m/>
    <s v="No"/>
    <s v="Yes"/>
    <s v="Yes"/>
    <n v="1"/>
    <n v="1"/>
    <n v="1"/>
    <n v="1"/>
  </r>
  <r>
    <x v="298"/>
    <s v="80.0_Cross-Functions"/>
    <s v="80.89_WiringHarness-Design"/>
    <s v="F0484"/>
    <s v="Electrical System, 12V"/>
    <m/>
    <s v="System"/>
    <s v="Power Supply"/>
    <s v="12V Battery Management"/>
    <s v="High Class"/>
    <s v="Actuator"/>
    <s v="12V Lead-Acid Battery BMS"/>
    <s v="12V Lead-Acid Battery BMS - 12V Battery Management"/>
    <m/>
    <m/>
    <s v="98;18"/>
    <s v="NR"/>
    <s v="NR"/>
    <m/>
    <m/>
    <s v="No"/>
    <s v="Yes"/>
    <s v="Yes"/>
    <n v="1"/>
    <n v="1"/>
    <n v="1"/>
    <n v="1"/>
  </r>
  <r>
    <x v="299"/>
    <s v="80.0_Cross-Functions"/>
    <s v="80.89_WiringHarness-Design"/>
    <s v="F0618"/>
    <s v="LV Power, 12V Battery"/>
    <m/>
    <s v="System"/>
    <s v="Power Supply"/>
    <s v="12V Energy Storage"/>
    <m/>
    <s v="Source"/>
    <s v="12V LiIon Battery"/>
    <s v="12V LiIon Battery - 12V Energy Storage"/>
    <m/>
    <m/>
    <s v="98;18"/>
    <m/>
    <m/>
    <m/>
    <m/>
    <s v="No"/>
    <s v="No"/>
    <s v="Yes"/>
    <n v="1"/>
    <n v="1"/>
    <n v="1"/>
    <n v="1"/>
  </r>
  <r>
    <x v="300"/>
    <s v="16.0_Comfort &amp; Safety"/>
    <s v="16.12_CrashHandling-System"/>
    <s v="F0777"/>
    <s v="Crashdetection, LV-Safety"/>
    <m/>
    <s v="System"/>
    <s v="Power Supply"/>
    <s v="48V Energy Storage"/>
    <m/>
    <s v="Source"/>
    <s v="48V LiIon Battery"/>
    <s v="48V LiIon Battery - 48V Energy Storage"/>
    <m/>
    <m/>
    <s v="98;18"/>
    <s v="TE"/>
    <s v="1-1534229-1"/>
    <s v="8 Pos. MQS 0,63mm Sealed"/>
    <m/>
    <s v="No"/>
    <s v="Yes"/>
    <s v="Yes"/>
    <n v="0"/>
    <n v="0"/>
    <n v="0"/>
    <n v="0"/>
  </r>
  <r>
    <x v="300"/>
    <s v="80.0_Cross-Functions"/>
    <s v="80.89_WiringHarness-Design"/>
    <s v="F0486"/>
    <s v="Electrical System, 48V"/>
    <m/>
    <s v="System"/>
    <s v="Power Supply"/>
    <s v="48V Energy Storage"/>
    <m/>
    <s v="Source"/>
    <s v="48V LiIon Battery"/>
    <s v="48V LiIon Battery - 48V Energy Storage"/>
    <m/>
    <m/>
    <s v="98;18"/>
    <m/>
    <m/>
    <m/>
    <m/>
    <s v="No"/>
    <s v="Yes"/>
    <s v="Yes"/>
    <n v="1"/>
    <n v="1"/>
    <n v="1"/>
    <n v="1"/>
  </r>
  <r>
    <x v="301"/>
    <s v="14.0_HMI &amp; OutsideInformation"/>
    <s v="14.10_DriverInformation-System"/>
    <s v="F0903"/>
    <s v="Indications, Error in Brake System"/>
    <s v="D"/>
    <s v="Chassis"/>
    <s v="Brake"/>
    <s v="Pedal"/>
    <s v="Basic"/>
    <s v="Sensor"/>
    <s v="Pressure (Vaccum) Sensor"/>
    <s v="Pressure (Vaccum) Sensor - Pedal"/>
    <m/>
    <m/>
    <s v="17;-9"/>
    <s v="TE"/>
    <s v="1376235-1"/>
    <s v="3 Pos. MQS 0,63mm Sealed"/>
    <m/>
    <s v="No"/>
    <s v="Yes"/>
    <s v="Yes"/>
    <n v="1"/>
    <n v="1"/>
    <n v="1"/>
    <n v="1"/>
  </r>
  <r>
    <x v="301"/>
    <s v="32.0_Comfort &amp; Chassis"/>
    <s v="32.10_Braking-System"/>
    <s v="F0339"/>
    <s v="Brake, By Wire (Electro Mechanic)"/>
    <m/>
    <s v="Chassis"/>
    <s v="Brake"/>
    <s v="Pedal"/>
    <s v="Basic"/>
    <s v="Sensor"/>
    <s v="Pressure (Vaccum) Sensor"/>
    <s v="Pressure (Vaccum) Sensor - Pedal"/>
    <m/>
    <m/>
    <s v="17;-9"/>
    <s v="TE"/>
    <s v="1376235-1"/>
    <s v="3 Pos. MQS 0,63mm Sealed"/>
    <m/>
    <s v="No"/>
    <s v="Yes"/>
    <s v="Yes"/>
    <n v="1"/>
    <n v="1"/>
    <n v="1"/>
    <n v="1"/>
  </r>
  <r>
    <x v="301"/>
    <s v="32.0_Comfort &amp; Chassis"/>
    <s v="32.10_Braking-System"/>
    <s v="F2000"/>
    <s v="ABS"/>
    <s v="D"/>
    <s v="Chassis"/>
    <s v="Brake"/>
    <s v="Pedal"/>
    <s v="Basic"/>
    <s v="Sensor"/>
    <s v="Pressure (Vaccum) Sensor"/>
    <s v="Pressure (Vaccum) Sensor - Pedal"/>
    <m/>
    <m/>
    <s v="17;-9"/>
    <s v="TE"/>
    <s v="1376235-1"/>
    <s v="3 Pos. MQS 0,63mm Sealed"/>
    <m/>
    <s v="No"/>
    <s v="Yes"/>
    <s v="Yes"/>
    <n v="1"/>
    <n v="1"/>
    <n v="1"/>
    <n v="1"/>
  </r>
  <r>
    <x v="302"/>
    <s v="32.0_Comfort &amp; Chassis"/>
    <s v="32.10_Braking-System"/>
    <s v="F0339"/>
    <s v="Brake, By Wire (Electro Mechanic)"/>
    <m/>
    <s v="Chassis"/>
    <s v="Brake"/>
    <s v="Pedal"/>
    <s v="Basic"/>
    <s v="Switch"/>
    <s v="Pedal Switch"/>
    <s v="Pedal Switch - Pedal"/>
    <m/>
    <m/>
    <s v="25;-9"/>
    <s v="TE"/>
    <s v="953697-1"/>
    <s v="3 Pos. MQS 0,63mm Unsealed"/>
    <m/>
    <s v="Yes"/>
    <s v="Yes"/>
    <s v="Yes"/>
    <n v="1"/>
    <n v="1"/>
    <n v="1"/>
    <n v="1"/>
  </r>
  <r>
    <x v="302"/>
    <s v="32.0_Comfort &amp; Chassis"/>
    <s v="32.10_Braking-System"/>
    <s v="F2000"/>
    <s v="ABS"/>
    <s v="D"/>
    <s v="Chassis"/>
    <s v="Brake"/>
    <s v="Pedal"/>
    <s v="Basic"/>
    <s v="Switch"/>
    <s v="Pedal Switch"/>
    <s v="Pedal Switch - Pedal"/>
    <m/>
    <m/>
    <s v="25;-9"/>
    <s v="TE"/>
    <s v="953697-1"/>
    <s v="3 Pos. MQS 0,63mm Unsealed"/>
    <m/>
    <s v="Yes"/>
    <s v="Yes"/>
    <s v="Yes"/>
    <n v="1"/>
    <n v="1"/>
    <n v="1"/>
    <n v="1"/>
  </r>
  <r>
    <x v="302"/>
    <s v="37.0_ADAS &amp; AutomatedDriving"/>
    <s v="37.11_EBA-System"/>
    <s v="F0136"/>
    <s v="EBA, Junction Assist &amp; Turn Across"/>
    <m/>
    <s v="Chassis"/>
    <s v="Brake"/>
    <s v="Pedal"/>
    <s v="Basic"/>
    <s v="Switch"/>
    <s v="Pedal Switch"/>
    <s v="Pedal Switch - Pedal"/>
    <m/>
    <m/>
    <s v="25;-9"/>
    <s v="TE"/>
    <s v="953697-1"/>
    <s v="3 Pos. MQS 0,63mm Unsealed"/>
    <m/>
    <s v="Yes"/>
    <s v="Yes"/>
    <s v="Yes"/>
    <n v="1"/>
    <n v="1"/>
    <n v="1"/>
    <n v="1"/>
  </r>
  <r>
    <x v="303"/>
    <s v="13.0_Comfort &amp; Interior"/>
    <s v="13.31_AmbientLighting-System"/>
    <s v="F0500"/>
    <s v="Ambient Lighting, Trimstrip Doors"/>
    <s v="QM"/>
    <s v="Comfort"/>
    <s v="Internal Illumination"/>
    <s v="Door Speaker Illumination RR"/>
    <s v="High End Sound"/>
    <s v="Actuator"/>
    <s v="LED Lamp"/>
    <s v="LED Lamp - Door Speaker Illumination RR"/>
    <m/>
    <m/>
    <s v="63;21"/>
    <s v="TE"/>
    <s v="2282150-1"/>
    <s v="2 Pos. NanoMQS 0,5mm Unsealed"/>
    <m/>
    <s v="No"/>
    <s v="No"/>
    <s v="Yes"/>
    <n v="0.05"/>
    <n v="0.05"/>
    <n v="1"/>
    <n v="1"/>
  </r>
  <r>
    <x v="304"/>
    <s v="13.0_Comfort &amp; Interior"/>
    <s v="13.31_AmbientLighting-System"/>
    <s v="F0500"/>
    <s v="Ambient Lighting, Trimstrip Doors"/>
    <s v="QM"/>
    <s v="Comfort"/>
    <s v="Internal Illumination"/>
    <s v="Door Speaker Illumination RL"/>
    <s v="High End Sound"/>
    <s v="Actuator"/>
    <s v="LED Lamp"/>
    <s v="LED Lamp - Door Speaker Illumination RL"/>
    <m/>
    <m/>
    <s v="63;-21"/>
    <s v="TE"/>
    <s v="2282150-1"/>
    <s v="2 Pos. NanoMQS 0,5mm Unsealed"/>
    <m/>
    <s v="No"/>
    <s v="No"/>
    <s v="Yes"/>
    <n v="0.05"/>
    <n v="0.05"/>
    <n v="1"/>
    <n v="1"/>
  </r>
  <r>
    <x v="305"/>
    <s v="13.0_Comfort &amp; Interior"/>
    <s v="13.31_AmbientLighting-System"/>
    <s v="F0500"/>
    <s v="Ambient Lighting, Trimstrip Doors"/>
    <s v="QM"/>
    <s v="Comfort"/>
    <s v="Internal Illumination"/>
    <s v="Door Speaker Illumination FR"/>
    <s v="High End Sound"/>
    <s v="Actuator"/>
    <s v="LED Lamp"/>
    <s v="LED Lamp - Door Speaker Illumination FR"/>
    <m/>
    <m/>
    <s v="35;21"/>
    <s v="TE"/>
    <s v="2282150-1"/>
    <s v="2 Pos. NanoMQS 0,5mm Unsealed"/>
    <m/>
    <s v="No"/>
    <s v="No"/>
    <s v="Yes"/>
    <n v="0.05"/>
    <n v="0.05"/>
    <n v="1"/>
    <n v="1"/>
  </r>
  <r>
    <x v="306"/>
    <s v="13.0_Comfort &amp; Interior"/>
    <s v="13.31_AmbientLighting-System"/>
    <s v="F0500"/>
    <s v="Ambient Lighting, Trimstrip Doors"/>
    <s v="QM"/>
    <s v="Comfort"/>
    <s v="Internal Illumination"/>
    <s v="Door Speaker Illumination FL"/>
    <s v="High End Sound"/>
    <s v="Actuator"/>
    <s v="LED Lamp"/>
    <s v="LED Lamp - Door Speaker Illumination FL"/>
    <m/>
    <m/>
    <s v="35;-21"/>
    <s v="TE"/>
    <s v="2282150-1"/>
    <s v="2 Pos. NanoMQS 0,5mm Unsealed"/>
    <m/>
    <s v="No"/>
    <s v="No"/>
    <s v="Yes"/>
    <n v="0.05"/>
    <n v="0.05"/>
    <n v="1"/>
    <n v="1"/>
  </r>
  <r>
    <x v="307"/>
    <s v="14.0_HMI &amp; OutsideInformation"/>
    <s v="14.10_DriverInformation-System"/>
    <s v="F0293"/>
    <s v="Warning, Brake Fluid Level Low"/>
    <s v="QM"/>
    <s v="Chassis"/>
    <s v="Brake"/>
    <s v="Warning"/>
    <s v="Basic"/>
    <s v="Sensor"/>
    <s v="Brake Fluid Sensor"/>
    <s v="Brake Fluid Sensor - Warning"/>
    <m/>
    <m/>
    <s v="22;-9"/>
    <m/>
    <m/>
    <m/>
    <m/>
    <s v="Yes"/>
    <s v="Yes"/>
    <s v="Yes"/>
    <n v="1"/>
    <n v="1"/>
    <n v="1"/>
    <n v="1"/>
  </r>
  <r>
    <x v="307"/>
    <s v="14.0_HMI &amp; OutsideInformation"/>
    <s v="14.10_DriverInformation-System"/>
    <s v="F0903"/>
    <s v="Indications, Error in Brake System"/>
    <s v="D"/>
    <s v="Chassis"/>
    <s v="Brake"/>
    <s v="Warning"/>
    <s v="Basic"/>
    <s v="Sensor"/>
    <s v="Brake Fluid Sensor"/>
    <s v="Brake Fluid Sensor - Warning"/>
    <m/>
    <m/>
    <s v="22;-9"/>
    <m/>
    <m/>
    <m/>
    <m/>
    <s v="Yes"/>
    <s v="Yes"/>
    <s v="Yes"/>
    <n v="1"/>
    <n v="1"/>
    <n v="1"/>
    <n v="1"/>
  </r>
  <r>
    <x v="307"/>
    <s v="32.0_Comfort &amp; Chassis"/>
    <s v="32.10_Braking-System"/>
    <s v="F0339"/>
    <s v="Brake, By Wire (Electro Mechanic)"/>
    <m/>
    <s v="Chassis"/>
    <s v="Brake"/>
    <s v="Warning"/>
    <s v="Basic"/>
    <s v="Sensor"/>
    <s v="Brake Fluid Sensor"/>
    <s v="Brake Fluid Sensor - Warning"/>
    <m/>
    <m/>
    <s v="22;-9"/>
    <m/>
    <m/>
    <m/>
    <m/>
    <s v="Yes"/>
    <s v="Yes"/>
    <s v="Yes"/>
    <n v="1"/>
    <n v="1"/>
    <n v="1"/>
    <n v="1"/>
  </r>
  <r>
    <x v="307"/>
    <s v="32.0_Comfort &amp; Chassis"/>
    <s v="32.10_Braking-System"/>
    <s v="F2000"/>
    <s v="ABS"/>
    <s v="D"/>
    <s v="Chassis"/>
    <s v="Brake"/>
    <s v="Warning"/>
    <s v="Basic"/>
    <s v="Sensor"/>
    <s v="Brake Fluid Sensor"/>
    <s v="Brake Fluid Sensor - Warning"/>
    <m/>
    <m/>
    <s v="22;-9"/>
    <m/>
    <m/>
    <m/>
    <m/>
    <s v="Yes"/>
    <s v="Yes"/>
    <s v="Yes"/>
    <n v="1"/>
    <n v="1"/>
    <n v="1"/>
    <n v="1"/>
  </r>
  <r>
    <x v="308"/>
    <s v="10.0_Comfort &amp; Exterior"/>
    <s v="10.30_OutsideLighting-System"/>
    <s v="F0002"/>
    <s v="Rear Lighting, Brake Light Adaptive"/>
    <m/>
    <s v="Body"/>
    <s v="External Illumination"/>
    <s v="High Mounted Brake Lights"/>
    <s v="Full LED"/>
    <s v="Actuator"/>
    <s v="High Mounted Brake Light Assy' Full LED"/>
    <s v="High Mounted Brake Light Assy' Full LED - High Mounted Brake Lights"/>
    <m/>
    <m/>
    <s v="85;0"/>
    <m/>
    <m/>
    <m/>
    <m/>
    <s v="No"/>
    <s v="Yes"/>
    <s v="Yes"/>
    <n v="0.6"/>
    <n v="0.2"/>
    <n v="0.6"/>
    <n v="0.2"/>
  </r>
  <r>
    <x v="308"/>
    <s v="10.0_Comfort &amp; Exterior"/>
    <s v="10.30_OutsideLighting-System"/>
    <s v="F0110"/>
    <s v="Rear Lighting, Taillamp"/>
    <s v="QM"/>
    <s v="Body"/>
    <s v="External Illumination"/>
    <s v="High Mounted Brake Lights"/>
    <s v="Full LED"/>
    <s v="Actuator"/>
    <s v="High Mounted Brake Light Assy' Full LED"/>
    <s v="High Mounted Brake Light Assy' Full LED - High Mounted Brake Lights"/>
    <m/>
    <m/>
    <s v="85;0"/>
    <m/>
    <m/>
    <m/>
    <m/>
    <s v="No"/>
    <s v="Yes"/>
    <s v="Yes"/>
    <n v="0.6"/>
    <n v="0.2"/>
    <n v="0.6"/>
    <n v="0.2"/>
  </r>
  <r>
    <x v="308"/>
    <s v="10.0_Comfort &amp; Exterior"/>
    <s v="10.30_OutsideLighting-System"/>
    <s v="F0230"/>
    <s v="Rear Lighting, Brake Light"/>
    <m/>
    <s v="Body"/>
    <s v="External Illumination"/>
    <s v="High Mounted Brake Lights"/>
    <s v="Full LED"/>
    <s v="Actuator"/>
    <s v="High Mounted Brake Light Assy' Full LED"/>
    <s v="High Mounted Brake Light Assy' Full LED - High Mounted Brake Lights"/>
    <m/>
    <m/>
    <s v="85;0"/>
    <m/>
    <m/>
    <m/>
    <m/>
    <s v="No"/>
    <s v="Yes"/>
    <s v="Yes"/>
    <n v="0.6"/>
    <n v="0.2"/>
    <n v="0.6"/>
    <n v="0.2"/>
  </r>
  <r>
    <x v="308"/>
    <s v="10.0_Comfort &amp; Exterior"/>
    <s v="10.30_OutsideLighting-System"/>
    <s v="F0409"/>
    <s v="Rear Lighting, CHMSL"/>
    <s v="B"/>
    <s v="Body"/>
    <s v="External Illumination"/>
    <s v="High Mounted Brake Lights"/>
    <s v="Full LED"/>
    <s v="Actuator"/>
    <s v="High Mounted Brake Light Assy' Full LED"/>
    <s v="High Mounted Brake Light Assy' Full LED - High Mounted Brake Lights"/>
    <m/>
    <m/>
    <s v="85;0"/>
    <m/>
    <m/>
    <m/>
    <m/>
    <s v="No"/>
    <s v="Yes"/>
    <s v="Yes"/>
    <n v="0.6"/>
    <n v="0.2"/>
    <n v="0.6"/>
    <n v="0.2"/>
  </r>
  <r>
    <x v="308"/>
    <s v="28.0_Powertrain &amp; Driveability"/>
    <s v="28.13_Recuperation&amp;OPD-System"/>
    <s v="F0294"/>
    <s v="Recuperation, Brake Lights"/>
    <m/>
    <s v="Body"/>
    <s v="External Illumination"/>
    <s v="High Mounted Brake Lights"/>
    <s v="Full LED"/>
    <s v="Actuator"/>
    <s v="High Mounted Brake Light Assy' Full LED"/>
    <s v="High Mounted Brake Light Assy' Full LED - High Mounted Brake Lights"/>
    <m/>
    <m/>
    <s v="85;0"/>
    <m/>
    <m/>
    <m/>
    <m/>
    <s v="No"/>
    <s v="Yes"/>
    <s v="Yes"/>
    <n v="0.6"/>
    <n v="0.2"/>
    <n v="0.6"/>
    <n v="0.2"/>
  </r>
  <r>
    <x v="309"/>
    <s v="14.0_HMI &amp; OutsideInformation"/>
    <s v="14.10_DriverInformation-System"/>
    <s v="F0904"/>
    <s v="Indications, Error in Airbag System"/>
    <m/>
    <s v="Chassis"/>
    <s v="Airbag"/>
    <s v="Crash Sensor"/>
    <s v="Side"/>
    <s v="Sensor"/>
    <s v="Side Impact Sensor R B-Pillar"/>
    <s v="Side Impact Sensor R B-Pillar - Crash Sensor"/>
    <m/>
    <m/>
    <s v="57;19"/>
    <m/>
    <m/>
    <m/>
    <m/>
    <s v="No"/>
    <s v="No"/>
    <s v="Yes"/>
    <n v="1"/>
    <n v="1"/>
    <n v="1"/>
    <n v="1"/>
  </r>
  <r>
    <x v="310"/>
    <s v="14.0_HMI &amp; OutsideInformation"/>
    <s v="14.10_DriverInformation-System"/>
    <s v="F0904"/>
    <s v="Indications, Error in Airbag System"/>
    <m/>
    <s v="Chassis"/>
    <s v="Airbag"/>
    <s v="Crash Sensor"/>
    <s v="Side"/>
    <s v="Sensor"/>
    <s v="Side Impact Sensor L B-Pillar"/>
    <s v="Side Impact Sensor L B-Pillar - Crash Sensor"/>
    <m/>
    <m/>
    <s v="57;-19"/>
    <m/>
    <m/>
    <m/>
    <m/>
    <s v="No"/>
    <s v="No"/>
    <s v="Yes"/>
    <n v="1"/>
    <n v="1"/>
    <n v="1"/>
    <n v="1"/>
  </r>
  <r>
    <x v="311"/>
    <s v="36.0_Infotainment &amp; Connectivity"/>
    <s v="36.34_V2S_System"/>
    <s v="F2018"/>
    <s v="Smartphone Application"/>
    <s v="QM"/>
    <s v="Infotainment"/>
    <s v="Communication"/>
    <s v="External Communication"/>
    <s v="Telephone"/>
    <s v="Actuator"/>
    <s v="Telephone Signal Amplifier"/>
    <s v="Telephone Signal Amplifier - External Communication"/>
    <m/>
    <m/>
    <m/>
    <m/>
    <m/>
    <m/>
    <m/>
    <m/>
    <m/>
    <m/>
    <m/>
    <m/>
    <m/>
    <m/>
  </r>
  <r>
    <x v="312"/>
    <s v="36.0_Infotainment &amp; Connectivity"/>
    <s v="36.12_Sound-System"/>
    <s v="F0406"/>
    <s v="Sound System Front, 2 Wideband Speaker "/>
    <s v="QM"/>
    <s v="Infotainment"/>
    <s v="Audio"/>
    <s v="Full Range Speaker"/>
    <s v="Basic Audio System"/>
    <s v="Loudspeaker"/>
    <s v="Loudspeaker - Door Front Left"/>
    <s v="Loudspeaker - Door Front Left - Full Range Speaker"/>
    <m/>
    <m/>
    <s v="36;-21"/>
    <s v="TE"/>
    <s v="157420-1"/>
    <s v="2 Pos. JPT 2,8mm Unsealed"/>
    <m/>
    <s v="Yes"/>
    <s v="No"/>
    <s v="No"/>
    <n v="0.25"/>
    <n v="0.35"/>
    <n v="0.4"/>
    <n v="0.3"/>
  </r>
  <r>
    <x v="313"/>
    <s v="13.0_Comfort &amp; Interior"/>
    <s v="13.31_AmbientLighting-System"/>
    <s v="F0x32"/>
    <s v="Ambient Lighting, Center Console"/>
    <s v="QM"/>
    <s v="Comfort"/>
    <s v="Internal Illumination"/>
    <s v="Console Illumination"/>
    <s v="with Console Illumination"/>
    <s v="Actuator"/>
    <s v="LED Lamp"/>
    <s v="LED Lamp - Console Illumination"/>
    <m/>
    <m/>
    <s v="35;2"/>
    <s v="TE"/>
    <s v="1379029-1"/>
    <s v="4 Pos. MQS 0,63mm Unsealed"/>
    <m/>
    <s v="No"/>
    <s v="Yes"/>
    <s v="Yes"/>
    <n v="0"/>
    <n v="0"/>
    <n v="1"/>
    <n v="1"/>
  </r>
  <r>
    <x v="314"/>
    <s v="13.0_Comfort &amp; Interior"/>
    <s v="13.31_AmbientLighting-System"/>
    <s v="F0x32"/>
    <s v="Ambient Lighting, Center Console"/>
    <s v="QM"/>
    <s v="Comfort"/>
    <s v="Internal Illumination"/>
    <s v="Console Illumination"/>
    <s v="with Console Illumination"/>
    <s v="Actuator"/>
    <s v="LED Lamp"/>
    <s v="LED Lamp - Console Illumination"/>
    <m/>
    <m/>
    <s v="35;-2"/>
    <s v="TE"/>
    <s v="1379029-1"/>
    <s v="4 Pos. MQS 0,63mm Unsealed"/>
    <m/>
    <s v="No"/>
    <s v="Yes"/>
    <s v="Yes"/>
    <n v="0"/>
    <n v="0"/>
    <n v="1"/>
    <n v="1"/>
  </r>
  <r>
    <x v="315"/>
    <s v="36.0_Infotainment &amp; Connectivity"/>
    <s v="36.12_Sound-System"/>
    <s v="F0408"/>
    <s v="Sound System Rear, 2 Wideband Speaker"/>
    <s v="QM"/>
    <s v="Infotainment"/>
    <s v="Audio"/>
    <s v="Full Range Speaker"/>
    <s v="Basic Audio System"/>
    <s v="Loudspeaker"/>
    <s v="Loudspeaker - Door Rear Left / Rear Seat Left Trim"/>
    <s v="Loudspeaker - Door Rear Left / Rear Seat Left Trim - Full Range Speaker"/>
    <m/>
    <m/>
    <s v="58;-22"/>
    <s v="TE"/>
    <s v="157420-1"/>
    <s v="2 Pos. JPT 2,8mm Unsealed"/>
    <m/>
    <s v="Yes"/>
    <s v="No"/>
    <s v="No"/>
    <n v="0.25"/>
    <n v="0.35"/>
    <n v="0.4"/>
    <n v="0.3"/>
  </r>
  <r>
    <x v="316"/>
    <m/>
    <m/>
    <m/>
    <m/>
    <s v=" "/>
    <s v="Powertrain"/>
    <s v="Engine"/>
    <s v="Intake Air Pressure"/>
    <s v="ICE"/>
    <s v="Sensor"/>
    <s v="Sensor"/>
    <s v="Sensor - Intake Air Pressure"/>
    <m/>
    <m/>
    <m/>
    <m/>
    <m/>
    <m/>
    <m/>
    <m/>
    <m/>
    <m/>
    <m/>
    <m/>
    <m/>
    <m/>
  </r>
  <r>
    <x v="317"/>
    <s v="80.0_Cross-Functions"/>
    <s v="80.84_Diagnosis&amp;Updates"/>
    <s v="F0252"/>
    <s v="Diagnosis, On Board (OBD)"/>
    <m/>
    <s v="System"/>
    <s v="Maintenance"/>
    <s v="Diagnose Service Port"/>
    <s v="Basic"/>
    <s v="Outlet"/>
    <s v="OBD Outlet"/>
    <s v="OBD Outlet - Diagnose Service Port"/>
    <m/>
    <m/>
    <s v="32;-15"/>
    <m/>
    <m/>
    <m/>
    <m/>
    <s v="Yes"/>
    <s v="Yes"/>
    <s v="Yes"/>
    <n v="0"/>
    <n v="0"/>
    <n v="0"/>
    <n v="0"/>
  </r>
  <r>
    <x v="318"/>
    <s v="39.0_HVAC &amp; Thermal"/>
    <s v="39.11_ComponentThermal-System"/>
    <s v="F0x70"/>
    <s v="Thermal Management for ICE Vehicles - Low Power Engines"/>
    <s v="TBD"/>
    <s v="Powertrain"/>
    <s v="Cooling/Heating"/>
    <s v="Radiator Ventilation"/>
    <s v="ICE"/>
    <s v="Actuator"/>
    <s v="Cooling Fan Motor 400W"/>
    <s v="Cooling Fan Motor 400W - Radiator Ventilation"/>
    <m/>
    <m/>
    <s v="-11;-5"/>
    <s v="TE"/>
    <s v="1897210-1"/>
    <s v="4 Pos. MCP 2,8mm / 6,3mm Sealed"/>
    <m/>
    <s v="Yes"/>
    <s v="No"/>
    <s v="No"/>
    <n v="0.8"/>
    <n v="0.3"/>
    <n v="0.6"/>
    <n v="0.4"/>
  </r>
  <r>
    <x v="319"/>
    <s v="39.0_HVAC &amp; Thermal"/>
    <s v="39.11_ComponentThermal-System"/>
    <s v="F0x71"/>
    <s v="Thermal Management for ICE Vehicles - Mid Power Engines"/>
    <s v="TBD"/>
    <s v="Powertrain"/>
    <s v="Cooling/Heating"/>
    <s v="Radiator Ventilation"/>
    <s v="ICE"/>
    <s v="Actuator"/>
    <s v="Cooling Fan Motor 600W"/>
    <s v="Cooling Fan Motor 600W - Radiator Ventilation"/>
    <m/>
    <m/>
    <s v="-11;-5"/>
    <s v="TE"/>
    <s v="1897210-1"/>
    <s v="4 Pos. MCP 2,8mm / 6,3mm Sealed"/>
    <m/>
    <s v="No"/>
    <s v="Yes"/>
    <s v="No"/>
    <n v="0.8"/>
    <n v="0.3"/>
    <n v="0.6"/>
    <n v="0.4"/>
  </r>
  <r>
    <x v="320"/>
    <s v="39.0_HVAC &amp; Thermal"/>
    <s v="39.10_PassengerThermal-System"/>
    <s v="F0x60"/>
    <s v="Parking Heating"/>
    <m/>
    <s v="Comfort"/>
    <s v="Parking Heating"/>
    <s v="Air Heating"/>
    <s v="ICE"/>
    <s v="Actuator"/>
    <s v="Parking Heater Pump"/>
    <s v="Parking Heater Pump - Air Heating"/>
    <m/>
    <m/>
    <s v="80;9"/>
    <s v="TE"/>
    <s v="1-1718624-1"/>
    <s v="2 Pos. MCP 2,8mm Sealed"/>
    <m/>
    <s v="No"/>
    <s v="No"/>
    <s v="Yes"/>
    <n v="0"/>
    <n v="0"/>
    <n v="0"/>
    <n v="0"/>
  </r>
  <r>
    <x v="321"/>
    <s v="14.0_HMI &amp; OutsideInformation"/>
    <s v="14.10_DriverInformation-System"/>
    <s v="F0904"/>
    <s v="Indications, Error in Airbag System"/>
    <m/>
    <s v="Chassis"/>
    <s v="Airbag"/>
    <s v="Crash Sensor"/>
    <s v="Side"/>
    <s v="Sensor"/>
    <s v="Side Impact Sensor FR"/>
    <s v="Side Impact Sensor FR - Crash Sensor"/>
    <m/>
    <m/>
    <s v="41;23"/>
    <m/>
    <m/>
    <m/>
    <m/>
    <s v="No"/>
    <s v="Yes"/>
    <s v="Yes"/>
    <n v="1"/>
    <n v="1"/>
    <n v="1"/>
    <n v="1"/>
  </r>
  <r>
    <x v="322"/>
    <s v="14.0_HMI &amp; OutsideInformation"/>
    <s v="14.10_DriverInformation-System"/>
    <s v="F0904"/>
    <s v="Indications, Error in Airbag System"/>
    <m/>
    <s v="Chassis"/>
    <s v="Airbag"/>
    <s v="Crash Sensor"/>
    <s v="Side"/>
    <s v="Sensor"/>
    <s v="Side Impact Sensor FL"/>
    <s v="Side Impact Sensor FL - Crash Sensor"/>
    <m/>
    <m/>
    <s v="41;-23"/>
    <m/>
    <m/>
    <m/>
    <m/>
    <s v="No"/>
    <s v="Yes"/>
    <s v="Yes"/>
    <n v="1"/>
    <n v="1"/>
    <n v="1"/>
    <n v="1"/>
  </r>
  <r>
    <x v="323"/>
    <s v="16.0_Comfort &amp; Safety"/>
    <s v="16.10_Airbag-System"/>
    <s v="F0612"/>
    <s v="Airbag Passenger, Single Stage"/>
    <s v="D"/>
    <s v="Chassis"/>
    <s v="Airbag"/>
    <s v="Pressure Sensor"/>
    <s v="Basic"/>
    <s v="Sensor"/>
    <s v="Pressure Sensor Passenger"/>
    <s v="Pressure Sensor Passenger - Pressure Sensor"/>
    <m/>
    <m/>
    <s v="1;19"/>
    <s v="TE"/>
    <s v="1-2299071-1"/>
    <s v="2 Pos. MCON 1,2mm Sealed"/>
    <m/>
    <s v="No"/>
    <s v="Yes"/>
    <s v="Yes"/>
    <n v="1"/>
    <n v="1"/>
    <n v="1"/>
    <n v="1"/>
  </r>
  <r>
    <x v="324"/>
    <s v="16.0_Comfort &amp; Safety"/>
    <s v="16.10_Airbag-System"/>
    <s v="F0011"/>
    <s v="Airbag Driver, Single Stage"/>
    <s v="D"/>
    <s v="Chassis"/>
    <s v="Airbag"/>
    <s v="Pressure Sensor"/>
    <s v="Basic"/>
    <s v="Sensor"/>
    <s v="Pressure Sensor Driver"/>
    <s v="Pressure Sensor Driver - Pressure Sensor"/>
    <m/>
    <m/>
    <s v="1;-19"/>
    <s v="TE"/>
    <s v="1-2299071-1"/>
    <s v="2 Pos. MCON 1,2mm Sealed"/>
    <m/>
    <s v="Yes"/>
    <s v="Yes"/>
    <s v="Yes"/>
    <n v="1"/>
    <n v="1"/>
    <n v="1"/>
    <n v="1"/>
  </r>
  <r>
    <x v="325"/>
    <s v="39.0_HVAC &amp; Thermal"/>
    <s v="39.10_PassengerThermal-System"/>
    <s v="F0016"/>
    <s v="HVAC-System, 3- / 4-Zones"/>
    <s v="QM"/>
    <s v="Comfort"/>
    <s v="Climate Control"/>
    <s v="Refrigerant Flow"/>
    <s v="with Air Conditioning"/>
    <s v="Sensor"/>
    <s v="Pressure Sensor"/>
    <s v="Pressure Sensor - Refrigerant Flow"/>
    <m/>
    <m/>
    <s v="16;14"/>
    <s v="TE"/>
    <s v="1-967642-1"/>
    <s v="3 Pos. MQS 0,63mm Sealed"/>
    <s v="Yes"/>
    <s v="No"/>
    <s v="No"/>
    <s v="Yes"/>
    <n v="1"/>
    <n v="1"/>
    <n v="1"/>
    <n v="1"/>
  </r>
  <r>
    <x v="325"/>
    <s v="39.0_HVAC &amp; Thermal"/>
    <s v="39.10_PassengerThermal-System"/>
    <s v="F0233"/>
    <s v="HVAC-Temperature, Automatic"/>
    <s v="QM"/>
    <s v="Comfort"/>
    <s v="Climate Control"/>
    <s v="Refrigerant Flow"/>
    <s v="with Air Conditioning"/>
    <s v="Sensor"/>
    <s v="Pressure Sensor"/>
    <s v="Pressure Sensor - Refrigerant Flow"/>
    <m/>
    <m/>
    <s v="16;14"/>
    <s v="TE"/>
    <s v="1-967642-1"/>
    <s v="3 Pos. MQS 0,63mm Sealed"/>
    <s v="Yes"/>
    <s v="No"/>
    <s v="Yes"/>
    <s v="Yes"/>
    <n v="1"/>
    <n v="1"/>
    <n v="1"/>
    <n v="1"/>
  </r>
  <r>
    <x v="325"/>
    <s v="39.0_HVAC &amp; Thermal"/>
    <s v="39.10_PassengerThermal-System"/>
    <s v="F0234"/>
    <s v="HVAC-Blower, Automatic"/>
    <s v="QM"/>
    <s v="Comfort"/>
    <s v="Climate Control"/>
    <s v="Refrigerant Flow"/>
    <s v="with Air Conditioning"/>
    <s v="Sensor"/>
    <s v="Pressure Sensor"/>
    <s v="Pressure Sensor - Refrigerant Flow"/>
    <m/>
    <m/>
    <s v="16;14"/>
    <s v="TE"/>
    <s v="1-967642-1"/>
    <s v="3 Pos. MQS 0,63mm Sealed"/>
    <s v="Yes"/>
    <s v="No"/>
    <s v="Yes"/>
    <s v="Yes"/>
    <n v="1"/>
    <n v="1"/>
    <n v="1"/>
    <n v="1"/>
  </r>
  <r>
    <x v="325"/>
    <s v="39.0_HVAC &amp; Thermal"/>
    <s v="39.10_PassengerThermal-System"/>
    <s v="F0483"/>
    <s v="HVAC-System, Fully Manual"/>
    <s v="QM"/>
    <s v="Comfort"/>
    <s v="Climate Control"/>
    <s v="Refrigerant Flow"/>
    <s v="with Air Conditioning"/>
    <s v="Sensor"/>
    <s v="Pressure Sensor"/>
    <s v="Pressure Sensor - Refrigerant Flow"/>
    <m/>
    <m/>
    <s v="16;14"/>
    <s v="TE"/>
    <s v="1-967642-1"/>
    <s v="3 Pos. MQS 0,63mm Sealed"/>
    <s v="Yes"/>
    <s v="Yes"/>
    <s v="No"/>
    <s v="No"/>
    <n v="1"/>
    <n v="1"/>
    <n v="1"/>
    <n v="1"/>
  </r>
  <r>
    <x v="325"/>
    <s v="39.0_HVAC &amp; Thermal"/>
    <s v="39.10_PassengerThermal-System"/>
    <s v="F0721"/>
    <s v="HVAC-System, Rear Temperature Control"/>
    <s v="QM"/>
    <s v="Comfort"/>
    <s v="Climate Control"/>
    <s v="Refrigerant Flow"/>
    <s v="with Air Conditioning"/>
    <s v="Sensor"/>
    <s v="Pressure Sensor"/>
    <s v="Pressure Sensor - Refrigerant Flow"/>
    <m/>
    <m/>
    <s v="16;14"/>
    <s v="TE"/>
    <s v="1-967642-1"/>
    <s v="3 Pos. MQS 0,63mm Sealed"/>
    <s v="Yes"/>
    <s v="No"/>
    <s v="No"/>
    <s v="Yes"/>
    <n v="1"/>
    <n v="1"/>
    <n v="1"/>
    <n v="1"/>
  </r>
  <r>
    <x v="325"/>
    <s v="39.0_HVAC &amp; Thermal"/>
    <s v="39.10_PassengerThermal-System"/>
    <s v="F0722"/>
    <s v="HVAC-System, Rear HVAC Off"/>
    <s v="QM"/>
    <s v="Comfort"/>
    <s v="Climate Control"/>
    <s v="Refrigerant Flow"/>
    <s v="with Air Conditioning"/>
    <s v="Sensor"/>
    <s v="Pressure Sensor"/>
    <s v="Pressure Sensor - Refrigerant Flow"/>
    <m/>
    <m/>
    <s v="16;14"/>
    <s v="TE"/>
    <s v="1-967642-1"/>
    <s v="3 Pos. MQS 0,63mm Sealed"/>
    <s v="Yes"/>
    <s v="No"/>
    <s v="No"/>
    <s v="Yes"/>
    <n v="1"/>
    <n v="1"/>
    <n v="1"/>
    <n v="1"/>
  </r>
  <r>
    <x v="325"/>
    <s v="39.0_HVAC &amp; Thermal"/>
    <s v="39.10_PassengerThermal-System"/>
    <s v="F0x17"/>
    <s v="HVAC-System, 2-Zones Front"/>
    <s v="QM"/>
    <s v="Comfort"/>
    <s v="Climate Control"/>
    <s v="Refrigerant Flow"/>
    <s v="with Air Conditioning"/>
    <s v="Sensor"/>
    <s v="Pressure Sensor"/>
    <s v="Pressure Sensor - Refrigerant Flow"/>
    <m/>
    <m/>
    <s v="16;14"/>
    <s v="TE"/>
    <s v="1-967642-1"/>
    <s v="3 Pos. MQS 0,63mm Sealed"/>
    <s v="Yes"/>
    <s v="No"/>
    <s v="Yes"/>
    <s v="No"/>
    <n v="1"/>
    <n v="1"/>
    <n v="1"/>
    <n v="1"/>
  </r>
  <r>
    <x v="326"/>
    <s v="14.0_HMI &amp; OutsideInformation"/>
    <s v="14.10_DriverInformation-System"/>
    <s v="F0904"/>
    <s v="Indications, Error in Airbag System"/>
    <m/>
    <s v="Chassis"/>
    <s v="Airbag"/>
    <s v="Crash Sensor"/>
    <s v="Basic"/>
    <s v="Sensor"/>
    <s v="Front Impact Sensor Front Mid"/>
    <s v="Front Impact Sensor Front Mid - Crash Sensor"/>
    <m/>
    <m/>
    <s v="-14;8"/>
    <s v="TE"/>
    <s v="1-967644-1"/>
    <s v="2 Pos. MQS 0,63mm Sealed"/>
    <m/>
    <s v="No"/>
    <s v="Yes"/>
    <s v="Yes"/>
    <n v="1"/>
    <n v="1"/>
    <n v="1"/>
    <n v="1"/>
  </r>
  <r>
    <x v="326"/>
    <s v="16.0_Comfort &amp; Safety"/>
    <s v="16.12_CrashHandling-System"/>
    <s v="F0x16"/>
    <s v="Crashdetection, Pedestrian"/>
    <m/>
    <s v="Chassis"/>
    <s v="Airbag"/>
    <s v="Crash Sensor"/>
    <s v="Basic"/>
    <s v="Sensor"/>
    <s v="Front Impact Sensor Front Mid"/>
    <s v="Front Impact Sensor Front Mid - Crash Sensor"/>
    <m/>
    <m/>
    <s v="-14;8"/>
    <s v="TE"/>
    <s v="1-967644-1"/>
    <s v="2 Pos. MQS 0,63mm Sealed"/>
    <m/>
    <s v="No"/>
    <s v="Yes"/>
    <s v="Yes"/>
    <n v="1"/>
    <n v="1"/>
    <n v="1"/>
    <n v="1"/>
  </r>
  <r>
    <x v="327"/>
    <s v="36.0_Infotainment &amp; Connectivity"/>
    <s v="36.11_MediaPlayback-System"/>
    <s v="Fx100"/>
    <s v="TV Receiver"/>
    <m/>
    <s v="Infotainment"/>
    <s v="Video"/>
    <s v="Television Receiving"/>
    <s v="with TV Reception"/>
    <s v="Actuator"/>
    <s v="TV Receiver"/>
    <s v="TV Receiver - Television Receiving"/>
    <m/>
    <m/>
    <s v="94;18"/>
    <s v="TE"/>
    <s v="2312106-1"/>
    <s v="6 Pos. NanoMQS 0,5mm Unsealed"/>
    <m/>
    <s v="No"/>
    <s v="No"/>
    <s v="Yes"/>
    <n v="1"/>
    <n v="1"/>
    <n v="1"/>
    <n v="1"/>
  </r>
  <r>
    <x v="328"/>
    <s v="36.0_Infotainment &amp; Connectivity"/>
    <s v="36.11_MediaPlayback-System"/>
    <s v="Fx100"/>
    <s v="TV Receiver"/>
    <m/>
    <s v="Infotainment"/>
    <s v="Video"/>
    <s v="Television Receiving"/>
    <s v="with TV Reception"/>
    <s v="Actuator"/>
    <s v="TV Receiver"/>
    <s v="TV Receiver - Television Receiving"/>
    <m/>
    <m/>
    <s v="94;18"/>
    <m/>
    <m/>
    <m/>
    <m/>
    <s v="No"/>
    <s v="No"/>
    <s v="Yes"/>
    <n v="1"/>
    <n v="1"/>
    <n v="1"/>
    <n v="1"/>
  </r>
  <r>
    <x v="329"/>
    <s v="36.0_Infotainment &amp; Connectivity"/>
    <s v="36.11_MediaPlayback-System"/>
    <s v="Fx100"/>
    <s v="TV Receiver"/>
    <m/>
    <s v="Infotainment"/>
    <s v="Video"/>
    <s v="Television Receiving"/>
    <s v="with TV Reception"/>
    <s v="Antenna"/>
    <s v="TV Antenna 1"/>
    <s v="TV Antenna 1 - Television Receiving"/>
    <m/>
    <m/>
    <s v="96;-15"/>
    <s v="TE"/>
    <s v="1452584-1"/>
    <s v="1 Pos. Fakra II Unsealed"/>
    <m/>
    <s v="No"/>
    <s v="No"/>
    <s v="Yes"/>
    <n v="1"/>
    <n v="1"/>
    <n v="1"/>
    <n v="1"/>
  </r>
  <r>
    <x v="330"/>
    <s v="36.0_Infotainment &amp; Connectivity"/>
    <s v="36.11_MediaPlayback-System"/>
    <s v="Fx100"/>
    <s v="TV Receiver"/>
    <m/>
    <s v="Infotainment"/>
    <s v="Video"/>
    <s v="Television Receiving"/>
    <s v="with TV Reception"/>
    <s v="Antenna"/>
    <s v="TV Antenna 2"/>
    <s v="TV Antenna 2 - Television Receiving"/>
    <m/>
    <m/>
    <s v="85;15"/>
    <s v="TE"/>
    <s v="1452584-1"/>
    <s v="1 Pos. Fakra II Unsealed"/>
    <m/>
    <s v="No"/>
    <s v="No"/>
    <s v="Yes"/>
    <n v="1"/>
    <n v="1"/>
    <n v="1"/>
    <n v="1"/>
  </r>
  <r>
    <x v="331"/>
    <s v="36.0_Infotainment &amp; Connectivity"/>
    <s v="36.11_MediaPlayback-System"/>
    <s v="Fx100"/>
    <s v="TV Receiver"/>
    <m/>
    <s v="Infotainment"/>
    <s v="Video"/>
    <s v="Television Receiving"/>
    <s v="with TV Reception"/>
    <s v="Antenna"/>
    <s v="TV Antenna 3"/>
    <s v="TV Antenna 3 - Television Receiving"/>
    <m/>
    <m/>
    <s v="96;15"/>
    <s v="TE"/>
    <s v="1452584-1"/>
    <s v="1 Pos. Fakra II Unsealed"/>
    <m/>
    <s v="No"/>
    <s v="No"/>
    <s v="Yes"/>
    <n v="1"/>
    <n v="1"/>
    <n v="1"/>
    <n v="1"/>
  </r>
  <r>
    <x v="332"/>
    <s v="13.0_Comfort &amp; Interior"/>
    <s v="13.23_AntiGlareAndDimming-System"/>
    <s v="F0022"/>
    <s v="Electrochromatic (EC), Rear View Mirror"/>
    <s v="QM"/>
    <s v="Comfort"/>
    <s v="Internal Rear View Mirror"/>
    <s v="Rear View"/>
    <s v="Dimmable"/>
    <s v="Actuator"/>
    <s v="LCD"/>
    <s v="LCD - Rear View"/>
    <m/>
    <m/>
    <s v="40;0"/>
    <m/>
    <m/>
    <m/>
    <m/>
    <s v="No"/>
    <s v="Yes"/>
    <s v="Yes"/>
    <n v="0.5"/>
    <n v="0.5"/>
    <n v="1"/>
    <n v="1"/>
  </r>
  <r>
    <x v="333"/>
    <s v="10.0_Comfort &amp; Exterior"/>
    <s v="10.11_VehicleAccess-System"/>
    <s v="F0223"/>
    <s v="Electrical Steering Column Lock (ESCL)"/>
    <s v="D"/>
    <s v="Comfort"/>
    <s v="Central Locking"/>
    <s v="Steering Locking"/>
    <s v="Keyless"/>
    <s v="Actuator"/>
    <s v="Solenoid"/>
    <s v="Solenoid - Steering Locking"/>
    <m/>
    <m/>
    <s v="32;-5"/>
    <s v="TE"/>
    <s v="2219501-2"/>
    <s v="4 Pos. Multilock 1,5mm Unsealed"/>
    <m/>
    <s v="No"/>
    <s v="Yes"/>
    <s v="Yes"/>
    <n v="1"/>
    <n v="1"/>
    <n v="1"/>
    <n v="1"/>
  </r>
  <r>
    <x v="334"/>
    <s v="32.0_Comfort &amp; Chassis"/>
    <s v="32.10_Braking-System"/>
    <s v="F2007"/>
    <s v="Electric Park Brake"/>
    <m/>
    <s v="Chassis"/>
    <s v="Brake"/>
    <s v="Electric Parking Brake"/>
    <s v="with Electric Parking Brake"/>
    <s v="Switch"/>
    <s v="Signal Switch - User Selector"/>
    <s v="Signal Switch - User Selector - Electric Parking Brake"/>
    <m/>
    <m/>
    <s v="50;-1"/>
    <s v="TE"/>
    <s v="1-1670459-2"/>
    <s v="8 Pos. MQS 0,63mm Unsealed"/>
    <m/>
    <s v="No"/>
    <s v="Yes"/>
    <s v="Yes"/>
    <n v="1"/>
    <n v="1"/>
    <n v="1"/>
    <n v="1"/>
  </r>
  <r>
    <x v="335"/>
    <s v="13.0_Comfort &amp; Interior"/>
    <s v="13.31_AmbientLighting-System"/>
    <s v="F0x33"/>
    <s v="Ambient Lighting, Door Sill"/>
    <s v="QM"/>
    <s v="Comfort"/>
    <s v="Internal Illumination"/>
    <s v="Door Sill Illumination FR"/>
    <s v="with Door Sill Illumination"/>
    <s v="Actuator"/>
    <s v="LED Lamp"/>
    <s v="LED Lamp - Door Sill Illumination FR"/>
    <m/>
    <m/>
    <s v="31;19"/>
    <s v="TE"/>
    <s v="1379029-1"/>
    <s v="4 Pos. MQS 0,63mm Unsealed"/>
    <m/>
    <s v="No"/>
    <s v="Yes"/>
    <s v="Yes"/>
    <n v="0"/>
    <n v="0"/>
    <n v="0.05"/>
    <n v="0.05"/>
  </r>
  <r>
    <x v="336"/>
    <s v="13.0_Comfort &amp; Interior"/>
    <s v="13.31_AmbientLighting-System"/>
    <s v="F0x33"/>
    <s v="Ambient Lighting, Door Sill"/>
    <s v="QM"/>
    <s v="Comfort"/>
    <s v="Internal Illumination"/>
    <s v="Door Sill Illumination FL"/>
    <s v="with Door Sill Illumination"/>
    <s v="Actuator"/>
    <s v="LED Lamp"/>
    <s v="LED Lamp - Door Sill Illumination FL"/>
    <m/>
    <m/>
    <s v="31;-19"/>
    <s v="TE"/>
    <s v="1379029-1"/>
    <s v="4 Pos. MQS 0,63mm Unsealed"/>
    <m/>
    <s v="No"/>
    <s v="Yes"/>
    <s v="Yes"/>
    <n v="0"/>
    <n v="0"/>
    <n v="0.05"/>
    <n v="0.05"/>
  </r>
  <r>
    <x v="337"/>
    <s v="13.0_Comfort &amp; Interior"/>
    <s v="13.31_AmbientLighting-System"/>
    <s v="F0x33"/>
    <s v="Ambient Lighting, Door Sill"/>
    <s v="QM"/>
    <s v="Comfort"/>
    <s v="Internal Illumination"/>
    <s v="Door Sill Illumination RL"/>
    <s v="with Door Sill Illumination"/>
    <s v="Actuator"/>
    <s v="LED Lamp"/>
    <s v="LED Lamp - Door Sill Illumination RL"/>
    <m/>
    <m/>
    <s v="59;-19"/>
    <s v="TE"/>
    <s v="1379029-1"/>
    <s v="4 Pos. MQS 0,63mm Unsealed"/>
    <m/>
    <s v="No"/>
    <s v="No"/>
    <s v="Yes"/>
    <n v="0"/>
    <n v="0"/>
    <n v="0.05"/>
    <n v="0.05"/>
  </r>
  <r>
    <x v="338"/>
    <s v="13.0_Comfort &amp; Interior"/>
    <s v="13.31_AmbientLighting-System"/>
    <s v="F0x33"/>
    <s v="Ambient Lighting, Door Sill"/>
    <s v="QM"/>
    <s v="Comfort"/>
    <s v="Internal Illumination"/>
    <s v="Door Sill Illumination RR"/>
    <s v="with Door Sill Illumination"/>
    <s v="Actuator"/>
    <s v="LED Lamp"/>
    <s v="LED Lamp - Door Sill Illumination RR"/>
    <m/>
    <m/>
    <s v="59;19"/>
    <s v="TE"/>
    <s v="1379029-1"/>
    <s v="4 Pos. MQS 0,63mm Unsealed"/>
    <m/>
    <s v="No"/>
    <s v="No"/>
    <s v="Yes"/>
    <n v="0"/>
    <n v="0"/>
    <n v="0.05"/>
    <n v="0.05"/>
  </r>
  <r>
    <x v="339"/>
    <s v="39.0_HVAC &amp; Thermal"/>
    <s v="39.10_PassengerThermal-System"/>
    <s v="F0x60"/>
    <s v="Parking Heating"/>
    <m/>
    <s v="Comfort"/>
    <s v="Parking Heating"/>
    <s v="Command Receiving"/>
    <s v="ICE"/>
    <s v="Antenna"/>
    <s v="Parking Heater Antenna"/>
    <s v="Parking Heater Antenna - Command Receiving"/>
    <m/>
    <m/>
    <s v="83;0"/>
    <s v="TE"/>
    <s v="1452584-1"/>
    <s v="1 Pos. Fakra II Unsealed"/>
    <m/>
    <s v="No"/>
    <s v="No"/>
    <s v="Yes"/>
    <n v="1"/>
    <n v="1"/>
    <n v="1"/>
    <n v="1"/>
  </r>
  <r>
    <x v="340"/>
    <s v="14.0_HMI &amp; OutsideInformation"/>
    <s v="14.11_OutsideInformation-System"/>
    <s v="F0063"/>
    <s v="Horn, Single Tone"/>
    <s v="QM"/>
    <s v="Body"/>
    <s v="Horn"/>
    <s v="Warning"/>
    <s v="Basic"/>
    <s v="Actuator"/>
    <s v="High Tone Horn"/>
    <s v="High Tone Horn - Warning"/>
    <m/>
    <m/>
    <s v="-11;12"/>
    <s v="TE"/>
    <s v="1-1355200-1"/>
    <s v="2 Pos. MCP 2,8mm Sealed"/>
    <s v="No"/>
    <s v="Yes"/>
    <s v="No"/>
    <s v="No"/>
    <n v="6.6666666666666671E-3"/>
    <n v="0"/>
    <n v="6.6666666666666671E-3"/>
    <n v="0"/>
  </r>
  <r>
    <x v="341"/>
    <s v="14.0_HMI &amp; OutsideInformation"/>
    <s v="14.11_OutsideInformation-System"/>
    <s v="F0062"/>
    <s v="Horn, Dual Tone"/>
    <s v="QM"/>
    <s v="Body"/>
    <s v="Horn"/>
    <s v="Warning"/>
    <s v="Basic"/>
    <s v="Actuator"/>
    <s v="High Tone Horn"/>
    <s v="High Tone Horn - Warning"/>
    <m/>
    <m/>
    <s v="-11;12"/>
    <s v="TE"/>
    <s v="1-1355200-1"/>
    <s v="2 Pos. MCP 2,8mm Sealed"/>
    <s v="No"/>
    <s v="No"/>
    <s v="Yes"/>
    <s v="Yes"/>
    <n v="6.6666666666666671E-3"/>
    <n v="0"/>
    <n v="6.6666666666666671E-3"/>
    <n v="0"/>
  </r>
  <r>
    <x v="342"/>
    <s v="28.0_Powertrain &amp; Driveability"/>
    <s v="28.12_DriveStrategy&amp;Driveability"/>
    <s v="F0x12"/>
    <s v="Acceleration and Deceleration, Pedals Functionality"/>
    <m/>
    <s v="Powertrain"/>
    <s v="Engine"/>
    <s v="Vehicle Acceleration and Deceleration"/>
    <m/>
    <s v="Sensor"/>
    <s v="Accelerator Pedal"/>
    <s v="Accelerator Pedal - Vehicle Acceleration and Deceleration"/>
    <m/>
    <m/>
    <s v="28;-6"/>
    <s v="TE"/>
    <s v="1-967616-1"/>
    <s v="6 Pos. MQS 0,63mm Sealed"/>
    <m/>
    <s v="Yes"/>
    <s v="Yes"/>
    <s v="Yes"/>
    <n v="1"/>
    <n v="1"/>
    <n v="1"/>
    <n v="1"/>
  </r>
  <r>
    <x v="343"/>
    <s v="14.0_HMI &amp; OutsideInformation"/>
    <s v="14.11_OutsideInformation-System"/>
    <s v="F0062"/>
    <s v="Horn, Dual Tone"/>
    <s v="QM"/>
    <s v="Body"/>
    <s v="Horn"/>
    <s v="Warning"/>
    <s v="Basic"/>
    <s v="Actuator"/>
    <s v="Low Tone Horn"/>
    <s v="Low Tone Horn - Warning"/>
    <m/>
    <m/>
    <s v="-11;-12"/>
    <s v="TE"/>
    <s v="1-1355200-1"/>
    <s v="2 Pos. MCP 2,8mm Sealed"/>
    <s v="No"/>
    <s v="No"/>
    <s v="Yes"/>
    <s v="Yes"/>
    <n v="6.6666666666666671E-3"/>
    <n v="0"/>
    <n v="6.6666666666666671E-3"/>
    <n v="0"/>
  </r>
  <r>
    <x v="344"/>
    <s v="80.0_Cross-Functions"/>
    <s v="80.83_Communication&amp;NM-Management"/>
    <s v="F0792"/>
    <s v="Network Management"/>
    <m/>
    <s v="System"/>
    <s v="Cross-Domain"/>
    <s v="Service and Maintenance"/>
    <s v="Basic"/>
    <s v="Outlet"/>
    <s v="Diagnostic Interface for Databus"/>
    <s v="Diagnostic Interface for Databus - Service and Maintenance"/>
    <m/>
    <m/>
    <m/>
    <m/>
    <m/>
    <m/>
    <m/>
    <m/>
    <m/>
    <m/>
    <n v="1"/>
    <n v="1"/>
    <n v="1"/>
    <n v="1"/>
  </r>
  <r>
    <x v="345"/>
    <s v="10.0_Comfort &amp; Exterior"/>
    <s v="10.10_CentralLocking-System"/>
    <s v="F0646"/>
    <s v="Central Door Lock, Rear"/>
    <s v="QM"/>
    <s v="Comfort"/>
    <s v="Central Locking"/>
    <s v="Tailgate Open"/>
    <s v="with Central Locking"/>
    <s v="Switch"/>
    <s v="Tailgate Lock Cylinder Unlocking Button"/>
    <s v="Tailgate Lock Cylinder Unlocking Button - Tailgate Open"/>
    <m/>
    <m/>
    <s v="112;0"/>
    <m/>
    <m/>
    <m/>
    <m/>
    <s v="No"/>
    <s v="Yes"/>
    <s v="Yes"/>
    <n v="1.6666666666666668E-3"/>
    <n v="1.6666666666666668E-3"/>
    <n v="1.6666666666666668E-3"/>
    <n v="1.6666666666666668E-3"/>
  </r>
  <r>
    <x v="346"/>
    <s v="13.0_Comfort &amp; Interior"/>
    <s v="13.25_AdditionalComfort-System"/>
    <s v="F0181"/>
    <s v="Garage Door Opening"/>
    <s v="QM"/>
    <s v="Comfort"/>
    <s v="Garage Opener"/>
    <s v="Command Emmiting"/>
    <s v="with Garage Opener"/>
    <s v="Antenna"/>
    <s v="Garage Opener Intern Antenna"/>
    <s v="Garage Opener Intern Antenna - Command Emmiting"/>
    <m/>
    <m/>
    <s v="82;0"/>
    <s v="TE"/>
    <s v="1452584-1"/>
    <s v="1 Pos. Fakra II Unsealed"/>
    <m/>
    <s v="No"/>
    <s v="No"/>
    <s v="Yes"/>
    <n v="1"/>
    <n v="1"/>
    <n v="1"/>
    <n v="1"/>
  </r>
  <r>
    <x v="347"/>
    <s v="16.0_Comfort &amp; Safety"/>
    <s v="16.20_Restraint-System"/>
    <s v="F0891"/>
    <s v="Seatbelt Reminder, Passenger"/>
    <s v="QM"/>
    <s v="Chassis"/>
    <s v="Airbag"/>
    <s v="Seat Belt"/>
    <s v="Basic"/>
    <s v="Sensor"/>
    <s v="Seat Belt Sensor 1st Row R"/>
    <s v="Seat Belt Sensor 1st Row R - Seat Belt"/>
    <m/>
    <m/>
    <s v="60;1"/>
    <s v="TE"/>
    <s v="1-1718333-1"/>
    <s v="2 Pos. MQS 0,63mm Unsealed"/>
    <s v="No"/>
    <s v="Yes"/>
    <s v="Yes"/>
    <s v="Yes"/>
    <n v="1"/>
    <n v="1"/>
    <n v="1"/>
    <n v="1"/>
  </r>
  <r>
    <x v="348"/>
    <s v="16.0_Comfort &amp; Safety"/>
    <s v="16.20_Restraint-System"/>
    <s v="F0093"/>
    <s v="Seatbelt Reminder, Driver"/>
    <s v="QM"/>
    <s v="Chassis"/>
    <s v="Airbag"/>
    <s v="Seat Belt"/>
    <s v="Basic"/>
    <s v="Sensor"/>
    <s v="Seat Belt Sensor 1st Row L"/>
    <s v="Seat Belt Sensor 1st Row L - Seat Belt"/>
    <m/>
    <m/>
    <s v="60;-1"/>
    <s v="TE"/>
    <s v="1-929170-4"/>
    <s v="4 Pos. MQS 0,63mm Unsealed"/>
    <s v="No"/>
    <s v="No"/>
    <s v="No"/>
    <s v="Yes"/>
    <n v="1"/>
    <n v="1"/>
    <n v="1"/>
    <n v="1"/>
  </r>
  <r>
    <x v="349"/>
    <s v="16.0_Comfort &amp; Safety"/>
    <s v="16.20_Restraint-System"/>
    <s v="F0051"/>
    <s v="Belt Tensioner Front, With Belt Load Limiter"/>
    <s v="D"/>
    <s v="Chassis"/>
    <s v="Airbag"/>
    <s v="Retractor"/>
    <s v="Basic"/>
    <s v="Igniter"/>
    <s v="Retractor 1st Row R"/>
    <s v="Retractor 1st Row R - Retractor"/>
    <m/>
    <m/>
    <s v="56;19"/>
    <m/>
    <m/>
    <m/>
    <m/>
    <s v="Yes"/>
    <s v="Yes"/>
    <s v="Yes"/>
    <n v="0"/>
    <n v="0"/>
    <n v="0"/>
    <n v="0"/>
  </r>
  <r>
    <x v="350"/>
    <s v="16.0_Comfort &amp; Safety"/>
    <s v="16.20_Restraint-System"/>
    <s v="F0051"/>
    <s v="Belt Tensioner Front, With Belt Load Limiter"/>
    <s v="D"/>
    <s v="Chassis"/>
    <s v="Airbag"/>
    <s v="Retractor"/>
    <s v="Basic"/>
    <s v="Igniter"/>
    <s v="Retractor 1st Row L"/>
    <s v="Retractor 1st Row L - Retractor"/>
    <m/>
    <m/>
    <s v="56;-19"/>
    <m/>
    <m/>
    <m/>
    <m/>
    <s v="Yes"/>
    <s v="Yes"/>
    <s v="Yes"/>
    <n v="0"/>
    <n v="0"/>
    <n v="0"/>
    <n v="0"/>
  </r>
  <r>
    <x v="351"/>
    <s v="36.0_Infotainment &amp; Connectivity"/>
    <s v="36.34_V2S_System"/>
    <s v="F0319"/>
    <s v="Android Auto, Basis"/>
    <m/>
    <s v="Infotainment"/>
    <s v="Communication"/>
    <s v="Personal Device Charging and Connecting"/>
    <s v="Telephone"/>
    <s v="Actuator"/>
    <s v="Charger for Mobile Devices"/>
    <s v="Charger for Mobile Devices - Personal Device Charging and Connecting"/>
    <m/>
    <m/>
    <s v="36;0"/>
    <m/>
    <m/>
    <m/>
    <m/>
    <s v="No"/>
    <s v="No"/>
    <s v="No"/>
    <n v="1"/>
    <n v="1"/>
    <n v="1"/>
    <n v="1"/>
  </r>
  <r>
    <x v="351"/>
    <s v="36.0_Infotainment &amp; Connectivity"/>
    <s v="36.34_V2S_System"/>
    <s v="F0561"/>
    <s v="Apple Car Play, Wireless"/>
    <m/>
    <s v="Infotainment"/>
    <s v="Communication"/>
    <s v="Personal Device Charging and Connecting"/>
    <s v="Telephone"/>
    <s v="Actuator"/>
    <s v="Charger for Mobile Devices"/>
    <s v="Charger for Mobile Devices - Personal Device Charging and Connecting"/>
    <m/>
    <m/>
    <s v="36;0"/>
    <m/>
    <m/>
    <m/>
    <m/>
    <s v="No"/>
    <s v="No"/>
    <s v="No"/>
    <n v="1"/>
    <n v="1"/>
    <n v="1"/>
    <n v="1"/>
  </r>
  <r>
    <x v="352"/>
    <s v="10.0_Comfort &amp; Exterior"/>
    <s v="10.30_OutsideLighting-System"/>
    <s v="F0002"/>
    <s v="Rear Lighting, Brake Light Adaptive"/>
    <s v="B"/>
    <s v="Body"/>
    <s v="External Illumination"/>
    <s v="Rear Lamps L"/>
    <s v="LED - Dynamic Blinker"/>
    <s v="Actuator"/>
    <s v="Taillamp Assy' LED Dynamic Blinker Left - Tailgate"/>
    <s v="Taillamp Assy' LED Dynamic Blinker Left - Tailgate - Rear Lamps L"/>
    <m/>
    <m/>
    <s v="112;-12"/>
    <m/>
    <m/>
    <m/>
    <m/>
    <s v="No"/>
    <s v="No"/>
    <s v="Yes"/>
    <n v="0.66"/>
    <n v="0.52"/>
    <n v="0.66"/>
    <n v="0.52"/>
  </r>
  <r>
    <x v="352"/>
    <s v="10.0_Comfort &amp; Exterior"/>
    <s v="10.30_OutsideLighting-System"/>
    <s v="F0028"/>
    <s v="Light Scenario, Comfort Direction Indication"/>
    <s v="B"/>
    <s v="Body"/>
    <s v="External Illumination"/>
    <s v="Rear Lamps L"/>
    <s v="LED - Dynamic Blinker"/>
    <s v="Actuator"/>
    <s v="Taillamp Assy' LED Dynamic Blinker Left - Tailgate"/>
    <s v="Taillamp Assy' LED Dynamic Blinker Left - Tailgate - Rear Lamps L"/>
    <m/>
    <m/>
    <s v="112;-12"/>
    <m/>
    <m/>
    <m/>
    <m/>
    <s v="No"/>
    <s v="No"/>
    <s v="Yes"/>
    <n v="0.66"/>
    <n v="0.52"/>
    <n v="0.66"/>
    <n v="0.52"/>
  </r>
  <r>
    <x v="352"/>
    <s v="10.0_Comfort &amp; Exterior"/>
    <s v="10.30_OutsideLighting-System"/>
    <s v="F0091"/>
    <s v="Rear Lighting, Reverse Light"/>
    <s v="QM"/>
    <s v="Body"/>
    <s v="External Illumination"/>
    <s v="Rear Lamps L"/>
    <s v="LED - Dynamic Blinker"/>
    <s v="Actuator"/>
    <s v="Taillamp Assy' LED Dynamic Blinker Left - Tailgate"/>
    <s v="Taillamp Assy' LED Dynamic Blinker Left - Tailgate - Rear Lamps L"/>
    <m/>
    <m/>
    <s v="112;-12"/>
    <m/>
    <m/>
    <m/>
    <m/>
    <s v="No"/>
    <s v="No"/>
    <s v="Yes"/>
    <n v="0.66"/>
    <n v="0.52"/>
    <n v="0.66"/>
    <n v="0.52"/>
  </r>
  <r>
    <x v="352"/>
    <s v="10.0_Comfort &amp; Exterior"/>
    <s v="10.30_OutsideLighting-System"/>
    <s v="F0110"/>
    <s v="Rear Lighting, Taillamp"/>
    <s v="QM"/>
    <s v="Body"/>
    <s v="External Illumination"/>
    <s v="Rear Lamps L"/>
    <s v="LED - Dynamic Blinker"/>
    <s v="Actuator"/>
    <s v="Taillamp Assy' LED Dynamic Blinker Left - Tailgate"/>
    <s v="Taillamp Assy' LED Dynamic Blinker Left - Tailgate - Rear Lamps L"/>
    <m/>
    <m/>
    <s v="112;-12"/>
    <m/>
    <m/>
    <m/>
    <m/>
    <s v="No"/>
    <s v="No"/>
    <s v="Yes"/>
    <n v="0.66"/>
    <n v="0.52"/>
    <n v="0.66"/>
    <n v="0.52"/>
  </r>
  <r>
    <x v="352"/>
    <s v="10.0_Comfort &amp; Exterior"/>
    <s v="10.30_OutsideLighting-System"/>
    <s v="F0220"/>
    <s v="Light Scenario, Coming Home "/>
    <s v="QM"/>
    <s v="Body"/>
    <s v="External Illumination"/>
    <s v="Rear Lamps L"/>
    <s v="LED - Dynamic Blinker"/>
    <s v="Actuator"/>
    <s v="Taillamp Assy' LED Dynamic Blinker Left - Tailgate"/>
    <s v="Taillamp Assy' LED Dynamic Blinker Left - Tailgate - Rear Lamps L"/>
    <m/>
    <m/>
    <s v="112;-12"/>
    <m/>
    <m/>
    <m/>
    <m/>
    <s v="No"/>
    <s v="No"/>
    <s v="Yes"/>
    <n v="0.66"/>
    <n v="0.52"/>
    <n v="0.66"/>
    <n v="0.52"/>
  </r>
  <r>
    <x v="352"/>
    <s v="10.0_Comfort &amp; Exterior"/>
    <s v="10.30_OutsideLighting-System"/>
    <s v="F0221"/>
    <s v="Light Scenario, Welcome Light"/>
    <s v="QM"/>
    <s v="Body"/>
    <s v="External Illumination"/>
    <s v="Rear Lamps L"/>
    <s v="LED - Dynamic Blinker"/>
    <s v="Actuator"/>
    <s v="Taillamp Assy' LED Dynamic Blinker Left - Tailgate"/>
    <s v="Taillamp Assy' LED Dynamic Blinker Left - Tailgate - Rear Lamps L"/>
    <m/>
    <m/>
    <s v="112;-12"/>
    <m/>
    <m/>
    <m/>
    <m/>
    <s v="No"/>
    <s v="No"/>
    <s v="Yes"/>
    <n v="0.66"/>
    <n v="0.52"/>
    <n v="0.66"/>
    <n v="0.52"/>
  </r>
  <r>
    <x v="352"/>
    <s v="10.0_Comfort &amp; Exterior"/>
    <s v="10.30_OutsideLighting-System"/>
    <s v="F0227"/>
    <s v="Light Scenario, Parking Light"/>
    <s v="QM"/>
    <s v="Body"/>
    <s v="External Illumination"/>
    <s v="Rear Lamps L"/>
    <s v="LED - Dynamic Blinker"/>
    <s v="Actuator"/>
    <s v="Taillamp Assy' LED Dynamic Blinker Left - Tailgate"/>
    <s v="Taillamp Assy' LED Dynamic Blinker Left - Tailgate - Rear Lamps L"/>
    <m/>
    <m/>
    <s v="112;-12"/>
    <m/>
    <m/>
    <m/>
    <m/>
    <s v="No"/>
    <s v="No"/>
    <s v="Yes"/>
    <n v="0.66"/>
    <n v="0.52"/>
    <n v="0.66"/>
    <n v="0.52"/>
  </r>
  <r>
    <x v="352"/>
    <s v="10.0_Comfort &amp; Exterior"/>
    <s v="10.30_OutsideLighting-System"/>
    <s v="F0228"/>
    <s v="Surround Lighting, Hazard Light"/>
    <s v="B"/>
    <s v="Body"/>
    <s v="External Illumination"/>
    <s v="Rear Lamps L"/>
    <s v="LED - Dynamic Blinker"/>
    <s v="Actuator"/>
    <s v="Taillamp Assy' LED Dynamic Blinker Left - Tailgate"/>
    <s v="Taillamp Assy' LED Dynamic Blinker Left - Tailgate - Rear Lamps L"/>
    <m/>
    <m/>
    <s v="112;-12"/>
    <m/>
    <m/>
    <m/>
    <m/>
    <s v="No"/>
    <s v="No"/>
    <s v="Yes"/>
    <n v="0.66"/>
    <n v="0.52"/>
    <n v="0.66"/>
    <n v="0.52"/>
  </r>
  <r>
    <x v="352"/>
    <s v="10.0_Comfort &amp; Exterior"/>
    <s v="10.30_OutsideLighting-System"/>
    <s v="F0229"/>
    <s v="Surround Lighting, Turning Light"/>
    <s v="B"/>
    <s v="Body"/>
    <s v="External Illumination"/>
    <s v="Rear Lamps L"/>
    <s v="LED - Dynamic Blinker"/>
    <s v="Actuator"/>
    <s v="Taillamp Assy' LED Dynamic Blinker Left - Tailgate"/>
    <s v="Taillamp Assy' LED Dynamic Blinker Left - Tailgate - Rear Lamps L"/>
    <m/>
    <m/>
    <s v="112;-12"/>
    <m/>
    <m/>
    <m/>
    <m/>
    <s v="No"/>
    <s v="No"/>
    <s v="Yes"/>
    <n v="0.66"/>
    <n v="0.52"/>
    <n v="0.66"/>
    <n v="0.52"/>
  </r>
  <r>
    <x v="352"/>
    <s v="10.0_Comfort &amp; Exterior"/>
    <s v="10.30_OutsideLighting-System"/>
    <s v="F0230"/>
    <s v="Rear Lighting, Brake Light"/>
    <s v="B"/>
    <s v="Body"/>
    <s v="External Illumination"/>
    <s v="Rear Lamps L"/>
    <s v="LED - Dynamic Blinker"/>
    <s v="Actuator"/>
    <s v="Taillamp Assy' LED Dynamic Blinker Left - Tailgate"/>
    <s v="Taillamp Assy' LED Dynamic Blinker Left - Tailgate - Rear Lamps L"/>
    <m/>
    <m/>
    <s v="112;-12"/>
    <m/>
    <m/>
    <m/>
    <m/>
    <s v="No"/>
    <s v="No"/>
    <s v="Yes"/>
    <n v="0.66"/>
    <n v="0.52"/>
    <n v="0.66"/>
    <n v="0.52"/>
  </r>
  <r>
    <x v="352"/>
    <s v="10.0_Comfort &amp; Exterior"/>
    <s v="10.30_OutsideLighting-System"/>
    <s v="F0231"/>
    <s v="Rear Lighting, Rear Position Light"/>
    <s v="QM"/>
    <s v="Body"/>
    <s v="External Illumination"/>
    <s v="Rear Lamps L"/>
    <s v="LED - Dynamic Blinker"/>
    <s v="Actuator"/>
    <s v="Taillamp Assy' LED Dynamic Blinker Left - Tailgate"/>
    <s v="Taillamp Assy' LED Dynamic Blinker Left - Tailgate - Rear Lamps L"/>
    <m/>
    <m/>
    <s v="112;-12"/>
    <m/>
    <m/>
    <m/>
    <m/>
    <s v="No"/>
    <s v="No"/>
    <s v="Yes"/>
    <n v="0.66"/>
    <n v="0.52"/>
    <n v="0.66"/>
    <n v="0.52"/>
  </r>
  <r>
    <x v="352"/>
    <s v="10.0_Comfort &amp; Exterior"/>
    <s v="10.30_OutsideLighting-System"/>
    <s v="F0378"/>
    <s v="Rear Lighting, Fog Rear"/>
    <m/>
    <s v="Body"/>
    <s v="External Illumination"/>
    <s v="Rear Lamps L"/>
    <s v="LED - Dynamic Blinker"/>
    <s v="Actuator"/>
    <s v="Taillamp Assy' LED Dynamic Blinker Left - Tailgate"/>
    <s v="Taillamp Assy' LED Dynamic Blinker Left - Tailgate - Rear Lamps L"/>
    <m/>
    <m/>
    <s v="112;-12"/>
    <m/>
    <m/>
    <m/>
    <m/>
    <s v="No"/>
    <s v="No"/>
    <s v="Yes"/>
    <n v="0.66"/>
    <n v="0.52"/>
    <n v="0.66"/>
    <n v="0.52"/>
  </r>
  <r>
    <x v="352"/>
    <s v="28.0_Powertrain &amp; Driveability"/>
    <s v="28.13_Recuperation&amp;OPD-System"/>
    <s v="F0294"/>
    <s v="Recuperation, Brake Lights"/>
    <s v="B"/>
    <s v="Body"/>
    <s v="External Illumination"/>
    <s v="Rear Lamps L"/>
    <s v="LED - Dynamic Blinker"/>
    <s v="Actuator"/>
    <s v="Taillamp Assy' LED Dynamic Blinker Left - Tailgate"/>
    <s v="Taillamp Assy' LED Dynamic Blinker Left - Tailgate - Rear Lamps L"/>
    <m/>
    <m/>
    <s v="112;-12"/>
    <m/>
    <m/>
    <m/>
    <m/>
    <s v="No"/>
    <s v="No"/>
    <s v="Yes"/>
    <n v="0.66"/>
    <n v="0.52"/>
    <n v="0.66"/>
    <n v="0.52"/>
  </r>
  <r>
    <x v="353"/>
    <s v="10.0_Comfort &amp; Exterior"/>
    <s v="10.30_OutsideLighting-System"/>
    <s v="F0002"/>
    <s v="Rear Lighting, Brake Light Adaptive"/>
    <s v="B"/>
    <s v="Body"/>
    <s v="External Illumination"/>
    <s v="Rear Lamps R"/>
    <s v="LED - Dynamic Blinker"/>
    <s v="Actuator"/>
    <s v="Taillamp Assy' LED Dynamic Blinker Right - Tailgate"/>
    <s v="Taillamp Assy' LED Dynamic Blinker Right - Tailgate - Rear Lamps R"/>
    <m/>
    <m/>
    <s v="112;12"/>
    <m/>
    <m/>
    <m/>
    <m/>
    <s v="No"/>
    <s v="No"/>
    <s v="Yes"/>
    <n v="0.66"/>
    <n v="0.52"/>
    <n v="0.66"/>
    <n v="0.52"/>
  </r>
  <r>
    <x v="353"/>
    <s v="10.0_Comfort &amp; Exterior"/>
    <s v="10.30_OutsideLighting-System"/>
    <s v="F0028"/>
    <s v="Light Scenario, Comfort Direction Indication"/>
    <s v="B"/>
    <s v="Body"/>
    <s v="External Illumination"/>
    <s v="Rear Lamps R"/>
    <s v="LED - Dynamic Blinker"/>
    <s v="Actuator"/>
    <s v="Taillamp Assy' LED Dynamic Blinker Right - Tailgate"/>
    <s v="Taillamp Assy' LED Dynamic Blinker Right - Tailgate - Rear Lamps R"/>
    <m/>
    <m/>
    <s v="112;12"/>
    <m/>
    <m/>
    <m/>
    <m/>
    <s v="No"/>
    <s v="No"/>
    <s v="Yes"/>
    <n v="0.66"/>
    <n v="0.52"/>
    <n v="0.66"/>
    <n v="0.52"/>
  </r>
  <r>
    <x v="353"/>
    <s v="10.0_Comfort &amp; Exterior"/>
    <s v="10.30_OutsideLighting-System"/>
    <s v="F0091"/>
    <s v="Rear Lighting, Reverse Light"/>
    <s v="QM"/>
    <s v="Body"/>
    <s v="External Illumination"/>
    <s v="Rear Lamps R"/>
    <s v="LED - Dynamic Blinker"/>
    <s v="Actuator"/>
    <s v="Taillamp Assy' LED Dynamic Blinker Right - Tailgate"/>
    <s v="Taillamp Assy' LED Dynamic Blinker Right - Tailgate - Rear Lamps R"/>
    <m/>
    <m/>
    <s v="112;12"/>
    <m/>
    <m/>
    <m/>
    <m/>
    <s v="No"/>
    <s v="No"/>
    <s v="Yes"/>
    <n v="0.66"/>
    <n v="0.52"/>
    <n v="0.66"/>
    <n v="0.52"/>
  </r>
  <r>
    <x v="353"/>
    <s v="10.0_Comfort &amp; Exterior"/>
    <s v="10.30_OutsideLighting-System"/>
    <s v="F0110"/>
    <s v="Rear Lighting, Taillamp"/>
    <s v="QM"/>
    <s v="Body"/>
    <s v="External Illumination"/>
    <s v="Rear Lamps R"/>
    <s v="LED - Dynamic Blinker"/>
    <s v="Actuator"/>
    <s v="Taillamp Assy' LED Dynamic Blinker Right - Tailgate"/>
    <s v="Taillamp Assy' LED Dynamic Blinker Right - Tailgate - Rear Lamps R"/>
    <m/>
    <m/>
    <s v="112;12"/>
    <m/>
    <m/>
    <m/>
    <m/>
    <s v="No"/>
    <s v="No"/>
    <s v="Yes"/>
    <n v="0.66"/>
    <n v="0.52"/>
    <n v="0.66"/>
    <n v="0.52"/>
  </r>
  <r>
    <x v="353"/>
    <s v="10.0_Comfort &amp; Exterior"/>
    <s v="10.30_OutsideLighting-System"/>
    <s v="F0220"/>
    <s v="Light Scenario, Coming Home "/>
    <s v="QM"/>
    <s v="Body"/>
    <s v="External Illumination"/>
    <s v="Rear Lamps R"/>
    <s v="LED - Dynamic Blinker"/>
    <s v="Actuator"/>
    <s v="Taillamp Assy' LED Dynamic Blinker Right - Tailgate"/>
    <s v="Taillamp Assy' LED Dynamic Blinker Right - Tailgate - Rear Lamps R"/>
    <m/>
    <m/>
    <s v="112;12"/>
    <m/>
    <m/>
    <m/>
    <m/>
    <s v="No"/>
    <s v="No"/>
    <s v="Yes"/>
    <n v="0.66"/>
    <n v="0.52"/>
    <n v="0.66"/>
    <n v="0.52"/>
  </r>
  <r>
    <x v="353"/>
    <s v="10.0_Comfort &amp; Exterior"/>
    <s v="10.30_OutsideLighting-System"/>
    <s v="F0221"/>
    <s v="Light Scenario, Welcome Light"/>
    <s v="QM"/>
    <s v="Body"/>
    <s v="External Illumination"/>
    <s v="Rear Lamps R"/>
    <s v="LED - Dynamic Blinker"/>
    <s v="Actuator"/>
    <s v="Taillamp Assy' LED Dynamic Blinker Right - Tailgate"/>
    <s v="Taillamp Assy' LED Dynamic Blinker Right - Tailgate - Rear Lamps R"/>
    <m/>
    <m/>
    <s v="112;12"/>
    <m/>
    <m/>
    <m/>
    <m/>
    <s v="No"/>
    <s v="No"/>
    <s v="Yes"/>
    <n v="0.66"/>
    <n v="0.52"/>
    <n v="0.66"/>
    <n v="0.52"/>
  </r>
  <r>
    <x v="353"/>
    <s v="10.0_Comfort &amp; Exterior"/>
    <s v="10.30_OutsideLighting-System"/>
    <s v="F0227"/>
    <s v="Light Scenario, Parking Light"/>
    <s v="QM"/>
    <s v="Body"/>
    <s v="External Illumination"/>
    <s v="Rear Lamps R"/>
    <s v="LED - Dynamic Blinker"/>
    <s v="Actuator"/>
    <s v="Taillamp Assy' LED Dynamic Blinker Right - Tailgate"/>
    <s v="Taillamp Assy' LED Dynamic Blinker Right - Tailgate - Rear Lamps R"/>
    <m/>
    <m/>
    <s v="112;12"/>
    <m/>
    <m/>
    <m/>
    <m/>
    <s v="No"/>
    <s v="No"/>
    <s v="Yes"/>
    <n v="0.66"/>
    <n v="0.52"/>
    <n v="0.66"/>
    <n v="0.52"/>
  </r>
  <r>
    <x v="353"/>
    <s v="10.0_Comfort &amp; Exterior"/>
    <s v="10.30_OutsideLighting-System"/>
    <s v="F0228"/>
    <s v="Surround Lighting, Hazard Light"/>
    <s v="B"/>
    <s v="Body"/>
    <s v="External Illumination"/>
    <s v="Rear Lamps R"/>
    <s v="LED - Dynamic Blinker"/>
    <s v="Actuator"/>
    <s v="Taillamp Assy' LED Dynamic Blinker Right - Tailgate"/>
    <s v="Taillamp Assy' LED Dynamic Blinker Right - Tailgate - Rear Lamps R"/>
    <m/>
    <m/>
    <s v="112;12"/>
    <m/>
    <m/>
    <m/>
    <m/>
    <s v="No"/>
    <s v="No"/>
    <s v="Yes"/>
    <n v="0.66"/>
    <n v="0.52"/>
    <n v="0.66"/>
    <n v="0.52"/>
  </r>
  <r>
    <x v="353"/>
    <s v="10.0_Comfort &amp; Exterior"/>
    <s v="10.30_OutsideLighting-System"/>
    <s v="F0229"/>
    <s v="Surround Lighting, Turning Light"/>
    <s v="B"/>
    <s v="Body"/>
    <s v="External Illumination"/>
    <s v="Rear Lamps R"/>
    <s v="LED - Dynamic Blinker"/>
    <s v="Actuator"/>
    <s v="Taillamp Assy' LED Dynamic Blinker Right - Tailgate"/>
    <s v="Taillamp Assy' LED Dynamic Blinker Right - Tailgate - Rear Lamps R"/>
    <m/>
    <m/>
    <s v="112;12"/>
    <m/>
    <m/>
    <m/>
    <m/>
    <s v="No"/>
    <s v="No"/>
    <s v="Yes"/>
    <n v="0.66"/>
    <n v="0.52"/>
    <n v="0.66"/>
    <n v="0.52"/>
  </r>
  <r>
    <x v="353"/>
    <s v="10.0_Comfort &amp; Exterior"/>
    <s v="10.30_OutsideLighting-System"/>
    <s v="F0230"/>
    <s v="Rear Lighting, Brake Light"/>
    <s v="B"/>
    <s v="Body"/>
    <s v="External Illumination"/>
    <s v="Rear Lamps R"/>
    <s v="LED - Dynamic Blinker"/>
    <s v="Actuator"/>
    <s v="Taillamp Assy' LED Dynamic Blinker Right - Tailgate"/>
    <s v="Taillamp Assy' LED Dynamic Blinker Right - Tailgate - Rear Lamps R"/>
    <m/>
    <m/>
    <s v="112;12"/>
    <m/>
    <m/>
    <m/>
    <m/>
    <s v="No"/>
    <s v="No"/>
    <s v="Yes"/>
    <n v="0.66"/>
    <n v="0.52"/>
    <n v="0.66"/>
    <n v="0.52"/>
  </r>
  <r>
    <x v="353"/>
    <s v="10.0_Comfort &amp; Exterior"/>
    <s v="10.30_OutsideLighting-System"/>
    <s v="F0231"/>
    <s v="Rear Lighting, Rear Position Light"/>
    <s v="QM"/>
    <s v="Body"/>
    <s v="External Illumination"/>
    <s v="Rear Lamps R"/>
    <s v="LED - Dynamic Blinker"/>
    <s v="Actuator"/>
    <s v="Taillamp Assy' LED Dynamic Blinker Right - Tailgate"/>
    <s v="Taillamp Assy' LED Dynamic Blinker Right - Tailgate - Rear Lamps R"/>
    <m/>
    <m/>
    <s v="112;12"/>
    <m/>
    <m/>
    <m/>
    <m/>
    <s v="No"/>
    <s v="No"/>
    <s v="Yes"/>
    <n v="0.66"/>
    <n v="0.52"/>
    <n v="0.66"/>
    <n v="0.52"/>
  </r>
  <r>
    <x v="353"/>
    <s v="10.0_Comfort &amp; Exterior"/>
    <s v="10.30_OutsideLighting-System"/>
    <s v="F0378"/>
    <s v="Rear Lighting, Fog Rear"/>
    <m/>
    <s v="Body"/>
    <s v="External Illumination"/>
    <s v="Rear Lamps R"/>
    <s v="LED - Dynamic Blinker"/>
    <s v="Actuator"/>
    <s v="Taillamp Assy' LED Dynamic Blinker Right - Tailgate"/>
    <s v="Taillamp Assy' LED Dynamic Blinker Right - Tailgate - Rear Lamps R"/>
    <m/>
    <m/>
    <s v="112;12"/>
    <m/>
    <m/>
    <m/>
    <m/>
    <s v="No"/>
    <s v="No"/>
    <s v="Yes"/>
    <n v="0.66"/>
    <n v="0.52"/>
    <n v="0.66"/>
    <n v="0.52"/>
  </r>
  <r>
    <x v="353"/>
    <s v="28.0_Powertrain &amp; Driveability"/>
    <s v="28.13_Recuperation&amp;OPD-System"/>
    <s v="F0294"/>
    <s v="Recuperation, Brake Lights"/>
    <s v="B"/>
    <s v="Body"/>
    <s v="External Illumination"/>
    <s v="Rear Lamps R"/>
    <s v="LED - Dynamic Blinker"/>
    <s v="Actuator"/>
    <s v="Taillamp Assy' LED Dynamic Blinker Right - Tailgate"/>
    <s v="Taillamp Assy' LED Dynamic Blinker Right - Tailgate - Rear Lamps R"/>
    <m/>
    <m/>
    <s v="112;12"/>
    <m/>
    <m/>
    <m/>
    <m/>
    <s v="No"/>
    <s v="No"/>
    <s v="Yes"/>
    <n v="0.66"/>
    <n v="0.52"/>
    <n v="0.66"/>
    <n v="0.52"/>
  </r>
  <r>
    <x v="354"/>
    <s v="10.0_Comfort &amp; Exterior"/>
    <s v="10.30_OutsideLighting-System"/>
    <s v="F0002"/>
    <s v="Rear Lighting, Brake Light Adaptive"/>
    <s v="B"/>
    <s v="Body"/>
    <s v="External Illumination"/>
    <s v="Rear Lamps L"/>
    <s v="Bulb"/>
    <s v="Actuator"/>
    <s v="Taillamp Assy' P21W + P10W Left - Body"/>
    <s v="Taillamp Assy' P21W + P10W Left - Body - Rear Lamps L"/>
    <m/>
    <m/>
    <s v="108;-17"/>
    <m/>
    <m/>
    <m/>
    <m/>
    <s v="No"/>
    <s v="No"/>
    <s v="No"/>
    <n v="0.37"/>
    <n v="0.17"/>
    <n v="0.51"/>
    <n v="0.31"/>
  </r>
  <r>
    <x v="354"/>
    <s v="10.0_Comfort &amp; Exterior"/>
    <s v="10.30_OutsideLighting-System"/>
    <s v="F0028"/>
    <s v="Light Scenario, Comfort Direction Indication"/>
    <s v="B"/>
    <s v="Body"/>
    <s v="External Illumination"/>
    <s v="Rear Lamps L"/>
    <s v="Bulb"/>
    <s v="Actuator"/>
    <s v="Taillamp Assy' P21W + P10W Left - Body"/>
    <s v="Taillamp Assy' P21W + P10W Left - Body - Rear Lamps L"/>
    <m/>
    <m/>
    <s v="108;-17"/>
    <m/>
    <m/>
    <m/>
    <m/>
    <s v="No"/>
    <s v="No"/>
    <s v="No"/>
    <n v="0.37"/>
    <n v="0.17"/>
    <n v="0.51"/>
    <n v="0.31"/>
  </r>
  <r>
    <x v="354"/>
    <s v="10.0_Comfort &amp; Exterior"/>
    <s v="10.30_OutsideLighting-System"/>
    <s v="F0110"/>
    <s v="Rear Lighting, Taillamp"/>
    <s v="QM"/>
    <s v="Body"/>
    <s v="External Illumination"/>
    <s v="Rear Lamps L"/>
    <s v="Bulb"/>
    <s v="Actuator"/>
    <s v="Taillamp Assy' P21W + P10W Left - Body"/>
    <s v="Taillamp Assy' P21W + P10W Left - Body - Rear Lamps L"/>
    <m/>
    <m/>
    <s v="108;-17"/>
    <m/>
    <m/>
    <m/>
    <m/>
    <s v="No"/>
    <s v="No"/>
    <s v="No"/>
    <n v="0.37"/>
    <n v="0.17"/>
    <n v="0.51"/>
    <n v="0.31"/>
  </r>
  <r>
    <x v="354"/>
    <s v="10.0_Comfort &amp; Exterior"/>
    <s v="10.30_OutsideLighting-System"/>
    <s v="F0220"/>
    <s v="Light Scenario, Coming Home "/>
    <s v="QM"/>
    <s v="Body"/>
    <s v="External Illumination"/>
    <s v="Rear Lamps L"/>
    <s v="Bulb"/>
    <s v="Actuator"/>
    <s v="Taillamp Assy' P21W + P10W Left - Body"/>
    <s v="Taillamp Assy' P21W + P10W Left - Body - Rear Lamps L"/>
    <m/>
    <m/>
    <s v="108;-17"/>
    <m/>
    <m/>
    <m/>
    <m/>
    <s v="No"/>
    <s v="No"/>
    <s v="No"/>
    <n v="0.37"/>
    <n v="0.17"/>
    <n v="0.51"/>
    <n v="0.31"/>
  </r>
  <r>
    <x v="354"/>
    <s v="10.0_Comfort &amp; Exterior"/>
    <s v="10.30_OutsideLighting-System"/>
    <s v="F0221"/>
    <s v="Light Scenario, Welcome Light"/>
    <s v="QM"/>
    <s v="Body"/>
    <s v="External Illumination"/>
    <s v="Rear Lamps L"/>
    <s v="Bulb"/>
    <s v="Actuator"/>
    <s v="Taillamp Assy' P21W + P10W Left - Body"/>
    <s v="Taillamp Assy' P21W + P10W Left - Body - Rear Lamps L"/>
    <m/>
    <m/>
    <s v="108;-17"/>
    <m/>
    <m/>
    <m/>
    <m/>
    <s v="No"/>
    <s v="No"/>
    <s v="No"/>
    <n v="0.37"/>
    <n v="0.17"/>
    <n v="0.51"/>
    <n v="0.31"/>
  </r>
  <r>
    <x v="354"/>
    <s v="10.0_Comfort &amp; Exterior"/>
    <s v="10.30_OutsideLighting-System"/>
    <s v="F0227"/>
    <s v="Light Scenario, Parking Light"/>
    <s v="QM"/>
    <s v="Body"/>
    <s v="External Illumination"/>
    <s v="Rear Lamps L"/>
    <s v="Bulb"/>
    <s v="Actuator"/>
    <s v="Taillamp Assy' P21W + P10W Left - Body"/>
    <s v="Taillamp Assy' P21W + P10W Left - Body - Rear Lamps L"/>
    <m/>
    <m/>
    <s v="108;-17"/>
    <m/>
    <m/>
    <m/>
    <m/>
    <s v="No"/>
    <s v="No"/>
    <s v="No"/>
    <n v="0.37"/>
    <n v="0.17"/>
    <n v="0.51"/>
    <n v="0.31"/>
  </r>
  <r>
    <x v="354"/>
    <s v="10.0_Comfort &amp; Exterior"/>
    <s v="10.30_OutsideLighting-System"/>
    <s v="F0228"/>
    <s v="Surround Lighting, Hazard Light"/>
    <s v="B"/>
    <s v="Body"/>
    <s v="External Illumination"/>
    <s v="Rear Lamps L"/>
    <s v="Bulb"/>
    <s v="Actuator"/>
    <s v="Taillamp Assy' P21W + P10W Left - Body"/>
    <s v="Taillamp Assy' P21W + P10W Left - Body - Rear Lamps L"/>
    <m/>
    <m/>
    <s v="108;-17"/>
    <m/>
    <m/>
    <m/>
    <m/>
    <s v="No"/>
    <s v="No"/>
    <s v="No"/>
    <n v="0.37"/>
    <n v="0.17"/>
    <n v="0.51"/>
    <n v="0.31"/>
  </r>
  <r>
    <x v="354"/>
    <s v="10.0_Comfort &amp; Exterior"/>
    <s v="10.30_OutsideLighting-System"/>
    <s v="F0229"/>
    <s v="Surround Lighting, Turning Light"/>
    <s v="B"/>
    <s v="Body"/>
    <s v="External Illumination"/>
    <s v="Rear Lamps L"/>
    <s v="Bulb"/>
    <s v="Actuator"/>
    <s v="Taillamp Assy' P21W + P10W Left - Body"/>
    <s v="Taillamp Assy' P21W + P10W Left - Body - Rear Lamps L"/>
    <m/>
    <m/>
    <s v="108;-17"/>
    <m/>
    <m/>
    <m/>
    <m/>
    <s v="No"/>
    <s v="No"/>
    <s v="No"/>
    <n v="0.37"/>
    <n v="0.17"/>
    <n v="0.51"/>
    <n v="0.31"/>
  </r>
  <r>
    <x v="354"/>
    <s v="10.0_Comfort &amp; Exterior"/>
    <s v="10.30_OutsideLighting-System"/>
    <s v="F0230"/>
    <s v="Rear Lighting, Brake Light"/>
    <s v="B"/>
    <s v="Body"/>
    <s v="External Illumination"/>
    <s v="Rear Lamps L"/>
    <s v="Bulb"/>
    <s v="Actuator"/>
    <s v="Taillamp Assy' P21W + P10W Left - Body"/>
    <s v="Taillamp Assy' P21W + P10W Left - Body - Rear Lamps L"/>
    <m/>
    <m/>
    <s v="108;-17"/>
    <m/>
    <m/>
    <m/>
    <m/>
    <s v="No"/>
    <s v="No"/>
    <s v="No"/>
    <n v="0.37"/>
    <n v="0.17"/>
    <n v="0.51"/>
    <n v="0.31"/>
  </r>
  <r>
    <x v="354"/>
    <s v="10.0_Comfort &amp; Exterior"/>
    <s v="10.30_OutsideLighting-System"/>
    <s v="F0231"/>
    <s v="Rear Lighting, Rear Position Light"/>
    <s v="QM"/>
    <s v="Body"/>
    <s v="External Illumination"/>
    <s v="Rear Lamps L"/>
    <s v="Bulb"/>
    <s v="Actuator"/>
    <s v="Taillamp Assy' P21W + P10W Left - Body"/>
    <s v="Taillamp Assy' P21W + P10W Left - Body - Rear Lamps L"/>
    <m/>
    <m/>
    <s v="108;-17"/>
    <m/>
    <m/>
    <m/>
    <m/>
    <s v="No"/>
    <s v="No"/>
    <s v="No"/>
    <n v="0.37"/>
    <n v="0.17"/>
    <n v="0.51"/>
    <n v="0.31"/>
  </r>
  <r>
    <x v="354"/>
    <s v="10.0_Comfort &amp; Exterior"/>
    <s v="10.30_OutsideLighting-System"/>
    <s v="F0378"/>
    <s v="Rear Lighting, Fog Rear"/>
    <m/>
    <s v="Body"/>
    <s v="External Illumination"/>
    <s v="Rear Lamps L"/>
    <s v="Bulb"/>
    <s v="Actuator"/>
    <s v="Taillamp Assy' P21W + P10W Left - Body"/>
    <s v="Taillamp Assy' P21W + P10W Left - Body - Rear Lamps L"/>
    <m/>
    <m/>
    <s v="108;-17"/>
    <m/>
    <m/>
    <m/>
    <m/>
    <s v="No"/>
    <s v="No"/>
    <s v="No"/>
    <n v="0.37"/>
    <n v="0.17"/>
    <n v="0.51"/>
    <n v="0.31"/>
  </r>
  <r>
    <x v="354"/>
    <s v="28.0_Powertrain &amp; Driveability"/>
    <s v="28.13_Recuperation&amp;OPD-System"/>
    <s v="F0294"/>
    <s v="Recuperation, Brake Lights"/>
    <s v="B"/>
    <s v="Body"/>
    <s v="External Illumination"/>
    <s v="Rear Lamps L"/>
    <s v="Bulb"/>
    <s v="Actuator"/>
    <s v="Taillamp Assy' P21W + P10W Left - Body"/>
    <s v="Taillamp Assy' P21W + P10W Left - Body - Rear Lamps L"/>
    <m/>
    <m/>
    <s v="108;-17"/>
    <m/>
    <m/>
    <m/>
    <m/>
    <s v="No"/>
    <s v="No"/>
    <s v="No"/>
    <n v="0.37"/>
    <n v="0.17"/>
    <n v="0.51"/>
    <n v="0.31"/>
  </r>
  <r>
    <x v="355"/>
    <s v="10.0_Comfort &amp; Exterior"/>
    <s v="10.30_OutsideLighting-System"/>
    <s v="F0002"/>
    <s v="Rear Lighting, Brake Light Adaptive"/>
    <s v="B"/>
    <s v="Body"/>
    <s v="External Illumination"/>
    <s v="Rear Lamps R"/>
    <s v="Bulb"/>
    <s v="Actuator"/>
    <s v="Taillamp Assy' P21W + P10W Right - Body"/>
    <s v="Taillamp Assy' P21W + P10W Right - Body - Rear Lamps R"/>
    <m/>
    <m/>
    <s v="108;17"/>
    <m/>
    <m/>
    <m/>
    <m/>
    <s v="No"/>
    <s v="No"/>
    <s v="No"/>
    <n v="0.37"/>
    <n v="0.17"/>
    <n v="0.51"/>
    <n v="0.31"/>
  </r>
  <r>
    <x v="355"/>
    <s v="10.0_Comfort &amp; Exterior"/>
    <s v="10.30_OutsideLighting-System"/>
    <s v="F0028"/>
    <s v="Light Scenario, Comfort Direction Indication"/>
    <s v="B"/>
    <s v="Body"/>
    <s v="External Illumination"/>
    <s v="Rear Lamps R"/>
    <s v="Bulb"/>
    <s v="Actuator"/>
    <s v="Taillamp Assy' P21W + P10W Right - Body"/>
    <s v="Taillamp Assy' P21W + P10W Right - Body - Rear Lamps R"/>
    <m/>
    <m/>
    <s v="108;17"/>
    <m/>
    <m/>
    <m/>
    <m/>
    <s v="No"/>
    <s v="No"/>
    <s v="No"/>
    <n v="0.37"/>
    <n v="0.17"/>
    <n v="0.51"/>
    <n v="0.31"/>
  </r>
  <r>
    <x v="355"/>
    <s v="10.0_Comfort &amp; Exterior"/>
    <s v="10.30_OutsideLighting-System"/>
    <s v="F0110"/>
    <s v="Rear Lighting, Taillamp"/>
    <s v="QM"/>
    <s v="Body"/>
    <s v="External Illumination"/>
    <s v="Rear Lamps R"/>
    <s v="Bulb"/>
    <s v="Actuator"/>
    <s v="Taillamp Assy' P21W + P10W Right - Body"/>
    <s v="Taillamp Assy' P21W + P10W Right - Body - Rear Lamps R"/>
    <m/>
    <m/>
    <s v="108;17"/>
    <m/>
    <m/>
    <m/>
    <m/>
    <s v="No"/>
    <s v="No"/>
    <s v="No"/>
    <n v="0.37"/>
    <n v="0.17"/>
    <n v="0.51"/>
    <n v="0.31"/>
  </r>
  <r>
    <x v="355"/>
    <s v="10.0_Comfort &amp; Exterior"/>
    <s v="10.30_OutsideLighting-System"/>
    <s v="F0220"/>
    <s v="Light Scenario, Coming Home "/>
    <s v="QM"/>
    <s v="Body"/>
    <s v="External Illumination"/>
    <s v="Rear Lamps R"/>
    <s v="Bulb"/>
    <s v="Actuator"/>
    <s v="Taillamp Assy' P21W + P10W Right - Body"/>
    <s v="Taillamp Assy' P21W + P10W Right - Body - Rear Lamps R"/>
    <m/>
    <m/>
    <s v="108;17"/>
    <m/>
    <m/>
    <m/>
    <m/>
    <s v="No"/>
    <s v="No"/>
    <s v="No"/>
    <n v="0.37"/>
    <n v="0.17"/>
    <n v="0.51"/>
    <n v="0.31"/>
  </r>
  <r>
    <x v="355"/>
    <s v="10.0_Comfort &amp; Exterior"/>
    <s v="10.30_OutsideLighting-System"/>
    <s v="F0221"/>
    <s v="Light Scenario, Welcome Light"/>
    <s v="QM"/>
    <s v="Body"/>
    <s v="External Illumination"/>
    <s v="Rear Lamps R"/>
    <s v="Bulb"/>
    <s v="Actuator"/>
    <s v="Taillamp Assy' P21W + P10W Right - Body"/>
    <s v="Taillamp Assy' P21W + P10W Right - Body - Rear Lamps R"/>
    <m/>
    <m/>
    <s v="108;17"/>
    <m/>
    <m/>
    <m/>
    <m/>
    <s v="No"/>
    <s v="No"/>
    <s v="No"/>
    <n v="0.37"/>
    <n v="0.17"/>
    <n v="0.51"/>
    <n v="0.31"/>
  </r>
  <r>
    <x v="355"/>
    <s v="10.0_Comfort &amp; Exterior"/>
    <s v="10.30_OutsideLighting-System"/>
    <s v="F0227"/>
    <s v="Light Scenario, Parking Light"/>
    <s v="QM"/>
    <s v="Body"/>
    <s v="External Illumination"/>
    <s v="Rear Lamps R"/>
    <s v="Bulb"/>
    <s v="Actuator"/>
    <s v="Taillamp Assy' P21W + P10W Right - Body"/>
    <s v="Taillamp Assy' P21W + P10W Right - Body - Rear Lamps R"/>
    <m/>
    <m/>
    <s v="108;17"/>
    <m/>
    <m/>
    <m/>
    <m/>
    <s v="No"/>
    <s v="No"/>
    <s v="No"/>
    <n v="0.37"/>
    <n v="0.17"/>
    <n v="0.51"/>
    <n v="0.31"/>
  </r>
  <r>
    <x v="355"/>
    <s v="10.0_Comfort &amp; Exterior"/>
    <s v="10.30_OutsideLighting-System"/>
    <s v="F0228"/>
    <s v="Surround Lighting, Hazard Light"/>
    <s v="B"/>
    <s v="Body"/>
    <s v="External Illumination"/>
    <s v="Rear Lamps R"/>
    <s v="Bulb"/>
    <s v="Actuator"/>
    <s v="Taillamp Assy' P21W + P10W Right - Body"/>
    <s v="Taillamp Assy' P21W + P10W Right - Body - Rear Lamps R"/>
    <m/>
    <m/>
    <s v="108;17"/>
    <m/>
    <m/>
    <m/>
    <m/>
    <s v="No"/>
    <s v="No"/>
    <s v="No"/>
    <n v="0.37"/>
    <n v="0.17"/>
    <n v="0.51"/>
    <n v="0.31"/>
  </r>
  <r>
    <x v="355"/>
    <s v="10.0_Comfort &amp; Exterior"/>
    <s v="10.30_OutsideLighting-System"/>
    <s v="F0229"/>
    <s v="Surround Lighting, Turning Light"/>
    <s v="B"/>
    <s v="Body"/>
    <s v="External Illumination"/>
    <s v="Rear Lamps R"/>
    <s v="Bulb"/>
    <s v="Actuator"/>
    <s v="Taillamp Assy' P21W + P10W Right - Body"/>
    <s v="Taillamp Assy' P21W + P10W Right - Body - Rear Lamps R"/>
    <m/>
    <m/>
    <s v="108;17"/>
    <m/>
    <m/>
    <m/>
    <m/>
    <s v="No"/>
    <s v="No"/>
    <s v="No"/>
    <n v="0.37"/>
    <n v="0.17"/>
    <n v="0.51"/>
    <n v="0.31"/>
  </r>
  <r>
    <x v="355"/>
    <s v="10.0_Comfort &amp; Exterior"/>
    <s v="10.30_OutsideLighting-System"/>
    <s v="F0230"/>
    <s v="Rear Lighting, Brake Light"/>
    <s v="B"/>
    <s v="Body"/>
    <s v="External Illumination"/>
    <s v="Rear Lamps R"/>
    <s v="Bulb"/>
    <s v="Actuator"/>
    <s v="Taillamp Assy' P21W + P10W Right - Body"/>
    <s v="Taillamp Assy' P21W + P10W Right - Body - Rear Lamps R"/>
    <m/>
    <m/>
    <s v="108;17"/>
    <m/>
    <m/>
    <m/>
    <m/>
    <s v="No"/>
    <s v="No"/>
    <s v="No"/>
    <n v="0.37"/>
    <n v="0.17"/>
    <n v="0.51"/>
    <n v="0.31"/>
  </r>
  <r>
    <x v="355"/>
    <s v="10.0_Comfort &amp; Exterior"/>
    <s v="10.30_OutsideLighting-System"/>
    <s v="F0231"/>
    <s v="Rear Lighting, Rear Position Light"/>
    <s v="QM"/>
    <s v="Body"/>
    <s v="External Illumination"/>
    <s v="Rear Lamps R"/>
    <s v="Bulb"/>
    <s v="Actuator"/>
    <s v="Taillamp Assy' P21W + P10W Right - Body"/>
    <s v="Taillamp Assy' P21W + P10W Right - Body - Rear Lamps R"/>
    <m/>
    <m/>
    <s v="108;17"/>
    <m/>
    <m/>
    <m/>
    <m/>
    <s v="No"/>
    <s v="No"/>
    <s v="No"/>
    <n v="0.37"/>
    <n v="0.17"/>
    <n v="0.51"/>
    <n v="0.31"/>
  </r>
  <r>
    <x v="355"/>
    <s v="10.0_Comfort &amp; Exterior"/>
    <s v="10.30_OutsideLighting-System"/>
    <s v="F0378"/>
    <s v="Rear Lighting, Fog Rear"/>
    <m/>
    <s v="Body"/>
    <s v="External Illumination"/>
    <s v="Rear Lamps R"/>
    <s v="Bulb"/>
    <s v="Actuator"/>
    <s v="Taillamp Assy' P21W + P10W Right - Body"/>
    <s v="Taillamp Assy' P21W + P10W Right - Body - Rear Lamps R"/>
    <m/>
    <m/>
    <s v="108;17"/>
    <m/>
    <m/>
    <m/>
    <m/>
    <s v="No"/>
    <s v="No"/>
    <s v="No"/>
    <n v="0.37"/>
    <n v="0.17"/>
    <n v="0.51"/>
    <n v="0.31"/>
  </r>
  <r>
    <x v="355"/>
    <s v="28.0_Powertrain &amp; Driveability"/>
    <s v="28.13_Recuperation&amp;OPD-System"/>
    <s v="F0294"/>
    <s v="Recuperation, Brake Lights"/>
    <s v="B"/>
    <s v="Body"/>
    <s v="External Illumination"/>
    <s v="Rear Lamps R"/>
    <s v="Bulb"/>
    <s v="Actuator"/>
    <s v="Taillamp Assy' P21W + P10W Right - Body"/>
    <s v="Taillamp Assy' P21W + P10W Right - Body - Rear Lamps R"/>
    <m/>
    <m/>
    <s v="108;17"/>
    <m/>
    <m/>
    <m/>
    <m/>
    <s v="No"/>
    <s v="No"/>
    <s v="No"/>
    <n v="0.37"/>
    <n v="0.17"/>
    <n v="0.51"/>
    <n v="0.31"/>
  </r>
  <r>
    <x v="356"/>
    <s v="10.0_Comfort &amp; Exterior"/>
    <s v="10.10_CentralLocking-System"/>
    <s v="F0xx4"/>
    <s v="Tailgate, Electric Release"/>
    <m/>
    <s v="Comfort"/>
    <s v="Central Locking"/>
    <s v="Tailgate Open"/>
    <m/>
    <s v="Switch"/>
    <s v="Tailgate Remote Opening Button"/>
    <s v="Tailgate Remote Opening Button - Tailgate Open"/>
    <m/>
    <m/>
    <s v="38;-21"/>
    <m/>
    <m/>
    <m/>
    <m/>
    <s v="No"/>
    <s v="Yes"/>
    <s v="Yes"/>
    <n v="1.6666666666666668E-3"/>
    <n v="1.6666666666666668E-3"/>
    <n v="1.6666666666666668E-3"/>
    <n v="1.6666666666666668E-3"/>
  </r>
  <r>
    <x v="357"/>
    <s v="10.0_Comfort &amp; Exterior"/>
    <s v="10.30_OutsideLighting-System"/>
    <s v="F0225"/>
    <s v="Front Lighting, Low Beam"/>
    <s v="B"/>
    <s v="Body"/>
    <s v="External Illumination"/>
    <s v="Position Lamp Left"/>
    <s v="Full LED Smart Matrix"/>
    <s v="Actuator"/>
    <s v="Headlamp Assy' Full LED Matrix Left"/>
    <s v="Headlamp Assy' Full LED Matrix Left - Position Lamp Left"/>
    <m/>
    <m/>
    <s v="-6;-17"/>
    <s v="TE"/>
    <s v="1452299-1"/>
    <s v="12 Pos. MCP 1,5mm / 2,8mm Sealed"/>
    <m/>
    <s v="No"/>
    <s v="No"/>
    <s v="Yes"/>
    <n v="0"/>
    <n v="0"/>
    <n v="1"/>
    <n v="1"/>
  </r>
  <r>
    <x v="357"/>
    <s v="10.0_Comfort &amp; Exterior"/>
    <s v="10.30_OutsideLighting-System"/>
    <s v="F0226"/>
    <s v="Front Lighting, High Beam"/>
    <s v="A"/>
    <s v="Body"/>
    <s v="External Illumination"/>
    <s v="Position Lamp Left"/>
    <s v="Full LED Smart Matrix"/>
    <s v="Actuator"/>
    <s v="Headlamp Assy' Full LED Matrix Left"/>
    <s v="Headlamp Assy' Full LED Matrix Left - Position Lamp Left"/>
    <m/>
    <m/>
    <s v="-6;-17"/>
    <s v="TE"/>
    <s v="1452299-1"/>
    <s v="12 Pos. MCP 1,5mm / 2,8mm Sealed"/>
    <m/>
    <s v="No"/>
    <s v="No"/>
    <s v="Yes"/>
    <n v="0"/>
    <n v="0"/>
    <n v="1"/>
    <n v="1"/>
  </r>
  <r>
    <x v="357"/>
    <s v="10.0_Comfort &amp; Exterior"/>
    <s v="10.30_OutsideLighting-System"/>
    <s v="F0227"/>
    <s v="Light Scenario, Parking Light"/>
    <s v="QM"/>
    <s v="Body"/>
    <s v="External Illumination"/>
    <s v="Position Lamp Left"/>
    <s v="Full LED Smart Matrix"/>
    <s v="Actuator"/>
    <s v="Headlamp Assy' Full LED Matrix Left"/>
    <s v="Headlamp Assy' Full LED Matrix Left - Position Lamp Left"/>
    <m/>
    <m/>
    <s v="-6;-17"/>
    <s v="TE"/>
    <s v="1452299-1"/>
    <s v="12 Pos. MCP 1,5mm / 2,8mm Sealed"/>
    <m/>
    <s v="No"/>
    <s v="No"/>
    <s v="Yes"/>
    <n v="0"/>
    <n v="0"/>
    <n v="1"/>
    <n v="1"/>
  </r>
  <r>
    <x v="357"/>
    <s v="37.0_ADAS &amp; AutomatedDriving"/>
    <s v="37.01_LightingAssistant-System"/>
    <s v="F0145"/>
    <s v="Light Assist, High Beam Automatic"/>
    <s v="A"/>
    <s v="Body"/>
    <s v="External Illumination"/>
    <s v="Position Lamp Left"/>
    <s v="Full LED Smart Matrix"/>
    <s v="Actuator"/>
    <s v="Headlamp Assy' Full LED Matrix Left"/>
    <s v="Headlamp Assy' Full LED Matrix Left - Position Lamp Left"/>
    <m/>
    <m/>
    <s v="-6;-17"/>
    <s v="TE"/>
    <s v="1452299-1"/>
    <s v="12 Pos. MCP 1,5mm / 2,8mm Sealed"/>
    <m/>
    <s v="No"/>
    <s v="No"/>
    <s v="Yes"/>
    <n v="0"/>
    <n v="0"/>
    <n v="1"/>
    <n v="1"/>
  </r>
  <r>
    <x v="358"/>
    <s v="36.0_Infotainment &amp; Connectivity"/>
    <s v="36.12_Sound-System"/>
    <s v="F0407"/>
    <s v="Sound System Front, 2 Tweeter"/>
    <s v="QM"/>
    <s v="Infotainment"/>
    <s v="Audio"/>
    <s v="High Tone Speaker"/>
    <s v="Standard Audio System"/>
    <s v="Loudspeaker"/>
    <s v="Loudspeaker - Front Left"/>
    <s v="Loudspeaker - Front Left - High Tone Speaker"/>
    <m/>
    <m/>
    <s v="28;-15"/>
    <s v="TE"/>
    <s v="1563189-1"/>
    <s v="2 Pos. MPT 1,5mm Unsealed"/>
    <m/>
    <s v="No"/>
    <s v="Yes"/>
    <s v="Yes"/>
    <n v="0.25"/>
    <n v="0.35"/>
    <n v="0.4"/>
    <n v="0.3"/>
  </r>
  <r>
    <x v="358"/>
    <s v="36.0_Infotainment &amp; Connectivity"/>
    <s v="36.12_Sound-System"/>
    <s v="F1342"/>
    <s v="Road-noise Active Noise Cancelation (RANC)"/>
    <s v="QM"/>
    <s v="Infotainment"/>
    <s v="Audio"/>
    <s v="High Tone Speaker"/>
    <s v="Standard Audio System"/>
    <s v="Loudspeaker"/>
    <s v="Loudspeaker - Front Left"/>
    <s v="Loudspeaker - Front Left - High Tone Speaker"/>
    <m/>
    <m/>
    <s v="28;-15"/>
    <s v="TE"/>
    <s v="1563189-1"/>
    <s v="2 Pos. MPT 1,5mm Unsealed"/>
    <m/>
    <s v="No"/>
    <s v="Yes"/>
    <s v="Yes"/>
    <n v="0.25"/>
    <n v="0.35"/>
    <n v="0.4"/>
    <n v="0.3"/>
  </r>
  <r>
    <x v="359"/>
    <s v="36.0_Infotainment &amp; Connectivity"/>
    <s v="36.12_Sound-System"/>
    <s v="F0407"/>
    <s v="Sound System Front, 2 Tweeter"/>
    <s v="QM"/>
    <s v="Infotainment"/>
    <s v="Audio"/>
    <s v="High Tone Speaker"/>
    <s v="Standard Audio System"/>
    <s v="Loudspeaker"/>
    <s v="Loudspeaker - Front Right"/>
    <s v="Loudspeaker - Front Right - High Tone Speaker"/>
    <m/>
    <m/>
    <s v="28;15"/>
    <s v="TE"/>
    <s v="1563189-1"/>
    <s v="2 Pos. MPT 1,5mm Unsealed"/>
    <m/>
    <s v="No"/>
    <s v="Yes"/>
    <s v="Yes"/>
    <n v="0.25"/>
    <n v="0.35"/>
    <n v="0.4"/>
    <n v="0.3"/>
  </r>
  <r>
    <x v="359"/>
    <s v="36.0_Infotainment &amp; Connectivity"/>
    <s v="36.12_Sound-System"/>
    <s v="F1342"/>
    <s v="Road-noise Active Noise Cancelation (RANC)"/>
    <s v="QM"/>
    <s v="Infotainment"/>
    <s v="Audio"/>
    <s v="High Tone Speaker"/>
    <s v="Standard Audio System"/>
    <s v="Loudspeaker"/>
    <s v="Loudspeaker - Front Right"/>
    <s v="Loudspeaker - Front Right - High Tone Speaker"/>
    <m/>
    <m/>
    <s v="28;15"/>
    <s v="TE"/>
    <s v="1563189-1"/>
    <s v="2 Pos. MPT 1,5mm Unsealed"/>
    <m/>
    <s v="No"/>
    <s v="Yes"/>
    <s v="Yes"/>
    <n v="0.25"/>
    <n v="0.35"/>
    <n v="0.4"/>
    <n v="0.3"/>
  </r>
  <r>
    <x v="360"/>
    <s v="39.0_HVAC &amp; Thermal"/>
    <s v="39.10_PassengerThermal-System"/>
    <s v="F0483"/>
    <s v="HVAC-System, Fully Manual"/>
    <s v="QM"/>
    <s v="Comfort"/>
    <s v="Climate Control"/>
    <s v="Internal Ventilation Front"/>
    <s v="Basic"/>
    <s v="Actuator"/>
    <s v="Internal Blower Motor Front"/>
    <s v="Internal Blower Motor Front - Internal Ventilation Front"/>
    <m/>
    <m/>
    <s v="27;7"/>
    <m/>
    <m/>
    <m/>
    <m/>
    <s v="Yes"/>
    <s v="No"/>
    <s v="No"/>
    <n v="0.75"/>
    <n v="0.25"/>
    <n v="0.5"/>
    <n v="0.5"/>
  </r>
  <r>
    <x v="360"/>
    <s v="39.0_HVAC &amp; Thermal"/>
    <s v="39.10_PassengerThermal-System"/>
    <s v="F0x23"/>
    <s v="Internal Ventilation, without A/C"/>
    <s v="QM"/>
    <s v="Comfort"/>
    <s v="Climate Control"/>
    <s v="Internal Ventilation Front"/>
    <s v="Basic"/>
    <s v="Actuator"/>
    <s v="Internal Blower Motor Front"/>
    <s v="Internal Blower Motor Front - Internal Ventilation Front"/>
    <m/>
    <m/>
    <s v="27;7"/>
    <m/>
    <m/>
    <m/>
    <m/>
    <s v="No"/>
    <s v="No"/>
    <s v="No"/>
    <n v="0.75"/>
    <n v="0.25"/>
    <n v="0.5"/>
    <n v="0.5"/>
  </r>
  <r>
    <x v="361"/>
    <s v="10.0_Comfort &amp; Exterior"/>
    <s v="10.10_CentralLocking-System"/>
    <s v="F0027"/>
    <s v="Central Door Lock, Radio Control Key Front"/>
    <s v="QM"/>
    <s v="Comfort"/>
    <s v="Keyless Entry"/>
    <s v="Rear Bumber Receiving"/>
    <s v="with Keyless Entry and Start  System"/>
    <s v="Antenna"/>
    <s v="Near Field Communication Rear Bumber Antenna"/>
    <s v="Near Field Communication Rear Bumber Antenna - Rear Bumber Receiving"/>
    <m/>
    <m/>
    <s v="115;0"/>
    <s v="TE"/>
    <s v="2141467-1"/>
    <s v="2 Pos. NanoMQS 0,5mm Sealed"/>
    <m/>
    <s v="No"/>
    <s v="Yes"/>
    <s v="Yes"/>
    <n v="0"/>
    <n v="0"/>
    <n v="0"/>
    <n v="0"/>
  </r>
  <r>
    <x v="362"/>
    <s v="80.0_Cross-Functions"/>
    <s v="80.87_HMI-Design"/>
    <s v="F0248"/>
    <s v="Head-Up Display, integrated"/>
    <s v="QM"/>
    <s v="Infotainment"/>
    <s v="Instrument Cluster"/>
    <s v="Head-Up Display"/>
    <s v="Head-Up Display"/>
    <s v="Actuator"/>
    <s v="Head-Up Display"/>
    <s v="Head-Up Display - Head-Up Display"/>
    <m/>
    <m/>
    <s v="25;-9"/>
    <m/>
    <m/>
    <m/>
    <m/>
    <s v="No"/>
    <s v="No"/>
    <s v="Yes"/>
    <n v="1"/>
    <n v="1"/>
    <n v="0.8"/>
    <n v="0.8"/>
  </r>
  <r>
    <x v="363"/>
    <s v="39.0_HVAC &amp; Thermal"/>
    <s v="39.10_PassengerThermal-System"/>
    <s v="F0016"/>
    <s v="HVAC-System, 3- / 4-Zones"/>
    <s v="QM"/>
    <s v="Comfort"/>
    <s v="Climate Control"/>
    <s v="Internal Ventilation Front"/>
    <s v="Basic"/>
    <s v="Actuator"/>
    <s v="Internal Blower Motor Front"/>
    <s v="Internal Blower Motor Front - Internal Ventilation Front"/>
    <m/>
    <m/>
    <s v="27;7"/>
    <m/>
    <m/>
    <m/>
    <m/>
    <s v="No"/>
    <s v="No"/>
    <s v="Yes"/>
    <n v="0.75"/>
    <n v="0.25"/>
    <n v="0.5"/>
    <n v="0.5"/>
  </r>
  <r>
    <x v="363"/>
    <s v="39.0_HVAC &amp; Thermal"/>
    <s v="39.10_PassengerThermal-System"/>
    <s v="F0233"/>
    <s v="HVAC-Temperature, Automatic"/>
    <s v="QM"/>
    <s v="Comfort"/>
    <s v="Climate Control"/>
    <s v="Internal Ventilation Front"/>
    <s v="Basic"/>
    <s v="Actuator"/>
    <s v="Internal Blower Motor Front"/>
    <s v="Internal Blower Motor Front - Internal Ventilation Front"/>
    <m/>
    <m/>
    <s v="27;7"/>
    <m/>
    <m/>
    <m/>
    <m/>
    <s v="No"/>
    <s v="Yes"/>
    <s v="Yes"/>
    <n v="0.75"/>
    <n v="0.25"/>
    <n v="0.5"/>
    <n v="0.5"/>
  </r>
  <r>
    <x v="363"/>
    <s v="39.0_HVAC &amp; Thermal"/>
    <s v="39.10_PassengerThermal-System"/>
    <s v="F0234"/>
    <s v="HVAC-Blower, Automatic"/>
    <s v="QM"/>
    <s v="Comfort"/>
    <s v="Climate Control"/>
    <s v="Internal Ventilation Front"/>
    <s v="Basic"/>
    <s v="Actuator"/>
    <s v="Internal Blower Motor Front"/>
    <s v="Internal Blower Motor Front - Internal Ventilation Front"/>
    <m/>
    <m/>
    <s v="27;7"/>
    <m/>
    <m/>
    <m/>
    <m/>
    <s v="No"/>
    <s v="Yes"/>
    <s v="Yes"/>
    <n v="0.75"/>
    <n v="0.25"/>
    <n v="0.5"/>
    <n v="0.5"/>
  </r>
  <r>
    <x v="363"/>
    <s v="39.0_HVAC &amp; Thermal"/>
    <s v="39.10_PassengerThermal-System"/>
    <s v="F0721"/>
    <s v="HVAC-System, Rear Temperature Control"/>
    <s v="QM"/>
    <s v="Comfort"/>
    <s v="Climate Control"/>
    <s v="Internal Ventilation Front"/>
    <s v="Basic"/>
    <s v="Actuator"/>
    <s v="Internal Blower Motor Front"/>
    <s v="Internal Blower Motor Front - Internal Ventilation Front"/>
    <m/>
    <m/>
    <s v="27;7"/>
    <m/>
    <m/>
    <m/>
    <m/>
    <s v="No"/>
    <s v="No"/>
    <s v="Yes"/>
    <n v="0.75"/>
    <n v="0.25"/>
    <n v="0.5"/>
    <n v="0.5"/>
  </r>
  <r>
    <x v="363"/>
    <s v="39.0_HVAC &amp; Thermal"/>
    <s v="39.10_PassengerThermal-System"/>
    <s v="F0906"/>
    <s v="HVAC Preconditioning"/>
    <s v="QM"/>
    <s v="Comfort"/>
    <s v="Climate Control"/>
    <s v="Internal Ventilation Front"/>
    <s v="Basic"/>
    <s v="Actuator"/>
    <s v="Internal Blower Motor Front"/>
    <s v="Internal Blower Motor Front - Internal Ventilation Front"/>
    <m/>
    <m/>
    <s v="27;7"/>
    <m/>
    <m/>
    <m/>
    <m/>
    <s v="No"/>
    <s v="No"/>
    <s v="Yes"/>
    <n v="0.75"/>
    <n v="0.25"/>
    <n v="0.5"/>
    <n v="0.5"/>
  </r>
  <r>
    <x v="363"/>
    <s v="39.0_HVAC &amp; Thermal"/>
    <s v="39.10_PassengerThermal-System"/>
    <s v="F0x17"/>
    <s v="HVAC-System, 2-Zones Front"/>
    <s v="QM"/>
    <s v="Comfort"/>
    <s v="Climate Control"/>
    <s v="Internal Ventilation Front"/>
    <s v="Basic"/>
    <s v="Actuator"/>
    <s v="Internal Blower Motor Front"/>
    <s v="Internal Blower Motor Front - Internal Ventilation Front"/>
    <m/>
    <m/>
    <s v="27;7"/>
    <m/>
    <m/>
    <m/>
    <m/>
    <s v="No"/>
    <s v="Yes"/>
    <s v="No"/>
    <n v="0.75"/>
    <n v="0.25"/>
    <n v="0.5"/>
    <n v="0.5"/>
  </r>
  <r>
    <x v="364"/>
    <s v="10.0_Comfort &amp; Exterior"/>
    <s v="10.11_VehicleAccess-System"/>
    <s v="F0360"/>
    <s v="Anti Theft, Interior Surveillance Observation"/>
    <m/>
    <s v="Comfort"/>
    <s v="Anti-Theft"/>
    <s v="Internal Compartment Monitoring"/>
    <s v="Anti-Theft"/>
    <s v="Sensor"/>
    <s v="Sensor"/>
    <s v="Sensor - Internal Compartment Monitoring"/>
    <m/>
    <m/>
    <s v="43;0"/>
    <s v="TE"/>
    <s v="2282151-1"/>
    <s v="3 Pos. NanoMQS 0,5mm Unsealed"/>
    <m/>
    <s v="No"/>
    <s v="Yes"/>
    <s v="Yes"/>
    <n v="0"/>
    <n v="0"/>
    <n v="0"/>
    <n v="0"/>
  </r>
  <r>
    <x v="365"/>
    <s v="36.0_Infotainment &amp; Connectivity"/>
    <s v="36.12_Sound-System"/>
    <s v="F0x36"/>
    <s v="Sound System Front, 2 Midrange Speakers"/>
    <s v=" "/>
    <s v="Infotainment"/>
    <s v="Audio"/>
    <s v="Mid Range Speaker"/>
    <s v="Premium Audio System"/>
    <s v="Loudspeaker"/>
    <s v="Loudspeaker - Door Front Left"/>
    <s v="Loudspeaker - Door Front Left - Mid Range Speaker"/>
    <m/>
    <m/>
    <s v="36;-21"/>
    <s v="TE"/>
    <s v="157420-1"/>
    <s v="2 Pos. JPT 2,8mm Unsealed"/>
    <m/>
    <s v="No"/>
    <s v="No"/>
    <s v="Yes"/>
    <n v="0.25"/>
    <n v="0.35"/>
    <n v="0.4"/>
    <n v="0.3"/>
  </r>
  <r>
    <x v="365"/>
    <s v="36.0_Infotainment &amp; Connectivity"/>
    <s v="36.12_Sound-System"/>
    <s v="F1342"/>
    <s v="Road-noise Active Noise Cancelation (RANC)"/>
    <s v="QM"/>
    <s v="Infotainment"/>
    <s v="Audio"/>
    <s v="Mid Range Speaker"/>
    <s v="Premium Audio System"/>
    <s v="Loudspeaker"/>
    <s v="Loudspeaker - Door Front Left"/>
    <s v="Loudspeaker - Door Front Left - Mid Range Speaker"/>
    <m/>
    <m/>
    <s v="36;-21"/>
    <s v="TE"/>
    <s v="157420-1"/>
    <s v="2 Pos. JPT 2,8mm Unsealed"/>
    <m/>
    <s v="No"/>
    <s v="No"/>
    <s v="Yes"/>
    <n v="0.25"/>
    <n v="0.35"/>
    <n v="0.4"/>
    <n v="0.3"/>
  </r>
  <r>
    <x v="366"/>
    <s v="10.0_Comfort &amp; Exterior"/>
    <s v="10.10_CentralLocking-System"/>
    <s v="F0027"/>
    <s v="Central Door Lock, Radio Control Key Front"/>
    <s v="QM"/>
    <s v="Comfort"/>
    <s v="Keyless Entry"/>
    <s v="Trunk Compartment Receiving"/>
    <s v="with Keyless Entry and Start  System"/>
    <s v="Antenna"/>
    <s v="Near Field Communication Trunk Antenna"/>
    <s v="Near Field Communication Trunk Antenna - Trunk Compartment Receiving"/>
    <m/>
    <m/>
    <s v="87;0"/>
    <s v="TE"/>
    <s v="1-2302450-1"/>
    <s v="2 Pos. NanoMQS 0,5mm Unsealed"/>
    <m/>
    <s v="No"/>
    <s v="No"/>
    <s v="Yes"/>
    <n v="0"/>
    <n v="0"/>
    <n v="0"/>
    <n v="0"/>
  </r>
  <r>
    <x v="367"/>
    <s v="10.0_Comfort &amp; Exterior"/>
    <s v="10.10_CentralLocking-System"/>
    <s v="F0027"/>
    <s v="Central Door Lock, Radio Control Key Front"/>
    <s v="QM"/>
    <s v="Comfort"/>
    <s v="Keyless Entry"/>
    <s v="Interior Compartment Rear Receiving"/>
    <s v="with Keyless Entry and Start  System"/>
    <s v="Antenna"/>
    <s v="Near Field Communication Interior Rear Antenna"/>
    <s v="Near Field Communication Interior Rear Antenna - Interior Compartment Rear Receiving"/>
    <m/>
    <m/>
    <s v="61;0"/>
    <s v="TE"/>
    <s v="1-2302450-1"/>
    <s v="2 Pos. NanoMQS 0,5mm Unsealed"/>
    <m/>
    <s v="No"/>
    <s v="No"/>
    <s v="Yes"/>
    <n v="0"/>
    <n v="0"/>
    <n v="0"/>
    <n v="0"/>
  </r>
  <r>
    <x v="368"/>
    <s v="10.0_Comfort &amp; Exterior"/>
    <s v="10.11_VehicleAccess-System"/>
    <s v="F0068"/>
    <s v="Ignition Lock, Start-Stop-Button"/>
    <s v="A"/>
    <s v="Comfort"/>
    <s v="Keyless Entry"/>
    <s v="Center Console Receiving"/>
    <s v="with Keyless Entry and Start  System"/>
    <s v="Antenna"/>
    <s v="Near Field Communication Center Console Antenna"/>
    <s v="Near Field Communication Center Console Antenna - Center Console Receiving"/>
    <m/>
    <m/>
    <s v="36;0"/>
    <s v="TE"/>
    <s v="1-2302450-1"/>
    <s v="2 Pos. NanoMQS 0,5mm Unsealed"/>
    <m/>
    <s v="No"/>
    <s v="Yes"/>
    <s v="Yes"/>
    <n v="1"/>
    <n v="1"/>
    <n v="1"/>
    <n v="1"/>
  </r>
  <r>
    <x v="369"/>
    <s v="10.0_Comfort &amp; Exterior"/>
    <s v="10.20_Mirroring-System"/>
    <s v="F0249"/>
    <s v="Outside Mirror Camera"/>
    <m/>
    <s v="Drive Assistance"/>
    <s v="Driver Assistance System"/>
    <s v="Left Side View"/>
    <s v="L1+"/>
    <s v="Camera"/>
    <s v="Surround Camera Left"/>
    <s v="Surround Camera Left - Left Side View"/>
    <m/>
    <m/>
    <s v="35;-25"/>
    <s v="TE"/>
    <s v="0-1823853-1"/>
    <s v="5 Pos. HSD Ass'y Sealed"/>
    <s v="N/A"/>
    <s v="No"/>
    <s v="Yes"/>
    <s v="No"/>
    <n v="1"/>
    <n v="1"/>
    <n v="1"/>
    <n v="1"/>
  </r>
  <r>
    <x v="369"/>
    <s v="10.0_Comfort &amp; Exterior"/>
    <s v="10.20_Mirroring-System"/>
    <s v="F0912"/>
    <s v="Surround View, 3D-View"/>
    <m/>
    <s v="Drive Assistance"/>
    <s v="Driver Assistance System"/>
    <s v="Left Side View"/>
    <s v="L1+"/>
    <s v="Camera"/>
    <s v="Surround Camera Left"/>
    <s v="Surround Camera Left - Left Side View"/>
    <m/>
    <m/>
    <s v="35;-25"/>
    <s v="TE"/>
    <s v="0-1823853-1"/>
    <s v="5 Pos. HSD Ass'y Sealed"/>
    <s v="N/A"/>
    <s v="No"/>
    <s v="Yes"/>
    <s v="No"/>
    <n v="1"/>
    <n v="1"/>
    <n v="1"/>
    <n v="1"/>
  </r>
  <r>
    <x v="369"/>
    <s v="37.0_ADAS &amp; AutomatedDriving"/>
    <s v="37.02_Alerting-System"/>
    <s v="F0162"/>
    <s v="Object Detection, Traffic Sign Recognition"/>
    <m/>
    <s v="Drive Assistance"/>
    <s v="Driver Assistance System"/>
    <s v="Left Side View"/>
    <s v="L1+"/>
    <s v="Camera"/>
    <s v="Surround Camera Left"/>
    <s v="Surround Camera Left - Left Side View"/>
    <m/>
    <m/>
    <s v="35;-25"/>
    <s v="TE"/>
    <s v="0-1823853-1"/>
    <s v="5 Pos. HSD Ass'y Sealed"/>
    <s v="N/A"/>
    <s v="No"/>
    <s v="Yes"/>
    <s v="No"/>
    <n v="1"/>
    <n v="1"/>
    <n v="1"/>
    <n v="1"/>
  </r>
  <r>
    <x v="369"/>
    <s v="37.0_ADAS &amp; AutomatedDriving"/>
    <s v="37.02_Alerting-System"/>
    <s v="F0599"/>
    <s v="Event Recorder, Video Capturing"/>
    <m/>
    <s v="Drive Assistance"/>
    <s v="Driver Assistance System"/>
    <s v="Left Side View"/>
    <s v="L1+"/>
    <s v="Camera"/>
    <s v="Surround Camera Left"/>
    <s v="Surround Camera Left - Left Side View"/>
    <m/>
    <m/>
    <s v="35;-25"/>
    <s v="TE"/>
    <s v="0-1823853-1"/>
    <s v="5 Pos. HSD Ass'y Sealed"/>
    <s v="N/A"/>
    <s v="No"/>
    <s v="Yes"/>
    <s v="No"/>
    <n v="1"/>
    <n v="1"/>
    <n v="1"/>
    <n v="1"/>
  </r>
  <r>
    <x v="369"/>
    <s v="37.0_ADAS &amp; AutomatedDriving"/>
    <s v="37.20_Parking-System"/>
    <s v="F0155"/>
    <s v="Park Assist, Front"/>
    <m/>
    <s v="Drive Assistance"/>
    <s v="Driver Assistance System"/>
    <s v="Left Side View"/>
    <s v="L1+"/>
    <s v="Camera"/>
    <s v="Surround Camera Left"/>
    <s v="Surround Camera Left - Left Side View"/>
    <m/>
    <m/>
    <s v="35;-25"/>
    <s v="TE"/>
    <s v="0-1823853-1"/>
    <s v="5 Pos. HSD Ass'y Sealed"/>
    <s v="N/A"/>
    <s v="No"/>
    <s v="Yes"/>
    <s v="No"/>
    <n v="1"/>
    <n v="1"/>
    <n v="1"/>
    <n v="1"/>
  </r>
  <r>
    <x v="369"/>
    <s v="37.0_ADAS &amp; AutomatedDriving"/>
    <s v="37.20_Parking-System"/>
    <s v="F0156"/>
    <s v="Park Assist, Rear"/>
    <m/>
    <s v="Drive Assistance"/>
    <s v="Driver Assistance System"/>
    <s v="Left Side View"/>
    <s v="L1+"/>
    <s v="Camera"/>
    <s v="Surround Camera Left"/>
    <s v="Surround Camera Left - Left Side View"/>
    <m/>
    <m/>
    <s v="35;-25"/>
    <s v="TE"/>
    <s v="0-1823853-1"/>
    <s v="5 Pos. HSD Ass'y Sealed"/>
    <s v="N/A"/>
    <s v="No"/>
    <s v="Yes"/>
    <s v="No"/>
    <n v="1"/>
    <n v="1"/>
    <n v="1"/>
    <n v="1"/>
  </r>
  <r>
    <x v="369"/>
    <s v="37.0_ADAS &amp; AutomatedDriving"/>
    <s v="37.20_Parking-System"/>
    <s v="F1301"/>
    <s v="Drive Away Assist"/>
    <m/>
    <s v="Drive Assistance"/>
    <s v="Driver Assistance System"/>
    <s v="Left Side View"/>
    <s v="L1+"/>
    <s v="Camera"/>
    <s v="Surround Camera Left"/>
    <s v="Surround Camera Left - Left Side View"/>
    <m/>
    <m/>
    <s v="35;-25"/>
    <s v="TE"/>
    <s v="0-1823853-1"/>
    <s v="5 Pos. HSD Ass'y Sealed"/>
    <s v="N/A"/>
    <s v="No"/>
    <s v="Yes"/>
    <s v="No"/>
    <n v="1"/>
    <n v="1"/>
    <n v="1"/>
    <n v="1"/>
  </r>
  <r>
    <x v="369"/>
    <s v="37.0_ADAS &amp; AutomatedDriving"/>
    <s v="37.20_Parking-System"/>
    <s v="F1304"/>
    <s v="Park Assist, Side"/>
    <m/>
    <s v="Drive Assistance"/>
    <s v="Driver Assistance System"/>
    <s v="Left Side View"/>
    <s v="L1+"/>
    <s v="Camera"/>
    <s v="Surround Camera Left"/>
    <s v="Surround Camera Left - Left Side View"/>
    <m/>
    <m/>
    <s v="35;-25"/>
    <s v="TE"/>
    <s v="0-1823853-1"/>
    <s v="5 Pos. HSD Ass'y Sealed"/>
    <s v="N/A"/>
    <s v="No"/>
    <s v="Yes"/>
    <s v="No"/>
    <n v="1"/>
    <n v="1"/>
    <n v="1"/>
    <n v="1"/>
  </r>
  <r>
    <x v="369"/>
    <s v="37.0_ADAS &amp; AutomatedDriving"/>
    <s v="37.20_Parking-System"/>
    <s v="F2003"/>
    <s v="Automatic Parking Support"/>
    <m/>
    <s v="Drive Assistance"/>
    <s v="Driver Assistance System"/>
    <s v="Left Side View"/>
    <s v="L1+"/>
    <s v="Camera"/>
    <s v="Surround Camera Left"/>
    <s v="Surround Camera Left - Left Side View"/>
    <m/>
    <m/>
    <s v="35;-25"/>
    <s v="TE"/>
    <s v="0-1823853-1"/>
    <s v="5 Pos. HSD Ass'y Sealed"/>
    <s v="N/A"/>
    <s v="No"/>
    <s v="Yes"/>
    <s v="No"/>
    <n v="1"/>
    <n v="1"/>
    <n v="1"/>
    <n v="1"/>
  </r>
  <r>
    <x v="370"/>
    <s v="10.0_Comfort &amp; Exterior"/>
    <s v="10.20_Mirroring-System"/>
    <s v="F0249"/>
    <s v="Outside Mirror Camera"/>
    <m/>
    <s v="Drive Assistance"/>
    <s v="Driver Assistance System"/>
    <s v="Right Side View"/>
    <s v="L1+"/>
    <s v="Camera"/>
    <s v="Surround Camera Right"/>
    <s v="Surround Camera Right - Right Side View"/>
    <m/>
    <m/>
    <s v="35;25"/>
    <s v="TE"/>
    <s v="0-1823853-1"/>
    <s v="5 Pos. HSD Ass'y Sealed"/>
    <s v="N/A"/>
    <s v="No"/>
    <s v="Yes"/>
    <s v="No"/>
    <n v="1"/>
    <n v="1"/>
    <n v="1"/>
    <n v="1"/>
  </r>
  <r>
    <x v="370"/>
    <s v="10.0_Comfort &amp; Exterior"/>
    <s v="10.20_Mirroring-System"/>
    <s v="F0912"/>
    <s v="Surround View, 3D-View"/>
    <m/>
    <s v="Drive Assistance"/>
    <s v="Driver Assistance System"/>
    <s v="Right Side View"/>
    <s v="L1+"/>
    <s v="Camera"/>
    <s v="Surround Camera Right"/>
    <s v="Surround Camera Right - Right Side View"/>
    <m/>
    <m/>
    <s v="35;25"/>
    <s v="TE"/>
    <s v="0-1823853-1"/>
    <s v="5 Pos. HSD Ass'y Sealed"/>
    <s v="N/A"/>
    <s v="No"/>
    <s v="Yes"/>
    <s v="No"/>
    <n v="1"/>
    <n v="1"/>
    <n v="1"/>
    <n v="1"/>
  </r>
  <r>
    <x v="370"/>
    <s v="37.0_ADAS &amp; AutomatedDriving"/>
    <s v="37.02_Alerting-System"/>
    <s v="F0162"/>
    <s v="Object Detection, Traffic Sign Recognition"/>
    <m/>
    <s v="Drive Assistance"/>
    <s v="Driver Assistance System"/>
    <s v="Right Side View"/>
    <s v="L1+"/>
    <s v="Camera"/>
    <s v="Surround Camera Right"/>
    <s v="Surround Camera Right - Right Side View"/>
    <m/>
    <m/>
    <s v="35;25"/>
    <s v="TE"/>
    <s v="0-1823853-1"/>
    <s v="5 Pos. HSD Ass'y Sealed"/>
    <s v="N/A"/>
    <s v="No"/>
    <s v="Yes"/>
    <s v="No"/>
    <n v="1"/>
    <n v="1"/>
    <n v="1"/>
    <n v="1"/>
  </r>
  <r>
    <x v="370"/>
    <s v="37.0_ADAS &amp; AutomatedDriving"/>
    <s v="37.02_Alerting-System"/>
    <s v="F0599"/>
    <s v="Event Recorder, Video Capturing"/>
    <m/>
    <s v="Drive Assistance"/>
    <s v="Driver Assistance System"/>
    <s v="Right Side View"/>
    <s v="L1+"/>
    <s v="Camera"/>
    <s v="Surround Camera Right"/>
    <s v="Surround Camera Right - Right Side View"/>
    <m/>
    <m/>
    <s v="35;25"/>
    <s v="TE"/>
    <s v="0-1823853-1"/>
    <s v="5 Pos. HSD Ass'y Sealed"/>
    <s v="N/A"/>
    <s v="No"/>
    <s v="Yes"/>
    <s v="No"/>
    <n v="1"/>
    <n v="1"/>
    <n v="1"/>
    <n v="1"/>
  </r>
  <r>
    <x v="370"/>
    <s v="37.0_ADAS &amp; AutomatedDriving"/>
    <s v="37.20_Parking-System"/>
    <s v="F0155"/>
    <s v="Park Assist, Front"/>
    <m/>
    <s v="Drive Assistance"/>
    <s v="Driver Assistance System"/>
    <s v="Right Side View"/>
    <s v="L1+"/>
    <s v="Camera"/>
    <s v="Surround Camera Right"/>
    <s v="Surround Camera Right - Right Side View"/>
    <m/>
    <m/>
    <s v="35;25"/>
    <s v="TE"/>
    <s v="0-1823853-1"/>
    <s v="5 Pos. HSD Ass'y Sealed"/>
    <s v="N/A"/>
    <s v="No"/>
    <s v="Yes"/>
    <s v="No"/>
    <n v="1"/>
    <n v="1"/>
    <n v="1"/>
    <n v="1"/>
  </r>
  <r>
    <x v="370"/>
    <s v="37.0_ADAS &amp; AutomatedDriving"/>
    <s v="37.20_Parking-System"/>
    <s v="F0156"/>
    <s v="Park Assist, Rear"/>
    <m/>
    <s v="Drive Assistance"/>
    <s v="Driver Assistance System"/>
    <s v="Right Side View"/>
    <s v="L1+"/>
    <s v="Camera"/>
    <s v="Surround Camera Right"/>
    <s v="Surround Camera Right - Right Side View"/>
    <m/>
    <m/>
    <s v="35;25"/>
    <s v="TE"/>
    <s v="0-1823853-1"/>
    <s v="5 Pos. HSD Ass'y Sealed"/>
    <s v="N/A"/>
    <s v="No"/>
    <s v="Yes"/>
    <s v="No"/>
    <n v="1"/>
    <n v="1"/>
    <n v="1"/>
    <n v="1"/>
  </r>
  <r>
    <x v="370"/>
    <s v="37.0_ADAS &amp; AutomatedDriving"/>
    <s v="37.20_Parking-System"/>
    <s v="F1301"/>
    <s v="Drive Away Assist"/>
    <m/>
    <s v="Drive Assistance"/>
    <s v="Driver Assistance System"/>
    <s v="Right Side View"/>
    <s v="L1+"/>
    <s v="Camera"/>
    <s v="Surround Camera Right"/>
    <s v="Surround Camera Right - Right Side View"/>
    <m/>
    <m/>
    <s v="35;25"/>
    <s v="TE"/>
    <s v="0-1823853-1"/>
    <s v="5 Pos. HSD Ass'y Sealed"/>
    <s v="N/A"/>
    <s v="No"/>
    <s v="Yes"/>
    <s v="No"/>
    <n v="1"/>
    <n v="1"/>
    <n v="1"/>
    <n v="1"/>
  </r>
  <r>
    <x v="370"/>
    <s v="37.0_ADAS &amp; AutomatedDriving"/>
    <s v="37.20_Parking-System"/>
    <s v="F1304"/>
    <s v="Park Assist, Side"/>
    <m/>
    <s v="Drive Assistance"/>
    <s v="Driver Assistance System"/>
    <s v="Right Side View"/>
    <s v="L1+"/>
    <s v="Camera"/>
    <s v="Surround Camera Right"/>
    <s v="Surround Camera Right - Right Side View"/>
    <m/>
    <m/>
    <s v="35;25"/>
    <s v="TE"/>
    <s v="0-1823853-1"/>
    <s v="5 Pos. HSD Ass'y Sealed"/>
    <s v="N/A"/>
    <s v="No"/>
    <s v="Yes"/>
    <s v="No"/>
    <n v="1"/>
    <n v="1"/>
    <n v="1"/>
    <n v="1"/>
  </r>
  <r>
    <x v="370"/>
    <s v="37.0_ADAS &amp; AutomatedDriving"/>
    <s v="37.20_Parking-System"/>
    <s v="F2003"/>
    <s v="Automatic Parking Support"/>
    <m/>
    <s v="Drive Assistance"/>
    <s v="Driver Assistance System"/>
    <s v="Right Side View"/>
    <s v="L1+"/>
    <s v="Camera"/>
    <s v="Surround Camera Right"/>
    <s v="Surround Camera Right - Right Side View"/>
    <m/>
    <m/>
    <s v="35;25"/>
    <s v="TE"/>
    <s v="0-1823853-1"/>
    <s v="5 Pos. HSD Ass'y Sealed"/>
    <s v="N/A"/>
    <s v="No"/>
    <s v="Yes"/>
    <s v="No"/>
    <n v="1"/>
    <n v="1"/>
    <n v="1"/>
    <n v="1"/>
  </r>
  <r>
    <x v="371"/>
    <s v="39.0_HVAC &amp; Thermal"/>
    <s v="39.10_PassengerThermal-System"/>
    <s v="F0721"/>
    <s v="HVAC-System, Rear Temperature Control"/>
    <s v="QM"/>
    <s v="Comfort"/>
    <s v="Climate Control"/>
    <s v="Command Panel and Computing"/>
    <s v="with Rear Air Conditioning"/>
    <s v="Control Unit"/>
    <s v="Rear Control Unit with User Selector"/>
    <s v="Rear Control Unit with User Selector - Command Panel and Computing"/>
    <m/>
    <m/>
    <s v="61;0"/>
    <s v="TE"/>
    <s v="1745000-3"/>
    <s v="8 Pos. MQS 0,63mm Unsealed"/>
    <s v="No"/>
    <s v="No"/>
    <s v="No"/>
    <s v="Yes"/>
    <n v="1"/>
    <n v="1"/>
    <n v="1"/>
    <n v="1"/>
  </r>
  <r>
    <x v="371"/>
    <s v="39.0_HVAC &amp; Thermal"/>
    <s v="39.10_PassengerThermal-System"/>
    <s v="F0722"/>
    <s v="HVAC-System, Rear HVAC Off"/>
    <s v="QM"/>
    <s v="Comfort"/>
    <s v="Climate Control"/>
    <s v="Command Panel and Computing"/>
    <s v="with Rear Air Conditioning"/>
    <s v="Control Unit"/>
    <s v="Rear Control Unit with User Selector"/>
    <s v="Rear Control Unit with User Selector - Command Panel and Computing"/>
    <m/>
    <m/>
    <s v="61;0"/>
    <s v="TE"/>
    <s v="1745000-3"/>
    <s v="8 Pos. MQS 0,63mm Unsealed"/>
    <s v="No"/>
    <s v="No"/>
    <s v="No"/>
    <s v="Yes"/>
    <n v="1"/>
    <n v="1"/>
    <n v="1"/>
    <n v="1"/>
  </r>
  <r>
    <x v="372"/>
    <s v="28.0_Powertrain &amp; Driveability"/>
    <m/>
    <m/>
    <m/>
    <s v=" "/>
    <s v="Powertrain"/>
    <s v="Engine"/>
    <s v="Fuel Pump"/>
    <s v="ICE"/>
    <s v="Actuator"/>
    <s v="Fuel Pump"/>
    <s v="Fuel Pump - Fuel Pump"/>
    <m/>
    <m/>
    <m/>
    <m/>
    <m/>
    <m/>
    <m/>
    <m/>
    <m/>
    <m/>
    <m/>
    <m/>
    <m/>
    <m/>
  </r>
  <r>
    <x v="373"/>
    <s v="14.0_HMI &amp; OutsideInformation"/>
    <s v="14.10_DriverInformation-System"/>
    <s v="F0172"/>
    <s v="Indications, Board computer"/>
    <m/>
    <s v="Powertrain"/>
    <s v="Engine"/>
    <s v="Fuel Level"/>
    <s v="ICE"/>
    <s v="Sensor"/>
    <s v="Fuel Pump"/>
    <s v="Fuel Pump - Fuel Level"/>
    <m/>
    <m/>
    <m/>
    <m/>
    <m/>
    <m/>
    <m/>
    <m/>
    <m/>
    <m/>
    <m/>
    <m/>
    <m/>
    <m/>
  </r>
  <r>
    <x v="374"/>
    <s v="13.0_Comfort &amp; Interior"/>
    <s v="13.30_InsideLighting-System"/>
    <s v="F0382"/>
    <s v="Trunk Lighting"/>
    <s v="QM"/>
    <s v="Comfort"/>
    <s v="Internal Illumination"/>
    <s v="Luggage Compartment Illumination"/>
    <s v="Basic"/>
    <s v="Actuator"/>
    <s v="LED Lamp"/>
    <s v="LED Lamp - Luggage Compartment Illumination"/>
    <m/>
    <m/>
    <s v="104;-17"/>
    <s v="TE"/>
    <s v="1-929080-5"/>
    <s v="2 Pos. MQS 0,63mm Unsealed"/>
    <m/>
    <s v="Yes"/>
    <s v="Yes"/>
    <s v="Yes"/>
    <n v="0"/>
    <n v="0"/>
    <n v="0"/>
    <n v="0"/>
  </r>
  <r>
    <x v="375"/>
    <s v="14.0_HMI &amp; OutsideInformation"/>
    <s v="14.10_DriverInformation-System"/>
    <s v="F0172"/>
    <s v="Indications, Board computer"/>
    <m/>
    <s v="Infotainment"/>
    <s v="Instrument Cluster"/>
    <s v="Driver Information"/>
    <s v="Basic"/>
    <s v="Actuator"/>
    <s v="Instrument Cluster"/>
    <s v="Instrument Cluster - Driver Information"/>
    <m/>
    <m/>
    <s v="28;-9"/>
    <m/>
    <m/>
    <m/>
    <m/>
    <s v="Yes"/>
    <s v="No"/>
    <s v="No"/>
    <n v="0.7"/>
    <n v="0.7"/>
    <n v="0.5"/>
    <n v="0.5"/>
  </r>
  <r>
    <x v="375"/>
    <s v="80.0_Cross-Functions"/>
    <s v="80.87_HMI-Design"/>
    <s v="F2016"/>
    <s v="Instrument Panel Cluster"/>
    <m/>
    <s v="Infotainment"/>
    <s v="Instrument Cluster"/>
    <s v="Driver Information"/>
    <s v="Basic"/>
    <s v="Actuator"/>
    <s v="Instrument Cluster"/>
    <s v="Instrument Cluster - Driver Information"/>
    <m/>
    <m/>
    <s v="28;-9"/>
    <m/>
    <m/>
    <m/>
    <m/>
    <s v="Yes"/>
    <s v="No"/>
    <s v="No"/>
    <n v="0.7"/>
    <n v="0.7"/>
    <n v="0.5"/>
    <n v="0.5"/>
  </r>
  <r>
    <x v="376"/>
    <s v="39.0_HVAC &amp; Thermal"/>
    <s v="39.10_PassengerThermal-System"/>
    <s v="F0016"/>
    <s v="HVAC-System, 3- / 4-Zones"/>
    <s v="QM"/>
    <s v="Comfort"/>
    <s v="Climate Control"/>
    <s v="Refrigerant Flow"/>
    <s v="EV with Air Conditioning"/>
    <s v="Actuator"/>
    <s v="Clutch Compressor HV"/>
    <s v="Clutch Compressor HV - Refrigerant Flow"/>
    <m/>
    <m/>
    <s v="1;14"/>
    <s v="TE"/>
    <s v="1823679-1"/>
    <s v="3 Pos. MCP 1,5mm Sealed"/>
    <m/>
    <s v="No"/>
    <s v="No"/>
    <s v="Yes"/>
    <n v="0.7"/>
    <n v="0"/>
    <n v="0"/>
    <n v="0.7"/>
  </r>
  <r>
    <x v="376"/>
    <s v="39.0_HVAC &amp; Thermal"/>
    <s v="39.10_PassengerThermal-System"/>
    <s v="F0233"/>
    <s v="HVAC-Temperature, Automatic"/>
    <s v="QM"/>
    <s v="Comfort"/>
    <s v="Climate Control"/>
    <s v="Refrigerant Flow"/>
    <s v="EV with Air Conditioning"/>
    <s v="Actuator"/>
    <s v="Clutch Compressor HV"/>
    <s v="Clutch Compressor HV - Refrigerant Flow"/>
    <m/>
    <m/>
    <s v="1;14"/>
    <s v="TE"/>
    <s v="1823679-1"/>
    <s v="3 Pos. MCP 1,5mm Sealed"/>
    <m/>
    <s v="No"/>
    <s v="Yes"/>
    <s v="Yes"/>
    <n v="0.7"/>
    <n v="0"/>
    <n v="0"/>
    <n v="0.7"/>
  </r>
  <r>
    <x v="376"/>
    <s v="39.0_HVAC &amp; Thermal"/>
    <s v="39.10_PassengerThermal-System"/>
    <s v="F0234"/>
    <s v="HVAC-Blower, Automatic"/>
    <s v="QM"/>
    <s v="Comfort"/>
    <s v="Climate Control"/>
    <s v="Refrigerant Flow"/>
    <s v="EV with Air Conditioning"/>
    <s v="Actuator"/>
    <s v="Clutch Compressor HV"/>
    <s v="Clutch Compressor HV - Refrigerant Flow"/>
    <m/>
    <m/>
    <s v="1;14"/>
    <s v="TE"/>
    <s v="1823679-1"/>
    <s v="3 Pos. MCP 1,5mm Sealed"/>
    <m/>
    <s v="No"/>
    <s v="Yes"/>
    <s v="Yes"/>
    <n v="0.7"/>
    <n v="0"/>
    <n v="0"/>
    <n v="0.7"/>
  </r>
  <r>
    <x v="376"/>
    <s v="39.0_HVAC &amp; Thermal"/>
    <s v="39.10_PassengerThermal-System"/>
    <s v="F0483"/>
    <s v="HVAC-System, Fully Manual"/>
    <s v="QM"/>
    <s v="Comfort"/>
    <s v="Climate Control"/>
    <s v="Refrigerant Flow"/>
    <s v="EV with Air Conditioning"/>
    <s v="Actuator"/>
    <s v="Clutch Compressor HV"/>
    <s v="Clutch Compressor HV - Refrigerant Flow"/>
    <m/>
    <m/>
    <s v="1;14"/>
    <s v="TE"/>
    <s v="1823679-1"/>
    <s v="3 Pos. MCP 1,5mm Sealed"/>
    <m/>
    <s v="Yes"/>
    <s v="No"/>
    <s v="No"/>
    <n v="0.7"/>
    <n v="0"/>
    <n v="0"/>
    <n v="0.7"/>
  </r>
  <r>
    <x v="376"/>
    <s v="39.0_HVAC &amp; Thermal"/>
    <s v="39.10_PassengerThermal-System"/>
    <s v="F0721"/>
    <s v="HVAC-System, Rear Temperature Control"/>
    <s v="QM"/>
    <s v="Comfort"/>
    <s v="Climate Control"/>
    <s v="Refrigerant Flow"/>
    <s v="EV with Air Conditioning"/>
    <s v="Actuator"/>
    <s v="Clutch Compressor HV"/>
    <s v="Clutch Compressor HV - Refrigerant Flow"/>
    <m/>
    <m/>
    <s v="1;14"/>
    <s v="TE"/>
    <s v="1823679-1"/>
    <s v="3 Pos. MCP 1,5mm Sealed"/>
    <m/>
    <s v="No"/>
    <s v="No"/>
    <s v="Yes"/>
    <n v="0.7"/>
    <n v="0"/>
    <n v="0"/>
    <n v="0.7"/>
  </r>
  <r>
    <x v="376"/>
    <s v="39.0_HVAC &amp; Thermal"/>
    <s v="39.10_PassengerThermal-System"/>
    <s v="F0722"/>
    <s v="HVAC-System, Rear HVAC Off"/>
    <s v="QM"/>
    <s v="Comfort"/>
    <s v="Climate Control"/>
    <s v="Refrigerant Flow"/>
    <s v="EV with Air Conditioning"/>
    <s v="Actuator"/>
    <s v="Clutch Compressor HV"/>
    <s v="Clutch Compressor HV - Refrigerant Flow"/>
    <m/>
    <m/>
    <s v="1;14"/>
    <s v="TE"/>
    <s v="1823679-1"/>
    <s v="3 Pos. MCP 1,5mm Sealed"/>
    <m/>
    <s v="No"/>
    <s v="No"/>
    <s v="Yes"/>
    <n v="0.7"/>
    <n v="0"/>
    <n v="0"/>
    <n v="0.7"/>
  </r>
  <r>
    <x v="376"/>
    <s v="39.0_HVAC &amp; Thermal"/>
    <s v="39.10_PassengerThermal-System"/>
    <s v="F0x17"/>
    <s v="HVAC-System, 2-Zones Front"/>
    <s v="QM"/>
    <s v="Comfort"/>
    <s v="Climate Control"/>
    <s v="Refrigerant Flow"/>
    <s v="EV with Air Conditioning"/>
    <s v="Actuator"/>
    <s v="Clutch Compressor HV"/>
    <s v="Clutch Compressor HV - Refrigerant Flow"/>
    <m/>
    <m/>
    <s v="1;14"/>
    <s v="TE"/>
    <s v="1823679-1"/>
    <s v="3 Pos. MCP 1,5mm Sealed"/>
    <m/>
    <s v="No"/>
    <s v="Yes"/>
    <s v="No"/>
    <n v="0.7"/>
    <n v="0"/>
    <n v="0"/>
    <n v="0.7"/>
  </r>
  <r>
    <x v="377"/>
    <s v="39.0_HVAC &amp; Thermal"/>
    <s v="39.10_PassengerThermal-System"/>
    <s v="F0016"/>
    <s v="HVAC-System, 3- / 4-Zones"/>
    <s v="QM"/>
    <s v="Comfort"/>
    <s v="Climate Control"/>
    <s v="Refrigerant Flow"/>
    <s v="with Air Conditioning"/>
    <s v="Actuator"/>
    <s v="Clutch Compressor"/>
    <s v="Clutch Compressor - Refrigerant Flow"/>
    <m/>
    <m/>
    <s v="1;14"/>
    <s v="TE"/>
    <s v="1823679-1"/>
    <s v="3 Pos. MCP 1,5mm Sealed"/>
    <m/>
    <s v="No"/>
    <s v="No"/>
    <s v="Yes"/>
    <n v="0.7"/>
    <n v="0"/>
    <n v="0"/>
    <n v="0.5"/>
  </r>
  <r>
    <x v="377"/>
    <s v="39.0_HVAC &amp; Thermal"/>
    <s v="39.10_PassengerThermal-System"/>
    <s v="F0233"/>
    <s v="HVAC-Temperature, Automatic"/>
    <s v="QM"/>
    <s v="Comfort"/>
    <s v="Climate Control"/>
    <s v="Refrigerant Flow"/>
    <s v="with Air Conditioning"/>
    <s v="Actuator"/>
    <s v="Clutch Compressor"/>
    <s v="Clutch Compressor - Refrigerant Flow"/>
    <m/>
    <m/>
    <s v="1;14"/>
    <s v="TE"/>
    <s v="1823679-1"/>
    <s v="3 Pos. MCP 1,5mm Sealed"/>
    <m/>
    <s v="No"/>
    <s v="Yes"/>
    <s v="Yes"/>
    <n v="0.7"/>
    <n v="0"/>
    <n v="0"/>
    <n v="0.5"/>
  </r>
  <r>
    <x v="377"/>
    <s v="39.0_HVAC &amp; Thermal"/>
    <s v="39.10_PassengerThermal-System"/>
    <s v="F0234"/>
    <s v="HVAC-Blower, Automatic"/>
    <s v="QM"/>
    <s v="Comfort"/>
    <s v="Climate Control"/>
    <s v="Refrigerant Flow"/>
    <s v="with Air Conditioning"/>
    <s v="Actuator"/>
    <s v="Clutch Compressor"/>
    <s v="Clutch Compressor - Refrigerant Flow"/>
    <m/>
    <m/>
    <s v="1;14"/>
    <s v="TE"/>
    <s v="1823679-1"/>
    <s v="3 Pos. MCP 1,5mm Sealed"/>
    <m/>
    <s v="No"/>
    <s v="Yes"/>
    <s v="Yes"/>
    <n v="0.7"/>
    <n v="0"/>
    <n v="0"/>
    <n v="0.5"/>
  </r>
  <r>
    <x v="377"/>
    <s v="39.0_HVAC &amp; Thermal"/>
    <s v="39.10_PassengerThermal-System"/>
    <s v="F0483"/>
    <s v="HVAC-System, Fully Manual"/>
    <s v="QM"/>
    <s v="Comfort"/>
    <s v="Climate Control"/>
    <s v="Refrigerant Flow"/>
    <s v="with Air Conditioning"/>
    <s v="Actuator"/>
    <s v="Clutch Compressor"/>
    <s v="Clutch Compressor - Refrigerant Flow"/>
    <m/>
    <m/>
    <s v="1;14"/>
    <s v="TE"/>
    <s v="1823679-1"/>
    <s v="3 Pos. MCP 1,5mm Sealed"/>
    <m/>
    <s v="Yes"/>
    <s v="No"/>
    <s v="No"/>
    <n v="0.7"/>
    <n v="0"/>
    <n v="0"/>
    <n v="0.5"/>
  </r>
  <r>
    <x v="377"/>
    <s v="39.0_HVAC &amp; Thermal"/>
    <s v="39.10_PassengerThermal-System"/>
    <s v="F0721"/>
    <s v="HVAC-System, Rear Temperature Control"/>
    <s v="QM"/>
    <s v="Comfort"/>
    <s v="Climate Control"/>
    <s v="Refrigerant Flow"/>
    <s v="with Air Conditioning"/>
    <s v="Actuator"/>
    <s v="Clutch Compressor"/>
    <s v="Clutch Compressor - Refrigerant Flow"/>
    <m/>
    <m/>
    <s v="1;14"/>
    <s v="TE"/>
    <s v="1823679-1"/>
    <s v="3 Pos. MCP 1,5mm Sealed"/>
    <m/>
    <s v="No"/>
    <s v="No"/>
    <s v="Yes"/>
    <n v="0.7"/>
    <n v="0"/>
    <n v="0"/>
    <n v="0.5"/>
  </r>
  <r>
    <x v="377"/>
    <s v="39.0_HVAC &amp; Thermal"/>
    <s v="39.10_PassengerThermal-System"/>
    <s v="F0722"/>
    <s v="HVAC-System, Rear HVAC Off"/>
    <s v="QM"/>
    <s v="Comfort"/>
    <s v="Climate Control"/>
    <s v="Refrigerant Flow"/>
    <s v="with Air Conditioning"/>
    <s v="Actuator"/>
    <s v="Clutch Compressor"/>
    <s v="Clutch Compressor - Refrigerant Flow"/>
    <m/>
    <m/>
    <s v="1;14"/>
    <s v="TE"/>
    <s v="1823679-1"/>
    <s v="3 Pos. MCP 1,5mm Sealed"/>
    <m/>
    <s v="No"/>
    <s v="No"/>
    <s v="Yes"/>
    <n v="0.7"/>
    <n v="0"/>
    <n v="0"/>
    <n v="0.5"/>
  </r>
  <r>
    <x v="377"/>
    <s v="39.0_HVAC &amp; Thermal"/>
    <s v="39.10_PassengerThermal-System"/>
    <s v="F0x17"/>
    <s v="HVAC-System, 2-Zones Front"/>
    <s v="QM"/>
    <s v="Comfort"/>
    <s v="Climate Control"/>
    <s v="Refrigerant Flow"/>
    <s v="with Air Conditioning"/>
    <s v="Actuator"/>
    <s v="Clutch Compressor"/>
    <s v="Clutch Compressor - Refrigerant Flow"/>
    <m/>
    <m/>
    <s v="1;14"/>
    <s v="TE"/>
    <s v="1823679-1"/>
    <s v="3 Pos. MCP 1,5mm Sealed"/>
    <m/>
    <s v="No"/>
    <s v="Yes"/>
    <s v="No"/>
    <n v="0.7"/>
    <n v="0"/>
    <n v="0"/>
    <n v="0.5"/>
  </r>
  <r>
    <x v="378"/>
    <s v="39.0_HVAC &amp; Thermal"/>
    <s v="39.10_PassengerThermal-System"/>
    <s v="F0483"/>
    <s v="HVAC-System, Fully Manual"/>
    <s v="QM"/>
    <s v="Comfort"/>
    <s v="Climate Control"/>
    <s v="Refrigerant Flow"/>
    <s v="with Air Conditioning"/>
    <s v="Actuator"/>
    <s v="Clutch Compressor"/>
    <s v="Clutch Compressor - Refrigerant Flow"/>
    <m/>
    <m/>
    <s v="7;16"/>
    <s v="TE"/>
    <s v="1-1355200-1"/>
    <s v="2 Pos. MCP 2,8mm Sealed"/>
    <m/>
    <s v="Yes"/>
    <s v="No"/>
    <s v="No"/>
    <n v="0.7"/>
    <n v="0"/>
    <n v="0"/>
    <n v="0.5"/>
  </r>
  <r>
    <x v="379"/>
    <s v="39.0_HVAC &amp; Thermal"/>
    <s v="39.10_PassengerThermal-System"/>
    <s v="F0016"/>
    <s v="HVAC-System, 3- / 4-Zones"/>
    <s v="QM"/>
    <s v="Comfort"/>
    <s v="Climate Control"/>
    <s v="Command Panel and Computing"/>
    <s v="with Automatic Air Conditioning"/>
    <s v="Control Unit"/>
    <s v="Front Control Unit with User Selector"/>
    <s v="Front Control Unit with User Selector - Command Panel and Computing"/>
    <m/>
    <m/>
    <s v="33;1"/>
    <s v="TE"/>
    <s v="1379029-1"/>
    <s v="4 Pos. MQS 0,63mm Unsealed"/>
    <m/>
    <s v="No"/>
    <s v="No"/>
    <s v="Yes"/>
    <n v="1"/>
    <n v="1"/>
    <n v="0.5"/>
    <n v="0.5"/>
  </r>
  <r>
    <x v="379"/>
    <s v="39.0_HVAC &amp; Thermal"/>
    <s v="39.10_PassengerThermal-System"/>
    <s v="F0116"/>
    <s v="HVAC-Defrost, Manual"/>
    <s v="QM"/>
    <s v="Comfort"/>
    <s v="Climate Control"/>
    <s v="Command Panel and Computing"/>
    <s v="with Automatic Air Conditioning"/>
    <s v="Control Unit"/>
    <s v="Front Control Unit with User Selector"/>
    <s v="Front Control Unit with User Selector - Command Panel and Computing"/>
    <m/>
    <m/>
    <s v="33;1"/>
    <s v="TE"/>
    <s v="1379029-1"/>
    <s v="4 Pos. MQS 0,63mm Unsealed"/>
    <m/>
    <s v="No"/>
    <s v="Yes"/>
    <s v="Yes"/>
    <n v="1"/>
    <n v="1"/>
    <n v="0.5"/>
    <n v="0.5"/>
  </r>
  <r>
    <x v="379"/>
    <s v="39.0_HVAC &amp; Thermal"/>
    <s v="39.10_PassengerThermal-System"/>
    <s v="F0233"/>
    <s v="HVAC-Temperature, Automatic"/>
    <s v="QM"/>
    <s v="Comfort"/>
    <s v="Climate Control"/>
    <s v="Command Panel and Computing"/>
    <s v="with Automatic Air Conditioning"/>
    <s v="Control Unit"/>
    <s v="Front Control Unit with User Selector"/>
    <s v="Front Control Unit with User Selector - Command Panel and Computing"/>
    <m/>
    <m/>
    <s v="33;1"/>
    <s v="TE"/>
    <s v="1379029-1"/>
    <s v="4 Pos. MQS 0,63mm Unsealed"/>
    <m/>
    <s v="No"/>
    <s v="Yes"/>
    <s v="Yes"/>
    <n v="1"/>
    <n v="1"/>
    <n v="0.5"/>
    <n v="0.5"/>
  </r>
  <r>
    <x v="379"/>
    <s v="39.0_HVAC &amp; Thermal"/>
    <s v="39.10_PassengerThermal-System"/>
    <s v="F0234"/>
    <s v="HVAC-Blower, Automatic"/>
    <s v="QM"/>
    <s v="Comfort"/>
    <s v="Climate Control"/>
    <s v="Command Panel and Computing"/>
    <s v="with Automatic Air Conditioning"/>
    <s v="Control Unit"/>
    <s v="Front Control Unit with User Selector"/>
    <s v="Front Control Unit with User Selector - Command Panel and Computing"/>
    <m/>
    <m/>
    <s v="33;1"/>
    <s v="TE"/>
    <s v="1379029-1"/>
    <s v="4 Pos. MQS 0,63mm Unsealed"/>
    <m/>
    <s v="No"/>
    <s v="Yes"/>
    <s v="Yes"/>
    <n v="1"/>
    <n v="1"/>
    <n v="0.5"/>
    <n v="0.5"/>
  </r>
  <r>
    <x v="379"/>
    <s v="39.0_HVAC &amp; Thermal"/>
    <s v="39.10_PassengerThermal-System"/>
    <s v="F0906"/>
    <s v="HVAC Preconditioning"/>
    <s v="QM"/>
    <s v="Comfort"/>
    <s v="Climate Control"/>
    <s v="Command Panel and Computing"/>
    <s v="with Automatic Air Conditioning"/>
    <s v="Control Unit"/>
    <s v="Front Control Unit with User Selector"/>
    <s v="Front Control Unit with User Selector - Command Panel and Computing"/>
    <m/>
    <m/>
    <s v="33;1"/>
    <s v="TE"/>
    <s v="1379029-1"/>
    <s v="4 Pos. MQS 0,63mm Unsealed"/>
    <m/>
    <s v="No"/>
    <s v="No"/>
    <s v="Yes"/>
    <n v="1"/>
    <n v="1"/>
    <n v="0.5"/>
    <n v="0.5"/>
  </r>
  <r>
    <x v="379"/>
    <s v="39.0_HVAC &amp; Thermal"/>
    <s v="39.10_PassengerThermal-System"/>
    <s v="F0x17"/>
    <s v="HVAC-System, 2-Zones Front"/>
    <s v="QM"/>
    <s v="Comfort"/>
    <s v="Climate Control"/>
    <s v="Command Panel and Computing"/>
    <s v="with Automatic Air Conditioning"/>
    <s v="Control Unit"/>
    <s v="Front Control Unit with User Selector"/>
    <s v="Front Control Unit with User Selector - Command Panel and Computing"/>
    <m/>
    <m/>
    <s v="33;1"/>
    <s v="TE"/>
    <s v="1379029-1"/>
    <s v="4 Pos. MQS 0,63mm Unsealed"/>
    <m/>
    <s v="No"/>
    <s v="Yes"/>
    <s v="No"/>
    <n v="1"/>
    <n v="1"/>
    <n v="0.5"/>
    <n v="0.5"/>
  </r>
  <r>
    <x v="379"/>
    <s v="39.0_HVAC &amp; Thermal"/>
    <s v="39.10_PassengerThermal-System"/>
    <s v="F0x19"/>
    <s v="HVAC-System, Heat Pump Driven"/>
    <s v="QM"/>
    <s v="Comfort"/>
    <s v="Climate Control"/>
    <s v="Command Panel and Computing"/>
    <s v="with Automatic Air Conditioning"/>
    <s v="Control Unit"/>
    <s v="Front Control Unit with User Selector"/>
    <s v="Front Control Unit with User Selector - Command Panel and Computing"/>
    <m/>
    <m/>
    <s v="33;1"/>
    <s v="TE"/>
    <s v="1379029-1"/>
    <s v="4 Pos. MQS 0,63mm Unsealed"/>
    <m/>
    <s v="No"/>
    <s v="Yes"/>
    <s v="Yes"/>
    <n v="1"/>
    <n v="1"/>
    <n v="0.5"/>
    <n v="0.5"/>
  </r>
  <r>
    <x v="379"/>
    <s v="39.0_HVAC &amp; Thermal"/>
    <s v="39.10_PassengerThermal-System"/>
    <s v="F0x20"/>
    <s v="HVAC-System, Electrical Heating"/>
    <s v="QM"/>
    <s v="Comfort"/>
    <s v="Climate Control"/>
    <s v="Command Panel and Computing"/>
    <s v="with Automatic Air Conditioning"/>
    <s v="Control Unit"/>
    <s v="Front Control Unit with User Selector"/>
    <s v="Front Control Unit with User Selector - Command Panel and Computing"/>
    <m/>
    <m/>
    <s v="33;1"/>
    <s v="TE"/>
    <s v="1379029-1"/>
    <s v="4 Pos. MQS 0,63mm Unsealed"/>
    <m/>
    <s v="No"/>
    <s v="Yes"/>
    <s v="Yes"/>
    <n v="1"/>
    <n v="1"/>
    <n v="0.5"/>
    <n v="0.5"/>
  </r>
  <r>
    <x v="379"/>
    <s v="39.0_HVAC &amp; Thermal"/>
    <s v="39.10_PassengerThermal-System"/>
    <s v="F0x21"/>
    <s v="Ionizer, Front"/>
    <m/>
    <s v="Comfort"/>
    <s v="Climate Control"/>
    <s v="Command Panel and Computing"/>
    <s v="with Automatic Air Conditioning"/>
    <s v="Control Unit"/>
    <s v="Front Control Unit with User Selector"/>
    <s v="Front Control Unit with User Selector - Command Panel and Computing"/>
    <m/>
    <m/>
    <s v="33;1"/>
    <s v="TE"/>
    <s v="1379029-1"/>
    <s v="4 Pos. MQS 0,63mm Unsealed"/>
    <m/>
    <s v="No"/>
    <s v="No"/>
    <s v="Yes"/>
    <n v="1"/>
    <n v="1"/>
    <n v="0.5"/>
    <n v="0.5"/>
  </r>
  <r>
    <x v="379"/>
    <s v="39.0_HVAC &amp; Thermal"/>
    <s v="39.10_PassengerThermal-System"/>
    <s v="F0x22"/>
    <s v="Ionizer, Rear"/>
    <m/>
    <s v="Comfort"/>
    <s v="Climate Control"/>
    <s v="Command Panel and Computing"/>
    <s v="with Automatic Air Conditioning"/>
    <s v="Control Unit"/>
    <s v="Front Control Unit with User Selector"/>
    <s v="Front Control Unit with User Selector - Command Panel and Computing"/>
    <m/>
    <m/>
    <s v="33;1"/>
    <s v="TE"/>
    <s v="1379029-1"/>
    <s v="4 Pos. MQS 0,63mm Unsealed"/>
    <m/>
    <s v="No"/>
    <s v="No"/>
    <s v="Yes"/>
    <n v="1"/>
    <n v="1"/>
    <n v="0.5"/>
    <n v="0.5"/>
  </r>
  <r>
    <x v="380"/>
    <m/>
    <m/>
    <m/>
    <m/>
    <m/>
    <s v="System"/>
    <s v="Cross-Domain"/>
    <m/>
    <m/>
    <s v="Switch"/>
    <s v="Panel Combined Switches"/>
    <s v="Panel Combined Switches - "/>
    <m/>
    <m/>
    <m/>
    <m/>
    <m/>
    <m/>
    <m/>
    <m/>
    <m/>
    <m/>
    <m/>
    <m/>
    <m/>
    <m/>
  </r>
  <r>
    <x v="381"/>
    <s v="28.0_Powertrain &amp; Driveability"/>
    <s v="28.12_DriveStrategy&amp;Driveability"/>
    <s v="F0x80"/>
    <s v="Internal Combustion Engine 3 Cyl. 1,0L"/>
    <m/>
    <s v="Powertrain"/>
    <s v="Fuel Tank"/>
    <s v="Fuel Pump"/>
    <s v="ICE"/>
    <s v="Actuator"/>
    <s v="Fuel Pump"/>
    <s v="Fuel Pump - Fuel Pump"/>
    <m/>
    <m/>
    <s v="86;10"/>
    <m/>
    <m/>
    <m/>
    <m/>
    <s v="Yes"/>
    <s v="No"/>
    <s v="No"/>
    <n v="0.5"/>
    <n v="0.7"/>
    <n v="0.5"/>
    <n v="0.7"/>
  </r>
  <r>
    <x v="381"/>
    <s v="28.0_Powertrain &amp; Driveability"/>
    <s v="28.12_DriveStrategy&amp;Driveability"/>
    <s v="F0x80"/>
    <s v="Internal Combustion Engine 3 Cyl. 1,0L"/>
    <m/>
    <s v="Powertrain"/>
    <s v="Fuel Tank"/>
    <s v="Fuel Pump"/>
    <s v="ICE"/>
    <s v="Sensor"/>
    <s v="Fuel Tank Level Sensor"/>
    <s v="Fuel Tank Level Sensor - Fuel Pump"/>
    <m/>
    <m/>
    <s v="86;10"/>
    <m/>
    <m/>
    <m/>
    <m/>
    <s v="Yes"/>
    <s v="No"/>
    <s v="No"/>
    <n v="1"/>
    <n v="1"/>
    <n v="1"/>
    <n v="1"/>
  </r>
  <r>
    <x v="382"/>
    <s v="36.0_Infotainment &amp; Connectivity"/>
    <s v="36.12_Sound-System"/>
    <s v="F0x37"/>
    <s v="Sound System Rear, 2 Midrange Speakers"/>
    <s v=" "/>
    <s v="Infotainment"/>
    <s v="Audio"/>
    <s v="Mid Range Speaker"/>
    <s v="Premium Audio System"/>
    <s v="Loudspeaker"/>
    <s v="Loudspeaker - Door Rear Left / Rear Seat Left Trim"/>
    <s v="Loudspeaker - Door Rear Left / Rear Seat Left Trim - Mid Range Speaker"/>
    <m/>
    <m/>
    <s v="58;-22"/>
    <s v="TE"/>
    <s v="157420-1"/>
    <s v="2 Pos. JPT 2,8mm Unsealed"/>
    <m/>
    <s v="No"/>
    <s v="No"/>
    <s v="Yes"/>
    <n v="0.25"/>
    <n v="0.35"/>
    <n v="0.4"/>
    <n v="0.3"/>
  </r>
  <r>
    <x v="382"/>
    <s v="36.0_Infotainment &amp; Connectivity"/>
    <s v="36.12_Sound-System"/>
    <s v="F1342"/>
    <s v="Road-noise Active Noise Cancelation (RANC)"/>
    <s v="QM"/>
    <s v="Infotainment"/>
    <s v="Audio"/>
    <s v="Mid Range Speaker"/>
    <s v="Premium Audio System"/>
    <s v="Loudspeaker"/>
    <s v="Loudspeaker - Door Rear Left / Rear Seat Left Trim"/>
    <s v="Loudspeaker - Door Rear Left / Rear Seat Left Trim - Mid Range Speaker"/>
    <m/>
    <m/>
    <s v="58;-22"/>
    <s v="TE"/>
    <s v="157420-1"/>
    <s v="2 Pos. JPT 2,8mm Unsealed"/>
    <m/>
    <s v="No"/>
    <s v="No"/>
    <s v="Yes"/>
    <n v="0.25"/>
    <n v="0.35"/>
    <n v="0.4"/>
    <n v="0.3"/>
  </r>
  <r>
    <x v="383"/>
    <s v="36.0_Infotainment &amp; Connectivity"/>
    <s v="36.12_Sound-System"/>
    <s v="F0x37"/>
    <s v="Sound System Rear, 2 Midrange Speakers"/>
    <s v=" "/>
    <s v="Infotainment"/>
    <s v="Audio"/>
    <s v="Mid Range Speaker"/>
    <s v="Premium Audio System"/>
    <s v="Loudspeaker"/>
    <s v="Loudspeaker - Door Rear Right / Rear Seat Right Trim"/>
    <s v="Loudspeaker - Door Rear Right / Rear Seat Right Trim - Mid Range Speaker"/>
    <m/>
    <m/>
    <s v="58;22"/>
    <s v="TE"/>
    <s v="157420-1"/>
    <s v="2 Pos. JPT 2,8mm Unsealed"/>
    <m/>
    <s v="No"/>
    <s v="No"/>
    <s v="Yes"/>
    <n v="0.25"/>
    <n v="0.35"/>
    <n v="0.4"/>
    <n v="0.3"/>
  </r>
  <r>
    <x v="383"/>
    <s v="36.0_Infotainment &amp; Connectivity"/>
    <s v="36.12_Sound-System"/>
    <s v="F1342"/>
    <s v="Road-noise Active Noise Cancelation (RANC)"/>
    <s v="QM"/>
    <s v="Infotainment"/>
    <s v="Audio"/>
    <s v="Mid Range Speaker"/>
    <s v="Premium Audio System"/>
    <s v="Loudspeaker"/>
    <s v="Loudspeaker - Door Rear Right / Rear Seat Right Trim"/>
    <s v="Loudspeaker - Door Rear Right / Rear Seat Right Trim - Mid Range Speaker"/>
    <m/>
    <m/>
    <s v="58;22"/>
    <s v="TE"/>
    <s v="157420-1"/>
    <s v="2 Pos. JPT 2,8mm Unsealed"/>
    <m/>
    <s v="No"/>
    <s v="No"/>
    <s v="Yes"/>
    <n v="0.25"/>
    <n v="0.35"/>
    <n v="0.4"/>
    <n v="0.3"/>
  </r>
  <r>
    <x v="384"/>
    <s v="32.0_Comfort &amp; Chassis"/>
    <s v="32.20_Steering-System"/>
    <s v="F0348"/>
    <s v="Steering System, Electric Power Steering (EPS)"/>
    <m/>
    <s v="Chassis"/>
    <s v="Electrical Power Steering"/>
    <s v="Steering"/>
    <s v="High Performance"/>
    <s v="Actuator"/>
    <s v="Steering Motor Unit"/>
    <s v="Steering Motor Unit - Steering"/>
    <m/>
    <m/>
    <s v="2;-14"/>
    <s v="TE"/>
    <s v="1-2294261-5"/>
    <s v="6 Pos. MCON 1,2mm Sealed"/>
    <m/>
    <s v="No"/>
    <s v="No"/>
    <s v="Yes"/>
    <n v="1"/>
    <n v="1"/>
    <n v="1"/>
    <n v="1"/>
  </r>
  <r>
    <x v="384"/>
    <s v="32.0_Comfort &amp; Chassis"/>
    <s v="32.20_Steering-System"/>
    <s v="F0350"/>
    <s v="Front Steering, Active Reset"/>
    <m/>
    <s v="Chassis"/>
    <s v="Electrical Power Steering"/>
    <s v="Steering"/>
    <s v="High Performance"/>
    <s v="Actuator"/>
    <s v="Steering Motor Unit"/>
    <s v="Steering Motor Unit - Steering"/>
    <m/>
    <m/>
    <s v="2;-14"/>
    <s v="TE"/>
    <s v="1-2294261-5"/>
    <s v="6 Pos. MCON 1,2mm Sealed"/>
    <m/>
    <s v="No"/>
    <s v="No"/>
    <s v="Yes"/>
    <n v="1"/>
    <n v="1"/>
    <n v="1"/>
    <n v="1"/>
  </r>
  <r>
    <x v="384"/>
    <s v="32.0_Comfort &amp; Chassis"/>
    <s v="32.20_Steering-System"/>
    <s v="F0400"/>
    <s v="Steering, Modes"/>
    <m/>
    <s v="Chassis"/>
    <s v="Electrical Power Steering"/>
    <s v="Steering"/>
    <s v="High Performance"/>
    <s v="Actuator"/>
    <s v="Steering Motor Unit"/>
    <s v="Steering Motor Unit - Steering"/>
    <m/>
    <m/>
    <s v="2;-14"/>
    <s v="TE"/>
    <s v="1-2294261-5"/>
    <s v="6 Pos. MCON 1,2mm Sealed"/>
    <m/>
    <s v="No"/>
    <s v="No"/>
    <s v="Yes"/>
    <n v="1"/>
    <n v="1"/>
    <n v="1"/>
    <n v="1"/>
  </r>
  <r>
    <x v="384"/>
    <s v="37.0_ADAS &amp; AutomatedDriving"/>
    <s v="37.02_Alerting-System"/>
    <s v="F0529"/>
    <s v="Vibration Feedback, Steering Wheel"/>
    <s v="QM"/>
    <s v="Chassis"/>
    <s v="Electrical Power Steering"/>
    <s v="Steering"/>
    <s v="High Performance"/>
    <s v="Actuator"/>
    <s v="Steering Motor Unit"/>
    <s v="Steering Motor Unit - Steering"/>
    <m/>
    <m/>
    <s v="2;-14"/>
    <s v="TE"/>
    <s v="1-2294261-5"/>
    <s v="6 Pos. MCON 1,2mm Sealed"/>
    <m/>
    <s v="No"/>
    <s v="No"/>
    <s v="Yes"/>
    <n v="1"/>
    <n v="1"/>
    <n v="1"/>
    <n v="1"/>
  </r>
  <r>
    <x v="385"/>
    <s v="32.0_Comfort &amp; Chassis"/>
    <s v="32.20_Steering-System"/>
    <s v="F0332"/>
    <s v="Pilot, Traffic Jam"/>
    <m/>
    <s v="Chassis"/>
    <s v="Electrical Power Steering"/>
    <s v="Steering"/>
    <s v="Redundant"/>
    <s v="Actuator"/>
    <s v="Steering Motor Unit"/>
    <s v="Steering Motor Unit - Steering"/>
    <m/>
    <m/>
    <s v="2;14"/>
    <s v="TE"/>
    <s v="1-2294261-5"/>
    <s v="6 Pos. MCON 1,2mm Sealed"/>
    <m/>
    <s v="No"/>
    <s v="No"/>
    <s v="Yes"/>
    <n v="1"/>
    <n v="1"/>
    <n v="1"/>
    <n v="1"/>
  </r>
  <r>
    <x v="385"/>
    <s v="32.0_Comfort &amp; Chassis"/>
    <s v="32.20_Steering-System"/>
    <s v="F0335"/>
    <s v="Pilot, Highway"/>
    <m/>
    <s v="Chassis"/>
    <s v="Electrical Power Steering"/>
    <s v="Steering"/>
    <s v="Redundant"/>
    <s v="Actuator"/>
    <s v="Steering Motor Unit"/>
    <s v="Steering Motor Unit - Steering"/>
    <m/>
    <m/>
    <s v="2;14"/>
    <s v="TE"/>
    <s v="1-2294261-5"/>
    <s v="6 Pos. MCON 1,2mm Sealed"/>
    <m/>
    <s v="No"/>
    <s v="No"/>
    <s v="Yes"/>
    <n v="1"/>
    <n v="1"/>
    <n v="1"/>
    <n v="1"/>
  </r>
  <r>
    <x v="385"/>
    <s v="32.0_Comfort &amp; Chassis"/>
    <s v="32.20_Steering-System"/>
    <s v="F0337"/>
    <s v="Pilot, City"/>
    <m/>
    <s v="Chassis"/>
    <s v="Electrical Power Steering"/>
    <s v="Steering"/>
    <s v="Redundant"/>
    <s v="Actuator"/>
    <s v="Steering Motor Unit"/>
    <s v="Steering Motor Unit - Steering"/>
    <m/>
    <m/>
    <s v="2;14"/>
    <s v="TE"/>
    <s v="1-2294261-5"/>
    <s v="6 Pos. MCON 1,2mm Sealed"/>
    <m/>
    <s v="No"/>
    <s v="No"/>
    <s v="Yes"/>
    <n v="1"/>
    <n v="1"/>
    <n v="1"/>
    <n v="1"/>
  </r>
  <r>
    <x v="385"/>
    <s v="32.0_Comfort &amp; Chassis"/>
    <s v="32.20_Steering-System"/>
    <s v="F0651"/>
    <s v="Pilot, Country Road"/>
    <m/>
    <s v="Chassis"/>
    <s v="Electrical Power Steering"/>
    <s v="Steering"/>
    <s v="Redundant"/>
    <s v="Actuator"/>
    <s v="Steering Motor Unit"/>
    <s v="Steering Motor Unit - Steering"/>
    <m/>
    <m/>
    <s v="2;14"/>
    <s v="TE"/>
    <s v="1-2294261-5"/>
    <s v="6 Pos. MCON 1,2mm Sealed"/>
    <m/>
    <s v="No"/>
    <s v="No"/>
    <s v="Yes"/>
    <n v="1"/>
    <n v="1"/>
    <n v="1"/>
    <n v="1"/>
  </r>
  <r>
    <x v="385"/>
    <s v="32.0_Comfort &amp; Chassis"/>
    <s v="32.20_Steering-System"/>
    <s v="F0915"/>
    <s v="Pilot, Rush Hour"/>
    <m/>
    <s v="Chassis"/>
    <s v="Electrical Power Steering"/>
    <s v="Steering"/>
    <s v="Redundant"/>
    <s v="Actuator"/>
    <s v="Steering Motor Unit"/>
    <s v="Steering Motor Unit - Steering"/>
    <m/>
    <m/>
    <s v="2;14"/>
    <s v="TE"/>
    <s v="1-2294261-5"/>
    <s v="6 Pos. MCON 1,2mm Sealed"/>
    <m/>
    <s v="No"/>
    <s v="No"/>
    <s v="Yes"/>
    <n v="1"/>
    <n v="1"/>
    <n v="1"/>
    <n v="1"/>
  </r>
  <r>
    <x v="385"/>
    <s v="32.0_Comfort &amp; Chassis"/>
    <s v="32.20_Steering-System"/>
    <s v="F1042"/>
    <s v="Pilot, Remote Operation"/>
    <m/>
    <s v="Chassis"/>
    <s v="Electrical Power Steering"/>
    <s v="Steering"/>
    <s v="Redundant"/>
    <s v="Actuator"/>
    <s v="Steering Motor Unit"/>
    <s v="Steering Motor Unit - Steering"/>
    <m/>
    <m/>
    <s v="2;14"/>
    <s v="TE"/>
    <s v="1-2294261-5"/>
    <s v="6 Pos. MCON 1,2mm Sealed"/>
    <m/>
    <s v="No"/>
    <s v="No"/>
    <s v="Yes"/>
    <n v="1"/>
    <n v="1"/>
    <n v="1"/>
    <n v="1"/>
  </r>
  <r>
    <x v="385"/>
    <s v="32.0_Comfort &amp; Chassis"/>
    <s v="32.20_Steering-System"/>
    <s v="F1105"/>
    <s v="Pilot, Data Storage System For Automated Driving (DSSAD)"/>
    <m/>
    <s v="Chassis"/>
    <s v="Electrical Power Steering"/>
    <s v="Steering"/>
    <s v="Redundant"/>
    <s v="Actuator"/>
    <s v="Steering Motor Unit"/>
    <s v="Steering Motor Unit - Steering"/>
    <m/>
    <m/>
    <s v="2;14"/>
    <s v="TE"/>
    <s v="1-2294261-5"/>
    <s v="6 Pos. MCON 1,2mm Sealed"/>
    <m/>
    <s v="No"/>
    <s v="No"/>
    <s v="Yes"/>
    <n v="1"/>
    <n v="1"/>
    <n v="1"/>
    <n v="1"/>
  </r>
  <r>
    <x v="385"/>
    <s v="37.0_ADAS &amp; AutomatedDriving"/>
    <s v="37.02_Alerting-System"/>
    <s v="F0529"/>
    <s v="Vibration Feedback, Steering Wheel"/>
    <s v="QM"/>
    <s v="Chassis"/>
    <s v="Electrical Power Steering"/>
    <s v="Steering"/>
    <s v="Redundant"/>
    <s v="Actuator"/>
    <s v="Steering Motor Unit"/>
    <s v="Steering Motor Unit - Steering"/>
    <m/>
    <m/>
    <s v="2;14"/>
    <s v="TE"/>
    <s v="1-2294261-5"/>
    <s v="6 Pos. MCON 1,2mm Sealed"/>
    <m/>
    <s v="No"/>
    <s v="No"/>
    <s v="Yes"/>
    <n v="1"/>
    <n v="1"/>
    <n v="1"/>
    <n v="1"/>
  </r>
  <r>
    <x v="386"/>
    <s v="13.0_Comfort &amp; Interior"/>
    <s v="13.40_InteriorHeating-System"/>
    <s v="F0368"/>
    <s v="Seat Passenger, Heating"/>
    <s v="QM"/>
    <s v="Comfort"/>
    <s v="Seat Heating"/>
    <s v="Heating Seat Back Passenger"/>
    <s v="with Passenger Seat Heating"/>
    <s v="Actuator"/>
    <s v="Seat Heater FR"/>
    <s v="Seat Heater FR - Heating Seat Back Passenger"/>
    <m/>
    <m/>
    <s v="44;17"/>
    <s v="TE"/>
    <s v="1326490-5"/>
    <s v="4 Pos. MPT 1.6mm / JPT 2.8mm Unsealed"/>
    <m/>
    <s v="No"/>
    <s v="Yes"/>
    <s v="Yes"/>
    <n v="0"/>
    <n v="0.375"/>
    <n v="0.375"/>
    <n v="0"/>
  </r>
  <r>
    <x v="387"/>
    <m/>
    <m/>
    <m/>
    <m/>
    <m/>
    <s v="Infotainment"/>
    <s v="Video"/>
    <s v="User Interaction"/>
    <s v="Premium Infotainment"/>
    <s v="Control Unit"/>
    <s v="Rear Seat Touch Screen Left"/>
    <s v="Rear Seat Touch Screen Left - User Interaction"/>
    <m/>
    <m/>
    <m/>
    <m/>
    <m/>
    <m/>
    <m/>
    <m/>
    <m/>
    <m/>
    <m/>
    <m/>
    <m/>
    <m/>
  </r>
  <r>
    <x v="388"/>
    <s v="13.0_Comfort &amp; Interior"/>
    <s v="13.40_InteriorHeating-System"/>
    <s v="F0047"/>
    <s v="Seat Driver, Heating"/>
    <s v="QM"/>
    <s v="Comfort"/>
    <s v="Seat Heating"/>
    <s v="Heating Seat Back Driver"/>
    <s v="with Driver Seat Heating"/>
    <s v="Actuator"/>
    <s v="Seat Heater FL"/>
    <s v="Seat Heater FL - Heating Seat Back Driver"/>
    <m/>
    <m/>
    <s v="44;-17"/>
    <s v="TE"/>
    <s v="1326490-5"/>
    <s v="4 Pos. MPT 1.6mm / JPT 2.8mm Unsealed"/>
    <m/>
    <s v="No"/>
    <s v="Yes"/>
    <s v="Yes"/>
    <n v="0"/>
    <n v="0.375"/>
    <n v="0.375"/>
    <n v="0"/>
  </r>
  <r>
    <x v="389"/>
    <m/>
    <m/>
    <m/>
    <m/>
    <m/>
    <s v="Infotainment"/>
    <s v="Video"/>
    <s v="User Interaction"/>
    <s v="Premium Infotainment"/>
    <s v="Control Unit"/>
    <s v="Rear Seat Touch Screen Right"/>
    <s v="Rear Seat Touch Screen Right - User Interaction"/>
    <m/>
    <m/>
    <m/>
    <m/>
    <m/>
    <m/>
    <m/>
    <m/>
    <m/>
    <m/>
    <m/>
    <m/>
    <m/>
    <m/>
  </r>
  <r>
    <x v="390"/>
    <s v="13.0_Comfort &amp; Interior"/>
    <s v="13.40_InteriorHeating-System"/>
    <s v="F0368"/>
    <s v="Seat Passenger, Heating"/>
    <s v="QM"/>
    <s v="Comfort"/>
    <s v="Seat Heating"/>
    <s v="Heating Seat Pan Passenger"/>
    <s v="with Passenger Seat Heating"/>
    <s v="Actuator"/>
    <s v="Seat Heater FR"/>
    <s v="Seat Heater FR - Heating Seat Pan Passenger"/>
    <m/>
    <m/>
    <s v="44;17"/>
    <s v="TE"/>
    <s v="1326490-5"/>
    <s v="4 Pos. MPT 1.6mm / JPT 2.8mm Unsealed"/>
    <m/>
    <s v="No"/>
    <s v="Yes"/>
    <s v="Yes"/>
    <n v="0"/>
    <n v="0.375"/>
    <n v="0.375"/>
    <n v="0"/>
  </r>
  <r>
    <x v="391"/>
    <m/>
    <m/>
    <m/>
    <m/>
    <m/>
    <s v="Powertrain"/>
    <s v="Cooling/Heating"/>
    <s v="Radiator Air Flow Control"/>
    <s v="ICE"/>
    <s v="Actuator"/>
    <s v="Louver Stepper Motor 2"/>
    <s v="Louver Stepper Motor 2 - Radiator Air Flow Control"/>
    <m/>
    <m/>
    <m/>
    <m/>
    <m/>
    <m/>
    <m/>
    <m/>
    <m/>
    <m/>
    <m/>
    <m/>
    <m/>
    <m/>
  </r>
  <r>
    <x v="392"/>
    <s v="28.0_Powertrain &amp; Driveability"/>
    <s v="28.13_Recuperation&amp;OPD-System"/>
    <s v="F0215"/>
    <s v="LV Power, Recuperation (LV)"/>
    <m/>
    <s v="System"/>
    <s v="Power Supply"/>
    <s v="Power Generation and Engine Start"/>
    <s v="ICE"/>
    <s v="Actuator"/>
    <s v="12V Belt Start Generator"/>
    <s v="12V Belt Start Generator - Power Generation and Engine Start"/>
    <m/>
    <m/>
    <s v="-3;14"/>
    <m/>
    <m/>
    <m/>
    <m/>
    <s v="Yes"/>
    <s v="No"/>
    <s v="No"/>
    <n v="1"/>
    <n v="1"/>
    <n v="1"/>
    <n v="1"/>
  </r>
  <r>
    <x v="392"/>
    <s v="80.0_Cross-Functions"/>
    <s v="80.81_VehicleStateManagement"/>
    <s v="F0630"/>
    <s v="Vehicle State Management, LV"/>
    <m/>
    <s v="System"/>
    <s v="Power Supply"/>
    <s v="Power Generation and Engine Start"/>
    <s v="ICE"/>
    <s v="Actuator"/>
    <s v="12V Belt Start Generator"/>
    <s v="12V Belt Start Generator - Power Generation and Engine Start"/>
    <m/>
    <m/>
    <s v="-3;14"/>
    <m/>
    <m/>
    <m/>
    <m/>
    <s v="Yes"/>
    <s v="No"/>
    <s v="No"/>
    <n v="1"/>
    <n v="1"/>
    <n v="1"/>
    <n v="1"/>
  </r>
  <r>
    <x v="392"/>
    <s v="80.0_Cross-Functions"/>
    <s v="80.81_VehicleStateManagement"/>
    <s v="F1114"/>
    <s v="Clamp Management"/>
    <m/>
    <s v="System"/>
    <s v="Power Supply"/>
    <s v="Power Generation and Engine Start"/>
    <s v="ICE"/>
    <s v="Actuator"/>
    <s v="12V Belt Start Generator"/>
    <s v="12V Belt Start Generator - Power Generation and Engine Start"/>
    <m/>
    <m/>
    <s v="-3;14"/>
    <m/>
    <m/>
    <m/>
    <m/>
    <s v="Yes"/>
    <s v="No"/>
    <s v="No"/>
    <n v="1"/>
    <n v="1"/>
    <n v="1"/>
    <n v="1"/>
  </r>
  <r>
    <x v="392"/>
    <s v="80.0_Cross-Functions"/>
    <s v="80.82_EnergyManagement"/>
    <s v="F0560"/>
    <s v="Energy Management, LV"/>
    <m/>
    <s v="System"/>
    <s v="Power Supply"/>
    <s v="Power Generation and Engine Start"/>
    <s v="ICE"/>
    <s v="Actuator"/>
    <s v="12V Belt Start Generator"/>
    <s v="12V Belt Start Generator - Power Generation and Engine Start"/>
    <m/>
    <m/>
    <s v="-3;14"/>
    <m/>
    <m/>
    <m/>
    <m/>
    <s v="Yes"/>
    <s v="No"/>
    <s v="No"/>
    <n v="1"/>
    <n v="1"/>
    <n v="1"/>
    <n v="1"/>
  </r>
  <r>
    <x v="392"/>
    <s v="80.0_Cross-Functions"/>
    <s v="80.89_WiringHarness-Design"/>
    <s v="F0484"/>
    <s v="Electrical System, 12V"/>
    <m/>
    <s v="System"/>
    <s v="Power Supply"/>
    <s v="Power Generation and Engine Start"/>
    <s v="ICE"/>
    <s v="Actuator"/>
    <s v="12V Belt Start Generator"/>
    <s v="12V Belt Start Generator - Power Generation and Engine Start"/>
    <m/>
    <m/>
    <s v="-3;14"/>
    <m/>
    <m/>
    <m/>
    <m/>
    <s v="Yes"/>
    <s v="No"/>
    <s v="No"/>
    <n v="1"/>
    <n v="1"/>
    <n v="1"/>
    <n v="1"/>
  </r>
  <r>
    <x v="393"/>
    <m/>
    <m/>
    <m/>
    <m/>
    <m/>
    <s v="Powertrain"/>
    <s v="Engine"/>
    <s v="Start-Stop Motor"/>
    <s v="ICE"/>
    <m/>
    <s v="Start"/>
    <s v="Start - Start-Stop Motor"/>
    <m/>
    <m/>
    <m/>
    <m/>
    <m/>
    <m/>
    <m/>
    <m/>
    <m/>
    <m/>
    <m/>
    <m/>
    <m/>
    <m/>
  </r>
  <r>
    <x v="394"/>
    <s v="28.0_Powertrain &amp; Driveability"/>
    <s v="28.13_Recuperation&amp;OPD-System"/>
    <s v="F0215"/>
    <s v="LV Power, Recuperation (LV)"/>
    <m/>
    <s v="System"/>
    <s v="Power Supply"/>
    <s v="Power Generation and Engine Start"/>
    <s v="ICE"/>
    <s v="Actuator"/>
    <s v="48V Belt Start Generator"/>
    <s v="48V Belt Start Generator - Power Generation and Engine Start"/>
    <m/>
    <m/>
    <s v="-3;14"/>
    <m/>
    <m/>
    <m/>
    <m/>
    <s v="No"/>
    <s v="Yes"/>
    <s v="No"/>
    <n v="1"/>
    <n v="1"/>
    <n v="1"/>
    <n v="1"/>
  </r>
  <r>
    <x v="394"/>
    <s v="80.0_Cross-Functions"/>
    <s v="80.81_VehicleStateManagement"/>
    <s v="F0630"/>
    <s v="Vehicle State Management, LV"/>
    <m/>
    <s v="System"/>
    <s v="Power Supply"/>
    <s v="Power Generation and Engine Start"/>
    <s v="ICE"/>
    <s v="Actuator"/>
    <s v="48V Belt Start Generator"/>
    <s v="48V Belt Start Generator - Power Generation and Engine Start"/>
    <m/>
    <m/>
    <s v="-3;14"/>
    <m/>
    <m/>
    <m/>
    <m/>
    <s v="No"/>
    <s v="Yes"/>
    <s v="No"/>
    <n v="1"/>
    <n v="1"/>
    <n v="1"/>
    <n v="1"/>
  </r>
  <r>
    <x v="394"/>
    <s v="80.0_Cross-Functions"/>
    <s v="80.81_VehicleStateManagement"/>
    <s v="F1114"/>
    <s v="Clamp Management"/>
    <m/>
    <s v="System"/>
    <s v="Power Supply"/>
    <s v="Power Generation and Engine Start"/>
    <s v="ICE"/>
    <s v="Actuator"/>
    <s v="48V Belt Start Generator"/>
    <s v="48V Belt Start Generator - Power Generation and Engine Start"/>
    <m/>
    <m/>
    <s v="-3;14"/>
    <m/>
    <m/>
    <m/>
    <m/>
    <s v="No"/>
    <s v="Yes"/>
    <s v="No"/>
    <n v="1"/>
    <n v="1"/>
    <n v="1"/>
    <n v="1"/>
  </r>
  <r>
    <x v="394"/>
    <s v="80.0_Cross-Functions"/>
    <s v="80.82_EnergyManagement"/>
    <s v="F0560"/>
    <s v="Energy Management, LV"/>
    <m/>
    <s v="System"/>
    <s v="Power Supply"/>
    <s v="Power Generation and Engine Start"/>
    <s v="ICE"/>
    <s v="Actuator"/>
    <s v="48V Belt Start Generator"/>
    <s v="48V Belt Start Generator - Power Generation and Engine Start"/>
    <m/>
    <m/>
    <s v="-3;14"/>
    <m/>
    <m/>
    <m/>
    <m/>
    <s v="No"/>
    <s v="Yes"/>
    <s v="No"/>
    <n v="1"/>
    <n v="1"/>
    <n v="1"/>
    <n v="1"/>
  </r>
  <r>
    <x v="394"/>
    <s v="80.0_Cross-Functions"/>
    <s v="80.89_WiringHarness-Design"/>
    <s v="F0486"/>
    <s v="Electrical System, 48V"/>
    <m/>
    <s v="System"/>
    <s v="Power Supply"/>
    <s v="Power Generation and Engine Start"/>
    <s v="ICE"/>
    <s v="Actuator"/>
    <s v="48V Belt Start Generator"/>
    <s v="48V Belt Start Generator - Power Generation and Engine Start"/>
    <m/>
    <m/>
    <s v="-3;14"/>
    <m/>
    <m/>
    <m/>
    <m/>
    <s v="No"/>
    <s v="Yes"/>
    <s v="No"/>
    <n v="1"/>
    <n v="1"/>
    <n v="1"/>
    <n v="1"/>
  </r>
  <r>
    <x v="395"/>
    <s v="28.0_Powertrain &amp; Driveability"/>
    <s v="28.13_Recuperation&amp;OPD-System"/>
    <s v="F0215"/>
    <s v="LV Power, Recuperation (LV)"/>
    <m/>
    <s v="System"/>
    <s v="Power Supply"/>
    <s v="12V Battery Management"/>
    <s v="Basic"/>
    <s v="Sensor"/>
    <s v="12V Li-Ion Battery BMS"/>
    <s v="12V Li-Ion Battery BMS - 12V Battery Management"/>
    <m/>
    <m/>
    <s v="98;18"/>
    <s v="TE"/>
    <s v="2819150-6"/>
    <s v="Eyelet M8x16"/>
    <m/>
    <s v="No"/>
    <s v="No"/>
    <s v="Yes"/>
    <n v="1"/>
    <n v="1"/>
    <n v="1"/>
    <n v="1"/>
  </r>
  <r>
    <x v="395"/>
    <s v="80.0_Cross-Functions"/>
    <s v="80.82_EnergyManagement"/>
    <s v="F0219"/>
    <s v="LV Power, Intelligent Battery Sensing"/>
    <m/>
    <s v="System"/>
    <s v="Power Supply"/>
    <s v="12V Battery Management"/>
    <s v="Basic"/>
    <s v="Sensor"/>
    <s v="12V Li-Ion Battery BMS"/>
    <s v="12V Li-Ion Battery BMS - 12V Battery Management"/>
    <m/>
    <m/>
    <s v="98;18"/>
    <s v="TE"/>
    <s v="2819150-6"/>
    <s v="Eyelet M8x16"/>
    <m/>
    <s v="No"/>
    <s v="No"/>
    <s v="Yes"/>
    <n v="1"/>
    <n v="1"/>
    <n v="1"/>
    <n v="1"/>
  </r>
  <r>
    <x v="395"/>
    <s v="80.0_Cross-Functions"/>
    <s v="80.84_Diagnosis&amp;Updates"/>
    <s v="F0629"/>
    <s v="Diagnosis, Under/Overvoltage Detection"/>
    <m/>
    <s v="System"/>
    <s v="Power Supply"/>
    <s v="12V Battery Management"/>
    <s v="Basic"/>
    <s v="Sensor"/>
    <s v="12V Li-Ion Battery BMS"/>
    <s v="12V Li-Ion Battery BMS - 12V Battery Management"/>
    <m/>
    <m/>
    <s v="98;18"/>
    <s v="TE"/>
    <s v="2819150-6"/>
    <s v="Eyelet M8x16"/>
    <m/>
    <s v="No"/>
    <s v="No"/>
    <s v="Yes"/>
    <n v="1"/>
    <n v="1"/>
    <n v="1"/>
    <n v="1"/>
  </r>
  <r>
    <x v="395"/>
    <s v="80.0_Cross-Functions"/>
    <s v="80.89_WiringHarness-Design"/>
    <s v="F0484"/>
    <s v="Electrical System, 12V"/>
    <m/>
    <s v="System"/>
    <s v="Power Supply"/>
    <s v="12V Battery Management"/>
    <s v="Basic"/>
    <s v="Sensor"/>
    <s v="12V Li-Ion Battery BMS"/>
    <s v="12V Li-Ion Battery BMS - 12V Battery Management"/>
    <m/>
    <m/>
    <s v="98;18"/>
    <s v="TE"/>
    <s v="2819150-6"/>
    <s v="Eyelet M8x16"/>
    <m/>
    <s v="No"/>
    <s v="No"/>
    <s v="Yes"/>
    <n v="1"/>
    <n v="1"/>
    <n v="1"/>
    <n v="1"/>
  </r>
  <r>
    <x v="396"/>
    <s v="28.0_Powertrain &amp; Driveability"/>
    <s v="28.13_Recuperation&amp;OPD-System"/>
    <s v="F0215"/>
    <s v="LV Power, Recuperation (LV)"/>
    <m/>
    <s v="System"/>
    <s v="Power Supply"/>
    <s v="Power Generation and Engine Start"/>
    <s v="ICE"/>
    <s v="Actuator"/>
    <s v="48V Integrated Start Generator"/>
    <s v="48V Integrated Start Generator - Power Generation and Engine Start"/>
    <m/>
    <m/>
    <s v="4;-14"/>
    <m/>
    <m/>
    <m/>
    <m/>
    <s v="No"/>
    <s v="No"/>
    <s v="No"/>
    <n v="1"/>
    <n v="1"/>
    <n v="1"/>
    <n v="1"/>
  </r>
  <r>
    <x v="396"/>
    <s v="80.0_Cross-Functions"/>
    <s v="80.81_VehicleStateManagement"/>
    <s v="F0630"/>
    <s v="Vehicle State Management, LV"/>
    <m/>
    <s v="System"/>
    <s v="Power Supply"/>
    <s v="Power Generation and Engine Start"/>
    <s v="ICE"/>
    <s v="Actuator"/>
    <s v="48V Integrated Start Generator"/>
    <s v="48V Integrated Start Generator - Power Generation and Engine Start"/>
    <m/>
    <m/>
    <s v="4;-14"/>
    <m/>
    <m/>
    <m/>
    <m/>
    <s v="No"/>
    <s v="No"/>
    <s v="No"/>
    <n v="1"/>
    <n v="1"/>
    <n v="1"/>
    <n v="1"/>
  </r>
  <r>
    <x v="396"/>
    <s v="80.0_Cross-Functions"/>
    <s v="80.81_VehicleStateManagement"/>
    <s v="F1114"/>
    <s v="Clamp Management"/>
    <m/>
    <s v="System"/>
    <s v="Power Supply"/>
    <s v="Power Generation and Engine Start"/>
    <s v="ICE"/>
    <s v="Actuator"/>
    <s v="48V Integrated Start Generator"/>
    <s v="48V Integrated Start Generator - Power Generation and Engine Start"/>
    <m/>
    <m/>
    <s v="4;-14"/>
    <m/>
    <m/>
    <m/>
    <m/>
    <s v="No"/>
    <s v="No"/>
    <s v="No"/>
    <n v="1"/>
    <n v="1"/>
    <n v="1"/>
    <n v="1"/>
  </r>
  <r>
    <x v="396"/>
    <s v="80.0_Cross-Functions"/>
    <s v="80.82_EnergyManagement"/>
    <s v="F0560"/>
    <s v="Energy Management, LV"/>
    <m/>
    <s v="System"/>
    <s v="Power Supply"/>
    <s v="Power Generation and Engine Start"/>
    <s v="ICE"/>
    <s v="Actuator"/>
    <s v="48V Integrated Start Generator"/>
    <s v="48V Integrated Start Generator - Power Generation and Engine Start"/>
    <m/>
    <m/>
    <s v="4;-14"/>
    <m/>
    <m/>
    <m/>
    <m/>
    <s v="No"/>
    <s v="No"/>
    <s v="No"/>
    <n v="1"/>
    <n v="1"/>
    <n v="1"/>
    <n v="1"/>
  </r>
  <r>
    <x v="396"/>
    <s v="80.0_Cross-Functions"/>
    <s v="80.89_WiringHarness-Design"/>
    <s v="F0486"/>
    <s v="Electrical System, 48V"/>
    <m/>
    <s v="System"/>
    <s v="Power Supply"/>
    <s v="Power Generation and Engine Start"/>
    <s v="ICE"/>
    <s v="Actuator"/>
    <s v="48V Integrated Start Generator"/>
    <s v="48V Integrated Start Generator - Power Generation and Engine Start"/>
    <m/>
    <m/>
    <s v="4;-14"/>
    <m/>
    <m/>
    <m/>
    <m/>
    <s v="No"/>
    <s v="No"/>
    <s v="No"/>
    <n v="1"/>
    <n v="1"/>
    <n v="1"/>
    <n v="1"/>
  </r>
  <r>
    <x v="397"/>
    <s v="28.0_Powertrain &amp; Driveability"/>
    <s v="28.12_DriveStrategy&amp;Driveability"/>
    <s v="F0x81"/>
    <s v="Internal Combustion Engine 4 Cyl. 2,0L"/>
    <m/>
    <s v="Powertrain"/>
    <s v="Fuel Tank"/>
    <s v="Fuel Tank Pressure"/>
    <s v="ICE"/>
    <s v="Interface Connection"/>
    <s v="Fuel Tank Pressure"/>
    <s v="Fuel Tank Pressure - Fuel Tank Pressure"/>
    <m/>
    <m/>
    <s v="86;10"/>
    <m/>
    <m/>
    <m/>
    <m/>
    <s v="No"/>
    <s v="Yes"/>
    <s v="No"/>
    <n v="1"/>
    <n v="1"/>
    <n v="1"/>
    <n v="1"/>
  </r>
  <r>
    <x v="398"/>
    <m/>
    <m/>
    <m/>
    <m/>
    <m/>
    <s v="Chassis"/>
    <s v="Trailer"/>
    <s v="Sensing"/>
    <s v="Trailer Assistance"/>
    <s v="Sensor"/>
    <s v="Sensor"/>
    <s v="Sensor - Sensing"/>
    <m/>
    <m/>
    <m/>
    <m/>
    <m/>
    <m/>
    <m/>
    <m/>
    <m/>
    <m/>
    <m/>
    <m/>
    <m/>
    <m/>
  </r>
  <r>
    <x v="399"/>
    <m/>
    <m/>
    <m/>
    <m/>
    <m/>
    <s v="Powertrain"/>
    <s v="Cooling/Heating"/>
    <s v="Coolant Level"/>
    <s v="ICE"/>
    <s v="Sensor"/>
    <s v="Coolant Level Sensor"/>
    <s v="Coolant Level Sensor - Coolant Level"/>
    <m/>
    <m/>
    <s v="18;17"/>
    <m/>
    <m/>
    <m/>
    <m/>
    <s v="Yes"/>
    <s v="Yes"/>
    <s v="Yes"/>
    <n v="1"/>
    <n v="1"/>
    <n v="1"/>
    <n v="1"/>
  </r>
  <r>
    <x v="400"/>
    <s v="10.0_Comfort &amp; Exterior"/>
    <s v="10.30_OutsideLighting-System"/>
    <s v="F0031"/>
    <s v="Front Lighting, Daytime Running Light"/>
    <m/>
    <s v="Body"/>
    <s v="External Illumination"/>
    <s v="Lights Switch"/>
    <s v="LIN"/>
    <s v="Switch"/>
    <s v="LIN Switch"/>
    <s v="LIN Switch - Lights Switch"/>
    <m/>
    <m/>
    <s v="33;-15"/>
    <m/>
    <m/>
    <m/>
    <m/>
    <s v="Yes"/>
    <s v="Yes"/>
    <s v="Yes"/>
    <n v="1"/>
    <n v="1"/>
    <n v="1"/>
    <n v="1"/>
  </r>
  <r>
    <x v="400"/>
    <s v="10.0_Comfort &amp; Exterior"/>
    <s v="10.30_OutsideLighting-System"/>
    <s v="F0071"/>
    <s v="Light Scenario, Fog Cornering"/>
    <m/>
    <s v="Body"/>
    <s v="External Illumination"/>
    <s v="Lights Switch"/>
    <s v="LIN"/>
    <s v="Switch"/>
    <s v="LIN Switch"/>
    <s v="LIN Switch - Lights Switch"/>
    <m/>
    <m/>
    <s v="33;-15"/>
    <m/>
    <m/>
    <m/>
    <m/>
    <s v="Yes"/>
    <s v="Yes"/>
    <s v="Yes"/>
    <n v="1"/>
    <n v="1"/>
    <n v="1"/>
    <n v="1"/>
  </r>
  <r>
    <x v="400"/>
    <s v="10.0_Comfort &amp; Exterior"/>
    <s v="10.30_OutsideLighting-System"/>
    <s v="F0074"/>
    <s v="Rear Lighting, Licence Plate"/>
    <m/>
    <s v="Body"/>
    <s v="External Illumination"/>
    <s v="Lights Switch"/>
    <s v="LIN"/>
    <s v="Switch"/>
    <s v="LIN Switch"/>
    <s v="LIN Switch - Lights Switch"/>
    <m/>
    <m/>
    <s v="33;-15"/>
    <m/>
    <m/>
    <m/>
    <m/>
    <s v="Yes"/>
    <s v="Yes"/>
    <s v="Yes"/>
    <n v="1"/>
    <n v="1"/>
    <n v="1"/>
    <n v="1"/>
  </r>
  <r>
    <x v="400"/>
    <s v="10.0_Comfort &amp; Exterior"/>
    <s v="10.30_OutsideLighting-System"/>
    <s v="F0097"/>
    <s v="Outside Lighting, Side Marker Front"/>
    <m/>
    <s v="Body"/>
    <s v="External Illumination"/>
    <s v="Lights Switch"/>
    <s v="LIN"/>
    <s v="Switch"/>
    <s v="LIN Switch"/>
    <s v="LIN Switch - Lights Switch"/>
    <m/>
    <m/>
    <s v="33;-15"/>
    <m/>
    <m/>
    <m/>
    <m/>
    <s v="Yes"/>
    <s v="Yes"/>
    <s v="Yes"/>
    <n v="1"/>
    <n v="1"/>
    <n v="1"/>
    <n v="1"/>
  </r>
  <r>
    <x v="400"/>
    <s v="10.0_Comfort &amp; Exterior"/>
    <s v="10.30_OutsideLighting-System"/>
    <s v="F0110"/>
    <s v="Rear Lighting, Taillamp"/>
    <m/>
    <s v="Body"/>
    <s v="External Illumination"/>
    <s v="Lights Switch"/>
    <s v="LIN"/>
    <s v="Switch"/>
    <s v="LIN Switch"/>
    <s v="LIN Switch - Lights Switch"/>
    <m/>
    <m/>
    <s v="33;-15"/>
    <m/>
    <m/>
    <m/>
    <m/>
    <s v="Yes"/>
    <s v="Yes"/>
    <s v="Yes"/>
    <n v="1"/>
    <n v="1"/>
    <n v="1"/>
    <n v="1"/>
  </r>
  <r>
    <x v="400"/>
    <s v="10.0_Comfort &amp; Exterior"/>
    <s v="10.30_OutsideLighting-System"/>
    <s v="F0225"/>
    <s v="Front Lighting, Low Beam"/>
    <m/>
    <s v="Body"/>
    <s v="External Illumination"/>
    <s v="Lights Switch"/>
    <s v="LIN"/>
    <s v="Switch"/>
    <s v="LIN Switch"/>
    <s v="LIN Switch - Lights Switch"/>
    <m/>
    <m/>
    <s v="33;-15"/>
    <m/>
    <m/>
    <m/>
    <m/>
    <s v="Yes"/>
    <s v="Yes"/>
    <s v="Yes"/>
    <n v="1"/>
    <n v="1"/>
    <n v="1"/>
    <n v="1"/>
  </r>
  <r>
    <x v="400"/>
    <s v="10.0_Comfort &amp; Exterior"/>
    <s v="10.30_OutsideLighting-System"/>
    <s v="F0227"/>
    <s v="Light Scenario, Parking Light"/>
    <m/>
    <s v="Body"/>
    <s v="External Illumination"/>
    <s v="Lights Switch"/>
    <s v="LIN"/>
    <s v="Switch"/>
    <s v="LIN Switch"/>
    <s v="LIN Switch - Lights Switch"/>
    <m/>
    <m/>
    <s v="33;-15"/>
    <m/>
    <m/>
    <m/>
    <m/>
    <s v="Yes"/>
    <s v="Yes"/>
    <s v="Yes"/>
    <n v="1"/>
    <n v="1"/>
    <n v="1"/>
    <n v="1"/>
  </r>
  <r>
    <x v="400"/>
    <s v="10.0_Comfort &amp; Exterior"/>
    <s v="10.30_OutsideLighting-System"/>
    <s v="F0231"/>
    <s v="Rear Lighting, Rear Position Light"/>
    <m/>
    <s v="Body"/>
    <s v="External Illumination"/>
    <s v="Lights Switch"/>
    <s v="LIN"/>
    <s v="Switch"/>
    <s v="LIN Switch"/>
    <s v="LIN Switch - Lights Switch"/>
    <m/>
    <m/>
    <s v="33;-15"/>
    <m/>
    <m/>
    <m/>
    <m/>
    <s v="Yes"/>
    <s v="Yes"/>
    <s v="Yes"/>
    <n v="1"/>
    <n v="1"/>
    <n v="1"/>
    <n v="1"/>
  </r>
  <r>
    <x v="400"/>
    <s v="10.0_Comfort &amp; Exterior"/>
    <s v="10.30_OutsideLighting-System"/>
    <s v="F0377"/>
    <s v="Front Lighting, Fog Front"/>
    <m/>
    <s v="Body"/>
    <s v="External Illumination"/>
    <s v="Lights Switch"/>
    <s v="LIN"/>
    <s v="Switch"/>
    <s v="LIN Switch"/>
    <s v="LIN Switch - Lights Switch"/>
    <m/>
    <m/>
    <s v="33;-15"/>
    <m/>
    <m/>
    <m/>
    <m/>
    <s v="Yes"/>
    <s v="Yes"/>
    <s v="Yes"/>
    <n v="1"/>
    <n v="1"/>
    <n v="1"/>
    <n v="1"/>
  </r>
  <r>
    <x v="400"/>
    <s v="10.0_Comfort &amp; Exterior"/>
    <s v="10.30_OutsideLighting-System"/>
    <s v="F0378"/>
    <s v="Rear Lighting, Fog Rear"/>
    <m/>
    <s v="Body"/>
    <s v="External Illumination"/>
    <s v="Lights Switch"/>
    <s v="LIN"/>
    <s v="Switch"/>
    <s v="LIN Switch"/>
    <s v="LIN Switch - Lights Switch"/>
    <m/>
    <m/>
    <s v="33;-15"/>
    <m/>
    <m/>
    <m/>
    <m/>
    <s v="Yes"/>
    <s v="Yes"/>
    <s v="Yes"/>
    <n v="1"/>
    <n v="1"/>
    <n v="1"/>
    <n v="1"/>
  </r>
  <r>
    <x v="400"/>
    <s v="10.0_Comfort &amp; Exterior"/>
    <s v="10.30_OutsideLighting-System"/>
    <s v="F0619"/>
    <s v="Outside Lighting, Side Marker Rear"/>
    <m/>
    <s v="Body"/>
    <s v="External Illumination"/>
    <s v="Lights Switch"/>
    <s v="LIN"/>
    <s v="Switch"/>
    <s v="LIN Switch"/>
    <s v="LIN Switch - Lights Switch"/>
    <m/>
    <m/>
    <s v="33;-15"/>
    <m/>
    <m/>
    <m/>
    <m/>
    <s v="Yes"/>
    <s v="Yes"/>
    <s v="Yes"/>
    <n v="1"/>
    <n v="1"/>
    <n v="1"/>
    <n v="1"/>
  </r>
  <r>
    <x v="400"/>
    <s v="10.0_Comfort &amp; Exterior"/>
    <s v="10.30_OutsideLighting-System"/>
    <s v="F0x90"/>
    <s v="Outside Lighting, Vehicle Contours"/>
    <m/>
    <s v="Body"/>
    <s v="External Illumination"/>
    <s v="Lights Switch"/>
    <s v="LIN"/>
    <s v="Switch"/>
    <s v="LIN Switch"/>
    <s v="LIN Switch - Lights Switch"/>
    <m/>
    <m/>
    <s v="33;-15"/>
    <m/>
    <m/>
    <m/>
    <m/>
    <s v="Yes"/>
    <s v="Yes"/>
    <s v="Yes"/>
    <n v="1"/>
    <n v="1"/>
    <n v="1"/>
    <n v="1"/>
  </r>
  <r>
    <x v="401"/>
    <s v="39.0_HVAC &amp; Thermal"/>
    <s v="39.10_PassengerThermal-System"/>
    <s v="F0016"/>
    <s v="HVAC-System, 3- / 4-Zones"/>
    <s v="QM"/>
    <s v="Comfort"/>
    <s v="Climate Control"/>
    <s v="CO2 Detection"/>
    <s v="Automatic Air Conditioning"/>
    <s v="Sensor"/>
    <s v="Air Quality"/>
    <s v="Air Quality - CO2 Detection"/>
    <m/>
    <m/>
    <s v="34;3"/>
    <s v="TE"/>
    <s v="2282151-1"/>
    <s v="3 Pos. NanoMQS 0,5mm Unsealed"/>
    <m/>
    <s v="No"/>
    <s v="No"/>
    <s v="Yes"/>
    <n v="1"/>
    <n v="1"/>
    <n v="1"/>
    <n v="1"/>
  </r>
  <r>
    <x v="401"/>
    <s v="39.0_HVAC &amp; Thermal"/>
    <s v="39.10_PassengerThermal-System"/>
    <s v="F0x17"/>
    <s v="HVAC-System, 2-Zones Front"/>
    <s v="QM"/>
    <s v="Comfort"/>
    <s v="Climate Control"/>
    <s v="CO2 Detection"/>
    <s v="Automatic Air Conditioning"/>
    <s v="Sensor"/>
    <s v="Air Quality"/>
    <s v="Air Quality - CO2 Detection"/>
    <m/>
    <m/>
    <s v="34;3"/>
    <s v="TE"/>
    <s v="2282151-1"/>
    <s v="3 Pos. NanoMQS 0,5mm Unsealed"/>
    <m/>
    <s v="No"/>
    <s v="Yes"/>
    <s v="No"/>
    <n v="1"/>
    <n v="1"/>
    <n v="1"/>
    <n v="1"/>
  </r>
  <r>
    <x v="401"/>
    <s v="39.0_HVAC &amp; Thermal"/>
    <s v="39.10_PassengerThermal-System"/>
    <s v="F0x19"/>
    <s v="HVAC-System, Heat Pump Driven"/>
    <s v="QM"/>
    <s v="Comfort"/>
    <s v="Climate Control"/>
    <s v="CO2 Detection"/>
    <s v="Automatic Air Conditioning"/>
    <s v="Sensor"/>
    <s v="Air Quality"/>
    <s v="Air Quality - CO2 Detection"/>
    <m/>
    <m/>
    <s v="34;3"/>
    <s v="TE"/>
    <s v="2282151-1"/>
    <s v="3 Pos. NanoMQS 0,5mm Unsealed"/>
    <m/>
    <s v="No"/>
    <s v="Yes"/>
    <s v="Yes"/>
    <n v="1"/>
    <n v="1"/>
    <n v="1"/>
    <n v="1"/>
  </r>
  <r>
    <x v="402"/>
    <m/>
    <m/>
    <m/>
    <m/>
    <m/>
    <s v="Powertrain"/>
    <s v="Engine"/>
    <s v="Exhaust Measurement"/>
    <s v="ICE"/>
    <s v="Sensor"/>
    <s v="Oxigen Sensor"/>
    <s v="Oxigen Sensor - Exhaust Measurement"/>
    <m/>
    <m/>
    <m/>
    <m/>
    <m/>
    <m/>
    <m/>
    <m/>
    <m/>
    <m/>
    <m/>
    <m/>
    <m/>
    <m/>
  </r>
  <r>
    <x v="403"/>
    <m/>
    <m/>
    <m/>
    <m/>
    <m/>
    <s v="Powertrain"/>
    <s v="Engine"/>
    <s v="Exhaust Measurement"/>
    <s v="ICE"/>
    <s v="Sensor"/>
    <s v="Oxigen Sensor"/>
    <s v="Oxigen Sensor - Exhaust Measurement"/>
    <m/>
    <m/>
    <m/>
    <m/>
    <m/>
    <m/>
    <m/>
    <m/>
    <m/>
    <m/>
    <m/>
    <m/>
    <m/>
    <m/>
  </r>
  <r>
    <x v="404"/>
    <s v="13.0_Comfort &amp; Interior"/>
    <s v="13.31_AmbientLighting-System"/>
    <s v="F0x32"/>
    <s v="Ambient Lighting, Center Console"/>
    <s v="QM"/>
    <s v="Comfort"/>
    <s v="Internal Illumination"/>
    <s v="Console Illumination FL"/>
    <s v="with Console Illumination"/>
    <s v="Actuator"/>
    <s v="LED Lamp"/>
    <s v="LED Lamp - Console Illumination FL"/>
    <m/>
    <m/>
    <s v="48;-1"/>
    <s v="TE"/>
    <s v="1379029-1"/>
    <s v="4 Pos. MQS 0,63mm Unsealed"/>
    <m/>
    <s v="No"/>
    <s v="No"/>
    <s v="Yes"/>
    <n v="0"/>
    <n v="0"/>
    <n v="1"/>
    <n v="1"/>
  </r>
  <r>
    <x v="405"/>
    <s v="13.0_Comfort &amp; Interior"/>
    <s v="13.31_AmbientLighting-System"/>
    <s v="F0x32"/>
    <s v="Ambient Lighting, Center Console"/>
    <s v="QM"/>
    <s v="Comfort"/>
    <s v="Internal Illumination"/>
    <s v="Console Illumination FR"/>
    <s v="with Console Illumination"/>
    <s v="Actuator"/>
    <s v="LED Lamp"/>
    <s v="LED Lamp - Console Illumination FR"/>
    <m/>
    <m/>
    <s v="48;1"/>
    <s v="TE"/>
    <s v="1379029-1"/>
    <s v="4 Pos. MQS 0,63mm Unsealed"/>
    <m/>
    <s v="No"/>
    <s v="No"/>
    <s v="Yes"/>
    <n v="0"/>
    <n v="0"/>
    <n v="1"/>
    <n v="1"/>
  </r>
  <r>
    <x v="406"/>
    <s v="13.0_Comfort &amp; Interior"/>
    <s v="13.31_AmbientLighting-System"/>
    <s v="F0500"/>
    <s v="Ambient Lighting, Trimstrip Doors"/>
    <s v="QM"/>
    <s v="Comfort"/>
    <s v="Internal Illumination"/>
    <s v="Door Panel Illumination FR"/>
    <s v="RGB Internal Illumination"/>
    <s v="Actuator"/>
    <s v="LED Lamp RGB"/>
    <s v="LED Lamp RGB - Door Panel Illumination FR"/>
    <m/>
    <m/>
    <s v="41;21"/>
    <s v="TE"/>
    <s v="1379029-1"/>
    <s v="4 Pos. MQS 0,63mm Unsealed"/>
    <m/>
    <s v="No"/>
    <s v="Yes"/>
    <s v="Yes"/>
    <n v="0.05"/>
    <n v="0.05"/>
    <n v="1"/>
    <n v="1"/>
  </r>
  <r>
    <x v="407"/>
    <s v="13.0_Comfort &amp; Interior"/>
    <s v="13.31_AmbientLighting-System"/>
    <s v="F0500"/>
    <s v="Ambient Lighting, Trimstrip Doors"/>
    <s v="QM"/>
    <s v="Comfort"/>
    <s v="Internal Illumination"/>
    <s v="Door Panel Illumination FL"/>
    <s v="RGB Internal Illumination"/>
    <s v="Actuator"/>
    <s v="LED Lamp RGB"/>
    <s v="LED Lamp RGB - Door Panel Illumination FL"/>
    <m/>
    <m/>
    <s v="41;-21"/>
    <s v="TE"/>
    <s v="1379029-1"/>
    <s v="4 Pos. MQS 0,63mm Unsealed"/>
    <m/>
    <s v="No"/>
    <s v="Yes"/>
    <s v="Yes"/>
    <n v="0.05"/>
    <n v="0.05"/>
    <n v="1"/>
    <n v="1"/>
  </r>
  <r>
    <x v="408"/>
    <s v="13.0_Comfort &amp; Interior"/>
    <s v="13.31_AmbientLighting-System"/>
    <s v="F0500"/>
    <s v="Ambient Lighting, Trimstrip Doors"/>
    <s v="QM"/>
    <s v="Comfort"/>
    <s v="Internal Illumination"/>
    <s v="Door Panel Illumination RL"/>
    <s v="RGB Internal Illumination"/>
    <s v="Actuator"/>
    <s v="LED Lamp RGB"/>
    <s v="LED Lamp RGB - Door Panel Illumination RL"/>
    <m/>
    <m/>
    <s v="64;-21"/>
    <s v="TE"/>
    <s v="1379029-1"/>
    <s v="4 Pos. MQS 0,63mm Unsealed"/>
    <m/>
    <s v="No"/>
    <s v="Yes"/>
    <s v="Yes"/>
    <n v="0.05"/>
    <n v="0.05"/>
    <n v="1"/>
    <n v="1"/>
  </r>
  <r>
    <x v="409"/>
    <s v="13.0_Comfort &amp; Interior"/>
    <s v="13.31_AmbientLighting-System"/>
    <s v="F0500"/>
    <s v="Ambient Lighting, Trimstrip Doors"/>
    <s v="QM"/>
    <s v="Comfort"/>
    <s v="Internal Illumination"/>
    <s v="Door Panel Illumination RR"/>
    <s v="RGB Internal Illumination"/>
    <s v="Actuator"/>
    <s v="LED Lamp RGB"/>
    <s v="LED Lamp RGB - Door Panel Illumination RR"/>
    <m/>
    <m/>
    <s v="64;21"/>
    <s v="TE"/>
    <s v="1379029-1"/>
    <s v="4 Pos. MQS 0,63mm Unsealed"/>
    <m/>
    <s v="No"/>
    <s v="Yes"/>
    <s v="Yes"/>
    <n v="0.05"/>
    <n v="0.05"/>
    <n v="1"/>
    <n v="1"/>
  </r>
  <r>
    <x v="410"/>
    <s v="36.0_Infotainment &amp; Connectivity"/>
    <s v="36.40_Ecall-System"/>
    <s v="F0143"/>
    <s v="Emergency Call, E-Call (EU)"/>
    <s v="QM"/>
    <s v="Infotainment"/>
    <s v="Communication"/>
    <s v="Emergency Call"/>
    <s v="Basic"/>
    <s v="Loudspeaker"/>
    <s v="Loudspeaker"/>
    <s v="Loudspeaker - Emergency Call"/>
    <m/>
    <m/>
    <s v="43;0"/>
    <s v="TE"/>
    <s v="1563189-1"/>
    <s v="2 Pos. MPT 1,5mm Unsealed"/>
    <m/>
    <s v="Yes"/>
    <s v="Yes"/>
    <s v="Yes"/>
    <n v="0"/>
    <n v="0"/>
    <n v="0"/>
    <n v="0"/>
  </r>
  <r>
    <x v="411"/>
    <s v="37.0_ADAS &amp; AutomatedDriving"/>
    <s v="37.20_Parking-System"/>
    <s v="F0155"/>
    <s v="Park Assist, Front"/>
    <s v="QM"/>
    <s v="Drive Assistance"/>
    <s v="Driver Assistance System"/>
    <s v="Short Range Distance Warning"/>
    <m/>
    <s v="Actuator"/>
    <s v="Buzzer"/>
    <s v="Buzzer - Short Range Distance Warning"/>
    <m/>
    <m/>
    <s v="30;-9"/>
    <s v="TE"/>
    <s v="1-2302450-1"/>
    <s v="2 Pos. NanoMQS 0,5mm Unsealed"/>
    <m/>
    <s v="Yes"/>
    <s v="Yes"/>
    <s v="Yes"/>
    <n v="0"/>
    <n v="0"/>
    <n v="0"/>
    <n v="0"/>
  </r>
  <r>
    <x v="411"/>
    <s v="37.0_ADAS &amp; AutomatedDriving"/>
    <s v="37.20_Parking-System"/>
    <s v="F0156"/>
    <s v="Park Assist, Rear"/>
    <s v="QM"/>
    <s v="Drive Assistance"/>
    <s v="Driver Assistance System"/>
    <s v="Short Range Distance Warning"/>
    <m/>
    <s v="Actuator"/>
    <s v="Buzzer"/>
    <s v="Buzzer - Short Range Distance Warning"/>
    <m/>
    <m/>
    <s v="30;-9"/>
    <s v="TE"/>
    <s v="1-2302450-1"/>
    <s v="2 Pos. NanoMQS 0,5mm Unsealed"/>
    <m/>
    <s v="Yes"/>
    <s v="Yes"/>
    <s v="Yes"/>
    <n v="0"/>
    <n v="0"/>
    <n v="0"/>
    <n v="0"/>
  </r>
  <r>
    <x v="411"/>
    <s v="37.0_ADAS &amp; AutomatedDriving"/>
    <s v="37.20_Parking-System"/>
    <s v="F1304"/>
    <s v="Park Assist, Side"/>
    <s v="QM"/>
    <s v="Drive Assistance"/>
    <s v="Driver Assistance System"/>
    <s v="Short Range Distance Warning"/>
    <m/>
    <s v="Actuator"/>
    <s v="Buzzer"/>
    <s v="Buzzer - Short Range Distance Warning"/>
    <m/>
    <m/>
    <s v="30;-9"/>
    <s v="TE"/>
    <s v="1-2302450-1"/>
    <s v="2 Pos. NanoMQS 0,5mm Unsealed"/>
    <m/>
    <s v="Yes"/>
    <s v="Yes"/>
    <s v="Yes"/>
    <n v="0"/>
    <n v="0"/>
    <n v="0"/>
    <n v="0"/>
  </r>
  <r>
    <x v="412"/>
    <s v="10.0_Comfort &amp; Exterior"/>
    <s v="10.30_OutsideLighting-System"/>
    <s v="F0024"/>
    <s v="Headlamp Leveling, Automatic"/>
    <s v="QM"/>
    <s v="Body"/>
    <s v="External Illumination"/>
    <s v="Vehicle Level Information"/>
    <m/>
    <s v="Sensor"/>
    <s v="Vehicle Level Sensor Rear Left"/>
    <s v="Vehicle Level Sensor Rear Left - Vehicle Level Information"/>
    <m/>
    <m/>
    <s v="90;-18"/>
    <s v="TE"/>
    <s v="4-1488991-1"/>
    <s v="3 Pos. MCON 1,2mm Sealed"/>
    <m/>
    <s v="No"/>
    <s v="Yes"/>
    <s v="Yes"/>
    <n v="1"/>
    <n v="1"/>
    <n v="1"/>
    <n v="1"/>
  </r>
  <r>
    <x v="412"/>
    <s v="32.0_Comfort &amp; Chassis"/>
    <s v="32.30_Suspenioning-System"/>
    <s v="F0125"/>
    <s v="Damping, Active Electrical"/>
    <m/>
    <s v="Chassis"/>
    <s v="Suspension"/>
    <s v="Vehicle Level Information"/>
    <m/>
    <s v="Sensor"/>
    <s v="Vehicle Level Sensor Rear Left"/>
    <s v="Vehicle Level Sensor Rear Left - Vehicle Level Information"/>
    <m/>
    <m/>
    <s v="90;-18"/>
    <s v="TE"/>
    <s v="4-1488991-1"/>
    <s v="3 Pos. MCON 1,2mm Sealed"/>
    <m/>
    <s v="No"/>
    <s v="No"/>
    <s v="Yes"/>
    <n v="1"/>
    <n v="1"/>
    <n v="1"/>
    <n v="1"/>
  </r>
  <r>
    <x v="413"/>
    <s v="28.0_Powertrain &amp; Driveability"/>
    <s v="28.13_Recuperation&amp;OPD-System"/>
    <s v="F0215"/>
    <s v="LV Power, Recuperation (LV)"/>
    <m/>
    <s v="System"/>
    <s v="Power Supply"/>
    <s v="12V Battery Management"/>
    <s v="Basic"/>
    <s v="Sensor"/>
    <s v="12V Lead-Acid Battery BMS"/>
    <s v="12V Lead-Acid Battery BMS - 12V Battery Management"/>
    <m/>
    <m/>
    <s v="98;18"/>
    <s v="NR"/>
    <s v="NR"/>
    <m/>
    <m/>
    <s v="Yes"/>
    <s v="No"/>
    <s v="No"/>
    <n v="1"/>
    <n v="1"/>
    <n v="1"/>
    <n v="1"/>
  </r>
  <r>
    <x v="413"/>
    <s v="80.0_Cross-Functions"/>
    <s v="80.82_EnergyManagement"/>
    <s v="F0219"/>
    <s v="LV Power, Intelligent Battery Sensing"/>
    <m/>
    <s v="System"/>
    <s v="Power Supply"/>
    <s v="12V Battery Management"/>
    <s v="Basic"/>
    <s v="Sensor"/>
    <s v="12V Lead-Acid Battery BMS"/>
    <s v="12V Lead-Acid Battery BMS - 12V Battery Management"/>
    <m/>
    <m/>
    <s v="98;18"/>
    <s v="NR"/>
    <s v="NR"/>
    <m/>
    <m/>
    <s v="Yes"/>
    <s v="No"/>
    <s v="No"/>
    <n v="1"/>
    <n v="1"/>
    <n v="1"/>
    <n v="1"/>
  </r>
  <r>
    <x v="413"/>
    <s v="80.0_Cross-Functions"/>
    <s v="80.84_Diagnosis&amp;Updates"/>
    <s v="F0629"/>
    <s v="Diagnosis, Under/Overvoltage Detection"/>
    <m/>
    <s v="System"/>
    <s v="Power Supply"/>
    <s v="12V Battery Management"/>
    <s v="Basic"/>
    <s v="Sensor"/>
    <s v="12V Lead-Acid Battery BMS"/>
    <s v="12V Lead-Acid Battery BMS - 12V Battery Management"/>
    <m/>
    <m/>
    <s v="98;18"/>
    <s v="NR"/>
    <s v="NR"/>
    <m/>
    <m/>
    <s v="Yes"/>
    <s v="No"/>
    <s v="No"/>
    <n v="1"/>
    <n v="1"/>
    <n v="1"/>
    <n v="1"/>
  </r>
  <r>
    <x v="413"/>
    <s v="80.0_Cross-Functions"/>
    <s v="80.89_WiringHarness-Design"/>
    <s v="F0484"/>
    <s v="Electrical System, 12V"/>
    <m/>
    <s v="System"/>
    <s v="Power Supply"/>
    <s v="12V Battery Management"/>
    <s v="Basic"/>
    <s v="Sensor"/>
    <s v="12V Lead-Acid Battery BMS"/>
    <s v="12V Lead-Acid Battery BMS - 12V Battery Management"/>
    <m/>
    <m/>
    <s v="98;18"/>
    <s v="NR"/>
    <s v="NR"/>
    <m/>
    <m/>
    <s v="Yes"/>
    <s v="No"/>
    <s v="No"/>
    <n v="1"/>
    <n v="1"/>
    <n v="1"/>
    <n v="1"/>
  </r>
  <r>
    <x v="414"/>
    <s v="16.0_Comfort &amp; Safety"/>
    <s v="16.12_CrashHandling-System"/>
    <s v="F0x16"/>
    <s v="Crashdetection, Pedestrian"/>
    <m/>
    <s v="Chassis"/>
    <s v="Airbag"/>
    <s v="Crash Sensor"/>
    <s v="Pedestrian Protection"/>
    <s v="Sensor"/>
    <s v="Pedestrian Impact Sensor FR"/>
    <s v="Pedestrian Impact Sensor FR - Crash Sensor"/>
    <m/>
    <m/>
    <s v="-13;12"/>
    <s v="TE"/>
    <s v="1-1801178-4"/>
    <s v="3 Pos. SFC 1,5mm Sealed"/>
    <m/>
    <s v="No"/>
    <s v="No"/>
    <s v="Yes"/>
    <n v="1"/>
    <n v="1"/>
    <n v="1"/>
    <n v="1"/>
  </r>
  <r>
    <x v="415"/>
    <s v="16.0_Comfort &amp; Safety"/>
    <s v="16.12_CrashHandling-System"/>
    <s v="F0x16"/>
    <s v="Crashdetection, Pedestrian"/>
    <m/>
    <s v="Chassis"/>
    <s v="Airbag"/>
    <s v="Crash Sensor"/>
    <s v="Pedestrian Protection"/>
    <s v="Sensor"/>
    <s v="Pedestrian Impact Sensor FL"/>
    <s v="Pedestrian Impact Sensor FL - Crash Sensor"/>
    <m/>
    <m/>
    <s v="-13;-12"/>
    <s v="TE"/>
    <s v="1-1801178-4"/>
    <s v="3 Pos. SFC 1,5mm Sealed"/>
    <m/>
    <s v="No"/>
    <s v="No"/>
    <s v="Yes"/>
    <n v="1"/>
    <n v="1"/>
    <n v="1"/>
    <n v="1"/>
  </r>
  <r>
    <x v="416"/>
    <s v="80.0_Cross-Functions"/>
    <s v="80.89_WiringHarness-Design"/>
    <s v="F0618"/>
    <s v="LV Power, 12V Battery"/>
    <s v=" "/>
    <s v="System"/>
    <s v="Power Supply"/>
    <s v="12V Energy Storage"/>
    <s v="Basic"/>
    <s v="Source"/>
    <s v="12V Lead-Acid Battery Main"/>
    <s v="12V Lead-Acid Battery Main - 12V Energy Storage"/>
    <m/>
    <m/>
    <s v="98;18"/>
    <m/>
    <m/>
    <m/>
    <m/>
    <s v="Yes"/>
    <s v="Yes"/>
    <s v="Yes"/>
    <n v="1"/>
    <n v="1"/>
    <n v="1"/>
    <n v="1"/>
  </r>
  <r>
    <x v="417"/>
    <s v="39.0_HVAC &amp; Thermal"/>
    <s v="39.10_PassengerThermal-System"/>
    <s v="F0016"/>
    <s v="HVAC-System, 3- / 4-Zones"/>
    <s v="QM"/>
    <s v="Comfort"/>
    <s v="Climate Control"/>
    <s v="Air Flow Deflection"/>
    <s v="with Automatic Air Conditioning"/>
    <s v="Switch"/>
    <s v="User Selector Potentiometer - Cockpit Center Air Diffuser Left"/>
    <s v="User Selector Potentiometer - Cockpit Center Air Diffuser Left - Air Flow Deflection"/>
    <m/>
    <m/>
    <s v="33;-3"/>
    <m/>
    <m/>
    <m/>
    <m/>
    <s v="No"/>
    <s v="No"/>
    <s v="Yes"/>
    <n v="0"/>
    <n v="0"/>
    <n v="1"/>
    <n v="1"/>
  </r>
  <r>
    <x v="417"/>
    <s v="39.0_HVAC &amp; Thermal"/>
    <s v="39.10_PassengerThermal-System"/>
    <s v="F0234"/>
    <s v="HVAC-Blower, Automatic"/>
    <s v="QM"/>
    <s v="Comfort"/>
    <s v="Climate Control"/>
    <s v="Air Flow Deflection"/>
    <s v="with Automatic Air Conditioning"/>
    <s v="Switch"/>
    <s v="User Selector Potentiometer - Cockpit Center Air Diffuser Left"/>
    <s v="User Selector Potentiometer - Cockpit Center Air Diffuser Left - Air Flow Deflection"/>
    <m/>
    <m/>
    <s v="33;-3"/>
    <m/>
    <m/>
    <m/>
    <m/>
    <s v="No"/>
    <s v="Yes"/>
    <s v="Yes"/>
    <n v="0"/>
    <n v="0"/>
    <n v="1"/>
    <n v="1"/>
  </r>
  <r>
    <x v="417"/>
    <s v="39.0_HVAC &amp; Thermal"/>
    <s v="39.10_PassengerThermal-System"/>
    <s v="F0x17"/>
    <s v="HVAC-System, 2-Zones Front"/>
    <s v="QM"/>
    <s v="Comfort"/>
    <s v="Climate Control"/>
    <s v="Air Flow Deflection"/>
    <s v="with Automatic Air Conditioning"/>
    <s v="Switch"/>
    <s v="User Selector Potentiometer - Cockpit Center Air Diffuser Left"/>
    <s v="User Selector Potentiometer - Cockpit Center Air Diffuser Left - Air Flow Deflection"/>
    <m/>
    <m/>
    <s v="33;-3"/>
    <m/>
    <m/>
    <m/>
    <m/>
    <s v="No"/>
    <s v="Yes"/>
    <s v="No"/>
    <n v="0"/>
    <n v="0"/>
    <n v="1"/>
    <n v="1"/>
  </r>
  <r>
    <x v="418"/>
    <s v="10.0_Comfort &amp; Exterior"/>
    <s v="10.10_CentralLocking-System"/>
    <s v="F0xx1"/>
    <s v="Central Door Lock, Front Hood"/>
    <m/>
    <s v="Comfort"/>
    <s v="Anti-Theft"/>
    <s v="Intrusion Detection"/>
    <s v="with Central Locking"/>
    <s v="Switch"/>
    <s v="Hood Switch Left"/>
    <s v="Hood Switch Left - Intrusion Detection"/>
    <m/>
    <m/>
    <s v="1;-19"/>
    <s v="TE"/>
    <s v="2141467-1"/>
    <s v="2 Pos. NanoMQS 0,5mm Sealed"/>
    <m/>
    <s v="No"/>
    <s v="Yes"/>
    <s v="Yes"/>
    <n v="0"/>
    <n v="0"/>
    <n v="0"/>
    <n v="0"/>
  </r>
  <r>
    <x v="418"/>
    <s v="10.0_Comfort &amp; Exterior"/>
    <s v="10.11_VehicleAccess-System"/>
    <s v="F0020"/>
    <s v="Anti Theft, Alarm"/>
    <m/>
    <s v="Comfort"/>
    <s v="Anti-Theft"/>
    <s v="Intrusion Detection"/>
    <s v="with Central Locking"/>
    <s v="Switch"/>
    <s v="Hood Switch Left"/>
    <s v="Hood Switch Left - Intrusion Detection"/>
    <m/>
    <m/>
    <s v="1;-19"/>
    <s v="TE"/>
    <s v="2141467-1"/>
    <s v="2 Pos. NanoMQS 0,5mm Sealed"/>
    <m/>
    <s v="No"/>
    <s v="Yes"/>
    <s v="Yes"/>
    <n v="0"/>
    <n v="0"/>
    <n v="0"/>
    <n v="0"/>
  </r>
  <r>
    <x v="419"/>
    <s v="10.0_Comfort &amp; Exterior"/>
    <s v="10.10_CentralLocking-System"/>
    <s v="F0xx1"/>
    <s v="Central Door Lock, Front Hood"/>
    <m/>
    <s v="Comfort"/>
    <s v="Anti-Theft"/>
    <s v="Intrusion Detection"/>
    <s v="with Central Locking"/>
    <s v="Switch"/>
    <s v="Hood Switch Right"/>
    <s v="Hood Switch Right - Intrusion Detection"/>
    <m/>
    <m/>
    <s v="1;19"/>
    <s v="TE"/>
    <s v="2141467-1"/>
    <s v="2 Pos. NanoMQS 0,5mm Sealed"/>
    <m/>
    <s v="No"/>
    <s v="Yes"/>
    <s v="Yes"/>
    <n v="0"/>
    <n v="0"/>
    <n v="0"/>
    <n v="0"/>
  </r>
  <r>
    <x v="419"/>
    <s v="10.0_Comfort &amp; Exterior"/>
    <s v="10.11_VehicleAccess-System"/>
    <s v="F0020"/>
    <s v="Anti Theft, Alarm"/>
    <m/>
    <s v="Comfort"/>
    <s v="Anti-Theft"/>
    <s v="Intrusion Detection"/>
    <s v="with Central Locking"/>
    <s v="Switch"/>
    <s v="Hood Switch Right"/>
    <s v="Hood Switch Right - Intrusion Detection"/>
    <m/>
    <m/>
    <s v="1;19"/>
    <s v="TE"/>
    <s v="2141467-1"/>
    <s v="2 Pos. NanoMQS 0,5mm Sealed"/>
    <m/>
    <s v="No"/>
    <s v="Yes"/>
    <s v="Yes"/>
    <n v="0"/>
    <n v="0"/>
    <n v="0"/>
    <n v="0"/>
  </r>
  <r>
    <x v="420"/>
    <s v="36.0_Infotainment &amp; Connectivity"/>
    <s v="36.12_Sound-System"/>
    <s v="F0266"/>
    <s v="Sound System Type, External Amplifier"/>
    <m/>
    <s v="Infotainment"/>
    <s v="Audio"/>
    <s v="Amplifier"/>
    <s v="High Sound"/>
    <s v="Actuator"/>
    <s v="Audio Amplifier"/>
    <s v="Audio Amplifier - Amplifier"/>
    <m/>
    <m/>
    <s v="90;18"/>
    <s v="TE"/>
    <s v="2301812-1"/>
    <s v="16 Pos. MCON 1,2mm / MCP 2,8mm Unsealed"/>
    <m/>
    <s v="No"/>
    <s v="Yes"/>
    <s v="No"/>
    <n v="0.3"/>
    <n v="0.3"/>
    <n v="0.3"/>
    <n v="0.3"/>
  </r>
  <r>
    <x v="421"/>
    <s v="36.0_Infotainment &amp; Connectivity"/>
    <s v="36.40_Ecall-System"/>
    <s v="F0143"/>
    <s v="Emergency Call, E-Call (EU)"/>
    <s v="QM"/>
    <s v="Infotainment"/>
    <s v="Audio"/>
    <s v="Emergency Call"/>
    <s v="Basic"/>
    <s v="Sensor"/>
    <s v="Microphone"/>
    <s v="Microphone - Emergency Call"/>
    <m/>
    <m/>
    <s v="43;0"/>
    <s v="TE"/>
    <s v="1-929080-5"/>
    <s v="2 Pos. MQS 0,63mm Unsealed"/>
    <m/>
    <s v="Yes"/>
    <s v="Yes"/>
    <s v="Yes"/>
    <n v="0"/>
    <n v="0"/>
    <n v="0"/>
    <n v="0"/>
  </r>
  <r>
    <x v="422"/>
    <s v="10.0_Comfort &amp; Exterior"/>
    <s v="10.20_Mirroring-System"/>
    <s v="F0159"/>
    <s v="Rear View, Camera"/>
    <m/>
    <s v="Infotainment"/>
    <s v="Audio"/>
    <s v="Computing"/>
    <s v="Basic"/>
    <s v="Actuator"/>
    <s v="Radio Head Unit und Information Electronics"/>
    <s v="Radio Head Unit und Information Electronics - Computing"/>
    <m/>
    <m/>
    <s v="30;2"/>
    <s v="TE"/>
    <s v="2320020-1"/>
    <s v="20 Pos. NanoMQS 0,5mm Unsealed"/>
    <m/>
    <s v="No"/>
    <s v="No"/>
    <s v="Yes"/>
    <n v="1"/>
    <n v="1"/>
    <n v="1"/>
    <n v="1"/>
  </r>
  <r>
    <x v="422"/>
    <s v="10.0_Comfort &amp; Exterior"/>
    <s v="10.20_Mirroring-System"/>
    <s v="F0912"/>
    <s v="Surround View, 3D-View"/>
    <m/>
    <s v="Infotainment"/>
    <s v="Audio"/>
    <s v="Computing"/>
    <s v="Basic"/>
    <s v="Actuator"/>
    <s v="Radio Head Unit und Information Electronics"/>
    <s v="Radio Head Unit und Information Electronics - Computing"/>
    <m/>
    <m/>
    <s v="30;2"/>
    <s v="TE"/>
    <s v="2320020-1"/>
    <s v="20 Pos. NanoMQS 0,5mm Unsealed"/>
    <m/>
    <s v="No"/>
    <s v="No"/>
    <s v="Yes"/>
    <n v="1"/>
    <n v="1"/>
    <n v="1"/>
    <n v="1"/>
  </r>
  <r>
    <x v="422"/>
    <s v="36.0_Infotainment &amp; Connectivity"/>
    <s v="36.10_Radio-System"/>
    <s v="F0261"/>
    <s v="Radio, HD"/>
    <m/>
    <s v="Infotainment"/>
    <s v="Audio"/>
    <s v="Computing"/>
    <s v="Basic"/>
    <s v="Actuator"/>
    <s v="Radio Head Unit und Information Electronics"/>
    <s v="Radio Head Unit und Information Electronics - Computing"/>
    <m/>
    <m/>
    <s v="30;2"/>
    <s v="TE"/>
    <s v="2203464-2"/>
    <s v="14 Pos. MCON 1,2mm Unsealed"/>
    <m/>
    <s v="Yes"/>
    <s v="Yes"/>
    <s v="Yes"/>
    <n v="0"/>
    <n v="0"/>
    <n v="0"/>
    <n v="0"/>
  </r>
  <r>
    <x v="422"/>
    <s v="36.0_Infotainment &amp; Connectivity"/>
    <s v="36.10_Radio-System"/>
    <s v="F0574"/>
    <s v="Radio, DAB+"/>
    <m/>
    <s v="Infotainment"/>
    <s v="Audio"/>
    <s v="Computing"/>
    <s v="Basic"/>
    <s v="Actuator"/>
    <s v="Radio Head Unit und Information Electronics"/>
    <s v="Radio Head Unit und Information Electronics - Computing"/>
    <m/>
    <m/>
    <s v="30;2"/>
    <s v="TE"/>
    <s v="2203464-2"/>
    <s v="14 Pos. MCON 1,2mm Unsealed"/>
    <m/>
    <s v="Yes"/>
    <s v="Yes"/>
    <s v="Yes"/>
    <n v="0"/>
    <n v="0"/>
    <n v="0"/>
    <n v="0"/>
  </r>
  <r>
    <x v="422"/>
    <s v="36.0_Infotainment &amp; Connectivity"/>
    <s v="36.10_Radio-System"/>
    <s v="F0665"/>
    <s v="Radio, FM"/>
    <m/>
    <s v="Infotainment"/>
    <s v="Audio"/>
    <s v="Computing"/>
    <s v="Basic"/>
    <s v="Actuator"/>
    <s v="Radio Head Unit und Information Electronics"/>
    <s v="Radio Head Unit und Information Electronics - Computing"/>
    <m/>
    <m/>
    <s v="30;2"/>
    <s v="TE"/>
    <s v="2203464-2"/>
    <s v="14 Pos. MCON 1,2mm Unsealed"/>
    <m/>
    <s v="Yes"/>
    <s v="Yes"/>
    <s v="Yes"/>
    <n v="0"/>
    <n v="0"/>
    <n v="0"/>
    <n v="0"/>
  </r>
  <r>
    <x v="422"/>
    <s v="36.0_Infotainment &amp; Connectivity"/>
    <s v="36.12_Sound-System"/>
    <s v="F1342"/>
    <s v="Road-noise Active Noise Cancelation (RANC)"/>
    <m/>
    <s v="Infotainment"/>
    <s v="Audio"/>
    <s v="Computing"/>
    <s v="Basic"/>
    <s v="Actuator"/>
    <s v="Radio Head Unit und Information Electronics"/>
    <s v="Radio Head Unit und Information Electronics - Computing"/>
    <m/>
    <m/>
    <s v="30;2"/>
    <s v="TE"/>
    <s v="2203464-2"/>
    <s v="14 Pos. MCON 1,2mm Unsealed"/>
    <m/>
    <s v="Yes"/>
    <s v="Yes"/>
    <s v="Yes"/>
    <n v="0"/>
    <n v="0"/>
    <n v="0"/>
    <n v="0"/>
  </r>
  <r>
    <x v="422"/>
    <s v="36.0_Infotainment &amp; Connectivity"/>
    <s v="36.33_V2N_System"/>
    <s v="F0x50"/>
    <s v="Car Sharing System"/>
    <m/>
    <s v="Infotainment"/>
    <s v="Audio"/>
    <s v="Computing"/>
    <s v="Basic"/>
    <s v="Actuator"/>
    <s v="Radio Head Unit und Information Electronics"/>
    <s v="Radio Head Unit und Information Electronics - Computing"/>
    <m/>
    <m/>
    <s v="30;2"/>
    <s v="TE"/>
    <s v="2320020-1"/>
    <s v="20 Pos. NanoMQS 0,5mm Unsealed"/>
    <m/>
    <s v="No"/>
    <s v="No"/>
    <s v="Yes"/>
    <n v="1"/>
    <n v="1"/>
    <n v="1"/>
    <n v="1"/>
  </r>
  <r>
    <x v="422"/>
    <s v="80.0_Cross-Functions"/>
    <s v="80.87_HMI-Design"/>
    <s v="F2015"/>
    <s v="Infotainment Software"/>
    <m/>
    <s v="Infotainment"/>
    <s v="Audio"/>
    <s v="Computing"/>
    <s v="Basic"/>
    <s v="Actuator"/>
    <s v="Radio Head Unit und Information Electronics"/>
    <s v="Radio Head Unit und Information Electronics - Computing"/>
    <m/>
    <m/>
    <s v="30;2"/>
    <s v="TE"/>
    <s v="2203464-2"/>
    <s v="14 Pos. MCON 1,2mm Unsealed"/>
    <m/>
    <s v="Yes"/>
    <s v="Yes"/>
    <s v="Yes"/>
    <n v="0"/>
    <n v="0"/>
    <n v="0"/>
    <n v="0"/>
  </r>
  <r>
    <x v="423"/>
    <m/>
    <m/>
    <m/>
    <m/>
    <m/>
    <s v="Infotainment"/>
    <s v="Multimedia"/>
    <s v="Computing"/>
    <s v="Basic"/>
    <s v="Actuator"/>
    <s v="Radio Head Unit und Information Electronics"/>
    <s v="Radio Head Unit und Information Electronics - Computing"/>
    <m/>
    <m/>
    <m/>
    <m/>
    <m/>
    <m/>
    <m/>
    <m/>
    <m/>
    <m/>
    <m/>
    <m/>
    <m/>
    <m/>
  </r>
  <r>
    <x v="424"/>
    <s v="14.0_HMI &amp; OutsideInformation"/>
    <s v="14.20_DriverControl-System"/>
    <s v="F1344"/>
    <s v="Control Voice, Internal Microphones"/>
    <s v="QM"/>
    <s v="Infotainment"/>
    <s v="Communication"/>
    <s v="Voice Capturing"/>
    <s v="Telephone"/>
    <s v="Sensor"/>
    <s v="Microphone Left"/>
    <s v="Microphone Left - Voice Capturing"/>
    <m/>
    <m/>
    <s v="41;-3"/>
    <s v="TE"/>
    <s v="1-929080-5"/>
    <s v="2 Pos. MQS 0,63mm Unsealed"/>
    <m/>
    <s v="No"/>
    <s v="Yes"/>
    <s v="Yes"/>
    <n v="1"/>
    <n v="1"/>
    <n v="1"/>
    <n v="1"/>
  </r>
  <r>
    <x v="424"/>
    <s v="36.0_Infotainment &amp; Connectivity"/>
    <s v="36.34_V2S_System"/>
    <s v="F0705"/>
    <s v="Apple Car Play, Siri"/>
    <s v="QM"/>
    <s v="Infotainment"/>
    <s v="Communication"/>
    <s v="Voice Capturing"/>
    <s v="Telephone"/>
    <s v="Sensor"/>
    <s v="Microphone Left"/>
    <s v="Microphone Left - Voice Capturing"/>
    <m/>
    <m/>
    <s v="41;-3"/>
    <s v="TE"/>
    <s v="1-929080-5"/>
    <s v="2 Pos. MQS 0,63mm Unsealed"/>
    <m/>
    <s v="No"/>
    <s v="Yes"/>
    <s v="Yes"/>
    <n v="1"/>
    <n v="1"/>
    <n v="1"/>
    <n v="1"/>
  </r>
  <r>
    <x v="424"/>
    <s v="36.0_Infotainment &amp; Connectivity"/>
    <s v="36.34_V2S_System"/>
    <s v="F0706"/>
    <s v="Android Auto, OK Google"/>
    <s v="QM"/>
    <s v="Infotainment"/>
    <s v="Communication"/>
    <s v="Voice Capturing"/>
    <s v="Telephone"/>
    <s v="Sensor"/>
    <s v="Microphone Left"/>
    <s v="Microphone Left - Voice Capturing"/>
    <m/>
    <m/>
    <s v="41;-3"/>
    <s v="TE"/>
    <s v="1-929080-5"/>
    <s v="2 Pos. MQS 0,63mm Unsealed"/>
    <m/>
    <s v="No"/>
    <s v="Yes"/>
    <s v="Yes"/>
    <n v="1"/>
    <n v="1"/>
    <n v="1"/>
    <n v="1"/>
  </r>
  <r>
    <x v="425"/>
    <s v="14.0_HMI &amp; OutsideInformation"/>
    <s v="14.20_DriverControl-System"/>
    <s v="F1344"/>
    <s v="Control Voice, Internal Microphones"/>
    <s v="QM"/>
    <s v="Infotainment"/>
    <s v="Communication"/>
    <s v="Voice Capturing"/>
    <s v="Telephone"/>
    <s v="Sensor"/>
    <s v="Microphone Right"/>
    <s v="Microphone Right - Voice Capturing"/>
    <m/>
    <m/>
    <s v="41;-3"/>
    <s v="TE"/>
    <s v="1-929080-5"/>
    <s v="2 Pos. MQS 0,63mm Unsealed"/>
    <m/>
    <s v="No"/>
    <s v="Yes"/>
    <s v="Yes"/>
    <n v="1"/>
    <n v="1"/>
    <n v="1"/>
    <n v="1"/>
  </r>
  <r>
    <x v="425"/>
    <s v="36.0_Infotainment &amp; Connectivity"/>
    <s v="36.34_V2S_System"/>
    <s v="F0705"/>
    <s v="Apple Car Play, Siri"/>
    <s v="QM"/>
    <s v="Infotainment"/>
    <s v="Communication"/>
    <s v="Voice Capturing"/>
    <s v="Telephone"/>
    <s v="Sensor"/>
    <s v="Microphone Right"/>
    <s v="Microphone Right - Voice Capturing"/>
    <m/>
    <m/>
    <s v="41;-3"/>
    <s v="TE"/>
    <s v="1-929080-5"/>
    <s v="2 Pos. MQS 0,63mm Unsealed"/>
    <m/>
    <s v="No"/>
    <s v="Yes"/>
    <s v="Yes"/>
    <n v="1"/>
    <n v="1"/>
    <n v="1"/>
    <n v="1"/>
  </r>
  <r>
    <x v="425"/>
    <s v="36.0_Infotainment &amp; Connectivity"/>
    <s v="36.34_V2S_System"/>
    <s v="F0706"/>
    <s v="Android Auto, OK Google"/>
    <s v="QM"/>
    <s v="Infotainment"/>
    <s v="Communication"/>
    <s v="Voice Capturing"/>
    <s v="Telephone"/>
    <s v="Sensor"/>
    <s v="Microphone Right"/>
    <s v="Microphone Right - Voice Capturing"/>
    <m/>
    <m/>
    <s v="41;-3"/>
    <s v="TE"/>
    <s v="1-929080-5"/>
    <s v="2 Pos. MQS 0,63mm Unsealed"/>
    <m/>
    <s v="No"/>
    <s v="Yes"/>
    <s v="Yes"/>
    <n v="1"/>
    <n v="1"/>
    <n v="1"/>
    <n v="1"/>
  </r>
  <r>
    <x v="426"/>
    <m/>
    <m/>
    <m/>
    <m/>
    <m/>
    <s v="Powertrain"/>
    <s v="Engine"/>
    <s v="Hydraulic Vibration Damping"/>
    <s v="ICE"/>
    <s v="Actuator"/>
    <s v="Magnetic Valve for Engine Mounting Left"/>
    <s v="Magnetic Valve for Engine Mounting Left - Hydraulic Vibration Damping"/>
    <m/>
    <m/>
    <m/>
    <m/>
    <m/>
    <m/>
    <m/>
    <m/>
    <m/>
    <m/>
    <m/>
    <m/>
    <m/>
    <m/>
  </r>
  <r>
    <x v="427"/>
    <m/>
    <m/>
    <m/>
    <m/>
    <m/>
    <s v="Powertrain"/>
    <s v="Engine"/>
    <s v="Hydraulic Vibration Damping"/>
    <s v="ICE"/>
    <s v="Actuator"/>
    <s v="Magnetic Valve for Engine Mounting Right"/>
    <s v="Magnetic Valve for Engine Mounting Right - Hydraulic Vibration Damping"/>
    <m/>
    <m/>
    <m/>
    <m/>
    <m/>
    <m/>
    <m/>
    <m/>
    <m/>
    <m/>
    <m/>
    <m/>
    <m/>
    <m/>
  </r>
  <r>
    <x v="428"/>
    <s v="39.0_HVAC &amp; Thermal"/>
    <s v="39.11_ComponentThermal-System"/>
    <s v="F0x72"/>
    <s v="Thermal Management for ICE Vehicles - High Power Engines"/>
    <s v="TBD"/>
    <s v="Powertrain"/>
    <s v="Cooling/Heating"/>
    <s v="Radiator Ventilation"/>
    <s v="ICE"/>
    <s v="Actuator"/>
    <s v="Cooling Fan Motor 2x600W"/>
    <s v="Cooling Fan Motor 2x600W - Radiator Ventilation"/>
    <m/>
    <m/>
    <s v="-11;-11"/>
    <s v="TE"/>
    <s v="1897210-1"/>
    <s v="4 Pos. MCP 2,8mm / 6,3mm Sealed"/>
    <m/>
    <s v="No"/>
    <s v="No"/>
    <s v="Yes"/>
    <n v="0.8"/>
    <n v="0.3"/>
    <n v="0.6"/>
    <n v="0.4"/>
  </r>
  <r>
    <x v="429"/>
    <s v="36.0_Infotainment &amp; Connectivity"/>
    <s v="36.12_Sound-System"/>
    <s v="F0x36"/>
    <s v="Sound System Front, 2 Midrange Speakers"/>
    <s v=" "/>
    <s v="Infotainment"/>
    <s v="Audio"/>
    <s v="Mid Range Speaker"/>
    <s v="Premium Audio System"/>
    <s v="Loudspeaker"/>
    <s v="Loudspeaker - Door Front Right"/>
    <s v="Loudspeaker - Door Front Right - Mid Range Speaker"/>
    <m/>
    <m/>
    <s v="36;21"/>
    <s v="TE"/>
    <s v="157420-1"/>
    <s v="2 Pos. JPT 2,8mm Unsealed"/>
    <m/>
    <s v="No"/>
    <s v="No"/>
    <s v="Yes"/>
    <n v="0.25"/>
    <n v="0.35"/>
    <n v="0.4"/>
    <n v="0.3"/>
  </r>
  <r>
    <x v="429"/>
    <s v="36.0_Infotainment &amp; Connectivity"/>
    <s v="36.12_Sound-System"/>
    <s v="F1342"/>
    <s v="Road-noise Active Noise Cancelation (RANC)"/>
    <s v="QM"/>
    <s v="Infotainment"/>
    <s v="Audio"/>
    <s v="Mid Range Speaker"/>
    <s v="Premium Audio System"/>
    <s v="Loudspeaker"/>
    <s v="Loudspeaker - Door Front Right"/>
    <s v="Loudspeaker - Door Front Right - Mid Range Speaker"/>
    <m/>
    <m/>
    <s v="36;21"/>
    <s v="TE"/>
    <s v="157420-1"/>
    <s v="2 Pos. JPT 2,8mm Unsealed"/>
    <m/>
    <s v="No"/>
    <s v="No"/>
    <s v="Yes"/>
    <n v="0.25"/>
    <n v="0.35"/>
    <n v="0.4"/>
    <n v="0.3"/>
  </r>
  <r>
    <x v="430"/>
    <s v="13.0_Comfort &amp; Interior"/>
    <s v="13.30_InsideLighting-System"/>
    <s v="F0383"/>
    <s v="Visor Lighting"/>
    <s v="QM"/>
    <s v="Comfort"/>
    <s v="Internal Illumination"/>
    <s v="Vanity Mirror Illumination FL"/>
    <s v="with Vanity Mirror Illumination"/>
    <s v="Actuator"/>
    <s v="LED Lamp"/>
    <s v="LED Lamp - Vanity Mirror Illumination FL"/>
    <m/>
    <m/>
    <s v="43;-14"/>
    <s v="TE"/>
    <s v="2282150-1"/>
    <s v="2 Pos. NanoMQS 0,5mm Unsealed"/>
    <m/>
    <s v="No"/>
    <s v="Yes"/>
    <s v="Yes"/>
    <n v="0.05"/>
    <n v="0.05"/>
    <n v="0.05"/>
    <n v="0.05"/>
  </r>
  <r>
    <x v="431"/>
    <s v="13.0_Comfort &amp; Interior"/>
    <s v="13.30_InsideLighting-System"/>
    <s v="F0383"/>
    <s v="Visor Lighting"/>
    <s v="QM"/>
    <s v="Comfort"/>
    <s v="Internal Illumination"/>
    <s v="Vanity Mirror Illumination FR"/>
    <s v="with Vanity Mirror Illumination"/>
    <s v="Actuator"/>
    <s v="LED Lamp"/>
    <s v="LED Lamp - Vanity Mirror Illumination FR"/>
    <m/>
    <m/>
    <s v="43;14"/>
    <s v="TE"/>
    <s v="2282150-1"/>
    <s v="2 Pos. NanoMQS 0,5mm Unsealed"/>
    <m/>
    <s v="Yes"/>
    <s v="Yes"/>
    <s v="Yes"/>
    <n v="0.05"/>
    <n v="0.05"/>
    <n v="0.05"/>
    <n v="0.05"/>
  </r>
  <r>
    <x v="432"/>
    <m/>
    <m/>
    <m/>
    <m/>
    <m/>
    <s v="Comfort"/>
    <s v="Keyless Entry"/>
    <s v="Key Recogniton and User Hand Detection"/>
    <m/>
    <s v="Actuator"/>
    <s v="Near Field Communication Unit - Driver Door"/>
    <s v="Near Field Communication Unit - Driver Door - Key Recogniton and User Hand Detection"/>
    <m/>
    <m/>
    <s v="53;-23"/>
    <s v="TE"/>
    <s v="1801823-1"/>
    <s v="4 Pos. MCON 0,50mm Sealed"/>
    <m/>
    <s v="No"/>
    <s v="No"/>
    <s v="Yes"/>
    <n v="0"/>
    <n v="0"/>
    <n v="0"/>
    <n v="0"/>
  </r>
  <r>
    <x v="433"/>
    <m/>
    <m/>
    <m/>
    <m/>
    <m/>
    <s v="Comfort"/>
    <s v="Keyless Entry"/>
    <s v="Key Recogniton and User Hand Detection"/>
    <m/>
    <s v="Actuator"/>
    <s v="Near Field Communication Unit - Passenger Door"/>
    <s v="Near Field Communication Unit - Passenger Door - Key Recogniton and User Hand Detection"/>
    <m/>
    <m/>
    <s v="53;23"/>
    <s v="TE"/>
    <s v="1801823-1"/>
    <s v="4 Pos. MCON 0,50mm Sealed"/>
    <m/>
    <s v="No"/>
    <s v="No"/>
    <s v="Yes"/>
    <n v="0"/>
    <n v="0"/>
    <n v="0"/>
    <n v="0"/>
  </r>
  <r>
    <x v="434"/>
    <m/>
    <m/>
    <m/>
    <m/>
    <m/>
    <s v="Comfort"/>
    <s v="Keyless Entry"/>
    <s v="Key Recogniton and User Hand Detection"/>
    <m/>
    <s v="Actuator"/>
    <s v="Near Field Communication Unit - Door Rear Left"/>
    <s v="Near Field Communication Unit - Door Rear Left - Key Recogniton and User Hand Detection"/>
    <m/>
    <m/>
    <s v="78;-23"/>
    <s v="TE"/>
    <s v="1801823-1"/>
    <s v="4 Pos. MCON 0,50mm Sealed"/>
    <m/>
    <s v="No"/>
    <s v="No"/>
    <s v="Yes"/>
    <n v="0"/>
    <n v="0"/>
    <n v="0"/>
    <n v="0"/>
  </r>
  <r>
    <x v="435"/>
    <m/>
    <m/>
    <m/>
    <m/>
    <m/>
    <s v="Comfort"/>
    <s v="Keyless Entry"/>
    <s v="Key Recogniton and User Hand Detection"/>
    <m/>
    <s v="Actuator"/>
    <s v="Near Field Communication Unit - Door Rear Right"/>
    <s v="Near Field Communication Unit - Door Rear Right - Key Recogniton and User Hand Detection"/>
    <m/>
    <m/>
    <s v="78;23"/>
    <s v="TE"/>
    <s v="1801823-1"/>
    <s v="4 Pos. MCON 0,50mm Sealed"/>
    <m/>
    <s v="No"/>
    <s v="No"/>
    <s v="Yes"/>
    <n v="0"/>
    <n v="0"/>
    <n v="0"/>
    <n v="0"/>
  </r>
  <r>
    <x v="436"/>
    <s v="32.0_Comfort &amp; Chassis"/>
    <s v="32.30_Suspenioning-System"/>
    <s v="F0125"/>
    <s v="Damping, Active Electrical"/>
    <m/>
    <s v="Chassis"/>
    <s v="Suspension"/>
    <s v="Vehicle Level Information"/>
    <m/>
    <s v="Sensor"/>
    <s v="Vehicle Level Sensor Rear Right"/>
    <s v="Vehicle Level Sensor Rear Right - Vehicle Level Information"/>
    <m/>
    <m/>
    <s v="90;18"/>
    <s v="TE"/>
    <s v="4-1488991-1"/>
    <s v="3 Pos. MCON 1,2mm Sealed"/>
    <m/>
    <s v="No"/>
    <s v="No"/>
    <s v="Yes"/>
    <n v="1"/>
    <n v="1"/>
    <n v="1"/>
    <n v="1"/>
  </r>
  <r>
    <x v="437"/>
    <s v="10.0_Comfort &amp; Exterior"/>
    <s v="10.30_OutsideLighting-System"/>
    <s v="F0024"/>
    <s v="Headlamp Leveling, Automatic"/>
    <s v="QM"/>
    <s v="Body"/>
    <s v="External Illumination"/>
    <s v="Vehicle Level Information"/>
    <m/>
    <s v="Sensor"/>
    <s v="Vehicle Level Sensor Front Right"/>
    <s v="Vehicle Level Sensor Front Right - Vehicle Level Information"/>
    <m/>
    <m/>
    <s v="8;18"/>
    <s v="TE"/>
    <s v="4-1488991-1"/>
    <s v="3 Pos. MCON 1,2mm Sealed"/>
    <m/>
    <s v="No"/>
    <s v="Yes"/>
    <s v="Yes"/>
    <n v="1"/>
    <n v="1"/>
    <n v="1"/>
    <n v="1"/>
  </r>
  <r>
    <x v="437"/>
    <s v="32.0_Comfort &amp; Chassis"/>
    <s v="32.30_Suspenioning-System"/>
    <s v="F0125"/>
    <s v="Damping, Active Electrical"/>
    <m/>
    <s v="Chassis"/>
    <s v="Suspension"/>
    <s v="Vehicle Level Information"/>
    <m/>
    <s v="Sensor"/>
    <s v="Vehicle Level Sensor Front Right"/>
    <s v="Vehicle Level Sensor Front Right - Vehicle Level Information"/>
    <m/>
    <m/>
    <s v="8;18"/>
    <s v="TE"/>
    <s v="4-1488991-1"/>
    <s v="3 Pos. MCON 1,2mm Sealed"/>
    <m/>
    <s v="No"/>
    <s v="No"/>
    <s v="Yes"/>
    <n v="1"/>
    <n v="1"/>
    <n v="1"/>
    <n v="1"/>
  </r>
  <r>
    <x v="438"/>
    <s v="28.0_Powertrain &amp; Driveability"/>
    <s v="28.12_DriveStrategy&amp;Driveability"/>
    <s v="F2004"/>
    <s v="Drive Mode Functionality"/>
    <m/>
    <s v="Powertrain"/>
    <s v="Transmission"/>
    <s v="Differential Lockout"/>
    <s v="ICE AWD"/>
    <s v="Actuator"/>
    <s v="All Wheel Drive Unit (Valves Block 1)"/>
    <s v="All Wheel Drive Unit (Valves Block 1) - Differential Lockout"/>
    <m/>
    <m/>
    <s v="88;0"/>
    <m/>
    <m/>
    <m/>
    <m/>
    <s v="No"/>
    <s v="No"/>
    <s v="Yes"/>
    <n v="0"/>
    <n v="0.02"/>
    <n v="0"/>
    <n v="0.02"/>
  </r>
  <r>
    <x v="439"/>
    <s v="28.0_Powertrain &amp; Driveability"/>
    <s v="28.12_DriveStrategy&amp;Driveability"/>
    <s v="F2004"/>
    <s v="Drive Mode Functionality"/>
    <m/>
    <s v="Powertrain"/>
    <s v="Transmission"/>
    <s v="Differential Lockout"/>
    <s v="ICE AWD"/>
    <s v="Actuator"/>
    <s v="All Wheel Drive Unit (Valves Block 2)"/>
    <s v="All Wheel Drive Unit (Valves Block 2) - Differential Lockout"/>
    <m/>
    <m/>
    <s v="88;0"/>
    <m/>
    <m/>
    <m/>
    <m/>
    <s v="No"/>
    <s v="No"/>
    <s v="Yes"/>
    <n v="0"/>
    <n v="0.02"/>
    <n v="0"/>
    <n v="0.02"/>
  </r>
  <r>
    <x v="440"/>
    <s v="28.0_Powertrain &amp; Driveability"/>
    <s v="28.12_DriveStrategy&amp;Driveability"/>
    <s v="F2004"/>
    <s v="Drive Mode Functionality"/>
    <m/>
    <s v="Powertrain"/>
    <s v="Transmission"/>
    <s v="Differential Lockout"/>
    <s v="ICE AWD"/>
    <s v="Actuator"/>
    <s v="All Wheel Drive Unit (Motor)"/>
    <s v="All Wheel Drive Unit (Motor) - Differential Lockout"/>
    <m/>
    <m/>
    <s v="88;0"/>
    <m/>
    <m/>
    <m/>
    <m/>
    <s v="No"/>
    <s v="No"/>
    <s v="Yes"/>
    <n v="0"/>
    <n v="0.02"/>
    <n v="0"/>
    <n v="0.02"/>
  </r>
  <r>
    <x v="441"/>
    <s v="28.0_Powertrain &amp; Driveability"/>
    <s v="28.12_DriveStrategy&amp;Driveability"/>
    <s v="F2004"/>
    <s v="Drive Mode Functionality"/>
    <m/>
    <s v="Powertrain"/>
    <s v="Transmission"/>
    <s v="Differential Lockout"/>
    <s v="ICE AWD"/>
    <s v="Sensor"/>
    <s v="All Wheel Drive Unit (Sensors Block 2)"/>
    <s v="All Wheel Drive Unit (Sensors Block 2) - Differential Lockout"/>
    <m/>
    <m/>
    <s v="88;0"/>
    <m/>
    <m/>
    <m/>
    <m/>
    <s v="No"/>
    <s v="No"/>
    <s v="Yes"/>
    <n v="0"/>
    <n v="0.02"/>
    <n v="0"/>
    <n v="0.02"/>
  </r>
  <r>
    <x v="442"/>
    <s v="28.0_Powertrain &amp; Driveability"/>
    <s v="28.12_DriveStrategy&amp;Driveability"/>
    <s v="F2004"/>
    <s v="Drive Mode Functionality"/>
    <m/>
    <s v="Powertrain"/>
    <s v="Transmission"/>
    <s v="Differential Lockout"/>
    <s v="ICE AWD"/>
    <s v="Sensor"/>
    <s v="All Wheel Drive Unit (Sensors Block 1)"/>
    <s v="All Wheel Drive Unit (Sensors Block 1) - Differential Lockout"/>
    <m/>
    <m/>
    <s v="88;0"/>
    <m/>
    <m/>
    <m/>
    <m/>
    <s v="No"/>
    <s v="No"/>
    <s v="Yes"/>
    <n v="0"/>
    <n v="0.02"/>
    <n v="0"/>
    <n v="0.02"/>
  </r>
  <r>
    <x v="443"/>
    <s v="28.0_Powertrain &amp; Driveability"/>
    <s v="28.x1_Transmission"/>
    <s v="F0x27"/>
    <s v="Differential Lockout"/>
    <m/>
    <s v="Powertrain"/>
    <s v="Transmission"/>
    <s v="Differential Lockout"/>
    <s v="ICE AWD"/>
    <s v="Actuator"/>
    <s v="Differential Lockout Solenoid"/>
    <s v="Differential Lockout Solenoid - Differential Lockout"/>
    <m/>
    <m/>
    <m/>
    <m/>
    <m/>
    <m/>
    <m/>
    <m/>
    <m/>
    <m/>
    <m/>
    <m/>
    <m/>
    <m/>
  </r>
  <r>
    <x v="444"/>
    <s v="28.0_Powertrain &amp; Driveability"/>
    <s v="28.13_Recuperation&amp;OPD-System"/>
    <s v="F0215"/>
    <s v="LV Power, Recuperation (LV)"/>
    <m/>
    <s v="Powertrain"/>
    <s v="Engine"/>
    <s v="Starter Generator"/>
    <s v="ICE"/>
    <s v="Actuator"/>
    <s v="Electical Machine"/>
    <s v="Electical Machine - Starter Generator"/>
    <m/>
    <m/>
    <m/>
    <m/>
    <m/>
    <m/>
    <m/>
    <m/>
    <m/>
    <m/>
    <m/>
    <m/>
    <m/>
    <m/>
  </r>
  <r>
    <x v="445"/>
    <s v="16.0_Comfort &amp; Safety"/>
    <s v="16.10_Airbag-System"/>
    <s v="F0013"/>
    <s v="Airbag Side, Rear Left / Right "/>
    <s v="D"/>
    <s v="Chassis"/>
    <s v="Airbag"/>
    <s v="Airbag"/>
    <s v="Side"/>
    <s v="Igniter"/>
    <s v="Side Airbag RR"/>
    <s v="Side Airbag RR - Airbag"/>
    <m/>
    <m/>
    <s v="43;21"/>
    <s v="TE"/>
    <s v="353744-7"/>
    <s v="2 Pos. Squib Airbag"/>
    <m/>
    <s v="No"/>
    <s v="No"/>
    <s v="Yes"/>
    <n v="0"/>
    <n v="0"/>
    <n v="0"/>
    <n v="0"/>
  </r>
  <r>
    <x v="446"/>
    <s v="16.0_Comfort &amp; Safety"/>
    <s v="16.10_Airbag-System"/>
    <s v="F0013"/>
    <s v="Airbag Side, Rear Left / Right "/>
    <s v="D"/>
    <s v="Chassis"/>
    <s v="Airbag"/>
    <s v="Airbag"/>
    <s v="Side"/>
    <s v="Igniter"/>
    <s v="Side Airbag RL"/>
    <s v="Side Airbag RL - Airbag"/>
    <m/>
    <m/>
    <s v="43;-21"/>
    <s v="TE"/>
    <s v="353744-7"/>
    <s v="2 Pos. Squib Airbag"/>
    <m/>
    <s v="No"/>
    <s v="No"/>
    <s v="Yes"/>
    <n v="0"/>
    <n v="0"/>
    <n v="0"/>
    <n v="0"/>
  </r>
  <r>
    <x v="447"/>
    <s v="10.0_Comfort &amp; Exterior"/>
    <s v="10.30_OutsideLighting-System"/>
    <s v="F0091"/>
    <s v="Rear Lighting, Reverse Light"/>
    <s v="QM"/>
    <s v="Powertrain"/>
    <s v="Transmission"/>
    <s v="Gear Selection"/>
    <s v="Basic"/>
    <s v="Sensor"/>
    <s v="Shift Lever - User Selector"/>
    <s v="Shift Lever - User Selector - Gear Selection"/>
    <m/>
    <m/>
    <m/>
    <m/>
    <m/>
    <m/>
    <m/>
    <m/>
    <m/>
    <m/>
    <m/>
    <m/>
    <m/>
    <m/>
  </r>
  <r>
    <x v="447"/>
    <s v="14.0_HMI &amp; OutsideInformation"/>
    <s v="14.10_DriverInformation-System"/>
    <s v="F0790"/>
    <s v="Indications, Gear"/>
    <s v="B"/>
    <s v="Powertrain"/>
    <s v="Transmission"/>
    <s v="Gear Selection"/>
    <s v="Basic"/>
    <s v="Sensor"/>
    <s v="Shift Lever - User Selector"/>
    <s v="Shift Lever - User Selector - Gear Selection"/>
    <m/>
    <m/>
    <m/>
    <m/>
    <m/>
    <m/>
    <m/>
    <m/>
    <m/>
    <m/>
    <m/>
    <m/>
    <m/>
    <m/>
  </r>
  <r>
    <x v="447"/>
    <s v="14.0_HMI &amp; OutsideInformation"/>
    <s v="14.20_DriverControl-System"/>
    <s v="F0259"/>
    <s v="Shift Lever, Shift-by-Wire"/>
    <s v="B"/>
    <s v="Powertrain"/>
    <s v="Transmission"/>
    <s v="Gear Selection"/>
    <s v="Basic"/>
    <s v="Sensor"/>
    <s v="Shift Lever - User Selector"/>
    <s v="Shift Lever - User Selector - Gear Selection"/>
    <m/>
    <m/>
    <m/>
    <m/>
    <m/>
    <m/>
    <m/>
    <m/>
    <m/>
    <m/>
    <m/>
    <m/>
    <m/>
    <m/>
  </r>
  <r>
    <x v="447"/>
    <s v="28.0_Powertrain &amp; Driveability"/>
    <s v="28.12_DriveStrategy&amp;Driveability"/>
    <s v="F2004"/>
    <s v="Drive Mode Functionality"/>
    <m/>
    <s v="Powertrain"/>
    <s v="Transmission"/>
    <s v="Gear Selection"/>
    <s v="Basic"/>
    <s v="Sensor"/>
    <s v="Shift Lever - User Selector"/>
    <s v="Shift Lever - User Selector - Gear Selection"/>
    <m/>
    <m/>
    <m/>
    <m/>
    <m/>
    <m/>
    <m/>
    <m/>
    <m/>
    <m/>
    <m/>
    <m/>
    <m/>
    <m/>
  </r>
  <r>
    <x v="448"/>
    <s v="13.0_Comfort &amp; Interior"/>
    <s v="13.30_InsideLighting-System"/>
    <s v="F0383"/>
    <s v="Visor Lighting"/>
    <s v="QM"/>
    <s v="Comfort"/>
    <s v="Internal Illumination"/>
    <s v="Vanity Mirror Illumination FL"/>
    <s v="with Vanity Mirror Illumination"/>
    <s v="Switch"/>
    <s v="Switch"/>
    <s v="Switch - Vanity Mirror Illumination FL"/>
    <m/>
    <m/>
    <s v="43;-14"/>
    <s v="TE"/>
    <s v="1-929080-5"/>
    <s v="2 Pos. MQS 0,63mm Unsealed"/>
    <m/>
    <s v="No"/>
    <s v="Yes"/>
    <s v="Yes"/>
    <n v="0.05"/>
    <n v="0.05"/>
    <n v="0.05"/>
    <n v="0.05"/>
  </r>
  <r>
    <x v="449"/>
    <s v="13.0_Comfort &amp; Interior"/>
    <s v="13.30_InsideLighting-System"/>
    <s v="F0383"/>
    <s v="Visor Lighting"/>
    <s v="QM"/>
    <s v="Comfort"/>
    <s v="Internal Illumination"/>
    <s v="Vanity Mirror Illumination FR"/>
    <s v="with Vanity Mirror Illumination"/>
    <s v="Switch"/>
    <s v="Switch"/>
    <s v="Switch - Vanity Mirror Illumination FR"/>
    <m/>
    <m/>
    <s v="43;14"/>
    <s v="TE"/>
    <s v="1-929080-5"/>
    <s v="2 Pos. MQS 0,63mm Unsealed"/>
    <m/>
    <s v="Yes"/>
    <s v="Yes"/>
    <s v="Yes"/>
    <n v="0.05"/>
    <n v="0.05"/>
    <n v="0.05"/>
    <n v="0.05"/>
  </r>
  <r>
    <x v="450"/>
    <s v="80.0_Cross-Functions"/>
    <s v="80.89_WiringHarness-Design"/>
    <s v="F0164"/>
    <s v="Power Outlets, 12 Volt DC"/>
    <s v=" "/>
    <s v="Comfort"/>
    <s v="12V Outlet"/>
    <s v="Personal Device Charging"/>
    <s v="12V Power Socket Trunk"/>
    <s v="Actuator"/>
    <s v="12V Outlet"/>
    <s v="12V Outlet - Personal Device Charging"/>
    <m/>
    <m/>
    <s v="104;-17"/>
    <s v="TE"/>
    <s v="1745068-1"/>
    <s v="3 Pos. MCP 1,5mm Unsealed"/>
    <s v="No"/>
    <s v="No"/>
    <s v="Yes"/>
    <s v="Yes"/>
    <n v="0.1"/>
    <n v="0.1"/>
    <n v="0.1"/>
    <n v="0.1"/>
  </r>
  <r>
    <x v="451"/>
    <s v="80.0_Cross-Functions"/>
    <s v="80.89_WiringHarness-Design"/>
    <s v="F0164"/>
    <s v="Power Outlets, 12 Volt DC"/>
    <s v=" "/>
    <s v="Comfort"/>
    <s v="12V Outlet"/>
    <s v="Personal Device Charging"/>
    <s v="12V Power Socket Center Console"/>
    <s v="Actuator"/>
    <s v="12V Outlet"/>
    <s v="12V Outlet - Personal Device Charging"/>
    <m/>
    <m/>
    <s v="62;0"/>
    <s v="TE"/>
    <s v="1745068-1"/>
    <s v="3 Pos. MCP 1,5mm Unsealed"/>
    <s v="No"/>
    <s v="No"/>
    <s v="Yes"/>
    <s v="Yes"/>
    <n v="0.1"/>
    <n v="0.1"/>
    <n v="0.1"/>
    <n v="0.1"/>
  </r>
  <r>
    <x v="452"/>
    <s v="13.0_Comfort &amp; Interior"/>
    <s v="13.25_AdditionalComfort-System"/>
    <s v="F0181"/>
    <s v="Garage Door Opening"/>
    <s v="QM"/>
    <s v="Comfort"/>
    <s v="Garage Opener"/>
    <s v="Command"/>
    <s v="with Garage Opener"/>
    <s v="Switch"/>
    <s v="User Selector"/>
    <s v="User Selector - Command"/>
    <m/>
    <m/>
    <m/>
    <m/>
    <m/>
    <m/>
    <m/>
    <m/>
    <m/>
    <m/>
    <m/>
    <m/>
    <m/>
    <m/>
  </r>
  <r>
    <x v="453"/>
    <s v="28.0_Powertrain &amp; Driveability"/>
    <s v="28.12_DriveStrategy&amp;Driveability"/>
    <s v="F2004"/>
    <s v="Drive Mode Functionality"/>
    <m/>
    <s v="Powertrain"/>
    <s v="Transmission"/>
    <s v="Computing"/>
    <s v="ICE"/>
    <s v="Control Unit"/>
    <s v="Automatic Transmission Control Unit"/>
    <s v="Automatic Transmission Control Unit - Computing"/>
    <m/>
    <m/>
    <m/>
    <m/>
    <m/>
    <m/>
    <m/>
    <m/>
    <m/>
    <m/>
    <m/>
    <m/>
    <m/>
    <m/>
  </r>
  <r>
    <x v="453"/>
    <s v="28.0_Powertrain &amp; Driveability"/>
    <s v="28.x1_Transmission"/>
    <s v="F0x26"/>
    <s v="Automatic Transmission"/>
    <m/>
    <s v="Powertrain"/>
    <s v="Transmission"/>
    <s v="Computing"/>
    <s v="ICE"/>
    <s v="Control Unit"/>
    <s v="Automatic Transmission Control Unit"/>
    <s v="Automatic Transmission Control Unit - Computing"/>
    <m/>
    <m/>
    <m/>
    <m/>
    <m/>
    <m/>
    <m/>
    <m/>
    <m/>
    <m/>
    <m/>
    <m/>
    <m/>
    <m/>
  </r>
  <r>
    <x v="454"/>
    <s v="39.0_HVAC &amp; Thermal"/>
    <s v="39.10_PassengerThermal-System"/>
    <s v="F0x60"/>
    <s v="Parking Heating"/>
    <m/>
    <s v="Comfort"/>
    <s v="Parking Heating"/>
    <s v="Coolant Flow"/>
    <s v="ICE"/>
    <s v="Actuator"/>
    <s v="Coolant Shut-Off Valve"/>
    <s v="Coolant Shut-Off Valve - Coolant Flow"/>
    <m/>
    <m/>
    <s v="2;18"/>
    <s v="TE"/>
    <s v="1-1718624-1"/>
    <s v="2 Pos. MCP 2,8mm Sealed"/>
    <m/>
    <s v="No"/>
    <s v="No"/>
    <s v="Yes"/>
    <n v="0"/>
    <n v="0"/>
    <n v="0"/>
    <n v="0"/>
  </r>
  <r>
    <x v="455"/>
    <s v="32.0_Comfort &amp; Chassis"/>
    <s v="32.10_Braking-System"/>
    <s v="F2007"/>
    <s v="Electric Park Brake"/>
    <m/>
    <s v="Chassis"/>
    <s v="Brake"/>
    <s v="Electric Parking Brake"/>
    <s v="with Electric Parking Brake"/>
    <s v="Actuator"/>
    <s v="Parking Brake Motor L"/>
    <s v="Parking Brake Motor L - Electric Parking Brake"/>
    <m/>
    <m/>
    <s v="84;-16"/>
    <s v="TE"/>
    <s v="1897214-1"/>
    <s v="2 Pos. MCP 6,3mm Sealed"/>
    <m/>
    <s v="No"/>
    <s v="Yes"/>
    <s v="Yes"/>
    <n v="0"/>
    <n v="0"/>
    <n v="0"/>
    <n v="0"/>
  </r>
  <r>
    <x v="456"/>
    <s v="32.0_Comfort &amp; Chassis"/>
    <s v="32.10_Braking-System"/>
    <s v="F2007"/>
    <s v="Electric Park Brake"/>
    <m/>
    <s v="Chassis"/>
    <s v="Brake"/>
    <s v="Electric Parking Brake"/>
    <s v="with Electric Parking Brake"/>
    <s v="Actuator"/>
    <s v="Parking Brake Motor R"/>
    <s v="Parking Brake Motor R - Electric Parking Brake"/>
    <m/>
    <m/>
    <s v="84;16"/>
    <s v="TE"/>
    <s v="1897214-1"/>
    <s v="2 Pos. MCP 6,3mm Sealed"/>
    <m/>
    <s v="No"/>
    <s v="Yes"/>
    <s v="Yes"/>
    <n v="0"/>
    <n v="0"/>
    <n v="0"/>
    <n v="0"/>
  </r>
  <r>
    <x v="457"/>
    <s v="10.0_Comfort &amp; Exterior"/>
    <s v="10.10_CentralLocking-System"/>
    <s v="F0xx4"/>
    <s v="Tailgate, Electric Release"/>
    <m/>
    <s v="Comfort"/>
    <s v="Central Locking"/>
    <s v="Tailgate Release"/>
    <s v="Power Tailgate"/>
    <s v="Actuator"/>
    <s v="Stepper Motor"/>
    <s v="Stepper Motor - Tailgate Release"/>
    <m/>
    <m/>
    <s v="113;0"/>
    <s v="TE"/>
    <s v="1326490-5"/>
    <s v="4 Pos. MPT 1.6mm / JPT 2.8mm Unsealed"/>
    <m/>
    <s v="Yes"/>
    <s v="Yes"/>
    <s v="Yes"/>
    <n v="1"/>
    <n v="1"/>
    <n v="1"/>
    <n v="1"/>
  </r>
  <r>
    <x v="458"/>
    <s v="10.0_Comfort &amp; Exterior"/>
    <s v="10.30_OutsideLighting-System"/>
    <s v="F0028"/>
    <s v="Light Scenario, Comfort Direction Indication"/>
    <m/>
    <s v="Body"/>
    <s v="Cross-Domain"/>
    <s v="Driving Commands"/>
    <m/>
    <s v="Switch"/>
    <s v="Steering Wheel Column Switches"/>
    <s v="Steering Wheel Column Switches - Driving Commands"/>
    <m/>
    <m/>
    <s v="33;-8"/>
    <s v="TE"/>
    <s v="1534579-1"/>
    <s v="16 Pos. MQS 0,63mm Unsealed"/>
    <m/>
    <s v="No"/>
    <s v="Yes"/>
    <s v="Yes"/>
    <n v="1"/>
    <n v="1"/>
    <n v="1"/>
    <n v="1"/>
  </r>
  <r>
    <x v="458"/>
    <s v="10.0_Comfort &amp; Exterior"/>
    <s v="10.30_OutsideLighting-System"/>
    <s v="F0038"/>
    <s v="Surround Lighting, Direction Indicator"/>
    <m/>
    <s v="Body"/>
    <s v="Cross-Domain"/>
    <s v="Driving Commands"/>
    <m/>
    <s v="Switch"/>
    <s v="Steering Wheel Column Switches"/>
    <s v="Steering Wheel Column Switches - Driving Commands"/>
    <m/>
    <m/>
    <s v="33;-8"/>
    <s v="TE"/>
    <s v="1534579-1"/>
    <s v="16 Pos. MQS 0,63mm Unsealed"/>
    <m/>
    <s v="Yes"/>
    <s v="Yes"/>
    <s v="Yes"/>
    <n v="1"/>
    <n v="1"/>
    <n v="1"/>
    <n v="1"/>
  </r>
  <r>
    <x v="458"/>
    <s v="10.0_Comfort &amp; Exterior"/>
    <s v="10.30_OutsideLighting-System"/>
    <s v="F0071"/>
    <s v="Light Scenario, Fog Cornering"/>
    <m/>
    <s v="Body"/>
    <s v="Cross-Domain"/>
    <s v="Driving Commands"/>
    <m/>
    <s v="Switch"/>
    <s v="Steering Wheel Column Switches"/>
    <s v="Steering Wheel Column Switches - Driving Commands"/>
    <m/>
    <m/>
    <s v="33;-8"/>
    <s v="TE"/>
    <s v="1534579-1"/>
    <s v="16 Pos. MQS 0,63mm Unsealed"/>
    <m/>
    <s v="Yes"/>
    <s v="Yes"/>
    <s v="Yes"/>
    <n v="1"/>
    <n v="1"/>
    <n v="1"/>
    <n v="1"/>
  </r>
  <r>
    <x v="458"/>
    <s v="10.0_Comfort &amp; Exterior"/>
    <s v="10.30_OutsideLighting-System"/>
    <s v="F0097"/>
    <s v="Outside Lighting, Side Marker Front"/>
    <m/>
    <s v="Body"/>
    <s v="Cross-Domain"/>
    <s v="Driving Commands"/>
    <m/>
    <s v="Switch"/>
    <s v="Steering Wheel Column Switches"/>
    <s v="Steering Wheel Column Switches - Driving Commands"/>
    <m/>
    <m/>
    <s v="33;-8"/>
    <s v="TE"/>
    <s v="1534579-1"/>
    <s v="16 Pos. MQS 0,63mm Unsealed"/>
    <m/>
    <s v="Yes"/>
    <s v="Yes"/>
    <s v="Yes"/>
    <n v="1"/>
    <n v="1"/>
    <n v="1"/>
    <n v="1"/>
  </r>
  <r>
    <x v="458"/>
    <s v="10.0_Comfort &amp; Exterior"/>
    <s v="10.30_OutsideLighting-System"/>
    <s v="F0225"/>
    <s v="Front Lighting, Low Beam"/>
    <m/>
    <s v="Body"/>
    <s v="Cross-Domain"/>
    <s v="Driving Commands"/>
    <m/>
    <s v="Switch"/>
    <s v="Steering Wheel Column Switches"/>
    <s v="Steering Wheel Column Switches - Driving Commands"/>
    <m/>
    <m/>
    <s v="33;-8"/>
    <s v="TE"/>
    <s v="1534579-1"/>
    <s v="16 Pos. MQS 0,63mm Unsealed"/>
    <m/>
    <s v="Yes"/>
    <s v="Yes"/>
    <s v="Yes"/>
    <n v="1"/>
    <n v="1"/>
    <n v="1"/>
    <n v="1"/>
  </r>
  <r>
    <x v="458"/>
    <s v="10.0_Comfort &amp; Exterior"/>
    <s v="10.30_OutsideLighting-System"/>
    <s v="F0226"/>
    <s v="Front Lighting, High Beam"/>
    <m/>
    <s v="Body"/>
    <s v="Cross-Domain"/>
    <s v="Driving Commands"/>
    <m/>
    <s v="Switch"/>
    <s v="Steering Wheel Column Switches"/>
    <s v="Steering Wheel Column Switches - Driving Commands"/>
    <m/>
    <m/>
    <s v="33;-8"/>
    <s v="TE"/>
    <s v="1534579-1"/>
    <s v="16 Pos. MQS 0,63mm Unsealed"/>
    <m/>
    <s v="Yes"/>
    <s v="Yes"/>
    <s v="Yes"/>
    <n v="1"/>
    <n v="1"/>
    <n v="1"/>
    <n v="1"/>
  </r>
  <r>
    <x v="458"/>
    <s v="10.0_Comfort &amp; Exterior"/>
    <s v="10.30_OutsideLighting-System"/>
    <s v="F0227"/>
    <s v="Light Scenario, Parking Light"/>
    <m/>
    <s v="Body"/>
    <s v="Cross-Domain"/>
    <s v="Driving Commands"/>
    <m/>
    <s v="Switch"/>
    <s v="Steering Wheel Column Switches"/>
    <s v="Steering Wheel Column Switches - Driving Commands"/>
    <m/>
    <m/>
    <s v="33;-8"/>
    <s v="TE"/>
    <s v="1534579-1"/>
    <s v="16 Pos. MQS 0,63mm Unsealed"/>
    <m/>
    <s v="Yes"/>
    <s v="Yes"/>
    <s v="Yes"/>
    <n v="1"/>
    <n v="1"/>
    <n v="1"/>
    <n v="1"/>
  </r>
  <r>
    <x v="458"/>
    <s v="10.0_Comfort &amp; Exterior"/>
    <s v="10.30_OutsideLighting-System"/>
    <s v="F0229"/>
    <s v="Surround Lighting, Turning Light"/>
    <m/>
    <s v="Body"/>
    <s v="Cross-Domain"/>
    <s v="Driving Commands"/>
    <m/>
    <s v="Switch"/>
    <s v="Steering Wheel Column Switches"/>
    <s v="Steering Wheel Column Switches - Driving Commands"/>
    <m/>
    <m/>
    <s v="33;-8"/>
    <s v="TE"/>
    <s v="1534579-1"/>
    <s v="16 Pos. MQS 0,63mm Unsealed"/>
    <m/>
    <s v="Yes"/>
    <s v="Yes"/>
    <s v="Yes"/>
    <n v="1"/>
    <n v="1"/>
    <n v="1"/>
    <n v="1"/>
  </r>
  <r>
    <x v="458"/>
    <s v="10.0_Comfort &amp; Exterior"/>
    <s v="10.30_OutsideLighting-System"/>
    <s v="F0619"/>
    <s v="Outside Lighting, Side Marker Rear"/>
    <m/>
    <s v="Body"/>
    <s v="Cross-Domain"/>
    <s v="Driving Commands"/>
    <m/>
    <s v="Switch"/>
    <s v="Steering Wheel Column Switches"/>
    <s v="Steering Wheel Column Switches - Driving Commands"/>
    <m/>
    <m/>
    <s v="33;-8"/>
    <s v="TE"/>
    <s v="1534579-1"/>
    <s v="16 Pos. MQS 0,63mm Unsealed"/>
    <m/>
    <s v="Yes"/>
    <s v="Yes"/>
    <s v="Yes"/>
    <n v="1"/>
    <n v="1"/>
    <n v="1"/>
    <n v="1"/>
  </r>
  <r>
    <x v="458"/>
    <s v="10.0_Comfort &amp; Exterior"/>
    <s v="10.40_Wiping-System"/>
    <s v="F0090"/>
    <s v="Wiper Rear"/>
    <m/>
    <s v="Body"/>
    <s v="Cross-Domain"/>
    <s v="Driving Commands"/>
    <m/>
    <s v="Switch"/>
    <s v="Steering Wheel Column Switches"/>
    <s v="Steering Wheel Column Switches - Driving Commands"/>
    <m/>
    <m/>
    <s v="33;-8"/>
    <s v="TE"/>
    <s v="1534579-1"/>
    <s v="16 Pos. MQS 0,63mm Unsealed"/>
    <m/>
    <s v="Yes"/>
    <s v="Yes"/>
    <s v="Yes"/>
    <n v="1"/>
    <n v="1"/>
    <n v="1"/>
    <n v="1"/>
  </r>
  <r>
    <x v="458"/>
    <s v="10.0_Comfort &amp; Exterior"/>
    <s v="10.40_Wiping-System"/>
    <s v="F0118"/>
    <s v="Wiper Front"/>
    <m/>
    <s v="Body"/>
    <s v="Cross-Domain"/>
    <s v="Driving Commands"/>
    <m/>
    <s v="Switch"/>
    <s v="Steering Wheel Column Switches"/>
    <s v="Steering Wheel Column Switches - Driving Commands"/>
    <m/>
    <m/>
    <s v="33;-8"/>
    <s v="TE"/>
    <s v="1534579-1"/>
    <s v="16 Pos. MQS 0,63mm Unsealed"/>
    <m/>
    <s v="Yes"/>
    <s v="Yes"/>
    <s v="Yes"/>
    <n v="1"/>
    <n v="1"/>
    <n v="1"/>
    <n v="1"/>
  </r>
  <r>
    <x v="458"/>
    <s v="10.0_Comfort &amp; Exterior"/>
    <s v="10.41_Washing-System"/>
    <s v="F0222"/>
    <s v="Washing Front, not heatable"/>
    <m/>
    <s v="Body"/>
    <s v="Cross-Domain"/>
    <s v="Driving Commands"/>
    <m/>
    <s v="Switch"/>
    <s v="Steering Wheel Column Switches"/>
    <s v="Steering Wheel Column Switches - Driving Commands"/>
    <m/>
    <m/>
    <s v="33;-8"/>
    <s v="TE"/>
    <s v="1534579-1"/>
    <s v="16 Pos. MQS 0,63mm Unsealed"/>
    <m/>
    <s v="Yes"/>
    <s v="Yes"/>
    <s v="Yes"/>
    <n v="1"/>
    <n v="1"/>
    <n v="1"/>
    <n v="1"/>
  </r>
  <r>
    <x v="458"/>
    <s v="10.0_Comfort &amp; Exterior"/>
    <s v="10.41_Washing-System"/>
    <s v="F0389"/>
    <s v="Washing Rear, not heatable"/>
    <m/>
    <s v="Body"/>
    <s v="Cross-Domain"/>
    <s v="Driving Commands"/>
    <m/>
    <s v="Switch"/>
    <s v="Steering Wheel Column Switches"/>
    <s v="Steering Wheel Column Switches - Driving Commands"/>
    <m/>
    <m/>
    <s v="33;-8"/>
    <s v="TE"/>
    <s v="1534579-1"/>
    <s v="16 Pos. MQS 0,63mm Unsealed"/>
    <m/>
    <s v="Yes"/>
    <s v="Yes"/>
    <s v="Yes"/>
    <n v="1"/>
    <n v="1"/>
    <n v="1"/>
    <n v="1"/>
  </r>
  <r>
    <x v="458"/>
    <s v="13.0_Comfort &amp; Interior"/>
    <s v="13.40_InteriorHeating-System"/>
    <s v="F0100"/>
    <s v="Steering Wheel, Heating"/>
    <m/>
    <s v="Body"/>
    <s v="Cross-Domain"/>
    <s v="Driving Commands"/>
    <m/>
    <s v="Switch"/>
    <s v="Steering Wheel Column Switches"/>
    <s v="Steering Wheel Column Switches - Driving Commands"/>
    <m/>
    <m/>
    <s v="33;-8"/>
    <s v="TE"/>
    <s v="1534579-1"/>
    <s v="16 Pos. MQS 0,63mm Unsealed"/>
    <m/>
    <s v="No"/>
    <s v="No"/>
    <s v="Yes"/>
    <n v="1"/>
    <n v="1"/>
    <n v="1"/>
    <n v="1"/>
  </r>
  <r>
    <x v="458"/>
    <s v="14.0_HMI &amp; OutsideInformation"/>
    <s v="14.20_DriverControl-System"/>
    <s v="F0101"/>
    <s v="Steering Wheel Switches"/>
    <m/>
    <s v="Body"/>
    <s v="Cross-Domain"/>
    <s v="Driving Commands"/>
    <m/>
    <s v="Switch"/>
    <s v="Steering Wheel Column Switches"/>
    <s v="Steering Wheel Column Switches - Driving Commands"/>
    <m/>
    <m/>
    <s v="33;-8"/>
    <s v="TE"/>
    <s v="1534579-1"/>
    <s v="16 Pos. MQS 0,63mm Unsealed"/>
    <m/>
    <s v="Yes"/>
    <s v="Yes"/>
    <s v="Yes"/>
    <n v="1"/>
    <n v="1"/>
    <n v="1"/>
    <n v="1"/>
  </r>
  <r>
    <x v="458"/>
    <s v="14.0_HMI &amp; OutsideInformation"/>
    <s v="14.20_DriverControl-System"/>
    <s v="F0803"/>
    <s v="Recuperation Mode, Paddles On Steering Wheel"/>
    <m/>
    <s v="Body"/>
    <s v="Cross-Domain"/>
    <s v="Driving Commands"/>
    <m/>
    <s v="Switch"/>
    <s v="Steering Wheel Column Switches"/>
    <s v="Steering Wheel Column Switches - Driving Commands"/>
    <m/>
    <m/>
    <s v="33;-8"/>
    <s v="TE"/>
    <s v="1534579-1"/>
    <s v="16 Pos. MQS 0,63mm Unsealed"/>
    <m/>
    <s v="No"/>
    <s v="No"/>
    <s v="Yes"/>
    <n v="1"/>
    <n v="1"/>
    <n v="1"/>
    <n v="1"/>
  </r>
  <r>
    <x v="458"/>
    <s v="16.0_Comfort &amp; Safety"/>
    <s v="16.10_Airbag-System"/>
    <s v="F0011"/>
    <s v="Airbag Driver, Single Stage"/>
    <m/>
    <s v="Body"/>
    <s v="Cross-Domain"/>
    <s v="Driving Commands"/>
    <m/>
    <s v="Switch"/>
    <s v="Steering Wheel Column Switches"/>
    <s v="Steering Wheel Column Switches - Driving Commands"/>
    <m/>
    <m/>
    <s v="33;-8"/>
    <s v="TE"/>
    <s v="1534579-1"/>
    <s v="16 Pos. MQS 0,63mm Unsealed"/>
    <m/>
    <s v="Yes"/>
    <s v="Yes"/>
    <s v="Yes"/>
    <n v="1"/>
    <n v="1"/>
    <n v="1"/>
    <n v="1"/>
  </r>
  <r>
    <x v="458"/>
    <s v="16.0_Comfort &amp; Safety"/>
    <s v="16.10_Airbag-System"/>
    <s v="F0021"/>
    <s v="Airbag Driver, Anti-Submarining"/>
    <m/>
    <s v="Body"/>
    <s v="Cross-Domain"/>
    <s v="Driving Commands"/>
    <m/>
    <s v="Switch"/>
    <s v="Steering Wheel Column Switches"/>
    <s v="Steering Wheel Column Switches - Driving Commands"/>
    <m/>
    <m/>
    <s v="33;-8"/>
    <s v="TE"/>
    <s v="1534579-1"/>
    <s v="16 Pos. MQS 0,63mm Unsealed"/>
    <m/>
    <s v="No"/>
    <s v="No"/>
    <s v="Yes"/>
    <n v="1"/>
    <n v="1"/>
    <n v="1"/>
    <n v="1"/>
  </r>
  <r>
    <x v="458"/>
    <s v="28.0_Powertrain &amp; Driveability"/>
    <s v="28.12_DriveStrategy&amp;Driveability"/>
    <s v="F0161"/>
    <s v="Manual Speed Limiter"/>
    <m/>
    <s v="Body"/>
    <s v="Cross-Domain"/>
    <s v="Driving Commands"/>
    <m/>
    <s v="Switch"/>
    <s v="Steering Wheel Column Switches"/>
    <s v="Steering Wheel Column Switches - Driving Commands"/>
    <m/>
    <m/>
    <s v="33;-8"/>
    <s v="TE"/>
    <s v="1534579-1"/>
    <s v="16 Pos. MQS 0,63mm Unsealed"/>
    <m/>
    <s v="No"/>
    <s v="Yes"/>
    <s v="Yes"/>
    <n v="1"/>
    <n v="1"/>
    <n v="1"/>
    <n v="1"/>
  </r>
  <r>
    <x v="458"/>
    <s v="37.0_ADAS &amp; AutomatedDriving"/>
    <s v="37.02_Alerting-System"/>
    <s v="F0142"/>
    <s v="Driver Monitoring, Indirect Drowsiness Detection"/>
    <m/>
    <s v="Body"/>
    <s v="Cross-Domain"/>
    <s v="Driving Commands"/>
    <m/>
    <s v="Switch"/>
    <s v="Steering Wheel Column Switches"/>
    <s v="Steering Wheel Column Switches - Driving Commands"/>
    <m/>
    <m/>
    <s v="33;-8"/>
    <s v="TE"/>
    <s v="1534579-1"/>
    <s v="16 Pos. MQS 0,63mm Unsealed"/>
    <m/>
    <s v="No"/>
    <s v="No"/>
    <s v="Yes"/>
    <n v="1"/>
    <n v="1"/>
    <n v="1"/>
    <n v="1"/>
  </r>
  <r>
    <x v="458"/>
    <s v="37.0_ADAS &amp; AutomatedDriving"/>
    <s v="37.02_Alerting-System"/>
    <s v="F2006"/>
    <s v="Driver Monitoring, Direct Drowsiness Detection"/>
    <m/>
    <s v="Body"/>
    <s v="Cross-Domain"/>
    <s v="Driving Commands"/>
    <m/>
    <s v="Switch"/>
    <s v="Steering Wheel Column Switches"/>
    <s v="Steering Wheel Column Switches - Driving Commands"/>
    <m/>
    <m/>
    <s v="33;-8"/>
    <s v="TE"/>
    <s v="1534579-1"/>
    <s v="16 Pos. MQS 0,63mm Unsealed"/>
    <m/>
    <s v="No"/>
    <s v="No"/>
    <s v="Yes"/>
    <n v="1"/>
    <n v="1"/>
    <n v="1"/>
    <n v="1"/>
  </r>
  <r>
    <x v="458"/>
    <s v="37.0_ADAS &amp; AutomatedDriving"/>
    <s v="37.02_Alerting-System"/>
    <s v="F2021"/>
    <s v="Collision Alert Side, Blind Zone Support"/>
    <m/>
    <s v="Body"/>
    <s v="Cross-Domain"/>
    <s v="Driving Commands"/>
    <m/>
    <s v="Switch"/>
    <s v="Steering Wheel Column Switches"/>
    <s v="Steering Wheel Column Switches - Driving Commands"/>
    <m/>
    <m/>
    <s v="33;-8"/>
    <s v="TE"/>
    <s v="1534579-1"/>
    <s v="16 Pos. MQS 0,63mm Unsealed"/>
    <m/>
    <s v="No"/>
    <s v="Yes"/>
    <s v="Yes"/>
    <n v="1"/>
    <n v="1"/>
    <n v="1"/>
    <n v="1"/>
  </r>
  <r>
    <x v="458"/>
    <s v="37.0_ADAS &amp; AutomatedDriving"/>
    <s v="37.23_LaneSupporting-System"/>
    <s v="F0331"/>
    <s v="Lane Assist, Lane Change Assist (LCA)"/>
    <m/>
    <s v="Body"/>
    <s v="Cross-Domain"/>
    <s v="Driving Commands"/>
    <m/>
    <s v="Switch"/>
    <s v="Steering Wheel Column Switches"/>
    <s v="Steering Wheel Column Switches - Driving Commands"/>
    <m/>
    <m/>
    <s v="33;-8"/>
    <s v="TE"/>
    <s v="1534579-1"/>
    <s v="16 Pos. MQS 0,63mm Unsealed"/>
    <m/>
    <s v="No"/>
    <s v="No"/>
    <s v="Yes"/>
    <n v="1"/>
    <n v="1"/>
    <n v="1"/>
    <n v="1"/>
  </r>
  <r>
    <x v="458"/>
    <s v="37.0_ADAS &amp; AutomatedDriving"/>
    <s v="37.23_LaneSupporting-System"/>
    <s v="F0595"/>
    <s v="Lane Assist, Highway Assist"/>
    <m/>
    <s v="Body"/>
    <s v="Cross-Domain"/>
    <s v="Driving Commands"/>
    <m/>
    <s v="Switch"/>
    <s v="Steering Wheel Column Switches"/>
    <s v="Steering Wheel Column Switches - Driving Commands"/>
    <m/>
    <m/>
    <s v="33;-8"/>
    <s v="TE"/>
    <s v="1534579-1"/>
    <s v="16 Pos. MQS 0,63mm Unsealed"/>
    <m/>
    <s v="No"/>
    <s v="No"/>
    <s v="Yes"/>
    <n v="1"/>
    <n v="1"/>
    <n v="1"/>
    <n v="1"/>
  </r>
  <r>
    <x v="458"/>
    <s v="37.0_ADAS &amp; AutomatedDriving"/>
    <s v="37.23_LaneSupporting-System"/>
    <s v="F0658"/>
    <s v="Lane Assist, Traffic Jam Assist"/>
    <m/>
    <s v="Body"/>
    <s v="Cross-Domain"/>
    <s v="Driving Commands"/>
    <m/>
    <s v="Switch"/>
    <s v="Steering Wheel Column Switches"/>
    <s v="Steering Wheel Column Switches - Driving Commands"/>
    <m/>
    <m/>
    <s v="33;-8"/>
    <s v="TE"/>
    <s v="1534579-1"/>
    <s v="16 Pos. MQS 0,63mm Unsealed"/>
    <m/>
    <s v="No"/>
    <s v="No"/>
    <s v="Yes"/>
    <n v="1"/>
    <n v="1"/>
    <n v="1"/>
    <n v="1"/>
  </r>
  <r>
    <x v="458"/>
    <s v="37.0_ADAS &amp; AutomatedDriving"/>
    <s v="37.23_LaneSupporting-System"/>
    <s v="F1187"/>
    <s v="Lane Support System, Lane Centering Control (LCC)"/>
    <m/>
    <s v="Body"/>
    <s v="Cross-Domain"/>
    <s v="Driving Commands"/>
    <m/>
    <s v="Switch"/>
    <s v="Steering Wheel Column Switches"/>
    <s v="Steering Wheel Column Switches - Driving Commands"/>
    <m/>
    <m/>
    <s v="33;-8"/>
    <s v="TE"/>
    <s v="1534579-1"/>
    <s v="16 Pos. MQS 0,63mm Unsealed"/>
    <m/>
    <s v="No"/>
    <s v="No"/>
    <s v="Yes"/>
    <n v="1"/>
    <n v="1"/>
    <n v="1"/>
    <n v="1"/>
  </r>
  <r>
    <x v="458"/>
    <s v="37.0_ADAS &amp; AutomatedDriving"/>
    <s v="37.30_Piloting-System"/>
    <s v="F0332"/>
    <s v="Pilot, Traffic Jam"/>
    <m/>
    <s v="Body"/>
    <s v="Cross-Domain"/>
    <s v="Driving Commands"/>
    <m/>
    <s v="Switch"/>
    <s v="Steering Wheel Column Switches"/>
    <s v="Steering Wheel Column Switches - Driving Commands"/>
    <m/>
    <m/>
    <s v="33;-8"/>
    <s v="TE"/>
    <s v="1534579-1"/>
    <s v="16 Pos. MQS 0,63mm Unsealed"/>
    <m/>
    <s v="No"/>
    <s v="No"/>
    <s v="Yes"/>
    <n v="1"/>
    <n v="1"/>
    <n v="1"/>
    <n v="1"/>
  </r>
  <r>
    <x v="459"/>
    <s v="10.0_Comfort &amp; Exterior"/>
    <s v="10.50_ExteriorHeating-System"/>
    <s v="F0117"/>
    <s v="Heating Washer Nozzles, Wiper Front"/>
    <s v="QM"/>
    <s v="Body"/>
    <s v="Wiper/Washer"/>
    <s v="Spray Nozzle Heater"/>
    <s v="Winter Package"/>
    <s v="Actuator"/>
    <s v="Spray Nozzle Heater L"/>
    <s v="Spray Nozzle Heater L - Spray Nozzle Heater"/>
    <m/>
    <m/>
    <s v="17;-9"/>
    <s v="TE"/>
    <s v="1897212-1"/>
    <s v="2 Pos. MCP 1,5mm Sealed"/>
    <m/>
    <s v="No"/>
    <s v="No"/>
    <s v="Yes"/>
    <n v="0"/>
    <n v="0.1"/>
    <n v="0.1"/>
    <n v="0"/>
  </r>
  <r>
    <x v="460"/>
    <s v="10.0_Comfort &amp; Exterior"/>
    <s v="10.50_ExteriorHeating-System"/>
    <s v="F0117"/>
    <s v="Heating Washer Nozzles, Wiper Front"/>
    <s v="QM"/>
    <s v="Body"/>
    <s v="Wiper/Washer"/>
    <s v="Spray Nozzle Heater"/>
    <s v="Winter Package"/>
    <s v="Actuator"/>
    <s v="Spray Nozzle Heater R"/>
    <s v="Spray Nozzle Heater R - Spray Nozzle Heater"/>
    <m/>
    <m/>
    <s v="17;9"/>
    <s v="TE"/>
    <s v="1897212-1"/>
    <s v="2 Pos. MCP 1,5mm Sealed"/>
    <m/>
    <s v="No"/>
    <s v="No"/>
    <s v="Yes"/>
    <n v="0"/>
    <n v="0.1"/>
    <n v="0.1"/>
    <n v="0"/>
  </r>
  <r>
    <x v="461"/>
    <s v="10.0_Comfort &amp; Exterior"/>
    <s v="10.41_Washing-System"/>
    <s v="F0057"/>
    <s v="Headlamp Washing"/>
    <s v="QM"/>
    <s v="Body"/>
    <s v="Wiper/Washer"/>
    <s v="Headlamps Washer"/>
    <s v="Headlamps Washer"/>
    <s v="Actuator"/>
    <s v="Washer Pump"/>
    <s v="Washer Pump - Headlamps Washer"/>
    <m/>
    <m/>
    <s v="3;18"/>
    <s v="TE"/>
    <s v="1-1355200-1"/>
    <s v="2 Pos. MCP 2,8mm Sealed"/>
    <s v="No"/>
    <s v="No"/>
    <s v="No"/>
    <s v="Yes"/>
    <n v="0"/>
    <n v="8.3333333333333332E-3"/>
    <n v="1.6666666666666666E-2"/>
    <n v="1.6666666666666666E-2"/>
  </r>
  <r>
    <x v="462"/>
    <m/>
    <m/>
    <m/>
    <m/>
    <m/>
    <s v="Comfort"/>
    <s v="Seat Adjustment"/>
    <s v="Memory Selector - Driver Seat"/>
    <m/>
    <s v="Switch"/>
    <s v="Seat Memory Switch"/>
    <s v="Seat Memory Switch - Memory Selector - Driver Seat"/>
    <m/>
    <m/>
    <s v="49;-18"/>
    <m/>
    <m/>
    <m/>
    <m/>
    <s v="No"/>
    <s v="No"/>
    <s v="Yes"/>
    <n v="0"/>
    <n v="0"/>
    <n v="0"/>
    <n v="0"/>
  </r>
  <r>
    <x v="463"/>
    <s v="10.0_Comfort &amp; Exterior"/>
    <s v="10.11_VehicleAccess-System"/>
    <s v="F0064"/>
    <s v="Ignition Lock, Immobiliser "/>
    <m/>
    <s v="System"/>
    <s v="Main Switch"/>
    <s v="Vehicle Start and Stop"/>
    <s v="with Start Stop"/>
    <m/>
    <s v="Ignition Switch"/>
    <s v="Ignition Switch - Vehicle Start and Stop"/>
    <m/>
    <m/>
    <s v="39;-1"/>
    <m/>
    <m/>
    <m/>
    <m/>
    <s v="No"/>
    <s v="Yes"/>
    <s v="Yes"/>
    <n v="1"/>
    <n v="1"/>
    <n v="1"/>
    <n v="1"/>
  </r>
  <r>
    <x v="463"/>
    <s v="10.0_Comfort &amp; Exterior"/>
    <s v="10.11_VehicleAccess-System"/>
    <s v="F0068"/>
    <s v="Ignition Lock, Start-Stop-Button"/>
    <m/>
    <s v="System"/>
    <s v="Main Switch"/>
    <s v="Vehicle Start and Stop"/>
    <s v="with Start Stop"/>
    <m/>
    <s v="Ignition Switch"/>
    <s v="Ignition Switch - Vehicle Start and Stop"/>
    <m/>
    <m/>
    <s v="39;-1"/>
    <m/>
    <m/>
    <m/>
    <m/>
    <s v="No"/>
    <s v="Yes"/>
    <s v="Yes"/>
    <n v="1"/>
    <n v="1"/>
    <n v="1"/>
    <n v="1"/>
  </r>
  <r>
    <x v="463"/>
    <s v="80.0_Cross-Functions"/>
    <s v="80.81_VehicleStateManagement"/>
    <s v="F0630"/>
    <s v="Vehicle State Management, LV"/>
    <m/>
    <s v="System"/>
    <s v="Main Switch"/>
    <s v="Vehicle Start and Stop"/>
    <s v="with Start Stop"/>
    <m/>
    <s v="Ignition Switch"/>
    <s v="Ignition Switch - Vehicle Start and Stop"/>
    <m/>
    <m/>
    <s v="39;-1"/>
    <m/>
    <m/>
    <m/>
    <m/>
    <s v="No"/>
    <s v="Yes"/>
    <s v="Yes"/>
    <n v="1"/>
    <n v="1"/>
    <n v="1"/>
    <n v="1"/>
  </r>
  <r>
    <x v="463"/>
    <s v="80.0_Cross-Functions"/>
    <s v="80.81_VehicleStateManagement"/>
    <s v="F0640"/>
    <s v="Vehicle State Management, HV"/>
    <m/>
    <s v="System"/>
    <s v="Main Switch"/>
    <s v="Vehicle Start and Stop"/>
    <s v="with Start Stop"/>
    <m/>
    <s v="Ignition Switch"/>
    <s v="Ignition Switch - Vehicle Start and Stop"/>
    <m/>
    <m/>
    <s v="39;-1"/>
    <m/>
    <m/>
    <m/>
    <m/>
    <s v="No"/>
    <s v="Yes"/>
    <s v="Yes"/>
    <n v="1"/>
    <n v="1"/>
    <n v="1"/>
    <n v="1"/>
  </r>
  <r>
    <x v="463"/>
    <s v="80.0_Cross-Functions"/>
    <s v="80.81_VehicleStateManagement"/>
    <s v="F1114"/>
    <s v="Clamp Management"/>
    <m/>
    <s v="System"/>
    <s v="Main Switch"/>
    <s v="Vehicle Start and Stop"/>
    <s v="with Start Stop"/>
    <m/>
    <s v="Ignition Switch"/>
    <s v="Ignition Switch - Vehicle Start and Stop"/>
    <m/>
    <m/>
    <s v="39;-1"/>
    <m/>
    <m/>
    <m/>
    <m/>
    <s v="No"/>
    <s v="Yes"/>
    <s v="Yes"/>
    <n v="1"/>
    <n v="1"/>
    <n v="1"/>
    <n v="1"/>
  </r>
  <r>
    <x v="464"/>
    <s v="39.0_HVAC &amp; Thermal"/>
    <s v="39.10_PassengerThermal-System"/>
    <s v="F0x60"/>
    <s v="Parking Heating"/>
    <m/>
    <s v="Comfort"/>
    <s v="Parking Heating"/>
    <s v="Parking Heater"/>
    <s v="ICE"/>
    <s v="Actuator"/>
    <s v="Additional Heating Unit (Valve and Fuel Pump)"/>
    <s v="Additional Heating Unit (Valve and Fuel Pump) - Parking Heater"/>
    <m/>
    <m/>
    <m/>
    <m/>
    <m/>
    <m/>
    <m/>
    <s v="No"/>
    <s v="No"/>
    <s v="No"/>
    <n v="1"/>
    <n v="1"/>
    <n v="1"/>
    <n v="1"/>
  </r>
  <r>
    <x v="465"/>
    <s v="39.0_HVAC &amp; Thermal"/>
    <s v="39.10_PassengerThermal-System"/>
    <s v="F0x60"/>
    <s v="Parking Heating"/>
    <m/>
    <s v="Comfort"/>
    <s v="Parking Heating"/>
    <s v="Parking Heater"/>
    <s v="ICE"/>
    <s v="Actuator"/>
    <s v="Additional Heating Unit (Valve and Fuel Pump)"/>
    <s v="Additional Heating Unit (Valve and Fuel Pump) - Parking Heater"/>
    <m/>
    <m/>
    <m/>
    <m/>
    <m/>
    <m/>
    <m/>
    <s v="No"/>
    <s v="No"/>
    <s v="No"/>
    <m/>
    <m/>
    <m/>
    <m/>
  </r>
  <r>
    <x v="466"/>
    <s v="36.0_Infotainment &amp; Connectivity"/>
    <s v="36.12_Sound-System"/>
    <s v="F0x38"/>
    <s v="Sound System Front, 2 Woofer Speakers"/>
    <s v=" "/>
    <s v="Infotainment"/>
    <s v="Audio"/>
    <s v="Woofer Speaker"/>
    <s v="Premium Audio System"/>
    <s v="Loudspeaker"/>
    <s v="Loudspeaker - Door Front Left"/>
    <s v="Loudspeaker - Door Front Left - Woofer Speaker"/>
    <m/>
    <m/>
    <s v="36;-21"/>
    <s v="TE"/>
    <s v="1718831-1"/>
    <s v="2 Pos. SPT 4,8mm Unsealed"/>
    <m/>
    <s v="No"/>
    <s v="No"/>
    <s v="Yes"/>
    <n v="0.25"/>
    <n v="0.35"/>
    <n v="0.4"/>
    <n v="0.3"/>
  </r>
  <r>
    <x v="466"/>
    <s v="36.0_Infotainment &amp; Connectivity"/>
    <s v="36.12_Sound-System"/>
    <s v="F1342"/>
    <s v="Road-noise Active Noise Cancelation (RANC)"/>
    <s v="QM"/>
    <s v="Infotainment"/>
    <s v="Audio"/>
    <s v="Woofer Speaker"/>
    <s v="Premium Audio System"/>
    <s v="Loudspeaker"/>
    <s v="Loudspeaker - Door Front Left"/>
    <s v="Loudspeaker - Door Front Left - Woofer Speaker"/>
    <m/>
    <m/>
    <s v="36;-21"/>
    <s v="TE"/>
    <s v="1718831-1"/>
    <s v="2 Pos. SPT 4,8mm Unsealed"/>
    <m/>
    <s v="No"/>
    <s v="No"/>
    <s v="Yes"/>
    <n v="0.25"/>
    <n v="0.35"/>
    <n v="0.4"/>
    <n v="0.3"/>
  </r>
  <r>
    <x v="467"/>
    <s v="36.0_Infotainment &amp; Connectivity"/>
    <s v="36.12_Sound-System"/>
    <s v="F0872"/>
    <s v="Sound System Center, Wideband Speaker"/>
    <s v="QM"/>
    <s v="Infotainment"/>
    <s v="Audio"/>
    <s v="Full Range Speaker"/>
    <s v="Standard Audio System"/>
    <s v="Loudspeaker"/>
    <s v="Loudspeaker - I/P Center Wideband"/>
    <s v="Loudspeaker - I/P Center Wideband - Full Range Speaker"/>
    <m/>
    <m/>
    <s v="26;0"/>
    <s v="TE"/>
    <s v="157420-1"/>
    <s v="2 Pos. JPT 2,8mm Unsealed"/>
    <m/>
    <s v="No"/>
    <s v="No"/>
    <s v="Yes"/>
    <n v="0.25"/>
    <n v="0.35"/>
    <n v="0.4"/>
    <n v="0.3"/>
  </r>
  <r>
    <x v="467"/>
    <s v="36.0_Infotainment &amp; Connectivity"/>
    <s v="36.12_Sound-System"/>
    <s v="F1342"/>
    <s v="Road-noise Active Noise Cancelation (RANC)"/>
    <s v="QM"/>
    <s v="Infotainment"/>
    <s v="Audio"/>
    <s v="Full Range Speaker"/>
    <s v="Standard Audio System"/>
    <s v="Loudspeaker"/>
    <s v="Loudspeaker - I/P Center Wideband"/>
    <s v="Loudspeaker - I/P Center Wideband - Full Range Speaker"/>
    <m/>
    <m/>
    <s v="26;0"/>
    <s v="TE"/>
    <s v="157420-1"/>
    <s v="2 Pos. JPT 2,8mm Unsealed"/>
    <m/>
    <s v="No"/>
    <s v="No"/>
    <s v="Yes"/>
    <n v="0.25"/>
    <n v="0.35"/>
    <n v="0.4"/>
    <n v="0.3"/>
  </r>
  <r>
    <x v="468"/>
    <s v="10.0_Comfort &amp; Exterior"/>
    <s v="10.20_Mirroring-System"/>
    <s v="F0041"/>
    <s v="Outside Mirror, Foldable"/>
    <s v="QM"/>
    <s v="Comfort"/>
    <m/>
    <s v="External Rear View Mirror Fold"/>
    <s v="Foldable External Mirror"/>
    <s v="Switch"/>
    <s v="User Selector"/>
    <s v="User Selector - External Rear View Mirror Fold"/>
    <m/>
    <m/>
    <s v="37;-21"/>
    <m/>
    <m/>
    <m/>
    <m/>
    <m/>
    <m/>
    <m/>
    <m/>
    <m/>
    <m/>
    <m/>
  </r>
  <r>
    <x v="469"/>
    <s v="10.0_Comfort &amp; Exterior"/>
    <s v="10.30_OutsideLighting-System"/>
    <s v="F0002"/>
    <s v="Rear Lighting, Brake Light Adaptive"/>
    <s v="B"/>
    <s v="Body"/>
    <s v="External Illumination"/>
    <s v="Rear Lamps L"/>
    <s v="LED - Dynamic Blinker"/>
    <s v="Actuator"/>
    <s v="Taillamp Assy' LED Dynamic Blinker Left - Body"/>
    <s v="Taillamp Assy' LED Dynamic Blinker Left - Body - Rear Lamps L"/>
    <m/>
    <m/>
    <s v="108;-17"/>
    <m/>
    <m/>
    <m/>
    <m/>
    <s v="No"/>
    <s v="No"/>
    <s v="Yes"/>
    <n v="0.66"/>
    <n v="0.52"/>
    <n v="0.66"/>
    <n v="0.52"/>
  </r>
  <r>
    <x v="469"/>
    <s v="10.0_Comfort &amp; Exterior"/>
    <s v="10.30_OutsideLighting-System"/>
    <s v="F0028"/>
    <s v="Light Scenario, Comfort Direction Indication"/>
    <s v="B"/>
    <s v="Body"/>
    <s v="External Illumination"/>
    <s v="Rear Lamps L"/>
    <s v="LED - Dynamic Blinker"/>
    <s v="Actuator"/>
    <s v="Taillamp Assy' LED Dynamic Blinker Left - Body"/>
    <s v="Taillamp Assy' LED Dynamic Blinker Left - Body - Rear Lamps L"/>
    <m/>
    <m/>
    <s v="108;-17"/>
    <m/>
    <m/>
    <m/>
    <m/>
    <s v="No"/>
    <s v="No"/>
    <s v="Yes"/>
    <n v="0.66"/>
    <n v="0.52"/>
    <n v="0.66"/>
    <n v="0.52"/>
  </r>
  <r>
    <x v="469"/>
    <s v="10.0_Comfort &amp; Exterior"/>
    <s v="10.30_OutsideLighting-System"/>
    <s v="F0091"/>
    <s v="Rear Lighting, Reverse Light"/>
    <s v="QM"/>
    <s v="Body"/>
    <s v="External Illumination"/>
    <s v="Rear Lamps L"/>
    <s v="LED - Dynamic Blinker"/>
    <s v="Actuator"/>
    <s v="Taillamp Assy' LED Dynamic Blinker Left - Body"/>
    <s v="Taillamp Assy' LED Dynamic Blinker Left - Body - Rear Lamps L"/>
    <m/>
    <m/>
    <s v="108;-17"/>
    <m/>
    <m/>
    <m/>
    <m/>
    <s v="No"/>
    <s v="No"/>
    <s v="Yes"/>
    <n v="0.66"/>
    <n v="0.52"/>
    <n v="0.66"/>
    <n v="0.52"/>
  </r>
  <r>
    <x v="469"/>
    <s v="10.0_Comfort &amp; Exterior"/>
    <s v="10.30_OutsideLighting-System"/>
    <s v="F0110"/>
    <s v="Rear Lighting, Taillamp"/>
    <s v="QM"/>
    <s v="Body"/>
    <s v="External Illumination"/>
    <s v="Rear Lamps L"/>
    <s v="LED - Dynamic Blinker"/>
    <s v="Actuator"/>
    <s v="Taillamp Assy' LED Dynamic Blinker Left - Body"/>
    <s v="Taillamp Assy' LED Dynamic Blinker Left - Body - Rear Lamps L"/>
    <m/>
    <m/>
    <s v="108;-17"/>
    <m/>
    <m/>
    <m/>
    <m/>
    <s v="No"/>
    <s v="No"/>
    <s v="Yes"/>
    <n v="0.66"/>
    <n v="0.52"/>
    <n v="0.66"/>
    <n v="0.52"/>
  </r>
  <r>
    <x v="469"/>
    <s v="10.0_Comfort &amp; Exterior"/>
    <s v="10.30_OutsideLighting-System"/>
    <s v="F0220"/>
    <s v="Light Scenario, Coming Home "/>
    <s v="QM"/>
    <s v="Body"/>
    <s v="External Illumination"/>
    <s v="Rear Lamps L"/>
    <s v="LED - Dynamic Blinker"/>
    <s v="Actuator"/>
    <s v="Taillamp Assy' LED Dynamic Blinker Left - Body"/>
    <s v="Taillamp Assy' LED Dynamic Blinker Left - Body - Rear Lamps L"/>
    <m/>
    <m/>
    <s v="108;-17"/>
    <m/>
    <m/>
    <m/>
    <m/>
    <s v="No"/>
    <s v="No"/>
    <s v="Yes"/>
    <n v="0.66"/>
    <n v="0.52"/>
    <n v="0.66"/>
    <n v="0.52"/>
  </r>
  <r>
    <x v="469"/>
    <s v="10.0_Comfort &amp; Exterior"/>
    <s v="10.30_OutsideLighting-System"/>
    <s v="F0221"/>
    <s v="Light Scenario, Welcome Light"/>
    <s v="QM"/>
    <s v="Body"/>
    <s v="External Illumination"/>
    <s v="Rear Lamps L"/>
    <s v="LED - Dynamic Blinker"/>
    <s v="Actuator"/>
    <s v="Taillamp Assy' LED Dynamic Blinker Left - Body"/>
    <s v="Taillamp Assy' LED Dynamic Blinker Left - Body - Rear Lamps L"/>
    <m/>
    <m/>
    <s v="108;-17"/>
    <m/>
    <m/>
    <m/>
    <m/>
    <s v="No"/>
    <s v="No"/>
    <s v="Yes"/>
    <n v="0.66"/>
    <n v="0.52"/>
    <n v="0.66"/>
    <n v="0.52"/>
  </r>
  <r>
    <x v="469"/>
    <s v="10.0_Comfort &amp; Exterior"/>
    <s v="10.30_OutsideLighting-System"/>
    <s v="F0227"/>
    <s v="Light Scenario, Parking Light"/>
    <s v="QM"/>
    <s v="Body"/>
    <s v="External Illumination"/>
    <s v="Rear Lamps L"/>
    <s v="LED - Dynamic Blinker"/>
    <s v="Actuator"/>
    <s v="Taillamp Assy' LED Dynamic Blinker Left - Body"/>
    <s v="Taillamp Assy' LED Dynamic Blinker Left - Body - Rear Lamps L"/>
    <m/>
    <m/>
    <s v="108;-17"/>
    <m/>
    <m/>
    <m/>
    <m/>
    <s v="No"/>
    <s v="No"/>
    <s v="Yes"/>
    <n v="0.66"/>
    <n v="0.52"/>
    <n v="0.66"/>
    <n v="0.52"/>
  </r>
  <r>
    <x v="469"/>
    <s v="10.0_Comfort &amp; Exterior"/>
    <s v="10.30_OutsideLighting-System"/>
    <s v="F0228"/>
    <s v="Surround Lighting, Hazard Light"/>
    <s v="B"/>
    <s v="Body"/>
    <s v="External Illumination"/>
    <s v="Rear Lamps L"/>
    <s v="LED - Dynamic Blinker"/>
    <s v="Actuator"/>
    <s v="Taillamp Assy' LED Dynamic Blinker Left - Body"/>
    <s v="Taillamp Assy' LED Dynamic Blinker Left - Body - Rear Lamps L"/>
    <m/>
    <m/>
    <s v="108;-17"/>
    <m/>
    <m/>
    <m/>
    <m/>
    <s v="No"/>
    <s v="No"/>
    <s v="Yes"/>
    <n v="0.66"/>
    <n v="0.52"/>
    <n v="0.66"/>
    <n v="0.52"/>
  </r>
  <r>
    <x v="469"/>
    <s v="10.0_Comfort &amp; Exterior"/>
    <s v="10.30_OutsideLighting-System"/>
    <s v="F0229"/>
    <s v="Surround Lighting, Turning Light"/>
    <s v="B"/>
    <s v="Body"/>
    <s v="External Illumination"/>
    <s v="Rear Lamps L"/>
    <s v="LED - Dynamic Blinker"/>
    <s v="Actuator"/>
    <s v="Taillamp Assy' LED Dynamic Blinker Left - Body"/>
    <s v="Taillamp Assy' LED Dynamic Blinker Left - Body - Rear Lamps L"/>
    <m/>
    <m/>
    <s v="108;-17"/>
    <m/>
    <m/>
    <m/>
    <m/>
    <s v="No"/>
    <s v="No"/>
    <s v="Yes"/>
    <n v="0.66"/>
    <n v="0.52"/>
    <n v="0.66"/>
    <n v="0.52"/>
  </r>
  <r>
    <x v="469"/>
    <s v="10.0_Comfort &amp; Exterior"/>
    <s v="10.30_OutsideLighting-System"/>
    <s v="F0230"/>
    <s v="Rear Lighting, Brake Light"/>
    <s v="B"/>
    <s v="Body"/>
    <s v="External Illumination"/>
    <s v="Rear Lamps L"/>
    <s v="LED - Dynamic Blinker"/>
    <s v="Actuator"/>
    <s v="Taillamp Assy' LED Dynamic Blinker Left - Body"/>
    <s v="Taillamp Assy' LED Dynamic Blinker Left - Body - Rear Lamps L"/>
    <m/>
    <m/>
    <s v="108;-17"/>
    <m/>
    <m/>
    <m/>
    <m/>
    <s v="No"/>
    <s v="No"/>
    <s v="Yes"/>
    <n v="0.66"/>
    <n v="0.52"/>
    <n v="0.66"/>
    <n v="0.52"/>
  </r>
  <r>
    <x v="469"/>
    <s v="10.0_Comfort &amp; Exterior"/>
    <s v="10.30_OutsideLighting-System"/>
    <s v="F0231"/>
    <s v="Rear Lighting, Rear Position Light"/>
    <s v="QM"/>
    <s v="Body"/>
    <s v="External Illumination"/>
    <s v="Rear Lamps L"/>
    <s v="LED - Dynamic Blinker"/>
    <s v="Actuator"/>
    <s v="Taillamp Assy' LED Dynamic Blinker Left - Body"/>
    <s v="Taillamp Assy' LED Dynamic Blinker Left - Body - Rear Lamps L"/>
    <m/>
    <m/>
    <s v="108;-17"/>
    <m/>
    <m/>
    <m/>
    <m/>
    <s v="No"/>
    <s v="No"/>
    <s v="Yes"/>
    <n v="0.66"/>
    <n v="0.52"/>
    <n v="0.66"/>
    <n v="0.52"/>
  </r>
  <r>
    <x v="469"/>
    <s v="10.0_Comfort &amp; Exterior"/>
    <s v="10.30_OutsideLighting-System"/>
    <s v="F0378"/>
    <s v="Rear Lighting, Fog Rear"/>
    <m/>
    <s v="Body"/>
    <s v="External Illumination"/>
    <s v="Rear Lamps L"/>
    <s v="LED - Dynamic Blinker"/>
    <s v="Actuator"/>
    <s v="Taillamp Assy' LED Dynamic Blinker Left - Body"/>
    <s v="Taillamp Assy' LED Dynamic Blinker Left - Body - Rear Lamps L"/>
    <m/>
    <m/>
    <s v="108;-17"/>
    <m/>
    <m/>
    <m/>
    <m/>
    <s v="No"/>
    <s v="No"/>
    <s v="Yes"/>
    <n v="0.66"/>
    <n v="0.52"/>
    <n v="0.66"/>
    <n v="0.52"/>
  </r>
  <r>
    <x v="469"/>
    <s v="28.0_Powertrain &amp; Driveability"/>
    <s v="28.13_Recuperation&amp;OPD-System"/>
    <s v="F0294"/>
    <s v="Recuperation, Brake Lights"/>
    <s v="B"/>
    <s v="Body"/>
    <s v="External Illumination"/>
    <s v="Rear Lamps L"/>
    <s v="LED - Dynamic Blinker"/>
    <s v="Actuator"/>
    <s v="Taillamp Assy' LED Dynamic Blinker Left - Body"/>
    <s v="Taillamp Assy' LED Dynamic Blinker Left - Body - Rear Lamps L"/>
    <m/>
    <m/>
    <s v="108;-17"/>
    <m/>
    <m/>
    <m/>
    <m/>
    <s v="No"/>
    <s v="No"/>
    <s v="Yes"/>
    <n v="0.66"/>
    <n v="0.52"/>
    <n v="0.66"/>
    <n v="0.52"/>
  </r>
  <r>
    <x v="470"/>
    <s v="10.0_Comfort &amp; Exterior"/>
    <s v="10.30_OutsideLighting-System"/>
    <s v="F0002"/>
    <s v="Rear Lighting, Brake Light Adaptive"/>
    <s v="B"/>
    <s v="Body"/>
    <s v="External Illumination"/>
    <s v="Rear Lamps R"/>
    <s v="LED - Dynamic Blinker"/>
    <s v="Actuator"/>
    <s v="Taillamp Assy' LED Dynamic Blinker Right - Body"/>
    <s v="Taillamp Assy' LED Dynamic Blinker Right - Body - Rear Lamps R"/>
    <m/>
    <m/>
    <s v="108;17"/>
    <m/>
    <m/>
    <m/>
    <m/>
    <s v="No"/>
    <s v="No"/>
    <s v="Yes"/>
    <n v="0.66"/>
    <n v="0.52"/>
    <n v="0.66"/>
    <n v="0.52"/>
  </r>
  <r>
    <x v="470"/>
    <s v="10.0_Comfort &amp; Exterior"/>
    <s v="10.30_OutsideLighting-System"/>
    <s v="F0028"/>
    <s v="Light Scenario, Comfort Direction Indication"/>
    <s v="B"/>
    <s v="Body"/>
    <s v="External Illumination"/>
    <s v="Rear Lamps R"/>
    <s v="LED - Dynamic Blinker"/>
    <s v="Actuator"/>
    <s v="Taillamp Assy' LED Dynamic Blinker Right - Body"/>
    <s v="Taillamp Assy' LED Dynamic Blinker Right - Body - Rear Lamps R"/>
    <m/>
    <m/>
    <s v="108;17"/>
    <m/>
    <m/>
    <m/>
    <m/>
    <s v="No"/>
    <s v="No"/>
    <s v="Yes"/>
    <n v="0.66"/>
    <n v="0.52"/>
    <n v="0.66"/>
    <n v="0.52"/>
  </r>
  <r>
    <x v="470"/>
    <s v="10.0_Comfort &amp; Exterior"/>
    <s v="10.30_OutsideLighting-System"/>
    <s v="F0091"/>
    <s v="Rear Lighting, Reverse Light"/>
    <s v="QM"/>
    <s v="Body"/>
    <s v="External Illumination"/>
    <s v="Rear Lamps R"/>
    <s v="LED - Dynamic Blinker"/>
    <s v="Actuator"/>
    <s v="Taillamp Assy' LED Dynamic Blinker Right - Body"/>
    <s v="Taillamp Assy' LED Dynamic Blinker Right - Body - Rear Lamps R"/>
    <m/>
    <m/>
    <s v="108;17"/>
    <m/>
    <m/>
    <m/>
    <m/>
    <s v="No"/>
    <s v="No"/>
    <s v="Yes"/>
    <n v="0.66"/>
    <n v="0.52"/>
    <n v="0.66"/>
    <n v="0.52"/>
  </r>
  <r>
    <x v="470"/>
    <s v="10.0_Comfort &amp; Exterior"/>
    <s v="10.30_OutsideLighting-System"/>
    <s v="F0110"/>
    <s v="Rear Lighting, Taillamp"/>
    <s v="QM"/>
    <s v="Body"/>
    <s v="External Illumination"/>
    <s v="Rear Lamps R"/>
    <s v="LED - Dynamic Blinker"/>
    <s v="Actuator"/>
    <s v="Taillamp Assy' LED Dynamic Blinker Right - Body"/>
    <s v="Taillamp Assy' LED Dynamic Blinker Right - Body - Rear Lamps R"/>
    <m/>
    <m/>
    <s v="108;17"/>
    <m/>
    <m/>
    <m/>
    <m/>
    <s v="No"/>
    <s v="No"/>
    <s v="Yes"/>
    <n v="0.66"/>
    <n v="0.52"/>
    <n v="0.66"/>
    <n v="0.52"/>
  </r>
  <r>
    <x v="470"/>
    <s v="10.0_Comfort &amp; Exterior"/>
    <s v="10.30_OutsideLighting-System"/>
    <s v="F0220"/>
    <s v="Light Scenario, Coming Home "/>
    <s v="QM"/>
    <s v="Body"/>
    <s v="External Illumination"/>
    <s v="Rear Lamps R"/>
    <s v="LED - Dynamic Blinker"/>
    <s v="Actuator"/>
    <s v="Taillamp Assy' LED Dynamic Blinker Right - Body"/>
    <s v="Taillamp Assy' LED Dynamic Blinker Right - Body - Rear Lamps R"/>
    <m/>
    <m/>
    <s v="108;17"/>
    <m/>
    <m/>
    <m/>
    <m/>
    <s v="No"/>
    <s v="No"/>
    <s v="Yes"/>
    <n v="0.66"/>
    <n v="0.52"/>
    <n v="0.66"/>
    <n v="0.52"/>
  </r>
  <r>
    <x v="470"/>
    <s v="10.0_Comfort &amp; Exterior"/>
    <s v="10.30_OutsideLighting-System"/>
    <s v="F0221"/>
    <s v="Light Scenario, Welcome Light"/>
    <s v="QM"/>
    <s v="Body"/>
    <s v="External Illumination"/>
    <s v="Rear Lamps R"/>
    <s v="LED - Dynamic Blinker"/>
    <s v="Actuator"/>
    <s v="Taillamp Assy' LED Dynamic Blinker Right - Body"/>
    <s v="Taillamp Assy' LED Dynamic Blinker Right - Body - Rear Lamps R"/>
    <m/>
    <m/>
    <s v="108;17"/>
    <m/>
    <m/>
    <m/>
    <m/>
    <s v="No"/>
    <s v="No"/>
    <s v="Yes"/>
    <n v="0.66"/>
    <n v="0.52"/>
    <n v="0.66"/>
    <n v="0.52"/>
  </r>
  <r>
    <x v="470"/>
    <s v="10.0_Comfort &amp; Exterior"/>
    <s v="10.30_OutsideLighting-System"/>
    <s v="F0227"/>
    <s v="Light Scenario, Parking Light"/>
    <s v="QM"/>
    <s v="Body"/>
    <s v="External Illumination"/>
    <s v="Rear Lamps R"/>
    <s v="LED - Dynamic Blinker"/>
    <s v="Actuator"/>
    <s v="Taillamp Assy' LED Dynamic Blinker Right - Body"/>
    <s v="Taillamp Assy' LED Dynamic Blinker Right - Body - Rear Lamps R"/>
    <m/>
    <m/>
    <s v="108;17"/>
    <m/>
    <m/>
    <m/>
    <m/>
    <s v="No"/>
    <s v="No"/>
    <s v="Yes"/>
    <n v="0.66"/>
    <n v="0.52"/>
    <n v="0.66"/>
    <n v="0.52"/>
  </r>
  <r>
    <x v="470"/>
    <s v="10.0_Comfort &amp; Exterior"/>
    <s v="10.30_OutsideLighting-System"/>
    <s v="F0228"/>
    <s v="Surround Lighting, Hazard Light"/>
    <s v="B"/>
    <s v="Body"/>
    <s v="External Illumination"/>
    <s v="Rear Lamps R"/>
    <s v="LED - Dynamic Blinker"/>
    <s v="Actuator"/>
    <s v="Taillamp Assy' LED Dynamic Blinker Right - Body"/>
    <s v="Taillamp Assy' LED Dynamic Blinker Right - Body - Rear Lamps R"/>
    <m/>
    <m/>
    <s v="108;17"/>
    <m/>
    <m/>
    <m/>
    <m/>
    <s v="No"/>
    <s v="No"/>
    <s v="Yes"/>
    <n v="0.66"/>
    <n v="0.52"/>
    <n v="0.66"/>
    <n v="0.52"/>
  </r>
  <r>
    <x v="470"/>
    <s v="10.0_Comfort &amp; Exterior"/>
    <s v="10.30_OutsideLighting-System"/>
    <s v="F0229"/>
    <s v="Surround Lighting, Turning Light"/>
    <s v="B"/>
    <s v="Body"/>
    <s v="External Illumination"/>
    <s v="Rear Lamps R"/>
    <s v="LED - Dynamic Blinker"/>
    <s v="Actuator"/>
    <s v="Taillamp Assy' LED Dynamic Blinker Right - Body"/>
    <s v="Taillamp Assy' LED Dynamic Blinker Right - Body - Rear Lamps R"/>
    <m/>
    <m/>
    <s v="108;17"/>
    <m/>
    <m/>
    <m/>
    <m/>
    <s v="No"/>
    <s v="No"/>
    <s v="Yes"/>
    <n v="0.66"/>
    <n v="0.52"/>
    <n v="0.66"/>
    <n v="0.52"/>
  </r>
  <r>
    <x v="470"/>
    <s v="10.0_Comfort &amp; Exterior"/>
    <s v="10.30_OutsideLighting-System"/>
    <s v="F0230"/>
    <s v="Rear Lighting, Brake Light"/>
    <s v="B"/>
    <s v="Body"/>
    <s v="External Illumination"/>
    <s v="Rear Lamps R"/>
    <s v="LED - Dynamic Blinker"/>
    <s v="Actuator"/>
    <s v="Taillamp Assy' LED Dynamic Blinker Right - Body"/>
    <s v="Taillamp Assy' LED Dynamic Blinker Right - Body - Rear Lamps R"/>
    <m/>
    <m/>
    <s v="108;17"/>
    <m/>
    <m/>
    <m/>
    <m/>
    <s v="No"/>
    <s v="No"/>
    <s v="Yes"/>
    <n v="0.66"/>
    <n v="0.52"/>
    <n v="0.66"/>
    <n v="0.52"/>
  </r>
  <r>
    <x v="470"/>
    <s v="10.0_Comfort &amp; Exterior"/>
    <s v="10.30_OutsideLighting-System"/>
    <s v="F0231"/>
    <s v="Rear Lighting, Rear Position Light"/>
    <s v="QM"/>
    <s v="Body"/>
    <s v="External Illumination"/>
    <s v="Rear Lamps R"/>
    <s v="LED - Dynamic Blinker"/>
    <s v="Actuator"/>
    <s v="Taillamp Assy' LED Dynamic Blinker Right - Body"/>
    <s v="Taillamp Assy' LED Dynamic Blinker Right - Body - Rear Lamps R"/>
    <m/>
    <m/>
    <s v="108;17"/>
    <m/>
    <m/>
    <m/>
    <m/>
    <s v="No"/>
    <s v="No"/>
    <s v="Yes"/>
    <n v="0.66"/>
    <n v="0.52"/>
    <n v="0.66"/>
    <n v="0.52"/>
  </r>
  <r>
    <x v="470"/>
    <s v="10.0_Comfort &amp; Exterior"/>
    <s v="10.30_OutsideLighting-System"/>
    <s v="F0378"/>
    <s v="Rear Lighting, Fog Rear"/>
    <m/>
    <s v="Body"/>
    <s v="External Illumination"/>
    <s v="Rear Lamps R"/>
    <s v="LED - Dynamic Blinker"/>
    <s v="Actuator"/>
    <s v="Taillamp Assy' LED Dynamic Blinker Right - Body"/>
    <s v="Taillamp Assy' LED Dynamic Blinker Right - Body - Rear Lamps R"/>
    <m/>
    <m/>
    <s v="108;17"/>
    <m/>
    <m/>
    <m/>
    <m/>
    <s v="No"/>
    <s v="No"/>
    <s v="Yes"/>
    <n v="0.66"/>
    <n v="0.52"/>
    <n v="0.66"/>
    <n v="0.52"/>
  </r>
  <r>
    <x v="470"/>
    <s v="28.0_Powertrain &amp; Driveability"/>
    <s v="28.13_Recuperation&amp;OPD-System"/>
    <s v="F0294"/>
    <s v="Recuperation, Brake Lights"/>
    <s v="B"/>
    <s v="Body"/>
    <s v="External Illumination"/>
    <s v="Rear Lamps R"/>
    <s v="LED - Dynamic Blinker"/>
    <s v="Actuator"/>
    <s v="Taillamp Assy' LED Dynamic Blinker Right - Body"/>
    <s v="Taillamp Assy' LED Dynamic Blinker Right - Body - Rear Lamps R"/>
    <m/>
    <m/>
    <s v="108;17"/>
    <m/>
    <m/>
    <m/>
    <m/>
    <s v="No"/>
    <s v="No"/>
    <s v="Yes"/>
    <n v="0.66"/>
    <n v="0.52"/>
    <n v="0.66"/>
    <n v="0.52"/>
  </r>
  <r>
    <x v="471"/>
    <s v="36.0_Infotainment &amp; Connectivity"/>
    <s v="36.12_Sound-System"/>
    <s v="F0x38"/>
    <s v="Sound System Front, 2 Woofer Speakers"/>
    <s v=" "/>
    <s v="Infotainment"/>
    <s v="Audio"/>
    <s v="Woofer Speaker"/>
    <s v="Premium Audio System"/>
    <s v="Loudspeaker"/>
    <s v="Loudspeaker - Door Front Right"/>
    <s v="Loudspeaker - Door Front Right - Woofer Speaker"/>
    <m/>
    <m/>
    <s v="36;21"/>
    <s v="TE"/>
    <s v="1718831-1"/>
    <s v="2 Pos. SPT 4,8mm Unsealed"/>
    <m/>
    <s v="No"/>
    <s v="No"/>
    <s v="Yes"/>
    <n v="0.25"/>
    <n v="0.35"/>
    <n v="0.4"/>
    <n v="0.3"/>
  </r>
  <r>
    <x v="471"/>
    <s v="36.0_Infotainment &amp; Connectivity"/>
    <s v="36.12_Sound-System"/>
    <s v="F1342"/>
    <s v="Road-noise Active Noise Cancelation (RANC)"/>
    <s v="QM"/>
    <s v="Infotainment"/>
    <s v="Audio"/>
    <s v="Woofer Speaker"/>
    <s v="Premium Audio System"/>
    <s v="Loudspeaker"/>
    <s v="Loudspeaker - Door Front Right"/>
    <s v="Loudspeaker - Door Front Right - Woofer Speaker"/>
    <m/>
    <m/>
    <s v="36;21"/>
    <s v="TE"/>
    <s v="1718831-1"/>
    <s v="2 Pos. SPT 4,8mm Unsealed"/>
    <m/>
    <s v="No"/>
    <s v="No"/>
    <s v="Yes"/>
    <n v="0.25"/>
    <n v="0.35"/>
    <n v="0.4"/>
    <n v="0.3"/>
  </r>
  <r>
    <x v="472"/>
    <m/>
    <m/>
    <m/>
    <m/>
    <m/>
    <s v="Powertrain"/>
    <s v="Engine"/>
    <m/>
    <m/>
    <s v="Sensor"/>
    <s v="Tank Ventilation Pressure Sensor 1"/>
    <s v="Tank Ventilation Pressure Sensor 1 - "/>
    <m/>
    <m/>
    <m/>
    <m/>
    <m/>
    <m/>
    <m/>
    <m/>
    <m/>
    <m/>
    <m/>
    <m/>
    <m/>
    <m/>
  </r>
  <r>
    <x v="473"/>
    <s v="13.0_Comfort &amp; Interior"/>
    <s v="13.31_AmbientLighting-System"/>
    <s v="F0781"/>
    <s v="Ambient Lighting, Door Handle"/>
    <s v="QM"/>
    <s v="Comfort"/>
    <s v="Internal Illumination"/>
    <s v="Door Internal Handle Illumination RL"/>
    <s v="Basic"/>
    <s v="Actuator"/>
    <s v="LED Lamp"/>
    <s v="LED Lamp - Door Internal Handle Illumination RL"/>
    <m/>
    <m/>
    <s v="62;-21"/>
    <s v="TE"/>
    <s v="2282150-1"/>
    <s v="2 Pos. NanoMQS 0,5mm Unsealed"/>
    <m/>
    <s v="No"/>
    <s v="No"/>
    <s v="Yes"/>
    <n v="0"/>
    <n v="0"/>
    <n v="0"/>
    <n v="0"/>
  </r>
  <r>
    <x v="474"/>
    <s v="13.0_Comfort &amp; Interior"/>
    <s v="13.31_AmbientLighting-System"/>
    <s v="F0781"/>
    <s v="Ambient Lighting, Door Handle"/>
    <s v="QM"/>
    <s v="Comfort"/>
    <s v="Internal Illumination"/>
    <s v="Door Internal Handle Illumination RR"/>
    <s v="Basic"/>
    <s v="Actuator"/>
    <s v="LED Lamp"/>
    <s v="LED Lamp - Door Internal Handle Illumination RR"/>
    <m/>
    <m/>
    <s v="62;21"/>
    <s v="TE"/>
    <s v="2282150-1"/>
    <s v="2 Pos. NanoMQS 0,5mm Unsealed"/>
    <m/>
    <s v="No"/>
    <s v="No"/>
    <s v="Yes"/>
    <n v="0"/>
    <n v="0"/>
    <n v="0"/>
    <n v="0"/>
  </r>
  <r>
    <x v="475"/>
    <s v="39.0_HVAC &amp; Thermal"/>
    <s v="39.11_ComponentThermal-System"/>
    <s v="F0189"/>
    <s v="Thermal Management, HV-Battery Heating"/>
    <m/>
    <s v="Powertrain"/>
    <s v="Cooling/Heating"/>
    <s v="Coolant Temperature"/>
    <m/>
    <s v="Sensor"/>
    <s v="Radiator Coolant Outlet Temperature Sensor"/>
    <s v="Radiator Coolant Outlet Temperature Sensor - Coolant Temperature"/>
    <m/>
    <m/>
    <s v="-12;10"/>
    <s v="TE"/>
    <s v="1-2299071-1"/>
    <s v="2 Pos. MCON 1,2mm Sealed"/>
    <m/>
    <s v="Yes"/>
    <s v="Yes"/>
    <s v="Yes"/>
    <n v="1"/>
    <n v="1"/>
    <n v="1"/>
    <n v="1"/>
  </r>
  <r>
    <x v="475"/>
    <s v="39.0_HVAC &amp; Thermal"/>
    <s v="39.11_ComponentThermal-System"/>
    <s v="F0257"/>
    <s v="HV-Components, Cooling"/>
    <m/>
    <s v="Powertrain"/>
    <s v="Cooling/Heating"/>
    <s v="Coolant Temperature"/>
    <m/>
    <s v="Sensor"/>
    <s v="Radiator Coolant Outlet Temperature Sensor"/>
    <s v="Radiator Coolant Outlet Temperature Sensor - Coolant Temperature"/>
    <m/>
    <m/>
    <s v="-12;10"/>
    <s v="TE"/>
    <s v="1-2299071-1"/>
    <s v="2 Pos. MCON 1,2mm Sealed"/>
    <m/>
    <s v="Yes"/>
    <s v="Yes"/>
    <s v="Yes"/>
    <n v="1"/>
    <n v="1"/>
    <n v="1"/>
    <n v="1"/>
  </r>
  <r>
    <x v="475"/>
    <s v="39.0_HVAC &amp; Thermal"/>
    <s v="39.11_ComponentThermal-System"/>
    <s v="F0393"/>
    <s v="Thermal Management, Master (BEV Vehicles)"/>
    <m/>
    <s v="Powertrain"/>
    <s v="Cooling/Heating"/>
    <s v="Coolant Temperature"/>
    <m/>
    <s v="Sensor"/>
    <s v="Radiator Coolant Outlet Temperature Sensor"/>
    <s v="Radiator Coolant Outlet Temperature Sensor - Coolant Temperature"/>
    <m/>
    <m/>
    <s v="-12;10"/>
    <s v="TE"/>
    <s v="1-2299071-1"/>
    <s v="2 Pos. MCON 1,2mm Sealed"/>
    <m/>
    <s v="Yes"/>
    <s v="Yes"/>
    <s v="Yes"/>
    <n v="1"/>
    <n v="1"/>
    <n v="1"/>
    <n v="1"/>
  </r>
  <r>
    <x v="475"/>
    <s v="39.0_HVAC &amp; Thermal"/>
    <s v="39.11_ComponentThermal-System"/>
    <s v="F0459"/>
    <s v="Thermal Management, HV-Battery Cooling"/>
    <m/>
    <s v="Powertrain"/>
    <s v="Cooling/Heating"/>
    <s v="Coolant Temperature"/>
    <m/>
    <s v="Sensor"/>
    <s v="Radiator Coolant Outlet Temperature Sensor"/>
    <s v="Radiator Coolant Outlet Temperature Sensor - Coolant Temperature"/>
    <m/>
    <m/>
    <s v="-12;10"/>
    <s v="TE"/>
    <s v="1-2299071-1"/>
    <s v="2 Pos. MCON 1,2mm Sealed"/>
    <m/>
    <s v="Yes"/>
    <s v="Yes"/>
    <s v="Yes"/>
    <n v="1"/>
    <n v="1"/>
    <n v="1"/>
    <n v="1"/>
  </r>
  <r>
    <x v="475"/>
    <s v="39.0_HVAC &amp; Thermal"/>
    <s v="39.11_ComponentThermal-System"/>
    <s v="F0553"/>
    <s v="Thermal Management, HV-CoolingGeneration"/>
    <m/>
    <s v="Powertrain"/>
    <s v="Cooling/Heating"/>
    <s v="Coolant Temperature"/>
    <m/>
    <s v="Sensor"/>
    <s v="Radiator Coolant Outlet Temperature Sensor"/>
    <s v="Radiator Coolant Outlet Temperature Sensor - Coolant Temperature"/>
    <m/>
    <m/>
    <s v="-12;10"/>
    <s v="TE"/>
    <s v="1-2299071-1"/>
    <s v="2 Pos. MCON 1,2mm Sealed"/>
    <m/>
    <s v="Yes"/>
    <s v="Yes"/>
    <s v="Yes"/>
    <n v="1"/>
    <n v="1"/>
    <n v="1"/>
    <n v="1"/>
  </r>
  <r>
    <x v="475"/>
    <s v="39.0_HVAC &amp; Thermal"/>
    <s v="39.11_ComponentThermal-System"/>
    <s v="F0615"/>
    <s v="Thermal Management, HV-HeatingGeneration"/>
    <m/>
    <s v="Powertrain"/>
    <s v="Cooling/Heating"/>
    <s v="Coolant Temperature"/>
    <m/>
    <s v="Sensor"/>
    <s v="Radiator Coolant Outlet Temperature Sensor"/>
    <s v="Radiator Coolant Outlet Temperature Sensor - Coolant Temperature"/>
    <m/>
    <m/>
    <s v="-12;10"/>
    <s v="TE"/>
    <s v="1-2299071-1"/>
    <s v="2 Pos. MCON 1,2mm Sealed"/>
    <m/>
    <s v="Yes"/>
    <s v="Yes"/>
    <s v="Yes"/>
    <n v="1"/>
    <n v="1"/>
    <n v="1"/>
    <n v="1"/>
  </r>
  <r>
    <x v="475"/>
    <s v="39.0_HVAC &amp; Thermal"/>
    <s v="39.11_ComponentThermal-System"/>
    <s v="F0889"/>
    <s v="Thermal Management, Heat Pumping"/>
    <m/>
    <s v="Powertrain"/>
    <s v="Cooling/Heating"/>
    <s v="Coolant Temperature"/>
    <m/>
    <s v="Sensor"/>
    <s v="Radiator Coolant Outlet Temperature Sensor"/>
    <s v="Radiator Coolant Outlet Temperature Sensor - Coolant Temperature"/>
    <m/>
    <m/>
    <s v="-12;10"/>
    <s v="TE"/>
    <s v="1-2299071-1"/>
    <s v="2 Pos. MCON 1,2mm Sealed"/>
    <m/>
    <s v="Yes"/>
    <s v="Yes"/>
    <s v="Yes"/>
    <n v="1"/>
    <n v="1"/>
    <n v="1"/>
    <n v="1"/>
  </r>
  <r>
    <x v="475"/>
    <s v="39.0_HVAC &amp; Thermal"/>
    <s v="39.11_ComponentThermal-System"/>
    <s v="F0x70"/>
    <s v="Thermal Management for ICE Vehicles - Low Power Engines"/>
    <m/>
    <s v="Powertrain"/>
    <s v="Cooling/Heating"/>
    <s v="Coolant Temperature"/>
    <m/>
    <s v="Sensor"/>
    <s v="Radiator Coolant Outlet Temperature Sensor"/>
    <s v="Radiator Coolant Outlet Temperature Sensor - Coolant Temperature"/>
    <m/>
    <m/>
    <s v="-12;10"/>
    <s v="TE"/>
    <s v="1-2299071-1"/>
    <s v="2 Pos. MCON 1,2mm Sealed"/>
    <m/>
    <s v="Yes"/>
    <s v="Yes"/>
    <s v="Yes"/>
    <n v="1"/>
    <n v="1"/>
    <n v="1"/>
    <n v="1"/>
  </r>
  <r>
    <x v="475"/>
    <s v="39.0_HVAC &amp; Thermal"/>
    <s v="39.11_ComponentThermal-System"/>
    <s v="F0x71"/>
    <s v="Thermal Management for ICE Vehicles - Mid Power Engines"/>
    <m/>
    <s v="Powertrain"/>
    <s v="Cooling/Heating"/>
    <s v="Coolant Temperature"/>
    <m/>
    <s v="Sensor"/>
    <s v="Radiator Coolant Outlet Temperature Sensor"/>
    <s v="Radiator Coolant Outlet Temperature Sensor - Coolant Temperature"/>
    <m/>
    <m/>
    <s v="-12;10"/>
    <s v="TE"/>
    <s v="1-2299071-1"/>
    <s v="2 Pos. MCON 1,2mm Sealed"/>
    <m/>
    <s v="Yes"/>
    <s v="Yes"/>
    <s v="Yes"/>
    <n v="1"/>
    <n v="1"/>
    <n v="1"/>
    <n v="1"/>
  </r>
  <r>
    <x v="475"/>
    <s v="39.0_HVAC &amp; Thermal"/>
    <s v="39.11_ComponentThermal-System"/>
    <s v="F0x72"/>
    <s v="Thermal Management for ICE Vehicles - High Power Engines"/>
    <m/>
    <s v="Powertrain"/>
    <s v="Cooling/Heating"/>
    <s v="Coolant Temperature"/>
    <m/>
    <s v="Sensor"/>
    <s v="Radiator Coolant Outlet Temperature Sensor"/>
    <s v="Radiator Coolant Outlet Temperature Sensor - Coolant Temperature"/>
    <m/>
    <m/>
    <s v="-12;10"/>
    <s v="TE"/>
    <s v="1-2299071-1"/>
    <s v="2 Pos. MCON 1,2mm Sealed"/>
    <m/>
    <s v="Yes"/>
    <s v="Yes"/>
    <s v="Yes"/>
    <n v="1"/>
    <n v="1"/>
    <n v="1"/>
    <n v="1"/>
  </r>
  <r>
    <x v="475"/>
    <s v="39.0_HVAC &amp; Thermal"/>
    <s v="39.11_ComponentThermal-System"/>
    <s v="F1340"/>
    <s v="HV-Components, Heating"/>
    <m/>
    <s v="Powertrain"/>
    <s v="Cooling/Heating"/>
    <s v="Coolant Temperature"/>
    <m/>
    <s v="Sensor"/>
    <s v="Radiator Coolant Outlet Temperature Sensor"/>
    <s v="Radiator Coolant Outlet Temperature Sensor - Coolant Temperature"/>
    <m/>
    <m/>
    <s v="-12;10"/>
    <s v="TE"/>
    <s v="1-2299071-1"/>
    <s v="2 Pos. MCON 1,2mm Sealed"/>
    <m/>
    <s v="Yes"/>
    <s v="Yes"/>
    <s v="Yes"/>
    <n v="1"/>
    <n v="1"/>
    <n v="1"/>
    <n v="1"/>
  </r>
  <r>
    <x v="476"/>
    <s v="10.0_Comfort &amp; Exterior"/>
    <s v="10.10_CentralLocking-System"/>
    <s v="F0027"/>
    <s v="Central Door Lock, Radio Control Key Front"/>
    <s v="QM"/>
    <s v="Comfort"/>
    <s v="Central Locking"/>
    <s v="Door Internal Handle Command FR"/>
    <s v="with Central Locking"/>
    <s v="Switch"/>
    <s v="User Selector"/>
    <s v="User Selector - Door Internal Handle Command FR"/>
    <m/>
    <m/>
    <s v="36;21"/>
    <m/>
    <m/>
    <m/>
    <m/>
    <s v="Yes"/>
    <s v="Yes"/>
    <s v="Yes"/>
    <n v="0"/>
    <n v="0"/>
    <n v="0"/>
    <n v="0"/>
  </r>
  <r>
    <x v="477"/>
    <s v="10.0_Comfort &amp; Exterior"/>
    <s v="10.10_CentralLocking-System"/>
    <s v="F0646"/>
    <s v="Central Door Lock, Rear"/>
    <s v="QM"/>
    <s v="Comfort"/>
    <s v="Central Locking"/>
    <s v="Door Internal Handle Command RL"/>
    <s v="with Central Locking"/>
    <s v="Switch"/>
    <s v="User Selector"/>
    <s v="User Selector - Door Internal Handle Command RL"/>
    <m/>
    <m/>
    <s v="64;-21"/>
    <m/>
    <m/>
    <m/>
    <m/>
    <s v="Yes"/>
    <s v="Yes"/>
    <s v="Yes"/>
    <n v="0"/>
    <n v="0"/>
    <n v="0"/>
    <n v="0"/>
  </r>
  <r>
    <x v="478"/>
    <s v="10.0_Comfort &amp; Exterior"/>
    <s v="10.10_CentralLocking-System"/>
    <s v="F0646"/>
    <s v="Central Door Lock, Rear"/>
    <s v="QM"/>
    <s v="Comfort"/>
    <s v="Central Locking"/>
    <s v="Door Internal Handle Command RR"/>
    <s v="with Central Locking"/>
    <s v="Switch"/>
    <s v="User Selector"/>
    <s v="User Selector - Door Internal Handle Command RR"/>
    <m/>
    <m/>
    <s v="64;21"/>
    <m/>
    <m/>
    <m/>
    <m/>
    <s v="Yes"/>
    <s v="Yes"/>
    <s v="Yes"/>
    <n v="0"/>
    <n v="0"/>
    <n v="0"/>
    <n v="0"/>
  </r>
  <r>
    <x v="479"/>
    <s v="13.0_Comfort &amp; Interior"/>
    <s v="13.31_AmbientLighting-System"/>
    <s v="F0781"/>
    <s v="Ambient Lighting, Door Handle"/>
    <s v="QM"/>
    <s v="Comfort"/>
    <s v="Internal Illumination"/>
    <s v="Door Internal Handle Illumination FR"/>
    <s v="Basic"/>
    <s v="Actuator"/>
    <s v="LED Lamp"/>
    <s v="LED Lamp - Door Internal Handle Illumination FR"/>
    <m/>
    <m/>
    <s v="38;21"/>
    <s v="TE"/>
    <s v="2282150-1"/>
    <s v="2 Pos. NanoMQS 0,5mm Unsealed"/>
    <m/>
    <s v="No"/>
    <s v="No"/>
    <s v="Yes"/>
    <n v="0"/>
    <n v="0"/>
    <n v="0"/>
    <n v="0"/>
  </r>
  <r>
    <x v="480"/>
    <s v="13.0_Comfort &amp; Interior"/>
    <s v="13.31_AmbientLighting-System"/>
    <s v="F0781"/>
    <s v="Ambient Lighting, Door Handle"/>
    <s v="QM"/>
    <s v="Comfort"/>
    <s v="Internal Illumination"/>
    <s v="Door Internal Handle Illumination FL"/>
    <s v="Basic"/>
    <s v="Actuator"/>
    <s v="LED Lamp"/>
    <s v="LED Lamp - Door Internal Handle Illumination FL"/>
    <m/>
    <m/>
    <s v="38;-21"/>
    <s v="TE"/>
    <s v="2282150-1"/>
    <s v="2 Pos. NanoMQS 0,5mm Unsealed"/>
    <m/>
    <s v="No"/>
    <s v="No"/>
    <s v="Yes"/>
    <n v="0"/>
    <n v="0"/>
    <n v="0"/>
    <n v="0"/>
  </r>
  <r>
    <x v="481"/>
    <s v="39.0_HVAC &amp; Thermal"/>
    <s v="39.10_PassengerThermal-System"/>
    <s v="F0721"/>
    <s v="HVAC-System, Rear Temperature Control"/>
    <s v="QM"/>
    <s v="Comfort"/>
    <s v="Climate Control"/>
    <s v="Footwell  Temperature Detection Rear Left"/>
    <s v="with Rear Air Conditioning"/>
    <s v="Sensor"/>
    <s v="Footwell Temperature Sensor Rear Left"/>
    <s v="Footwell Temperature Sensor Rear Left - Footwell  Temperature Detection Rear Left"/>
    <m/>
    <m/>
    <s v="62;0"/>
    <m/>
    <m/>
    <m/>
    <m/>
    <s v="No"/>
    <s v="No"/>
    <s v="Yes"/>
    <n v="1"/>
    <n v="1"/>
    <n v="1"/>
    <n v="1"/>
  </r>
  <r>
    <x v="481"/>
    <s v="39.0_HVAC &amp; Thermal"/>
    <s v="39.10_PassengerThermal-System"/>
    <s v="F0722"/>
    <s v="HVAC-System, Rear HVAC Off"/>
    <s v="QM"/>
    <s v="Comfort"/>
    <s v="Climate Control"/>
    <s v="Footwell  Temperature Detection Rear Left"/>
    <s v="with Rear Air Conditioning"/>
    <s v="Sensor"/>
    <s v="Footwell Temperature Sensor Rear Left"/>
    <s v="Footwell Temperature Sensor Rear Left - Footwell  Temperature Detection Rear Left"/>
    <m/>
    <m/>
    <s v="62;0"/>
    <m/>
    <m/>
    <m/>
    <m/>
    <s v="No"/>
    <s v="No"/>
    <s v="Yes"/>
    <n v="1"/>
    <n v="1"/>
    <n v="1"/>
    <n v="1"/>
  </r>
  <r>
    <x v="482"/>
    <s v="39.0_HVAC &amp; Thermal"/>
    <s v="39.10_PassengerThermal-System"/>
    <s v="F0016"/>
    <s v="HVAC-System, 3- / 4-Zones"/>
    <s v="QM"/>
    <s v="Comfort"/>
    <s v="Climate Control"/>
    <s v="Air Flow Temperature Detection Rear Left"/>
    <m/>
    <s v="Sensor"/>
    <s v="Air Deflector Temperature Sensor RL"/>
    <s v="Air Deflector Temperature Sensor RL - Air Flow Temperature Detection Rear Left"/>
    <m/>
    <m/>
    <s v="60;-1"/>
    <m/>
    <m/>
    <m/>
    <m/>
    <s v="No"/>
    <s v="No"/>
    <s v="Yes"/>
    <n v="1"/>
    <n v="1"/>
    <n v="1"/>
    <n v="1"/>
  </r>
  <r>
    <x v="482"/>
    <s v="39.0_HVAC &amp; Thermal"/>
    <s v="39.10_PassengerThermal-System"/>
    <s v="F0721"/>
    <s v="HVAC-System, Rear Temperature Control"/>
    <s v="QM"/>
    <s v="Comfort"/>
    <s v="Climate Control"/>
    <s v="Air Flow Temperature Detection Rear Left"/>
    <m/>
    <s v="Sensor"/>
    <s v="Air Deflector Temperature Sensor RL"/>
    <s v="Air Deflector Temperature Sensor RL - Air Flow Temperature Detection Rear Left"/>
    <m/>
    <m/>
    <s v="60;-1"/>
    <m/>
    <m/>
    <m/>
    <m/>
    <s v="No"/>
    <s v="No"/>
    <s v="Yes"/>
    <n v="1"/>
    <n v="1"/>
    <n v="1"/>
    <n v="1"/>
  </r>
  <r>
    <x v="482"/>
    <s v="39.0_HVAC &amp; Thermal"/>
    <s v="39.10_PassengerThermal-System"/>
    <s v="F0722"/>
    <s v="HVAC-System, Rear HVAC Off"/>
    <s v="QM"/>
    <s v="Comfort"/>
    <s v="Climate Control"/>
    <s v="Air Flow Temperature Detection Rear Left"/>
    <m/>
    <s v="Sensor"/>
    <s v="Air Deflector Temperature Sensor RL"/>
    <s v="Air Deflector Temperature Sensor RL - Air Flow Temperature Detection Rear Left"/>
    <m/>
    <m/>
    <s v="60;-1"/>
    <m/>
    <m/>
    <m/>
    <m/>
    <s v="No"/>
    <s v="No"/>
    <s v="Yes"/>
    <n v="1"/>
    <n v="1"/>
    <n v="1"/>
    <n v="1"/>
  </r>
  <r>
    <x v="482"/>
    <s v="39.0_HVAC &amp; Thermal"/>
    <s v="39.10_PassengerThermal-System"/>
    <s v="F0x19"/>
    <s v="HVAC-System, Heat Pump Driven"/>
    <s v="QM"/>
    <s v="Comfort"/>
    <s v="Climate Control"/>
    <s v="Air Flow Temperature Detection Rear Left"/>
    <m/>
    <s v="Sensor"/>
    <s v="Air Deflector Temperature Sensor RL"/>
    <s v="Air Deflector Temperature Sensor RL - Air Flow Temperature Detection Rear Left"/>
    <m/>
    <m/>
    <s v="60;-1"/>
    <m/>
    <m/>
    <m/>
    <m/>
    <s v="No"/>
    <s v="Yes"/>
    <s v="Yes"/>
    <n v="1"/>
    <n v="1"/>
    <n v="1"/>
    <n v="1"/>
  </r>
  <r>
    <x v="483"/>
    <s v="39.0_HVAC &amp; Thermal"/>
    <s v="39.10_PassengerThermal-System"/>
    <s v="F0016"/>
    <s v="HVAC-System, 3- / 4-Zones"/>
    <s v="QM"/>
    <s v="Comfort"/>
    <s v="Climate Control"/>
    <s v="Air Flow Temperature Detection Rear Right"/>
    <m/>
    <s v="Sensor"/>
    <s v="Air Deflector Temperature Sensor RR"/>
    <s v="Air Deflector Temperature Sensor RR - Air Flow Temperature Detection Rear Right"/>
    <m/>
    <m/>
    <s v="60;1"/>
    <m/>
    <m/>
    <m/>
    <m/>
    <s v="No"/>
    <s v="No"/>
    <s v="Yes"/>
    <n v="1"/>
    <n v="1"/>
    <n v="1"/>
    <n v="1"/>
  </r>
  <r>
    <x v="483"/>
    <s v="39.0_HVAC &amp; Thermal"/>
    <s v="39.10_PassengerThermal-System"/>
    <s v="F0721"/>
    <s v="HVAC-System, Rear Temperature Control"/>
    <s v="QM"/>
    <s v="Comfort"/>
    <s v="Climate Control"/>
    <s v="Air Flow Temperature Detection Rear Right"/>
    <m/>
    <s v="Sensor"/>
    <s v="Air Deflector Temperature Sensor RR"/>
    <s v="Air Deflector Temperature Sensor RR - Air Flow Temperature Detection Rear Right"/>
    <m/>
    <m/>
    <s v="60;1"/>
    <m/>
    <m/>
    <m/>
    <m/>
    <s v="No"/>
    <s v="No"/>
    <s v="Yes"/>
    <n v="1"/>
    <n v="1"/>
    <n v="1"/>
    <n v="1"/>
  </r>
  <r>
    <x v="483"/>
    <s v="39.0_HVAC &amp; Thermal"/>
    <s v="39.10_PassengerThermal-System"/>
    <s v="F0722"/>
    <s v="HVAC-System, Rear HVAC Off"/>
    <s v="QM"/>
    <s v="Comfort"/>
    <s v="Climate Control"/>
    <s v="Air Flow Temperature Detection Rear Right"/>
    <m/>
    <s v="Sensor"/>
    <s v="Air Deflector Temperature Sensor RR"/>
    <s v="Air Deflector Temperature Sensor RR - Air Flow Temperature Detection Rear Right"/>
    <m/>
    <m/>
    <s v="60;1"/>
    <m/>
    <m/>
    <m/>
    <m/>
    <s v="No"/>
    <s v="No"/>
    <s v="Yes"/>
    <n v="1"/>
    <n v="1"/>
    <n v="1"/>
    <n v="1"/>
  </r>
  <r>
    <x v="483"/>
    <s v="39.0_HVAC &amp; Thermal"/>
    <s v="39.10_PassengerThermal-System"/>
    <s v="F0x19"/>
    <s v="HVAC-System, Heat Pump Driven"/>
    <s v="QM"/>
    <s v="Comfort"/>
    <s v="Climate Control"/>
    <s v="Air Flow Temperature Detection Rear Right"/>
    <m/>
    <s v="Sensor"/>
    <s v="Air Deflector Temperature Sensor RR"/>
    <s v="Air Deflector Temperature Sensor RR - Air Flow Temperature Detection Rear Right"/>
    <m/>
    <m/>
    <s v="60;1"/>
    <m/>
    <m/>
    <m/>
    <m/>
    <s v="No"/>
    <s v="Yes"/>
    <s v="Yes"/>
    <n v="1"/>
    <n v="1"/>
    <n v="1"/>
    <n v="1"/>
  </r>
  <r>
    <x v="484"/>
    <m/>
    <m/>
    <m/>
    <m/>
    <m/>
    <s v="Powertrain"/>
    <s v="Engine"/>
    <s v="Temperature Measurement"/>
    <m/>
    <s v="Sensor"/>
    <s v="Exhaust Temperature Sensor 3 (OPF DUAL sensor)"/>
    <s v="Exhaust Temperature Sensor 3 (OPF DUAL sensor) - Temperature Measurement"/>
    <m/>
    <m/>
    <m/>
    <m/>
    <m/>
    <m/>
    <m/>
    <m/>
    <m/>
    <m/>
    <m/>
    <m/>
    <m/>
    <m/>
  </r>
  <r>
    <x v="485"/>
    <s v="10.0_Comfort &amp; Exterior"/>
    <s v="10.10_CentralLocking-System"/>
    <s v="F0027"/>
    <s v="Central Door Lock, Radio Control Key Front"/>
    <s v="QM"/>
    <s v="Comfort"/>
    <s v="Central Locking"/>
    <s v="Door Lock and Unlock"/>
    <s v="with Central Locking"/>
    <s v="Actuator"/>
    <s v="Stepper Motor FR"/>
    <s v="Stepper Motor FR - Door Lock and Unlock"/>
    <m/>
    <m/>
    <s v="55;21"/>
    <m/>
    <m/>
    <m/>
    <m/>
    <s v="Yes"/>
    <s v="Yes"/>
    <s v="Yes"/>
    <n v="1.6666666666666668E-3"/>
    <n v="1.6666666666666668E-3"/>
    <n v="1.6666666666666668E-3"/>
    <n v="1.6666666666666668E-3"/>
  </r>
  <r>
    <x v="486"/>
    <s v="10.0_Comfort &amp; Exterior"/>
    <s v="10.10_CentralLocking-System"/>
    <s v="F0027"/>
    <s v="Central Door Lock, Radio Control Key Front"/>
    <s v="QM"/>
    <s v="Comfort"/>
    <s v="Central Locking"/>
    <s v="Door Lock and Unlock"/>
    <s v="with Central Locking"/>
    <s v="Actuator"/>
    <s v="Stepper Motor FL"/>
    <s v="Stepper Motor FL - Door Lock and Unlock"/>
    <m/>
    <m/>
    <s v="55;-21"/>
    <m/>
    <m/>
    <m/>
    <m/>
    <s v="Yes"/>
    <s v="Yes"/>
    <s v="Yes"/>
    <n v="1.6666666666666668E-3"/>
    <n v="1.6666666666666668E-3"/>
    <n v="1.6666666666666668E-3"/>
    <n v="1.6666666666666668E-3"/>
  </r>
  <r>
    <x v="487"/>
    <s v="10.0_Comfort &amp; Exterior"/>
    <s v="10.11_VehicleAccess-System"/>
    <s v="F0020"/>
    <s v="Anti Theft, Alarm"/>
    <m/>
    <s v="Comfort"/>
    <s v="Anti-Theft"/>
    <s v="Indicator LED"/>
    <s v="Anti-Theft"/>
    <s v="Actuator"/>
    <s v="Indicator LED"/>
    <s v="Indicator LED - Indicator LED"/>
    <m/>
    <m/>
    <s v="32;-21"/>
    <s v="TE"/>
    <s v="1-2302450-1"/>
    <s v="2 Pos. NanoMQS 0,5mm Unsealed"/>
    <m/>
    <s v="Yes"/>
    <s v="Yes"/>
    <s v="Yes"/>
    <n v="0"/>
    <n v="0"/>
    <n v="0"/>
    <n v="0"/>
  </r>
  <r>
    <x v="488"/>
    <s v="10.0_Comfort &amp; Exterior"/>
    <s v="10.10_CentralLocking-System"/>
    <s v="F0032"/>
    <s v="Central Door Lock, Electric Child Proof Lock"/>
    <s v="QM"/>
    <s v="Comfort"/>
    <s v="Central Locking"/>
    <s v="Door Lock and Unlock"/>
    <s v="with Central Locking"/>
    <s v="Actuator"/>
    <s v="Stepper Motor RL"/>
    <s v="Stepper Motor RL - Door Lock and Unlock"/>
    <m/>
    <m/>
    <s v="81;21"/>
    <m/>
    <m/>
    <m/>
    <m/>
    <s v="Yes"/>
    <s v="Yes"/>
    <s v="Yes"/>
    <n v="1.6666666666666668E-3"/>
    <n v="1.6666666666666668E-3"/>
    <n v="1.6666666666666668E-3"/>
    <n v="1.6666666666666668E-3"/>
  </r>
  <r>
    <x v="488"/>
    <s v="10.0_Comfort &amp; Exterior"/>
    <s v="10.10_CentralLocking-System"/>
    <s v="F0646"/>
    <s v="Central Door Lock, Rear"/>
    <s v="QM"/>
    <s v="Comfort"/>
    <s v="Central Locking"/>
    <s v="Door Lock and Unlock"/>
    <s v="with Central Locking"/>
    <s v="Actuator"/>
    <s v="Stepper Motor RL"/>
    <s v="Stepper Motor RL - Door Lock and Unlock"/>
    <m/>
    <m/>
    <s v="81;21"/>
    <m/>
    <m/>
    <m/>
    <m/>
    <s v="Yes"/>
    <s v="Yes"/>
    <s v="Yes"/>
    <n v="1.6666666666666668E-3"/>
    <n v="1.6666666666666668E-3"/>
    <n v="1.6666666666666668E-3"/>
    <n v="1.6666666666666668E-3"/>
  </r>
  <r>
    <x v="489"/>
    <s v="36.0_Infotainment &amp; Connectivity"/>
    <s v="36.12_Sound-System"/>
    <s v="F0x34"/>
    <s v="Sound System Front, 2 Midrange and Woofer Speakers"/>
    <s v=" "/>
    <s v="Infotainment"/>
    <s v="Audio"/>
    <s v="Mid Range and Woofer Speaker"/>
    <s v="Standard Audio System"/>
    <s v="Loudspeaker"/>
    <s v="Loudspeaker - Door Front Left"/>
    <s v="Loudspeaker - Door Front Left - Mid Range and Woofer Speaker"/>
    <m/>
    <m/>
    <s v="36;-21"/>
    <s v="TE"/>
    <s v="157420-1"/>
    <s v="2 Pos. JPT 2,8mm Unsealed"/>
    <m/>
    <s v="No"/>
    <s v="Yes"/>
    <s v="No"/>
    <n v="0.25"/>
    <n v="0.35"/>
    <n v="0.4"/>
    <n v="0.3"/>
  </r>
  <r>
    <x v="490"/>
    <s v="36.0_Infotainment &amp; Connectivity"/>
    <s v="36.12_Sound-System"/>
    <s v="F0x39"/>
    <s v="Sound System Rear, 2 Woofer Speakers"/>
    <s v=" "/>
    <s v="Infotainment"/>
    <s v="Audio"/>
    <s v="Woofer Speaker"/>
    <s v="Premium Audio System"/>
    <s v="Loudspeaker"/>
    <s v="Loudspeaker - Door Rear Left / Rear Seat Left Trim"/>
    <s v="Loudspeaker - Door Rear Left / Rear Seat Left Trim - Woofer Speaker"/>
    <m/>
    <m/>
    <s v="58;-22"/>
    <s v="TE"/>
    <s v="1718831-1"/>
    <s v="2 Pos. SPT 4,8mm Unsealed"/>
    <m/>
    <s v="No"/>
    <s v="No"/>
    <s v="Yes"/>
    <n v="0.25"/>
    <n v="0.35"/>
    <n v="0.4"/>
    <n v="0.3"/>
  </r>
  <r>
    <x v="490"/>
    <s v="36.0_Infotainment &amp; Connectivity"/>
    <s v="36.12_Sound-System"/>
    <s v="F1342"/>
    <s v="Road-noise Active Noise Cancelation (RANC)"/>
    <s v="QM"/>
    <s v="Infotainment"/>
    <s v="Audio"/>
    <s v="Woofer Speaker"/>
    <s v="Premium Audio System"/>
    <s v="Loudspeaker"/>
    <s v="Loudspeaker - Door Rear Left / Rear Seat Left Trim"/>
    <s v="Loudspeaker - Door Rear Left / Rear Seat Left Trim - Woofer Speaker"/>
    <m/>
    <m/>
    <s v="58;-22"/>
    <s v="TE"/>
    <s v="1718831-1"/>
    <s v="2 Pos. SPT 4,8mm Unsealed"/>
    <m/>
    <s v="No"/>
    <s v="No"/>
    <s v="Yes"/>
    <n v="0.25"/>
    <n v="0.35"/>
    <n v="0.4"/>
    <n v="0.3"/>
  </r>
  <r>
    <x v="491"/>
    <s v="36.0_Infotainment &amp; Connectivity"/>
    <s v="36.12_Sound-System"/>
    <s v="F0x39"/>
    <s v="Sound System Rear, 2 Woofer Speakers"/>
    <s v=" "/>
    <s v="Infotainment"/>
    <s v="Audio"/>
    <s v="Woofer Speaker"/>
    <s v="Premium Audio System"/>
    <s v="Loudspeaker"/>
    <s v="Loudspeaker - Door Rear Right / Rear Seat Right Trim"/>
    <s v="Loudspeaker - Door Rear Right / Rear Seat Right Trim - Woofer Speaker"/>
    <m/>
    <m/>
    <s v="58;22"/>
    <s v="TE"/>
    <s v="1718831-1"/>
    <s v="2 Pos. SPT 4,8mm Unsealed"/>
    <m/>
    <s v="No"/>
    <s v="No"/>
    <s v="Yes"/>
    <n v="0.25"/>
    <n v="0.35"/>
    <n v="0.4"/>
    <n v="0.3"/>
  </r>
  <r>
    <x v="491"/>
    <s v="36.0_Infotainment &amp; Connectivity"/>
    <s v="36.12_Sound-System"/>
    <s v="F1342"/>
    <s v="Road-noise Active Noise Cancelation (RANC)"/>
    <s v="QM"/>
    <s v="Infotainment"/>
    <s v="Audio"/>
    <s v="Woofer Speaker"/>
    <s v="Premium Audio System"/>
    <s v="Loudspeaker"/>
    <s v="Loudspeaker - Door Rear Right / Rear Seat Right Trim"/>
    <s v="Loudspeaker - Door Rear Right / Rear Seat Right Trim - Woofer Speaker"/>
    <m/>
    <m/>
    <s v="58;22"/>
    <s v="TE"/>
    <s v="1718831-1"/>
    <s v="2 Pos. SPT 4,8mm Unsealed"/>
    <m/>
    <s v="No"/>
    <s v="No"/>
    <s v="Yes"/>
    <n v="0.25"/>
    <n v="0.35"/>
    <n v="0.4"/>
    <n v="0.3"/>
  </r>
  <r>
    <x v="492"/>
    <m/>
    <m/>
    <m/>
    <m/>
    <m/>
    <s v="Chassis"/>
    <s v="Airbag"/>
    <s v="Seat Belt"/>
    <s v="Basic"/>
    <s v="Igniter"/>
    <s v="Seat Belt Tensioner Igniter 1 [passenger side]"/>
    <s v="Seat Belt Tensioner Igniter 1 [passenger side] - Seat Belt"/>
    <m/>
    <m/>
    <s v="56;19"/>
    <m/>
    <m/>
    <m/>
    <m/>
    <s v="Yes"/>
    <s v="Yes"/>
    <s v="Yes"/>
    <n v="1"/>
    <n v="1"/>
    <n v="1"/>
    <n v="1"/>
  </r>
  <r>
    <x v="493"/>
    <m/>
    <m/>
    <m/>
    <m/>
    <m/>
    <s v="Chassis"/>
    <s v="Airbag"/>
    <s v="Seat Belt"/>
    <s v="Basic"/>
    <s v="Igniter"/>
    <s v="Seat Belt Tensioner Igniter 1 [driver side]"/>
    <s v="Seat Belt Tensioner Igniter 1 [driver side] - Seat Belt"/>
    <m/>
    <m/>
    <s v="56;-19"/>
    <m/>
    <m/>
    <m/>
    <m/>
    <s v="Yes"/>
    <s v="Yes"/>
    <s v="Yes"/>
    <n v="1"/>
    <n v="1"/>
    <n v="1"/>
    <n v="1"/>
  </r>
  <r>
    <x v="494"/>
    <s v="14.0_HMI &amp; OutsideInformation"/>
    <s v="14.10_DriverInformation-System"/>
    <s v="F0904"/>
    <s v="Indications, Error in Airbag System"/>
    <m/>
    <s v="Chassis"/>
    <s v="Airbag"/>
    <s v="Crash Sensor"/>
    <s v="Basic"/>
    <s v="Sensor"/>
    <s v="Front Impact Sensor R"/>
    <s v="Front Impact Sensor R - Crash Sensor"/>
    <m/>
    <m/>
    <s v="-11;17"/>
    <s v="TE"/>
    <s v="1-967644-1"/>
    <s v="2 Pos. MQS 0,63mm Sealed"/>
    <m/>
    <s v="Yes"/>
    <s v="Yes"/>
    <s v="Yes"/>
    <n v="1"/>
    <n v="1"/>
    <n v="1"/>
    <n v="1"/>
  </r>
  <r>
    <x v="495"/>
    <s v="14.0_HMI &amp; OutsideInformation"/>
    <s v="14.10_DriverInformation-System"/>
    <s v="F0904"/>
    <s v="Indications, Error in Airbag System"/>
    <m/>
    <s v="Chassis"/>
    <s v="Airbag"/>
    <s v="Crash Sensor"/>
    <s v="Basic"/>
    <s v="Sensor"/>
    <s v="Front Impact Sensor L"/>
    <s v="Front Impact Sensor L - Crash Sensor"/>
    <m/>
    <m/>
    <s v="-11;-17"/>
    <s v="TE"/>
    <s v="1-967644-1"/>
    <s v="2 Pos. MQS 0,63mm Sealed"/>
    <m/>
    <s v="Yes"/>
    <s v="Yes"/>
    <s v="Yes"/>
    <n v="1"/>
    <n v="1"/>
    <n v="1"/>
    <n v="1"/>
  </r>
  <r>
    <x v="496"/>
    <s v="28.0_Powertrain &amp; Driveability"/>
    <s v="28.12_DriveStrategy&amp;Driveability"/>
    <s v="F0x81"/>
    <s v="Internal Combustion Engine 3 Cyl. 1,0L"/>
    <m/>
    <s v="Powertrain"/>
    <s v="Engine"/>
    <s v="Ignition Cylinder 1"/>
    <s v="ICE"/>
    <s v="Actuator"/>
    <s v="Ignition Coil Cylinder 1"/>
    <s v="Ignition Coil Cylinder 1 - Ignition Cylinder 1"/>
    <m/>
    <m/>
    <s v="-3;-14"/>
    <m/>
    <m/>
    <m/>
    <m/>
    <s v="Yes"/>
    <s v="No"/>
    <s v="No"/>
    <n v="0.33"/>
    <n v="0.33"/>
    <n v="0.33"/>
    <n v="0.33"/>
  </r>
  <r>
    <x v="496"/>
    <s v="28.0_Powertrain &amp; Driveability"/>
    <s v="28.12_DriveStrategy&amp;Driveability"/>
    <s v="F0x81"/>
    <s v="Internal Combustion Engine 4 Cyl. 2,0L"/>
    <m/>
    <s v="Powertrain"/>
    <s v="Engine"/>
    <s v="Ignition Cylinder 1"/>
    <s v="ICE"/>
    <s v="Actuator"/>
    <s v="Ignition Coil Cylinder 1"/>
    <s v="Ignition Coil Cylinder 1 - Ignition Cylinder 1"/>
    <m/>
    <m/>
    <s v="-3;-14"/>
    <m/>
    <m/>
    <m/>
    <m/>
    <s v="No"/>
    <s v="Yes"/>
    <s v="No"/>
    <n v="0.25"/>
    <n v="0.25"/>
    <n v="0.25"/>
    <n v="0.25"/>
  </r>
  <r>
    <x v="497"/>
    <s v="28.0_Powertrain &amp; Driveability"/>
    <s v="28.12_DriveStrategy&amp;Driveability"/>
    <s v="F0x81"/>
    <s v="Internal Combustion Engine 3 Cyl. 1,0L"/>
    <m/>
    <s v="Powertrain"/>
    <s v="Engine"/>
    <s v="Ignition Cylinder 2"/>
    <s v="ICE"/>
    <s v="Actuator"/>
    <s v="Ignition Coil Cylinder 2"/>
    <s v="Ignition Coil Cylinder 2 - Ignition Cylinder 2"/>
    <m/>
    <m/>
    <s v="-1;-14"/>
    <m/>
    <m/>
    <m/>
    <m/>
    <s v="Yes"/>
    <s v="No"/>
    <s v="No"/>
    <n v="0.33"/>
    <n v="0.33"/>
    <n v="0.33"/>
    <n v="0.33"/>
  </r>
  <r>
    <x v="497"/>
    <s v="28.0_Powertrain &amp; Driveability"/>
    <s v="28.12_DriveStrategy&amp;Driveability"/>
    <s v="F0x81"/>
    <s v="Internal Combustion Engine 4 Cyl. 2,0L"/>
    <m/>
    <s v="Powertrain"/>
    <s v="Engine"/>
    <s v="Ignition Cylinder 2"/>
    <s v="ICE"/>
    <s v="Actuator"/>
    <s v="Ignition Coil Cylinder 2"/>
    <s v="Ignition Coil Cylinder 2 - Ignition Cylinder 2"/>
    <m/>
    <m/>
    <s v="-1;-14"/>
    <m/>
    <m/>
    <m/>
    <m/>
    <s v="No"/>
    <s v="Yes"/>
    <s v="No"/>
    <n v="0.25"/>
    <n v="0.25"/>
    <n v="0.25"/>
    <n v="0.25"/>
  </r>
  <r>
    <x v="498"/>
    <s v="28.0_Powertrain &amp; Driveability"/>
    <s v="28.12_DriveStrategy&amp;Driveability"/>
    <s v="F0x81"/>
    <s v="Internal Combustion Engine 3 Cyl. 1,0L"/>
    <m/>
    <s v="Powertrain"/>
    <s v="Engine"/>
    <s v="Ignition Cylinder 3"/>
    <s v="ICE"/>
    <s v="Actuator"/>
    <s v="Ignition Coil Cylinder 3"/>
    <s v="Ignition Coil Cylinder 3 - Ignition Cylinder 3"/>
    <m/>
    <m/>
    <s v="1;-14"/>
    <m/>
    <m/>
    <m/>
    <m/>
    <s v="Yes"/>
    <s v="No"/>
    <s v="No"/>
    <n v="0.33"/>
    <n v="0.33"/>
    <n v="0.33"/>
    <n v="0.33"/>
  </r>
  <r>
    <x v="498"/>
    <s v="28.0_Powertrain &amp; Driveability"/>
    <s v="28.12_DriveStrategy&amp;Driveability"/>
    <s v="F0x81"/>
    <s v="Internal Combustion Engine 4 Cyl. 2,0L"/>
    <m/>
    <s v="Powertrain"/>
    <s v="Engine"/>
    <s v="Ignition Cylinder 3"/>
    <s v="ICE"/>
    <s v="Actuator"/>
    <s v="Ignition Coil Cylinder 3"/>
    <s v="Ignition Coil Cylinder 3 - Ignition Cylinder 3"/>
    <m/>
    <m/>
    <s v="1;-14"/>
    <m/>
    <m/>
    <m/>
    <m/>
    <s v="No"/>
    <s v="Yes"/>
    <s v="No"/>
    <n v="0.25"/>
    <n v="0.25"/>
    <n v="0.25"/>
    <n v="0.25"/>
  </r>
  <r>
    <x v="499"/>
    <s v="28.0_Powertrain &amp; Driveability"/>
    <s v="28.12_DriveStrategy&amp;Driveability"/>
    <s v="F0x81"/>
    <s v="Internal Combustion Engine 4 Cyl. 2,0L"/>
    <m/>
    <s v="Powertrain"/>
    <s v="Engine"/>
    <s v="Ignition Cylinder 4"/>
    <s v="ICE"/>
    <s v="Actuator"/>
    <s v="Ignition Coil Cylinder 4"/>
    <s v="Ignition Coil Cylinder 4 - Ignition Cylinder 4"/>
    <m/>
    <m/>
    <s v="3;-14"/>
    <m/>
    <m/>
    <m/>
    <m/>
    <s v="No"/>
    <s v="Yes"/>
    <s v="No"/>
    <n v="0.25"/>
    <n v="0.25"/>
    <n v="0.25"/>
    <n v="0.25"/>
  </r>
  <r>
    <x v="500"/>
    <s v="36.0_Infotainment &amp; Connectivity"/>
    <s v="36.12_Sound-System"/>
    <s v="F0406"/>
    <s v="Sound System Front, 2 Wideband Speaker "/>
    <s v="QM"/>
    <s v="Infotainment"/>
    <s v="Audio"/>
    <s v="Audio Volume Control"/>
    <s v="Audio System"/>
    <s v="Switch"/>
    <s v="Potentiometer - User Selector"/>
    <s v="Potentiometer - User Selector - Audio Volume Control"/>
    <m/>
    <m/>
    <s v="34;-1"/>
    <s v="TE"/>
    <s v="2312106-1"/>
    <s v="6 Pos. NanoMQS 0,5mm Unsealed"/>
    <m/>
    <s v="Yes"/>
    <s v="Yes"/>
    <s v="Yes"/>
    <n v="1"/>
    <n v="1"/>
    <n v="1"/>
    <n v="1"/>
  </r>
  <r>
    <x v="500"/>
    <s v="36.0_Infotainment &amp; Connectivity"/>
    <s v="36.12_Sound-System"/>
    <s v="F0407"/>
    <s v="Sound System Front, 2 Tweeter"/>
    <s v="QM"/>
    <s v="Infotainment"/>
    <s v="Audio"/>
    <s v="Audio Volume Control"/>
    <s v="Audio System"/>
    <s v="Switch"/>
    <s v="Potentiometer - User Selector"/>
    <s v="Potentiometer - User Selector - Audio Volume Control"/>
    <m/>
    <m/>
    <s v="34;-1"/>
    <s v="TE"/>
    <s v="2312106-1"/>
    <s v="6 Pos. NanoMQS 0,5mm Unsealed"/>
    <m/>
    <s v="Yes"/>
    <s v="Yes"/>
    <s v="Yes"/>
    <n v="1"/>
    <n v="1"/>
    <n v="1"/>
    <n v="1"/>
  </r>
  <r>
    <x v="500"/>
    <s v="36.0_Infotainment &amp; Connectivity"/>
    <s v="36.12_Sound-System"/>
    <s v="F0408"/>
    <s v="Sound System Rear, 2 Wideband Speaker"/>
    <s v="QM"/>
    <s v="Infotainment"/>
    <s v="Audio"/>
    <s v="Audio Volume Control"/>
    <s v="Audio System"/>
    <s v="Switch"/>
    <s v="Potentiometer - User Selector"/>
    <s v="Potentiometer - User Selector - Audio Volume Control"/>
    <m/>
    <m/>
    <s v="34;-1"/>
    <s v="TE"/>
    <s v="2312106-1"/>
    <s v="6 Pos. NanoMQS 0,5mm Unsealed"/>
    <m/>
    <s v="Yes"/>
    <s v="Yes"/>
    <s v="Yes"/>
    <n v="1"/>
    <n v="1"/>
    <n v="1"/>
    <n v="1"/>
  </r>
  <r>
    <x v="500"/>
    <s v="36.0_Infotainment &amp; Connectivity"/>
    <s v="36.12_Sound-System"/>
    <s v="F0801"/>
    <s v="Sound System Rear, 2 Tweeter"/>
    <s v="QM"/>
    <s v="Infotainment"/>
    <s v="Audio"/>
    <s v="Audio Volume Control"/>
    <s v="Audio System"/>
    <s v="Switch"/>
    <s v="Potentiometer - User Selector"/>
    <s v="Potentiometer - User Selector - Audio Volume Control"/>
    <m/>
    <m/>
    <s v="34;-1"/>
    <s v="TE"/>
    <s v="2312106-1"/>
    <s v="6 Pos. NanoMQS 0,5mm Unsealed"/>
    <m/>
    <s v="Yes"/>
    <s v="Yes"/>
    <s v="Yes"/>
    <n v="1"/>
    <n v="1"/>
    <n v="1"/>
    <n v="1"/>
  </r>
  <r>
    <x v="500"/>
    <s v="36.0_Infotainment &amp; Connectivity"/>
    <s v="36.12_Sound-System"/>
    <s v="F0872"/>
    <s v="Sound System Center, Wideband Speaker"/>
    <s v="QM"/>
    <s v="Infotainment"/>
    <s v="Audio"/>
    <s v="Audio Volume Control"/>
    <s v="Audio System"/>
    <s v="Switch"/>
    <s v="Potentiometer - User Selector"/>
    <s v="Potentiometer - User Selector - Audio Volume Control"/>
    <m/>
    <m/>
    <s v="34;-1"/>
    <s v="TE"/>
    <s v="2312106-1"/>
    <s v="6 Pos. NanoMQS 0,5mm Unsealed"/>
    <m/>
    <s v="Yes"/>
    <s v="Yes"/>
    <s v="Yes"/>
    <n v="1"/>
    <n v="1"/>
    <n v="1"/>
    <n v="1"/>
  </r>
  <r>
    <x v="501"/>
    <s v="36.0_Infotainment &amp; Connectivity"/>
    <s v="36.12_Sound-System"/>
    <s v="F1342"/>
    <s v="Road-noise Active Noise Cancelation (RANC)"/>
    <s v="QM"/>
    <s v="Infotainment"/>
    <s v="Audio"/>
    <s v="Noise Cancelling"/>
    <s v="Premium Audio System"/>
    <s v="Sensor"/>
    <s v="Microphone"/>
    <s v="Microphone - Noise Cancelling"/>
    <m/>
    <m/>
    <s v="41;0"/>
    <s v="TE"/>
    <s v="1-929080-5"/>
    <s v="2 Pos. MQS 0,63mm Unsealed"/>
    <m/>
    <s v="No"/>
    <s v="No"/>
    <s v="Yes"/>
    <n v="1"/>
    <n v="1"/>
    <n v="1"/>
    <n v="1"/>
  </r>
  <r>
    <x v="502"/>
    <s v="39.0_HVAC &amp; Thermal"/>
    <s v="39.11_ComponentThermal-System"/>
    <s v="F0x72"/>
    <s v="Thermal Management for ICE Vehicles - High Power Engines"/>
    <m/>
    <s v="Powertrain"/>
    <s v="Cooling/Heating"/>
    <s v="High Temperature Coolant Pump"/>
    <s v="ICE"/>
    <s v="Actuator"/>
    <s v="High Temperature Coolant Pump"/>
    <s v="High Temperature Coolant Pump - High Temperature Coolant Pump"/>
    <m/>
    <m/>
    <s v="13;14"/>
    <m/>
    <m/>
    <m/>
    <m/>
    <s v="No"/>
    <s v="Yes"/>
    <s v="No"/>
    <n v="0.8"/>
    <n v="0.4"/>
    <n v="0.5"/>
    <n v="0.6"/>
  </r>
  <r>
    <x v="503"/>
    <s v="14.0_HMI &amp; OutsideInformation"/>
    <s v="14.10_DriverInformation-System"/>
    <s v="F0411"/>
    <s v="Warning, Washer Fluid Level low"/>
    <s v="QM"/>
    <s v="Body"/>
    <s v="Wiper/Washer"/>
    <s v="Windshield and Rear Window Washer"/>
    <s v="Basic"/>
    <s v="Sensor"/>
    <s v="Washer Fluid Level Sensor"/>
    <s v="Washer Fluid Level Sensor - Windshield and Rear Window Washer"/>
    <m/>
    <m/>
    <s v="18;17"/>
    <s v="TE"/>
    <s v="1-1670916-1"/>
    <s v="2 Pos. MCON 1,2mm Sealed"/>
    <m/>
    <s v="No"/>
    <s v="Yes"/>
    <s v="Yes"/>
    <n v="0"/>
    <n v="0"/>
    <n v="0"/>
    <n v="0"/>
  </r>
  <r>
    <x v="504"/>
    <s v="39.0_HVAC &amp; Thermal"/>
    <s v="39.11_ComponentThermal-System"/>
    <s v="F0x70"/>
    <s v="Thermal Management for ICE Vehicles - Low Power Engines"/>
    <m/>
    <s v="Powertrain"/>
    <s v="Cooling/Heating"/>
    <s v="Coolant Pump"/>
    <s v="ICE"/>
    <s v="Actuator"/>
    <s v="Engine Coolant Pump"/>
    <s v="Engine Coolant Pump - Coolant Pump"/>
    <m/>
    <m/>
    <s v="4;14"/>
    <s v="TE"/>
    <s v="2301127-2"/>
    <s v="3 Pos. MCP 2,8mm Sealed"/>
    <m/>
    <s v="Yes"/>
    <s v="No"/>
    <s v="No"/>
    <n v="0.8"/>
    <n v="0.4"/>
    <n v="0.5"/>
    <n v="0.6"/>
  </r>
  <r>
    <x v="504"/>
    <s v="39.0_HVAC &amp; Thermal"/>
    <s v="39.11_ComponentThermal-System"/>
    <s v="F0x71"/>
    <s v="Thermal Management for ICE Vehicles - Mid Power Engines"/>
    <m/>
    <s v="Powertrain"/>
    <s v="Cooling/Heating"/>
    <s v="Coolant Pump"/>
    <s v="ICE"/>
    <s v="Actuator"/>
    <s v="Engine Coolant Pump"/>
    <s v="Engine Coolant Pump - Coolant Pump"/>
    <m/>
    <m/>
    <s v="4;14"/>
    <s v="TE"/>
    <s v="2301127-2"/>
    <s v="3 Pos. MCP 2,8mm Sealed"/>
    <m/>
    <s v="No"/>
    <s v="No"/>
    <s v="No"/>
    <n v="0.8"/>
    <n v="0.4"/>
    <n v="0.5"/>
    <n v="0.6"/>
  </r>
  <r>
    <x v="504"/>
    <s v="39.0_HVAC &amp; Thermal"/>
    <s v="39.11_ComponentThermal-System"/>
    <s v="F0x72"/>
    <s v="Thermal Management for ICE Vehicles - High Power Engines"/>
    <m/>
    <s v="Powertrain"/>
    <s v="Cooling/Heating"/>
    <s v="Coolant Pump"/>
    <s v="ICE"/>
    <s v="Actuator"/>
    <s v="Engine Coolant Pump"/>
    <s v="Engine Coolant Pump - Coolant Pump"/>
    <m/>
    <m/>
    <s v="4;14"/>
    <s v="TE"/>
    <s v="2301127-2"/>
    <s v="3 Pos. MCP 2,8mm Sealed"/>
    <m/>
    <s v="No"/>
    <s v="Yes"/>
    <s v="No"/>
    <n v="0.8"/>
    <n v="0.4"/>
    <n v="0.5"/>
    <n v="0.6"/>
  </r>
  <r>
    <x v="505"/>
    <s v="10.0_Comfort &amp; Exterior"/>
    <s v="10.41_Washing-System"/>
    <s v="F0222"/>
    <s v="Washing Front, not heatable"/>
    <m/>
    <s v="Body"/>
    <s v="Wiper/Washer"/>
    <s v="Windshield Washer"/>
    <s v="Basic"/>
    <s v="Actuator"/>
    <s v="Washer Pump Mono"/>
    <s v="Washer Pump Mono - Windshield Washer"/>
    <m/>
    <m/>
    <s v="16;18"/>
    <s v="TE"/>
    <s v="1-1355200-1"/>
    <s v="2 Pos. MCP 2,8mm Sealed"/>
    <s v="No"/>
    <s v="Yes"/>
    <s v="No"/>
    <s v="No"/>
    <n v="0"/>
    <n v="8.3333333333333332E-3"/>
    <n v="1.6666666666666666E-2"/>
    <n v="1.6666666666666666E-2"/>
  </r>
  <r>
    <x v="506"/>
    <s v="80.0_Cross-Functions"/>
    <s v="80.89_WiringHarness-Design"/>
    <s v="F0164"/>
    <s v="Power Outlets, 12 Volt DC"/>
    <s v=" "/>
    <s v="Comfort"/>
    <s v="12V Outlet"/>
    <s v="Personal Device Charging"/>
    <s v="12V Power Socket Front"/>
    <s v="Actuator"/>
    <s v="12V Outlet"/>
    <s v="12V Outlet - Personal Device Charging"/>
    <m/>
    <m/>
    <s v="35;0"/>
    <s v="TE"/>
    <s v="1745068-1"/>
    <s v="3 Pos. MCP 1,5mm Unsealed"/>
    <s v="No"/>
    <s v="Yes"/>
    <s v="Yes"/>
    <s v="Yes"/>
    <n v="0.1"/>
    <n v="0.1"/>
    <n v="0.1"/>
    <n v="0.1"/>
  </r>
  <r>
    <x v="507"/>
    <s v="10.0_Comfort &amp; Exterior"/>
    <s v="10.10_CentralLocking-System"/>
    <s v="F0027"/>
    <s v="Central Door Lock, Radio Control Key Front"/>
    <s v="QM"/>
    <s v="Comfort"/>
    <s v="Central Locking"/>
    <s v="Internal Locking Command"/>
    <s v="with Central Locking"/>
    <s v="Switch"/>
    <s v="User Selector"/>
    <s v="User Selector - Internal Locking Command"/>
    <m/>
    <m/>
    <s v="40;-21"/>
    <m/>
    <m/>
    <m/>
    <m/>
    <s v="Yes"/>
    <s v="Yes"/>
    <s v="Yes"/>
    <n v="1"/>
    <n v="1"/>
    <n v="1"/>
    <n v="1"/>
  </r>
  <r>
    <x v="508"/>
    <s v="28.0_Powertrain &amp; Driveability"/>
    <s v="28.12_DriveStrategy&amp;Driveability"/>
    <s v="F0x80"/>
    <s v="Internal Combustion Engine 3 Cyl. 1,0L"/>
    <m/>
    <s v="Powertrain"/>
    <s v="Engine"/>
    <s v="Fuel Injection"/>
    <s v="ICE"/>
    <s v="Actuator"/>
    <s v="Injection Valve Cylinder 1"/>
    <s v="Injection Valve Cylinder 1 - Fuel Injection"/>
    <m/>
    <m/>
    <s v="2;-14"/>
    <m/>
    <m/>
    <m/>
    <m/>
    <s v="Yes"/>
    <s v="No"/>
    <s v="No"/>
    <n v="0.33"/>
    <n v="0.33"/>
    <n v="0.33"/>
    <n v="0.33"/>
  </r>
  <r>
    <x v="508"/>
    <s v="28.0_Powertrain &amp; Driveability"/>
    <s v="28.12_DriveStrategy&amp;Driveability"/>
    <s v="F0x81"/>
    <s v="Internal Combustion Engine 4 Cyl. 2,0L"/>
    <m/>
    <s v="Powertrain"/>
    <s v="Engine"/>
    <s v="Fuel Injection"/>
    <s v="ICE"/>
    <s v="Actuator"/>
    <s v="Injection Valve Cylinder 1"/>
    <s v="Injection Valve Cylinder 1 - Fuel Injection"/>
    <m/>
    <m/>
    <s v="2;-14"/>
    <m/>
    <m/>
    <m/>
    <m/>
    <s v="No"/>
    <s v="Yes"/>
    <s v="No"/>
    <n v="0.25"/>
    <n v="0.25"/>
    <n v="0.25"/>
    <n v="0.25"/>
  </r>
  <r>
    <x v="509"/>
    <s v="28.0_Powertrain &amp; Driveability"/>
    <s v="28.12_DriveStrategy&amp;Driveability"/>
    <s v="F0x80"/>
    <s v="Internal Combustion Engine 3 Cyl. 1,0L"/>
    <m/>
    <s v="Powertrain"/>
    <s v="Engine"/>
    <s v="Fuel Injection"/>
    <s v="ICE"/>
    <s v="Actuator"/>
    <s v="Injection Valve Cylinder 2"/>
    <s v="Injection Valve Cylinder 2 - Fuel Injection"/>
    <m/>
    <m/>
    <s v="3;-14"/>
    <m/>
    <m/>
    <m/>
    <m/>
    <s v="Yes"/>
    <s v="No"/>
    <s v="No"/>
    <n v="0.33"/>
    <n v="0.33"/>
    <n v="0.33"/>
    <n v="0.33"/>
  </r>
  <r>
    <x v="509"/>
    <s v="28.0_Powertrain &amp; Driveability"/>
    <s v="28.12_DriveStrategy&amp;Driveability"/>
    <s v="F0x81"/>
    <s v="Internal Combustion Engine 4 Cyl. 2,0L"/>
    <m/>
    <s v="Powertrain"/>
    <s v="Engine"/>
    <s v="Fuel Injection"/>
    <s v="ICE"/>
    <s v="Actuator"/>
    <s v="Injection Valve Cylinder 2"/>
    <s v="Injection Valve Cylinder 2 - Fuel Injection"/>
    <m/>
    <m/>
    <s v="3;-14"/>
    <m/>
    <m/>
    <m/>
    <m/>
    <s v="No"/>
    <s v="Yes"/>
    <s v="No"/>
    <n v="0.25"/>
    <n v="0.25"/>
    <n v="0.25"/>
    <n v="0.25"/>
  </r>
  <r>
    <x v="510"/>
    <s v="28.0_Powertrain &amp; Driveability"/>
    <s v="28.12_DriveStrategy&amp;Driveability"/>
    <s v="F0x80"/>
    <s v="Internal Combustion Engine 3 Cyl. 1,0L"/>
    <m/>
    <s v="Powertrain"/>
    <s v="Engine"/>
    <s v="Fuel Injection"/>
    <s v="ICE"/>
    <s v="Actuator"/>
    <s v="Injection Valve Cylinder 3"/>
    <s v="Injection Valve Cylinder 3 - Fuel Injection"/>
    <m/>
    <m/>
    <s v="4;-14"/>
    <m/>
    <m/>
    <m/>
    <m/>
    <s v="Yes"/>
    <s v="No"/>
    <s v="No"/>
    <n v="0.33"/>
    <n v="0.33"/>
    <n v="0.33"/>
    <n v="0.33"/>
  </r>
  <r>
    <x v="510"/>
    <s v="28.0_Powertrain &amp; Driveability"/>
    <s v="28.12_DriveStrategy&amp;Driveability"/>
    <s v="F0x81"/>
    <s v="Internal Combustion Engine 4 Cyl. 2,0L"/>
    <m/>
    <s v="Powertrain"/>
    <s v="Engine"/>
    <s v="Fuel Injection"/>
    <s v="ICE"/>
    <s v="Actuator"/>
    <s v="Injection Valve Cylinder 3"/>
    <s v="Injection Valve Cylinder 3 - Fuel Injection"/>
    <m/>
    <m/>
    <s v="4;-14"/>
    <m/>
    <m/>
    <m/>
    <m/>
    <s v="No"/>
    <s v="Yes"/>
    <s v="No"/>
    <n v="0.25"/>
    <n v="0.25"/>
    <n v="0.25"/>
    <n v="0.25"/>
  </r>
  <r>
    <x v="511"/>
    <s v="28.0_Powertrain &amp; Driveability"/>
    <s v="28.12_DriveStrategy&amp;Driveability"/>
    <s v="F0x81"/>
    <s v="Internal Combustion Engine 4 Cyl. 2,0L"/>
    <m/>
    <s v="Powertrain"/>
    <s v="Engine"/>
    <s v="Fuel Injection"/>
    <s v="ICE"/>
    <s v="Actuator"/>
    <s v="Injection Valve Cylinder 4"/>
    <s v="Injection Valve Cylinder 4 - Fuel Injection"/>
    <m/>
    <m/>
    <s v="5;-14"/>
    <m/>
    <m/>
    <m/>
    <m/>
    <s v="No"/>
    <s v="Yes"/>
    <s v="No"/>
    <n v="0.25"/>
    <n v="0.25"/>
    <n v="0.25"/>
    <n v="0.25"/>
  </r>
  <r>
    <x v="512"/>
    <s v="28.0_Powertrain &amp; Driveability"/>
    <s v="28.12_DriveStrategy&amp;Driveability"/>
    <s v="F0x80"/>
    <s v="Internal Combustion Engine 3 Cyl. 1,0L"/>
    <m/>
    <s v="Powertrain"/>
    <s v="Engine"/>
    <s v="Fuel Gallery Pressure"/>
    <s v="ICE"/>
    <s v="Sensor"/>
    <s v="Fuel Gallery Pressure Sensor"/>
    <s v="Fuel Gallery Pressure Sensor - Fuel Gallery Pressure"/>
    <m/>
    <m/>
    <s v="6;-14"/>
    <m/>
    <m/>
    <m/>
    <m/>
    <s v="Yes"/>
    <s v="No"/>
    <s v="No"/>
    <n v="1"/>
    <n v="1"/>
    <n v="1"/>
    <n v="1"/>
  </r>
  <r>
    <x v="512"/>
    <s v="28.0_Powertrain &amp; Driveability"/>
    <s v="28.12_DriveStrategy&amp;Driveability"/>
    <s v="F0x81"/>
    <s v="Internal Combustion Engine 4 Cyl. 2,0L"/>
    <m/>
    <s v="Powertrain"/>
    <s v="Engine"/>
    <s v="Fuel Gallery Pressure"/>
    <s v="ICE"/>
    <s v="Sensor"/>
    <s v="Fuel Gallery Pressure Sensor"/>
    <s v="Fuel Gallery Pressure Sensor - Fuel Gallery Pressure"/>
    <m/>
    <m/>
    <s v="6;-14"/>
    <m/>
    <m/>
    <m/>
    <m/>
    <s v="No"/>
    <s v="Yes"/>
    <s v="No"/>
    <n v="1"/>
    <n v="1"/>
    <n v="1"/>
    <n v="1"/>
  </r>
  <r>
    <x v="513"/>
    <s v="28.0_Powertrain &amp; Driveability"/>
    <s v="28.12_DriveStrategy&amp;Driveability"/>
    <s v="F0x80"/>
    <s v="Internal Combustion Engine 3 Cyl. 1,0L"/>
    <m/>
    <s v="Powertrain"/>
    <s v="Engine"/>
    <s v="Crankschaft Rotation"/>
    <s v="ICE"/>
    <s v="Sensor"/>
    <s v="Crankschaft Rotation Sensor"/>
    <s v="Crankschaft Rotation Sensor - Crankschaft Rotation"/>
    <m/>
    <m/>
    <s v="16;-1"/>
    <m/>
    <m/>
    <m/>
    <m/>
    <s v="Yes"/>
    <s v="No"/>
    <s v="No"/>
    <n v="1"/>
    <n v="1"/>
    <n v="1"/>
    <n v="1"/>
  </r>
  <r>
    <x v="513"/>
    <s v="28.0_Powertrain &amp; Driveability"/>
    <s v="28.12_DriveStrategy&amp;Driveability"/>
    <s v="F0x81"/>
    <s v="Internal Combustion Engine 4 Cyl. 2,0L"/>
    <m/>
    <s v="Powertrain"/>
    <s v="Engine"/>
    <s v="Crankschaft Rotation"/>
    <s v="ICE"/>
    <s v="Sensor"/>
    <s v="Crankschaft Rotation Sensor"/>
    <s v="Crankschaft Rotation Sensor - Crankschaft Rotation"/>
    <m/>
    <m/>
    <s v="16;-1"/>
    <m/>
    <m/>
    <m/>
    <m/>
    <s v="No"/>
    <s v="Yes"/>
    <s v="No"/>
    <n v="1"/>
    <n v="1"/>
    <n v="1"/>
    <n v="1"/>
  </r>
  <r>
    <x v="514"/>
    <s v="28.0_Powertrain &amp; Driveability"/>
    <s v="28.12_DriveStrategy&amp;Driveability"/>
    <s v="F0x80"/>
    <s v="Internal Combustion Engine 3 Cyl. 1,0L"/>
    <m/>
    <s v="Powertrain"/>
    <s v="Engine"/>
    <s v="Camshaft Position"/>
    <s v="ICE"/>
    <s v="Sensor"/>
    <s v="Camshaft Position Sensor"/>
    <s v="Camshaft Position Sensor - Camshaft Position"/>
    <m/>
    <m/>
    <s v="16;1"/>
    <m/>
    <m/>
    <m/>
    <m/>
    <s v="Yes"/>
    <s v="No"/>
    <s v="No"/>
    <n v="1"/>
    <n v="1"/>
    <n v="1"/>
    <n v="1"/>
  </r>
  <r>
    <x v="514"/>
    <s v="28.0_Powertrain &amp; Driveability"/>
    <s v="28.12_DriveStrategy&amp;Driveability"/>
    <s v="F0x81"/>
    <s v="Internal Combustion Engine 4 Cyl. 2,0L"/>
    <m/>
    <s v="Powertrain"/>
    <s v="Engine"/>
    <s v="Camshaft Position"/>
    <s v="ICE"/>
    <s v="Sensor"/>
    <s v="Camshaft Position Sensor"/>
    <s v="Camshaft Position Sensor - Camshaft Position"/>
    <m/>
    <m/>
    <s v="16;1"/>
    <m/>
    <m/>
    <m/>
    <m/>
    <s v="No"/>
    <s v="Yes"/>
    <s v="No"/>
    <n v="1"/>
    <n v="1"/>
    <n v="1"/>
    <n v="1"/>
  </r>
  <r>
    <x v="515"/>
    <s v="28.0_Powertrain &amp; Driveability"/>
    <s v="28.12_DriveStrategy&amp;Driveability"/>
    <s v="F0x81"/>
    <s v="Internal Combustion Engine 4 Cyl. 2,0L"/>
    <m/>
    <s v="Powertrain"/>
    <s v="Engine"/>
    <s v="Fuel Pressure and Temperature"/>
    <s v="ICE"/>
    <s v="Sensor"/>
    <s v="Fuel Pressure and Temperature Sensor"/>
    <s v="Fuel Pressure and Temperature Sensor - Fuel Pressure and Temperature"/>
    <m/>
    <m/>
    <s v="12;-14"/>
    <m/>
    <m/>
    <m/>
    <m/>
    <s v="No"/>
    <s v="Yes"/>
    <s v="No"/>
    <n v="1"/>
    <n v="1"/>
    <n v="1"/>
    <n v="1"/>
  </r>
  <r>
    <x v="516"/>
    <s v="28.0_Powertrain &amp; Driveability"/>
    <s v="28.12_DriveStrategy&amp;Driveability"/>
    <s v="F0x80"/>
    <s v="Internal Combustion Engine 3 Cyl. 1,0L"/>
    <m/>
    <s v="Powertrain"/>
    <s v="Engine"/>
    <s v="Engine Temperature Management"/>
    <s v="ICE"/>
    <s v="Actuator"/>
    <s v="Electronic Thermostatic Valve"/>
    <s v="Electronic Thermostatic Valve - Engine Temperature Management"/>
    <m/>
    <m/>
    <s v="9;-14"/>
    <m/>
    <m/>
    <m/>
    <m/>
    <s v="Yes"/>
    <s v="No"/>
    <s v="No"/>
    <n v="1"/>
    <n v="1"/>
    <n v="1"/>
    <n v="1"/>
  </r>
  <r>
    <x v="516"/>
    <s v="28.0_Powertrain &amp; Driveability"/>
    <s v="28.12_DriveStrategy&amp;Driveability"/>
    <s v="F0x81"/>
    <s v="Internal Combustion Engine 4 Cyl. 2,0L"/>
    <m/>
    <s v="Powertrain"/>
    <s v="Engine"/>
    <s v="Engine Temperature Management"/>
    <s v="ICE"/>
    <s v="Actuator"/>
    <s v="Electronic Thermostatic Valve"/>
    <s v="Electronic Thermostatic Valve - Engine Temperature Management"/>
    <m/>
    <m/>
    <s v="9;-14"/>
    <m/>
    <m/>
    <m/>
    <m/>
    <s v="No"/>
    <s v="Yes"/>
    <s v="No"/>
    <n v="1"/>
    <n v="1"/>
    <n v="1"/>
    <n v="1"/>
  </r>
  <r>
    <x v="517"/>
    <s v="28.0_Powertrain &amp; Driveability"/>
    <s v="28.12_DriveStrategy&amp;Driveability"/>
    <s v="F0x80"/>
    <s v="Internal Combustion Engine 3 Cyl. 1,0L"/>
    <m/>
    <s v="Powertrain"/>
    <s v="Engine"/>
    <s v="Exhaust Gas Admission Control"/>
    <s v="ICE"/>
    <s v="Actuator"/>
    <s v="Exhaust Gas Control Motor for Turbo"/>
    <s v="Exhaust Gas Control Motor for Turbo - Exhaust Gas Admission Control"/>
    <m/>
    <m/>
    <s v="-11;-1"/>
    <m/>
    <m/>
    <m/>
    <m/>
    <s v="Yes"/>
    <s v="No"/>
    <s v="No"/>
    <n v="1"/>
    <n v="1"/>
    <n v="1"/>
    <n v="1"/>
  </r>
  <r>
    <x v="517"/>
    <s v="28.0_Powertrain &amp; Driveability"/>
    <s v="28.12_DriveStrategy&amp;Driveability"/>
    <s v="F0x81"/>
    <s v="Internal Combustion Engine 4 Cyl. 2,0L"/>
    <m/>
    <s v="Powertrain"/>
    <s v="Engine"/>
    <s v="Exhaust Gas Admission Control"/>
    <s v="ICE"/>
    <s v="Actuator"/>
    <s v="Exhaust Gas Control Motor for Turbo"/>
    <s v="Exhaust Gas Control Motor for Turbo - Exhaust Gas Admission Control"/>
    <m/>
    <m/>
    <s v="-11;-1"/>
    <m/>
    <m/>
    <m/>
    <m/>
    <s v="No"/>
    <s v="Yes"/>
    <s v="No"/>
    <n v="1"/>
    <n v="1"/>
    <n v="1"/>
    <n v="1"/>
  </r>
  <r>
    <x v="518"/>
    <s v="28.0_Powertrain &amp; Driveability"/>
    <s v="28.12_DriveStrategy&amp;Driveability"/>
    <s v="F0x81"/>
    <s v="Internal Combustion Engine 4 Cyl. 2,0L"/>
    <m/>
    <s v="Powertrain"/>
    <s v="Engine"/>
    <s v="Exhaust Gas Control - High Pressure Side"/>
    <s v="ICE"/>
    <s v="Actuator"/>
    <s v="High Pressure Exhaust Gas Control Motor"/>
    <s v="High Pressure Exhaust Gas Control Motor - Exhaust Gas Control - High Pressure Side"/>
    <m/>
    <m/>
    <s v="-11;4"/>
    <m/>
    <m/>
    <m/>
    <m/>
    <s v="No"/>
    <s v="Yes"/>
    <s v="No"/>
    <n v="1"/>
    <n v="1"/>
    <n v="1"/>
    <n v="1"/>
  </r>
  <r>
    <x v="519"/>
    <s v="28.0_Powertrain &amp; Driveability"/>
    <s v="28.12_DriveStrategy&amp;Driveability"/>
    <s v="F0x81"/>
    <s v="Internal Combustion Engine 4 Cyl. 2,0L"/>
    <m/>
    <s v="Powertrain"/>
    <s v="Engine"/>
    <s v="Exhaust Gas Control - Low Pressure Side"/>
    <s v="ICE"/>
    <s v="Actuator"/>
    <s v="Low Pressure Exhaust Gas Control Motor"/>
    <s v="Low Pressure Exhaust Gas Control Motor - Exhaust Gas Control - Low Pressure Side"/>
    <m/>
    <m/>
    <s v="14;14"/>
    <m/>
    <m/>
    <m/>
    <m/>
    <s v="No"/>
    <s v="Yes"/>
    <s v="No"/>
    <n v="1"/>
    <n v="1"/>
    <n v="1"/>
    <n v="1"/>
  </r>
  <r>
    <x v="520"/>
    <s v="28.0_Powertrain &amp; Driveability"/>
    <s v="28.12_DriveStrategy&amp;Driveability"/>
    <s v="F0x80"/>
    <s v="Internal Combustion Engine 3 Cyl. 1,0L"/>
    <m/>
    <s v="Powertrain"/>
    <s v="Engine"/>
    <s v="Intake Air Control"/>
    <s v="ICE"/>
    <s v="Actuator"/>
    <s v="Throttle Body Intake Control Motor"/>
    <s v="Throttle Body Intake Control Motor - Intake Air Control"/>
    <m/>
    <m/>
    <s v="16;-3"/>
    <m/>
    <m/>
    <m/>
    <m/>
    <s v="Yes"/>
    <s v="No"/>
    <s v="No"/>
    <n v="1"/>
    <n v="1"/>
    <n v="1"/>
    <n v="1"/>
  </r>
  <r>
    <x v="520"/>
    <s v="28.0_Powertrain &amp; Driveability"/>
    <s v="28.12_DriveStrategy&amp;Driveability"/>
    <s v="F0x81"/>
    <s v="Internal Combustion Engine 4 Cyl. 2,0L"/>
    <m/>
    <s v="Powertrain"/>
    <s v="Engine"/>
    <s v="Intake Air Control"/>
    <s v="ICE"/>
    <s v="Actuator"/>
    <s v="Throttle Body Intake Control Motor"/>
    <s v="Throttle Body Intake Control Motor - Intake Air Control"/>
    <m/>
    <m/>
    <s v="16;-3"/>
    <m/>
    <m/>
    <m/>
    <m/>
    <s v="No"/>
    <s v="Yes"/>
    <s v="No"/>
    <n v="1"/>
    <n v="1"/>
    <n v="1"/>
    <n v="1"/>
  </r>
  <r>
    <x v="521"/>
    <s v="28.0_Powertrain &amp; Driveability"/>
    <s v="28.12_DriveStrategy&amp;Driveability"/>
    <s v="F0x80"/>
    <s v="Internal Combustion Engine 3 Cyl. 1,0L"/>
    <m/>
    <s v="Powertrain"/>
    <s v="Engine"/>
    <s v="Exhaust Gas Admission Control"/>
    <s v="ICE"/>
    <s v="Sensor"/>
    <s v="Exhaust Gas Temperature Sensor"/>
    <s v="Exhaust Gas Temperature Sensor - Exhaust Gas Admission Control"/>
    <m/>
    <m/>
    <s v="-11;-3"/>
    <m/>
    <m/>
    <m/>
    <m/>
    <s v="Yes"/>
    <s v="No"/>
    <s v="No"/>
    <n v="1"/>
    <n v="1"/>
    <n v="1"/>
    <n v="1"/>
  </r>
  <r>
    <x v="522"/>
    <s v="28.0_Powertrain &amp; Driveability"/>
    <s v="28.12_DriveStrategy&amp;Driveability"/>
    <s v="F0x80"/>
    <s v="Internal Combustion Engine 3 Cyl. 1,0L"/>
    <m/>
    <s v="Powertrain"/>
    <s v="Engine"/>
    <s v="Fuel Admission Control"/>
    <s v="ICE"/>
    <s v="Actuator"/>
    <s v="Fuel Admission Control Valve"/>
    <s v="Fuel Admission Control Valve - Fuel Admission Control"/>
    <m/>
    <m/>
    <s v="12;-14"/>
    <m/>
    <m/>
    <m/>
    <m/>
    <s v="Yes"/>
    <s v="No"/>
    <s v="No"/>
    <n v="0.6"/>
    <n v="0.6"/>
    <n v="0.6"/>
    <n v="0.6"/>
  </r>
  <r>
    <x v="522"/>
    <s v="28.0_Powertrain &amp; Driveability"/>
    <s v="28.12_DriveStrategy&amp;Driveability"/>
    <s v="F0x81"/>
    <s v="Internal Combustion Engine 4 Cyl. 2,0L"/>
    <m/>
    <s v="Powertrain"/>
    <s v="Engine"/>
    <s v="Fuel Admission Control"/>
    <s v="ICE"/>
    <s v="Actuator"/>
    <s v="Fuel Admission Control Valve"/>
    <s v="Fuel Admission Control Valve - Fuel Admission Control"/>
    <m/>
    <m/>
    <s v="12;-14"/>
    <m/>
    <m/>
    <m/>
    <m/>
    <s v="No"/>
    <s v="Yes"/>
    <s v="No"/>
    <n v="0.6"/>
    <n v="0.6"/>
    <n v="0.6"/>
    <n v="0.6"/>
  </r>
  <r>
    <x v="523"/>
    <s v="28.0_Powertrain &amp; Driveability"/>
    <s v="28.12_DriveStrategy&amp;Driveability"/>
    <s v="F0x80"/>
    <s v="Internal Combustion Engine 3 Cyl. 1,0L"/>
    <m/>
    <s v="Powertrain"/>
    <s v="Engine"/>
    <s v="Motorhead Temperature Sensor"/>
    <s v="ICE"/>
    <s v="Sensor"/>
    <s v="Motorhead Temperature Sensor"/>
    <s v="Motorhead Temperature Sensor - Motorhead Temperature Sensor"/>
    <m/>
    <m/>
    <s v="2;-14"/>
    <m/>
    <m/>
    <m/>
    <m/>
    <s v="Yes"/>
    <s v="No"/>
    <s v="No"/>
    <n v="1"/>
    <n v="1"/>
    <n v="1"/>
    <n v="1"/>
  </r>
  <r>
    <x v="523"/>
    <s v="28.0_Powertrain &amp; Driveability"/>
    <s v="28.12_DriveStrategy&amp;Driveability"/>
    <s v="F0x81"/>
    <s v="Internal Combustion Engine 4 Cyl. 2,0L"/>
    <m/>
    <s v="Powertrain"/>
    <s v="Engine"/>
    <s v="Motorhead Temperature Sensor"/>
    <s v="ICE"/>
    <s v="Sensor"/>
    <s v="Motorhead Temperature Sensor"/>
    <s v="Motorhead Temperature Sensor - Motorhead Temperature Sensor"/>
    <m/>
    <m/>
    <s v="2;-14"/>
    <m/>
    <m/>
    <m/>
    <m/>
    <s v="No"/>
    <s v="Yes"/>
    <s v="No"/>
    <n v="1"/>
    <n v="1"/>
    <n v="1"/>
    <n v="1"/>
  </r>
  <r>
    <x v="524"/>
    <s v="28.0_Powertrain &amp; Driveability"/>
    <s v="28.12_DriveStrategy&amp;Driveability"/>
    <s v="F0x80"/>
    <s v="Internal Combustion Engine 3 Cyl. 1,0L"/>
    <m/>
    <s v="Powertrain"/>
    <s v="Engine"/>
    <s v="Camshaft Chamber Temperature Sensor"/>
    <s v="ICE"/>
    <s v="Sensor"/>
    <s v="Camshaft Chamber Temperature Sensor"/>
    <s v="Camshaft Chamber Temperature Sensor - Camshaft Chamber Temperature Sensor"/>
    <m/>
    <m/>
    <s v="2;-14"/>
    <m/>
    <m/>
    <m/>
    <m/>
    <s v="Yes"/>
    <s v="No"/>
    <s v="No"/>
    <n v="1"/>
    <n v="1"/>
    <n v="1"/>
    <n v="1"/>
  </r>
  <r>
    <x v="524"/>
    <s v="28.0_Powertrain &amp; Driveability"/>
    <s v="28.12_DriveStrategy&amp;Driveability"/>
    <s v="F0x81"/>
    <s v="Internal Combustion Engine 4 Cyl. 2,0L"/>
    <m/>
    <s v="Powertrain"/>
    <s v="Engine"/>
    <s v="Camshaft Chamber Temperature Sensor"/>
    <s v="ICE"/>
    <s v="Sensor"/>
    <s v="Camshaft Chamber Temperature Sensor"/>
    <s v="Camshaft Chamber Temperature Sensor - Camshaft Chamber Temperature Sensor"/>
    <m/>
    <m/>
    <s v="2;-14"/>
    <m/>
    <m/>
    <m/>
    <m/>
    <s v="No"/>
    <s v="Yes"/>
    <s v="No"/>
    <n v="1"/>
    <n v="1"/>
    <n v="1"/>
    <n v="1"/>
  </r>
  <r>
    <x v="525"/>
    <s v="28.0_Powertrain &amp; Driveability"/>
    <s v="28.12_DriveStrategy&amp;Driveability"/>
    <s v="F0x81"/>
    <s v="Internal Combustion Engine 4 Cyl. 2,0L"/>
    <m/>
    <s v="Powertrain"/>
    <s v="Engine"/>
    <s v="Intercooler Temperature Sensor"/>
    <s v="ICE"/>
    <s v="Sensor"/>
    <s v="Intercooler Temperature Sensor"/>
    <s v="Intercooler Temperature Sensor - Intercooler Temperature Sensor"/>
    <m/>
    <m/>
    <s v="-11;-5"/>
    <m/>
    <m/>
    <m/>
    <m/>
    <s v="No"/>
    <s v="Yes"/>
    <s v="No"/>
    <n v="1"/>
    <n v="1"/>
    <n v="1"/>
    <n v="1"/>
  </r>
  <r>
    <x v="526"/>
    <s v="28.0_Powertrain &amp; Driveability"/>
    <s v="28.12_DriveStrategy&amp;Driveability"/>
    <s v="F0x80"/>
    <s v="Internal Combustion Engine 3 Cyl. 1,0L"/>
    <m/>
    <s v="Powertrain"/>
    <s v="Engine"/>
    <s v="Admitted Air Temperature"/>
    <s v="ICE"/>
    <s v="Sensor"/>
    <s v="Admitted Air Temperature Sensor"/>
    <s v="Admitted Air Temperature Sensor - Admitted Air Temperature"/>
    <m/>
    <m/>
    <s v="16;-4"/>
    <m/>
    <m/>
    <m/>
    <m/>
    <s v="Yes"/>
    <s v="No"/>
    <s v="No"/>
    <n v="1"/>
    <n v="1"/>
    <n v="1"/>
    <n v="1"/>
  </r>
  <r>
    <x v="526"/>
    <s v="28.0_Powertrain &amp; Driveability"/>
    <s v="28.12_DriveStrategy&amp;Driveability"/>
    <s v="F0x81"/>
    <s v="Internal Combustion Engine 4 Cyl. 2,0L"/>
    <m/>
    <s v="Powertrain"/>
    <s v="Engine"/>
    <s v="Admitted Air Temperature"/>
    <s v="ICE"/>
    <s v="Sensor"/>
    <s v="Admitted Air Temperature Sensor"/>
    <s v="Admitted Air Temperature Sensor - Admitted Air Temperature"/>
    <m/>
    <m/>
    <s v="16;-4"/>
    <m/>
    <m/>
    <m/>
    <m/>
    <s v="No"/>
    <s v="Yes"/>
    <s v="No"/>
    <n v="1"/>
    <n v="1"/>
    <n v="1"/>
    <n v="1"/>
  </r>
  <r>
    <x v="527"/>
    <s v="28.0_Powertrain &amp; Driveability"/>
    <s v="28.12_DriveStrategy&amp;Driveability"/>
    <s v="F0x81"/>
    <s v="Internal Combustion Engine 4 Cyl. 2,0L"/>
    <m/>
    <s v="Powertrain"/>
    <s v="Engine"/>
    <s v="Exhaust Gas Temperature Front"/>
    <s v="ICE"/>
    <s v="Sensor"/>
    <s v="Exhaust Gas Temperature Front Sensor"/>
    <s v="Exhaust Gas Temperature Front Sensor - Exhaust Gas Temperature Front"/>
    <m/>
    <m/>
    <s v="-9;14"/>
    <m/>
    <m/>
    <m/>
    <m/>
    <s v="No"/>
    <s v="Yes"/>
    <s v="No"/>
    <n v="1"/>
    <n v="1"/>
    <n v="1"/>
    <n v="1"/>
  </r>
  <r>
    <x v="528"/>
    <s v="28.0_Powertrain &amp; Driveability"/>
    <s v="28.12_DriveStrategy&amp;Driveability"/>
    <s v="F0x80"/>
    <s v="Internal Combustion Engine 3 Cyl. 1,0L"/>
    <m/>
    <s v="Powertrain"/>
    <s v="Engine"/>
    <s v="Exhaust Gas Temperature Mid"/>
    <s v="ICE"/>
    <s v="Sensor"/>
    <s v="Exhaust Gas Temperature Mid Sensor"/>
    <s v="Exhaust Gas Temperature Mid Sensor - Exhaust Gas Temperature Mid"/>
    <m/>
    <m/>
    <s v="22;14"/>
    <m/>
    <m/>
    <m/>
    <m/>
    <s v="Yes"/>
    <s v="No"/>
    <s v="No"/>
    <n v="1"/>
    <n v="1"/>
    <n v="1"/>
    <n v="1"/>
  </r>
  <r>
    <x v="528"/>
    <s v="28.0_Powertrain &amp; Driveability"/>
    <s v="28.12_DriveStrategy&amp;Driveability"/>
    <s v="F0x81"/>
    <s v="Internal Combustion Engine 4 Cyl. 2,0L"/>
    <m/>
    <s v="Powertrain"/>
    <s v="Engine"/>
    <s v="Exhaust Gas Temperature Mid"/>
    <s v="ICE"/>
    <s v="Sensor"/>
    <s v="Exhaust Gas Temperature Mid Sensor"/>
    <s v="Exhaust Gas Temperature Mid Sensor - Exhaust Gas Temperature Mid"/>
    <m/>
    <m/>
    <s v="22;14"/>
    <m/>
    <m/>
    <m/>
    <m/>
    <s v="No"/>
    <s v="Yes"/>
    <s v="No"/>
    <n v="1"/>
    <n v="1"/>
    <n v="1"/>
    <n v="1"/>
  </r>
  <r>
    <x v="529"/>
    <s v="28.0_Powertrain &amp; Driveability"/>
    <s v="28.12_DriveStrategy&amp;Driveability"/>
    <s v="F0x80"/>
    <s v="Internal Combustion Engine 3 Cyl. 1,0L"/>
    <m/>
    <s v="Powertrain"/>
    <s v="Engine"/>
    <s v="Exhaust Gas Temperature Rear"/>
    <s v="ICE"/>
    <s v="Sensor"/>
    <s v="Exhaust Gas Temperature Rear Sensor"/>
    <s v="Exhaust Gas Temperature Rear Sensor - Exhaust Gas Temperature Rear"/>
    <m/>
    <m/>
    <s v="99;14"/>
    <m/>
    <m/>
    <m/>
    <m/>
    <s v="Yes"/>
    <s v="No"/>
    <s v="No"/>
    <n v="1"/>
    <n v="1"/>
    <n v="1"/>
    <n v="1"/>
  </r>
  <r>
    <x v="529"/>
    <s v="28.0_Powertrain &amp; Driveability"/>
    <s v="28.12_DriveStrategy&amp;Driveability"/>
    <s v="F0x81"/>
    <s v="Internal Combustion Engine 4 Cyl. 2,0L"/>
    <m/>
    <s v="Powertrain"/>
    <s v="Engine"/>
    <s v="Exhaust Gas Temperature Rear"/>
    <s v="ICE"/>
    <s v="Sensor"/>
    <s v="Exhaust Gas Temperature Rear Sensor"/>
    <s v="Exhaust Gas Temperature Rear Sensor - Exhaust Gas Temperature Rear"/>
    <m/>
    <m/>
    <s v="99;14"/>
    <m/>
    <m/>
    <m/>
    <m/>
    <s v="No"/>
    <s v="Yes"/>
    <s v="No"/>
    <n v="1"/>
    <n v="1"/>
    <n v="1"/>
    <n v="1"/>
  </r>
  <r>
    <x v="530"/>
    <s v="28.0_Powertrain &amp; Driveability"/>
    <s v="28.12_DriveStrategy&amp;Driveability"/>
    <s v="F0x80"/>
    <s v="Internal Combustion Engine 3 Cyl. 1,0L"/>
    <m/>
    <s v="Powertrain"/>
    <s v="Engine"/>
    <s v="Engine Oil Pressure"/>
    <s v="ICE"/>
    <s v="Sensor"/>
    <s v="Oil Pressure Sensor"/>
    <s v="Oil Pressure Sensor - Engine Oil Pressure"/>
    <m/>
    <m/>
    <s v="5;-14"/>
    <m/>
    <m/>
    <m/>
    <m/>
    <s v="Yes"/>
    <s v="No"/>
    <s v="No"/>
    <n v="1"/>
    <n v="1"/>
    <n v="1"/>
    <n v="1"/>
  </r>
  <r>
    <x v="530"/>
    <s v="28.0_Powertrain &amp; Driveability"/>
    <s v="28.12_DriveStrategy&amp;Driveability"/>
    <s v="F0x81"/>
    <s v="Internal Combustion Engine 4 Cyl. 2,0L"/>
    <m/>
    <s v="Powertrain"/>
    <s v="Engine"/>
    <s v="Engine Oil Pressure"/>
    <s v="ICE"/>
    <s v="Sensor"/>
    <s v="Oil Pressure Sensor"/>
    <s v="Oil Pressure Sensor - Engine Oil Pressure"/>
    <m/>
    <m/>
    <s v="5;-14"/>
    <m/>
    <m/>
    <m/>
    <m/>
    <s v="No"/>
    <s v="Yes"/>
    <s v="No"/>
    <n v="1"/>
    <n v="1"/>
    <n v="1"/>
    <n v="1"/>
  </r>
  <r>
    <x v="531"/>
    <s v="28.0_Powertrain &amp; Driveability"/>
    <s v="28.12_DriveStrategy&amp;Driveability"/>
    <s v="F0x80"/>
    <s v="Internal Combustion Engine 3 Cyl. 1,0L"/>
    <m/>
    <s v="Powertrain"/>
    <s v="Engine"/>
    <s v="Exhaust Gas Pressure"/>
    <s v="ICE"/>
    <s v="Sensor"/>
    <s v="Exhaust Gas Pressure Sensor"/>
    <s v="Exhaust Gas Pressure Sensor - Exhaust Gas Pressure"/>
    <m/>
    <m/>
    <s v="2;14"/>
    <m/>
    <m/>
    <m/>
    <m/>
    <s v="Yes"/>
    <s v="No"/>
    <s v="No"/>
    <n v="1"/>
    <n v="1"/>
    <n v="1"/>
    <n v="1"/>
  </r>
  <r>
    <x v="531"/>
    <s v="28.0_Powertrain &amp; Driveability"/>
    <s v="28.12_DriveStrategy&amp;Driveability"/>
    <s v="F0x81"/>
    <s v="Internal Combustion Engine 4 Cyl. 2,0L"/>
    <m/>
    <s v="Powertrain"/>
    <s v="Engine"/>
    <s v="Exhaust Gas Pressure"/>
    <s v="ICE"/>
    <s v="Sensor"/>
    <s v="Exhaust Gas Pressure Sensor"/>
    <s v="Exhaust Gas Pressure Sensor - Exhaust Gas Pressure"/>
    <m/>
    <m/>
    <s v="2;14"/>
    <m/>
    <m/>
    <m/>
    <m/>
    <s v="No"/>
    <s v="Yes"/>
    <s v="No"/>
    <n v="1"/>
    <n v="1"/>
    <n v="1"/>
    <n v="1"/>
  </r>
  <r>
    <x v="532"/>
    <s v="28.0_Powertrain &amp; Driveability"/>
    <s v="28.12_DriveStrategy&amp;Driveability"/>
    <s v="F0x80"/>
    <s v="Internal Combustion Engine 3 Cyl. 1,0L"/>
    <m/>
    <s v="Powertrain"/>
    <s v="Engine"/>
    <s v="Fuel Pressure Control"/>
    <s v="ICE"/>
    <s v="Actuator"/>
    <s v="Fuel Pressure Control Valve"/>
    <s v="Fuel Pressure Control Valve - Fuel Pressure Control"/>
    <m/>
    <m/>
    <s v="16;-11"/>
    <m/>
    <m/>
    <m/>
    <m/>
    <s v="Yes"/>
    <s v="No"/>
    <s v="No"/>
    <n v="0.1"/>
    <n v="0.1"/>
    <n v="0.1"/>
    <n v="0.1"/>
  </r>
  <r>
    <x v="532"/>
    <s v="28.0_Powertrain &amp; Driveability"/>
    <s v="28.12_DriveStrategy&amp;Driveability"/>
    <s v="F0x81"/>
    <s v="Internal Combustion Engine 4 Cyl. 2,0L"/>
    <m/>
    <s v="Powertrain"/>
    <s v="Engine"/>
    <s v="Fuel Pressure Control"/>
    <s v="ICE"/>
    <s v="Actuator"/>
    <s v="Fuel Pressure Control Valve"/>
    <s v="Fuel Pressure Control Valve - Fuel Pressure Control"/>
    <m/>
    <m/>
    <s v="16;-11"/>
    <m/>
    <m/>
    <m/>
    <m/>
    <s v="No"/>
    <s v="Yes"/>
    <s v="No"/>
    <n v="0.1"/>
    <n v="0.1"/>
    <n v="0.1"/>
    <n v="0.1"/>
  </r>
  <r>
    <x v="533"/>
    <s v="28.0_Powertrain &amp; Driveability"/>
    <s v="28.12_DriveStrategy&amp;Driveability"/>
    <s v="F0x80"/>
    <s v="Internal Combustion Engine 3 Cyl. 1,0L"/>
    <m/>
    <s v="Powertrain"/>
    <s v="Engine"/>
    <s v="Cooling Fluid Circulation Control"/>
    <s v="ICE"/>
    <s v="Actuator"/>
    <s v="Motorhead Cooling Fluid Control Valve"/>
    <s v="Motorhead Cooling Fluid Control Valve - Cooling Fluid Circulation Control"/>
    <m/>
    <m/>
    <s v="6;-14"/>
    <m/>
    <m/>
    <m/>
    <m/>
    <s v="Yes"/>
    <s v="No"/>
    <s v="No"/>
    <n v="0.1"/>
    <n v="0.1"/>
    <n v="0.1"/>
    <n v="0.1"/>
  </r>
  <r>
    <x v="533"/>
    <s v="28.0_Powertrain &amp; Driveability"/>
    <s v="28.12_DriveStrategy&amp;Driveability"/>
    <s v="F0x81"/>
    <s v="Internal Combustion Engine 4 Cyl. 2,0L"/>
    <m/>
    <s v="Powertrain"/>
    <s v="Engine"/>
    <s v="Cooling Fluid Circulation Control"/>
    <s v="ICE"/>
    <s v="Actuator"/>
    <s v="Motorhead Cooling Fluid Control Valve"/>
    <s v="Motorhead Cooling Fluid Control Valve - Cooling Fluid Circulation Control"/>
    <m/>
    <m/>
    <s v="6;-14"/>
    <m/>
    <m/>
    <m/>
    <m/>
    <s v="No"/>
    <s v="Yes"/>
    <s v="No"/>
    <n v="0.1"/>
    <n v="0.1"/>
    <n v="0.1"/>
    <n v="0.1"/>
  </r>
  <r>
    <x v="534"/>
    <s v="28.0_Powertrain &amp; Driveability"/>
    <s v="28.12_DriveStrategy&amp;Driveability"/>
    <s v="F0x80"/>
    <s v="Internal Combustion Engine 3 Cyl. 1,0L"/>
    <m/>
    <s v="Powertrain"/>
    <s v="Engine"/>
    <s v="Engine Oil Circulation Control"/>
    <s v="ICE"/>
    <s v="Actuator"/>
    <s v="Engine Oil Circulation Control Valve"/>
    <s v="Engine Oil Circulation Control Valve - Engine Oil Circulation Control"/>
    <m/>
    <m/>
    <s v="16;-2"/>
    <m/>
    <m/>
    <m/>
    <m/>
    <s v="Yes"/>
    <s v="No"/>
    <s v="No"/>
    <n v="0.1"/>
    <n v="0.1"/>
    <n v="0.1"/>
    <n v="0.1"/>
  </r>
  <r>
    <x v="534"/>
    <s v="28.0_Powertrain &amp; Driveability"/>
    <s v="28.12_DriveStrategy&amp;Driveability"/>
    <s v="F0x81"/>
    <s v="Internal Combustion Engine 4 Cyl. 2,0L"/>
    <m/>
    <s v="Powertrain"/>
    <s v="Engine"/>
    <s v="Engine Oil Circulation Control"/>
    <s v="ICE"/>
    <s v="Actuator"/>
    <s v="Engine Oil Circulation Control Valve"/>
    <s v="Engine Oil Circulation Control Valve - Engine Oil Circulation Control"/>
    <m/>
    <m/>
    <s v="16;-2"/>
    <m/>
    <m/>
    <m/>
    <m/>
    <s v="No"/>
    <s v="Yes"/>
    <s v="No"/>
    <n v="0.1"/>
    <n v="0.1"/>
    <n v="0.1"/>
    <n v="0.1"/>
  </r>
  <r>
    <x v="535"/>
    <s v="28.0_Powertrain &amp; Driveability"/>
    <s v="28.12_DriveStrategy&amp;Driveability"/>
    <s v="F0x81"/>
    <s v="Internal Combustion Engine 4 Cyl. 2,0L"/>
    <m/>
    <s v="Powertrain"/>
    <s v="Engine"/>
    <s v="Piston Cooling"/>
    <s v="ICE"/>
    <s v="Actuator"/>
    <s v="Piston Cooling Injector"/>
    <s v="Piston Cooling Injector - Piston Cooling"/>
    <m/>
    <m/>
    <s v="16;-3"/>
    <m/>
    <m/>
    <m/>
    <m/>
    <s v="Yes"/>
    <s v="No"/>
    <s v="No"/>
    <n v="0.1"/>
    <n v="0.1"/>
    <n v="0.1"/>
    <n v="0.1"/>
  </r>
  <r>
    <x v="536"/>
    <s v="28.0_Powertrain &amp; Driveability"/>
    <s v="28.12_DriveStrategy&amp;Driveability"/>
    <s v="F0x80"/>
    <s v="Internal Combustion Engine 3 Cyl. 1,0L"/>
    <m/>
    <s v="Powertrain"/>
    <s v="Engine"/>
    <s v="Engine Oil Level and Temperature"/>
    <s v="ICE"/>
    <s v="Sensor"/>
    <s v="Engine Oil Level and Temperature Sensor"/>
    <s v="Engine Oil Level and Temperature Sensor - Engine Oil Level and Temperature"/>
    <m/>
    <m/>
    <s v="16;-5"/>
    <m/>
    <m/>
    <m/>
    <m/>
    <s v="Yes"/>
    <s v="No"/>
    <s v="No"/>
    <n v="1"/>
    <n v="1"/>
    <n v="1"/>
    <n v="1"/>
  </r>
  <r>
    <x v="536"/>
    <s v="28.0_Powertrain &amp; Driveability"/>
    <s v="28.12_DriveStrategy&amp;Driveability"/>
    <s v="F0x81"/>
    <s v="Internal Combustion Engine 4 Cyl. 2,0L"/>
    <m/>
    <s v="Powertrain"/>
    <s v="Engine"/>
    <s v="Engine Oil Level and Temperature"/>
    <s v="ICE"/>
    <s v="Sensor"/>
    <s v="Engine Oil Level and Temperature Sensor"/>
    <s v="Engine Oil Level and Temperature Sensor - Engine Oil Level and Temperature"/>
    <m/>
    <m/>
    <s v="16;-5"/>
    <m/>
    <m/>
    <m/>
    <m/>
    <s v="No"/>
    <s v="Yes"/>
    <s v="No"/>
    <n v="1"/>
    <n v="1"/>
    <n v="1"/>
    <n v="1"/>
  </r>
  <r>
    <x v="537"/>
    <s v="28.0_Powertrain &amp; Driveability"/>
    <s v="28.12_DriveStrategy&amp;Driveability"/>
    <s v="F0x81"/>
    <s v="Internal Combustion Engine 4 Cyl. 2,0L"/>
    <m/>
    <s v="Powertrain"/>
    <s v="Engine"/>
    <s v="Crankschaft Chamber Air Relief"/>
    <s v="ICE"/>
    <s v="Actuator"/>
    <s v="Crankschaft Chamber Air Relief Heater"/>
    <s v="Crankschaft Chamber Air Relief Heater - Crankschaft Chamber Air Relief"/>
    <m/>
    <m/>
    <s v="-4;-14"/>
    <m/>
    <m/>
    <m/>
    <m/>
    <s v="No"/>
    <s v="Yes"/>
    <s v="No"/>
    <n v="0"/>
    <n v="0.1"/>
    <n v="0.1"/>
    <n v="0"/>
  </r>
  <r>
    <x v="538"/>
    <s v="10.0_Comfort &amp; Exterior"/>
    <s v="10.30_OutsideLighting-System"/>
    <s v="F0002"/>
    <s v="Rear Lighting, Brake Light Adaptive"/>
    <s v="B"/>
    <s v="Body"/>
    <s v="External Illumination"/>
    <s v="Rear Lamps L"/>
    <s v="Bulb"/>
    <s v="Actuator"/>
    <s v="Taillamp Assy' P21W + P10W Left - Single"/>
    <s v="Taillamp Assy' P21W + P10W Left - Single - Rear Lamps L"/>
    <m/>
    <m/>
    <s v="108;-17"/>
    <m/>
    <m/>
    <m/>
    <m/>
    <s v="Yes"/>
    <s v="No"/>
    <s v="No"/>
    <n v="0.23"/>
    <n v="0.11"/>
    <n v="0.45"/>
    <n v="0.32"/>
  </r>
  <r>
    <x v="538"/>
    <s v="10.0_Comfort &amp; Exterior"/>
    <s v="10.30_OutsideLighting-System"/>
    <s v="F0028"/>
    <s v="Light Scenario, Comfort Direction Indication"/>
    <s v="B"/>
    <s v="Body"/>
    <s v="External Illumination"/>
    <s v="Rear Lamps L"/>
    <s v="Bulb"/>
    <s v="Actuator"/>
    <s v="Taillamp Assy' P21W + P10W Left - Single"/>
    <s v="Taillamp Assy' P21W + P10W Left - Single - Rear Lamps L"/>
    <m/>
    <m/>
    <s v="108;-17"/>
    <m/>
    <m/>
    <m/>
    <m/>
    <s v="Yes"/>
    <s v="No"/>
    <s v="No"/>
    <n v="0.23"/>
    <n v="0.11"/>
    <n v="0.45"/>
    <n v="0.32"/>
  </r>
  <r>
    <x v="538"/>
    <s v="10.0_Comfort &amp; Exterior"/>
    <s v="10.30_OutsideLighting-System"/>
    <s v="F0091"/>
    <s v="Rear Lighting, Reverse Light"/>
    <s v="QM"/>
    <s v="Body"/>
    <s v="External Illumination"/>
    <s v="Rear Lamps L"/>
    <s v="Bulb"/>
    <s v="Actuator"/>
    <s v="Taillamp Assy' P21W + P10W Left - Single"/>
    <s v="Taillamp Assy' P21W + P10W Left - Single - Rear Lamps L"/>
    <m/>
    <m/>
    <s v="108;-17"/>
    <m/>
    <m/>
    <m/>
    <m/>
    <s v="Yes"/>
    <s v="No"/>
    <s v="No"/>
    <n v="0.23"/>
    <n v="0.11"/>
    <n v="0.45"/>
    <n v="0.32"/>
  </r>
  <r>
    <x v="538"/>
    <s v="10.0_Comfort &amp; Exterior"/>
    <s v="10.30_OutsideLighting-System"/>
    <s v="F0110"/>
    <s v="Rear Lighting, Taillamp"/>
    <s v="QM"/>
    <s v="Body"/>
    <s v="External Illumination"/>
    <s v="Rear Lamps L"/>
    <s v="Bulb"/>
    <s v="Actuator"/>
    <s v="Taillamp Assy' P21W + P10W Left - Single"/>
    <s v="Taillamp Assy' P21W + P10W Left - Single - Rear Lamps L"/>
    <m/>
    <m/>
    <s v="108;-17"/>
    <m/>
    <m/>
    <m/>
    <m/>
    <s v="Yes"/>
    <s v="No"/>
    <s v="No"/>
    <n v="0.23"/>
    <n v="0.11"/>
    <n v="0.45"/>
    <n v="0.32"/>
  </r>
  <r>
    <x v="538"/>
    <s v="10.0_Comfort &amp; Exterior"/>
    <s v="10.30_OutsideLighting-System"/>
    <s v="F0220"/>
    <s v="Light Scenario, Coming Home "/>
    <s v="QM"/>
    <s v="Body"/>
    <s v="External Illumination"/>
    <s v="Rear Lamps L"/>
    <s v="Bulb"/>
    <s v="Actuator"/>
    <s v="Taillamp Assy' P21W + P10W Left - Single"/>
    <s v="Taillamp Assy' P21W + P10W Left - Single - Rear Lamps L"/>
    <m/>
    <m/>
    <s v="108;-17"/>
    <m/>
    <m/>
    <m/>
    <m/>
    <s v="Yes"/>
    <s v="No"/>
    <s v="No"/>
    <n v="0.23"/>
    <n v="0.11"/>
    <n v="0.45"/>
    <n v="0.32"/>
  </r>
  <r>
    <x v="538"/>
    <s v="10.0_Comfort &amp; Exterior"/>
    <s v="10.30_OutsideLighting-System"/>
    <s v="F0221"/>
    <s v="Light Scenario, Welcome Light"/>
    <s v="QM"/>
    <s v="Body"/>
    <s v="External Illumination"/>
    <s v="Rear Lamps L"/>
    <s v="Bulb"/>
    <s v="Actuator"/>
    <s v="Taillamp Assy' P21W + P10W Left - Single"/>
    <s v="Taillamp Assy' P21W + P10W Left - Single - Rear Lamps L"/>
    <m/>
    <m/>
    <s v="108;-17"/>
    <m/>
    <m/>
    <m/>
    <m/>
    <s v="Yes"/>
    <s v="No"/>
    <s v="No"/>
    <n v="0.23"/>
    <n v="0.11"/>
    <n v="0.45"/>
    <n v="0.32"/>
  </r>
  <r>
    <x v="538"/>
    <s v="10.0_Comfort &amp; Exterior"/>
    <s v="10.30_OutsideLighting-System"/>
    <s v="F0227"/>
    <s v="Light Scenario, Parking Light"/>
    <s v="QM"/>
    <s v="Body"/>
    <s v="External Illumination"/>
    <s v="Rear Lamps L"/>
    <s v="Bulb"/>
    <s v="Actuator"/>
    <s v="Taillamp Assy' P21W + P10W Left - Single"/>
    <s v="Taillamp Assy' P21W + P10W Left - Single - Rear Lamps L"/>
    <m/>
    <m/>
    <s v="108;-17"/>
    <m/>
    <m/>
    <m/>
    <m/>
    <s v="Yes"/>
    <s v="No"/>
    <s v="No"/>
    <n v="0.23"/>
    <n v="0.11"/>
    <n v="0.45"/>
    <n v="0.32"/>
  </r>
  <r>
    <x v="538"/>
    <s v="10.0_Comfort &amp; Exterior"/>
    <s v="10.30_OutsideLighting-System"/>
    <s v="F0228"/>
    <s v="Surround Lighting, Hazard Light"/>
    <s v="B"/>
    <s v="Body"/>
    <s v="External Illumination"/>
    <s v="Rear Lamps L"/>
    <s v="Bulb"/>
    <s v="Actuator"/>
    <s v="Taillamp Assy' P21W + P10W Left - Single"/>
    <s v="Taillamp Assy' P21W + P10W Left - Single - Rear Lamps L"/>
    <m/>
    <m/>
    <s v="108;-17"/>
    <m/>
    <m/>
    <m/>
    <m/>
    <s v="Yes"/>
    <s v="No"/>
    <s v="No"/>
    <n v="0.23"/>
    <n v="0.11"/>
    <n v="0.45"/>
    <n v="0.32"/>
  </r>
  <r>
    <x v="538"/>
    <s v="10.0_Comfort &amp; Exterior"/>
    <s v="10.30_OutsideLighting-System"/>
    <s v="F0229"/>
    <s v="Surround Lighting, Turning Light"/>
    <s v="B"/>
    <s v="Body"/>
    <s v="External Illumination"/>
    <s v="Rear Lamps L"/>
    <s v="Bulb"/>
    <s v="Actuator"/>
    <s v="Taillamp Assy' P21W + P10W Left - Single"/>
    <s v="Taillamp Assy' P21W + P10W Left - Single - Rear Lamps L"/>
    <m/>
    <m/>
    <s v="108;-17"/>
    <m/>
    <m/>
    <m/>
    <m/>
    <s v="Yes"/>
    <s v="No"/>
    <s v="No"/>
    <n v="0.23"/>
    <n v="0.11"/>
    <n v="0.45"/>
    <n v="0.32"/>
  </r>
  <r>
    <x v="538"/>
    <s v="10.0_Comfort &amp; Exterior"/>
    <s v="10.30_OutsideLighting-System"/>
    <s v="F0230"/>
    <s v="Rear Lighting, Brake Light"/>
    <s v="B"/>
    <s v="Body"/>
    <s v="External Illumination"/>
    <s v="Rear Lamps L"/>
    <s v="Bulb"/>
    <s v="Actuator"/>
    <s v="Taillamp Assy' P21W + P10W Left - Single"/>
    <s v="Taillamp Assy' P21W + P10W Left - Single - Rear Lamps L"/>
    <m/>
    <m/>
    <s v="108;-17"/>
    <m/>
    <m/>
    <m/>
    <m/>
    <s v="Yes"/>
    <s v="No"/>
    <s v="No"/>
    <n v="0.23"/>
    <n v="0.11"/>
    <n v="0.45"/>
    <n v="0.32"/>
  </r>
  <r>
    <x v="538"/>
    <s v="10.0_Comfort &amp; Exterior"/>
    <s v="10.30_OutsideLighting-System"/>
    <s v="F0231"/>
    <s v="Rear Lighting, Rear Position Light"/>
    <s v="QM"/>
    <s v="Body"/>
    <s v="External Illumination"/>
    <s v="Rear Lamps L"/>
    <s v="Bulb"/>
    <s v="Actuator"/>
    <s v="Taillamp Assy' P21W + P10W Left - Single"/>
    <s v="Taillamp Assy' P21W + P10W Left - Single - Rear Lamps L"/>
    <m/>
    <m/>
    <s v="108;-17"/>
    <m/>
    <m/>
    <m/>
    <m/>
    <s v="Yes"/>
    <s v="No"/>
    <s v="No"/>
    <n v="0.23"/>
    <n v="0.11"/>
    <n v="0.45"/>
    <n v="0.32"/>
  </r>
  <r>
    <x v="538"/>
    <s v="10.0_Comfort &amp; Exterior"/>
    <s v="10.30_OutsideLighting-System"/>
    <s v="F0378"/>
    <s v="Rear Lighting, Fog Rear"/>
    <m/>
    <s v="Body"/>
    <s v="External Illumination"/>
    <s v="Rear Lamps L"/>
    <s v="Bulb"/>
    <s v="Actuator"/>
    <s v="Taillamp Assy' P21W + P10W Left - Single"/>
    <s v="Taillamp Assy' P21W + P10W Left - Single - Rear Lamps L"/>
    <m/>
    <m/>
    <s v="108;-17"/>
    <m/>
    <m/>
    <m/>
    <m/>
    <s v="Yes"/>
    <s v="No"/>
    <s v="No"/>
    <n v="0.23"/>
    <n v="0.11"/>
    <n v="0.45"/>
    <n v="0.32"/>
  </r>
  <r>
    <x v="538"/>
    <s v="28.0_Powertrain &amp; Driveability"/>
    <s v="28.13_Recuperation&amp;OPD-System"/>
    <s v="F0294"/>
    <s v="Recuperation, Brake Lights"/>
    <s v="B"/>
    <s v="Body"/>
    <s v="External Illumination"/>
    <s v="Rear Lamps L"/>
    <s v="Bulb"/>
    <s v="Actuator"/>
    <s v="Taillamp Assy' P21W + P10W Left - Single"/>
    <s v="Taillamp Assy' P21W + P10W Left - Single - Rear Lamps L"/>
    <m/>
    <m/>
    <s v="108;-17"/>
    <m/>
    <m/>
    <m/>
    <m/>
    <s v="Yes"/>
    <s v="No"/>
    <s v="No"/>
    <n v="0.23"/>
    <n v="0.11"/>
    <n v="0.45"/>
    <n v="0.32"/>
  </r>
  <r>
    <x v="539"/>
    <s v="10.0_Comfort &amp; Exterior"/>
    <s v="10.30_OutsideLighting-System"/>
    <s v="F0002"/>
    <s v="Rear Lighting, Brake Light Adaptive"/>
    <s v="B"/>
    <s v="Body"/>
    <s v="External Illumination"/>
    <s v="Rear Lamps L"/>
    <s v="LED"/>
    <s v="Actuator"/>
    <s v="Taillamp Assy' LED Left - Single"/>
    <s v="Taillamp Assy' LED Left - Single - Rear Lamps L"/>
    <m/>
    <m/>
    <s v="108;-17"/>
    <m/>
    <m/>
    <m/>
    <m/>
    <s v="No"/>
    <s v="No"/>
    <s v="No"/>
    <n v="0.21"/>
    <n v="0.09"/>
    <n v="0.41"/>
    <n v="0.28000000000000003"/>
  </r>
  <r>
    <x v="539"/>
    <s v="10.0_Comfort &amp; Exterior"/>
    <s v="10.30_OutsideLighting-System"/>
    <s v="F0028"/>
    <s v="Light Scenario, Comfort Direction Indication"/>
    <s v="B"/>
    <s v="Body"/>
    <s v="External Illumination"/>
    <s v="Rear Lamps L"/>
    <s v="LED"/>
    <s v="Actuator"/>
    <s v="Taillamp Assy' LED Left - Single"/>
    <s v="Taillamp Assy' LED Left - Single - Rear Lamps L"/>
    <m/>
    <m/>
    <s v="108;-17"/>
    <m/>
    <m/>
    <m/>
    <m/>
    <s v="No"/>
    <s v="No"/>
    <s v="No"/>
    <n v="0.21"/>
    <n v="0.09"/>
    <n v="0.41"/>
    <n v="0.28000000000000003"/>
  </r>
  <r>
    <x v="539"/>
    <s v="10.0_Comfort &amp; Exterior"/>
    <s v="10.30_OutsideLighting-System"/>
    <s v="F0091"/>
    <s v="Rear Lighting, Reverse Light"/>
    <s v="QM"/>
    <s v="Body"/>
    <s v="External Illumination"/>
    <s v="Rear Lamps L"/>
    <s v="LED"/>
    <s v="Actuator"/>
    <s v="Taillamp Assy' LED Left - Single"/>
    <s v="Taillamp Assy' LED Left - Single - Rear Lamps L"/>
    <m/>
    <m/>
    <s v="108;-17"/>
    <m/>
    <m/>
    <m/>
    <m/>
    <s v="No"/>
    <s v="No"/>
    <s v="No"/>
    <n v="0.21"/>
    <n v="0.09"/>
    <n v="0.41"/>
    <n v="0.28000000000000003"/>
  </r>
  <r>
    <x v="539"/>
    <s v="10.0_Comfort &amp; Exterior"/>
    <s v="10.30_OutsideLighting-System"/>
    <s v="F0110"/>
    <s v="Rear Lighting, Taillamp"/>
    <s v="QM"/>
    <s v="Body"/>
    <s v="External Illumination"/>
    <s v="Rear Lamps L"/>
    <s v="LED"/>
    <s v="Actuator"/>
    <s v="Taillamp Assy' LED Left - Single"/>
    <s v="Taillamp Assy' LED Left - Single - Rear Lamps L"/>
    <m/>
    <m/>
    <s v="108;-17"/>
    <m/>
    <m/>
    <m/>
    <m/>
    <s v="No"/>
    <s v="No"/>
    <s v="No"/>
    <n v="0.21"/>
    <n v="0.09"/>
    <n v="0.41"/>
    <n v="0.28000000000000003"/>
  </r>
  <r>
    <x v="539"/>
    <s v="10.0_Comfort &amp; Exterior"/>
    <s v="10.30_OutsideLighting-System"/>
    <s v="F0220"/>
    <s v="Light Scenario, Coming Home "/>
    <s v="QM"/>
    <s v="Body"/>
    <s v="External Illumination"/>
    <s v="Rear Lamps L"/>
    <s v="LED"/>
    <s v="Actuator"/>
    <s v="Taillamp Assy' LED Left - Single"/>
    <s v="Taillamp Assy' LED Left - Single - Rear Lamps L"/>
    <m/>
    <m/>
    <s v="108;-17"/>
    <m/>
    <m/>
    <m/>
    <m/>
    <s v="No"/>
    <s v="No"/>
    <s v="No"/>
    <n v="0.21"/>
    <n v="0.09"/>
    <n v="0.41"/>
    <n v="0.28000000000000003"/>
  </r>
  <r>
    <x v="539"/>
    <s v="10.0_Comfort &amp; Exterior"/>
    <s v="10.30_OutsideLighting-System"/>
    <s v="F0221"/>
    <s v="Light Scenario, Welcome Light"/>
    <s v="QM"/>
    <s v="Body"/>
    <s v="External Illumination"/>
    <s v="Rear Lamps L"/>
    <s v="LED"/>
    <s v="Actuator"/>
    <s v="Taillamp Assy' LED Left - Single"/>
    <s v="Taillamp Assy' LED Left - Single - Rear Lamps L"/>
    <m/>
    <m/>
    <s v="108;-17"/>
    <m/>
    <m/>
    <m/>
    <m/>
    <s v="No"/>
    <s v="No"/>
    <s v="No"/>
    <n v="0.21"/>
    <n v="0.09"/>
    <n v="0.41"/>
    <n v="0.28000000000000003"/>
  </r>
  <r>
    <x v="539"/>
    <s v="10.0_Comfort &amp; Exterior"/>
    <s v="10.30_OutsideLighting-System"/>
    <s v="F0227"/>
    <s v="Light Scenario, Parking Light"/>
    <s v="QM"/>
    <s v="Body"/>
    <s v="External Illumination"/>
    <s v="Rear Lamps L"/>
    <s v="LED"/>
    <s v="Actuator"/>
    <s v="Taillamp Assy' LED Left - Single"/>
    <s v="Taillamp Assy' LED Left - Single - Rear Lamps L"/>
    <m/>
    <m/>
    <s v="108;-17"/>
    <m/>
    <m/>
    <m/>
    <m/>
    <s v="No"/>
    <s v="No"/>
    <s v="No"/>
    <n v="0.21"/>
    <n v="0.09"/>
    <n v="0.41"/>
    <n v="0.28000000000000003"/>
  </r>
  <r>
    <x v="539"/>
    <s v="10.0_Comfort &amp; Exterior"/>
    <s v="10.30_OutsideLighting-System"/>
    <s v="F0228"/>
    <s v="Surround Lighting, Hazard Light"/>
    <s v="B"/>
    <s v="Body"/>
    <s v="External Illumination"/>
    <s v="Rear Lamps L"/>
    <s v="LED"/>
    <s v="Actuator"/>
    <s v="Taillamp Assy' LED Left - Single"/>
    <s v="Taillamp Assy' LED Left - Single - Rear Lamps L"/>
    <m/>
    <m/>
    <s v="108;-17"/>
    <m/>
    <m/>
    <m/>
    <m/>
    <s v="No"/>
    <s v="No"/>
    <s v="No"/>
    <n v="0.21"/>
    <n v="0.09"/>
    <n v="0.41"/>
    <n v="0.28000000000000003"/>
  </r>
  <r>
    <x v="539"/>
    <s v="10.0_Comfort &amp; Exterior"/>
    <s v="10.30_OutsideLighting-System"/>
    <s v="F0229"/>
    <s v="Surround Lighting, Turning Light"/>
    <s v="B"/>
    <s v="Body"/>
    <s v="External Illumination"/>
    <s v="Rear Lamps L"/>
    <s v="LED"/>
    <s v="Actuator"/>
    <s v="Taillamp Assy' LED Left - Single"/>
    <s v="Taillamp Assy' LED Left - Single - Rear Lamps L"/>
    <m/>
    <m/>
    <s v="108;-17"/>
    <m/>
    <m/>
    <m/>
    <m/>
    <s v="No"/>
    <s v="No"/>
    <s v="No"/>
    <n v="0.21"/>
    <n v="0.09"/>
    <n v="0.41"/>
    <n v="0.28000000000000003"/>
  </r>
  <r>
    <x v="539"/>
    <s v="10.0_Comfort &amp; Exterior"/>
    <s v="10.30_OutsideLighting-System"/>
    <s v="F0230"/>
    <s v="Rear Lighting, Brake Light"/>
    <s v="B"/>
    <s v="Body"/>
    <s v="External Illumination"/>
    <s v="Rear Lamps L"/>
    <s v="LED"/>
    <s v="Actuator"/>
    <s v="Taillamp Assy' LED Left - Single"/>
    <s v="Taillamp Assy' LED Left - Single - Rear Lamps L"/>
    <m/>
    <m/>
    <s v="108;-17"/>
    <m/>
    <m/>
    <m/>
    <m/>
    <s v="No"/>
    <s v="No"/>
    <s v="No"/>
    <n v="0.21"/>
    <n v="0.09"/>
    <n v="0.41"/>
    <n v="0.28000000000000003"/>
  </r>
  <r>
    <x v="539"/>
    <s v="10.0_Comfort &amp; Exterior"/>
    <s v="10.30_OutsideLighting-System"/>
    <s v="F0231"/>
    <s v="Rear Lighting, Rear Position Light"/>
    <s v="QM"/>
    <s v="Body"/>
    <s v="External Illumination"/>
    <s v="Rear Lamps L"/>
    <s v="LED"/>
    <s v="Actuator"/>
    <s v="Taillamp Assy' LED Left - Single"/>
    <s v="Taillamp Assy' LED Left - Single - Rear Lamps L"/>
    <m/>
    <m/>
    <s v="108;-17"/>
    <m/>
    <m/>
    <m/>
    <m/>
    <s v="No"/>
    <s v="No"/>
    <s v="No"/>
    <n v="0.21"/>
    <n v="0.09"/>
    <n v="0.41"/>
    <n v="0.28000000000000003"/>
  </r>
  <r>
    <x v="539"/>
    <s v="10.0_Comfort &amp; Exterior"/>
    <s v="10.30_OutsideLighting-System"/>
    <s v="F0378"/>
    <s v="Rear Lighting, Fog Rear"/>
    <m/>
    <s v="Body"/>
    <s v="External Illumination"/>
    <s v="Rear Lamps L"/>
    <s v="LED"/>
    <s v="Actuator"/>
    <s v="Taillamp Assy' LED Left - Single"/>
    <s v="Taillamp Assy' LED Left - Single - Rear Lamps L"/>
    <m/>
    <m/>
    <s v="108;-17"/>
    <m/>
    <m/>
    <m/>
    <m/>
    <s v="No"/>
    <s v="No"/>
    <s v="No"/>
    <n v="0.21"/>
    <n v="0.09"/>
    <n v="0.41"/>
    <n v="0.28000000000000003"/>
  </r>
  <r>
    <x v="539"/>
    <s v="28.0_Powertrain &amp; Driveability"/>
    <s v="28.13_Recuperation&amp;OPD-System"/>
    <s v="F0294"/>
    <s v="Recuperation, Brake Lights"/>
    <s v="B"/>
    <s v="Body"/>
    <s v="External Illumination"/>
    <s v="Rear Lamps L"/>
    <s v="LED"/>
    <s v="Actuator"/>
    <s v="Taillamp Assy' LED Left - Single"/>
    <s v="Taillamp Assy' LED Left - Single - Rear Lamps L"/>
    <m/>
    <m/>
    <s v="108;-17"/>
    <m/>
    <m/>
    <m/>
    <m/>
    <s v="No"/>
    <s v="No"/>
    <s v="No"/>
    <n v="0.21"/>
    <n v="0.09"/>
    <n v="0.41"/>
    <n v="0.28000000000000003"/>
  </r>
  <r>
    <x v="540"/>
    <s v="10.0_Comfort &amp; Exterior"/>
    <s v="10.30_OutsideLighting-System"/>
    <s v="F0002"/>
    <s v="Rear Lighting, Brake Light Adaptive"/>
    <s v="B"/>
    <s v="Body"/>
    <s v="External Illumination"/>
    <s v="Rear Lamps L"/>
    <s v="LED - Dynamic Blinker"/>
    <s v="Actuator"/>
    <s v="Taillamp Assy' LED Dynamic Blinker Left - Single"/>
    <s v="Taillamp Assy' LED Dynamic Blinker Left - Single - Rear Lamps L"/>
    <m/>
    <m/>
    <s v="108;-17"/>
    <m/>
    <m/>
    <m/>
    <m/>
    <s v="No"/>
    <s v="No"/>
    <s v="No"/>
    <n v="0.64"/>
    <n v="0.49"/>
    <n v="0.64"/>
    <n v="0.49"/>
  </r>
  <r>
    <x v="540"/>
    <s v="10.0_Comfort &amp; Exterior"/>
    <s v="10.30_OutsideLighting-System"/>
    <s v="F0028"/>
    <s v="Light Scenario, Comfort Direction Indication"/>
    <s v="B"/>
    <s v="Body"/>
    <s v="External Illumination"/>
    <s v="Rear Lamps L"/>
    <s v="LED - Dynamic Blinker"/>
    <s v="Actuator"/>
    <s v="Taillamp Assy' LED Dynamic Blinker Left - Single"/>
    <s v="Taillamp Assy' LED Dynamic Blinker Left - Single - Rear Lamps L"/>
    <m/>
    <m/>
    <s v="108;-17"/>
    <m/>
    <m/>
    <m/>
    <m/>
    <s v="No"/>
    <s v="No"/>
    <s v="No"/>
    <n v="0.64"/>
    <n v="0.49"/>
    <n v="0.64"/>
    <n v="0.49"/>
  </r>
  <r>
    <x v="540"/>
    <s v="10.0_Comfort &amp; Exterior"/>
    <s v="10.30_OutsideLighting-System"/>
    <s v="F0091"/>
    <s v="Rear Lighting, Reverse Light"/>
    <s v="QM"/>
    <s v="Body"/>
    <s v="External Illumination"/>
    <s v="Rear Lamps L"/>
    <s v="LED - Dynamic Blinker"/>
    <s v="Actuator"/>
    <s v="Taillamp Assy' LED Dynamic Blinker Left - Single"/>
    <s v="Taillamp Assy' LED Dynamic Blinker Left - Single - Rear Lamps L"/>
    <m/>
    <m/>
    <s v="108;-17"/>
    <m/>
    <m/>
    <m/>
    <m/>
    <s v="No"/>
    <s v="No"/>
    <s v="No"/>
    <n v="0.64"/>
    <n v="0.49"/>
    <n v="0.64"/>
    <n v="0.49"/>
  </r>
  <r>
    <x v="540"/>
    <s v="10.0_Comfort &amp; Exterior"/>
    <s v="10.30_OutsideLighting-System"/>
    <s v="F0110"/>
    <s v="Rear Lighting, Taillamp"/>
    <s v="QM"/>
    <s v="Body"/>
    <s v="External Illumination"/>
    <s v="Rear Lamps L"/>
    <s v="LED - Dynamic Blinker"/>
    <s v="Actuator"/>
    <s v="Taillamp Assy' LED Dynamic Blinker Left - Single"/>
    <s v="Taillamp Assy' LED Dynamic Blinker Left - Single - Rear Lamps L"/>
    <m/>
    <m/>
    <s v="108;-17"/>
    <m/>
    <m/>
    <m/>
    <m/>
    <s v="No"/>
    <s v="No"/>
    <s v="No"/>
    <n v="0.64"/>
    <n v="0.49"/>
    <n v="0.64"/>
    <n v="0.49"/>
  </r>
  <r>
    <x v="540"/>
    <s v="10.0_Comfort &amp; Exterior"/>
    <s v="10.30_OutsideLighting-System"/>
    <s v="F0220"/>
    <s v="Light Scenario, Coming Home "/>
    <s v="QM"/>
    <s v="Body"/>
    <s v="External Illumination"/>
    <s v="Rear Lamps L"/>
    <s v="LED - Dynamic Blinker"/>
    <s v="Actuator"/>
    <s v="Taillamp Assy' LED Dynamic Blinker Left - Single"/>
    <s v="Taillamp Assy' LED Dynamic Blinker Left - Single - Rear Lamps L"/>
    <m/>
    <m/>
    <s v="108;-17"/>
    <m/>
    <m/>
    <m/>
    <m/>
    <s v="No"/>
    <s v="No"/>
    <s v="No"/>
    <n v="0.64"/>
    <n v="0.49"/>
    <n v="0.64"/>
    <n v="0.49"/>
  </r>
  <r>
    <x v="540"/>
    <s v="10.0_Comfort &amp; Exterior"/>
    <s v="10.30_OutsideLighting-System"/>
    <s v="F0221"/>
    <s v="Light Scenario, Welcome Light"/>
    <s v="QM"/>
    <s v="Body"/>
    <s v="External Illumination"/>
    <s v="Rear Lamps L"/>
    <s v="LED - Dynamic Blinker"/>
    <s v="Actuator"/>
    <s v="Taillamp Assy' LED Dynamic Blinker Left - Single"/>
    <s v="Taillamp Assy' LED Dynamic Blinker Left - Single - Rear Lamps L"/>
    <m/>
    <m/>
    <s v="108;-17"/>
    <m/>
    <m/>
    <m/>
    <m/>
    <s v="No"/>
    <s v="No"/>
    <s v="No"/>
    <n v="0.64"/>
    <n v="0.49"/>
    <n v="0.64"/>
    <n v="0.49"/>
  </r>
  <r>
    <x v="540"/>
    <s v="10.0_Comfort &amp; Exterior"/>
    <s v="10.30_OutsideLighting-System"/>
    <s v="F0227"/>
    <s v="Light Scenario, Parking Light"/>
    <s v="QM"/>
    <s v="Body"/>
    <s v="External Illumination"/>
    <s v="Rear Lamps L"/>
    <s v="LED - Dynamic Blinker"/>
    <s v="Actuator"/>
    <s v="Taillamp Assy' LED Dynamic Blinker Left - Single"/>
    <s v="Taillamp Assy' LED Dynamic Blinker Left - Single - Rear Lamps L"/>
    <m/>
    <m/>
    <s v="108;-17"/>
    <m/>
    <m/>
    <m/>
    <m/>
    <s v="No"/>
    <s v="No"/>
    <s v="No"/>
    <n v="0.64"/>
    <n v="0.49"/>
    <n v="0.64"/>
    <n v="0.49"/>
  </r>
  <r>
    <x v="540"/>
    <s v="10.0_Comfort &amp; Exterior"/>
    <s v="10.30_OutsideLighting-System"/>
    <s v="F0228"/>
    <s v="Surround Lighting, Hazard Light"/>
    <s v="B"/>
    <s v="Body"/>
    <s v="External Illumination"/>
    <s v="Rear Lamps L"/>
    <s v="LED - Dynamic Blinker"/>
    <s v="Actuator"/>
    <s v="Taillamp Assy' LED Dynamic Blinker Left - Single"/>
    <s v="Taillamp Assy' LED Dynamic Blinker Left - Single - Rear Lamps L"/>
    <m/>
    <m/>
    <s v="108;-17"/>
    <m/>
    <m/>
    <m/>
    <m/>
    <s v="No"/>
    <s v="No"/>
    <s v="No"/>
    <n v="0.64"/>
    <n v="0.49"/>
    <n v="0.64"/>
    <n v="0.49"/>
  </r>
  <r>
    <x v="540"/>
    <s v="10.0_Comfort &amp; Exterior"/>
    <s v="10.30_OutsideLighting-System"/>
    <s v="F0229"/>
    <s v="Surround Lighting, Turning Light"/>
    <s v="B"/>
    <s v="Body"/>
    <s v="External Illumination"/>
    <s v="Rear Lamps L"/>
    <s v="LED - Dynamic Blinker"/>
    <s v="Actuator"/>
    <s v="Taillamp Assy' LED Dynamic Blinker Left - Single"/>
    <s v="Taillamp Assy' LED Dynamic Blinker Left - Single - Rear Lamps L"/>
    <m/>
    <m/>
    <s v="108;-17"/>
    <m/>
    <m/>
    <m/>
    <m/>
    <s v="No"/>
    <s v="No"/>
    <s v="No"/>
    <n v="0.64"/>
    <n v="0.49"/>
    <n v="0.64"/>
    <n v="0.49"/>
  </r>
  <r>
    <x v="540"/>
    <s v="10.0_Comfort &amp; Exterior"/>
    <s v="10.30_OutsideLighting-System"/>
    <s v="F0230"/>
    <s v="Rear Lighting, Brake Light"/>
    <s v="B"/>
    <s v="Body"/>
    <s v="External Illumination"/>
    <s v="Rear Lamps L"/>
    <s v="LED - Dynamic Blinker"/>
    <s v="Actuator"/>
    <s v="Taillamp Assy' LED Dynamic Blinker Left - Single"/>
    <s v="Taillamp Assy' LED Dynamic Blinker Left - Single - Rear Lamps L"/>
    <m/>
    <m/>
    <s v="108;-17"/>
    <m/>
    <m/>
    <m/>
    <m/>
    <s v="No"/>
    <s v="No"/>
    <s v="No"/>
    <n v="0.64"/>
    <n v="0.49"/>
    <n v="0.64"/>
    <n v="0.49"/>
  </r>
  <r>
    <x v="540"/>
    <s v="10.0_Comfort &amp; Exterior"/>
    <s v="10.30_OutsideLighting-System"/>
    <s v="F0231"/>
    <s v="Rear Lighting, Rear Position Light"/>
    <s v="QM"/>
    <s v="Body"/>
    <s v="External Illumination"/>
    <s v="Rear Lamps L"/>
    <s v="LED - Dynamic Blinker"/>
    <s v="Actuator"/>
    <s v="Taillamp Assy' LED Dynamic Blinker Left - Single"/>
    <s v="Taillamp Assy' LED Dynamic Blinker Left - Single - Rear Lamps L"/>
    <m/>
    <m/>
    <s v="108;-17"/>
    <m/>
    <m/>
    <m/>
    <m/>
    <s v="No"/>
    <s v="No"/>
    <s v="No"/>
    <n v="0.64"/>
    <n v="0.49"/>
    <n v="0.64"/>
    <n v="0.49"/>
  </r>
  <r>
    <x v="540"/>
    <s v="10.0_Comfort &amp; Exterior"/>
    <s v="10.30_OutsideLighting-System"/>
    <s v="F0378"/>
    <s v="Rear Lighting, Fog Rear"/>
    <m/>
    <s v="Body"/>
    <s v="External Illumination"/>
    <s v="Rear Lamps L"/>
    <s v="LED - Dynamic Blinker"/>
    <s v="Actuator"/>
    <s v="Taillamp Assy' LED Dynamic Blinker Left - Single"/>
    <s v="Taillamp Assy' LED Dynamic Blinker Left - Single - Rear Lamps L"/>
    <m/>
    <m/>
    <s v="108;-17"/>
    <m/>
    <m/>
    <m/>
    <m/>
    <s v="No"/>
    <s v="No"/>
    <s v="No"/>
    <n v="0.64"/>
    <n v="0.49"/>
    <n v="0.64"/>
    <n v="0.49"/>
  </r>
  <r>
    <x v="540"/>
    <s v="28.0_Powertrain &amp; Driveability"/>
    <s v="28.13_Recuperation&amp;OPD-System"/>
    <s v="F0294"/>
    <s v="Recuperation, Brake Lights"/>
    <s v="B"/>
    <s v="Body"/>
    <s v="External Illumination"/>
    <s v="Rear Lamps L"/>
    <s v="LED - Dynamic Blinker"/>
    <s v="Actuator"/>
    <s v="Taillamp Assy' LED Dynamic Blinker Left - Single"/>
    <s v="Taillamp Assy' LED Dynamic Blinker Left - Single - Rear Lamps L"/>
    <m/>
    <m/>
    <s v="108;-17"/>
    <m/>
    <m/>
    <m/>
    <m/>
    <s v="No"/>
    <s v="No"/>
    <s v="No"/>
    <n v="0.64"/>
    <n v="0.49"/>
    <n v="0.64"/>
    <n v="0.49"/>
  </r>
  <r>
    <x v="541"/>
    <s v="10.0_Comfort &amp; Exterior"/>
    <s v="10.30_OutsideLighting-System"/>
    <s v="F0002"/>
    <s v="Rear Lighting, Brake Light Adaptive"/>
    <s v="B"/>
    <s v="Body"/>
    <s v="External Illumination"/>
    <s v="Rear Lamps L"/>
    <s v="Bulb"/>
    <s v="Actuator"/>
    <s v="Taillamp Assy' P21W + P10W Left - Tailgate"/>
    <s v="Taillamp Assy' P21W + P10W Left - Tailgate - Rear Lamps L"/>
    <m/>
    <m/>
    <s v="112;-12"/>
    <m/>
    <m/>
    <m/>
    <m/>
    <s v="No"/>
    <s v="No"/>
    <s v="No"/>
    <n v="0"/>
    <n v="0"/>
    <n v="0.66"/>
    <n v="0.66"/>
  </r>
  <r>
    <x v="541"/>
    <s v="10.0_Comfort &amp; Exterior"/>
    <s v="10.30_OutsideLighting-System"/>
    <s v="F0028"/>
    <s v="Light Scenario, Comfort Direction Indication"/>
    <s v="B"/>
    <s v="Body"/>
    <s v="External Illumination"/>
    <s v="Rear Lamps L"/>
    <s v="Bulb"/>
    <s v="Actuator"/>
    <s v="Taillamp Assy' P21W + P10W Left - Tailgate"/>
    <s v="Taillamp Assy' P21W + P10W Left - Tailgate - Rear Lamps L"/>
    <m/>
    <m/>
    <s v="112;-12"/>
    <m/>
    <m/>
    <m/>
    <m/>
    <s v="No"/>
    <s v="No"/>
    <s v="No"/>
    <n v="0"/>
    <n v="0"/>
    <n v="0.66"/>
    <n v="0.66"/>
  </r>
  <r>
    <x v="541"/>
    <s v="10.0_Comfort &amp; Exterior"/>
    <s v="10.30_OutsideLighting-System"/>
    <s v="F0110"/>
    <s v="Rear Lighting, Taillamp"/>
    <s v="QM"/>
    <s v="Body"/>
    <s v="External Illumination"/>
    <s v="Rear Lamps L"/>
    <s v="Bulb"/>
    <s v="Actuator"/>
    <s v="Taillamp Assy' P21W + P10W Left - Tailgate"/>
    <s v="Taillamp Assy' P21W + P10W Left - Tailgate - Rear Lamps L"/>
    <m/>
    <m/>
    <s v="112;-12"/>
    <m/>
    <m/>
    <m/>
    <m/>
    <s v="No"/>
    <s v="No"/>
    <s v="No"/>
    <n v="0"/>
    <n v="0"/>
    <n v="0.66"/>
    <n v="0.66"/>
  </r>
  <r>
    <x v="541"/>
    <s v="10.0_Comfort &amp; Exterior"/>
    <s v="10.30_OutsideLighting-System"/>
    <s v="F0220"/>
    <s v="Light Scenario, Coming Home "/>
    <s v="QM"/>
    <s v="Body"/>
    <s v="External Illumination"/>
    <s v="Rear Lamps L"/>
    <s v="Bulb"/>
    <s v="Actuator"/>
    <s v="Taillamp Assy' P21W + P10W Left - Tailgate"/>
    <s v="Taillamp Assy' P21W + P10W Left - Tailgate - Rear Lamps L"/>
    <m/>
    <m/>
    <s v="112;-12"/>
    <m/>
    <m/>
    <m/>
    <m/>
    <s v="No"/>
    <s v="No"/>
    <s v="No"/>
    <n v="0"/>
    <n v="0"/>
    <n v="0.66"/>
    <n v="0.66"/>
  </r>
  <r>
    <x v="541"/>
    <s v="10.0_Comfort &amp; Exterior"/>
    <s v="10.30_OutsideLighting-System"/>
    <s v="F0221"/>
    <s v="Light Scenario, Welcome Light"/>
    <s v="QM"/>
    <s v="Body"/>
    <s v="External Illumination"/>
    <s v="Rear Lamps L"/>
    <s v="Bulb"/>
    <s v="Actuator"/>
    <s v="Taillamp Assy' P21W + P10W Left - Tailgate"/>
    <s v="Taillamp Assy' P21W + P10W Left - Tailgate - Rear Lamps L"/>
    <m/>
    <m/>
    <s v="112;-12"/>
    <m/>
    <m/>
    <m/>
    <m/>
    <s v="No"/>
    <s v="No"/>
    <s v="No"/>
    <n v="0"/>
    <n v="0"/>
    <n v="0.66"/>
    <n v="0.66"/>
  </r>
  <r>
    <x v="541"/>
    <s v="10.0_Comfort &amp; Exterior"/>
    <s v="10.30_OutsideLighting-System"/>
    <s v="F0227"/>
    <s v="Light Scenario, Parking Light"/>
    <s v="QM"/>
    <s v="Body"/>
    <s v="External Illumination"/>
    <s v="Rear Lamps L"/>
    <s v="Bulb"/>
    <s v="Actuator"/>
    <s v="Taillamp Assy' P21W + P10W Left - Tailgate"/>
    <s v="Taillamp Assy' P21W + P10W Left - Tailgate - Rear Lamps L"/>
    <m/>
    <m/>
    <s v="112;-12"/>
    <m/>
    <m/>
    <m/>
    <m/>
    <s v="No"/>
    <s v="No"/>
    <s v="No"/>
    <n v="0"/>
    <n v="0"/>
    <n v="0.66"/>
    <n v="0.66"/>
  </r>
  <r>
    <x v="541"/>
    <s v="10.0_Comfort &amp; Exterior"/>
    <s v="10.30_OutsideLighting-System"/>
    <s v="F0231"/>
    <s v="Rear Lighting, Rear Position Light"/>
    <s v="QM"/>
    <s v="Body"/>
    <s v="External Illumination"/>
    <s v="Rear Lamps L"/>
    <s v="Bulb"/>
    <s v="Actuator"/>
    <s v="Taillamp Assy' P21W + P10W Left - Tailgate"/>
    <s v="Taillamp Assy' P21W + P10W Left - Tailgate - Rear Lamps L"/>
    <m/>
    <m/>
    <s v="112;-12"/>
    <m/>
    <m/>
    <m/>
    <m/>
    <s v="No"/>
    <s v="No"/>
    <s v="No"/>
    <n v="0"/>
    <n v="0"/>
    <n v="0.66"/>
    <n v="0.66"/>
  </r>
  <r>
    <x v="541"/>
    <s v="10.0_Comfort &amp; Exterior"/>
    <s v="10.30_OutsideLighting-System"/>
    <s v="F0378"/>
    <s v="Rear Lighting, Fog Rear"/>
    <m/>
    <s v="Body"/>
    <s v="External Illumination"/>
    <s v="Rear Lamps L"/>
    <s v="Bulb"/>
    <s v="Actuator"/>
    <s v="Taillamp Assy' P21W + P10W Left - Tailgate"/>
    <s v="Taillamp Assy' P21W + P10W Left - Tailgate - Rear Lamps L"/>
    <m/>
    <m/>
    <s v="112;-12"/>
    <m/>
    <m/>
    <m/>
    <m/>
    <s v="No"/>
    <s v="No"/>
    <s v="No"/>
    <n v="0"/>
    <n v="0"/>
    <n v="0.66"/>
    <n v="0.66"/>
  </r>
  <r>
    <x v="542"/>
    <s v="10.0_Comfort &amp; Exterior"/>
    <s v="10.30_OutsideLighting-System"/>
    <s v="F0002"/>
    <s v="Rear Lighting, Brake Light Adaptive"/>
    <s v="B"/>
    <s v="Body"/>
    <s v="External Illumination"/>
    <s v="Rear Lamps R"/>
    <s v="Bulb"/>
    <s v="Actuator"/>
    <s v="Taillamp Assy' P21W + P10W Right - Single"/>
    <s v="Taillamp Assy' P21W + P10W Right - Single - Rear Lamps R"/>
    <m/>
    <m/>
    <s v="108;17"/>
    <m/>
    <m/>
    <m/>
    <m/>
    <s v="Yes"/>
    <s v="No"/>
    <s v="No"/>
    <n v="0.23"/>
    <n v="0.11"/>
    <n v="0.45"/>
    <n v="0.32"/>
  </r>
  <r>
    <x v="542"/>
    <s v="10.0_Comfort &amp; Exterior"/>
    <s v="10.30_OutsideLighting-System"/>
    <s v="F0028"/>
    <s v="Light Scenario, Comfort Direction Indication"/>
    <s v="B"/>
    <s v="Body"/>
    <s v="External Illumination"/>
    <s v="Rear Lamps R"/>
    <s v="Bulb"/>
    <s v="Actuator"/>
    <s v="Taillamp Assy' P21W + P10W Right - Single"/>
    <s v="Taillamp Assy' P21W + P10W Right - Single - Rear Lamps R"/>
    <m/>
    <m/>
    <s v="108;17"/>
    <m/>
    <m/>
    <m/>
    <m/>
    <s v="Yes"/>
    <s v="No"/>
    <s v="No"/>
    <n v="0.23"/>
    <n v="0.11"/>
    <n v="0.45"/>
    <n v="0.32"/>
  </r>
  <r>
    <x v="542"/>
    <s v="10.0_Comfort &amp; Exterior"/>
    <s v="10.30_OutsideLighting-System"/>
    <s v="F0091"/>
    <s v="Rear Lighting, Reverse Light"/>
    <s v="QM"/>
    <s v="Body"/>
    <s v="External Illumination"/>
    <s v="Rear Lamps R"/>
    <s v="Bulb"/>
    <s v="Actuator"/>
    <s v="Taillamp Assy' P21W + P10W Right - Single"/>
    <s v="Taillamp Assy' P21W + P10W Right - Single - Rear Lamps R"/>
    <m/>
    <m/>
    <s v="108;17"/>
    <m/>
    <m/>
    <m/>
    <m/>
    <s v="Yes"/>
    <s v="No"/>
    <s v="No"/>
    <n v="0.23"/>
    <n v="0.11"/>
    <n v="0.45"/>
    <n v="0.32"/>
  </r>
  <r>
    <x v="542"/>
    <s v="10.0_Comfort &amp; Exterior"/>
    <s v="10.30_OutsideLighting-System"/>
    <s v="F0110"/>
    <s v="Rear Lighting, Taillamp"/>
    <s v="QM"/>
    <s v="Body"/>
    <s v="External Illumination"/>
    <s v="Rear Lamps R"/>
    <s v="Bulb"/>
    <s v="Actuator"/>
    <s v="Taillamp Assy' P21W + P10W Right - Single"/>
    <s v="Taillamp Assy' P21W + P10W Right - Single - Rear Lamps R"/>
    <m/>
    <m/>
    <s v="108;17"/>
    <m/>
    <m/>
    <m/>
    <m/>
    <s v="Yes"/>
    <s v="No"/>
    <s v="No"/>
    <n v="0.23"/>
    <n v="0.11"/>
    <n v="0.45"/>
    <n v="0.32"/>
  </r>
  <r>
    <x v="542"/>
    <s v="10.0_Comfort &amp; Exterior"/>
    <s v="10.30_OutsideLighting-System"/>
    <s v="F0220"/>
    <s v="Light Scenario, Coming Home "/>
    <s v="QM"/>
    <s v="Body"/>
    <s v="External Illumination"/>
    <s v="Rear Lamps R"/>
    <s v="Bulb"/>
    <s v="Actuator"/>
    <s v="Taillamp Assy' P21W + P10W Right - Single"/>
    <s v="Taillamp Assy' P21W + P10W Right - Single - Rear Lamps R"/>
    <m/>
    <m/>
    <s v="108;17"/>
    <m/>
    <m/>
    <m/>
    <m/>
    <s v="Yes"/>
    <s v="No"/>
    <s v="No"/>
    <n v="0.23"/>
    <n v="0.11"/>
    <n v="0.45"/>
    <n v="0.32"/>
  </r>
  <r>
    <x v="542"/>
    <s v="10.0_Comfort &amp; Exterior"/>
    <s v="10.30_OutsideLighting-System"/>
    <s v="F0221"/>
    <s v="Light Scenario, Welcome Light"/>
    <s v="QM"/>
    <s v="Body"/>
    <s v="External Illumination"/>
    <s v="Rear Lamps R"/>
    <s v="Bulb"/>
    <s v="Actuator"/>
    <s v="Taillamp Assy' P21W + P10W Right - Single"/>
    <s v="Taillamp Assy' P21W + P10W Right - Single - Rear Lamps R"/>
    <m/>
    <m/>
    <s v="108;17"/>
    <m/>
    <m/>
    <m/>
    <m/>
    <s v="Yes"/>
    <s v="No"/>
    <s v="No"/>
    <n v="0.23"/>
    <n v="0.11"/>
    <n v="0.45"/>
    <n v="0.32"/>
  </r>
  <r>
    <x v="542"/>
    <s v="10.0_Comfort &amp; Exterior"/>
    <s v="10.30_OutsideLighting-System"/>
    <s v="F0227"/>
    <s v="Light Scenario, Parking Light"/>
    <s v="QM"/>
    <s v="Body"/>
    <s v="External Illumination"/>
    <s v="Rear Lamps R"/>
    <s v="Bulb"/>
    <s v="Actuator"/>
    <s v="Taillamp Assy' P21W + P10W Right - Single"/>
    <s v="Taillamp Assy' P21W + P10W Right - Single - Rear Lamps R"/>
    <m/>
    <m/>
    <s v="108;17"/>
    <m/>
    <m/>
    <m/>
    <m/>
    <s v="Yes"/>
    <s v="No"/>
    <s v="No"/>
    <n v="0.23"/>
    <n v="0.11"/>
    <n v="0.45"/>
    <n v="0.32"/>
  </r>
  <r>
    <x v="542"/>
    <s v="10.0_Comfort &amp; Exterior"/>
    <s v="10.30_OutsideLighting-System"/>
    <s v="F0228"/>
    <s v="Surround Lighting, Hazard Light"/>
    <s v="B"/>
    <s v="Body"/>
    <s v="External Illumination"/>
    <s v="Rear Lamps R"/>
    <s v="Bulb"/>
    <s v="Actuator"/>
    <s v="Taillamp Assy' P21W + P10W Right - Single"/>
    <s v="Taillamp Assy' P21W + P10W Right - Single - Rear Lamps R"/>
    <m/>
    <m/>
    <s v="108;17"/>
    <m/>
    <m/>
    <m/>
    <m/>
    <s v="Yes"/>
    <s v="No"/>
    <s v="No"/>
    <n v="0.23"/>
    <n v="0.11"/>
    <n v="0.45"/>
    <n v="0.32"/>
  </r>
  <r>
    <x v="542"/>
    <s v="10.0_Comfort &amp; Exterior"/>
    <s v="10.30_OutsideLighting-System"/>
    <s v="F0229"/>
    <s v="Surround Lighting, Turning Light"/>
    <s v="B"/>
    <s v="Body"/>
    <s v="External Illumination"/>
    <s v="Rear Lamps R"/>
    <s v="Bulb"/>
    <s v="Actuator"/>
    <s v="Taillamp Assy' P21W + P10W Right - Single"/>
    <s v="Taillamp Assy' P21W + P10W Right - Single - Rear Lamps R"/>
    <m/>
    <m/>
    <s v="108;17"/>
    <m/>
    <m/>
    <m/>
    <m/>
    <s v="Yes"/>
    <s v="No"/>
    <s v="No"/>
    <n v="0.23"/>
    <n v="0.11"/>
    <n v="0.45"/>
    <n v="0.32"/>
  </r>
  <r>
    <x v="542"/>
    <s v="10.0_Comfort &amp; Exterior"/>
    <s v="10.30_OutsideLighting-System"/>
    <s v="F0230"/>
    <s v="Rear Lighting, Brake Light"/>
    <s v="B"/>
    <s v="Body"/>
    <s v="External Illumination"/>
    <s v="Rear Lamps R"/>
    <s v="Bulb"/>
    <s v="Actuator"/>
    <s v="Taillamp Assy' P21W + P10W Right - Single"/>
    <s v="Taillamp Assy' P21W + P10W Right - Single - Rear Lamps R"/>
    <m/>
    <m/>
    <s v="108;17"/>
    <m/>
    <m/>
    <m/>
    <m/>
    <s v="Yes"/>
    <s v="No"/>
    <s v="No"/>
    <n v="0.23"/>
    <n v="0.11"/>
    <n v="0.45"/>
    <n v="0.32"/>
  </r>
  <r>
    <x v="542"/>
    <s v="10.0_Comfort &amp; Exterior"/>
    <s v="10.30_OutsideLighting-System"/>
    <s v="F0231"/>
    <s v="Rear Lighting, Rear Position Light"/>
    <s v="QM"/>
    <s v="Body"/>
    <s v="External Illumination"/>
    <s v="Rear Lamps R"/>
    <s v="Bulb"/>
    <s v="Actuator"/>
    <s v="Taillamp Assy' P21W + P10W Right - Single"/>
    <s v="Taillamp Assy' P21W + P10W Right - Single - Rear Lamps R"/>
    <m/>
    <m/>
    <s v="108;17"/>
    <m/>
    <m/>
    <m/>
    <m/>
    <s v="Yes"/>
    <s v="No"/>
    <s v="No"/>
    <n v="0.23"/>
    <n v="0.11"/>
    <n v="0.45"/>
    <n v="0.32"/>
  </r>
  <r>
    <x v="542"/>
    <s v="10.0_Comfort &amp; Exterior"/>
    <s v="10.30_OutsideLighting-System"/>
    <s v="F0378"/>
    <s v="Rear Lighting, Fog Rear"/>
    <m/>
    <s v="Body"/>
    <s v="External Illumination"/>
    <s v="Rear Lamps R"/>
    <s v="Bulb"/>
    <s v="Actuator"/>
    <s v="Taillamp Assy' P21W + P10W Right - Single"/>
    <s v="Taillamp Assy' P21W + P10W Right - Single - Rear Lamps R"/>
    <m/>
    <m/>
    <s v="108;17"/>
    <m/>
    <m/>
    <m/>
    <m/>
    <s v="Yes"/>
    <s v="No"/>
    <s v="No"/>
    <n v="0.23"/>
    <n v="0.11"/>
    <n v="0.45"/>
    <n v="0.32"/>
  </r>
  <r>
    <x v="542"/>
    <s v="28.0_Powertrain &amp; Driveability"/>
    <s v="28.13_Recuperation&amp;OPD-System"/>
    <s v="F0294"/>
    <s v="Recuperation, Brake Lights"/>
    <s v="B"/>
    <s v="Body"/>
    <s v="External Illumination"/>
    <s v="Rear Lamps R"/>
    <s v="Bulb"/>
    <s v="Actuator"/>
    <s v="Taillamp Assy' P21W + P10W Right - Single"/>
    <s v="Taillamp Assy' P21W + P10W Right - Single - Rear Lamps R"/>
    <m/>
    <m/>
    <s v="108;17"/>
    <m/>
    <m/>
    <m/>
    <m/>
    <s v="Yes"/>
    <s v="No"/>
    <s v="No"/>
    <n v="0.23"/>
    <n v="0.11"/>
    <n v="0.45"/>
    <n v="0.32"/>
  </r>
  <r>
    <x v="543"/>
    <s v="10.0_Comfort &amp; Exterior"/>
    <s v="10.30_OutsideLighting-System"/>
    <s v="F0002"/>
    <s v="Rear Lighting, Brake Light Adaptive"/>
    <s v="B"/>
    <s v="Body"/>
    <s v="External Illumination"/>
    <s v="Rear Lamps R"/>
    <s v="LED"/>
    <s v="Actuator"/>
    <s v="Taillamp Assy' LED Right - Single"/>
    <s v="Taillamp Assy' LED Right - Single - Rear Lamps R"/>
    <m/>
    <m/>
    <s v="108;17"/>
    <m/>
    <m/>
    <m/>
    <m/>
    <s v="No"/>
    <s v="No"/>
    <s v="No"/>
    <n v="0.21"/>
    <n v="0.09"/>
    <n v="0.41"/>
    <n v="0.28000000000000003"/>
  </r>
  <r>
    <x v="543"/>
    <s v="10.0_Comfort &amp; Exterior"/>
    <s v="10.30_OutsideLighting-System"/>
    <s v="F0028"/>
    <s v="Light Scenario, Comfort Direction Indication"/>
    <s v="B"/>
    <s v="Body"/>
    <s v="External Illumination"/>
    <s v="Rear Lamps R"/>
    <s v="LED"/>
    <s v="Actuator"/>
    <s v="Taillamp Assy' LED Right - Single"/>
    <s v="Taillamp Assy' LED Right - Single - Rear Lamps R"/>
    <m/>
    <m/>
    <s v="108;17"/>
    <m/>
    <m/>
    <m/>
    <m/>
    <s v="No"/>
    <s v="No"/>
    <s v="No"/>
    <n v="0.21"/>
    <n v="0.09"/>
    <n v="0.41"/>
    <n v="0.28000000000000003"/>
  </r>
  <r>
    <x v="543"/>
    <s v="10.0_Comfort &amp; Exterior"/>
    <s v="10.30_OutsideLighting-System"/>
    <s v="F0091"/>
    <s v="Rear Lighting, Reverse Light"/>
    <s v="QM"/>
    <s v="Body"/>
    <s v="External Illumination"/>
    <s v="Rear Lamps R"/>
    <s v="LED"/>
    <s v="Actuator"/>
    <s v="Taillamp Assy' LED Right - Single"/>
    <s v="Taillamp Assy' LED Right - Single - Rear Lamps R"/>
    <m/>
    <m/>
    <s v="108;17"/>
    <m/>
    <m/>
    <m/>
    <m/>
    <s v="No"/>
    <s v="No"/>
    <s v="No"/>
    <n v="0.21"/>
    <n v="0.09"/>
    <n v="0.41"/>
    <n v="0.28000000000000003"/>
  </r>
  <r>
    <x v="543"/>
    <s v="10.0_Comfort &amp; Exterior"/>
    <s v="10.30_OutsideLighting-System"/>
    <s v="F0110"/>
    <s v="Rear Lighting, Taillamp"/>
    <s v="QM"/>
    <s v="Body"/>
    <s v="External Illumination"/>
    <s v="Rear Lamps R"/>
    <s v="LED"/>
    <s v="Actuator"/>
    <s v="Taillamp Assy' LED Right - Single"/>
    <s v="Taillamp Assy' LED Right - Single - Rear Lamps R"/>
    <m/>
    <m/>
    <s v="108;17"/>
    <m/>
    <m/>
    <m/>
    <m/>
    <s v="No"/>
    <s v="No"/>
    <s v="No"/>
    <n v="0.21"/>
    <n v="0.09"/>
    <n v="0.41"/>
    <n v="0.28000000000000003"/>
  </r>
  <r>
    <x v="543"/>
    <s v="10.0_Comfort &amp; Exterior"/>
    <s v="10.30_OutsideLighting-System"/>
    <s v="F0220"/>
    <s v="Light Scenario, Coming Home "/>
    <s v="QM"/>
    <s v="Body"/>
    <s v="External Illumination"/>
    <s v="Rear Lamps R"/>
    <s v="LED"/>
    <s v="Actuator"/>
    <s v="Taillamp Assy' LED Right - Single"/>
    <s v="Taillamp Assy' LED Right - Single - Rear Lamps R"/>
    <m/>
    <m/>
    <s v="108;17"/>
    <m/>
    <m/>
    <m/>
    <m/>
    <s v="No"/>
    <s v="No"/>
    <s v="No"/>
    <n v="0.21"/>
    <n v="0.09"/>
    <n v="0.41"/>
    <n v="0.28000000000000003"/>
  </r>
  <r>
    <x v="543"/>
    <s v="10.0_Comfort &amp; Exterior"/>
    <s v="10.30_OutsideLighting-System"/>
    <s v="F0221"/>
    <s v="Light Scenario, Welcome Light"/>
    <s v="QM"/>
    <s v="Body"/>
    <s v="External Illumination"/>
    <s v="Rear Lamps R"/>
    <s v="LED"/>
    <s v="Actuator"/>
    <s v="Taillamp Assy' LED Right - Single"/>
    <s v="Taillamp Assy' LED Right - Single - Rear Lamps R"/>
    <m/>
    <m/>
    <s v="108;17"/>
    <m/>
    <m/>
    <m/>
    <m/>
    <s v="No"/>
    <s v="No"/>
    <s v="No"/>
    <n v="0.21"/>
    <n v="0.09"/>
    <n v="0.41"/>
    <n v="0.28000000000000003"/>
  </r>
  <r>
    <x v="543"/>
    <s v="10.0_Comfort &amp; Exterior"/>
    <s v="10.30_OutsideLighting-System"/>
    <s v="F0227"/>
    <s v="Light Scenario, Parking Light"/>
    <s v="QM"/>
    <s v="Body"/>
    <s v="External Illumination"/>
    <s v="Rear Lamps R"/>
    <s v="LED"/>
    <s v="Actuator"/>
    <s v="Taillamp Assy' LED Right - Single"/>
    <s v="Taillamp Assy' LED Right - Single - Rear Lamps R"/>
    <m/>
    <m/>
    <s v="108;17"/>
    <m/>
    <m/>
    <m/>
    <m/>
    <s v="No"/>
    <s v="No"/>
    <s v="No"/>
    <n v="0.21"/>
    <n v="0.09"/>
    <n v="0.41"/>
    <n v="0.28000000000000003"/>
  </r>
  <r>
    <x v="543"/>
    <s v="10.0_Comfort &amp; Exterior"/>
    <s v="10.30_OutsideLighting-System"/>
    <s v="F0228"/>
    <s v="Surround Lighting, Hazard Light"/>
    <s v="B"/>
    <s v="Body"/>
    <s v="External Illumination"/>
    <s v="Rear Lamps R"/>
    <s v="LED"/>
    <s v="Actuator"/>
    <s v="Taillamp Assy' LED Right - Single"/>
    <s v="Taillamp Assy' LED Right - Single - Rear Lamps R"/>
    <m/>
    <m/>
    <s v="108;17"/>
    <m/>
    <m/>
    <m/>
    <m/>
    <s v="No"/>
    <s v="No"/>
    <s v="No"/>
    <n v="0.21"/>
    <n v="0.09"/>
    <n v="0.41"/>
    <n v="0.28000000000000003"/>
  </r>
  <r>
    <x v="543"/>
    <s v="10.0_Comfort &amp; Exterior"/>
    <s v="10.30_OutsideLighting-System"/>
    <s v="F0229"/>
    <s v="Surround Lighting, Turning Light"/>
    <s v="B"/>
    <s v="Body"/>
    <s v="External Illumination"/>
    <s v="Rear Lamps R"/>
    <s v="LED"/>
    <s v="Actuator"/>
    <s v="Taillamp Assy' LED Right - Single"/>
    <s v="Taillamp Assy' LED Right - Single - Rear Lamps R"/>
    <m/>
    <m/>
    <s v="108;17"/>
    <m/>
    <m/>
    <m/>
    <m/>
    <s v="No"/>
    <s v="No"/>
    <s v="No"/>
    <n v="0.21"/>
    <n v="0.09"/>
    <n v="0.41"/>
    <n v="0.28000000000000003"/>
  </r>
  <r>
    <x v="543"/>
    <s v="10.0_Comfort &amp; Exterior"/>
    <s v="10.30_OutsideLighting-System"/>
    <s v="F0230"/>
    <s v="Rear Lighting, Brake Light"/>
    <s v="B"/>
    <s v="Body"/>
    <s v="External Illumination"/>
    <s v="Rear Lamps R"/>
    <s v="LED"/>
    <s v="Actuator"/>
    <s v="Taillamp Assy' LED Right - Single"/>
    <s v="Taillamp Assy' LED Right - Single - Rear Lamps R"/>
    <m/>
    <m/>
    <s v="108;17"/>
    <m/>
    <m/>
    <m/>
    <m/>
    <s v="No"/>
    <s v="No"/>
    <s v="No"/>
    <n v="0.21"/>
    <n v="0.09"/>
    <n v="0.41"/>
    <n v="0.28000000000000003"/>
  </r>
  <r>
    <x v="543"/>
    <s v="10.0_Comfort &amp; Exterior"/>
    <s v="10.30_OutsideLighting-System"/>
    <s v="F0231"/>
    <s v="Rear Lighting, Rear Position Light"/>
    <s v="QM"/>
    <s v="Body"/>
    <s v="External Illumination"/>
    <s v="Rear Lamps R"/>
    <s v="LED"/>
    <s v="Actuator"/>
    <s v="Taillamp Assy' LED Right - Single"/>
    <s v="Taillamp Assy' LED Right - Single - Rear Lamps R"/>
    <m/>
    <m/>
    <s v="108;17"/>
    <m/>
    <m/>
    <m/>
    <m/>
    <s v="No"/>
    <s v="No"/>
    <s v="No"/>
    <n v="0.21"/>
    <n v="0.09"/>
    <n v="0.41"/>
    <n v="0.28000000000000003"/>
  </r>
  <r>
    <x v="543"/>
    <s v="10.0_Comfort &amp; Exterior"/>
    <s v="10.30_OutsideLighting-System"/>
    <s v="F0378"/>
    <s v="Rear Lighting, Fog Rear"/>
    <m/>
    <s v="Body"/>
    <s v="External Illumination"/>
    <s v="Rear Lamps R"/>
    <s v="LED"/>
    <s v="Actuator"/>
    <s v="Taillamp Assy' LED Right - Single"/>
    <s v="Taillamp Assy' LED Right - Single - Rear Lamps R"/>
    <m/>
    <m/>
    <s v="108;17"/>
    <m/>
    <m/>
    <m/>
    <m/>
    <s v="No"/>
    <s v="No"/>
    <s v="No"/>
    <n v="0.21"/>
    <n v="0.09"/>
    <n v="0.41"/>
    <n v="0.28000000000000003"/>
  </r>
  <r>
    <x v="543"/>
    <s v="28.0_Powertrain &amp; Driveability"/>
    <s v="28.13_Recuperation&amp;OPD-System"/>
    <s v="F0294"/>
    <s v="Recuperation, Brake Lights"/>
    <s v="B"/>
    <s v="Body"/>
    <s v="External Illumination"/>
    <s v="Rear Lamps R"/>
    <s v="LED"/>
    <s v="Actuator"/>
    <s v="Taillamp Assy' LED Right - Single"/>
    <s v="Taillamp Assy' LED Right - Single - Rear Lamps R"/>
    <m/>
    <m/>
    <s v="108;17"/>
    <m/>
    <m/>
    <m/>
    <m/>
    <s v="No"/>
    <s v="No"/>
    <s v="No"/>
    <n v="0.21"/>
    <n v="0.09"/>
    <n v="0.41"/>
    <n v="0.28000000000000003"/>
  </r>
  <r>
    <x v="544"/>
    <s v="10.0_Comfort &amp; Exterior"/>
    <s v="10.30_OutsideLighting-System"/>
    <s v="F0002"/>
    <s v="Rear Lighting, Brake Light Adaptive"/>
    <s v="B"/>
    <s v="Body"/>
    <s v="External Illumination"/>
    <s v="Rear Lamps R"/>
    <s v="LED - Dynamic Blinker"/>
    <s v="Actuator"/>
    <s v="Taillamp Assy' LED Dynamic Blinker Right - Single"/>
    <s v="Taillamp Assy' LED Dynamic Blinker Right - Single - Rear Lamps R"/>
    <m/>
    <m/>
    <s v="108;17"/>
    <m/>
    <m/>
    <m/>
    <m/>
    <s v="No"/>
    <s v="No"/>
    <s v="No"/>
    <n v="0.64"/>
    <n v="0.49"/>
    <n v="0.64"/>
    <n v="0.49"/>
  </r>
  <r>
    <x v="544"/>
    <s v="10.0_Comfort &amp; Exterior"/>
    <s v="10.30_OutsideLighting-System"/>
    <s v="F0028"/>
    <s v="Light Scenario, Comfort Direction Indication"/>
    <s v="B"/>
    <s v="Body"/>
    <s v="External Illumination"/>
    <s v="Rear Lamps R"/>
    <s v="LED - Dynamic Blinker"/>
    <s v="Actuator"/>
    <s v="Taillamp Assy' LED Dynamic Blinker Right - Single"/>
    <s v="Taillamp Assy' LED Dynamic Blinker Right - Single - Rear Lamps R"/>
    <m/>
    <m/>
    <s v="108;17"/>
    <m/>
    <m/>
    <m/>
    <m/>
    <s v="No"/>
    <s v="No"/>
    <s v="No"/>
    <n v="0.64"/>
    <n v="0.49"/>
    <n v="0.64"/>
    <n v="0.49"/>
  </r>
  <r>
    <x v="544"/>
    <s v="10.0_Comfort &amp; Exterior"/>
    <s v="10.30_OutsideLighting-System"/>
    <s v="F0091"/>
    <s v="Rear Lighting, Reverse Light"/>
    <s v="QM"/>
    <s v="Body"/>
    <s v="External Illumination"/>
    <s v="Rear Lamps R"/>
    <s v="LED - Dynamic Blinker"/>
    <s v="Actuator"/>
    <s v="Taillamp Assy' LED Dynamic Blinker Right - Single"/>
    <s v="Taillamp Assy' LED Dynamic Blinker Right - Single - Rear Lamps R"/>
    <m/>
    <m/>
    <s v="108;17"/>
    <m/>
    <m/>
    <m/>
    <m/>
    <s v="No"/>
    <s v="No"/>
    <s v="No"/>
    <n v="0.64"/>
    <n v="0.49"/>
    <n v="0.64"/>
    <n v="0.49"/>
  </r>
  <r>
    <x v="544"/>
    <s v="10.0_Comfort &amp; Exterior"/>
    <s v="10.30_OutsideLighting-System"/>
    <s v="F0110"/>
    <s v="Rear Lighting, Taillamp"/>
    <s v="QM"/>
    <s v="Body"/>
    <s v="External Illumination"/>
    <s v="Rear Lamps R"/>
    <s v="LED - Dynamic Blinker"/>
    <s v="Actuator"/>
    <s v="Taillamp Assy' LED Dynamic Blinker Right - Single"/>
    <s v="Taillamp Assy' LED Dynamic Blinker Right - Single - Rear Lamps R"/>
    <m/>
    <m/>
    <s v="108;17"/>
    <m/>
    <m/>
    <m/>
    <m/>
    <s v="No"/>
    <s v="No"/>
    <s v="No"/>
    <n v="0.64"/>
    <n v="0.49"/>
    <n v="0.64"/>
    <n v="0.49"/>
  </r>
  <r>
    <x v="544"/>
    <s v="10.0_Comfort &amp; Exterior"/>
    <s v="10.30_OutsideLighting-System"/>
    <s v="F0220"/>
    <s v="Light Scenario, Coming Home "/>
    <s v="QM"/>
    <s v="Body"/>
    <s v="External Illumination"/>
    <s v="Rear Lamps R"/>
    <s v="LED - Dynamic Blinker"/>
    <s v="Actuator"/>
    <s v="Taillamp Assy' LED Dynamic Blinker Right - Single"/>
    <s v="Taillamp Assy' LED Dynamic Blinker Right - Single - Rear Lamps R"/>
    <m/>
    <m/>
    <s v="108;17"/>
    <m/>
    <m/>
    <m/>
    <m/>
    <s v="No"/>
    <s v="No"/>
    <s v="No"/>
    <n v="0.64"/>
    <n v="0.49"/>
    <n v="0.64"/>
    <n v="0.49"/>
  </r>
  <r>
    <x v="544"/>
    <s v="10.0_Comfort &amp; Exterior"/>
    <s v="10.30_OutsideLighting-System"/>
    <s v="F0221"/>
    <s v="Light Scenario, Welcome Light"/>
    <s v="QM"/>
    <s v="Body"/>
    <s v="External Illumination"/>
    <s v="Rear Lamps R"/>
    <s v="LED - Dynamic Blinker"/>
    <s v="Actuator"/>
    <s v="Taillamp Assy' LED Dynamic Blinker Right - Single"/>
    <s v="Taillamp Assy' LED Dynamic Blinker Right - Single - Rear Lamps R"/>
    <m/>
    <m/>
    <s v="108;17"/>
    <m/>
    <m/>
    <m/>
    <m/>
    <s v="No"/>
    <s v="No"/>
    <s v="No"/>
    <n v="0.64"/>
    <n v="0.49"/>
    <n v="0.64"/>
    <n v="0.49"/>
  </r>
  <r>
    <x v="544"/>
    <s v="10.0_Comfort &amp; Exterior"/>
    <s v="10.30_OutsideLighting-System"/>
    <s v="F0227"/>
    <s v="Light Scenario, Parking Light"/>
    <s v="QM"/>
    <s v="Body"/>
    <s v="External Illumination"/>
    <s v="Rear Lamps R"/>
    <s v="LED - Dynamic Blinker"/>
    <s v="Actuator"/>
    <s v="Taillamp Assy' LED Dynamic Blinker Right - Single"/>
    <s v="Taillamp Assy' LED Dynamic Blinker Right - Single - Rear Lamps R"/>
    <m/>
    <m/>
    <s v="108;17"/>
    <m/>
    <m/>
    <m/>
    <m/>
    <s v="No"/>
    <s v="No"/>
    <s v="No"/>
    <n v="0.64"/>
    <n v="0.49"/>
    <n v="0.64"/>
    <n v="0.49"/>
  </r>
  <r>
    <x v="544"/>
    <s v="10.0_Comfort &amp; Exterior"/>
    <s v="10.30_OutsideLighting-System"/>
    <s v="F0228"/>
    <s v="Surround Lighting, Hazard Light"/>
    <s v="B"/>
    <s v="Body"/>
    <s v="External Illumination"/>
    <s v="Rear Lamps R"/>
    <s v="LED - Dynamic Blinker"/>
    <s v="Actuator"/>
    <s v="Taillamp Assy' LED Dynamic Blinker Right - Single"/>
    <s v="Taillamp Assy' LED Dynamic Blinker Right - Single - Rear Lamps R"/>
    <m/>
    <m/>
    <s v="108;17"/>
    <m/>
    <m/>
    <m/>
    <m/>
    <s v="No"/>
    <s v="No"/>
    <s v="No"/>
    <n v="0.64"/>
    <n v="0.49"/>
    <n v="0.64"/>
    <n v="0.49"/>
  </r>
  <r>
    <x v="544"/>
    <s v="10.0_Comfort &amp; Exterior"/>
    <s v="10.30_OutsideLighting-System"/>
    <s v="F0229"/>
    <s v="Surround Lighting, Turning Light"/>
    <s v="B"/>
    <s v="Body"/>
    <s v="External Illumination"/>
    <s v="Rear Lamps R"/>
    <s v="LED - Dynamic Blinker"/>
    <s v="Actuator"/>
    <s v="Taillamp Assy' LED Dynamic Blinker Right - Single"/>
    <s v="Taillamp Assy' LED Dynamic Blinker Right - Single - Rear Lamps R"/>
    <m/>
    <m/>
    <s v="108;17"/>
    <m/>
    <m/>
    <m/>
    <m/>
    <s v="No"/>
    <s v="No"/>
    <s v="No"/>
    <n v="0.64"/>
    <n v="0.49"/>
    <n v="0.64"/>
    <n v="0.49"/>
  </r>
  <r>
    <x v="544"/>
    <s v="10.0_Comfort &amp; Exterior"/>
    <s v="10.30_OutsideLighting-System"/>
    <s v="F0230"/>
    <s v="Rear Lighting, Brake Light"/>
    <s v="B"/>
    <s v="Body"/>
    <s v="External Illumination"/>
    <s v="Rear Lamps R"/>
    <s v="LED - Dynamic Blinker"/>
    <s v="Actuator"/>
    <s v="Taillamp Assy' LED Dynamic Blinker Right - Single"/>
    <s v="Taillamp Assy' LED Dynamic Blinker Right - Single - Rear Lamps R"/>
    <m/>
    <m/>
    <s v="108;17"/>
    <m/>
    <m/>
    <m/>
    <m/>
    <s v="No"/>
    <s v="No"/>
    <s v="No"/>
    <n v="0.64"/>
    <n v="0.49"/>
    <n v="0.64"/>
    <n v="0.49"/>
  </r>
  <r>
    <x v="544"/>
    <s v="10.0_Comfort &amp; Exterior"/>
    <s v="10.30_OutsideLighting-System"/>
    <s v="F0231"/>
    <s v="Rear Lighting, Rear Position Light"/>
    <s v="QM"/>
    <s v="Body"/>
    <s v="External Illumination"/>
    <s v="Rear Lamps R"/>
    <s v="LED - Dynamic Blinker"/>
    <s v="Actuator"/>
    <s v="Taillamp Assy' LED Dynamic Blinker Right - Single"/>
    <s v="Taillamp Assy' LED Dynamic Blinker Right - Single - Rear Lamps R"/>
    <m/>
    <m/>
    <s v="108;17"/>
    <m/>
    <m/>
    <m/>
    <m/>
    <s v="No"/>
    <s v="No"/>
    <s v="No"/>
    <n v="0.64"/>
    <n v="0.49"/>
    <n v="0.64"/>
    <n v="0.49"/>
  </r>
  <r>
    <x v="544"/>
    <s v="10.0_Comfort &amp; Exterior"/>
    <s v="10.30_OutsideLighting-System"/>
    <s v="F0378"/>
    <s v="Rear Lighting, Fog Rear"/>
    <m/>
    <s v="Body"/>
    <s v="External Illumination"/>
    <s v="Rear Lamps R"/>
    <s v="LED - Dynamic Blinker"/>
    <s v="Actuator"/>
    <s v="Taillamp Assy' LED Dynamic Blinker Right - Single"/>
    <s v="Taillamp Assy' LED Dynamic Blinker Right - Single - Rear Lamps R"/>
    <m/>
    <m/>
    <s v="108;17"/>
    <m/>
    <m/>
    <m/>
    <m/>
    <s v="No"/>
    <s v="No"/>
    <s v="No"/>
    <n v="0.64"/>
    <n v="0.49"/>
    <n v="0.64"/>
    <n v="0.49"/>
  </r>
  <r>
    <x v="544"/>
    <s v="28.0_Powertrain &amp; Driveability"/>
    <s v="28.13_Recuperation&amp;OPD-System"/>
    <s v="F0294"/>
    <s v="Recuperation, Brake Lights"/>
    <s v="B"/>
    <s v="Body"/>
    <s v="External Illumination"/>
    <s v="Rear Lamps R"/>
    <s v="LED - Dynamic Blinker"/>
    <s v="Actuator"/>
    <s v="Taillamp Assy' LED Dynamic Blinker Right - Single"/>
    <s v="Taillamp Assy' LED Dynamic Blinker Right - Single - Rear Lamps R"/>
    <m/>
    <m/>
    <s v="108;17"/>
    <m/>
    <m/>
    <m/>
    <m/>
    <s v="No"/>
    <s v="No"/>
    <s v="No"/>
    <n v="0.64"/>
    <n v="0.49"/>
    <n v="0.64"/>
    <n v="0.49"/>
  </r>
  <r>
    <x v="545"/>
    <s v="10.0_Comfort &amp; Exterior"/>
    <s v="10.30_OutsideLighting-System"/>
    <s v="F0002"/>
    <s v="Rear Lighting, Brake Light Adaptive"/>
    <s v="B"/>
    <s v="Body"/>
    <s v="External Illumination"/>
    <s v="Rear Lamps R"/>
    <s v="Bulb"/>
    <s v="Actuator"/>
    <s v="Taillamp Assy' P21W + P10W Right - Tailgate"/>
    <s v="Taillamp Assy' P21W + P10W Right - Tailgate - Rear Lamps R"/>
    <m/>
    <m/>
    <s v="112;12"/>
    <m/>
    <m/>
    <m/>
    <m/>
    <s v="No"/>
    <s v="No"/>
    <s v="No"/>
    <n v="0"/>
    <n v="0"/>
    <n v="0.66"/>
    <n v="0.66"/>
  </r>
  <r>
    <x v="545"/>
    <s v="10.0_Comfort &amp; Exterior"/>
    <s v="10.30_OutsideLighting-System"/>
    <s v="F0028"/>
    <s v="Light Scenario, Comfort Direction Indication"/>
    <s v="B"/>
    <s v="Body"/>
    <s v="External Illumination"/>
    <s v="Rear Lamps R"/>
    <s v="Bulb"/>
    <s v="Actuator"/>
    <s v="Taillamp Assy' P21W + P10W Right - Tailgate"/>
    <s v="Taillamp Assy' P21W + P10W Right - Tailgate - Rear Lamps R"/>
    <m/>
    <m/>
    <s v="112;12"/>
    <m/>
    <m/>
    <m/>
    <m/>
    <s v="No"/>
    <s v="No"/>
    <s v="No"/>
    <n v="0"/>
    <n v="0"/>
    <n v="0.66"/>
    <n v="0.66"/>
  </r>
  <r>
    <x v="545"/>
    <s v="10.0_Comfort &amp; Exterior"/>
    <s v="10.30_OutsideLighting-System"/>
    <s v="F0110"/>
    <s v="Rear Lighting, Taillamp"/>
    <s v="QM"/>
    <s v="Body"/>
    <s v="External Illumination"/>
    <s v="Rear Lamps R"/>
    <s v="Bulb"/>
    <s v="Actuator"/>
    <s v="Taillamp Assy' P21W + P10W Right - Tailgate"/>
    <s v="Taillamp Assy' P21W + P10W Right - Tailgate - Rear Lamps R"/>
    <m/>
    <m/>
    <s v="112;12"/>
    <m/>
    <m/>
    <m/>
    <m/>
    <s v="No"/>
    <s v="No"/>
    <s v="No"/>
    <n v="0"/>
    <n v="0"/>
    <n v="0.66"/>
    <n v="0.66"/>
  </r>
  <r>
    <x v="545"/>
    <s v="10.0_Comfort &amp; Exterior"/>
    <s v="10.30_OutsideLighting-System"/>
    <s v="F0220"/>
    <s v="Light Scenario, Coming Home "/>
    <s v="QM"/>
    <s v="Body"/>
    <s v="External Illumination"/>
    <s v="Rear Lamps R"/>
    <s v="Bulb"/>
    <s v="Actuator"/>
    <s v="Taillamp Assy' P21W + P10W Right - Tailgate"/>
    <s v="Taillamp Assy' P21W + P10W Right - Tailgate - Rear Lamps R"/>
    <m/>
    <m/>
    <s v="112;12"/>
    <m/>
    <m/>
    <m/>
    <m/>
    <s v="No"/>
    <s v="No"/>
    <s v="No"/>
    <n v="0"/>
    <n v="0"/>
    <n v="0.66"/>
    <n v="0.66"/>
  </r>
  <r>
    <x v="545"/>
    <s v="10.0_Comfort &amp; Exterior"/>
    <s v="10.30_OutsideLighting-System"/>
    <s v="F0221"/>
    <s v="Light Scenario, Welcome Light"/>
    <s v="QM"/>
    <s v="Body"/>
    <s v="External Illumination"/>
    <s v="Rear Lamps R"/>
    <s v="Bulb"/>
    <s v="Actuator"/>
    <s v="Taillamp Assy' P21W + P10W Right - Tailgate"/>
    <s v="Taillamp Assy' P21W + P10W Right - Tailgate - Rear Lamps R"/>
    <m/>
    <m/>
    <s v="112;12"/>
    <m/>
    <m/>
    <m/>
    <m/>
    <s v="No"/>
    <s v="No"/>
    <s v="No"/>
    <n v="0"/>
    <n v="0"/>
    <n v="0.66"/>
    <n v="0.66"/>
  </r>
  <r>
    <x v="545"/>
    <s v="10.0_Comfort &amp; Exterior"/>
    <s v="10.30_OutsideLighting-System"/>
    <s v="F0227"/>
    <s v="Light Scenario, Parking Light"/>
    <s v="QM"/>
    <s v="Body"/>
    <s v="External Illumination"/>
    <s v="Rear Lamps R"/>
    <s v="Bulb"/>
    <s v="Actuator"/>
    <s v="Taillamp Assy' P21W + P10W Right - Tailgate"/>
    <s v="Taillamp Assy' P21W + P10W Right - Tailgate - Rear Lamps R"/>
    <m/>
    <m/>
    <s v="112;12"/>
    <m/>
    <m/>
    <m/>
    <m/>
    <s v="No"/>
    <s v="No"/>
    <s v="No"/>
    <n v="0"/>
    <n v="0"/>
    <n v="0.66"/>
    <n v="0.66"/>
  </r>
  <r>
    <x v="545"/>
    <s v="10.0_Comfort &amp; Exterior"/>
    <s v="10.30_OutsideLighting-System"/>
    <s v="F0231"/>
    <s v="Rear Lighting, Rear Position Light"/>
    <s v="QM"/>
    <s v="Body"/>
    <s v="External Illumination"/>
    <s v="Rear Lamps R"/>
    <s v="Bulb"/>
    <s v="Actuator"/>
    <s v="Taillamp Assy' P21W + P10W Right - Tailgate"/>
    <s v="Taillamp Assy' P21W + P10W Right - Tailgate - Rear Lamps R"/>
    <m/>
    <m/>
    <s v="112;12"/>
    <m/>
    <m/>
    <m/>
    <m/>
    <s v="No"/>
    <s v="No"/>
    <s v="No"/>
    <n v="0"/>
    <n v="0"/>
    <n v="0.66"/>
    <n v="0.66"/>
  </r>
  <r>
    <x v="545"/>
    <s v="10.0_Comfort &amp; Exterior"/>
    <s v="10.30_OutsideLighting-System"/>
    <s v="F0378"/>
    <s v="Rear Lighting, Fog Rear"/>
    <m/>
    <s v="Body"/>
    <s v="External Illumination"/>
    <s v="Rear Lamps R"/>
    <s v="Bulb"/>
    <s v="Actuator"/>
    <s v="Taillamp Assy' P21W + P10W Right - Tailgate"/>
    <s v="Taillamp Assy' P21W + P10W Right - Tailgate - Rear Lamps R"/>
    <m/>
    <m/>
    <s v="112;12"/>
    <m/>
    <m/>
    <m/>
    <m/>
    <s v="No"/>
    <s v="No"/>
    <s v="No"/>
    <n v="0"/>
    <n v="0"/>
    <n v="0.66"/>
    <n v="0.66"/>
  </r>
  <r>
    <x v="546"/>
    <s v="36.0_Infotainment &amp; Connectivity"/>
    <s v="36.40_Ecall-System"/>
    <s v="F0143"/>
    <s v="Emergency Call, E-Call (EU)"/>
    <s v="QM"/>
    <s v="Infotainment"/>
    <s v="Communication"/>
    <s v="Emergency Call"/>
    <s v="Basic"/>
    <s v="Antenna"/>
    <s v="E-Call Antenna"/>
    <s v="E-Call Antenna - Emergency Call"/>
    <m/>
    <m/>
    <s v="106;20"/>
    <s v="TE"/>
    <s v="1452584-1"/>
    <s v="1 Pos. Fakra II Unsealed"/>
    <m/>
    <s v="Yes"/>
    <s v="Yes"/>
    <s v="Yes"/>
    <n v="0"/>
    <n v="0"/>
    <n v="0"/>
    <n v="0"/>
  </r>
  <r>
    <x v="547"/>
    <s v="36.0_Infotainment &amp; Connectivity"/>
    <s v="36.40_Ecall-System"/>
    <s v="F0143"/>
    <s v="Emergency Call, E-Call (EU)"/>
    <s v="QM"/>
    <s v="Infotainment"/>
    <s v="Communication"/>
    <s v="Emergency Call"/>
    <s v="Basic"/>
    <s v="Antenna"/>
    <s v="E-Call Antenna"/>
    <s v="E-Call Antenna - Emergency Call"/>
    <m/>
    <m/>
    <s v="26;2"/>
    <s v="TE"/>
    <s v="1452584-1"/>
    <s v="1 Pos. Fakra II Unsealed"/>
    <m/>
    <s v="Yes"/>
    <s v="Yes"/>
    <s v="Yes"/>
    <n v="0"/>
    <n v="0"/>
    <n v="0"/>
    <n v="0"/>
  </r>
  <r>
    <x v="548"/>
    <s v="80.0_Cross-Functions"/>
    <s v="80.98_Antenna-Design"/>
    <s v="F0566"/>
    <s v="Bluetooth-Connection"/>
    <s v="QM"/>
    <s v="Infotainment"/>
    <s v="In Vehicle Communication"/>
    <s v="Internal Wireless Digital Data"/>
    <s v="Bluetooth"/>
    <s v="Antenna"/>
    <s v="Bluetooth Antenna"/>
    <s v="Bluetooth Antenna - Internal Wireless Digital Data"/>
    <m/>
    <m/>
    <s v="83;-1"/>
    <s v="TE"/>
    <s v="1452584-1"/>
    <s v="1 Pos. Fakra II Unsealed"/>
    <m/>
    <s v="Yes"/>
    <s v="Yes"/>
    <s v="Yes"/>
    <n v="1"/>
    <n v="1"/>
    <n v="1"/>
    <n v="1"/>
  </r>
  <r>
    <x v="549"/>
    <s v="36.0_Infotainment &amp; Connectivity"/>
    <s v="36.10_Radio-System"/>
    <s v="F0261"/>
    <s v="Radio, HD"/>
    <s v="QM"/>
    <s v="Infotainment"/>
    <s v="Audio"/>
    <s v="Radio Receiving"/>
    <m/>
    <s v="Antenna"/>
    <s v="AM+FM Antenna (w/ Amplifier)"/>
    <s v="AM+FM Antenna (w/ Amplifier) - Radio Receiving"/>
    <m/>
    <m/>
    <s v="85;15"/>
    <s v="TE"/>
    <s v="1452584-1"/>
    <s v="1 Pos. Fakra II Unsealed"/>
    <m/>
    <s v="Yes"/>
    <s v="Yes"/>
    <s v="No"/>
    <n v="1"/>
    <n v="1"/>
    <n v="1"/>
    <n v="1"/>
  </r>
  <r>
    <x v="550"/>
    <s v="36.0_Infotainment &amp; Connectivity"/>
    <s v="36.10_Radio-System"/>
    <s v="F0261"/>
    <s v="Radio, HD"/>
    <s v="QM"/>
    <s v="Infotainment"/>
    <s v="Audio"/>
    <s v="Radio Receiving"/>
    <m/>
    <s v="Antenna"/>
    <s v="AM+FM+DAB Antenna (w/ Amplifier)"/>
    <s v="AM+FM+DAB Antenna (w/ Amplifier) - Radio Receiving"/>
    <m/>
    <m/>
    <s v="85;15"/>
    <s v="TE"/>
    <s v="1452584-1"/>
    <s v="1 Pos. Fakra II Unsealed"/>
    <m/>
    <s v="No"/>
    <s v="No"/>
    <s v="Yes"/>
    <n v="1"/>
    <n v="1"/>
    <n v="1"/>
    <n v="1"/>
  </r>
  <r>
    <x v="550"/>
    <s v="36.0_Infotainment &amp; Connectivity"/>
    <s v="36.10_Radio-System"/>
    <s v="F0574"/>
    <s v="Radio, DAB+"/>
    <s v="QM"/>
    <s v="Infotainment"/>
    <s v="Audio"/>
    <s v="Radio Receiving"/>
    <m/>
    <s v="Antenna"/>
    <s v="AM+FM+DAB Antenna (w/ Amplifier)"/>
    <s v="AM+FM+DAB Antenna (w/ Amplifier) - Radio Receiving"/>
    <m/>
    <m/>
    <s v="85;15"/>
    <s v="TE"/>
    <s v="1452584-1"/>
    <s v="1 Pos. Fakra II Unsealed"/>
    <m/>
    <s v="No"/>
    <s v="No"/>
    <s v="Yes"/>
    <n v="1"/>
    <n v="1"/>
    <n v="1"/>
    <n v="1"/>
  </r>
  <r>
    <x v="551"/>
    <s v="80.0_Cross-Functions"/>
    <s v="80.89_WiringHarness-Design"/>
    <s v="F0484"/>
    <s v="Electrical System, 12V"/>
    <s v=" "/>
    <s v="System"/>
    <s v="Cross-Domain"/>
    <s v="Power Supply"/>
    <s v="Basic"/>
    <s v="Power Distributor"/>
    <s v="Power Supply Kl.30"/>
    <s v="Power Supply Kl.30 - Power Supply"/>
    <m/>
    <m/>
    <m/>
    <m/>
    <m/>
    <m/>
    <m/>
    <m/>
    <m/>
    <m/>
    <m/>
    <m/>
    <m/>
    <m/>
  </r>
  <r>
    <x v="552"/>
    <s v="36.0_Infotainment &amp; Connectivity"/>
    <s v="36.12_Sound-System"/>
    <s v="F0801"/>
    <s v="Sound System Rear, 2 Tweeter"/>
    <s v="QM"/>
    <s v="Infotainment"/>
    <s v="Audio"/>
    <s v="High Tone Speaker"/>
    <s v="Standard Audio System"/>
    <s v="Loudspeaker"/>
    <s v="Loudspeaker - Rear Left"/>
    <s v="Loudspeaker - Rear Left - High Tone Speaker"/>
    <m/>
    <m/>
    <s v="92;-14"/>
    <s v="TE"/>
    <s v="1563189-1"/>
    <s v="2 Pos. MPT 1,5mm Unsealed"/>
    <m/>
    <s v="No"/>
    <s v="Yes"/>
    <s v="Yes"/>
    <n v="0.25"/>
    <n v="0.35"/>
    <n v="0.4"/>
    <n v="0.3"/>
  </r>
  <r>
    <x v="552"/>
    <s v="36.0_Infotainment &amp; Connectivity"/>
    <s v="36.12_Sound-System"/>
    <s v="F1342"/>
    <s v="Road-noise Active Noise Cancelation (RANC)"/>
    <s v="QM"/>
    <s v="Infotainment"/>
    <s v="Audio"/>
    <s v="High Tone Speaker"/>
    <s v="Standard Audio System"/>
    <s v="Loudspeaker"/>
    <s v="Loudspeaker - Rear Left"/>
    <s v="Loudspeaker - Rear Left - High Tone Speaker"/>
    <m/>
    <m/>
    <s v="92;-14"/>
    <s v="TE"/>
    <s v="1563189-1"/>
    <s v="2 Pos. MPT 1,5mm Unsealed"/>
    <m/>
    <s v="No"/>
    <s v="Yes"/>
    <s v="Yes"/>
    <n v="0.25"/>
    <n v="0.35"/>
    <n v="0.4"/>
    <n v="0.3"/>
  </r>
  <r>
    <x v="553"/>
    <s v="36.0_Infotainment &amp; Connectivity"/>
    <s v="36.12_Sound-System"/>
    <s v="F0801"/>
    <s v="Sound System Rear, 2 Tweeter"/>
    <s v="QM"/>
    <s v="Infotainment"/>
    <s v="Audio"/>
    <s v="High Tone Speaker"/>
    <s v="Standard Audio System"/>
    <s v="Loudspeaker"/>
    <s v="Loudspeaker - Rear Right"/>
    <s v="Loudspeaker - Rear Right - High Tone Speaker"/>
    <m/>
    <m/>
    <s v="92;14"/>
    <s v="TE"/>
    <s v="1563189-1"/>
    <s v="2 Pos. MPT 1,5mm Unsealed"/>
    <m/>
    <s v="No"/>
    <s v="Yes"/>
    <s v="Yes"/>
    <n v="0.25"/>
    <n v="0.35"/>
    <n v="0.4"/>
    <n v="0.3"/>
  </r>
  <r>
    <x v="553"/>
    <s v="36.0_Infotainment &amp; Connectivity"/>
    <s v="36.12_Sound-System"/>
    <s v="F1342"/>
    <s v="Road-noise Active Noise Cancelation (RANC)"/>
    <s v="QM"/>
    <s v="Infotainment"/>
    <s v="Audio"/>
    <s v="High Tone Speaker"/>
    <s v="Standard Audio System"/>
    <s v="Loudspeaker"/>
    <s v="Loudspeaker - Rear Right"/>
    <s v="Loudspeaker - Rear Right - High Tone Speaker"/>
    <m/>
    <m/>
    <s v="92;14"/>
    <s v="TE"/>
    <s v="1563189-1"/>
    <s v="2 Pos. MPT 1,5mm Unsealed"/>
    <m/>
    <s v="No"/>
    <s v="Yes"/>
    <s v="Yes"/>
    <n v="0.25"/>
    <n v="0.35"/>
    <n v="0.4"/>
    <n v="0.3"/>
  </r>
  <r>
    <x v="554"/>
    <s v="10.0_Comfort &amp; Exterior"/>
    <s v="10.20_Mirroring-System"/>
    <s v="F0249"/>
    <s v="Outside Mirror Camera"/>
    <m/>
    <s v="Drive Assistance"/>
    <s v="Driver Assistance System"/>
    <s v="Rear View"/>
    <s v="L1+"/>
    <s v="Camera"/>
    <s v="Surround Camera Rear"/>
    <s v="Surround Camera Rear - Rear View"/>
    <m/>
    <m/>
    <s v="113;0"/>
    <s v="TE"/>
    <s v="0-1823853-1"/>
    <s v="5 Pos. HSD Ass'y Sealed"/>
    <s v="N/A"/>
    <s v="No"/>
    <s v="Yes"/>
    <s v="No"/>
    <n v="1"/>
    <n v="1"/>
    <n v="1"/>
    <n v="1"/>
  </r>
  <r>
    <x v="554"/>
    <s v="10.0_Comfort &amp; Exterior"/>
    <s v="10.20_Mirroring-System"/>
    <s v="F0912"/>
    <s v="Surround View, 3D-View"/>
    <m/>
    <s v="Drive Assistance"/>
    <s v="Driver Assistance System"/>
    <s v="Rear View"/>
    <s v="L1+"/>
    <s v="Camera"/>
    <s v="Surround Camera Rear"/>
    <s v="Surround Camera Rear - Rear View"/>
    <m/>
    <m/>
    <s v="113;0"/>
    <s v="TE"/>
    <s v="0-1823853-1"/>
    <s v="5 Pos. HSD Ass'y Sealed"/>
    <s v="N/A"/>
    <s v="No"/>
    <s v="Yes"/>
    <s v="No"/>
    <n v="1"/>
    <n v="1"/>
    <n v="1"/>
    <n v="1"/>
  </r>
  <r>
    <x v="554"/>
    <s v="37.0_ADAS &amp; AutomatedDriving"/>
    <s v="37.02_Alerting-System"/>
    <s v="F0599"/>
    <s v="Event Recorder, Video Capturing"/>
    <m/>
    <s v="Drive Assistance"/>
    <s v="Driver Assistance System"/>
    <s v="Rear View"/>
    <s v="L1+"/>
    <s v="Camera"/>
    <s v="Surround Camera Rear"/>
    <s v="Surround Camera Rear - Rear View"/>
    <m/>
    <m/>
    <s v="113;0"/>
    <s v="TE"/>
    <s v="0-1823853-1"/>
    <s v="5 Pos. HSD Ass'y Sealed"/>
    <s v="N/A"/>
    <s v="No"/>
    <s v="Yes"/>
    <s v="No"/>
    <n v="1"/>
    <n v="1"/>
    <n v="1"/>
    <n v="1"/>
  </r>
  <r>
    <x v="554"/>
    <s v="37.0_ADAS &amp; AutomatedDriving"/>
    <s v="37.20_Parking-System"/>
    <s v="F0155"/>
    <s v="Park Assist, Front"/>
    <m/>
    <s v="Drive Assistance"/>
    <s v="Driver Assistance System"/>
    <s v="Rear View"/>
    <s v="L1+"/>
    <s v="Camera"/>
    <s v="Surround Camera Rear"/>
    <s v="Surround Camera Rear - Rear View"/>
    <m/>
    <m/>
    <s v="113;0"/>
    <s v="TE"/>
    <s v="0-1823853-1"/>
    <s v="5 Pos. HSD Ass'y Sealed"/>
    <s v="N/A"/>
    <s v="No"/>
    <s v="Yes"/>
    <s v="No"/>
    <n v="1"/>
    <n v="1"/>
    <n v="1"/>
    <n v="1"/>
  </r>
  <r>
    <x v="554"/>
    <s v="37.0_ADAS &amp; AutomatedDriving"/>
    <s v="37.20_Parking-System"/>
    <s v="F0156"/>
    <s v="Park Assist, Rear"/>
    <m/>
    <s v="Drive Assistance"/>
    <s v="Driver Assistance System"/>
    <s v="Rear View"/>
    <s v="L1+"/>
    <s v="Camera"/>
    <s v="Surround Camera Rear"/>
    <s v="Surround Camera Rear - Rear View"/>
    <m/>
    <m/>
    <s v="113;0"/>
    <s v="TE"/>
    <s v="0-1823853-1"/>
    <s v="5 Pos. HSD Ass'y Sealed"/>
    <s v="N/A"/>
    <s v="No"/>
    <s v="Yes"/>
    <s v="No"/>
    <n v="1"/>
    <n v="1"/>
    <n v="1"/>
    <n v="1"/>
  </r>
  <r>
    <x v="554"/>
    <s v="37.0_ADAS &amp; AutomatedDriving"/>
    <s v="37.20_Parking-System"/>
    <s v="F1301"/>
    <s v="Drive Away Assist"/>
    <m/>
    <s v="Drive Assistance"/>
    <s v="Driver Assistance System"/>
    <s v="Rear View"/>
    <s v="L1+"/>
    <s v="Camera"/>
    <s v="Surround Camera Rear"/>
    <s v="Surround Camera Rear - Rear View"/>
    <m/>
    <m/>
    <s v="113;0"/>
    <s v="TE"/>
    <s v="0-1823853-1"/>
    <s v="5 Pos. HSD Ass'y Sealed"/>
    <s v="N/A"/>
    <s v="No"/>
    <s v="Yes"/>
    <s v="No"/>
    <n v="1"/>
    <n v="1"/>
    <n v="1"/>
    <n v="1"/>
  </r>
  <r>
    <x v="554"/>
    <s v="37.0_ADAS &amp; AutomatedDriving"/>
    <s v="37.20_Parking-System"/>
    <s v="F1304"/>
    <s v="Park Assist, Side"/>
    <m/>
    <s v="Drive Assistance"/>
    <s v="Driver Assistance System"/>
    <s v="Rear View"/>
    <s v="L1+"/>
    <s v="Camera"/>
    <s v="Surround Camera Rear"/>
    <s v="Surround Camera Rear - Rear View"/>
    <m/>
    <m/>
    <s v="113;0"/>
    <s v="TE"/>
    <s v="0-1823853-1"/>
    <s v="5 Pos. HSD Ass'y Sealed"/>
    <s v="N/A"/>
    <s v="No"/>
    <s v="Yes"/>
    <s v="No"/>
    <n v="1"/>
    <n v="1"/>
    <n v="1"/>
    <n v="1"/>
  </r>
  <r>
    <x v="554"/>
    <s v="37.0_ADAS &amp; AutomatedDriving"/>
    <s v="37.20_Parking-System"/>
    <s v="F2003"/>
    <s v="Automatic Parking Support"/>
    <m/>
    <s v="Drive Assistance"/>
    <s v="Driver Assistance System"/>
    <s v="Rear View"/>
    <s v="L1+"/>
    <s v="Camera"/>
    <s v="Surround Camera Rear"/>
    <s v="Surround Camera Rear - Rear View"/>
    <m/>
    <m/>
    <s v="113;0"/>
    <s v="TE"/>
    <s v="0-1823853-1"/>
    <s v="5 Pos. HSD Ass'y Sealed"/>
    <s v="N/A"/>
    <s v="No"/>
    <s v="Yes"/>
    <s v="No"/>
    <n v="1"/>
    <n v="1"/>
    <n v="1"/>
    <n v="1"/>
  </r>
  <r>
    <x v="555"/>
    <s v="10.0_Comfort &amp; Exterior"/>
    <s v="10.20_Mirroring-System"/>
    <s v="F0912"/>
    <s v="Surround View, 3D-View"/>
    <m/>
    <s v="Drive Assistance"/>
    <s v="Driver Assistance System"/>
    <s v="Front View"/>
    <s v="L1/L1+"/>
    <s v="Camera"/>
    <s v="Surround Camera Front"/>
    <s v="Surround Camera Front - Front View"/>
    <m/>
    <m/>
    <s v="-13;0"/>
    <s v="TE"/>
    <s v="0-1823853-1"/>
    <s v="5 Pos. HSD Ass'y Sealed"/>
    <s v="N/A"/>
    <s v="No"/>
    <s v="Yes"/>
    <s v="No"/>
    <n v="1"/>
    <n v="1"/>
    <n v="1"/>
    <n v="1"/>
  </r>
  <r>
    <x v="555"/>
    <s v="37.0_ADAS &amp; AutomatedDriving"/>
    <s v="37.01_LightingAssistant-System"/>
    <s v="F0145"/>
    <s v="Light Assist, High Beam Automatic"/>
    <m/>
    <s v="Drive Assistance"/>
    <s v="Driver Assistance System"/>
    <s v="Front View"/>
    <s v="L1/L1+"/>
    <s v="Camera"/>
    <s v="Surround Camera Front"/>
    <s v="Surround Camera Front - Front View"/>
    <m/>
    <m/>
    <s v="-13;0"/>
    <s v="TE"/>
    <s v="0-1823853-1"/>
    <s v="5 Pos. HSD Ass'y Sealed"/>
    <s v="N/A"/>
    <s v="No"/>
    <s v="Yes"/>
    <s v="No"/>
    <n v="1"/>
    <n v="1"/>
    <n v="1"/>
    <n v="1"/>
  </r>
  <r>
    <x v="555"/>
    <s v="37.0_ADAS &amp; AutomatedDriving"/>
    <s v="37.02_Alerting-System"/>
    <s v="F0162"/>
    <s v="Object Detection, Traffic Sign Recognition"/>
    <m/>
    <s v="Drive Assistance"/>
    <s v="Driver Assistance System"/>
    <s v="Front View"/>
    <s v="L1/L1+"/>
    <s v="Camera"/>
    <s v="Surround Camera Front"/>
    <s v="Surround Camera Front - Front View"/>
    <m/>
    <m/>
    <s v="-13;0"/>
    <s v="TE"/>
    <s v="0-1823853-1"/>
    <s v="5 Pos. HSD Ass'y Sealed"/>
    <s v="N/A"/>
    <s v="No"/>
    <s v="Yes"/>
    <s v="No"/>
    <n v="1"/>
    <n v="1"/>
    <n v="1"/>
    <n v="1"/>
  </r>
  <r>
    <x v="555"/>
    <s v="37.0_ADAS &amp; AutomatedDriving"/>
    <s v="37.02_Alerting-System"/>
    <s v="F0594"/>
    <s v="Object Detection, Highway"/>
    <m/>
    <s v="Drive Assistance"/>
    <s v="Driver Assistance System"/>
    <s v="Front View"/>
    <s v="L1/L1+"/>
    <s v="Camera"/>
    <s v="Surround Camera Front"/>
    <s v="Surround Camera Front - Front View"/>
    <m/>
    <m/>
    <s v="-13;0"/>
    <s v="TE"/>
    <s v="0-1823853-1"/>
    <s v="5 Pos. HSD Ass'y Sealed"/>
    <s v="N/A"/>
    <s v="No"/>
    <s v="Yes"/>
    <s v="No"/>
    <n v="1"/>
    <n v="1"/>
    <n v="1"/>
    <n v="1"/>
  </r>
  <r>
    <x v="555"/>
    <s v="37.0_ADAS &amp; AutomatedDriving"/>
    <s v="37.02_Alerting-System"/>
    <s v="F0599"/>
    <s v="Event Recorder, Video Capturing"/>
    <m/>
    <s v="Drive Assistance"/>
    <s v="Driver Assistance System"/>
    <s v="Front View"/>
    <s v="L1/L1+"/>
    <s v="Camera"/>
    <s v="Surround Camera Front"/>
    <s v="Surround Camera Front - Front View"/>
    <m/>
    <m/>
    <s v="-13;0"/>
    <s v="TE"/>
    <s v="0-1823853-1"/>
    <s v="5 Pos. HSD Ass'y Sealed"/>
    <s v="N/A"/>
    <s v="No"/>
    <s v="Yes"/>
    <s v="No"/>
    <n v="1"/>
    <n v="1"/>
    <n v="1"/>
    <n v="1"/>
  </r>
  <r>
    <x v="555"/>
    <s v="37.0_ADAS &amp; AutomatedDriving"/>
    <s v="37.20_Parking-System"/>
    <s v="F0155"/>
    <s v="Park Assist, Front"/>
    <m/>
    <s v="Drive Assistance"/>
    <s v="Driver Assistance System"/>
    <s v="Front View"/>
    <s v="L1/L1+"/>
    <s v="Camera"/>
    <s v="Surround Camera Front"/>
    <s v="Surround Camera Front - Front View"/>
    <m/>
    <m/>
    <s v="-13;0"/>
    <s v="TE"/>
    <s v="0-1823853-1"/>
    <s v="5 Pos. HSD Ass'y Sealed"/>
    <s v="N/A"/>
    <s v="No"/>
    <s v="Yes"/>
    <s v="No"/>
    <n v="1"/>
    <n v="1"/>
    <n v="1"/>
    <n v="1"/>
  </r>
  <r>
    <x v="555"/>
    <s v="37.0_ADAS &amp; AutomatedDriving"/>
    <s v="37.20_Parking-System"/>
    <s v="F0156"/>
    <s v="Park Assist, Rear"/>
    <m/>
    <s v="Drive Assistance"/>
    <s v="Driver Assistance System"/>
    <s v="Front View"/>
    <s v="L1/L1+"/>
    <s v="Camera"/>
    <s v="Surround Camera Front"/>
    <s v="Surround Camera Front - Front View"/>
    <m/>
    <m/>
    <s v="-13;0"/>
    <s v="TE"/>
    <s v="0-1823853-1"/>
    <s v="5 Pos. HSD Ass'y Sealed"/>
    <s v="N/A"/>
    <s v="No"/>
    <s v="Yes"/>
    <s v="No"/>
    <n v="1"/>
    <n v="1"/>
    <n v="1"/>
    <n v="1"/>
  </r>
  <r>
    <x v="555"/>
    <s v="37.0_ADAS &amp; AutomatedDriving"/>
    <s v="37.20_Parking-System"/>
    <s v="F1301"/>
    <s v="Drive Away Assist"/>
    <m/>
    <s v="Drive Assistance"/>
    <s v="Driver Assistance System"/>
    <s v="Front View"/>
    <s v="L1/L1+"/>
    <s v="Camera"/>
    <s v="Surround Camera Front"/>
    <s v="Surround Camera Front - Front View"/>
    <m/>
    <m/>
    <s v="-13;0"/>
    <s v="TE"/>
    <s v="0-1823853-1"/>
    <s v="5 Pos. HSD Ass'y Sealed"/>
    <s v="N/A"/>
    <s v="No"/>
    <s v="Yes"/>
    <s v="No"/>
    <n v="1"/>
    <n v="1"/>
    <n v="1"/>
    <n v="1"/>
  </r>
  <r>
    <x v="555"/>
    <s v="37.0_ADAS &amp; AutomatedDriving"/>
    <s v="37.20_Parking-System"/>
    <s v="F1304"/>
    <s v="Park Assist, Side"/>
    <m/>
    <s v="Drive Assistance"/>
    <s v="Driver Assistance System"/>
    <s v="Front View"/>
    <s v="L1/L1+"/>
    <s v="Camera"/>
    <s v="Surround Camera Front"/>
    <s v="Surround Camera Front - Front View"/>
    <m/>
    <m/>
    <s v="-13;0"/>
    <s v="TE"/>
    <s v="0-1823853-1"/>
    <s v="5 Pos. HSD Ass'y Sealed"/>
    <s v="N/A"/>
    <s v="No"/>
    <s v="Yes"/>
    <s v="No"/>
    <n v="1"/>
    <n v="1"/>
    <n v="1"/>
    <n v="1"/>
  </r>
  <r>
    <x v="555"/>
    <s v="37.0_ADAS &amp; AutomatedDriving"/>
    <s v="37.20_Parking-System"/>
    <s v="F2003"/>
    <s v="Automatic Parking Support"/>
    <m/>
    <s v="Drive Assistance"/>
    <s v="Driver Assistance System"/>
    <s v="Front View"/>
    <s v="L1/L1+"/>
    <s v="Camera"/>
    <s v="Surround Camera Front"/>
    <s v="Surround Camera Front - Front View"/>
    <m/>
    <m/>
    <s v="-13;0"/>
    <s v="TE"/>
    <s v="0-1823853-1"/>
    <s v="5 Pos. HSD Ass'y Sealed"/>
    <s v="N/A"/>
    <s v="No"/>
    <s v="Yes"/>
    <s v="No"/>
    <n v="1"/>
    <n v="1"/>
    <n v="1"/>
    <n v="1"/>
  </r>
  <r>
    <x v="556"/>
    <m/>
    <m/>
    <m/>
    <m/>
    <s v=" "/>
    <s v="Powertrain"/>
    <s v="Engine"/>
    <s v="Start-Stop Solenoid"/>
    <s v="ICE"/>
    <s v="Interface Connection"/>
    <s v="Start"/>
    <s v="Start - Start-Stop Solenoid"/>
    <m/>
    <m/>
    <m/>
    <m/>
    <m/>
    <m/>
    <m/>
    <m/>
    <m/>
    <m/>
    <m/>
    <m/>
    <m/>
    <m/>
  </r>
  <r>
    <x v="557"/>
    <s v="37.0_ADAS &amp; AutomatedDriving"/>
    <s v="37.20_Parking-System"/>
    <s v="F0155"/>
    <s v="Park Assist, Front"/>
    <m/>
    <s v="Drive Assistance"/>
    <s v="Driver Assistance System"/>
    <s v="Short Range Distance Measurement"/>
    <s v="L1+/L2/L2+/L3/L4/L5"/>
    <s v="Sensor"/>
    <s v="Ultrasonic Sensor FL"/>
    <s v="Ultrasonic Sensor FL - Short Range Distance Measurement"/>
    <m/>
    <m/>
    <s v="-13;-15"/>
    <s v="TE"/>
    <s v="0-1488991-6"/>
    <s v="3 Pos. MCON 1,2mm Sealed"/>
    <m/>
    <s v="No"/>
    <s v="Yes"/>
    <s v="Yes"/>
    <n v="0.05"/>
    <n v="0"/>
    <n v="0.05"/>
    <n v="0"/>
  </r>
  <r>
    <x v="557"/>
    <s v="37.0_ADAS &amp; AutomatedDriving"/>
    <s v="37.20_Parking-System"/>
    <s v="F0314"/>
    <s v="Parking Pilot, Valet Parking"/>
    <m/>
    <s v="Drive Assistance"/>
    <s v="Driver Assistance System"/>
    <s v="Short Range Distance Measurement"/>
    <s v="L1+/L2/L2+/L3/L4/L5"/>
    <s v="Sensor"/>
    <s v="Ultrasonic Sensor FL"/>
    <s v="Ultrasonic Sensor FL - Short Range Distance Measurement"/>
    <m/>
    <m/>
    <s v="-13;-15"/>
    <s v="TE"/>
    <s v="0-1488991-6"/>
    <s v="3 Pos. MCON 1,2mm Sealed"/>
    <m/>
    <s v="No"/>
    <s v="No"/>
    <s v="Yes"/>
    <n v="0.05"/>
    <n v="0"/>
    <n v="0.05"/>
    <n v="0"/>
  </r>
  <r>
    <x v="557"/>
    <s v="37.0_ADAS &amp; AutomatedDriving"/>
    <s v="37.20_Parking-System"/>
    <s v="F0536"/>
    <s v="Parking Pilot, Trained Parking"/>
    <m/>
    <s v="Drive Assistance"/>
    <s v="Driver Assistance System"/>
    <s v="Short Range Distance Measurement"/>
    <s v="L1+/L2/L2+/L3/L4/L5"/>
    <s v="Sensor"/>
    <s v="Ultrasonic Sensor FL"/>
    <s v="Ultrasonic Sensor FL - Short Range Distance Measurement"/>
    <m/>
    <m/>
    <s v="-13;-15"/>
    <s v="TE"/>
    <s v="0-1488991-6"/>
    <s v="3 Pos. MCON 1,2mm Sealed"/>
    <m/>
    <s v="No"/>
    <s v="No"/>
    <s v="Yes"/>
    <n v="0.05"/>
    <n v="0"/>
    <n v="0.05"/>
    <n v="0"/>
  </r>
  <r>
    <x v="557"/>
    <s v="37.0_ADAS &amp; AutomatedDriving"/>
    <s v="37.20_Parking-System"/>
    <s v="F1301"/>
    <s v="Drive Away Assist"/>
    <m/>
    <s v="Drive Assistance"/>
    <s v="Driver Assistance System"/>
    <s v="Short Range Distance Measurement"/>
    <s v="L1+/L2/L2+/L3/L4/L5"/>
    <s v="Sensor"/>
    <s v="Ultrasonic Sensor FL"/>
    <s v="Ultrasonic Sensor FL - Short Range Distance Measurement"/>
    <m/>
    <m/>
    <s v="-13;-15"/>
    <s v="TE"/>
    <s v="0-1488991-6"/>
    <s v="3 Pos. MCON 1,2mm Sealed"/>
    <m/>
    <s v="No"/>
    <s v="No"/>
    <s v="Yes"/>
    <n v="0.05"/>
    <n v="0"/>
    <n v="0.05"/>
    <n v="0"/>
  </r>
  <r>
    <x v="557"/>
    <s v="37.0_ADAS &amp; AutomatedDriving"/>
    <s v="37.20_Parking-System"/>
    <s v="F1304"/>
    <s v="Park Assist, Side"/>
    <m/>
    <s v="Drive Assistance"/>
    <s v="Driver Assistance System"/>
    <s v="Short Range Distance Measurement"/>
    <s v="L1+/L2/L2+/L3/L4/L5"/>
    <s v="Sensor"/>
    <s v="Ultrasonic Sensor FL"/>
    <s v="Ultrasonic Sensor FL - Short Range Distance Measurement"/>
    <m/>
    <m/>
    <s v="-13;-15"/>
    <s v="TE"/>
    <s v="0-1488991-6"/>
    <s v="3 Pos. MCON 1,2mm Sealed"/>
    <m/>
    <s v="No"/>
    <s v="Yes"/>
    <s v="Yes"/>
    <n v="0.05"/>
    <n v="0"/>
    <n v="0.05"/>
    <n v="0"/>
  </r>
  <r>
    <x v="557"/>
    <s v="37.0_ADAS &amp; AutomatedDriving"/>
    <s v="37.20_Parking-System"/>
    <s v="F2003"/>
    <s v="Automatic Parking Support"/>
    <m/>
    <s v="Drive Assistance"/>
    <s v="Driver Assistance System"/>
    <s v="Short Range Distance Measurement"/>
    <s v="L1+/L2/L2+/L3/L4/L5"/>
    <s v="Sensor"/>
    <s v="Ultrasonic Sensor FL"/>
    <s v="Ultrasonic Sensor FL - Short Range Distance Measurement"/>
    <m/>
    <m/>
    <s v="-13;-15"/>
    <s v="TE"/>
    <s v="0-1488991-6"/>
    <s v="3 Pos. MCON 1,2mm Sealed"/>
    <m/>
    <s v="No"/>
    <s v="Yes"/>
    <s v="Yes"/>
    <n v="0.05"/>
    <n v="0"/>
    <n v="0.05"/>
    <n v="0"/>
  </r>
  <r>
    <x v="558"/>
    <s v="37.0_ADAS &amp; AutomatedDriving"/>
    <s v="37.20_Parking-System"/>
    <s v="F0155"/>
    <s v="Park Assist, Front"/>
    <m/>
    <s v="Drive Assistance"/>
    <s v="Driver Assistance System"/>
    <s v="Short Range Distance Measurement"/>
    <s v="L1+/L2/L2+/L3/L4/L5"/>
    <s v="Sensor"/>
    <s v="Ultrasonic Sensor FML"/>
    <s v="Ultrasonic Sensor FML - Short Range Distance Measurement"/>
    <m/>
    <m/>
    <s v="-15;-4"/>
    <s v="TE"/>
    <s v="0-1488991-6"/>
    <s v="3 Pos. MCON 1,2mm Sealed"/>
    <m/>
    <s v="No"/>
    <s v="Yes"/>
    <s v="Yes"/>
    <n v="0.05"/>
    <n v="0"/>
    <n v="0.05"/>
    <n v="0"/>
  </r>
  <r>
    <x v="558"/>
    <s v="37.0_ADAS &amp; AutomatedDriving"/>
    <s v="37.20_Parking-System"/>
    <s v="F0314"/>
    <s v="Parking Pilot, Valet Parking"/>
    <m/>
    <s v="Drive Assistance"/>
    <s v="Driver Assistance System"/>
    <s v="Short Range Distance Measurement"/>
    <s v="L1+/L2/L2+/L3/L4/L5"/>
    <s v="Sensor"/>
    <s v="Ultrasonic Sensor FML"/>
    <s v="Ultrasonic Sensor FML - Short Range Distance Measurement"/>
    <m/>
    <m/>
    <s v="-15;-4"/>
    <s v="TE"/>
    <s v="0-1488991-6"/>
    <s v="3 Pos. MCON 1,2mm Sealed"/>
    <m/>
    <s v="No"/>
    <s v="No"/>
    <s v="Yes"/>
    <n v="0.05"/>
    <n v="0"/>
    <n v="0.05"/>
    <n v="0"/>
  </r>
  <r>
    <x v="558"/>
    <s v="37.0_ADAS &amp; AutomatedDriving"/>
    <s v="37.20_Parking-System"/>
    <s v="F0536"/>
    <s v="Parking Pilot, Trained Parking"/>
    <m/>
    <s v="Drive Assistance"/>
    <s v="Driver Assistance System"/>
    <s v="Short Range Distance Measurement"/>
    <s v="L1+/L2/L2+/L3/L4/L5"/>
    <s v="Sensor"/>
    <s v="Ultrasonic Sensor FML"/>
    <s v="Ultrasonic Sensor FML - Short Range Distance Measurement"/>
    <m/>
    <m/>
    <s v="-15;-4"/>
    <s v="TE"/>
    <s v="0-1488991-6"/>
    <s v="3 Pos. MCON 1,2mm Sealed"/>
    <m/>
    <s v="No"/>
    <s v="No"/>
    <s v="Yes"/>
    <n v="0.05"/>
    <n v="0"/>
    <n v="0.05"/>
    <n v="0"/>
  </r>
  <r>
    <x v="558"/>
    <s v="37.0_ADAS &amp; AutomatedDriving"/>
    <s v="37.20_Parking-System"/>
    <s v="F1301"/>
    <s v="Drive Away Assist"/>
    <m/>
    <s v="Drive Assistance"/>
    <s v="Driver Assistance System"/>
    <s v="Short Range Distance Measurement"/>
    <s v="L1+/L2/L2+/L3/L4/L5"/>
    <s v="Sensor"/>
    <s v="Ultrasonic Sensor FML"/>
    <s v="Ultrasonic Sensor FML - Short Range Distance Measurement"/>
    <m/>
    <m/>
    <s v="-15;-4"/>
    <s v="TE"/>
    <s v="0-1488991-6"/>
    <s v="3 Pos. MCON 1,2mm Sealed"/>
    <m/>
    <s v="No"/>
    <s v="No"/>
    <s v="Yes"/>
    <n v="0.05"/>
    <n v="0"/>
    <n v="0.05"/>
    <n v="0"/>
  </r>
  <r>
    <x v="558"/>
    <s v="37.0_ADAS &amp; AutomatedDriving"/>
    <s v="37.20_Parking-System"/>
    <s v="F1304"/>
    <s v="Park Assist, Side"/>
    <m/>
    <s v="Drive Assistance"/>
    <s v="Driver Assistance System"/>
    <s v="Short Range Distance Measurement"/>
    <s v="L1+/L2/L2+/L3/L4/L5"/>
    <s v="Sensor"/>
    <s v="Ultrasonic Sensor FML"/>
    <s v="Ultrasonic Sensor FML - Short Range Distance Measurement"/>
    <m/>
    <m/>
    <s v="-15;-4"/>
    <s v="TE"/>
    <s v="0-1488991-6"/>
    <s v="3 Pos. MCON 1,2mm Sealed"/>
    <m/>
    <s v="No"/>
    <s v="Yes"/>
    <s v="Yes"/>
    <n v="0.05"/>
    <n v="0"/>
    <n v="0.05"/>
    <n v="0"/>
  </r>
  <r>
    <x v="558"/>
    <s v="37.0_ADAS &amp; AutomatedDriving"/>
    <s v="37.20_Parking-System"/>
    <s v="F2003"/>
    <s v="Automatic Parking Support"/>
    <m/>
    <s v="Drive Assistance"/>
    <s v="Driver Assistance System"/>
    <s v="Short Range Distance Measurement"/>
    <s v="L1+/L2/L2+/L3/L4/L5"/>
    <s v="Sensor"/>
    <s v="Ultrasonic Sensor FML"/>
    <s v="Ultrasonic Sensor FML - Short Range Distance Measurement"/>
    <m/>
    <m/>
    <s v="-15;-4"/>
    <s v="TE"/>
    <s v="1-1670917-1"/>
    <s v="3 Pos. MCON 1,2mm Sealed"/>
    <m/>
    <s v="No"/>
    <s v="Yes"/>
    <s v="Yes"/>
    <n v="0.05"/>
    <n v="0"/>
    <n v="0.05"/>
    <n v="0"/>
  </r>
  <r>
    <x v="559"/>
    <s v="28.0_Powertrain &amp; Driveability"/>
    <s v="28.12_DriveStrategy&amp;Driveability"/>
    <s v="F2004"/>
    <s v="Drive Mode Functionality"/>
    <m/>
    <s v="Powertrain"/>
    <s v="Transmission"/>
    <s v="Computing"/>
    <s v="ICE AWD"/>
    <s v="Control Unit"/>
    <s v="Differential Lockout"/>
    <s v="Differential Lockout - Computing"/>
    <m/>
    <m/>
    <m/>
    <m/>
    <m/>
    <m/>
    <m/>
    <m/>
    <m/>
    <m/>
    <m/>
    <m/>
    <m/>
    <m/>
  </r>
  <r>
    <x v="559"/>
    <s v="28.0_Powertrain &amp; Driveability"/>
    <s v="28.x1_Transmission"/>
    <s v="F0x27"/>
    <s v="Differential Lockout"/>
    <m/>
    <s v="Powertrain"/>
    <s v="Transmission"/>
    <s v="Computing"/>
    <s v="ICE AWD"/>
    <s v="Control Unit"/>
    <s v="Differential Lockout"/>
    <s v="Differential Lockout - Computing"/>
    <m/>
    <m/>
    <m/>
    <m/>
    <m/>
    <m/>
    <m/>
    <m/>
    <m/>
    <m/>
    <m/>
    <m/>
    <m/>
    <m/>
  </r>
  <r>
    <x v="560"/>
    <s v="10.0_Comfort &amp; Exterior"/>
    <s v="10.10_CentralLocking-System"/>
    <s v="F0032"/>
    <s v="Central Door Lock, Electric Child Proof Lock"/>
    <s v="QM"/>
    <s v="Comfort"/>
    <s v="Central Locking"/>
    <s v="Door Lock and Unlock"/>
    <s v="with Central Locking"/>
    <s v="Actuator"/>
    <s v="Stepper Motor RR"/>
    <s v="Stepper Motor RR - Door Lock and Unlock"/>
    <m/>
    <m/>
    <s v="81;-21"/>
    <m/>
    <m/>
    <m/>
    <m/>
    <s v="Yes"/>
    <s v="Yes"/>
    <s v="Yes"/>
    <n v="1.6666666666666668E-3"/>
    <n v="1.6666666666666668E-3"/>
    <n v="1.6666666666666668E-3"/>
    <n v="1.6666666666666668E-3"/>
  </r>
  <r>
    <x v="560"/>
    <s v="10.0_Comfort &amp; Exterior"/>
    <s v="10.10_CentralLocking-System"/>
    <s v="F0646"/>
    <s v="Central Door Lock, Rear"/>
    <s v="QM"/>
    <s v="Comfort"/>
    <s v="Central Locking"/>
    <s v="Door Lock and Unlock"/>
    <s v="with Central Locking"/>
    <s v="Actuator"/>
    <s v="Stepper Motor RR"/>
    <s v="Stepper Motor RR - Door Lock and Unlock"/>
    <m/>
    <m/>
    <s v="81;-21"/>
    <m/>
    <m/>
    <m/>
    <m/>
    <s v="Yes"/>
    <s v="Yes"/>
    <s v="Yes"/>
    <n v="1.6666666666666668E-3"/>
    <n v="1.6666666666666668E-3"/>
    <n v="1.6666666666666668E-3"/>
    <n v="1.6666666666666668E-3"/>
  </r>
  <r>
    <x v="561"/>
    <s v="36.0_Infotainment &amp; Connectivity"/>
    <s v="36.33_V2N_System"/>
    <s v="F0173"/>
    <s v="Hotspot"/>
    <s v="QM"/>
    <s v="Infotainment"/>
    <s v="Communication"/>
    <s v="Computing"/>
    <s v="Private WLAN"/>
    <s v="Antenna"/>
    <s v="Wifi+Bluetooth Antenna"/>
    <s v="Wifi+Bluetooth Antenna - Computing"/>
    <m/>
    <m/>
    <s v="85;15"/>
    <s v="TE"/>
    <s v="1452584-1"/>
    <s v="1 Pos. Fakra II Unsealed"/>
    <m/>
    <s v="No"/>
    <s v="Yes"/>
    <s v="Yes"/>
    <n v="1"/>
    <n v="1"/>
    <n v="1"/>
    <n v="1"/>
  </r>
  <r>
    <x v="561"/>
    <s v="80.0_Cross-Functions"/>
    <s v="80.98_Antenna-Design"/>
    <s v="F0559"/>
    <s v="WiFi-Connection"/>
    <s v="QM"/>
    <s v="Infotainment"/>
    <s v="Communication"/>
    <s v="Computing"/>
    <s v="Private WLAN"/>
    <s v="Antenna"/>
    <s v="Wifi+Bluetooth Antenna"/>
    <s v="Wifi+Bluetooth Antenna - Computing"/>
    <m/>
    <m/>
    <s v="85;15"/>
    <s v="TE"/>
    <s v="1452584-1"/>
    <s v="1 Pos. Fakra II Unsealed"/>
    <m/>
    <s v="No"/>
    <s v="Yes"/>
    <s v="Yes"/>
    <n v="1"/>
    <n v="1"/>
    <n v="1"/>
    <n v="1"/>
  </r>
  <r>
    <x v="562"/>
    <s v="36.0_Infotainment &amp; Connectivity"/>
    <s v="36.12_Sound-System"/>
    <s v="F1342"/>
    <s v="Road-noise Active Noise Cancelation (RANC)"/>
    <s v="QM"/>
    <s v="Infotainment"/>
    <s v="Audio"/>
    <s v="Internal Communication"/>
    <s v="Premium Audio System"/>
    <s v="Sensor"/>
    <s v="Microphone"/>
    <s v="Microphone - Internal Communication"/>
    <m/>
    <m/>
    <s v="45;0"/>
    <s v="TE"/>
    <s v="1-929080-5"/>
    <s v="2 Pos. MQS 0,63mm Unsealed"/>
    <m/>
    <s v="No"/>
    <s v="No"/>
    <s v="No"/>
    <n v="1"/>
    <n v="1"/>
    <n v="1"/>
    <n v="1"/>
  </r>
  <r>
    <x v="563"/>
    <s v="10.0_Comfort &amp; Exterior"/>
    <s v="10.10_CentralLocking-System"/>
    <s v="F0107"/>
    <s v="Tailgate, Electric Adjustment"/>
    <s v="B"/>
    <s v="System"/>
    <s v="Cross-Domain"/>
    <s v="Driver Commands"/>
    <s v="Basic"/>
    <s v="Switch"/>
    <s v="Combined Panel Switches"/>
    <s v="Combined Panel Switches - Driver Commands"/>
    <m/>
    <m/>
    <m/>
    <m/>
    <m/>
    <m/>
    <m/>
    <m/>
    <m/>
    <m/>
    <m/>
    <m/>
    <m/>
    <m/>
  </r>
  <r>
    <x v="563"/>
    <s v="10.0_Comfort &amp; Exterior"/>
    <s v="10.10_CentralLocking-System"/>
    <s v="F0646"/>
    <s v="Central Door Lock, Rear"/>
    <s v="QM"/>
    <s v="System"/>
    <s v="Cross-Domain"/>
    <s v="Driver Commands"/>
    <s v="Basic"/>
    <s v="Switch"/>
    <s v="Combined Panel Switches"/>
    <s v="Combined Panel Switches - Driver Commands"/>
    <m/>
    <m/>
    <m/>
    <m/>
    <m/>
    <m/>
    <m/>
    <m/>
    <m/>
    <m/>
    <m/>
    <m/>
    <m/>
    <m/>
  </r>
  <r>
    <x v="563"/>
    <s v="10.0_Comfort &amp; Exterior"/>
    <s v="10.10_CentralLocking-System"/>
    <s v="F0738"/>
    <s v="Central Door Lock, Charging Flap"/>
    <m/>
    <s v="System"/>
    <s v="Cross-Domain"/>
    <s v="Driver Commands"/>
    <s v="Basic"/>
    <s v="Switch"/>
    <s v="Combined Panel Switches"/>
    <s v="Combined Panel Switches - Driver Commands"/>
    <m/>
    <m/>
    <m/>
    <m/>
    <m/>
    <m/>
    <m/>
    <m/>
    <m/>
    <m/>
    <m/>
    <m/>
    <m/>
    <m/>
  </r>
  <r>
    <x v="563"/>
    <s v="10.0_Comfort &amp; Exterior"/>
    <s v="10.10_CentralLocking-System"/>
    <s v="F0xx1"/>
    <s v="Central Door Lock, Front Hood"/>
    <m/>
    <s v="System"/>
    <s v="Cross-Domain"/>
    <s v="Driver Commands"/>
    <s v="Basic"/>
    <s v="Switch"/>
    <s v="Combined Panel Switches"/>
    <s v="Combined Panel Switches - Driver Commands"/>
    <m/>
    <m/>
    <m/>
    <m/>
    <m/>
    <m/>
    <m/>
    <m/>
    <m/>
    <m/>
    <m/>
    <m/>
    <m/>
    <m/>
  </r>
  <r>
    <x v="563"/>
    <s v="10.0_Comfort &amp; Exterior"/>
    <s v="10.10_CentralLocking-System"/>
    <s v="F0xx2"/>
    <s v="Front Hood, Electric Release"/>
    <m/>
    <s v="System"/>
    <s v="Cross-Domain"/>
    <s v="Driver Commands"/>
    <s v="Basic"/>
    <s v="Switch"/>
    <s v="Combined Panel Switches"/>
    <s v="Combined Panel Switches - Driver Commands"/>
    <m/>
    <m/>
    <m/>
    <m/>
    <m/>
    <m/>
    <m/>
    <m/>
    <m/>
    <m/>
    <m/>
    <m/>
    <m/>
    <m/>
  </r>
  <r>
    <x v="563"/>
    <s v="10.0_Comfort &amp; Exterior"/>
    <s v="10.10_CentralLocking-System"/>
    <s v="F0xx3"/>
    <s v="Central Door Lock, Tailgate"/>
    <m/>
    <s v="System"/>
    <s v="Cross-Domain"/>
    <s v="Driver Commands"/>
    <s v="Basic"/>
    <s v="Switch"/>
    <s v="Combined Panel Switches"/>
    <s v="Combined Panel Switches - Driver Commands"/>
    <m/>
    <m/>
    <m/>
    <m/>
    <m/>
    <m/>
    <m/>
    <m/>
    <m/>
    <m/>
    <m/>
    <m/>
    <m/>
    <m/>
  </r>
  <r>
    <x v="563"/>
    <s v="10.0_Comfort &amp; Exterior"/>
    <s v="10.10_CentralLocking-System"/>
    <s v="F0xx4"/>
    <s v="Tailgate, Electric Release"/>
    <m/>
    <s v="System"/>
    <s v="Cross-Domain"/>
    <s v="Driver Commands"/>
    <s v="Basic"/>
    <s v="Switch"/>
    <s v="Combined Panel Switches"/>
    <s v="Combined Panel Switches - Driver Commands"/>
    <m/>
    <m/>
    <m/>
    <m/>
    <m/>
    <m/>
    <m/>
    <m/>
    <m/>
    <m/>
    <m/>
    <m/>
    <m/>
    <m/>
  </r>
  <r>
    <x v="563"/>
    <s v="10.0_Comfort &amp; Exterior"/>
    <s v="10.10_CentralLocking-System"/>
    <s v="F0xx6"/>
    <s v="Fuel Tank / Charging Flap, Release"/>
    <m/>
    <s v="System"/>
    <s v="Cross-Domain"/>
    <s v="Driver Commands"/>
    <s v="Basic"/>
    <s v="Switch"/>
    <s v="Combined Panel Switches"/>
    <s v="Combined Panel Switches - Driver Commands"/>
    <m/>
    <m/>
    <m/>
    <m/>
    <m/>
    <m/>
    <m/>
    <m/>
    <m/>
    <m/>
    <m/>
    <m/>
    <m/>
    <m/>
  </r>
  <r>
    <x v="563"/>
    <s v="10.0_Comfort &amp; Exterior"/>
    <s v="10.30_OutsideLighting-System"/>
    <s v="F0071"/>
    <s v="Light Scenario, Fog Cornering"/>
    <s v="QM"/>
    <s v="System"/>
    <s v="Cross-Domain"/>
    <s v="Driver Commands"/>
    <s v="Basic"/>
    <s v="Switch"/>
    <s v="Combined Panel Switches"/>
    <s v="Combined Panel Switches - Driver Commands"/>
    <m/>
    <m/>
    <m/>
    <m/>
    <m/>
    <m/>
    <m/>
    <m/>
    <m/>
    <m/>
    <m/>
    <m/>
    <m/>
    <m/>
  </r>
  <r>
    <x v="563"/>
    <s v="10.0_Comfort &amp; Exterior"/>
    <s v="10.30_OutsideLighting-System"/>
    <s v="F0225"/>
    <s v="Front Lighting, Low Beam"/>
    <s v="B"/>
    <s v="System"/>
    <s v="Cross-Domain"/>
    <s v="Driver Commands"/>
    <s v="Basic"/>
    <s v="Switch"/>
    <s v="Combined Panel Switches"/>
    <s v="Combined Panel Switches - Driver Commands"/>
    <m/>
    <m/>
    <m/>
    <m/>
    <m/>
    <m/>
    <m/>
    <m/>
    <m/>
    <m/>
    <m/>
    <m/>
    <m/>
    <m/>
  </r>
  <r>
    <x v="563"/>
    <s v="10.0_Comfort &amp; Exterior"/>
    <s v="10.30_OutsideLighting-System"/>
    <s v="F0226"/>
    <s v="Front Lighting, High Beam"/>
    <s v="A"/>
    <s v="System"/>
    <s v="Cross-Domain"/>
    <s v="Driver Commands"/>
    <s v="Basic"/>
    <s v="Switch"/>
    <s v="Combined Panel Switches"/>
    <s v="Combined Panel Switches - Driver Commands"/>
    <m/>
    <m/>
    <m/>
    <m/>
    <m/>
    <m/>
    <m/>
    <m/>
    <m/>
    <m/>
    <m/>
    <m/>
    <m/>
    <m/>
  </r>
  <r>
    <x v="563"/>
    <s v="10.0_Comfort &amp; Exterior"/>
    <s v="10.30_OutsideLighting-System"/>
    <s v="F0227"/>
    <s v="Light Scenario, Parking Light"/>
    <s v="QM"/>
    <s v="System"/>
    <s v="Cross-Domain"/>
    <s v="Driver Commands"/>
    <s v="Basic"/>
    <s v="Switch"/>
    <s v="Combined Panel Switches"/>
    <s v="Combined Panel Switches - Driver Commands"/>
    <m/>
    <m/>
    <m/>
    <m/>
    <m/>
    <m/>
    <m/>
    <m/>
    <m/>
    <m/>
    <m/>
    <m/>
    <m/>
    <m/>
  </r>
  <r>
    <x v="563"/>
    <s v="10.0_Comfort &amp; Exterior"/>
    <s v="10.30_OutsideLighting-System"/>
    <s v="F0228"/>
    <s v="Surround Lighting, Hazard Light"/>
    <s v="A"/>
    <s v="System"/>
    <s v="Cross-Domain"/>
    <s v="Driver Commands"/>
    <s v="Basic"/>
    <s v="Switch"/>
    <s v="Combined Panel Switches"/>
    <s v="Combined Panel Switches - Driver Commands"/>
    <m/>
    <m/>
    <m/>
    <m/>
    <m/>
    <m/>
    <m/>
    <m/>
    <m/>
    <m/>
    <m/>
    <m/>
    <m/>
    <m/>
  </r>
  <r>
    <x v="563"/>
    <s v="10.0_Comfort &amp; Exterior"/>
    <s v="10.50_ExteriorHeating-System"/>
    <s v="F0061"/>
    <s v="Heating Windshield"/>
    <s v="QM"/>
    <s v="System"/>
    <s v="Cross-Domain"/>
    <s v="Driver Commands"/>
    <s v="Basic"/>
    <s v="Switch"/>
    <s v="Combined Panel Switches"/>
    <s v="Combined Panel Switches - Driver Commands"/>
    <m/>
    <m/>
    <m/>
    <m/>
    <m/>
    <m/>
    <m/>
    <m/>
    <m/>
    <m/>
    <m/>
    <m/>
    <m/>
    <m/>
  </r>
  <r>
    <x v="563"/>
    <s v="10.0_Comfort &amp; Exterior"/>
    <s v="10.50_ExteriorHeating-System"/>
    <s v="F0089"/>
    <s v="Heating Rear Window"/>
    <s v="QM"/>
    <s v="System"/>
    <s v="Cross-Domain"/>
    <s v="Driver Commands"/>
    <s v="Basic"/>
    <s v="Switch"/>
    <s v="Combined Panel Switches"/>
    <s v="Combined Panel Switches - Driver Commands"/>
    <m/>
    <m/>
    <m/>
    <m/>
    <m/>
    <m/>
    <m/>
    <m/>
    <m/>
    <m/>
    <m/>
    <m/>
    <m/>
    <m/>
  </r>
  <r>
    <x v="563"/>
    <s v="28.0_Powertrain &amp; Driveability"/>
    <s v="28.x1_Transmission"/>
    <s v="F0x27"/>
    <s v="Differential Lockout"/>
    <m/>
    <s v="System"/>
    <s v="Cross-Domain"/>
    <s v="Driver Commands"/>
    <s v="Basic"/>
    <s v="Switch"/>
    <s v="Combined Panel Switches"/>
    <s v="Combined Panel Switches - Driver Commands"/>
    <m/>
    <m/>
    <m/>
    <m/>
    <m/>
    <m/>
    <m/>
    <m/>
    <m/>
    <m/>
    <m/>
    <m/>
    <m/>
    <m/>
  </r>
  <r>
    <x v="563"/>
    <s v="28.0_Powertrain &amp; Driveability"/>
    <s v="28.x1_Transmission"/>
    <s v="F0x29"/>
    <s v="Four-Wheel Drive"/>
    <m/>
    <s v="System"/>
    <s v="Cross-Domain"/>
    <s v="Driver Commands"/>
    <s v="Basic"/>
    <s v="Switch"/>
    <s v="Combined Panel Switches"/>
    <s v="Combined Panel Switches - Driver Commands"/>
    <m/>
    <m/>
    <m/>
    <m/>
    <m/>
    <m/>
    <m/>
    <m/>
    <m/>
    <m/>
    <m/>
    <m/>
    <m/>
    <m/>
  </r>
  <r>
    <x v="563"/>
    <s v="32.0_Comfort &amp; Chassis"/>
    <s v="32.11_Stability&amp;Dynamics-System"/>
    <s v="F2008"/>
    <s v="ESC, Electronic Stability Control"/>
    <m/>
    <s v="System"/>
    <s v="Cross-Domain"/>
    <s v="Driver Commands"/>
    <s v="Basic"/>
    <s v="Switch"/>
    <s v="Combined Panel Switches"/>
    <s v="Combined Panel Switches - Driver Commands"/>
    <m/>
    <m/>
    <m/>
    <m/>
    <m/>
    <m/>
    <m/>
    <m/>
    <m/>
    <m/>
    <m/>
    <m/>
    <m/>
    <m/>
  </r>
  <r>
    <x v="563"/>
    <s v="32.0_Comfort &amp; Chassis"/>
    <s v="32.30_Suspenioning-System"/>
    <s v="F0x46"/>
    <s v="Damping, Front axle lift system"/>
    <s v=" "/>
    <s v="System"/>
    <s v="Cross-Domain"/>
    <s v="Driver Commands"/>
    <s v="Basic"/>
    <s v="Switch"/>
    <s v="Combined Panel Switches"/>
    <s v="Combined Panel Switches - Driver Commands"/>
    <m/>
    <s v=" "/>
    <m/>
    <m/>
    <m/>
    <m/>
    <m/>
    <m/>
    <m/>
    <m/>
    <m/>
    <m/>
    <m/>
    <m/>
  </r>
  <r>
    <x v="563"/>
    <s v="37.0_ADAS &amp; AutomatedDriving"/>
    <s v="37.20_Parking-System"/>
    <s v="F0155"/>
    <s v="Park Assist, Front"/>
    <s v="QM"/>
    <s v="System"/>
    <s v="Cross-Domain"/>
    <s v="Driver Commands"/>
    <s v="Basic"/>
    <s v="Switch"/>
    <s v="Combined Panel Switches"/>
    <s v="Combined Panel Switches - Driver Commands"/>
    <m/>
    <m/>
    <m/>
    <m/>
    <m/>
    <m/>
    <m/>
    <m/>
    <m/>
    <m/>
    <m/>
    <m/>
    <m/>
    <m/>
  </r>
  <r>
    <x v="563"/>
    <s v="37.0_ADAS &amp; AutomatedDriving"/>
    <s v="37.20_Parking-System"/>
    <s v="F0156"/>
    <s v="Park Assist, Rear"/>
    <s v="QM"/>
    <s v="System"/>
    <s v="Cross-Domain"/>
    <s v="Driver Commands"/>
    <s v="Basic"/>
    <s v="Switch"/>
    <s v="Combined Panel Switches"/>
    <s v="Combined Panel Switches - Driver Commands"/>
    <m/>
    <m/>
    <m/>
    <m/>
    <m/>
    <m/>
    <m/>
    <m/>
    <m/>
    <m/>
    <m/>
    <m/>
    <m/>
    <m/>
  </r>
  <r>
    <x v="563"/>
    <m/>
    <m/>
    <s v="F0247"/>
    <s v="Tyres Pressure Monitor, Passive"/>
    <m/>
    <s v="System"/>
    <s v="Cross-Domain"/>
    <s v="Driver Commands"/>
    <s v="Basic"/>
    <s v="Switch"/>
    <s v="Combined Panel Switches"/>
    <s v="Combined Panel Switches - Driver Commands"/>
    <m/>
    <m/>
    <m/>
    <m/>
    <m/>
    <m/>
    <m/>
    <m/>
    <m/>
    <m/>
    <m/>
    <m/>
    <m/>
    <m/>
  </r>
  <r>
    <x v="564"/>
    <s v="10.0_Comfort &amp; Exterior"/>
    <s v="10.10_CentralLocking-System"/>
    <s v="F0032"/>
    <s v="Central Door Lock, Electric Child Proof Lock"/>
    <s v="QM"/>
    <s v="Comfort"/>
    <s v="Central Locking"/>
    <s v="Rear Doors Internal Handle/Window Disabling"/>
    <s v="Child Proof Lock"/>
    <s v="Switch"/>
    <s v="User Selector"/>
    <s v="User Selector - Rear Doors Internal Handle/Window Disabling"/>
    <m/>
    <m/>
    <s v="41;-21"/>
    <m/>
    <m/>
    <m/>
    <m/>
    <s v="Yes"/>
    <s v="Yes"/>
    <s v="Yes"/>
    <n v="1.6666666666666668E-3"/>
    <n v="1.6666666666666668E-3"/>
    <n v="1.6666666666666668E-3"/>
    <n v="1.6666666666666668E-3"/>
  </r>
  <r>
    <x v="564"/>
    <s v="10.0_Comfort &amp; Exterior"/>
    <s v="10.21_WindowLifting-System"/>
    <s v="F0224"/>
    <s v="Power Window Lifter Function, Comfort Open/Close"/>
    <s v="A"/>
    <s v="Comfort"/>
    <s v="Central Locking"/>
    <s v="Rear Doors Internal Handle/Window Disabling"/>
    <s v="Child Proof Lock"/>
    <s v="Switch"/>
    <s v="User Selector"/>
    <s v="User Selector - Rear Doors Internal Handle/Window Disabling"/>
    <m/>
    <m/>
    <s v="41;-21"/>
    <m/>
    <m/>
    <m/>
    <m/>
    <s v="Yes"/>
    <s v="Yes"/>
    <s v="Yes"/>
    <n v="1.6666666666666668E-3"/>
    <n v="1.6666666666666668E-3"/>
    <n v="1.6666666666666668E-3"/>
    <n v="1.6666666666666668E-3"/>
  </r>
  <r>
    <x v="564"/>
    <s v="10.0_Comfort &amp; Exterior"/>
    <s v="10.21_WindowLifting-System"/>
    <s v="F2025"/>
    <s v="Power Window Lifter, Electric Adjustable"/>
    <s v="QM"/>
    <s v="Comfort"/>
    <s v="Central Locking"/>
    <s v="Rear Doors Internal Handle/Window Disabling"/>
    <s v="Child Proof Lock"/>
    <s v="Switch"/>
    <s v="User Selector"/>
    <s v="User Selector - Rear Doors Internal Handle/Window Disabling"/>
    <m/>
    <m/>
    <s v="41;-21"/>
    <m/>
    <m/>
    <m/>
    <m/>
    <s v="Yes"/>
    <s v="Yes"/>
    <s v="Yes"/>
    <n v="1.6666666666666668E-3"/>
    <n v="1.6666666666666668E-3"/>
    <n v="1.6666666666666668E-3"/>
    <n v="1.6666666666666668E-3"/>
  </r>
  <r>
    <x v="565"/>
    <s v="10.0_Comfort &amp; Exterior"/>
    <s v="10.10_CentralLocking-System"/>
    <s v="F0xx3"/>
    <s v="Central Door Lock, Tailgate"/>
    <m/>
    <s v="Comfort"/>
    <s v="Central Locking"/>
    <s v="Tailgate Lock and Unlock"/>
    <s v="Power Tailgate"/>
    <s v="Actuator"/>
    <s v="Stepper Motor"/>
    <s v="Stepper Motor - Tailgate Lock and Unlock"/>
    <m/>
    <m/>
    <s v="112;-2"/>
    <s v="TE"/>
    <s v="1326490-5"/>
    <s v="4 Pos. MPT 1.6mm / JPT 2.8mm Unsealed"/>
    <m/>
    <s v="Yes"/>
    <s v="Yes"/>
    <s v="Yes"/>
    <n v="0"/>
    <n v="0"/>
    <n v="0"/>
    <n v="0"/>
  </r>
  <r>
    <x v="566"/>
    <s v="10.0_Comfort &amp; Exterior"/>
    <s v="10.10_CentralLocking-System"/>
    <s v="F0xx4"/>
    <s v="Tailgate, Electric Release"/>
    <m/>
    <s v="Comfort"/>
    <s v="Central Locking"/>
    <s v="Tailgate Release Handle Switch"/>
    <s v="Power Tailgate"/>
    <s v="Switch"/>
    <s v="User Selector"/>
    <s v="User Selector - Tailgate Release Handle Switch"/>
    <m/>
    <m/>
    <s v="113;0"/>
    <s v="TE"/>
    <s v="2282150-1"/>
    <s v="2 Pos. NanoMQS 0,5mm Unsealed"/>
    <m/>
    <s v="Yes"/>
    <s v="Yes"/>
    <s v="Yes"/>
    <n v="1.6666666666666668E-3"/>
    <n v="1.6666666666666668E-3"/>
    <n v="1.6666666666666668E-3"/>
    <n v="1.6666666666666668E-3"/>
  </r>
  <r>
    <x v="567"/>
    <s v="13.0_Comfort &amp; Interior"/>
    <s v="13.31_AmbientLighting-System"/>
    <s v="F0xx8"/>
    <s v="Foot Area Lighting, Rear"/>
    <m/>
    <s v="Comfort"/>
    <s v="Internal Illumination"/>
    <s v="Footwell Illumination RL"/>
    <s v="with Footwell Illumination"/>
    <s v="Actuator"/>
    <s v="LED Lamp"/>
    <s v="LED Lamp - Footwell Illumination RL"/>
    <m/>
    <m/>
    <s v="61;-10"/>
    <s v="TE"/>
    <s v="1379029-1"/>
    <s v="4 Pos. MQS 0,63mm Unsealed"/>
    <m/>
    <s v="No"/>
    <s v="No"/>
    <s v="Yes"/>
    <n v="0"/>
    <n v="0"/>
    <n v="0.5"/>
    <n v="0.5"/>
  </r>
  <r>
    <x v="568"/>
    <s v="13.0_Comfort &amp; Interior"/>
    <s v="13.31_AmbientLighting-System"/>
    <s v="F0xx8"/>
    <s v="Foot Area Lighting, Rear"/>
    <m/>
    <s v="Comfort"/>
    <s v="Internal Illumination"/>
    <s v="Footwell Illumination RR"/>
    <s v="with Footwell Illumination"/>
    <s v="Actuator"/>
    <s v="LED Lamp"/>
    <s v="LED Lamp - Footwell Illumination RR"/>
    <m/>
    <m/>
    <s v="61;10"/>
    <s v="TE"/>
    <s v="1379029-1"/>
    <s v="4 Pos. MQS 0,63mm Unsealed"/>
    <m/>
    <s v="No"/>
    <s v="No"/>
    <s v="Yes"/>
    <n v="0"/>
    <n v="0"/>
    <n v="0.5"/>
    <n v="0.5"/>
  </r>
  <r>
    <x v="569"/>
    <s v="13.0_Comfort &amp; Interior"/>
    <s v="13.40_InteriorHeating-System"/>
    <s v="F0xx7"/>
    <s v="Seats Rear, Heating"/>
    <m/>
    <s v="Comfort"/>
    <s v="Seat Heating"/>
    <s v="Heating Seat Pan Rear L"/>
    <s v="with Rear Seats Heating"/>
    <s v="Actuator"/>
    <s v="Seat Heater RL"/>
    <s v="Seat Heater RL - Heating Seat Pan Rear L"/>
    <m/>
    <m/>
    <s v="63;-1"/>
    <s v="TE"/>
    <s v="1326490-5"/>
    <s v="4 Pos. MPT 1.6mm / JPT 2.8mm Unsealed"/>
    <m/>
    <s v="No"/>
    <s v="No"/>
    <s v="Yes"/>
    <n v="0"/>
    <n v="0.375"/>
    <n v="0.375"/>
    <n v="0"/>
  </r>
  <r>
    <x v="570"/>
    <s v="13.0_Comfort &amp; Interior"/>
    <s v="13.40_InteriorHeating-System"/>
    <s v="F0xx7"/>
    <s v="Seats Rear, Heating"/>
    <m/>
    <s v="Comfort"/>
    <s v="Seat Heating"/>
    <s v="Heating Seat Back Rear L"/>
    <s v="with Rear Seats Heating"/>
    <s v="Actuator"/>
    <s v="Seat Heater RL"/>
    <s v="Seat Heater RL - Heating Seat Back Rear L"/>
    <m/>
    <m/>
    <s v="63;-1"/>
    <s v="TE"/>
    <s v="1326490-5"/>
    <s v="4 Pos. MPT 1.6mm / JPT 2.8mm Unsealed"/>
    <m/>
    <s v="No"/>
    <s v="No"/>
    <s v="Yes"/>
    <n v="0"/>
    <n v="0.375"/>
    <n v="0.375"/>
    <n v="0"/>
  </r>
  <r>
    <x v="571"/>
    <s v="13.0_Comfort &amp; Interior"/>
    <s v="13.40_InteriorHeating-System"/>
    <s v="F0xx7"/>
    <s v="Seats Rear, Heating"/>
    <m/>
    <s v="Comfort"/>
    <s v="Seat Heating"/>
    <s v="Heating Seat Pan Rear R"/>
    <s v="with Rear Seats Heating"/>
    <s v="Actuator"/>
    <s v="Seat Heater RR"/>
    <s v="Seat Heater RR - Heating Seat Pan Rear R"/>
    <m/>
    <m/>
    <s v="63;1"/>
    <s v="TE"/>
    <s v="1326490-5"/>
    <s v="4 Pos. MPT 1.6mm / JPT 2.8mm Unsealed"/>
    <m/>
    <s v="No"/>
    <s v="No"/>
    <s v="Yes"/>
    <n v="0"/>
    <n v="0.375"/>
    <n v="0.375"/>
    <n v="0"/>
  </r>
  <r>
    <x v="572"/>
    <s v="13.0_Comfort &amp; Interior"/>
    <s v="13.40_InteriorHeating-System"/>
    <s v="F0xx7"/>
    <s v="Seats Rear, Heating"/>
    <m/>
    <s v="Comfort"/>
    <s v="Seat Heating"/>
    <s v="Heating Seat Back Rear R"/>
    <s v="with Rear Seats Heating"/>
    <s v="Actuator"/>
    <s v="Seat Heater RR"/>
    <s v="Seat Heater RR - Heating Seat Back Rear R"/>
    <m/>
    <m/>
    <s v="63;1"/>
    <s v="TE"/>
    <s v="1326490-5"/>
    <s v="4 Pos. MPT 1.6mm / JPT 2.8mm Unsealed"/>
    <m/>
    <s v="No"/>
    <s v="No"/>
    <s v="Yes"/>
    <n v="0"/>
    <n v="0.375"/>
    <n v="0.375"/>
    <n v="0"/>
  </r>
  <r>
    <x v="573"/>
    <s v="13.0_Comfort &amp; Interior"/>
    <s v="13.40_InteriorHeating-System"/>
    <s v="F0052"/>
    <s v="Seat Driver, Ventilated"/>
    <s v="QM"/>
    <s v="Comfort"/>
    <s v="Seat Ventilation"/>
    <s v="Seat Ventilation Driver"/>
    <s v="with Seats Ventilation"/>
    <s v="Actuator"/>
    <s v="Ventilator Motor Seat Back FL"/>
    <s v="Ventilator Motor Seat Back FL - Seat Ventilation Driver"/>
    <m/>
    <m/>
    <s v="44;-17"/>
    <s v="TE"/>
    <s v="1-2141627-1"/>
    <s v="4 Pos. MQS 0,63mm / MCON 1,2mm Unsealed"/>
    <m/>
    <s v="No"/>
    <s v="No"/>
    <s v="Yes"/>
    <n v="0.8"/>
    <n v="0.15"/>
    <n v="0.3"/>
    <n v="0.5"/>
  </r>
  <r>
    <x v="574"/>
    <s v="13.0_Comfort &amp; Interior"/>
    <s v="13.40_InteriorHeating-System"/>
    <s v="F0052"/>
    <s v="Seat Driver, Ventilated"/>
    <s v="QM"/>
    <s v="Comfort"/>
    <s v="Seat Ventilation"/>
    <s v="Seat Ventilation Driver"/>
    <s v="with Seats Ventilation"/>
    <s v="Actuator"/>
    <s v="Ventilator Motor Seat Pan FL"/>
    <s v="Ventilator Motor Seat Pan FL - Seat Ventilation Driver"/>
    <m/>
    <m/>
    <s v="44;-17"/>
    <s v="TE"/>
    <s v="1-2141627-1"/>
    <s v="4 Pos. MQS 0,63mm / MCON 1,2mm Unsealed"/>
    <m/>
    <s v="No"/>
    <s v="No"/>
    <s v="Yes"/>
    <n v="0.8"/>
    <n v="0.15"/>
    <n v="0.3"/>
    <n v="0.5"/>
  </r>
  <r>
    <x v="575"/>
    <s v="13.0_Comfort &amp; Interior"/>
    <s v="13.40_InteriorHeating-System"/>
    <s v="F0371"/>
    <s v="Seat Passenger, Ventilated"/>
    <m/>
    <s v="Comfort"/>
    <s v="Seat Ventilation"/>
    <s v="Seat Ventilation Passenger"/>
    <s v="with Seats Ventilation"/>
    <s v="Actuator"/>
    <s v="Ventilator Motor Seat Back FR"/>
    <s v="Ventilator Motor Seat Back FR - Seat Ventilation Passenger"/>
    <m/>
    <m/>
    <s v="44;17"/>
    <s v="TE"/>
    <s v="1-2141627-1"/>
    <s v="4 Pos. MQS 0,63mm / MCON 1,2mm Unsealed"/>
    <m/>
    <s v="No"/>
    <s v="No"/>
    <s v="Yes"/>
    <n v="0.8"/>
    <n v="0.15"/>
    <n v="0.3"/>
    <n v="0.5"/>
  </r>
  <r>
    <x v="576"/>
    <s v="13.0_Comfort &amp; Interior"/>
    <s v="13.40_InteriorHeating-System"/>
    <s v="F0371"/>
    <s v="Seat Passenger, Ventilated"/>
    <m/>
    <s v="Comfort"/>
    <s v="Seat Ventilation"/>
    <s v="Seat Ventilation Passenger"/>
    <s v="with Seats Ventilation"/>
    <s v="Actuator"/>
    <s v="Ventilator Motor Seat Pan FR"/>
    <s v="Ventilator Motor Seat Pan FR - Seat Ventilation Passenger"/>
    <m/>
    <m/>
    <s v="44;17"/>
    <s v="TE"/>
    <s v="1-2141627-1"/>
    <s v="4 Pos. MQS 0,63mm / MCON 1,2mm Unsealed"/>
    <m/>
    <s v="No"/>
    <s v="No"/>
    <s v="Yes"/>
    <n v="0.8"/>
    <n v="0.15"/>
    <n v="0.3"/>
    <n v="0.5"/>
  </r>
  <r>
    <x v="577"/>
    <s v="13.0_Comfort &amp; Interior"/>
    <s v="13.20_SeatMoving-System"/>
    <s v="F0050"/>
    <s v="Seat Driver, Position Electric Adjustable"/>
    <s v="B"/>
    <s v="Comfort"/>
    <s v="Seat Adjustment"/>
    <s v="Multi-Contour Seat Driver"/>
    <s v="with Seats Adjustment"/>
    <s v="Actuator"/>
    <s v="Compressor Motor for Multi-contour FL"/>
    <s v="Compressor Motor for Multi-contour FL - Multi-Contour Seat Driver"/>
    <m/>
    <m/>
    <m/>
    <m/>
    <m/>
    <m/>
    <m/>
    <m/>
    <m/>
    <m/>
    <m/>
    <m/>
    <m/>
    <m/>
  </r>
  <r>
    <x v="578"/>
    <s v="13.0_Comfort &amp; Interior"/>
    <s v="13.20_SeatMoving-System"/>
    <s v="F0370"/>
    <s v="Seat Passenger, Position Electric Adjustable"/>
    <s v="B"/>
    <s v="Comfort"/>
    <s v="Seat Adjustment"/>
    <s v="Multi-Contour Seat Passenger"/>
    <s v="with Seats Adjustment"/>
    <s v="Actuator"/>
    <s v="Compressor Motor for Multi-contour FR"/>
    <s v="Compressor Motor for Multi-contour FR - Multi-Contour Seat Passenger"/>
    <m/>
    <m/>
    <m/>
    <m/>
    <m/>
    <m/>
    <m/>
    <m/>
    <m/>
    <m/>
    <m/>
    <m/>
    <m/>
    <m/>
  </r>
  <r>
    <x v="579"/>
    <s v="13.0_Comfort &amp; Interior"/>
    <s v="13.20_SeatMoving-System"/>
    <s v="F0050"/>
    <s v="Seat Driver, Position Electric Adjustable"/>
    <s v="B"/>
    <s v="Comfort"/>
    <s v="Seat Adjustment"/>
    <s v="Seat Height Adjustment Driver"/>
    <s v="with Seats Adjustment"/>
    <s v="Sensor"/>
    <s v="Sensor Hall Height - Driver"/>
    <s v="Sensor Hall Height - Driver - Seat Height Adjustment Driver"/>
    <m/>
    <m/>
    <s v="44;-14"/>
    <s v="TE"/>
    <s v="1-929080-5"/>
    <s v="2 Pos. MQS 0,63mm Unsealed"/>
    <m/>
    <s v="No"/>
    <s v="No"/>
    <s v="Yes"/>
    <n v="0"/>
    <n v="0"/>
    <n v="0"/>
    <n v="0"/>
  </r>
  <r>
    <x v="580"/>
    <s v="13.0_Comfort &amp; Interior"/>
    <s v="13.20_SeatMoving-System"/>
    <s v="F0050"/>
    <s v="Seat Driver, Position Electric Adjustable"/>
    <s v="B"/>
    <s v="Comfort"/>
    <s v="Seat Adjustment"/>
    <s v="Seat Tilt Adjustment Driver"/>
    <s v="with Seats Adjustment"/>
    <s v="Sensor"/>
    <s v="Sensor Hall Tilt - Driver"/>
    <s v="Sensor Hall Tilt - Driver - Seat Tilt Adjustment Driver"/>
    <m/>
    <m/>
    <s v="44;-14"/>
    <s v="TE"/>
    <s v="1-929080-5"/>
    <s v="2 Pos. MQS 0,63mm Unsealed"/>
    <m/>
    <s v="No"/>
    <s v="No"/>
    <s v="Yes"/>
    <n v="0"/>
    <n v="0"/>
    <n v="0"/>
    <n v="0"/>
  </r>
  <r>
    <x v="581"/>
    <s v="13.0_Comfort &amp; Interior"/>
    <s v="13.20_SeatMoving-System"/>
    <s v="F0050"/>
    <s v="Seat Driver, Position Electric Adjustable"/>
    <s v="B"/>
    <s v="Comfort"/>
    <s v="Seat Adjustment"/>
    <s v="Seat Length Adjustment Driver"/>
    <s v="with Seats Adjustment"/>
    <s v="Sensor"/>
    <s v="Sensor Hall Length - Driver"/>
    <s v="Sensor Hall Length - Driver - Seat Length Adjustment Driver"/>
    <m/>
    <m/>
    <s v="44;-14"/>
    <s v="TE"/>
    <s v="1-929080-5"/>
    <s v="2 Pos. MQS 0,63mm Unsealed"/>
    <m/>
    <s v="No"/>
    <s v="No"/>
    <s v="Yes"/>
    <n v="0"/>
    <n v="0"/>
    <n v="0"/>
    <n v="0"/>
  </r>
  <r>
    <x v="582"/>
    <s v="13.0_Comfort &amp; Interior"/>
    <s v="13.20_SeatMoving-System"/>
    <s v="F0050"/>
    <s v="Seat Driver, Position Electric Adjustable"/>
    <s v="B"/>
    <s v="Comfort"/>
    <s v="Seat Adjustment"/>
    <s v="Seat Tilt Adjustment Driver"/>
    <s v="with Seats Adjustment"/>
    <s v="Actuator"/>
    <s v="Seat Tilt Motor - Driver"/>
    <s v="Seat Tilt Motor - Driver - Seat Tilt Adjustment Driver"/>
    <m/>
    <m/>
    <s v="44;-14"/>
    <s v="TE"/>
    <s v="157420-1"/>
    <s v="2 Pos. JPT 2,8mm Unsealed"/>
    <m/>
    <s v="No"/>
    <s v="No"/>
    <s v="Yes"/>
    <n v="0"/>
    <n v="0"/>
    <n v="0"/>
    <n v="0"/>
  </r>
  <r>
    <x v="583"/>
    <s v="13.0_Comfort &amp; Interior"/>
    <s v="13.20_SeatMoving-System"/>
    <s v="F0050"/>
    <s v="Seat Driver, Position Electric Adjustable"/>
    <s v="B"/>
    <s v="Comfort"/>
    <s v="Seat Adjustment"/>
    <s v="Seat Length Adjustment Driver"/>
    <s v="with Seats Adjustment"/>
    <s v="Actuator"/>
    <s v="Seat Length Motor - Driver"/>
    <s v="Seat Length Motor - Driver - Seat Length Adjustment Driver"/>
    <m/>
    <m/>
    <s v="44;-14"/>
    <s v="TE"/>
    <s v="157420-1"/>
    <s v="2 Pos. JPT 2,8mm Unsealed"/>
    <m/>
    <s v="No"/>
    <s v="No"/>
    <s v="Yes"/>
    <n v="0"/>
    <n v="0"/>
    <n v="0"/>
    <n v="0"/>
  </r>
  <r>
    <x v="584"/>
    <s v="13.0_Comfort &amp; Interior"/>
    <s v="13.20_SeatMoving-System"/>
    <s v="F0050"/>
    <s v="Seat Driver, Position Electric Adjustable"/>
    <s v="B"/>
    <s v="Comfort"/>
    <s v="Seat Adjustment"/>
    <s v="Seat Depth Adjustment Driver"/>
    <s v="with Seats Adjustment"/>
    <s v="Actuator"/>
    <s v="Seat Depth Motor - Driver"/>
    <s v="Seat Depth Motor - Driver - Seat Depth Adjustment Driver"/>
    <m/>
    <m/>
    <s v="44;-14"/>
    <s v="TE"/>
    <s v="157420-1"/>
    <s v="2 Pos. JPT 2,8mm Unsealed"/>
    <m/>
    <s v="No"/>
    <s v="No"/>
    <s v="Yes"/>
    <n v="0"/>
    <n v="0"/>
    <n v="0"/>
    <n v="0"/>
  </r>
  <r>
    <x v="585"/>
    <s v="13.0_Comfort &amp; Interior"/>
    <s v="13.20_SeatMoving-System"/>
    <s v="F0050"/>
    <s v="Seat Driver, Position Electric Adjustable"/>
    <s v="B"/>
    <s v="Comfort"/>
    <s v="Seat Adjustment"/>
    <s v="Seat Height Adjustment Driver"/>
    <s v="with Seats Adjustment"/>
    <s v="Actuator"/>
    <s v="Seat Height Motor - Driver"/>
    <s v="Seat Height Motor - Driver - Seat Height Adjustment Driver"/>
    <m/>
    <m/>
    <s v="44;-14"/>
    <s v="TE"/>
    <s v="157420-1"/>
    <s v="2 Pos. JPT 2,8mm Unsealed"/>
    <m/>
    <s v="No"/>
    <s v="No"/>
    <s v="Yes"/>
    <n v="0"/>
    <n v="0"/>
    <n v="0"/>
    <n v="0"/>
  </r>
  <r>
    <x v="586"/>
    <s v="13.0_Comfort &amp; Interior"/>
    <s v="13.20_SeatMoving-System"/>
    <s v="F0050"/>
    <s v="Seat Driver, Position Electric Adjustable"/>
    <s v="B"/>
    <s v="Comfort"/>
    <s v="Seat Adjustment"/>
    <s v="Seat Depth Adjustment Driver"/>
    <s v="with Seats Adjustment"/>
    <s v="Sensor"/>
    <s v="Sensor Hall Depth - Driver"/>
    <s v="Sensor Hall Depth - Driver - Seat Depth Adjustment Driver"/>
    <m/>
    <m/>
    <s v="44;-14"/>
    <s v="TE"/>
    <s v="1-929080-5"/>
    <s v="2 Pos. MQS 0,63mm Unsealed"/>
    <m/>
    <s v="No"/>
    <s v="No"/>
    <s v="Yes"/>
    <n v="0"/>
    <n v="0"/>
    <n v="0"/>
    <n v="0"/>
  </r>
  <r>
    <x v="587"/>
    <s v="13.0_Comfort &amp; Interior"/>
    <s v="13.20_SeatMoving-System"/>
    <s v="F0x41"/>
    <s v="Seat Driver, Lumbar Massage"/>
    <s v="QM"/>
    <s v="Comfort"/>
    <s v="Seat Massage"/>
    <s v="Command Driver"/>
    <s v="with Seats Massage"/>
    <s v="Switch"/>
    <s v="Massage Switch - User Selector - Driver"/>
    <s v="Massage Switch - User Selector - Driver - Command Driver"/>
    <m/>
    <m/>
    <s v="42;-1"/>
    <s v="TE"/>
    <s v="936120-2"/>
    <s v="4 Pos. MQS 0,63mm Unsealed"/>
    <m/>
    <s v="No"/>
    <s v="No"/>
    <s v="Yes"/>
    <n v="0.1"/>
    <n v="0.25"/>
    <n v="0.1"/>
    <n v="0.25"/>
  </r>
  <r>
    <x v="588"/>
    <s v="13.0_Comfort &amp; Interior"/>
    <s v="13.20_SeatMoving-System"/>
    <s v="F0050"/>
    <s v="Seat Driver, Position Electric Adjustable"/>
    <s v="B"/>
    <s v="Comfort"/>
    <s v="Seat Adjustment"/>
    <s v="Command Driver"/>
    <s v="with Seats Adjustment"/>
    <s v="Switch"/>
    <s v="Mutifunction Switch - User Selector"/>
    <s v="Mutifunction Switch - User Selector - Command Driver"/>
    <m/>
    <m/>
    <m/>
    <m/>
    <m/>
    <m/>
    <m/>
    <m/>
    <m/>
    <m/>
    <m/>
    <m/>
    <m/>
    <m/>
  </r>
  <r>
    <x v="589"/>
    <s v="13.0_Comfort &amp; Interior"/>
    <s v="13.20_SeatMoving-System"/>
    <s v="F0050"/>
    <s v="Seat Driver, Position Electric Adjustable"/>
    <s v="B"/>
    <s v="Comfort"/>
    <s v="Seat Adjustment"/>
    <s v="Seat Backrest Adjustment Driver"/>
    <s v="with Seats Adjustment"/>
    <s v="Actuator"/>
    <s v="Seat Backrest Motor - Driver"/>
    <s v="Seat Backrest Motor - Driver - Seat Backrest Adjustment Driver"/>
    <m/>
    <m/>
    <s v="44;-14"/>
    <s v="TE"/>
    <s v="157420-1"/>
    <s v="2 Pos. JPT 2,8mm Unsealed"/>
    <m/>
    <s v="No"/>
    <s v="No"/>
    <s v="Yes"/>
    <n v="0"/>
    <n v="0"/>
    <n v="0"/>
    <n v="0"/>
  </r>
  <r>
    <x v="590"/>
    <s v="13.0_Comfort &amp; Interior"/>
    <s v="13.20_SeatMoving-System"/>
    <s v="F0050"/>
    <s v="Seat Driver, Position Electric Adjustable"/>
    <s v="B"/>
    <s v="Comfort"/>
    <s v="Seat Adjustment"/>
    <s v="Easy Entry Driver"/>
    <s v="with Seats Adjustment"/>
    <s v="Switch"/>
    <s v="Easy Entry Switch - User Selector"/>
    <s v="Easy Entry Switch - User Selector - Easy Entry Driver"/>
    <m/>
    <m/>
    <m/>
    <m/>
    <m/>
    <m/>
    <m/>
    <m/>
    <m/>
    <m/>
    <m/>
    <m/>
    <m/>
    <m/>
  </r>
  <r>
    <x v="591"/>
    <s v="13.0_Comfort &amp; Interior"/>
    <s v="13.20_SeatMoving-System"/>
    <s v="F0050"/>
    <s v="Seat Driver, Position Electric Adjustable"/>
    <s v="B"/>
    <s v="Comfort"/>
    <s v="Seat Adjustment"/>
    <s v="Seat Backrest Adjustment Driver"/>
    <s v="with Seats Adjustment"/>
    <s v="Sensor"/>
    <s v="Sensor Hall Seat Backrest - Driver"/>
    <s v="Sensor Hall Seat Backrest - Driver - Seat Backrest Adjustment Driver"/>
    <m/>
    <m/>
    <s v="44;-14"/>
    <s v="TE"/>
    <s v="1-929080-5"/>
    <s v="2 Pos. MQS 0,63mm Unsealed"/>
    <m/>
    <s v="No"/>
    <s v="No"/>
    <s v="Yes"/>
    <n v="0"/>
    <n v="0"/>
    <n v="0"/>
    <n v="0"/>
  </r>
  <r>
    <x v="592"/>
    <s v="13.0_Comfort &amp; Interior"/>
    <s v="13.20_SeatMoving-System"/>
    <s v="F0370"/>
    <s v="Seat Passenger, Position Electric Adjustable"/>
    <s v="B"/>
    <s v="Comfort"/>
    <s v="Seat Adjustment"/>
    <s v="Seat Height Adjustment Passenger"/>
    <s v="with Seats Adjustment"/>
    <s v="Sensor"/>
    <s v="Sensor Hall Height - Passenger"/>
    <s v="Sensor Hall Height - Passenger - Seat Height Adjustment Passenger"/>
    <m/>
    <m/>
    <s v="44;14"/>
    <s v="TE"/>
    <s v="1-929080-5"/>
    <s v="2 Pos. MQS 0,63mm Unsealed"/>
    <m/>
    <s v="No"/>
    <s v="No"/>
    <s v="Yes"/>
    <n v="0"/>
    <n v="0"/>
    <n v="0"/>
    <n v="0"/>
  </r>
  <r>
    <x v="593"/>
    <s v="13.0_Comfort &amp; Interior"/>
    <s v="13.20_SeatMoving-System"/>
    <s v="F0370"/>
    <s v="Seat Passenger, Position Electric Adjustable"/>
    <s v="B"/>
    <s v="Comfort"/>
    <s v="Seat Adjustment"/>
    <s v="Seat Tilt Adjustment Passenger"/>
    <s v="with Seats Adjustment"/>
    <s v="Sensor"/>
    <s v="Sensor Hall Tilt - Passenger"/>
    <s v="Sensor Hall Tilt - Passenger - Seat Tilt Adjustment Passenger"/>
    <m/>
    <m/>
    <s v="44;14"/>
    <s v="TE"/>
    <s v="1-929080-5"/>
    <s v="2 Pos. MQS 0,63mm Unsealed"/>
    <m/>
    <s v="No"/>
    <s v="No"/>
    <s v="Yes"/>
    <n v="0"/>
    <n v="0"/>
    <n v="0"/>
    <n v="0"/>
  </r>
  <r>
    <x v="594"/>
    <s v="13.0_Comfort &amp; Interior"/>
    <s v="13.20_SeatMoving-System"/>
    <s v="F0370"/>
    <s v="Seat Passenger, Position Electric Adjustable"/>
    <s v="B"/>
    <s v="Comfort"/>
    <s v="Seat Adjustment"/>
    <s v="Seat Length Adjustment Passenger"/>
    <s v="with Seats Adjustment"/>
    <s v="Sensor"/>
    <s v="Sensor Hall Length - Passenger"/>
    <s v="Sensor Hall Length - Passenger - Seat Length Adjustment Passenger"/>
    <m/>
    <m/>
    <s v="44;14"/>
    <s v="TE"/>
    <s v="1-929080-5"/>
    <s v="2 Pos. MQS 0,63mm Unsealed"/>
    <m/>
    <s v="No"/>
    <s v="No"/>
    <s v="Yes"/>
    <n v="0"/>
    <n v="0"/>
    <n v="0"/>
    <n v="0"/>
  </r>
  <r>
    <x v="595"/>
    <s v="13.0_Comfort &amp; Interior"/>
    <s v="13.20_SeatMoving-System"/>
    <s v="F0370"/>
    <s v="Seat Passenger, Position Electric Adjustable"/>
    <s v="B"/>
    <s v="Comfort"/>
    <s v="Seat Adjustment"/>
    <s v="Seat Tilt Adjustment Passenger"/>
    <s v="with Seats Adjustment"/>
    <s v="Actuator"/>
    <s v="Seat Tilt Motor - Passenger"/>
    <s v="Seat Tilt Motor - Passenger - Seat Tilt Adjustment Passenger"/>
    <m/>
    <m/>
    <s v="44;14"/>
    <s v="TE"/>
    <s v="157420-1"/>
    <s v="2 Pos. JPT 2,8mm Unsealed"/>
    <m/>
    <s v="No"/>
    <s v="No"/>
    <s v="Yes"/>
    <n v="0"/>
    <n v="0"/>
    <n v="0"/>
    <n v="0"/>
  </r>
  <r>
    <x v="596"/>
    <s v="13.0_Comfort &amp; Interior"/>
    <s v="13.20_SeatMoving-System"/>
    <s v="F0370"/>
    <s v="Seat Passenger, Position Electric Adjustable"/>
    <s v="B"/>
    <s v="Comfort"/>
    <s v="Seat Adjustment"/>
    <s v="Seat Length Adjustment Passenger"/>
    <s v="with Seats Adjustment"/>
    <s v="Actuator"/>
    <s v="Seat Length Motor - Passenger"/>
    <s v="Seat Length Motor - Passenger - Seat Length Adjustment Passenger"/>
    <m/>
    <m/>
    <s v="44;14"/>
    <s v="TE"/>
    <s v="157420-1"/>
    <s v="2 Pos. JPT 2,8mm Unsealed"/>
    <m/>
    <s v="No"/>
    <s v="No"/>
    <s v="Yes"/>
    <n v="0"/>
    <n v="0"/>
    <n v="0"/>
    <n v="0"/>
  </r>
  <r>
    <x v="597"/>
    <s v="13.0_Comfort &amp; Interior"/>
    <s v="13.20_SeatMoving-System"/>
    <s v="F0370"/>
    <s v="Seat Passenger, Position Electric Adjustable"/>
    <s v="B"/>
    <s v="Comfort"/>
    <s v="Seat Adjustment"/>
    <s v="Seat Depth Adjustment Passenger"/>
    <s v="with Seats Adjustment"/>
    <s v="Actuator"/>
    <s v="Seat Depth Motor - Passenger"/>
    <s v="Seat Depth Motor - Passenger - Seat Depth Adjustment Passenger"/>
    <m/>
    <m/>
    <s v="44;14"/>
    <s v="TE"/>
    <s v="157420-1"/>
    <s v="2 Pos. JPT 2,8mm Unsealed"/>
    <m/>
    <s v="No"/>
    <s v="No"/>
    <s v="Yes"/>
    <n v="0"/>
    <n v="0"/>
    <n v="0"/>
    <n v="0"/>
  </r>
  <r>
    <x v="598"/>
    <s v="13.0_Comfort &amp; Interior"/>
    <s v="13.20_SeatMoving-System"/>
    <s v="F0370"/>
    <s v="Seat Passenger, Position Electric Adjustable"/>
    <s v="B"/>
    <s v="Comfort"/>
    <s v="Seat Adjustment"/>
    <s v="Seat Height Adjustment Passenger"/>
    <s v="with Seats Adjustment"/>
    <s v="Actuator"/>
    <s v="Seat Height Motor - Passenger"/>
    <s v="Seat Height Motor - Passenger - Seat Height Adjustment Passenger"/>
    <m/>
    <m/>
    <s v="44;14"/>
    <s v="TE"/>
    <s v="157420-1"/>
    <s v="2 Pos. JPT 2,8mm Unsealed"/>
    <m/>
    <s v="No"/>
    <s v="No"/>
    <s v="Yes"/>
    <n v="0"/>
    <n v="0"/>
    <n v="0"/>
    <n v="0"/>
  </r>
  <r>
    <x v="599"/>
    <s v="13.0_Comfort &amp; Interior"/>
    <s v="13.20_SeatMoving-System"/>
    <s v="F0x42"/>
    <s v="Seat Passenger, Lumbar Massage"/>
    <s v=" "/>
    <s v="Comfort"/>
    <s v="Seat Massage"/>
    <s v="Command Passenger"/>
    <s v="with Seats Massage"/>
    <s v="Switch"/>
    <s v="Massage Switch - User Selector - Passenger"/>
    <s v="Massage Switch - User Selector - Passenger - Command Passenger"/>
    <m/>
    <m/>
    <s v="42;1"/>
    <s v="TE"/>
    <s v="936120-2"/>
    <s v="4 Pos. MQS 0,63mm Unsealed"/>
    <m/>
    <s v="No"/>
    <s v="No"/>
    <s v="Yes"/>
    <n v="0.1"/>
    <n v="0.25"/>
    <n v="0.1"/>
    <n v="0.25"/>
  </r>
  <r>
    <x v="600"/>
    <s v="13.0_Comfort &amp; Interior"/>
    <s v="13.20_SeatMoving-System"/>
    <s v="F0370"/>
    <s v="Seat Passenger, Position Electric Adjustable"/>
    <s v="B"/>
    <s v="Comfort"/>
    <s v="Seat Adjustment"/>
    <s v="Command Passenger"/>
    <s v="with Seats Adjustment"/>
    <s v="Switch"/>
    <s v="Mutifunction Switch - User Selector"/>
    <s v="Mutifunction Switch - User Selector - Command Passenger"/>
    <m/>
    <m/>
    <m/>
    <m/>
    <m/>
    <m/>
    <m/>
    <m/>
    <m/>
    <m/>
    <m/>
    <m/>
    <m/>
    <m/>
  </r>
  <r>
    <x v="601"/>
    <s v="13.0_Comfort &amp; Interior"/>
    <s v="13.20_SeatMoving-System"/>
    <s v="F0370"/>
    <s v="Seat Passenger, Position Electric Adjustable"/>
    <s v="B"/>
    <s v="Comfort"/>
    <s v="Seat Adjustment"/>
    <s v="Seat Backrest Adjustment Passenger"/>
    <s v="with Seats Adjustment"/>
    <s v="Actuator"/>
    <s v="Seat Backrest Motor - Passenger"/>
    <s v="Seat Backrest Motor - Passenger - Seat Backrest Adjustment Passenger"/>
    <m/>
    <m/>
    <s v="44;14"/>
    <s v="TE"/>
    <s v="157420-1"/>
    <s v="2 Pos. JPT 2,8mm Unsealed"/>
    <m/>
    <s v="No"/>
    <s v="No"/>
    <s v="Yes"/>
    <n v="0"/>
    <n v="0"/>
    <n v="0"/>
    <n v="0"/>
  </r>
  <r>
    <x v="602"/>
    <s v="13.0_Comfort &amp; Interior"/>
    <s v="13.20_SeatMoving-System"/>
    <s v="F0370"/>
    <s v="Seat Passenger, Position Electric Adjustable"/>
    <s v="B"/>
    <s v="Comfort"/>
    <s v="Seat Adjustment"/>
    <s v="Seat Depth Adjustment Passenger"/>
    <s v="with Seats Adjustment"/>
    <s v="Sensor"/>
    <s v="Sensor Hall Depth - Passenger"/>
    <s v="Sensor Hall Depth - Passenger - Seat Depth Adjustment Passenger"/>
    <m/>
    <m/>
    <s v="44;14"/>
    <s v="TE"/>
    <s v="1-929080-5"/>
    <s v="2 Pos. MQS 0,63mm Unsealed"/>
    <m/>
    <s v="No"/>
    <s v="No"/>
    <s v="Yes"/>
    <n v="0"/>
    <n v="0"/>
    <n v="0"/>
    <n v="0"/>
  </r>
  <r>
    <x v="603"/>
    <s v="13.0_Comfort &amp; Interior"/>
    <s v="13.20_SeatMoving-System"/>
    <s v="F0370"/>
    <s v="Seat Passenger, Position Electric Adjustable"/>
    <s v="B"/>
    <s v="Comfort"/>
    <s v="Seat Adjustment"/>
    <s v="Seat Backrest Adjustment Passenger"/>
    <s v="with Seats Adjustment"/>
    <s v="Sensor"/>
    <s v="Sensor Hall Seat Backrest - Passenger"/>
    <s v="Sensor Hall Seat Backrest - Passenger - Seat Backrest Adjustment Passenger"/>
    <m/>
    <m/>
    <s v="44;14"/>
    <s v="TE"/>
    <s v="1-929080-5"/>
    <s v="2 Pos. MQS 0,63mm Unsealed"/>
    <m/>
    <s v="No"/>
    <s v="No"/>
    <s v="Yes"/>
    <n v="0"/>
    <n v="0"/>
    <n v="0"/>
    <n v="0"/>
  </r>
  <r>
    <x v="604"/>
    <s v="13.0_Comfort &amp; Interior"/>
    <s v="13.20_SeatMoving-System"/>
    <s v="F0370"/>
    <s v="Seat Passenger, Position Electric Adjustable"/>
    <s v="B"/>
    <s v="Comfort"/>
    <s v="Seat Adjustment"/>
    <s v="Easy Entry Passenger"/>
    <s v="with Seats Adjustment"/>
    <s v="Switch"/>
    <s v="Easy Entry Switch - User Selector"/>
    <s v="Easy Entry Switch - User Selector - Easy Entry Passenger"/>
    <m/>
    <m/>
    <m/>
    <m/>
    <m/>
    <m/>
    <m/>
    <m/>
    <m/>
    <m/>
    <m/>
    <m/>
    <m/>
    <m/>
  </r>
  <r>
    <x v="605"/>
    <s v="13.0_Comfort &amp; Interior"/>
    <s v="13.40_InteriorHeating-System"/>
    <s v="F0047"/>
    <s v="Seat Driver, Heating"/>
    <s v="QM"/>
    <s v="Comfort"/>
    <s v="Seat Heating"/>
    <s v="Seat Temperature Adjustment FL"/>
    <s v="with Driver Seat Heating"/>
    <s v="Switch"/>
    <s v="Potentiomenter - User Selector Driver"/>
    <s v="Potentiomenter - User Selector Driver - Seat Temperature Adjustment FL"/>
    <m/>
    <m/>
    <s v="38;-1"/>
    <s v="TE"/>
    <s v="1379029-1"/>
    <s v="4 Pos. MQS 0,63mm Unsealed"/>
    <m/>
    <s v="No"/>
    <s v="Yes"/>
    <s v="Yes"/>
    <n v="0"/>
    <n v="1"/>
    <n v="1"/>
    <n v="0"/>
  </r>
  <r>
    <x v="606"/>
    <s v="13.0_Comfort &amp; Interior"/>
    <s v="13.40_InteriorHeating-System"/>
    <s v="F0368"/>
    <s v="Seat Passenger, Heating"/>
    <s v="QM"/>
    <s v="Comfort"/>
    <s v="Seat Heating"/>
    <s v="Seat Temperature Adjustment FR"/>
    <s v="with Passenger Seat Heating"/>
    <s v="Switch"/>
    <s v="Potentiomenter - User Selector Passenger"/>
    <s v="Potentiomenter - User Selector Passenger - Seat Temperature Adjustment FR"/>
    <m/>
    <m/>
    <s v="38;1"/>
    <s v="TE"/>
    <s v="1379029-1"/>
    <s v="4 Pos. MQS 0,63mm Unsealed"/>
    <m/>
    <s v="No"/>
    <s v="Yes"/>
    <s v="Yes"/>
    <n v="0"/>
    <n v="1"/>
    <n v="1"/>
    <n v="0"/>
  </r>
  <r>
    <x v="607"/>
    <s v="13.0_Comfort &amp; Interior"/>
    <s v="13.40_InteriorHeating-System"/>
    <s v="F0xx7"/>
    <s v="Seats Rear, Heating"/>
    <m/>
    <s v="Comfort"/>
    <s v="Seat Heating"/>
    <s v="Seat Temperature Adjustment RL"/>
    <s v="with Rear Seats Heating"/>
    <s v="Switch"/>
    <s v="Potentiomenter - User Selector Rear Left"/>
    <s v="Potentiomenter - User Selector Rear Left - Seat Temperature Adjustment RL"/>
    <m/>
    <m/>
    <s v="61;-1"/>
    <s v="TE"/>
    <s v="1379029-1"/>
    <s v="4 Pos. MQS 0,63mm Unsealed"/>
    <m/>
    <s v="No"/>
    <s v="No"/>
    <s v="Yes"/>
    <n v="0"/>
    <n v="1"/>
    <n v="1"/>
    <n v="0"/>
  </r>
  <r>
    <x v="608"/>
    <s v="13.0_Comfort &amp; Interior"/>
    <s v="13.40_InteriorHeating-System"/>
    <s v="F0xx7"/>
    <s v="Seats Rear, Heating"/>
    <m/>
    <s v="Comfort"/>
    <s v="Seat Heating"/>
    <s v="Seat Temperature Adjustment RR"/>
    <s v="with Rear Seats Heating"/>
    <s v="Switch"/>
    <s v="Potentiomenter - User Selector Rear Right"/>
    <s v="Potentiomenter - User Selector Rear Right - Seat Temperature Adjustment RR"/>
    <m/>
    <m/>
    <s v="61;1"/>
    <s v="TE"/>
    <s v="1379029-1"/>
    <s v="4 Pos. MQS 0,63mm Unsealed"/>
    <m/>
    <s v="No"/>
    <s v="No"/>
    <s v="Yes"/>
    <n v="0"/>
    <n v="1"/>
    <n v="1"/>
    <n v="0"/>
  </r>
  <r>
    <x v="609"/>
    <s v="32.0_Comfort &amp; Chassis"/>
    <s v="32.20_Steering-System"/>
    <s v="F0348"/>
    <s v="Steering System, Electric Power Steering (EPS)"/>
    <m/>
    <s v="Chassis"/>
    <s v="Electrical Power Steering"/>
    <s v="Steering Angle"/>
    <s v="Steering Angle Measurement"/>
    <s v="Sensor"/>
    <s v="Sensor"/>
    <s v="Sensor - Steering Angle"/>
    <m/>
    <m/>
    <s v="33;-9"/>
    <m/>
    <m/>
    <m/>
    <m/>
    <s v="No"/>
    <s v="Yes"/>
    <s v="Yes"/>
    <n v="1"/>
    <n v="1"/>
    <n v="1"/>
    <n v="1"/>
  </r>
  <r>
    <x v="609"/>
    <s v="32.0_Comfort &amp; Chassis"/>
    <s v="32.20_Steering-System"/>
    <s v="F0350"/>
    <s v="Front Steering, Active Reset"/>
    <s v="QM"/>
    <s v="Chassis"/>
    <s v="Electrical Power Steering"/>
    <s v="Steering Angle"/>
    <s v="Steering Angle Measurement"/>
    <s v="Sensor"/>
    <s v="Sensor"/>
    <s v="Sensor - Steering Angle"/>
    <m/>
    <m/>
    <s v="33;-9"/>
    <m/>
    <m/>
    <m/>
    <m/>
    <s v="No"/>
    <s v="Yes"/>
    <s v="Yes"/>
    <n v="1"/>
    <n v="1"/>
    <n v="1"/>
    <n v="1"/>
  </r>
  <r>
    <x v="609"/>
    <s v="32.0_Comfort &amp; Chassis"/>
    <s v="32.20_Steering-System"/>
    <s v="F0400"/>
    <s v="Steering, Modes"/>
    <m/>
    <s v="Chassis"/>
    <s v="Electrical Power Steering"/>
    <s v="Steering Angle"/>
    <s v="Steering Angle Measurement"/>
    <s v="Sensor"/>
    <s v="Sensor"/>
    <s v="Sensor - Steering Angle"/>
    <m/>
    <m/>
    <s v="33;-9"/>
    <m/>
    <m/>
    <m/>
    <m/>
    <s v="No"/>
    <s v="Yes"/>
    <s v="Yes"/>
    <n v="1"/>
    <n v="1"/>
    <n v="1"/>
    <n v="1"/>
  </r>
  <r>
    <x v="610"/>
    <s v="10.0_Comfort &amp; Exterior"/>
    <s v="10.30_OutsideLighting-System"/>
    <s v="F0782"/>
    <s v="Outside Lighting, Charge Port Light"/>
    <s v="QM"/>
    <s v="Powertrain"/>
    <s v="External Illumination"/>
    <s v="Charge Port Light"/>
    <s v="LED"/>
    <s v="Actuator"/>
    <s v="LED Lamp"/>
    <s v="LED Lamp - Charge Port Light"/>
    <m/>
    <m/>
    <s v="88;-18"/>
    <m/>
    <m/>
    <m/>
    <m/>
    <s v="No"/>
    <s v="No"/>
    <s v="Yes"/>
    <n v="0"/>
    <n v="0"/>
    <n v="0"/>
    <n v="0"/>
  </r>
  <r>
    <x v="611"/>
    <s v="10.0_Comfort &amp; Exterior"/>
    <s v="10.30_OutsideLighting-System"/>
    <s v="F0031"/>
    <s v="Front Lighting, Daytime Running Light"/>
    <s v="QM"/>
    <s v="Body"/>
    <s v="External Illumination"/>
    <s v="Daytime Running Light FL"/>
    <s v="LED"/>
    <s v="Actuator"/>
    <s v="LED Lamp"/>
    <s v="LED Lamp - Daytime Running Light FL"/>
    <m/>
    <m/>
    <m/>
    <m/>
    <m/>
    <m/>
    <m/>
    <s v="No"/>
    <s v="No"/>
    <s v="No"/>
    <n v="1"/>
    <n v="1"/>
    <n v="0.5"/>
    <n v="0.5"/>
  </r>
  <r>
    <x v="612"/>
    <s v="10.0_Comfort &amp; Exterior"/>
    <s v="10.30_OutsideLighting-System"/>
    <s v="F0031"/>
    <s v="Front Lighting, Daytime Running Light"/>
    <s v="QM"/>
    <s v="Body"/>
    <s v="External Illumination"/>
    <s v="Daytime Running Light FR"/>
    <s v="LED"/>
    <s v="Actuator"/>
    <s v="LED Lamp"/>
    <s v="LED Lamp - Daytime Running Light FR"/>
    <m/>
    <m/>
    <m/>
    <m/>
    <m/>
    <m/>
    <m/>
    <s v="No"/>
    <s v="No"/>
    <s v="No"/>
    <n v="1"/>
    <n v="1"/>
    <n v="0.5"/>
    <n v="0.5"/>
  </r>
  <r>
    <x v="613"/>
    <s v="10.0_Comfort &amp; Exterior"/>
    <s v="10.30_OutsideLighting-System"/>
    <s v="F0071"/>
    <s v="Light Scenario, Fog Cornering"/>
    <s v="QM"/>
    <s v="Body"/>
    <s v="External Illumination"/>
    <s v="Front Fog Lamp FR"/>
    <s v="Bulb"/>
    <s v="Actuator"/>
    <s v="H1"/>
    <s v="H1 - Front Fog Lamp FR"/>
    <m/>
    <m/>
    <s v="-13;13"/>
    <m/>
    <m/>
    <m/>
    <m/>
    <s v="Yes"/>
    <s v="No"/>
    <s v="No"/>
    <n v="0"/>
    <n v="0"/>
    <n v="0"/>
    <n v="1"/>
  </r>
  <r>
    <x v="614"/>
    <s v="10.0_Comfort &amp; Exterior"/>
    <s v="10.30_OutsideLighting-System"/>
    <s v="F0377"/>
    <s v="Front Lighting, Fog Front"/>
    <s v="QM"/>
    <s v="Body"/>
    <s v="External Illumination"/>
    <s v="Front Fog Lamp FR"/>
    <s v="Bulb"/>
    <s v="Actuator"/>
    <s v="H1"/>
    <s v="H1 - Front Fog Lamp FR"/>
    <m/>
    <m/>
    <s v="-13;13"/>
    <m/>
    <m/>
    <m/>
    <m/>
    <s v="Yes"/>
    <s v="No"/>
    <s v="No"/>
    <n v="0"/>
    <n v="0"/>
    <n v="0"/>
    <n v="1"/>
  </r>
  <r>
    <x v="615"/>
    <s v="10.0_Comfort &amp; Exterior"/>
    <s v="10.30_OutsideLighting-System"/>
    <s v="F0071"/>
    <s v="Light Scenario, Fog Cornering"/>
    <s v="QM"/>
    <s v="Body"/>
    <s v="External Illumination"/>
    <s v="Front Fog Lamp FR"/>
    <s v="Full LED"/>
    <s v="Actuator"/>
    <s v="LED Lamp"/>
    <s v="LED Lamp - Front Fog Lamp FR"/>
    <m/>
    <m/>
    <s v="-13;13"/>
    <m/>
    <m/>
    <m/>
    <m/>
    <s v="No"/>
    <s v="Yes"/>
    <s v="Yes"/>
    <n v="0"/>
    <n v="0"/>
    <n v="0"/>
    <n v="1"/>
  </r>
  <r>
    <x v="616"/>
    <s v="10.0_Comfort &amp; Exterior"/>
    <s v="10.30_OutsideLighting-System"/>
    <s v="F0377"/>
    <s v="Front Lighting, Fog Front"/>
    <s v="QM"/>
    <s v="Body"/>
    <s v="External Illumination"/>
    <s v="Front Fog Lamp FR"/>
    <s v="Full LED"/>
    <s v="Actuator"/>
    <s v="LED Lamp"/>
    <s v="LED Lamp - Front Fog Lamp FR"/>
    <m/>
    <m/>
    <s v="-13;13"/>
    <m/>
    <m/>
    <m/>
    <m/>
    <s v="No"/>
    <s v="Yes"/>
    <s v="Yes"/>
    <n v="0"/>
    <n v="0"/>
    <n v="0"/>
    <n v="1"/>
  </r>
  <r>
    <x v="617"/>
    <s v="10.0_Comfort &amp; Exterior"/>
    <s v="10.30_OutsideLighting-System"/>
    <s v="F0225"/>
    <s v="Front Lighting, Low Beam"/>
    <s v="B"/>
    <s v="Body"/>
    <s v="External Illumination"/>
    <s v="Low Beam Right"/>
    <s v="Double Halogen"/>
    <s v="Actuator"/>
    <s v="Headlamp Assy' H1 + H7 + P21W + P5W Right"/>
    <s v="Headlamp Assy' H1 + H7 + P21W + P5W Right - Low Beam Right"/>
    <m/>
    <m/>
    <s v="-6;17"/>
    <s v="TE"/>
    <s v="4-1454396-7"/>
    <s v="2 Pos. Lamp Socket T3 1/4 / T5"/>
    <m/>
    <s v="Yes"/>
    <s v="No"/>
    <s v="No"/>
    <n v="0"/>
    <n v="0"/>
    <n v="1"/>
    <n v="1"/>
  </r>
  <r>
    <x v="617"/>
    <s v="10.0_Comfort &amp; Exterior"/>
    <s v="10.30_OutsideLighting-System"/>
    <s v="F0226"/>
    <s v="Front Lighting, High Beam"/>
    <s v="A"/>
    <s v="Body"/>
    <s v="External Illumination"/>
    <s v="Low Beam Right"/>
    <s v="Double Halogen"/>
    <s v="Actuator"/>
    <s v="Headlamp Assy' H1 + H7 + P21W + P5W Right"/>
    <s v="Headlamp Assy' H1 + H7 + P21W + P5W Right - Low Beam Right"/>
    <m/>
    <m/>
    <s v="-6;17"/>
    <s v="TE"/>
    <s v="4-1454396-7"/>
    <s v="2 Pos. Lamp Socket T3 1/4 / T5"/>
    <m/>
    <s v="Yes"/>
    <s v="No"/>
    <s v="No"/>
    <n v="0"/>
    <n v="0"/>
    <n v="1"/>
    <n v="1"/>
  </r>
  <r>
    <x v="617"/>
    <s v="10.0_Comfort &amp; Exterior"/>
    <s v="10.30_OutsideLighting-System"/>
    <s v="F0227"/>
    <s v="Light Scenario, Parking Light"/>
    <s v="QM"/>
    <s v="Body"/>
    <s v="External Illumination"/>
    <s v="Grounding"/>
    <s v="Double Halogen"/>
    <s v="Actuator"/>
    <s v="Headlamp Assy' H1 + H7 + P21W + P5W Right"/>
    <s v="Headlamp Assy' H1 + H7 + P21W + P5W Right - Grounding"/>
    <m/>
    <m/>
    <s v="-6;17"/>
    <s v="TE"/>
    <s v="4-1454396-7"/>
    <s v="2 Pos. Lamp Socket T3 1/4 / T5"/>
    <m/>
    <s v="Yes"/>
    <s v="No"/>
    <s v="No"/>
    <n v="0"/>
    <n v="0"/>
    <n v="1"/>
    <n v="1"/>
  </r>
  <r>
    <x v="617"/>
    <s v="37.0_ADAS &amp; AutomatedDriving"/>
    <s v="37.01_LightingAssistant-System"/>
    <s v="F0145"/>
    <s v="Light Assist, High Beam Automatic"/>
    <s v="A"/>
    <s v="Body"/>
    <s v="External Illumination"/>
    <s v="Low Beam Right"/>
    <s v="Double Halogen"/>
    <s v="Actuator"/>
    <s v="Headlamp Assy' H1 + H7 + P21W + P5W Right"/>
    <s v="Headlamp Assy' H1 + H7 + P21W + P5W Right - Low Beam Right"/>
    <m/>
    <m/>
    <s v="-6;17"/>
    <s v="TE"/>
    <s v="4-1454396-7"/>
    <s v="2 Pos. Lamp Socket T3 1/4 / T5"/>
    <m/>
    <s v="Yes"/>
    <s v="No"/>
    <s v="No"/>
    <n v="0"/>
    <n v="0"/>
    <n v="1"/>
    <n v="1"/>
  </r>
  <r>
    <x v="618"/>
    <s v="10.0_Comfort &amp; Exterior"/>
    <s v="10.30_OutsideLighting-System"/>
    <s v="F0225"/>
    <s v="Front Lighting, Low Beam"/>
    <s v="B"/>
    <s v="Body"/>
    <s v="External Illumination"/>
    <s v="Power Supply"/>
    <s v="Full LED"/>
    <s v="Actuator"/>
    <s v="Headlamp Assy' Full LED Right"/>
    <s v="Headlamp Assy' Full LED Right - Power Supply"/>
    <m/>
    <m/>
    <s v="-6;17"/>
    <s v="TE"/>
    <s v="2109441-2"/>
    <s v="8 Pos. MCP 2,8mm Sealed"/>
    <m/>
    <s v="No"/>
    <s v="Yes"/>
    <s v="No"/>
    <n v="0.24"/>
    <n v="0.24"/>
    <n v="0.43742166396542409"/>
    <n v="0.55032414910858996"/>
  </r>
  <r>
    <x v="618"/>
    <s v="10.0_Comfort &amp; Exterior"/>
    <s v="10.30_OutsideLighting-System"/>
    <s v="F0226"/>
    <s v="Front Lighting, High Beam"/>
    <s v="A"/>
    <s v="Body"/>
    <s v="External Illumination"/>
    <s v="Power Supply"/>
    <s v="Full LED"/>
    <s v="Actuator"/>
    <s v="Headlamp Assy' Full LED Right"/>
    <s v="Headlamp Assy' Full LED Right - Power Supply"/>
    <m/>
    <m/>
    <s v="-6;17"/>
    <s v="TE"/>
    <s v="2109441-2"/>
    <s v="8 Pos. MCP 2,8mm Sealed"/>
    <m/>
    <s v="No"/>
    <s v="Yes"/>
    <s v="No"/>
    <n v="0.24"/>
    <n v="0.24"/>
    <n v="0.43742166396542409"/>
    <n v="0.55032414910858996"/>
  </r>
  <r>
    <x v="618"/>
    <s v="10.0_Comfort &amp; Exterior"/>
    <s v="10.30_OutsideLighting-System"/>
    <s v="F0227"/>
    <s v="Light Scenario, Parking Light"/>
    <s v="QM"/>
    <s v="Body"/>
    <s v="External Illumination"/>
    <s v="Power Supply"/>
    <s v="Full LED"/>
    <s v="Actuator"/>
    <s v="Headlamp Assy' Full LED Right"/>
    <s v="Headlamp Assy' Full LED Right - Power Supply"/>
    <m/>
    <m/>
    <s v="-6;17"/>
    <s v="TE"/>
    <s v="2109441-2"/>
    <s v="8 Pos. MCP 2,8mm Sealed"/>
    <m/>
    <s v="No"/>
    <s v="Yes"/>
    <s v="No"/>
    <n v="0.24"/>
    <n v="0.24"/>
    <n v="0.43742166396542409"/>
    <n v="0.55032414910858996"/>
  </r>
  <r>
    <x v="618"/>
    <s v="37.0_ADAS &amp; AutomatedDriving"/>
    <s v="37.01_LightingAssistant-System"/>
    <s v="F0145"/>
    <s v="Light Assist, High Beam Automatic"/>
    <s v="A"/>
    <s v="Body"/>
    <s v="External Illumination"/>
    <s v="Power Supply"/>
    <s v="Full LED"/>
    <s v="Actuator"/>
    <s v="Headlamp Assy' Full LED Right"/>
    <s v="Headlamp Assy' Full LED Right - Power Supply"/>
    <m/>
    <m/>
    <s v="-6;17"/>
    <s v="TE"/>
    <s v="2109441-2"/>
    <s v="8 Pos. MCP 2,8mm Sealed"/>
    <m/>
    <s v="No"/>
    <s v="Yes"/>
    <s v="No"/>
    <n v="0.24"/>
    <n v="0.24"/>
    <n v="0.43742166396542409"/>
    <n v="0.55032414910858996"/>
  </r>
  <r>
    <x v="619"/>
    <s v="10.0_Comfort &amp; Exterior"/>
    <s v="10.30_OutsideLighting-System"/>
    <s v="F0225"/>
    <s v="Front Lighting, Low Beam"/>
    <s v="B"/>
    <s v="Body"/>
    <s v="External Illumination"/>
    <s v="Position Lamp Right"/>
    <s v="Full LED Smart Matrix"/>
    <s v="Actuator"/>
    <s v="Headlamp Assy' Full LED Matrix Right"/>
    <s v="Headlamp Assy' Full LED Matrix Right - Position Lamp Right"/>
    <m/>
    <m/>
    <s v="-6;17"/>
    <s v="TE"/>
    <s v="1452299-1"/>
    <s v="12 Pos. MCP 1,5mm / 2,8mm Sealed"/>
    <m/>
    <s v="No"/>
    <s v="No"/>
    <s v="Yes"/>
    <n v="0"/>
    <n v="0"/>
    <n v="1"/>
    <n v="1"/>
  </r>
  <r>
    <x v="619"/>
    <s v="10.0_Comfort &amp; Exterior"/>
    <s v="10.30_OutsideLighting-System"/>
    <s v="F0226"/>
    <s v="Front Lighting, High Beam"/>
    <s v="A"/>
    <s v="Body"/>
    <s v="External Illumination"/>
    <s v="Position Lamp Right"/>
    <s v="Full LED Smart Matrix"/>
    <s v="Actuator"/>
    <s v="Headlamp Assy' Full LED Matrix Right"/>
    <s v="Headlamp Assy' Full LED Matrix Right - Position Lamp Right"/>
    <m/>
    <m/>
    <s v="-6;17"/>
    <s v="TE"/>
    <s v="1452299-1"/>
    <s v="12 Pos. MCP 1,5mm / 2,8mm Sealed"/>
    <m/>
    <s v="No"/>
    <s v="No"/>
    <s v="Yes"/>
    <n v="0"/>
    <n v="0"/>
    <n v="1"/>
    <n v="1"/>
  </r>
  <r>
    <x v="619"/>
    <s v="10.0_Comfort &amp; Exterior"/>
    <s v="10.30_OutsideLighting-System"/>
    <s v="F0227"/>
    <s v="Light Scenario, Parking Light"/>
    <s v="QM"/>
    <s v="Body"/>
    <s v="External Illumination"/>
    <s v="Position Lamp Right"/>
    <s v="Full LED Smart Matrix"/>
    <s v="Actuator"/>
    <s v="Headlamp Assy' Full LED Matrix Right"/>
    <s v="Headlamp Assy' Full LED Matrix Right - Position Lamp Right"/>
    <m/>
    <m/>
    <s v="-6;17"/>
    <s v="TE"/>
    <s v="1452299-1"/>
    <s v="12 Pos. MCP 1,5mm / 2,8mm Sealed"/>
    <m/>
    <s v="No"/>
    <s v="No"/>
    <s v="Yes"/>
    <n v="0"/>
    <n v="0"/>
    <n v="1"/>
    <n v="1"/>
  </r>
  <r>
    <x v="619"/>
    <s v="37.0_ADAS &amp; AutomatedDriving"/>
    <s v="37.01_LightingAssistant-System"/>
    <s v="F0145"/>
    <s v="Light Assist, High Beam Automatic"/>
    <s v="A"/>
    <s v="Body"/>
    <s v="External Illumination"/>
    <s v="Position Lamp Right"/>
    <s v="Full LED Smart Matrix"/>
    <s v="Actuator"/>
    <s v="Headlamp Assy' Full LED Matrix Right"/>
    <s v="Headlamp Assy' Full LED Matrix Right - Position Lamp Right"/>
    <m/>
    <m/>
    <s v="-6;17"/>
    <s v="TE"/>
    <s v="1452299-1"/>
    <s v="12 Pos. MCP 1,5mm / 2,8mm Sealed"/>
    <m/>
    <s v="No"/>
    <s v="No"/>
    <s v="Yes"/>
    <n v="0"/>
    <n v="0"/>
    <n v="1"/>
    <n v="1"/>
  </r>
  <r>
    <x v="620"/>
    <s v="10.0_Comfort &amp; Exterior"/>
    <s v="10.30_OutsideLighting-System"/>
    <s v="F0225"/>
    <s v="Front Lighting, Low Beam"/>
    <s v="B"/>
    <s v="Body"/>
    <s v="External Illumination"/>
    <s v="High Beam Right"/>
    <s v="Halogen"/>
    <s v="Actuator"/>
    <s v="Headlamp Assy' H4 + P21W + P5W Right"/>
    <s v="Headlamp Assy' H4 + P21W + P5W Right - High Beam Right"/>
    <m/>
    <m/>
    <s v="-6;17"/>
    <s v="TE"/>
    <s v="2-2005159-1"/>
    <s v="3 Pos. Lamp Socket T20"/>
    <m/>
    <s v="No"/>
    <s v="No"/>
    <s v="No"/>
    <n v="0"/>
    <n v="0"/>
    <n v="1.6666666666666668E-3"/>
    <n v="0.3"/>
  </r>
  <r>
    <x v="620"/>
    <s v="10.0_Comfort &amp; Exterior"/>
    <s v="10.30_OutsideLighting-System"/>
    <s v="F0226"/>
    <s v="Front Lighting, High Beam"/>
    <s v="A"/>
    <s v="Body"/>
    <s v="External Illumination"/>
    <s v="High Beam Right"/>
    <s v="Halogen"/>
    <s v="Actuator"/>
    <s v="Headlamp Assy' H4 + P21W + P5W Right"/>
    <s v="Headlamp Assy' H4 + P21W + P5W Right - High Beam Right"/>
    <m/>
    <m/>
    <s v="-6;17"/>
    <s v="TE"/>
    <s v="2-2005159-1"/>
    <s v="3 Pos. Lamp Socket T20"/>
    <m/>
    <s v="No"/>
    <s v="No"/>
    <s v="No"/>
    <n v="0"/>
    <n v="0"/>
    <n v="1.6666666666666668E-3"/>
    <n v="0.3"/>
  </r>
  <r>
    <x v="620"/>
    <s v="10.0_Comfort &amp; Exterior"/>
    <s v="10.30_OutsideLighting-System"/>
    <s v="F0227"/>
    <s v="Light Scenario, Parking Light"/>
    <s v="QM"/>
    <s v="Body"/>
    <s v="External Illumination"/>
    <s v="Grounding"/>
    <s v="Halogen"/>
    <s v="Actuator"/>
    <s v="Headlamp Assy' H4 + P21W + P5W Right"/>
    <s v="Headlamp Assy' H4 + P21W + P5W Right - Grounding"/>
    <m/>
    <m/>
    <s v="-6;17"/>
    <s v="TE"/>
    <s v="2-2005159-1"/>
    <s v="3 Pos. Lamp Socket T20"/>
    <m/>
    <s v="No"/>
    <s v="No"/>
    <s v="No"/>
    <n v="0"/>
    <n v="0"/>
    <n v="1"/>
    <n v="1"/>
  </r>
  <r>
    <x v="620"/>
    <s v="37.0_ADAS &amp; AutomatedDriving"/>
    <s v="37.01_LightingAssistant-System"/>
    <s v="F0145"/>
    <s v="Light Assist, High Beam Automatic"/>
    <s v="A"/>
    <s v="Body"/>
    <s v="External Illumination"/>
    <s v="High Beam Right"/>
    <s v="Halogen"/>
    <s v="Actuator"/>
    <s v="Headlamp Assy' H4 + P21W + P5W Right"/>
    <s v="Headlamp Assy' H4 + P21W + P5W Right - High Beam Right"/>
    <m/>
    <m/>
    <s v="-6;17"/>
    <s v="TE"/>
    <s v="2-2005159-1"/>
    <s v="3 Pos. Lamp Socket T20"/>
    <m/>
    <s v="No"/>
    <s v="No"/>
    <s v="No"/>
    <n v="0"/>
    <n v="0"/>
    <n v="1.6666666666666668E-3"/>
    <n v="0.3"/>
  </r>
  <r>
    <x v="621"/>
    <s v="10.0_Comfort &amp; Exterior"/>
    <s v="10.30_OutsideLighting-System"/>
    <s v="F0225"/>
    <s v="Front Lighting, Low Beam"/>
    <s v="B"/>
    <s v="Body"/>
    <s v="External Illumination"/>
    <s v="Daytime Runlight"/>
    <s v="Xenon + LED"/>
    <s v="Actuator"/>
    <s v="Headlamp Assy' Xenon + LED Right"/>
    <s v="Headlamp Assy' Xenon + LED Right - Daytime Runlight"/>
    <m/>
    <m/>
    <s v="-6;17"/>
    <s v="TE"/>
    <s v="493577-1"/>
    <s v="10 Pos. JPT 2,8mm Sealed"/>
    <m/>
    <s v="No"/>
    <s v="No"/>
    <s v="No"/>
    <n v="1"/>
    <n v="1"/>
    <n v="0.5"/>
    <n v="0.5"/>
  </r>
  <r>
    <x v="621"/>
    <s v="10.0_Comfort &amp; Exterior"/>
    <s v="10.30_OutsideLighting-System"/>
    <s v="F0226"/>
    <s v="Front Lighting, High Beam"/>
    <s v="A"/>
    <s v="Body"/>
    <s v="External Illumination"/>
    <s v="Daytime Runlight"/>
    <s v="Xenon + LED"/>
    <s v="Actuator"/>
    <s v="Headlamp Assy' Xenon + LED Right"/>
    <s v="Headlamp Assy' Xenon + LED Right - Daytime Runlight"/>
    <m/>
    <m/>
    <s v="-6;17"/>
    <s v="TE"/>
    <s v="493577-1"/>
    <s v="10 Pos. JPT 2,8mm Sealed"/>
    <m/>
    <s v="No"/>
    <s v="No"/>
    <s v="No"/>
    <n v="1"/>
    <n v="1"/>
    <n v="0.5"/>
    <n v="0.5"/>
  </r>
  <r>
    <x v="621"/>
    <s v="10.0_Comfort &amp; Exterior"/>
    <s v="10.30_OutsideLighting-System"/>
    <s v="F0227"/>
    <s v="Light Scenario, Parking Light"/>
    <s v="QM"/>
    <s v="Body"/>
    <s v="External Illumination"/>
    <s v="Grounding"/>
    <s v="Xenon + LED"/>
    <s v="Actuator"/>
    <s v="Headlamp Assy' Xenon + LED Right"/>
    <s v="Headlamp Assy' Xenon + LED Right - Grounding"/>
    <m/>
    <m/>
    <s v="-6;17"/>
    <s v="TE"/>
    <s v="493577-1"/>
    <s v="10 Pos. JPT 2,8mm Sealed"/>
    <m/>
    <s v="No"/>
    <s v="No"/>
    <s v="No"/>
    <n v="0"/>
    <n v="0"/>
    <n v="1"/>
    <n v="1"/>
  </r>
  <r>
    <x v="621"/>
    <s v="37.0_ADAS &amp; AutomatedDriving"/>
    <s v="37.01_LightingAssistant-System"/>
    <s v="F0145"/>
    <s v="Light Assist, High Beam Automatic"/>
    <s v="A"/>
    <s v="Body"/>
    <s v="External Illumination"/>
    <s v="Daytime Runlight"/>
    <s v="Xenon + LED"/>
    <s v="Actuator"/>
    <s v="Headlamp Assy' Xenon + LED Right"/>
    <s v="Headlamp Assy' Xenon + LED Right - Daytime Runlight"/>
    <m/>
    <m/>
    <s v="-6;17"/>
    <s v="TE"/>
    <s v="493577-1"/>
    <s v="10 Pos. JPT 2,8mm Sealed"/>
    <m/>
    <s v="No"/>
    <s v="No"/>
    <s v="No"/>
    <n v="1"/>
    <n v="1"/>
    <n v="0.5"/>
    <n v="0.5"/>
  </r>
  <r>
    <x v="622"/>
    <s v="10.0_Comfort &amp; Exterior"/>
    <s v="10.30_OutsideLighting-System"/>
    <s v="F0780"/>
    <s v="Door Lighting Outside, Door Handle"/>
    <s v="QM"/>
    <s v="Body"/>
    <s v="External Illumination"/>
    <s v="Puddle Illumination"/>
    <s v="With or Without"/>
    <s v="Actuator"/>
    <s v="LED Lamp in Door Handle FL"/>
    <s v="LED Lamp in Door Handle FL - Puddle Illumination"/>
    <m/>
    <m/>
    <s v="52;-23"/>
    <s v="TE"/>
    <s v="1-2236898-1"/>
    <s v="5 Pos. MCON 1,2mm Sealed"/>
    <m/>
    <s v="No"/>
    <s v="No"/>
    <s v="No"/>
    <n v="0"/>
    <n v="0"/>
    <n v="0"/>
    <n v="0"/>
  </r>
  <r>
    <x v="623"/>
    <s v="10.0_Comfort &amp; Exterior"/>
    <s v="10.30_OutsideLighting-System"/>
    <s v="F0780"/>
    <s v="Door Lighting Outside, Door Handle"/>
    <s v="QM"/>
    <s v="Body"/>
    <s v="External Illumination"/>
    <s v="Puddle Illumination"/>
    <s v="With or Without"/>
    <s v="Actuator"/>
    <s v="LED Lamp in Door Handle FR"/>
    <s v="LED Lamp in Door Handle FR - Puddle Illumination"/>
    <m/>
    <m/>
    <s v="52;23"/>
    <s v="TE"/>
    <s v="1-2236898-1"/>
    <s v="5 Pos. MCON 1,2mm Sealed"/>
    <m/>
    <s v="No"/>
    <s v="No"/>
    <s v="No"/>
    <n v="0"/>
    <n v="0"/>
    <n v="0"/>
    <n v="0"/>
  </r>
  <r>
    <x v="624"/>
    <s v="10.0_Comfort &amp; Exterior"/>
    <s v="10.30_OutsideLighting-System"/>
    <s v="F0780"/>
    <s v="Door Lighting Outside, Door Handle"/>
    <s v="QM"/>
    <s v="Body"/>
    <s v="External Illumination"/>
    <s v="Puddle Illumination"/>
    <s v="With or Without"/>
    <s v="Actuator"/>
    <s v="LED Lamp in Door Handle RL"/>
    <s v="LED Lamp in Door Handle RL - Puddle Illumination"/>
    <m/>
    <m/>
    <s v="78;-23"/>
    <s v="TE"/>
    <s v="1-2236898-1"/>
    <s v="5 Pos. MCON 1,2mm Sealed"/>
    <m/>
    <s v="No"/>
    <s v="No"/>
    <s v="No"/>
    <n v="0"/>
    <n v="0"/>
    <n v="0"/>
    <n v="0"/>
  </r>
  <r>
    <x v="625"/>
    <s v="10.0_Comfort &amp; Exterior"/>
    <s v="10.30_OutsideLighting-System"/>
    <s v="F0780"/>
    <s v="Door Lighting Outside, Door Handle"/>
    <s v="QM"/>
    <s v="Body"/>
    <s v="External Illumination"/>
    <s v="Puddle Illumination"/>
    <s v="With or Without"/>
    <s v="Actuator"/>
    <s v="LED Lamp in Door Handle RR"/>
    <s v="LED Lamp in Door Handle RR - Puddle Illumination"/>
    <m/>
    <m/>
    <s v="78;23"/>
    <s v="TE"/>
    <s v="1-2236898-1"/>
    <s v="5 Pos. MCON 1,2mm Sealed"/>
    <m/>
    <s v="No"/>
    <s v="No"/>
    <s v="No"/>
    <n v="0"/>
    <n v="0"/>
    <n v="0"/>
    <n v="0"/>
  </r>
  <r>
    <x v="626"/>
    <s v="10.0_Comfort &amp; Exterior"/>
    <s v="10.30_OutsideLighting-System"/>
    <s v="F0028"/>
    <s v="Light Scenario, Comfort Direction Indication"/>
    <s v="A"/>
    <s v="Body"/>
    <s v="External Illumination"/>
    <s v="Grounding"/>
    <s v="Full LED"/>
    <s v="Actuator"/>
    <s v="Headlamp Assy' Full LED Right"/>
    <s v="Headlamp Assy' Full LED Right - Grounding"/>
    <m/>
    <m/>
    <s v="-4;21"/>
    <m/>
    <m/>
    <m/>
    <m/>
    <s v="No"/>
    <s v="No"/>
    <s v="No"/>
    <n v="0.3"/>
    <n v="0.1"/>
    <n v="0.3"/>
    <n v="0.1"/>
  </r>
  <r>
    <x v="627"/>
    <s v="10.0_Comfort &amp; Exterior"/>
    <s v="10.30_OutsideLighting-System"/>
    <s v="F0071"/>
    <s v="Light Scenario, Fog Cornering"/>
    <s v="A"/>
    <s v="Body"/>
    <s v="External Illumination"/>
    <s v="Grounding"/>
    <s v="Full LED"/>
    <s v="Actuator"/>
    <s v="Headlamp Assy' Full LED Right"/>
    <s v="Headlamp Assy' Full LED Right - Grounding"/>
    <m/>
    <m/>
    <s v="-4;21"/>
    <m/>
    <m/>
    <m/>
    <m/>
    <s v="No"/>
    <s v="No"/>
    <s v="No"/>
    <n v="0.3"/>
    <n v="0.1"/>
    <n v="0.3"/>
    <n v="0.1"/>
  </r>
  <r>
    <x v="628"/>
    <s v="10.0_Comfort &amp; Exterior"/>
    <s v="10.30_OutsideLighting-System"/>
    <s v="F0228"/>
    <s v="Surround Lighting, Hazard Light"/>
    <s v="A"/>
    <s v="Body"/>
    <s v="External Illumination"/>
    <s v="Grounding"/>
    <s v="Full LED"/>
    <s v="Actuator"/>
    <s v="Headlamp Assy' Full LED Right"/>
    <s v="Headlamp Assy' Full LED Right - Grounding"/>
    <m/>
    <m/>
    <s v="-4;21"/>
    <m/>
    <m/>
    <m/>
    <m/>
    <s v="No"/>
    <s v="No"/>
    <s v="No"/>
    <n v="0.3"/>
    <n v="0.1"/>
    <n v="0.3"/>
    <n v="0.1"/>
  </r>
  <r>
    <x v="629"/>
    <s v="10.0_Comfort &amp; Exterior"/>
    <s v="10.30_OutsideLighting-System"/>
    <s v="F0229"/>
    <s v="Surround Lighting, Turning Light"/>
    <s v="A"/>
    <s v="Body"/>
    <s v="External Illumination"/>
    <s v="Grounding"/>
    <s v="Full LED"/>
    <s v="Actuator"/>
    <s v="Headlamp Assy' Full LED Right"/>
    <s v="Headlamp Assy' Full LED Right - Grounding"/>
    <m/>
    <m/>
    <s v="-4;21"/>
    <m/>
    <m/>
    <m/>
    <m/>
    <s v="No"/>
    <s v="No"/>
    <s v="No"/>
    <n v="0.3"/>
    <n v="0.1"/>
    <n v="0.3"/>
    <n v="0.1"/>
  </r>
  <r>
    <x v="630"/>
    <s v="10.0_Comfort &amp; Exterior"/>
    <s v="10.30_OutsideLighting-System"/>
    <s v="F0028"/>
    <s v="Light Scenario, Comfort Direction Indication"/>
    <s v="A"/>
    <s v="Body"/>
    <s v="External Illumination"/>
    <s v="Turn Signal RL"/>
    <s v="Full LED"/>
    <s v="Actuator"/>
    <s v="Taillamp Assy' Full LED"/>
    <s v="Taillamp Assy' Full LED - Turn Signal RL"/>
    <m/>
    <m/>
    <s v="107;-20"/>
    <m/>
    <m/>
    <m/>
    <m/>
    <s v="No"/>
    <s v="No"/>
    <s v="No"/>
    <n v="0.3"/>
    <n v="0.1"/>
    <n v="0.3"/>
    <n v="0.1"/>
  </r>
  <r>
    <x v="631"/>
    <s v="10.0_Comfort &amp; Exterior"/>
    <s v="10.30_OutsideLighting-System"/>
    <s v="F0071"/>
    <s v="Light Scenario, Fog Cornering"/>
    <s v="A"/>
    <s v="Body"/>
    <s v="External Illumination"/>
    <s v="Turn Signal RL"/>
    <s v="Full LED"/>
    <s v="Actuator"/>
    <s v="Taillamp Assy' Full LED"/>
    <s v="Taillamp Assy' Full LED - Turn Signal RL"/>
    <m/>
    <m/>
    <s v="107;-20"/>
    <m/>
    <m/>
    <m/>
    <m/>
    <s v="No"/>
    <s v="No"/>
    <s v="No"/>
    <n v="0.3"/>
    <n v="0.1"/>
    <n v="0.3"/>
    <n v="0.1"/>
  </r>
  <r>
    <x v="632"/>
    <s v="10.0_Comfort &amp; Exterior"/>
    <s v="10.30_OutsideLighting-System"/>
    <s v="F0228"/>
    <s v="Surround Lighting, Hazard Light"/>
    <s v="A"/>
    <s v="Body"/>
    <s v="External Illumination"/>
    <s v="Turn Signal RL"/>
    <s v="Full LED"/>
    <s v="Actuator"/>
    <s v="Taillamp Assy' Full LED"/>
    <s v="Taillamp Assy' Full LED - Turn Signal RL"/>
    <m/>
    <m/>
    <s v="107;-20"/>
    <m/>
    <m/>
    <m/>
    <m/>
    <s v="No"/>
    <s v="No"/>
    <s v="No"/>
    <n v="0.3"/>
    <n v="0.1"/>
    <n v="0.3"/>
    <n v="0.1"/>
  </r>
  <r>
    <x v="633"/>
    <s v="10.0_Comfort &amp; Exterior"/>
    <s v="10.30_OutsideLighting-System"/>
    <s v="F0229"/>
    <s v="Surround Lighting, Turning Light"/>
    <s v="A"/>
    <s v="Body"/>
    <s v="External Illumination"/>
    <s v="Turn Signal RL"/>
    <s v="Full LED"/>
    <s v="Actuator"/>
    <s v="Taillamp Assy' Full LED"/>
    <s v="Taillamp Assy' Full LED - Turn Signal RL"/>
    <m/>
    <m/>
    <s v="107;-20"/>
    <m/>
    <m/>
    <m/>
    <m/>
    <s v="No"/>
    <s v="No"/>
    <s v="No"/>
    <n v="0.3"/>
    <n v="0.1"/>
    <n v="0.3"/>
    <n v="0.1"/>
  </r>
  <r>
    <x v="634"/>
    <s v="10.0_Comfort &amp; Exterior"/>
    <s v="10.30_OutsideLighting-System"/>
    <s v="F0028"/>
    <s v="Light Scenario, Comfort Direction Indication"/>
    <s v="A"/>
    <s v="Body"/>
    <s v="External Illumination"/>
    <s v="Turn Signal RR"/>
    <s v="Full LED"/>
    <s v="Actuator"/>
    <s v="Taillamp Assy' Full LED"/>
    <s v="Taillamp Assy' Full LED - Turn Signal RR"/>
    <m/>
    <m/>
    <s v="107;20"/>
    <m/>
    <m/>
    <m/>
    <m/>
    <s v="No"/>
    <s v="No"/>
    <s v="No"/>
    <n v="0.3"/>
    <n v="0.1"/>
    <n v="0.3"/>
    <n v="0.1"/>
  </r>
  <r>
    <x v="635"/>
    <s v="10.0_Comfort &amp; Exterior"/>
    <s v="10.30_OutsideLighting-System"/>
    <s v="F0071"/>
    <s v="Light Scenario, Fog Cornering"/>
    <s v="A"/>
    <s v="Body"/>
    <s v="External Illumination"/>
    <s v="Turn Signal RR"/>
    <s v="Full LED"/>
    <s v="Actuator"/>
    <s v="Taillamp Assy' Full LED"/>
    <s v="Taillamp Assy' Full LED - Turn Signal RR"/>
    <m/>
    <m/>
    <s v="107;20"/>
    <m/>
    <m/>
    <m/>
    <m/>
    <s v="No"/>
    <s v="No"/>
    <s v="No"/>
    <n v="0.3"/>
    <n v="0.1"/>
    <n v="0.3"/>
    <n v="0.1"/>
  </r>
  <r>
    <x v="636"/>
    <s v="10.0_Comfort &amp; Exterior"/>
    <s v="10.30_OutsideLighting-System"/>
    <s v="F0228"/>
    <s v="Surround Lighting, Hazard Light"/>
    <s v="A"/>
    <s v="Body"/>
    <s v="External Illumination"/>
    <s v="Turn Signal RR"/>
    <s v="Full LED"/>
    <s v="Actuator"/>
    <s v="Taillamp Assy' Full LED"/>
    <s v="Taillamp Assy' Full LED - Turn Signal RR"/>
    <m/>
    <m/>
    <s v="107;20"/>
    <m/>
    <m/>
    <m/>
    <m/>
    <s v="No"/>
    <s v="No"/>
    <s v="No"/>
    <n v="0.3"/>
    <n v="0.1"/>
    <n v="0.3"/>
    <n v="0.1"/>
  </r>
  <r>
    <x v="637"/>
    <s v="10.0_Comfort &amp; Exterior"/>
    <s v="10.30_OutsideLighting-System"/>
    <s v="F0229"/>
    <s v="Surround Lighting, Turning Light"/>
    <s v="A"/>
    <s v="Body"/>
    <s v="External Illumination"/>
    <s v="Turn Signal RR"/>
    <s v="Full LED"/>
    <s v="Actuator"/>
    <s v="Taillamp Assy' Full LED"/>
    <s v="Taillamp Assy' Full LED - Turn Signal RR"/>
    <m/>
    <m/>
    <s v="107;20"/>
    <m/>
    <m/>
    <m/>
    <m/>
    <s v="No"/>
    <s v="No"/>
    <s v="No"/>
    <n v="0.3"/>
    <n v="0.1"/>
    <n v="0.3"/>
    <n v="0.1"/>
  </r>
  <r>
    <x v="638"/>
    <s v="10.0_Comfort &amp; Exterior"/>
    <s v="10.30_OutsideLighting-System"/>
    <s v="F0028"/>
    <s v="Light Scenario, Comfort Direction Indication"/>
    <s v="A"/>
    <s v="Body"/>
    <s v="External Illumination"/>
    <s v="Turn Signal SL"/>
    <s v="Bulb"/>
    <s v="Actuator"/>
    <s v="Bulb P10W"/>
    <s v="Bulb P10W - Turn Signal SL"/>
    <m/>
    <m/>
    <s v="21;-23"/>
    <m/>
    <m/>
    <m/>
    <m/>
    <s v="Yes"/>
    <s v="No"/>
    <s v="No"/>
    <n v="0.3"/>
    <n v="0.1"/>
    <n v="0.3"/>
    <n v="0.1"/>
  </r>
  <r>
    <x v="638"/>
    <s v="10.0_Comfort &amp; Exterior"/>
    <s v="10.30_OutsideLighting-System"/>
    <s v="F0028"/>
    <s v="Light Scenario, Comfort Direction Indication"/>
    <s v="A"/>
    <s v="Body"/>
    <s v="External Illumination"/>
    <s v="Turn Signal Left"/>
    <s v="Bulb"/>
    <s v="Actuator"/>
    <s v="Side Repeater Bulb P10W"/>
    <s v="Side Repeater Bulb P10W - Turn Signal Left"/>
    <m/>
    <m/>
    <s v="21;-23"/>
    <m/>
    <m/>
    <m/>
    <m/>
    <s v="Yes"/>
    <s v="No"/>
    <s v="No"/>
    <n v="0.3"/>
    <n v="0.1"/>
    <n v="0.3"/>
    <n v="0.1"/>
  </r>
  <r>
    <x v="639"/>
    <s v="10.0_Comfort &amp; Exterior"/>
    <s v="10.30_OutsideLighting-System"/>
    <s v="F0038"/>
    <s v="Surround Lighting, Direction Indicator"/>
    <s v="A"/>
    <s v="Body"/>
    <s v="External Illumination"/>
    <s v="Turn Signal SL"/>
    <s v="Bulb"/>
    <s v="Actuator"/>
    <s v="Bulb P10W"/>
    <s v="Bulb P10W - Turn Signal SL"/>
    <m/>
    <m/>
    <s v="21;-23"/>
    <m/>
    <m/>
    <m/>
    <m/>
    <s v="Yes"/>
    <s v="No"/>
    <s v="No"/>
    <n v="0.3"/>
    <n v="0.1"/>
    <n v="0.3"/>
    <n v="0.1"/>
  </r>
  <r>
    <x v="639"/>
    <s v="10.0_Comfort &amp; Exterior"/>
    <s v="10.30_OutsideLighting-System"/>
    <s v="F0038"/>
    <s v="Surround Lighting, Direction Indicator"/>
    <s v="A"/>
    <s v="Body"/>
    <s v="External Illumination"/>
    <s v="Turn Signal Left"/>
    <s v="Bulb"/>
    <s v="Actuator"/>
    <s v="Side Repeater Bulb P10W"/>
    <s v="Side Repeater Bulb P10W - Turn Signal Left"/>
    <m/>
    <m/>
    <s v="21;-23"/>
    <m/>
    <m/>
    <m/>
    <m/>
    <s v="Yes"/>
    <s v="No"/>
    <s v="No"/>
    <n v="0.3"/>
    <n v="0.1"/>
    <n v="0.3"/>
    <n v="0.1"/>
  </r>
  <r>
    <x v="640"/>
    <s v="10.0_Comfort &amp; Exterior"/>
    <s v="10.30_OutsideLighting-System"/>
    <s v="F0071"/>
    <s v="Light Scenario, Fog Cornering"/>
    <s v="A"/>
    <s v="Body"/>
    <s v="External Illumination"/>
    <s v="Turn Signal SL"/>
    <s v="Bulb"/>
    <s v="Actuator"/>
    <s v="Bulb P10W"/>
    <s v="Bulb P10W - Turn Signal SL"/>
    <m/>
    <m/>
    <s v="21;-23"/>
    <m/>
    <m/>
    <m/>
    <m/>
    <s v="Yes"/>
    <s v="No"/>
    <s v="No"/>
    <n v="0.3"/>
    <n v="0.1"/>
    <n v="0.3"/>
    <n v="0.1"/>
  </r>
  <r>
    <x v="641"/>
    <s v="10.0_Comfort &amp; Exterior"/>
    <s v="10.30_OutsideLighting-System"/>
    <s v="F0228"/>
    <s v="Surround Lighting, Hazard Light"/>
    <s v="A"/>
    <s v="Body"/>
    <s v="External Illumination"/>
    <s v="Turn Signal SL"/>
    <s v="Bulb"/>
    <s v="Actuator"/>
    <s v="Bulb P10W"/>
    <s v="Bulb P10W - Turn Signal SL"/>
    <m/>
    <m/>
    <s v="21;-23"/>
    <m/>
    <m/>
    <m/>
    <m/>
    <s v="Yes"/>
    <s v="No"/>
    <s v="No"/>
    <n v="0.3"/>
    <n v="0.1"/>
    <n v="0.3"/>
    <n v="0.1"/>
  </r>
  <r>
    <x v="641"/>
    <s v="10.0_Comfort &amp; Exterior"/>
    <s v="10.30_OutsideLighting-System"/>
    <s v="F0228"/>
    <s v="Surround Lighting, Hazard Light"/>
    <s v="A"/>
    <s v="Body"/>
    <s v="External Illumination"/>
    <s v="Turn Signal Left"/>
    <s v="Bulb"/>
    <s v="Actuator"/>
    <s v="Side Repeater Bulb P10W"/>
    <s v="Side Repeater Bulb P10W - Turn Signal Left"/>
    <m/>
    <m/>
    <s v="21;-23"/>
    <m/>
    <m/>
    <m/>
    <m/>
    <s v="Yes"/>
    <s v="No"/>
    <s v="No"/>
    <n v="0.3"/>
    <n v="0.1"/>
    <n v="0.3"/>
    <n v="0.1"/>
  </r>
  <r>
    <x v="642"/>
    <s v="10.0_Comfort &amp; Exterior"/>
    <s v="10.30_OutsideLighting-System"/>
    <s v="F0028"/>
    <s v="Light Scenario, Comfort Direction Indication"/>
    <s v="A"/>
    <s v="Body"/>
    <s v="External Illumination"/>
    <s v="Turn Signal SR"/>
    <s v="Bulb"/>
    <s v="Actuator"/>
    <s v="Bulb P10W"/>
    <s v="Bulb P10W - Turn Signal SR"/>
    <m/>
    <m/>
    <s v="21;23"/>
    <m/>
    <m/>
    <m/>
    <m/>
    <s v="Yes"/>
    <s v="No"/>
    <s v="No"/>
    <n v="0.3"/>
    <n v="0.1"/>
    <n v="0.3"/>
    <n v="0.1"/>
  </r>
  <r>
    <x v="642"/>
    <s v="10.0_Comfort &amp; Exterior"/>
    <s v="10.30_OutsideLighting-System"/>
    <s v="F0028"/>
    <s v="Light Scenario, Comfort Direction Indication"/>
    <s v="A"/>
    <s v="Body"/>
    <s v="External Illumination"/>
    <s v="Turn Signal Right"/>
    <s v="Bulb"/>
    <s v="Actuator"/>
    <s v="Side Repeater Bulb P10W"/>
    <s v="Side Repeater Bulb P10W - Turn Signal Right"/>
    <m/>
    <m/>
    <s v="21;23"/>
    <m/>
    <m/>
    <m/>
    <m/>
    <s v="Yes"/>
    <s v="No"/>
    <s v="No"/>
    <n v="0.3"/>
    <n v="0.1"/>
    <n v="0.3"/>
    <n v="0.1"/>
  </r>
  <r>
    <x v="643"/>
    <s v="10.0_Comfort &amp; Exterior"/>
    <s v="10.30_OutsideLighting-System"/>
    <s v="F0038"/>
    <s v="Surround Lighting, Direction Indicator"/>
    <s v="A"/>
    <s v="Body"/>
    <s v="External Illumination"/>
    <s v="Turn Signal SR"/>
    <s v="Bulb"/>
    <s v="Actuator"/>
    <s v="Bulb P10W"/>
    <s v="Bulb P10W - Turn Signal SR"/>
    <m/>
    <m/>
    <s v="21;23"/>
    <m/>
    <m/>
    <m/>
    <m/>
    <s v="Yes"/>
    <s v="No"/>
    <s v="No"/>
    <n v="0.3"/>
    <n v="0.1"/>
    <n v="0.3"/>
    <n v="0.1"/>
  </r>
  <r>
    <x v="643"/>
    <s v="10.0_Comfort &amp; Exterior"/>
    <s v="10.30_OutsideLighting-System"/>
    <s v="F0038"/>
    <s v="Surround Lighting, Direction Indicator"/>
    <s v="A"/>
    <s v="Body"/>
    <s v="External Illumination"/>
    <s v="Turn Signal Right"/>
    <s v="Bulb"/>
    <s v="Actuator"/>
    <s v="Side Repeater Bulb P10W"/>
    <s v="Side Repeater Bulb P10W - Turn Signal Right"/>
    <m/>
    <m/>
    <s v="21;23"/>
    <m/>
    <m/>
    <m/>
    <m/>
    <s v="Yes"/>
    <s v="No"/>
    <s v="No"/>
    <n v="0.3"/>
    <n v="0.1"/>
    <n v="0.3"/>
    <n v="0.1"/>
  </r>
  <r>
    <x v="644"/>
    <s v="10.0_Comfort &amp; Exterior"/>
    <s v="10.30_OutsideLighting-System"/>
    <s v="F0071"/>
    <s v="Light Scenario, Fog Cornering"/>
    <s v="A"/>
    <s v="Body"/>
    <s v="External Illumination"/>
    <s v="Turn Signal SR"/>
    <s v="Bulb"/>
    <s v="Actuator"/>
    <s v="Bulb P10W"/>
    <s v="Bulb P10W - Turn Signal SR"/>
    <m/>
    <m/>
    <s v="21;23"/>
    <m/>
    <m/>
    <m/>
    <m/>
    <s v="Yes"/>
    <s v="No"/>
    <s v="No"/>
    <n v="0.3"/>
    <n v="0.1"/>
    <n v="0.3"/>
    <n v="0.1"/>
  </r>
  <r>
    <x v="645"/>
    <s v="10.0_Comfort &amp; Exterior"/>
    <s v="10.30_OutsideLighting-System"/>
    <s v="F0228"/>
    <s v="Surround Lighting, Hazard Light"/>
    <s v="A"/>
    <s v="Body"/>
    <s v="External Illumination"/>
    <s v="Turn Signal SR"/>
    <s v="Bulb"/>
    <s v="Actuator"/>
    <s v="Bulb P10W"/>
    <s v="Bulb P10W - Turn Signal SR"/>
    <m/>
    <m/>
    <s v="21;23"/>
    <m/>
    <m/>
    <m/>
    <m/>
    <s v="Yes"/>
    <s v="No"/>
    <s v="No"/>
    <n v="0.3"/>
    <n v="0.1"/>
    <n v="0.3"/>
    <n v="0.1"/>
  </r>
  <r>
    <x v="645"/>
    <s v="10.0_Comfort &amp; Exterior"/>
    <s v="10.30_OutsideLighting-System"/>
    <s v="F0228"/>
    <s v="Surround Lighting, Hazard Light"/>
    <s v="A"/>
    <s v="Body"/>
    <s v="External Illumination"/>
    <s v="Turn Signal Right"/>
    <s v="Bulb"/>
    <s v="Actuator"/>
    <s v="Side Repeater Bulb P10W"/>
    <s v="Side Repeater Bulb P10W - Turn Signal Right"/>
    <m/>
    <m/>
    <s v="21;23"/>
    <m/>
    <m/>
    <m/>
    <m/>
    <s v="Yes"/>
    <s v="No"/>
    <s v="No"/>
    <n v="0.3"/>
    <n v="0.1"/>
    <n v="0.3"/>
    <n v="0.1"/>
  </r>
  <r>
    <x v="646"/>
    <s v="10.0_Comfort &amp; Exterior"/>
    <s v="10.10_CentralLocking-System"/>
    <s v="F0027"/>
    <s v="Central Door Lock, Radio Control Key Front"/>
    <s v="QM"/>
    <s v="Comfort"/>
    <s v="Central Locking"/>
    <s v="Door Lock and Unlock"/>
    <s v="with Central Locking"/>
    <s v="Switch"/>
    <s v="Door Ajar Switch FL"/>
    <s v="Door Ajar Switch FL - Door Lock and Unlock"/>
    <m/>
    <m/>
    <s v="55;-21"/>
    <s v="TE"/>
    <s v="1-1718333-1"/>
    <s v="2 Pos. MQS 0,63mm Unsealed"/>
    <m/>
    <s v="No"/>
    <s v="No"/>
    <s v="No"/>
    <n v="0"/>
    <n v="0"/>
    <n v="0"/>
    <n v="0"/>
  </r>
  <r>
    <x v="646"/>
    <s v="13.0_Comfort &amp; Interior"/>
    <s v="13.30_InsideLighting-System"/>
    <s v="F0072"/>
    <s v="Courtesy Light, Front"/>
    <s v="QM"/>
    <s v="Comfort"/>
    <s v="Central Locking"/>
    <s v="Door Lock and Unlock"/>
    <s v="with Central Locking"/>
    <s v="Switch"/>
    <s v="Door Ajar Switch FL"/>
    <s v="Door Ajar Switch FL - Door Lock and Unlock"/>
    <m/>
    <m/>
    <s v="55;-21"/>
    <s v="TE"/>
    <s v="1-1718333-1"/>
    <s v="2 Pos. MQS 0,63mm Unsealed"/>
    <m/>
    <s v="No"/>
    <s v="No"/>
    <s v="No"/>
    <n v="0"/>
    <n v="0"/>
    <n v="0"/>
    <n v="0"/>
  </r>
  <r>
    <x v="646"/>
    <s v="13.0_Comfort &amp; Interior"/>
    <s v="13.31_AmbientLighting-System"/>
    <s v="F0045"/>
    <s v="Foot Area Lighting, Front"/>
    <s v="QM"/>
    <s v="Comfort"/>
    <s v="Central Locking"/>
    <s v="Door Lock and Unlock"/>
    <s v="with Central Locking"/>
    <s v="Switch"/>
    <s v="Door Ajar Switch FL"/>
    <s v="Door Ajar Switch FL - Door Lock and Unlock"/>
    <m/>
    <m/>
    <s v="55;-21"/>
    <s v="TE"/>
    <s v="1-1718333-1"/>
    <s v="2 Pos. MQS 0,63mm Unsealed"/>
    <m/>
    <s v="No"/>
    <s v="No"/>
    <s v="No"/>
    <n v="0"/>
    <n v="0"/>
    <n v="0"/>
    <n v="0"/>
  </r>
  <r>
    <x v="646"/>
    <s v="14.0_HMI &amp; OutsideInformation"/>
    <s v="14.10_DriverInformation-System"/>
    <s v="F0623"/>
    <s v="Indications, Open Door"/>
    <m/>
    <s v="Comfort"/>
    <s v="Central Locking"/>
    <s v="Door Lock and Unlock"/>
    <s v="with Central Locking"/>
    <s v="Switch"/>
    <s v="Door Ajar Switch FL"/>
    <s v="Door Ajar Switch FL - Door Lock and Unlock"/>
    <m/>
    <m/>
    <s v="55;-21"/>
    <s v="TE"/>
    <s v="1-1718333-1"/>
    <s v="2 Pos. MQS 0,63mm Unsealed"/>
    <m/>
    <s v="No"/>
    <s v="No"/>
    <s v="No"/>
    <n v="0"/>
    <n v="0"/>
    <n v="0"/>
    <n v="0"/>
  </r>
  <r>
    <x v="647"/>
    <s v="10.0_Comfort &amp; Exterior"/>
    <s v="10.10_CentralLocking-System"/>
    <s v="F0027"/>
    <s v="Central Door Lock, Radio Control Key Front"/>
    <s v="QM"/>
    <s v="Comfort"/>
    <s v="Central Locking"/>
    <s v="Door Lock and Unlock"/>
    <s v="with Central Locking"/>
    <s v="Switch"/>
    <s v="Door Ajar Switch FR"/>
    <s v="Door Ajar Switch FR - Door Lock and Unlock"/>
    <m/>
    <m/>
    <s v="55;21"/>
    <s v="TE"/>
    <s v="1-1718333-1"/>
    <s v="2 Pos. MQS 0,63mm Unsealed"/>
    <m/>
    <s v="No"/>
    <s v="No"/>
    <s v="No"/>
    <n v="0"/>
    <n v="0"/>
    <n v="0"/>
    <n v="0"/>
  </r>
  <r>
    <x v="647"/>
    <s v="13.0_Comfort &amp; Interior"/>
    <s v="13.30_InsideLighting-System"/>
    <s v="F0072"/>
    <s v="Courtesy Light, Front"/>
    <s v="QM"/>
    <s v="Comfort"/>
    <s v="Central Locking"/>
    <s v="Door Lock and Unlock"/>
    <s v="with Central Locking"/>
    <s v="Switch"/>
    <s v="Door Ajar Switch FR"/>
    <s v="Door Ajar Switch FR - Door Lock and Unlock"/>
    <m/>
    <m/>
    <s v="55;21"/>
    <s v="TE"/>
    <s v="1-1718333-1"/>
    <s v="2 Pos. MQS 0,63mm Unsealed"/>
    <m/>
    <s v="No"/>
    <s v="No"/>
    <s v="No"/>
    <n v="0"/>
    <n v="0"/>
    <n v="0"/>
    <n v="0"/>
  </r>
  <r>
    <x v="647"/>
    <s v="13.0_Comfort &amp; Interior"/>
    <s v="13.31_AmbientLighting-System"/>
    <s v="F0045"/>
    <s v="Foot Area Lighting, Front"/>
    <s v="QM"/>
    <s v="Comfort"/>
    <s v="Central Locking"/>
    <s v="Door Lock and Unlock"/>
    <s v="with Central Locking"/>
    <s v="Switch"/>
    <s v="Door Ajar Switch FR"/>
    <s v="Door Ajar Switch FR - Door Lock and Unlock"/>
    <m/>
    <m/>
    <s v="55;21"/>
    <s v="TE"/>
    <s v="1-1718333-1"/>
    <s v="2 Pos. MQS 0,63mm Unsealed"/>
    <m/>
    <s v="No"/>
    <s v="No"/>
    <s v="No"/>
    <n v="0"/>
    <n v="0"/>
    <n v="0"/>
    <n v="0"/>
  </r>
  <r>
    <x v="647"/>
    <s v="14.0_HMI &amp; OutsideInformation"/>
    <s v="14.10_DriverInformation-System"/>
    <s v="F0623"/>
    <s v="Indications, Open Door"/>
    <m/>
    <s v="Comfort"/>
    <s v="Central Locking"/>
    <s v="Door Lock and Unlock"/>
    <s v="with Central Locking"/>
    <s v="Switch"/>
    <s v="Door Ajar Switch FR"/>
    <s v="Door Ajar Switch FR - Door Lock and Unlock"/>
    <m/>
    <m/>
    <s v="55;21"/>
    <s v="TE"/>
    <s v="1-1718333-1"/>
    <s v="2 Pos. MQS 0,63mm Unsealed"/>
    <m/>
    <s v="No"/>
    <s v="No"/>
    <s v="No"/>
    <n v="0"/>
    <n v="0"/>
    <n v="0"/>
    <n v="0"/>
  </r>
  <r>
    <x v="648"/>
    <s v="10.0_Comfort &amp; Exterior"/>
    <s v="10.10_CentralLocking-System"/>
    <s v="F0646"/>
    <s v="Central Door Lock, Rear"/>
    <s v="QM"/>
    <s v="Comfort"/>
    <s v="Central Locking"/>
    <s v="Door Lock and Unlock"/>
    <s v="with Central Locking"/>
    <s v="Switch"/>
    <s v="Door Ajar Switch RL"/>
    <s v="Door Ajar Switch RL - Door Lock and Unlock"/>
    <m/>
    <m/>
    <s v="82;-21"/>
    <s v="TE"/>
    <s v="1-1718333-1"/>
    <s v="2 Pos. MQS 0,63mm Unsealed"/>
    <m/>
    <s v="No"/>
    <s v="No"/>
    <s v="No"/>
    <n v="0"/>
    <n v="0"/>
    <n v="0"/>
    <n v="0"/>
  </r>
  <r>
    <x v="648"/>
    <s v="13.0_Comfort &amp; Interior"/>
    <s v="13.30_InsideLighting-System"/>
    <s v="F0072"/>
    <s v="Courtesy Light, Front"/>
    <s v="QM"/>
    <s v="Comfort"/>
    <s v="Central Locking"/>
    <s v="Door Lock and Unlock"/>
    <s v="with Central Locking"/>
    <s v="Switch"/>
    <s v="Door Ajar Switch RL"/>
    <s v="Door Ajar Switch RL - Door Lock and Unlock"/>
    <m/>
    <m/>
    <s v="82;-21"/>
    <s v="TE"/>
    <s v="1-1718333-1"/>
    <s v="2 Pos. MQS 0,63mm Unsealed"/>
    <m/>
    <s v="No"/>
    <s v="No"/>
    <s v="No"/>
    <n v="0"/>
    <n v="0"/>
    <n v="0"/>
    <n v="0"/>
  </r>
  <r>
    <x v="648"/>
    <s v="13.0_Comfort &amp; Interior"/>
    <s v="13.31_AmbientLighting-System"/>
    <s v="F0xx8"/>
    <s v="Foot Area Lighting, Rear"/>
    <m/>
    <s v="Comfort"/>
    <s v="Central Locking"/>
    <s v="Door Lock and Unlock"/>
    <s v="with Central Locking"/>
    <s v="Switch"/>
    <s v="Door Ajar Switch RL"/>
    <s v="Door Ajar Switch RL - Door Lock and Unlock"/>
    <m/>
    <m/>
    <s v="82;-21"/>
    <s v="TE"/>
    <s v="1-1718333-1"/>
    <s v="2 Pos. MQS 0,63mm Unsealed"/>
    <m/>
    <s v="No"/>
    <s v="No"/>
    <s v="No"/>
    <n v="0"/>
    <n v="0"/>
    <n v="0"/>
    <n v="0"/>
  </r>
  <r>
    <x v="648"/>
    <s v="14.0_HMI &amp; OutsideInformation"/>
    <s v="14.10_DriverInformation-System"/>
    <s v="F0623"/>
    <s v="Indications, Open Door"/>
    <m/>
    <s v="Comfort"/>
    <s v="Central Locking"/>
    <s v="Door Lock and Unlock"/>
    <s v="with Central Locking"/>
    <s v="Switch"/>
    <s v="Door Ajar Switch RL"/>
    <s v="Door Ajar Switch RL - Door Lock and Unlock"/>
    <m/>
    <m/>
    <s v="82;-21"/>
    <s v="TE"/>
    <s v="1-1718333-1"/>
    <s v="2 Pos. MQS 0,63mm Unsealed"/>
    <m/>
    <s v="No"/>
    <s v="No"/>
    <s v="No"/>
    <n v="0"/>
    <n v="0"/>
    <n v="0"/>
    <n v="0"/>
  </r>
  <r>
    <x v="649"/>
    <s v="10.0_Comfort &amp; Exterior"/>
    <s v="10.10_CentralLocking-System"/>
    <s v="F0646"/>
    <s v="Central Door Lock, Rear"/>
    <s v="QM"/>
    <s v="Comfort"/>
    <s v="Central Locking"/>
    <s v="Door Lock and Unlock"/>
    <s v="with Central Locking"/>
    <s v="Switch"/>
    <s v="Door Ajar Switch RR"/>
    <s v="Door Ajar Switch RR - Door Lock and Unlock"/>
    <m/>
    <m/>
    <s v="82;21"/>
    <s v="TE"/>
    <s v="1-1718333-1"/>
    <s v="2 Pos. MQS 0,63mm Unsealed"/>
    <m/>
    <s v="No"/>
    <s v="No"/>
    <s v="No"/>
    <n v="0"/>
    <n v="0"/>
    <n v="0"/>
    <n v="0"/>
  </r>
  <r>
    <x v="649"/>
    <s v="13.0_Comfort &amp; Interior"/>
    <s v="13.30_InsideLighting-System"/>
    <s v="F0072"/>
    <s v="Courtesy Light, Front"/>
    <s v="QM"/>
    <s v="Comfort"/>
    <s v="Central Locking"/>
    <s v="Door Lock and Unlock"/>
    <s v="with Central Locking"/>
    <s v="Switch"/>
    <s v="Door Ajar Switch RR"/>
    <s v="Door Ajar Switch RR - Door Lock and Unlock"/>
    <m/>
    <m/>
    <s v="82;21"/>
    <s v="TE"/>
    <s v="1-1718333-1"/>
    <s v="2 Pos. MQS 0,63mm Unsealed"/>
    <m/>
    <s v="No"/>
    <s v="No"/>
    <s v="No"/>
    <n v="0"/>
    <n v="0"/>
    <n v="0"/>
    <n v="0"/>
  </r>
  <r>
    <x v="649"/>
    <s v="13.0_Comfort &amp; Interior"/>
    <s v="13.31_AmbientLighting-System"/>
    <s v="F0xx8"/>
    <s v="Foot Area Lighting, Rear"/>
    <m/>
    <s v="Comfort"/>
    <s v="Central Locking"/>
    <s v="Door Lock and Unlock"/>
    <s v="with Central Locking"/>
    <s v="Switch"/>
    <s v="Door Ajar Switch RR"/>
    <s v="Door Ajar Switch RR - Door Lock and Unlock"/>
    <m/>
    <m/>
    <s v="82;21"/>
    <s v="TE"/>
    <s v="1-1718333-1"/>
    <s v="2 Pos. MQS 0,63mm Unsealed"/>
    <m/>
    <s v="No"/>
    <s v="No"/>
    <s v="No"/>
    <n v="0"/>
    <n v="0"/>
    <n v="0"/>
    <n v="0"/>
  </r>
  <r>
    <x v="649"/>
    <s v="14.0_HMI &amp; OutsideInformation"/>
    <s v="14.10_DriverInformation-System"/>
    <s v="F0623"/>
    <s v="Indications, Open Door"/>
    <m/>
    <s v="Comfort"/>
    <s v="Central Locking"/>
    <s v="Door Lock and Unlock"/>
    <s v="with Central Locking"/>
    <s v="Switch"/>
    <s v="Door Ajar Switch RR"/>
    <s v="Door Ajar Switch RR - Door Lock and Unlock"/>
    <m/>
    <m/>
    <s v="82;21"/>
    <s v="TE"/>
    <s v="1-1718333-1"/>
    <s v="2 Pos. MQS 0,63mm Unsealed"/>
    <m/>
    <s v="No"/>
    <s v="No"/>
    <s v="No"/>
    <n v="0"/>
    <n v="0"/>
    <n v="0"/>
    <n v="0"/>
  </r>
  <r>
    <x v="650"/>
    <s v="13.0_Comfort &amp; Interior"/>
    <s v="13.20_SeatMoving-System"/>
    <s v="F0x10"/>
    <s v="Seats Rear, Release"/>
    <m/>
    <s v="Comfort"/>
    <s v="Seat Adjustment"/>
    <s v="Seat Release 2nd Row Left"/>
    <s v="Power Seats"/>
    <s v="Actuator"/>
    <s v="Motor"/>
    <s v="Motor - Seat Release 2nd Row Left"/>
    <m/>
    <m/>
    <m/>
    <m/>
    <m/>
    <m/>
    <m/>
    <m/>
    <m/>
    <m/>
    <m/>
    <m/>
    <m/>
    <m/>
  </r>
  <r>
    <x v="651"/>
    <s v="13.0_Comfort &amp; Interior"/>
    <s v="13.20_SeatMoving-System"/>
    <s v="F0xx9"/>
    <s v="Seats Rear, Position Electric Adjustable"/>
    <m/>
    <s v="Comfort"/>
    <s v="Seat Adjustment"/>
    <s v="seat Backrest Tilting 2nd Row Right"/>
    <s v="Power Seats"/>
    <s v="Sensor"/>
    <s v="Sensor"/>
    <s v="Sensor - seat Backrest Tilting 2nd Row Right"/>
    <m/>
    <m/>
    <s v="63;1"/>
    <s v="TE"/>
    <s v="1-929080-5"/>
    <s v="2 Pos. MQS 0,63mm Unsealed"/>
    <m/>
    <s v="No"/>
    <s v="No"/>
    <s v="Yes"/>
    <n v="0"/>
    <n v="0"/>
    <n v="0"/>
    <n v="0"/>
  </r>
  <r>
    <x v="652"/>
    <s v="13.0_Comfort &amp; Interior"/>
    <s v="13.20_SeatMoving-System"/>
    <s v="F0xx9"/>
    <s v="Seats Rear, Position Electric Adjustable"/>
    <m/>
    <s v="Comfort"/>
    <s v="Seat Adjustment"/>
    <s v="Seat Backrest Tilting 2nd Row Left"/>
    <s v="Power Seats"/>
    <s v="Switch"/>
    <s v="User Selector"/>
    <s v="User Selector - Seat Backrest Tilting 2nd Row Left"/>
    <m/>
    <m/>
    <s v="63;-1"/>
    <s v="TE"/>
    <s v="1-1418639-5"/>
    <s v="2 Pos. MQS 0,63mm Unsealed"/>
    <m/>
    <s v="No"/>
    <s v="No"/>
    <s v="Yes"/>
    <n v="0"/>
    <n v="0"/>
    <n v="0"/>
    <n v="0"/>
  </r>
  <r>
    <x v="653"/>
    <s v="13.0_Comfort &amp; Interior"/>
    <s v="13.20_SeatMoving-System"/>
    <s v="F0xx9"/>
    <s v="Seats Rear, Position Electric Adjustable"/>
    <m/>
    <s v="Comfort"/>
    <s v="Seat Adjustment"/>
    <s v="Seat Backrest Tilting 2nd Row Left"/>
    <s v="Power Seats"/>
    <s v="Sensor"/>
    <s v="Sensor"/>
    <s v="Sensor - Seat Backrest Tilting 2nd Row Left"/>
    <m/>
    <m/>
    <s v="63;-1"/>
    <s v="TE"/>
    <s v="1-929080-5"/>
    <s v="2 Pos. MQS 0,63mm Unsealed"/>
    <m/>
    <s v="No"/>
    <s v="No"/>
    <s v="Yes"/>
    <n v="0"/>
    <n v="0"/>
    <n v="0"/>
    <n v="0"/>
  </r>
  <r>
    <x v="654"/>
    <s v="13.0_Comfort &amp; Interior"/>
    <s v="13.20_SeatMoving-System"/>
    <s v="F0xx9"/>
    <s v="Seats Rear, Position Electric Adjustable"/>
    <m/>
    <s v="Comfort"/>
    <s v="Seat Adjustment"/>
    <s v="Seat Backrest Tilting 2nd Row Left"/>
    <s v="Power Seats"/>
    <s v="Actuator"/>
    <s v="Motor"/>
    <s v="Motor - Seat Backrest Tilting 2nd Row Left"/>
    <m/>
    <m/>
    <s v="63;-1"/>
    <s v="TE"/>
    <s v="157420-1"/>
    <s v="2 Pos. JPT 2,8mm Unsealed"/>
    <m/>
    <s v="No"/>
    <s v="No"/>
    <s v="Yes"/>
    <n v="0"/>
    <n v="0"/>
    <n v="0"/>
    <n v="0"/>
  </r>
  <r>
    <x v="655"/>
    <s v="13.0_Comfort &amp; Interior"/>
    <s v="13.20_SeatMoving-System"/>
    <s v="F0xx9"/>
    <s v="Seats Rear, Position Electric Adjustable"/>
    <m/>
    <s v="Comfort"/>
    <s v="Seat Adjustment"/>
    <s v="Seat Depth 2nd Row Right"/>
    <s v="Power Seats"/>
    <s v="Actuator"/>
    <s v="Motor"/>
    <s v="Motor - Seat Depth 2nd Row Right"/>
    <m/>
    <m/>
    <s v="63;1"/>
    <s v="TE"/>
    <s v="157420-1"/>
    <s v="2 Pos. JPT 2,8mm Unsealed"/>
    <m/>
    <s v="No"/>
    <s v="No"/>
    <s v="Yes"/>
    <n v="0"/>
    <n v="0"/>
    <n v="0"/>
    <n v="0"/>
  </r>
  <r>
    <x v="656"/>
    <s v="13.0_Comfort &amp; Interior"/>
    <s v="13.20_SeatMoving-System"/>
    <s v="F0xx9"/>
    <s v="Seats Rear, Position Electric Adjustable"/>
    <m/>
    <s v="Comfort"/>
    <s v="Seat Adjustment"/>
    <s v="Seat Depth 2nd Row Right"/>
    <s v="Power Seats"/>
    <s v="Switch"/>
    <s v="User Selector"/>
    <s v="User Selector - Seat Depth 2nd Row Right"/>
    <m/>
    <m/>
    <m/>
    <m/>
    <m/>
    <m/>
    <m/>
    <m/>
    <m/>
    <m/>
    <m/>
    <m/>
    <m/>
    <m/>
  </r>
  <r>
    <x v="657"/>
    <s v="13.0_Comfort &amp; Interior"/>
    <s v="13.20_SeatMoving-System"/>
    <s v="F0xx9"/>
    <s v="Seats Rear, Position Electric Adjustable"/>
    <m/>
    <s v="Comfort"/>
    <s v="Seat Adjustment"/>
    <s v="Seat Depth 2nd Row Right"/>
    <s v="Power Seats"/>
    <s v="Sensor"/>
    <s v="Sensor"/>
    <s v="Sensor - Seat Depth 2nd Row Right"/>
    <m/>
    <m/>
    <s v="63;1"/>
    <s v="TE"/>
    <s v="1-929080-5"/>
    <s v="2 Pos. MQS 0,63mm Unsealed"/>
    <m/>
    <s v="No"/>
    <s v="No"/>
    <s v="Yes"/>
    <n v="0"/>
    <n v="0"/>
    <n v="0"/>
    <n v="0"/>
  </r>
  <r>
    <x v="658"/>
    <s v="13.0_Comfort &amp; Interior"/>
    <s v="13.20_SeatMoving-System"/>
    <s v="F0xx9"/>
    <s v="Seats Rear, Position Electric Adjustable"/>
    <m/>
    <s v="Comfort"/>
    <s v="Seat Adjustment"/>
    <s v="Seat Depth 2nd Row Left"/>
    <s v="Power Seats"/>
    <s v="Switch"/>
    <s v="User Selector"/>
    <s v="User Selector - Seat Depth 2nd Row Left"/>
    <m/>
    <m/>
    <m/>
    <m/>
    <m/>
    <m/>
    <m/>
    <m/>
    <m/>
    <m/>
    <m/>
    <m/>
    <m/>
    <m/>
  </r>
  <r>
    <x v="659"/>
    <s v="13.0_Comfort &amp; Interior"/>
    <s v="13.20_SeatMoving-System"/>
    <s v="F0xx9"/>
    <s v="Seats Rear, Position Electric Adjustable"/>
    <m/>
    <s v="Comfort"/>
    <s v="Seat Adjustment"/>
    <s v="Seat Depth 2nd Row Left"/>
    <s v="Power Seats"/>
    <s v="Sensor"/>
    <s v="Sensor"/>
    <s v="Sensor - Seat Depth 2nd Row Left"/>
    <m/>
    <m/>
    <s v="63;-1"/>
    <s v="TE"/>
    <s v="1-929080-5"/>
    <s v="2 Pos. MQS 0,63mm Unsealed"/>
    <m/>
    <s v="No"/>
    <s v="No"/>
    <s v="Yes"/>
    <n v="0"/>
    <n v="0"/>
    <n v="0"/>
    <n v="0"/>
  </r>
  <r>
    <x v="660"/>
    <s v="13.0_Comfort &amp; Interior"/>
    <s v="13.20_SeatMoving-System"/>
    <s v="F0xx9"/>
    <s v="Seats Rear, Position Electric Adjustable"/>
    <m/>
    <s v="Comfort"/>
    <s v="Seat Adjustment"/>
    <s v="Seat Depth 2nd Row Left"/>
    <s v="Power Seats"/>
    <s v="Actuator"/>
    <s v="Motor"/>
    <s v="Motor - Seat Depth 2nd Row Left"/>
    <m/>
    <m/>
    <s v="63;-1"/>
    <s v="TE"/>
    <s v="157420-1"/>
    <s v="2 Pos. JPT 2,8mm Unsealed"/>
    <m/>
    <s v="No"/>
    <s v="No"/>
    <s v="Yes"/>
    <n v="0"/>
    <n v="0"/>
    <n v="0"/>
    <n v="0"/>
  </r>
  <r>
    <x v="661"/>
    <s v="13.0_Comfort &amp; Interior"/>
    <s v="13.20_SeatMoving-System"/>
    <s v="F0xx9"/>
    <s v="Seats Rear, Position Electric Adjustable"/>
    <m/>
    <s v="Comfort"/>
    <s v="Seat Adjustment"/>
    <s v="Seat Backrest Tilting 3rd Row Left"/>
    <s v="Power Seats"/>
    <s v="Sensor"/>
    <s v="Sensor"/>
    <s v="Sensor - Seat Backrest Tilting 3rd Row Left"/>
    <m/>
    <m/>
    <s v="96;-17"/>
    <s v="TE"/>
    <s v="1-929080-5"/>
    <s v="2 Pos. MQS 0,63mm Unsealed"/>
    <m/>
    <s v="No"/>
    <s v="No"/>
    <s v="Yes"/>
    <n v="0"/>
    <n v="0"/>
    <n v="0"/>
    <n v="0"/>
  </r>
  <r>
    <x v="662"/>
    <s v="13.0_Comfort &amp; Interior"/>
    <s v="13.20_SeatMoving-System"/>
    <s v="F0xx9"/>
    <s v="Seats Rear, Position Electric Adjustable"/>
    <m/>
    <s v="Comfort"/>
    <s v="Seat Adjustment"/>
    <s v="Seat Backrest Tilting 3rd Row Right"/>
    <s v="Power Seats"/>
    <s v="Sensor"/>
    <s v="Sensor"/>
    <s v="Sensor - Seat Backrest Tilting 3rd Row Right"/>
    <m/>
    <m/>
    <s v="96;17"/>
    <s v="TE"/>
    <s v="1-929080-5"/>
    <s v="2 Pos. MQS 0,63mm Unsealed"/>
    <m/>
    <s v="No"/>
    <s v="No"/>
    <s v="Yes"/>
    <n v="0"/>
    <n v="0"/>
    <n v="0"/>
    <n v="0"/>
  </r>
  <r>
    <x v="663"/>
    <s v="28.0_Powertrain &amp; Driveability"/>
    <s v="28.11_TorqueCoordination-System"/>
    <s v="F1223"/>
    <s v="Transmission, BEV Second Gear"/>
    <m/>
    <s v="Powertrain"/>
    <s v="Transmission"/>
    <s v="Computing"/>
    <s v="EV"/>
    <s v="Control Unit"/>
    <s v="Automatic Transmission Control Unit"/>
    <s v="Automatic Transmission Control Unit - Computing"/>
    <m/>
    <m/>
    <m/>
    <m/>
    <m/>
    <m/>
    <m/>
    <m/>
    <m/>
    <m/>
    <m/>
    <m/>
    <m/>
    <m/>
  </r>
  <r>
    <x v="663"/>
    <s v="28.0_Powertrain &amp; Driveability"/>
    <s v="28.12_DriveStrategy&amp;Driveability"/>
    <s v="F2004"/>
    <s v="Drive Mode Functionality"/>
    <m/>
    <s v="Powertrain"/>
    <s v="Transmission"/>
    <s v="Computing"/>
    <s v="EV"/>
    <s v="Control Unit"/>
    <s v="Automatic Transmission Control Unit"/>
    <s v="Automatic Transmission Control Unit - Computing"/>
    <m/>
    <m/>
    <m/>
    <m/>
    <m/>
    <m/>
    <m/>
    <m/>
    <m/>
    <m/>
    <m/>
    <m/>
    <m/>
    <m/>
  </r>
  <r>
    <x v="664"/>
    <s v="32.0_Comfort &amp; Chassis"/>
    <s v="32.10_Braking-System"/>
    <s v="F2000"/>
    <s v="ABS"/>
    <s v="D"/>
    <s v="Chassis"/>
    <s v="Brake"/>
    <s v="Roof Rack Detection"/>
    <s v="High Vehicles"/>
    <s v="Sensor"/>
    <s v="Weight Sensor"/>
    <s v="Weight Sensor - Roof Rack Detection"/>
    <m/>
    <m/>
    <s v="62;-12"/>
    <m/>
    <m/>
    <m/>
    <m/>
    <s v="No"/>
    <s v="No"/>
    <s v="Yes"/>
    <n v="1"/>
    <n v="1"/>
    <n v="1"/>
    <n v="1"/>
  </r>
  <r>
    <x v="665"/>
    <s v="28.0_Powertrain &amp; Driveability"/>
    <s v="28.x1_Transmission"/>
    <s v="F0x24"/>
    <s v="Manual Transmission"/>
    <m/>
    <s v="Powertrain"/>
    <s v="Transmission"/>
    <s v="Gear Shifting"/>
    <s v="with Manual Transmission"/>
    <s v="Sensor"/>
    <s v="Clutch Pedal Sensor"/>
    <s v="Clutch Pedal Sensor - Gear Shifting"/>
    <m/>
    <m/>
    <s v="26;-16"/>
    <s v="TE"/>
    <s v="1-2294261-5"/>
    <s v="6 Pos. MCON 1,2mm Sealed"/>
    <m/>
    <s v="Yes"/>
    <s v="No"/>
    <s v="No"/>
    <n v="1"/>
    <n v="1"/>
    <n v="1"/>
    <n v="1"/>
  </r>
  <r>
    <x v="665"/>
    <s v="32.0_Comfort &amp; Chassis"/>
    <s v="32.10_Braking-System"/>
    <s v="F2000"/>
    <s v="ABS"/>
    <s v="D"/>
    <s v="Powertrain"/>
    <s v="Transmission"/>
    <s v="Gear Shifting"/>
    <s v="with Manual Transmission"/>
    <s v="Sensor"/>
    <s v="Clutch Pedal Sensor"/>
    <s v="Clutch Pedal Sensor - Gear Shifting"/>
    <m/>
    <m/>
    <s v="26;-16"/>
    <s v="TE"/>
    <s v="1-2294261-5"/>
    <s v="6 Pos. MCON 1,2mm Sealed"/>
    <m/>
    <s v="Yes"/>
    <s v="No"/>
    <s v="No"/>
    <n v="1"/>
    <n v="1"/>
    <n v="1"/>
    <n v="1"/>
  </r>
  <r>
    <x v="666"/>
    <s v="10.0_Comfort &amp; Exterior"/>
    <s v="10.20_Mirroring-System"/>
    <s v="F0249"/>
    <s v="Outside Mirror Camera"/>
    <m/>
    <s v="Comfort"/>
    <s v="External Rear View Mirror"/>
    <s v="Rear View Left"/>
    <s v="with Electronic Rear View Mirror"/>
    <s v="Actuator"/>
    <s v="A-Pillar Video Display L"/>
    <s v="A-Pillar Video Display L - Rear View Left"/>
    <m/>
    <m/>
    <s v="32;-22"/>
    <s v="TE"/>
    <s v="0-2177694-1"/>
    <s v="7 Pos. HSD Ass'y / MQS 0,63mm Unsealed"/>
    <m/>
    <s v="No"/>
    <s v="No"/>
    <s v="Yes"/>
    <n v="1"/>
    <n v="1"/>
    <n v="1"/>
    <n v="1"/>
  </r>
  <r>
    <x v="667"/>
    <s v="10.0_Comfort &amp; Exterior"/>
    <s v="10.20_Mirroring-System"/>
    <s v="F0249"/>
    <s v="Outside Mirror Camera"/>
    <m/>
    <s v="Comfort"/>
    <s v="External Rear View Mirror"/>
    <s v="Rear View Right"/>
    <s v="with Electronic Rear View Mirror"/>
    <s v="Actuator"/>
    <s v="A-Pillar Video Display R"/>
    <s v="A-Pillar Video Display R - Rear View Right"/>
    <m/>
    <m/>
    <s v="32;22"/>
    <s v="TE"/>
    <s v="0-2177694-1"/>
    <s v="7 Pos. HSD Ass'y / MQS 0,63mm Unsealed"/>
    <m/>
    <s v="No"/>
    <s v="No"/>
    <s v="Yes"/>
    <n v="1"/>
    <n v="1"/>
    <n v="1"/>
    <n v="1"/>
  </r>
  <r>
    <x v="668"/>
    <s v="10.0_Comfort &amp; Exterior"/>
    <s v="10.41_Washing-System"/>
    <s v="F0389"/>
    <s v="Washing Rear, not heatable"/>
    <s v="QM"/>
    <s v="Body"/>
    <s v="Wiper/Washer"/>
    <s v="Rear Washer"/>
    <s v="Basic"/>
    <s v="Actuator"/>
    <s v="Washer Pump Mono"/>
    <s v="Washer Pump Mono - Rear Washer"/>
    <m/>
    <m/>
    <s v="100;18"/>
    <s v="TE"/>
    <s v="1-1355200-1"/>
    <s v="2 Pos. MCP 2,8mm Sealed"/>
    <s v="No"/>
    <s v="No"/>
    <s v="No"/>
    <s v="No"/>
    <n v="0"/>
    <n v="8.3333333333333332E-3"/>
    <n v="1.6666666666666666E-2"/>
    <n v="1.6666666666666666E-2"/>
  </r>
  <r>
    <x v="669"/>
    <s v="10.0_Comfort &amp; Exterior"/>
    <s v="10.41_Washing-System"/>
    <s v="F0533"/>
    <s v="Camera Cleaning System"/>
    <s v="QM"/>
    <s v="Drive Assistance"/>
    <s v="Driver Assistance System"/>
    <s v="Camera Washer"/>
    <m/>
    <s v="Actuator"/>
    <s v="Washer Pump Mono"/>
    <s v="Washer Pump Mono - Camera Washer"/>
    <m/>
    <m/>
    <s v="16;18"/>
    <s v="TE"/>
    <s v="1-1355200-1"/>
    <s v="2 Pos. MCP 2,8mm Sealed"/>
    <s v="No"/>
    <s v="No"/>
    <s v="No"/>
    <s v="Yes"/>
    <n v="0"/>
    <n v="0.01"/>
    <n v="0.02"/>
    <n v="0.02"/>
  </r>
  <r>
    <x v="670"/>
    <s v="10.0_Comfort &amp; Exterior"/>
    <s v="10.50_ExteriorHeating-System"/>
    <s v="F0990"/>
    <s v="Heating Washwater"/>
    <s v="QM"/>
    <s v="Body"/>
    <s v="Wiper/Washer"/>
    <s v="Heated Washer Fluid"/>
    <s v="Winter Package"/>
    <s v="Actuator"/>
    <s v="Heater"/>
    <s v="Heater - Heated Washer Fluid"/>
    <m/>
    <m/>
    <s v="16;18"/>
    <s v="TE"/>
    <s v="1897212-1"/>
    <s v="2 Pos. MCP 1,5mm Sealed"/>
    <m/>
    <s v="No"/>
    <s v="No"/>
    <s v="Yes"/>
    <n v="0"/>
    <n v="0.25"/>
    <n v="0.25"/>
    <n v="0"/>
  </r>
  <r>
    <x v="671"/>
    <s v="10.0_Comfort &amp; Exterior"/>
    <s v="10.50_ExteriorHeating-System"/>
    <s v="F0964"/>
    <s v="Heating Outside Mirror Camera"/>
    <m/>
    <s v="Comfort"/>
    <s v="Mirror Heating"/>
    <s v="Heater"/>
    <m/>
    <s v="Actuator"/>
    <s v="Mirror Camera Heating Right"/>
    <s v="Mirror Camera Heating Right - Heater"/>
    <m/>
    <m/>
    <m/>
    <m/>
    <m/>
    <m/>
    <m/>
    <m/>
    <m/>
    <m/>
    <m/>
    <m/>
    <m/>
    <m/>
  </r>
  <r>
    <x v="672"/>
    <s v="10.0_Comfort &amp; Exterior"/>
    <s v="10.50_ExteriorHeating-System"/>
    <s v="F0964"/>
    <s v="Heating Outside Mirror Camera"/>
    <m/>
    <s v="Comfort"/>
    <s v="Mirror Heating"/>
    <s v="Heater"/>
    <m/>
    <s v="Actuator"/>
    <s v="Mirror Camera Heater Left"/>
    <s v="Mirror Camera Heater Left - Heater"/>
    <m/>
    <m/>
    <m/>
    <m/>
    <m/>
    <m/>
    <m/>
    <m/>
    <m/>
    <m/>
    <m/>
    <m/>
    <m/>
    <m/>
  </r>
  <r>
    <x v="673"/>
    <s v="10.0_Comfort &amp; Exterior"/>
    <s v="10.50_ExteriorHeating-System"/>
    <s v="F0437"/>
    <s v="Heating Washer Nozzles, Wiper Rear"/>
    <s v="QM"/>
    <s v="Body"/>
    <s v="Wiper/Washer"/>
    <s v="Rear Spray Nozzle Heater"/>
    <s v="Winter Package"/>
    <s v="Actuator"/>
    <s v="Rear Spray Nozzle Heater"/>
    <s v="Rear Spray Nozzle Heater - Rear Spray Nozzle Heater"/>
    <m/>
    <m/>
    <s v="87;0"/>
    <s v="TE"/>
    <s v="1897212-1"/>
    <s v="2 Pos. MCP 1,5mm Sealed"/>
    <m/>
    <s v="No"/>
    <s v="No"/>
    <s v="Yes"/>
    <n v="0"/>
    <n v="0.1"/>
    <n v="0.1"/>
    <n v="0"/>
  </r>
  <r>
    <x v="674"/>
    <s v="13.0_Comfort &amp; Interior"/>
    <s v="13.30_InsideLighting-System"/>
    <s v="F0084"/>
    <s v="Reading Light Front"/>
    <s v="QM"/>
    <s v="Comfort"/>
    <s v="Internal Illumination"/>
    <s v="Maplight FL"/>
    <s v="with Map Light"/>
    <s v="Switch"/>
    <s v="Switch"/>
    <s v="Switch - Maplight FL"/>
    <m/>
    <m/>
    <s v="42;-1"/>
    <s v="TE"/>
    <s v="1-929080-5"/>
    <s v="2 Pos. MQS 0,63mm Unsealed"/>
    <m/>
    <s v="No"/>
    <s v="Yes"/>
    <s v="Yes"/>
    <n v="0"/>
    <n v="0"/>
    <n v="0.05"/>
    <n v="0.05"/>
  </r>
  <r>
    <x v="675"/>
    <s v="13.0_Comfort &amp; Interior"/>
    <s v="13.30_InsideLighting-System"/>
    <s v="F0084"/>
    <s v="Reading Light Front"/>
    <s v="QM"/>
    <s v="Comfort"/>
    <s v="Internal Illumination"/>
    <s v="Maplight FR"/>
    <s v="with Map Light"/>
    <s v="Switch"/>
    <s v="Switch"/>
    <s v="Switch - Maplight FR"/>
    <m/>
    <m/>
    <s v="42;1"/>
    <s v="TE"/>
    <s v="1-929080-5"/>
    <s v="2 Pos. MQS 0,63mm Unsealed"/>
    <m/>
    <s v="No"/>
    <s v="Yes"/>
    <s v="Yes"/>
    <n v="0"/>
    <n v="0"/>
    <n v="0.05"/>
    <n v="0.05"/>
  </r>
  <r>
    <x v="676"/>
    <s v="13.0_Comfort &amp; Interior"/>
    <s v="13.30_InsideLighting-System"/>
    <s v="F0084"/>
    <s v="Reading Light Front"/>
    <s v="QM"/>
    <s v="Comfort"/>
    <s v="Internal Illumination"/>
    <s v="Maplight FL"/>
    <s v="with Map Light"/>
    <s v="Actuator"/>
    <s v="LED Lamp"/>
    <s v="LED Lamp - Maplight FL"/>
    <m/>
    <m/>
    <s v="42;-1"/>
    <s v="TE"/>
    <s v="2282150-1"/>
    <s v="2 Pos. NanoMQS 0,5mm Unsealed"/>
    <m/>
    <s v="No"/>
    <s v="Yes"/>
    <s v="Yes"/>
    <n v="0"/>
    <n v="0"/>
    <n v="0.05"/>
    <n v="0.05"/>
  </r>
  <r>
    <x v="677"/>
    <s v="13.0_Comfort &amp; Interior"/>
    <s v="13.30_InsideLighting-System"/>
    <s v="F0084"/>
    <s v="Reading Light Front"/>
    <s v="QM"/>
    <s v="Comfort"/>
    <s v="Internal Illumination"/>
    <s v="Maplight FR"/>
    <s v="with Map Light"/>
    <s v="Actuator"/>
    <s v="LED Lamp"/>
    <s v="LED Lamp - Maplight FR"/>
    <m/>
    <m/>
    <s v="42;1"/>
    <s v="TE"/>
    <s v="2282150-1"/>
    <s v="2 Pos. NanoMQS 0,5mm Unsealed"/>
    <m/>
    <s v="No"/>
    <s v="Yes"/>
    <s v="Yes"/>
    <n v="0"/>
    <n v="0"/>
    <n v="0.05"/>
    <n v="0.05"/>
  </r>
  <r>
    <x v="678"/>
    <s v="13.0_Comfort &amp; Interior"/>
    <s v="13.30_InsideLighting-System"/>
    <s v="F0085"/>
    <s v="Reading Light Rear"/>
    <s v="QM"/>
    <s v="Comfort"/>
    <s v="Internal Illumination"/>
    <s v="Maplight RL"/>
    <s v="with Map Light Rear"/>
    <s v="Switch"/>
    <s v="Switch"/>
    <s v="Switch - Maplight RL"/>
    <m/>
    <m/>
    <s v="62;-12"/>
    <s v="TE"/>
    <s v="1-929080-5"/>
    <s v="2 Pos. MQS 0,63mm Unsealed"/>
    <m/>
    <s v="No"/>
    <s v="No"/>
    <s v="Yes"/>
    <n v="0"/>
    <n v="0"/>
    <n v="0.05"/>
    <n v="0.05"/>
  </r>
  <r>
    <x v="679"/>
    <s v="13.0_Comfort &amp; Interior"/>
    <s v="13.30_InsideLighting-System"/>
    <s v="F0085"/>
    <s v="Reading Light Rear"/>
    <s v="QM"/>
    <s v="Comfort"/>
    <s v="Internal Illumination"/>
    <s v="Maplight RR"/>
    <s v="with Map Light Rear"/>
    <s v="Switch"/>
    <s v="Switch"/>
    <s v="Switch - Maplight RR"/>
    <m/>
    <m/>
    <s v="62;12"/>
    <s v="TE"/>
    <s v="1-929080-5"/>
    <s v="2 Pos. MQS 0,63mm Unsealed"/>
    <m/>
    <s v="No"/>
    <s v="No"/>
    <s v="Yes"/>
    <n v="0"/>
    <n v="0"/>
    <n v="0.05"/>
    <n v="0.05"/>
  </r>
  <r>
    <x v="680"/>
    <s v="13.0_Comfort &amp; Interior"/>
    <s v="13.40_InteriorHeating-System"/>
    <s v="F0100"/>
    <s v="Steering Wheel, Heating"/>
    <s v="QM"/>
    <s v="Comfort"/>
    <s v="Steering Wheel Heating"/>
    <s v="Heater"/>
    <s v="with Steering Wheel Heating"/>
    <s v="Actuator"/>
    <s v="Steering Wheel Heater"/>
    <s v="Steering Wheel Heater - Heater"/>
    <m/>
    <m/>
    <m/>
    <m/>
    <m/>
    <m/>
    <m/>
    <m/>
    <m/>
    <m/>
    <m/>
    <m/>
    <m/>
    <m/>
  </r>
  <r>
    <x v="681"/>
    <s v="13.0_Comfort &amp; Interior"/>
    <s v="13.40_InteriorHeating-System"/>
    <s v="F0100"/>
    <s v="Steering Wheel, Heating"/>
    <s v="QM"/>
    <s v="Comfort"/>
    <s v="Steering Wheel Heating"/>
    <s v="Steering Wheel Temperature Sensor"/>
    <s v="with Steering Wheel Heating"/>
    <s v="Sensor"/>
    <s v="Steering Wheel Temperature Sensor"/>
    <s v="Steering Wheel Temperature Sensor - Steering Wheel Temperature Sensor"/>
    <m/>
    <m/>
    <m/>
    <m/>
    <m/>
    <m/>
    <m/>
    <m/>
    <m/>
    <m/>
    <m/>
    <m/>
    <m/>
    <m/>
  </r>
  <r>
    <x v="682"/>
    <s v="14.0_HMI &amp; OutsideInformation"/>
    <s v="14.10_DriverInformation-System"/>
    <s v="F0232"/>
    <s v="Warning, Light Failure Detection"/>
    <s v="QM"/>
    <s v="Body"/>
    <s v="External Illumination"/>
    <s v="Light Failure Detection"/>
    <s v="Low Beams"/>
    <s v="Sensor"/>
    <s v="Current Sensor"/>
    <s v="Current Sensor - Light Failure Detection"/>
    <m/>
    <m/>
    <m/>
    <m/>
    <m/>
    <m/>
    <m/>
    <m/>
    <m/>
    <m/>
    <m/>
    <m/>
    <m/>
    <m/>
  </r>
  <r>
    <x v="683"/>
    <s v="14.0_HMI &amp; OutsideInformation"/>
    <s v="14.10_DriverInformation-System"/>
    <s v="F0232"/>
    <s v="Warning, Light Failure Detection"/>
    <s v="QM"/>
    <s v="Body"/>
    <s v="External Illumination"/>
    <s v="Light Failure Detection"/>
    <s v="High Beams"/>
    <s v="Sensor"/>
    <s v="Current Sensor"/>
    <s v="Current Sensor - Light Failure Detection"/>
    <m/>
    <m/>
    <m/>
    <m/>
    <m/>
    <m/>
    <m/>
    <m/>
    <m/>
    <m/>
    <m/>
    <m/>
    <m/>
    <m/>
  </r>
  <r>
    <x v="684"/>
    <s v="14.0_HMI &amp; OutsideInformation"/>
    <s v="14.10_DriverInformation-System"/>
    <s v="F0232"/>
    <s v="Warning, Light Failure Detection"/>
    <s v="QM"/>
    <s v="Body"/>
    <s v="External Illumination"/>
    <s v="Light Failure Detection"/>
    <s v="Fog Lamps, Front"/>
    <s v="Sensor"/>
    <s v="Current Sensor"/>
    <s v="Current Sensor - Light Failure Detection"/>
    <m/>
    <m/>
    <m/>
    <m/>
    <m/>
    <m/>
    <m/>
    <m/>
    <m/>
    <m/>
    <m/>
    <m/>
    <m/>
    <m/>
  </r>
  <r>
    <x v="685"/>
    <s v="14.0_HMI &amp; OutsideInformation"/>
    <s v="14.10_DriverInformation-System"/>
    <s v="F0232"/>
    <s v="Warning, Light Failure Detection"/>
    <s v="QM"/>
    <s v="Body"/>
    <s v="External Illumination"/>
    <s v="Light Failure Detection"/>
    <s v="Fog Lamps, Rear"/>
    <s v="Sensor"/>
    <s v="Current Sensor"/>
    <s v="Current Sensor - Light Failure Detection"/>
    <m/>
    <m/>
    <m/>
    <m/>
    <m/>
    <m/>
    <m/>
    <m/>
    <m/>
    <m/>
    <m/>
    <m/>
    <m/>
    <m/>
  </r>
  <r>
    <x v="686"/>
    <s v="14.0_HMI &amp; OutsideInformation"/>
    <s v="14.10_DriverInformation-System"/>
    <s v="F0232"/>
    <s v="Warning, Light Failure Detection"/>
    <s v="QM"/>
    <s v="Body"/>
    <s v="External Illumination"/>
    <s v="Light Failure Detection"/>
    <s v="Blinkers, Right Side"/>
    <s v="Sensor"/>
    <s v="Current Sensor"/>
    <s v="Current Sensor - Light Failure Detection"/>
    <m/>
    <m/>
    <m/>
    <m/>
    <m/>
    <m/>
    <m/>
    <m/>
    <m/>
    <m/>
    <m/>
    <m/>
    <m/>
    <m/>
  </r>
  <r>
    <x v="687"/>
    <s v="14.0_HMI &amp; OutsideInformation"/>
    <s v="14.10_DriverInformation-System"/>
    <s v="F0232"/>
    <s v="Warning, Light Failure Detection"/>
    <s v="QM"/>
    <s v="Body"/>
    <s v="External Illumination"/>
    <s v="Light Failure Detection"/>
    <s v="Blinkers, Left Side"/>
    <s v="Sensor"/>
    <s v="Current Sensor"/>
    <s v="Current Sensor - Light Failure Detection"/>
    <m/>
    <m/>
    <m/>
    <m/>
    <m/>
    <m/>
    <m/>
    <m/>
    <m/>
    <m/>
    <m/>
    <m/>
    <m/>
    <m/>
  </r>
  <r>
    <x v="688"/>
    <s v="14.0_HMI &amp; OutsideInformation"/>
    <s v="14.10_DriverInformation-System"/>
    <s v="F0232"/>
    <s v="Warning, Light Failure Detection"/>
    <s v="QM"/>
    <s v="Body"/>
    <s v="External Illumination"/>
    <s v="Light Failure Detection"/>
    <s v="Brake Lights"/>
    <s v="Sensor"/>
    <s v="Current Sensor"/>
    <s v="Current Sensor - Light Failure Detection"/>
    <m/>
    <m/>
    <m/>
    <m/>
    <m/>
    <m/>
    <m/>
    <m/>
    <m/>
    <m/>
    <m/>
    <m/>
    <m/>
    <m/>
  </r>
  <r>
    <x v="689"/>
    <s v="14.0_HMI &amp; OutsideInformation"/>
    <s v="14.10_DriverInformation-System"/>
    <s v="F0232"/>
    <s v="Warning, Light Failure Detection"/>
    <s v="QM"/>
    <s v="Body"/>
    <s v="External Illumination"/>
    <s v="Light Failure Detection"/>
    <s v="Position Lights"/>
    <s v="Sensor"/>
    <s v="Current Sensor"/>
    <s v="Current Sensor - Light Failure Detection"/>
    <m/>
    <m/>
    <m/>
    <m/>
    <m/>
    <m/>
    <m/>
    <m/>
    <m/>
    <m/>
    <m/>
    <m/>
    <m/>
    <m/>
  </r>
  <r>
    <x v="690"/>
    <s v="14.0_HMI &amp; OutsideInformation"/>
    <s v="14.10_DriverInformation-System"/>
    <s v="F0232"/>
    <s v="Warning, Light Failure Detection"/>
    <s v="QM"/>
    <s v="Body"/>
    <s v="External Illumination"/>
    <s v="Light Failure Detection"/>
    <s v="Reverse Gear Lamp"/>
    <s v="Sensor"/>
    <s v="Current Sensor"/>
    <s v="Current Sensor - Light Failure Detection"/>
    <m/>
    <m/>
    <m/>
    <m/>
    <m/>
    <m/>
    <m/>
    <m/>
    <m/>
    <m/>
    <m/>
    <m/>
    <m/>
    <m/>
  </r>
  <r>
    <x v="691"/>
    <s v="14.0_HMI &amp; OutsideInformation"/>
    <s v="14.10_DriverInformation-System"/>
    <s v="F0464"/>
    <s v="Indications, Engine Speed"/>
    <m/>
    <s v="Powertrain"/>
    <s v="Motor"/>
    <s v="Motor Speed"/>
    <s v="EV"/>
    <s v="Sensor"/>
    <s v="Rear Motor Speed Sensor"/>
    <s v="Rear Motor Speed Sensor - Motor Speed"/>
    <m/>
    <m/>
    <s v="99;4"/>
    <m/>
    <m/>
    <m/>
    <m/>
    <s v="No"/>
    <s v="No"/>
    <s v="No"/>
    <n v="1"/>
    <n v="1"/>
    <n v="1"/>
    <n v="1"/>
  </r>
  <r>
    <x v="692"/>
    <s v="14.0_HMI &amp; OutsideInformation"/>
    <s v="14.10_DriverInformation-System"/>
    <s v="F0464"/>
    <s v="Indications, Engine Speed"/>
    <m/>
    <s v="Powertrain"/>
    <s v="Motor"/>
    <s v="Motor Speed"/>
    <s v="EV AWD"/>
    <s v="Sensor"/>
    <s v="Front Motor Speed Sensor"/>
    <s v="Front Motor Speed Sensor - Motor Speed"/>
    <m/>
    <m/>
    <s v="16;4"/>
    <m/>
    <m/>
    <m/>
    <m/>
    <s v="No"/>
    <s v="No"/>
    <s v="No"/>
    <n v="1"/>
    <n v="1"/>
    <n v="1"/>
    <n v="1"/>
  </r>
  <r>
    <x v="693"/>
    <s v="37.0_ADAS &amp; AutomatedDriving"/>
    <s v="37.20_Parking-System"/>
    <s v="F0155"/>
    <s v="Park Assist, Front"/>
    <m/>
    <s v="Drive Assistance"/>
    <s v="Driver Assistance System"/>
    <s v="Short Range Distance Measurement"/>
    <s v="L1+/L2/L2+/L3/L4"/>
    <s v="Sensor"/>
    <s v="Ultrasonic Sensor FMR"/>
    <s v="Ultrasonic Sensor FMR - Short Range Distance Measurement"/>
    <m/>
    <m/>
    <s v="-15;4"/>
    <s v="TE"/>
    <s v="0-1488991-6"/>
    <s v="3 Pos. MCON 1,2mm Sealed"/>
    <m/>
    <s v="No"/>
    <s v="Yes"/>
    <s v="Yes"/>
    <n v="0.05"/>
    <n v="0"/>
    <n v="0.05"/>
    <n v="0"/>
  </r>
  <r>
    <x v="693"/>
    <s v="37.0_ADAS &amp; AutomatedDriving"/>
    <s v="37.20_Parking-System"/>
    <s v="F0314"/>
    <s v="Parking Pilot, Valet Parking"/>
    <m/>
    <s v="Drive Assistance"/>
    <s v="Driver Assistance System"/>
    <s v="Short Range Distance Measurement"/>
    <s v="L1+/L2/L2+/L3/L4"/>
    <s v="Sensor"/>
    <s v="Ultrasonic Sensor FMR"/>
    <s v="Ultrasonic Sensor FMR - Short Range Distance Measurement"/>
    <m/>
    <m/>
    <s v="-15;4"/>
    <s v="TE"/>
    <s v="0-1488991-6"/>
    <s v="3 Pos. MCON 1,2mm Sealed"/>
    <m/>
    <s v="No"/>
    <s v="No"/>
    <s v="Yes"/>
    <n v="0.05"/>
    <n v="0"/>
    <n v="0.05"/>
    <n v="0"/>
  </r>
  <r>
    <x v="693"/>
    <s v="37.0_ADAS &amp; AutomatedDriving"/>
    <s v="37.20_Parking-System"/>
    <s v="F0536"/>
    <s v="Parking Pilot, Trained Parking"/>
    <m/>
    <s v="Drive Assistance"/>
    <s v="Driver Assistance System"/>
    <s v="Short Range Distance Measurement"/>
    <s v="L1+/L2/L2+/L3/L4"/>
    <s v="Sensor"/>
    <s v="Ultrasonic Sensor FMR"/>
    <s v="Ultrasonic Sensor FMR - Short Range Distance Measurement"/>
    <m/>
    <m/>
    <s v="-15;4"/>
    <s v="TE"/>
    <s v="0-1488991-6"/>
    <s v="3 Pos. MCON 1,2mm Sealed"/>
    <m/>
    <s v="No"/>
    <s v="No"/>
    <s v="Yes"/>
    <n v="0.05"/>
    <n v="0"/>
    <n v="0.05"/>
    <n v="0"/>
  </r>
  <r>
    <x v="693"/>
    <s v="37.0_ADAS &amp; AutomatedDriving"/>
    <s v="37.20_Parking-System"/>
    <s v="F1301"/>
    <s v="Drive Away Assist"/>
    <m/>
    <s v="Drive Assistance"/>
    <s v="Driver Assistance System"/>
    <s v="Short Range Distance Measurement"/>
    <s v="L1+/L2/L2+/L3/L4"/>
    <s v="Sensor"/>
    <s v="Ultrasonic Sensor FMR"/>
    <s v="Ultrasonic Sensor FMR - Short Range Distance Measurement"/>
    <m/>
    <m/>
    <s v="-15;4"/>
    <s v="TE"/>
    <s v="0-1488991-6"/>
    <s v="3 Pos. MCON 1,2mm Sealed"/>
    <m/>
    <s v="No"/>
    <s v="No"/>
    <s v="Yes"/>
    <n v="0.05"/>
    <n v="0"/>
    <n v="0.05"/>
    <n v="0"/>
  </r>
  <r>
    <x v="693"/>
    <s v="37.0_ADAS &amp; AutomatedDriving"/>
    <s v="37.20_Parking-System"/>
    <s v="F1304"/>
    <s v="Park Assist, Side"/>
    <m/>
    <s v="Drive Assistance"/>
    <s v="Driver Assistance System"/>
    <s v="Short Range Distance Measurement"/>
    <s v="L1+/L2/L2+/L3/L4"/>
    <s v="Sensor"/>
    <s v="Ultrasonic Sensor FMR"/>
    <s v="Ultrasonic Sensor FMR - Short Range Distance Measurement"/>
    <m/>
    <m/>
    <s v="-15;4"/>
    <s v="TE"/>
    <s v="0-1488991-6"/>
    <s v="3 Pos. MCON 1,2mm Sealed"/>
    <m/>
    <s v="No"/>
    <s v="Yes"/>
    <s v="Yes"/>
    <n v="0.05"/>
    <n v="0"/>
    <n v="0.05"/>
    <n v="0"/>
  </r>
  <r>
    <x v="693"/>
    <s v="37.0_ADAS &amp; AutomatedDriving"/>
    <s v="37.20_Parking-System"/>
    <s v="F2003"/>
    <s v="Automatic Parking Support"/>
    <m/>
    <s v="Drive Assistance"/>
    <s v="Driver Assistance System"/>
    <s v="Short Range Distance Measurement"/>
    <s v="L1+/L2/L2+/L3/L4"/>
    <s v="Sensor"/>
    <s v="Ultrasonic Sensor FMR"/>
    <s v="Ultrasonic Sensor FMR - Short Range Distance Measurement"/>
    <m/>
    <m/>
    <s v="-15;4"/>
    <s v="TE"/>
    <s v="0-1488991-6"/>
    <s v="3 Pos. MCON 1,2mm Sealed"/>
    <m/>
    <s v="No"/>
    <s v="Yes"/>
    <s v="Yes"/>
    <n v="0.05"/>
    <n v="0"/>
    <n v="0.05"/>
    <n v="0"/>
  </r>
  <r>
    <x v="694"/>
    <s v="37.0_ADAS &amp; AutomatedDriving"/>
    <s v="37.20_Parking-System"/>
    <s v="F0155"/>
    <s v="Park Assist, Front"/>
    <m/>
    <s v="Drive Assistance"/>
    <s v="Driver Assistance System"/>
    <s v="Short Range Distance Measurement"/>
    <s v="L1+/L2/L2+/L3/L4/L5"/>
    <s v="Sensor"/>
    <s v="Ultrasonic Sensor FR"/>
    <s v="Ultrasonic Sensor FR - Short Range Distance Measurement"/>
    <m/>
    <m/>
    <s v="-13;15"/>
    <s v="TE"/>
    <s v="0-1488991-6"/>
    <s v="3 Pos. MCON 1,2mm Sealed"/>
    <m/>
    <s v="No"/>
    <s v="Yes"/>
    <s v="Yes"/>
    <n v="0.05"/>
    <n v="0"/>
    <n v="0.05"/>
    <n v="0"/>
  </r>
  <r>
    <x v="694"/>
    <s v="37.0_ADAS &amp; AutomatedDriving"/>
    <s v="37.20_Parking-System"/>
    <s v="F0314"/>
    <s v="Parking Pilot, Valet Parking"/>
    <m/>
    <s v="Drive Assistance"/>
    <s v="Driver Assistance System"/>
    <s v="Short Range Distance Measurement"/>
    <s v="L1+/L2/L2+/L3/L4/L5"/>
    <s v="Sensor"/>
    <s v="Ultrasonic Sensor FR"/>
    <s v="Ultrasonic Sensor FR - Short Range Distance Measurement"/>
    <m/>
    <m/>
    <s v="-13;15"/>
    <s v="TE"/>
    <s v="0-1488991-6"/>
    <s v="3 Pos. MCON 1,2mm Sealed"/>
    <m/>
    <s v="No"/>
    <s v="No"/>
    <s v="Yes"/>
    <n v="0.05"/>
    <n v="0"/>
    <n v="0.05"/>
    <n v="0"/>
  </r>
  <r>
    <x v="694"/>
    <s v="37.0_ADAS &amp; AutomatedDriving"/>
    <s v="37.20_Parking-System"/>
    <s v="F0536"/>
    <s v="Parking Pilot, Trained Parking"/>
    <m/>
    <s v="Drive Assistance"/>
    <s v="Driver Assistance System"/>
    <s v="Short Range Distance Measurement"/>
    <s v="L1+/L2/L2+/L3/L4/L5"/>
    <s v="Sensor"/>
    <s v="Ultrasonic Sensor FR"/>
    <s v="Ultrasonic Sensor FR - Short Range Distance Measurement"/>
    <m/>
    <m/>
    <s v="-13;15"/>
    <s v="TE"/>
    <s v="0-1488991-6"/>
    <s v="3 Pos. MCON 1,2mm Sealed"/>
    <m/>
    <s v="No"/>
    <s v="No"/>
    <s v="Yes"/>
    <n v="0.05"/>
    <n v="0"/>
    <n v="0.05"/>
    <n v="0"/>
  </r>
  <r>
    <x v="694"/>
    <s v="37.0_ADAS &amp; AutomatedDriving"/>
    <s v="37.20_Parking-System"/>
    <s v="F1301"/>
    <s v="Drive Away Assist"/>
    <m/>
    <s v="Drive Assistance"/>
    <s v="Driver Assistance System"/>
    <s v="Short Range Distance Measurement"/>
    <s v="L1+/L2/L2+/L3/L4/L5"/>
    <s v="Sensor"/>
    <s v="Ultrasonic Sensor FR"/>
    <s v="Ultrasonic Sensor FR - Short Range Distance Measurement"/>
    <m/>
    <m/>
    <s v="-13;15"/>
    <s v="TE"/>
    <s v="0-1488991-6"/>
    <s v="3 Pos. MCON 1,2mm Sealed"/>
    <m/>
    <s v="No"/>
    <s v="No"/>
    <s v="Yes"/>
    <n v="0.05"/>
    <n v="0"/>
    <n v="0.05"/>
    <n v="0"/>
  </r>
  <r>
    <x v="694"/>
    <s v="37.0_ADAS &amp; AutomatedDriving"/>
    <s v="37.20_Parking-System"/>
    <s v="F1304"/>
    <s v="Park Assist, Side"/>
    <m/>
    <s v="Drive Assistance"/>
    <s v="Driver Assistance System"/>
    <s v="Short Range Distance Measurement"/>
    <s v="L1+/L2/L2+/L3/L4/L5"/>
    <s v="Sensor"/>
    <s v="Ultrasonic Sensor FR"/>
    <s v="Ultrasonic Sensor FR - Short Range Distance Measurement"/>
    <m/>
    <m/>
    <s v="-13;15"/>
    <s v="TE"/>
    <s v="0-1488991-6"/>
    <s v="3 Pos. MCON 1,2mm Sealed"/>
    <m/>
    <s v="No"/>
    <s v="Yes"/>
    <s v="Yes"/>
    <n v="0.05"/>
    <n v="0"/>
    <n v="0.05"/>
    <n v="0"/>
  </r>
  <r>
    <x v="694"/>
    <s v="37.0_ADAS &amp; AutomatedDriving"/>
    <s v="37.20_Parking-System"/>
    <s v="F2003"/>
    <s v="Automatic Parking Support"/>
    <m/>
    <s v="Drive Assistance"/>
    <s v="Driver Assistance System"/>
    <s v="Short Range Distance Measurement"/>
    <s v="L1+/L2/L2+/L3/L4/L5"/>
    <s v="Sensor"/>
    <s v="Ultrasonic Sensor FR"/>
    <s v="Ultrasonic Sensor FR - Short Range Distance Measurement"/>
    <m/>
    <m/>
    <s v="-13;15"/>
    <s v="TE"/>
    <s v="0-1488991-6"/>
    <s v="3 Pos. MCON 1,2mm Sealed"/>
    <m/>
    <s v="No"/>
    <s v="Yes"/>
    <s v="Yes"/>
    <n v="0.05"/>
    <n v="0"/>
    <n v="0.05"/>
    <n v="0"/>
  </r>
  <r>
    <x v="695"/>
    <s v="37.0_ADAS &amp; AutomatedDriving"/>
    <s v="37.20_Parking-System"/>
    <s v="F0155"/>
    <s v="Park Assist, Front"/>
    <m/>
    <s v="Drive Assistance"/>
    <s v="Driver Assistance System"/>
    <s v="Short Range Distance Measurement"/>
    <s v="L1+/L2/L2+/L3/L4/L5"/>
    <s v="Sensor"/>
    <s v="Ultrasonic Sensor FSR"/>
    <s v="Ultrasonic Sensor FSR - Short Range Distance Measurement"/>
    <m/>
    <m/>
    <s v="0;23"/>
    <s v="TE"/>
    <s v="0-1488991-6"/>
    <s v="3 Pos. MCON 1,2mm Sealed"/>
    <m/>
    <s v="No"/>
    <s v="Yes"/>
    <s v="Yes"/>
    <n v="0.05"/>
    <n v="0"/>
    <n v="0.05"/>
    <n v="0"/>
  </r>
  <r>
    <x v="695"/>
    <s v="37.0_ADAS &amp; AutomatedDriving"/>
    <s v="37.20_Parking-System"/>
    <s v="F0314"/>
    <s v="Parking Pilot, Valet Parking"/>
    <m/>
    <s v="Drive Assistance"/>
    <s v="Driver Assistance System"/>
    <s v="Short Range Distance Measurement"/>
    <s v="L1+/L2/L2+/L3/L4/L5"/>
    <s v="Sensor"/>
    <s v="Ultrasonic Sensor FSR"/>
    <s v="Ultrasonic Sensor FSR - Short Range Distance Measurement"/>
    <m/>
    <m/>
    <s v="0;23"/>
    <s v="TE"/>
    <s v="0-1488991-6"/>
    <s v="3 Pos. MCON 1,2mm Sealed"/>
    <m/>
    <s v="No"/>
    <s v="No"/>
    <s v="Yes"/>
    <n v="0.05"/>
    <n v="0"/>
    <n v="0.05"/>
    <n v="0"/>
  </r>
  <r>
    <x v="695"/>
    <s v="37.0_ADAS &amp; AutomatedDriving"/>
    <s v="37.20_Parking-System"/>
    <s v="F0536"/>
    <s v="Parking Pilot, Trained Parking"/>
    <m/>
    <s v="Drive Assistance"/>
    <s v="Driver Assistance System"/>
    <s v="Short Range Distance Measurement"/>
    <s v="L1+/L2/L2+/L3/L4/L5"/>
    <s v="Sensor"/>
    <s v="Ultrasonic Sensor FSR"/>
    <s v="Ultrasonic Sensor FSR - Short Range Distance Measurement"/>
    <m/>
    <m/>
    <s v="0;23"/>
    <s v="TE"/>
    <s v="0-1488991-6"/>
    <s v="3 Pos. MCON 1,2mm Sealed"/>
    <m/>
    <s v="No"/>
    <s v="No"/>
    <s v="Yes"/>
    <n v="0.05"/>
    <n v="0"/>
    <n v="0.05"/>
    <n v="0"/>
  </r>
  <r>
    <x v="695"/>
    <s v="37.0_ADAS &amp; AutomatedDriving"/>
    <s v="37.20_Parking-System"/>
    <s v="F1301"/>
    <s v="Drive Away Assist"/>
    <m/>
    <s v="Drive Assistance"/>
    <s v="Driver Assistance System"/>
    <s v="Short Range Distance Measurement"/>
    <s v="L1+/L2/L2+/L3/L4/L5"/>
    <s v="Sensor"/>
    <s v="Ultrasonic Sensor FSR"/>
    <s v="Ultrasonic Sensor FSR - Short Range Distance Measurement"/>
    <m/>
    <m/>
    <s v="0;23"/>
    <s v="TE"/>
    <s v="0-1488991-6"/>
    <s v="3 Pos. MCON 1,2mm Sealed"/>
    <m/>
    <s v="No"/>
    <s v="No"/>
    <s v="Yes"/>
    <n v="0.05"/>
    <n v="0"/>
    <n v="0.05"/>
    <n v="0"/>
  </r>
  <r>
    <x v="695"/>
    <s v="37.0_ADAS &amp; AutomatedDriving"/>
    <s v="37.20_Parking-System"/>
    <s v="F1304"/>
    <s v="Park Assist, Side"/>
    <m/>
    <s v="Drive Assistance"/>
    <s v="Driver Assistance System"/>
    <s v="Short Range Distance Measurement"/>
    <s v="L1+/L2/L2+/L3/L4/L5"/>
    <s v="Sensor"/>
    <s v="Ultrasonic Sensor FSR"/>
    <s v="Ultrasonic Sensor FSR - Short Range Distance Measurement"/>
    <m/>
    <m/>
    <s v="0;23"/>
    <s v="TE"/>
    <s v="0-1488991-6"/>
    <s v="3 Pos. MCON 1,2mm Sealed"/>
    <m/>
    <s v="No"/>
    <s v="Yes"/>
    <s v="Yes"/>
    <n v="0.05"/>
    <n v="0"/>
    <n v="0.05"/>
    <n v="0"/>
  </r>
  <r>
    <x v="695"/>
    <s v="37.0_ADAS &amp; AutomatedDriving"/>
    <s v="37.20_Parking-System"/>
    <s v="F2003"/>
    <s v="Automatic Parking Support"/>
    <m/>
    <s v="Drive Assistance"/>
    <s v="Driver Assistance System"/>
    <s v="Short Range Distance Measurement"/>
    <s v="L1+/L2/L2+/L3/L4/L5"/>
    <s v="Sensor"/>
    <s v="Ultrasonic Sensor FSR"/>
    <s v="Ultrasonic Sensor FSR - Short Range Distance Measurement"/>
    <m/>
    <m/>
    <s v="0;23"/>
    <s v="TE"/>
    <s v="0-1488991-6"/>
    <s v="3 Pos. MCON 1,2mm Sealed"/>
    <m/>
    <s v="No"/>
    <s v="Yes"/>
    <s v="Yes"/>
    <n v="0.05"/>
    <n v="0"/>
    <n v="0.05"/>
    <n v="0"/>
  </r>
  <r>
    <x v="696"/>
    <s v="37.0_ADAS &amp; AutomatedDriving"/>
    <s v="37.20_Parking-System"/>
    <s v="F0156"/>
    <s v="Park Assist, Rear"/>
    <m/>
    <s v="Drive Assistance"/>
    <s v="Driver Assistance System"/>
    <s v="Short Range Distance Measurement"/>
    <s v="L1+/L2/L2+/L3/L4/L5"/>
    <s v="Sensor"/>
    <s v="Ultrasonic Sensor RSL"/>
    <s v="Ultrasonic Sensor RSL - Short Range Distance Measurement"/>
    <m/>
    <m/>
    <s v="101;-21"/>
    <s v="TE"/>
    <s v="0-1488991-6"/>
    <s v="3 Pos. MCON 1,2mm Sealed"/>
    <m/>
    <s v="Yes"/>
    <s v="Yes"/>
    <s v="Yes"/>
    <n v="0.05"/>
    <n v="0"/>
    <n v="0.05"/>
    <n v="0"/>
  </r>
  <r>
    <x v="696"/>
    <s v="37.0_ADAS &amp; AutomatedDriving"/>
    <s v="37.20_Parking-System"/>
    <s v="F0314"/>
    <s v="Parking Pilot, Valet Parking"/>
    <m/>
    <s v="Drive Assistance"/>
    <s v="Driver Assistance System"/>
    <s v="Short Range Distance Measurement"/>
    <s v="L1+/L2/L2+/L3/L4/L5"/>
    <s v="Sensor"/>
    <s v="Ultrasonic Sensor RSL"/>
    <s v="Ultrasonic Sensor RSL - Short Range Distance Measurement"/>
    <m/>
    <m/>
    <s v="101;-21"/>
    <s v="TE"/>
    <s v="0-1488991-6"/>
    <s v="3 Pos. MCON 1,2mm Sealed"/>
    <m/>
    <s v="No"/>
    <s v="No"/>
    <s v="Yes"/>
    <n v="0.05"/>
    <n v="0"/>
    <n v="0.05"/>
    <n v="0"/>
  </r>
  <r>
    <x v="696"/>
    <s v="37.0_ADAS &amp; AutomatedDriving"/>
    <s v="37.20_Parking-System"/>
    <s v="F0536"/>
    <s v="Parking Pilot, Trained Parking"/>
    <m/>
    <s v="Drive Assistance"/>
    <s v="Driver Assistance System"/>
    <s v="Short Range Distance Measurement"/>
    <s v="L1+/L2/L2+/L3/L4/L5"/>
    <s v="Sensor"/>
    <s v="Ultrasonic Sensor RSL"/>
    <s v="Ultrasonic Sensor RSL - Short Range Distance Measurement"/>
    <m/>
    <m/>
    <s v="101;-21"/>
    <s v="TE"/>
    <s v="0-1488991-6"/>
    <s v="3 Pos. MCON 1,2mm Sealed"/>
    <m/>
    <s v="No"/>
    <s v="No"/>
    <s v="Yes"/>
    <n v="0.05"/>
    <n v="0"/>
    <n v="0.05"/>
    <n v="0"/>
  </r>
  <r>
    <x v="696"/>
    <s v="37.0_ADAS &amp; AutomatedDriving"/>
    <s v="37.20_Parking-System"/>
    <s v="F1301"/>
    <s v="Drive Away Assist"/>
    <m/>
    <s v="Drive Assistance"/>
    <s v="Driver Assistance System"/>
    <s v="Short Range Distance Measurement"/>
    <s v="L1+/L2/L2+/L3/L4/L5"/>
    <s v="Sensor"/>
    <s v="Ultrasonic Sensor RSL"/>
    <s v="Ultrasonic Sensor RSL - Short Range Distance Measurement"/>
    <m/>
    <m/>
    <s v="101;-21"/>
    <s v="TE"/>
    <s v="0-1488991-6"/>
    <s v="3 Pos. MCON 1,2mm Sealed"/>
    <m/>
    <s v="No"/>
    <s v="No"/>
    <s v="Yes"/>
    <n v="0.05"/>
    <n v="0"/>
    <n v="0.05"/>
    <n v="0"/>
  </r>
  <r>
    <x v="696"/>
    <s v="37.0_ADAS &amp; AutomatedDriving"/>
    <s v="37.20_Parking-System"/>
    <s v="F1304"/>
    <s v="Park Assist, Side"/>
    <m/>
    <s v="Drive Assistance"/>
    <s v="Driver Assistance System"/>
    <s v="Short Range Distance Measurement"/>
    <s v="L1+/L2/L2+/L3/L4/L5"/>
    <s v="Sensor"/>
    <s v="Ultrasonic Sensor RSL"/>
    <s v="Ultrasonic Sensor RSL - Short Range Distance Measurement"/>
    <m/>
    <m/>
    <s v="101;-21"/>
    <s v="TE"/>
    <s v="0-1488991-6"/>
    <s v="3 Pos. MCON 1,2mm Sealed"/>
    <m/>
    <s v="No"/>
    <s v="Yes"/>
    <s v="Yes"/>
    <n v="0.05"/>
    <n v="0"/>
    <n v="0.05"/>
    <n v="0"/>
  </r>
  <r>
    <x v="696"/>
    <s v="37.0_ADAS &amp; AutomatedDriving"/>
    <s v="37.20_Parking-System"/>
    <s v="F2003"/>
    <s v="Automatic Parking Support"/>
    <m/>
    <s v="Drive Assistance"/>
    <s v="Driver Assistance System"/>
    <s v="Short Range Distance Measurement"/>
    <s v="L1+/L2/L2+/L3/L4/L5"/>
    <s v="Sensor"/>
    <s v="Ultrasonic Sensor RSL"/>
    <s v="Ultrasonic Sensor RSL - Short Range Distance Measurement"/>
    <m/>
    <m/>
    <s v="101;-21"/>
    <s v="TE"/>
    <s v="0-1488991-6"/>
    <s v="3 Pos. MCON 1,2mm Sealed"/>
    <m/>
    <s v="No"/>
    <s v="Yes"/>
    <s v="Yes"/>
    <n v="0.05"/>
    <n v="0"/>
    <n v="0.05"/>
    <n v="0"/>
  </r>
  <r>
    <x v="697"/>
    <s v="37.0_ADAS &amp; AutomatedDriving"/>
    <s v="37.02_Alerting-System"/>
    <s v="F0594"/>
    <s v="Object Detection, Highway"/>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20_Parking-System"/>
    <s v="F0155"/>
    <s v="Park Assist, Front"/>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20_Parking-System"/>
    <s v="F0156"/>
    <s v="Park Assist, Rear"/>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20_Parking-System"/>
    <s v="F0314"/>
    <s v="Parking Pilot, Valet Parking"/>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20_Parking-System"/>
    <s v="F0536"/>
    <s v="Parking Pilot, Trained Parking"/>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20_Parking-System"/>
    <s v="F1301"/>
    <s v="Drive Away Assist"/>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20_Parking-System"/>
    <s v="F1304"/>
    <s v="Park Assist, Side"/>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20_Parking-System"/>
    <s v="F2003"/>
    <s v="Automatic Parking Support"/>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30_Piloting-System"/>
    <s v="F0332"/>
    <s v="Pilot, Traffic Jam"/>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30_Piloting-System"/>
    <s v="F0335"/>
    <s v="Pilot, Highway"/>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30_Piloting-System"/>
    <s v="F0337"/>
    <s v="Pilot, City"/>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30_Piloting-System"/>
    <s v="F0651"/>
    <s v="Pilot, Country Road"/>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30_Piloting-System"/>
    <s v="F0915"/>
    <s v="Pilot, Rush Hour"/>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30_Piloting-System"/>
    <s v="F1042"/>
    <s v="Pilot, Remote Operation"/>
    <m/>
    <s v="Drive Assistance"/>
    <s v="Driver Assistance System"/>
    <s v="Long Range Distance Measurement"/>
    <s v="L4"/>
    <s v="Lidar"/>
    <s v="Front Lidar"/>
    <s v="Front Lidar - Long Range Distance Measurement"/>
    <m/>
    <m/>
    <s v="-14;0"/>
    <s v="TE"/>
    <s v="0-1823853-1"/>
    <s v="5 Pos. HSD Ass'y Sealed"/>
    <m/>
    <s v="No"/>
    <s v="No"/>
    <s v="Yes"/>
    <n v="1"/>
    <n v="1"/>
    <n v="1"/>
    <n v="1"/>
  </r>
  <r>
    <x v="697"/>
    <s v="37.0_ADAS &amp; AutomatedDriving"/>
    <s v="37.30_Piloting-System"/>
    <s v="F1105"/>
    <s v="Pilot, Data Storage System For Automated Driving (DSSAD)"/>
    <m/>
    <s v="Drive Assistance"/>
    <s v="Driver Assistance System"/>
    <s v="Long Range Distance Measurement"/>
    <s v="L4"/>
    <s v="Lidar"/>
    <s v="Front Lidar"/>
    <s v="Front Lidar - Long Range Distance Measurement"/>
    <m/>
    <m/>
    <s v="-14;0"/>
    <s v="TE"/>
    <s v="0-1823853-1"/>
    <s v="5 Pos. HSD Ass'y Sealed"/>
    <m/>
    <s v="No"/>
    <s v="No"/>
    <s v="Yes"/>
    <n v="1"/>
    <n v="1"/>
    <n v="1"/>
    <n v="1"/>
  </r>
  <r>
    <x v="698"/>
    <s v="37.0_ADAS &amp; AutomatedDriving"/>
    <s v="37.02_Alerting-System"/>
    <s v="F0594"/>
    <s v="Object Detection, Highway"/>
    <m/>
    <s v="Drive Assistance"/>
    <s v="Automated Driving"/>
    <s v="Environment Mapping"/>
    <s v="L4/L5"/>
    <s v="Lidar"/>
    <s v="Lidar_SRL2"/>
    <s v="Lidar_SRL2 - Environment Mapping"/>
    <m/>
    <m/>
    <s v="19;23"/>
    <s v="TE"/>
    <s v="0-1823853-1"/>
    <s v="5 Pos. HSD Ass'y Sealed"/>
    <m/>
    <s v="No"/>
    <s v="No"/>
    <s v="No"/>
    <n v="1"/>
    <n v="1"/>
    <n v="1"/>
    <n v="1"/>
  </r>
  <r>
    <x v="698"/>
    <s v="37.0_ADAS &amp; AutomatedDriving"/>
    <s v="37.11_EBA-System"/>
    <s v="F0136"/>
    <s v="EBA, Junction Assist &amp; Turn Across"/>
    <m/>
    <s v="Drive Assistance"/>
    <s v="Automated Driving"/>
    <s v="Environment Mapping"/>
    <s v="L4/L5"/>
    <s v="Lidar"/>
    <s v="Lidar_SRL2"/>
    <s v="Lidar_SRL2 - Environment Mapping"/>
    <m/>
    <m/>
    <s v="19;23"/>
    <s v="TE"/>
    <s v="0-1823853-1"/>
    <s v="5 Pos. HSD Ass'y Sealed"/>
    <m/>
    <s v="No"/>
    <s v="No"/>
    <s v="No"/>
    <n v="1"/>
    <n v="1"/>
    <n v="1"/>
    <n v="1"/>
  </r>
  <r>
    <x v="698"/>
    <s v="37.0_ADAS &amp; AutomatedDriving"/>
    <s v="37.20_Parking-System"/>
    <s v="F0155"/>
    <s v="Park Assist, Front"/>
    <m/>
    <s v="Drive Assistance"/>
    <s v="Automated Driving"/>
    <s v="Environment Mapping"/>
    <s v="L4/L5"/>
    <s v="Lidar"/>
    <s v="Lidar_SRL2"/>
    <s v="Lidar_SRL2 - Environment Mapping"/>
    <m/>
    <m/>
    <s v="19;23"/>
    <s v="TE"/>
    <s v="0-1823853-1"/>
    <s v="5 Pos. HSD Ass'y Sealed"/>
    <m/>
    <s v="No"/>
    <s v="No"/>
    <s v="No"/>
    <n v="1"/>
    <n v="1"/>
    <n v="1"/>
    <n v="1"/>
  </r>
  <r>
    <x v="698"/>
    <s v="37.0_ADAS &amp; AutomatedDriving"/>
    <s v="37.20_Parking-System"/>
    <s v="F0156"/>
    <s v="Park Assist, Rear"/>
    <m/>
    <s v="Drive Assistance"/>
    <s v="Automated Driving"/>
    <s v="Environment Mapping"/>
    <s v="L4/L5"/>
    <s v="Lidar"/>
    <s v="Lidar_SRL2"/>
    <s v="Lidar_SRL2 - Environment Mapping"/>
    <m/>
    <m/>
    <s v="19;23"/>
    <s v="TE"/>
    <s v="0-1823853-1"/>
    <s v="5 Pos. HSD Ass'y Sealed"/>
    <m/>
    <s v="No"/>
    <s v="No"/>
    <s v="No"/>
    <n v="1"/>
    <n v="1"/>
    <n v="1"/>
    <n v="1"/>
  </r>
  <r>
    <x v="698"/>
    <s v="37.0_ADAS &amp; AutomatedDriving"/>
    <s v="37.20_Parking-System"/>
    <s v="F0314"/>
    <s v="Parking Pilot, Valet Parking"/>
    <m/>
    <s v="Drive Assistance"/>
    <s v="Automated Driving"/>
    <s v="Environment Mapping"/>
    <s v="L4/L5"/>
    <s v="Lidar"/>
    <s v="Lidar_SRL2"/>
    <s v="Lidar_SRL2 - Environment Mapping"/>
    <m/>
    <m/>
    <s v="19;23"/>
    <s v="TE"/>
    <s v="0-1823853-1"/>
    <s v="5 Pos. HSD Ass'y Sealed"/>
    <m/>
    <s v="No"/>
    <s v="No"/>
    <s v="No"/>
    <n v="1"/>
    <n v="1"/>
    <n v="1"/>
    <n v="1"/>
  </r>
  <r>
    <x v="698"/>
    <s v="37.0_ADAS &amp; AutomatedDriving"/>
    <s v="37.20_Parking-System"/>
    <s v="F0536"/>
    <s v="Parking Pilot, Trained Parking"/>
    <m/>
    <s v="Drive Assistance"/>
    <s v="Automated Driving"/>
    <s v="Environment Mapping"/>
    <s v="L4/L5"/>
    <s v="Lidar"/>
    <s v="Lidar_SRL2"/>
    <s v="Lidar_SRL2 - Environment Mapping"/>
    <m/>
    <m/>
    <s v="19;23"/>
    <s v="TE"/>
    <s v="0-1823853-1"/>
    <s v="5 Pos. HSD Ass'y Sealed"/>
    <m/>
    <s v="No"/>
    <s v="No"/>
    <s v="No"/>
    <n v="1"/>
    <n v="1"/>
    <n v="1"/>
    <n v="1"/>
  </r>
  <r>
    <x v="698"/>
    <s v="37.0_ADAS &amp; AutomatedDriving"/>
    <s v="37.20_Parking-System"/>
    <s v="F1301"/>
    <s v="Drive Away Assist"/>
    <m/>
    <s v="Drive Assistance"/>
    <s v="Automated Driving"/>
    <s v="Environment Mapping"/>
    <s v="L4/L5"/>
    <s v="Lidar"/>
    <s v="Lidar_SRL2"/>
    <s v="Lidar_SRL2 - Environment Mapping"/>
    <m/>
    <m/>
    <s v="19;23"/>
    <s v="TE"/>
    <s v="0-1823853-1"/>
    <s v="5 Pos. HSD Ass'y Sealed"/>
    <m/>
    <s v="No"/>
    <s v="No"/>
    <s v="No"/>
    <n v="1"/>
    <n v="1"/>
    <n v="1"/>
    <n v="1"/>
  </r>
  <r>
    <x v="698"/>
    <s v="37.0_ADAS &amp; AutomatedDriving"/>
    <s v="37.20_Parking-System"/>
    <s v="F1304"/>
    <s v="Park Assist, Side"/>
    <m/>
    <s v="Drive Assistance"/>
    <s v="Automated Driving"/>
    <s v="Environment Mapping"/>
    <s v="L4/L5"/>
    <s v="Lidar"/>
    <s v="Lidar_SRL2"/>
    <s v="Lidar_SRL2 - Environment Mapping"/>
    <m/>
    <m/>
    <s v="19;23"/>
    <s v="TE"/>
    <s v="0-1823853-1"/>
    <s v="5 Pos. HSD Ass'y Sealed"/>
    <m/>
    <s v="No"/>
    <s v="No"/>
    <s v="No"/>
    <n v="1"/>
    <n v="1"/>
    <n v="1"/>
    <n v="1"/>
  </r>
  <r>
    <x v="698"/>
    <s v="37.0_ADAS &amp; AutomatedDriving"/>
    <s v="37.20_Parking-System"/>
    <s v="F2003"/>
    <s v="Automatic Parking Support"/>
    <m/>
    <s v="Drive Assistance"/>
    <s v="Automated Driving"/>
    <s v="Environment Mapping"/>
    <s v="L4/L5"/>
    <s v="Lidar"/>
    <s v="Lidar_SRL2"/>
    <s v="Lidar_SRL2 - Environment Mapping"/>
    <m/>
    <m/>
    <s v="19;23"/>
    <s v="TE"/>
    <s v="0-1823853-1"/>
    <s v="5 Pos. HSD Ass'y Sealed"/>
    <m/>
    <s v="No"/>
    <s v="No"/>
    <s v="No"/>
    <n v="1"/>
    <n v="1"/>
    <n v="1"/>
    <n v="1"/>
  </r>
  <r>
    <x v="698"/>
    <s v="37.0_ADAS &amp; AutomatedDriving"/>
    <s v="37.30_Piloting-System"/>
    <s v="F0332"/>
    <s v="Pilot, Traffic Jam"/>
    <m/>
    <s v="Drive Assistance"/>
    <s v="Automated Driving"/>
    <s v="Environment Mapping"/>
    <s v="L4/L5"/>
    <s v="Lidar"/>
    <s v="Lidar_SRL2"/>
    <s v="Lidar_SRL2 - Environment Mapping"/>
    <m/>
    <m/>
    <s v="19;23"/>
    <s v="TE"/>
    <s v="0-1823853-1"/>
    <s v="5 Pos. HSD Ass'y Sealed"/>
    <m/>
    <s v="No"/>
    <s v="No"/>
    <s v="No"/>
    <n v="1"/>
    <n v="1"/>
    <n v="1"/>
    <n v="1"/>
  </r>
  <r>
    <x v="698"/>
    <s v="37.0_ADAS &amp; AutomatedDriving"/>
    <s v="37.30_Piloting-System"/>
    <s v="F0335"/>
    <s v="Pilot, Highway"/>
    <m/>
    <s v="Drive Assistance"/>
    <s v="Automated Driving"/>
    <s v="Environment Mapping"/>
    <s v="L4/L5"/>
    <s v="Lidar"/>
    <s v="Lidar_SRL2"/>
    <s v="Lidar_SRL2 - Environment Mapping"/>
    <m/>
    <m/>
    <s v="19;23"/>
    <s v="TE"/>
    <s v="0-1823853-1"/>
    <s v="5 Pos. HSD Ass'y Sealed"/>
    <m/>
    <s v="No"/>
    <s v="No"/>
    <s v="No"/>
    <n v="1"/>
    <n v="1"/>
    <n v="1"/>
    <n v="1"/>
  </r>
  <r>
    <x v="698"/>
    <s v="37.0_ADAS &amp; AutomatedDriving"/>
    <s v="37.30_Piloting-System"/>
    <s v="F0337"/>
    <s v="Pilot, City"/>
    <m/>
    <s v="Drive Assistance"/>
    <s v="Automated Driving"/>
    <s v="Environment Mapping"/>
    <s v="L4/L5"/>
    <s v="Lidar"/>
    <s v="Lidar_SRL2"/>
    <s v="Lidar_SRL2 - Environment Mapping"/>
    <m/>
    <m/>
    <s v="19;23"/>
    <s v="TE"/>
    <s v="0-1823853-1"/>
    <s v="5 Pos. HSD Ass'y Sealed"/>
    <m/>
    <s v="No"/>
    <s v="No"/>
    <s v="No"/>
    <n v="1"/>
    <n v="1"/>
    <n v="1"/>
    <n v="1"/>
  </r>
  <r>
    <x v="698"/>
    <s v="37.0_ADAS &amp; AutomatedDriving"/>
    <s v="37.30_Piloting-System"/>
    <s v="F0651"/>
    <s v="Pilot, Country Road"/>
    <m/>
    <s v="Drive Assistance"/>
    <s v="Automated Driving"/>
    <s v="Environment Mapping"/>
    <s v="L4/L5"/>
    <s v="Lidar"/>
    <s v="Lidar_SRL2"/>
    <s v="Lidar_SRL2 - Environment Mapping"/>
    <m/>
    <m/>
    <s v="19;23"/>
    <s v="TE"/>
    <s v="0-1823853-1"/>
    <s v="5 Pos. HSD Ass'y Sealed"/>
    <m/>
    <s v="No"/>
    <s v="No"/>
    <s v="No"/>
    <n v="1"/>
    <n v="1"/>
    <n v="1"/>
    <n v="1"/>
  </r>
  <r>
    <x v="698"/>
    <s v="37.0_ADAS &amp; AutomatedDriving"/>
    <s v="37.30_Piloting-System"/>
    <s v="F0915"/>
    <s v="Pilot, Rush Hour"/>
    <m/>
    <s v="Drive Assistance"/>
    <s v="Automated Driving"/>
    <s v="Environment Mapping"/>
    <s v="L4/L5"/>
    <s v="Lidar"/>
    <s v="Lidar_SRL2"/>
    <s v="Lidar_SRL2 - Environment Mapping"/>
    <m/>
    <m/>
    <s v="19;23"/>
    <s v="TE"/>
    <s v="0-1823853-1"/>
    <s v="5 Pos. HSD Ass'y Sealed"/>
    <m/>
    <s v="No"/>
    <s v="No"/>
    <s v="No"/>
    <n v="1"/>
    <n v="1"/>
    <n v="1"/>
    <n v="1"/>
  </r>
  <r>
    <x v="698"/>
    <s v="37.0_ADAS &amp; AutomatedDriving"/>
    <s v="37.30_Piloting-System"/>
    <s v="F1042"/>
    <s v="Pilot, Remote Operation"/>
    <m/>
    <s v="Drive Assistance"/>
    <s v="Automated Driving"/>
    <s v="Environment Mapping"/>
    <s v="L4/L5"/>
    <s v="Lidar"/>
    <s v="Lidar_SRL2"/>
    <s v="Lidar_SRL2 - Environment Mapping"/>
    <m/>
    <m/>
    <s v="19;23"/>
    <s v="TE"/>
    <s v="0-1823853-1"/>
    <s v="5 Pos. HSD Ass'y Sealed"/>
    <m/>
    <s v="No"/>
    <s v="No"/>
    <s v="No"/>
    <n v="1"/>
    <n v="1"/>
    <n v="1"/>
    <n v="1"/>
  </r>
  <r>
    <x v="698"/>
    <s v="37.0_ADAS &amp; AutomatedDriving"/>
    <s v="37.30_Piloting-System"/>
    <s v="F1105"/>
    <s v="Pilot, Data Storage System For Automated Driving (DSSAD)"/>
    <m/>
    <s v="Drive Assistance"/>
    <s v="Automated Driving"/>
    <s v="Environment Mapping"/>
    <s v="L4/L5"/>
    <s v="Lidar"/>
    <s v="Lidar_SRL2"/>
    <s v="Lidar_SRL2 - Environment Mapping"/>
    <m/>
    <m/>
    <s v="19;23"/>
    <s v="TE"/>
    <s v="0-1823853-1"/>
    <s v="5 Pos. HSD Ass'y Sealed"/>
    <m/>
    <s v="No"/>
    <s v="No"/>
    <s v="No"/>
    <n v="1"/>
    <n v="1"/>
    <n v="1"/>
    <n v="1"/>
  </r>
  <r>
    <x v="699"/>
    <s v="37.0_ADAS &amp; AutomatedDriving"/>
    <s v="37.11_EBA-System"/>
    <s v="F0136"/>
    <s v="EBA, Junction Assist &amp; Turn Across"/>
    <m/>
    <s v="Drive Assistance"/>
    <s v="Automated Driving"/>
    <s v="Environment Mapping"/>
    <s v="L4/L5"/>
    <s v="Lidar"/>
    <s v="Lidar_SRL3"/>
    <s v="Lidar_SRL3 - Environment Mapping"/>
    <m/>
    <m/>
    <s v="113;0"/>
    <s v="TE"/>
    <s v="0-1823853-1"/>
    <s v="5 Pos. HSD Ass'y Sealed"/>
    <m/>
    <s v="No"/>
    <s v="No"/>
    <s v="No"/>
    <n v="1"/>
    <n v="1"/>
    <n v="1"/>
    <n v="1"/>
  </r>
  <r>
    <x v="699"/>
    <s v="37.0_ADAS &amp; AutomatedDriving"/>
    <s v="37.20_Parking-System"/>
    <s v="F0155"/>
    <s v="Park Assist, Front"/>
    <m/>
    <s v="Drive Assistance"/>
    <s v="Automated Driving"/>
    <s v="Environment Mapping"/>
    <s v="L4/L5"/>
    <s v="Lidar"/>
    <s v="Lidar_SRL3"/>
    <s v="Lidar_SRL3 - Environment Mapping"/>
    <m/>
    <m/>
    <s v="113;0"/>
    <s v="TE"/>
    <s v="0-1823853-1"/>
    <s v="5 Pos. HSD Ass'y Sealed"/>
    <m/>
    <s v="No"/>
    <s v="No"/>
    <s v="No"/>
    <n v="1"/>
    <n v="1"/>
    <n v="1"/>
    <n v="1"/>
  </r>
  <r>
    <x v="699"/>
    <s v="37.0_ADAS &amp; AutomatedDriving"/>
    <s v="37.20_Parking-System"/>
    <s v="F0156"/>
    <s v="Park Assist, Rear"/>
    <m/>
    <s v="Drive Assistance"/>
    <s v="Automated Driving"/>
    <s v="Environment Mapping"/>
    <s v="L4/L5"/>
    <s v="Lidar"/>
    <s v="Lidar_SRL3"/>
    <s v="Lidar_SRL3 - Environment Mapping"/>
    <m/>
    <m/>
    <s v="113;0"/>
    <s v="TE"/>
    <s v="0-1823853-1"/>
    <s v="5 Pos. HSD Ass'y Sealed"/>
    <m/>
    <s v="No"/>
    <s v="No"/>
    <s v="No"/>
    <n v="1"/>
    <n v="1"/>
    <n v="1"/>
    <n v="1"/>
  </r>
  <r>
    <x v="699"/>
    <s v="37.0_ADAS &amp; AutomatedDriving"/>
    <s v="37.20_Parking-System"/>
    <s v="F0314"/>
    <s v="Parking Pilot, Valet Parking"/>
    <m/>
    <s v="Drive Assistance"/>
    <s v="Automated Driving"/>
    <s v="Environment Mapping"/>
    <s v="L4/L5"/>
    <s v="Lidar"/>
    <s v="Lidar_SRL3"/>
    <s v="Lidar_SRL3 - Environment Mapping"/>
    <m/>
    <m/>
    <s v="113;0"/>
    <s v="TE"/>
    <s v="0-1823853-1"/>
    <s v="5 Pos. HSD Ass'y Sealed"/>
    <m/>
    <s v="No"/>
    <s v="No"/>
    <s v="No"/>
    <n v="1"/>
    <n v="1"/>
    <n v="1"/>
    <n v="1"/>
  </r>
  <r>
    <x v="699"/>
    <s v="37.0_ADAS &amp; AutomatedDriving"/>
    <s v="37.20_Parking-System"/>
    <s v="F0536"/>
    <s v="Parking Pilot, Trained Parking"/>
    <m/>
    <s v="Drive Assistance"/>
    <s v="Automated Driving"/>
    <s v="Environment Mapping"/>
    <s v="L4/L5"/>
    <s v="Lidar"/>
    <s v="Lidar_SRL3"/>
    <s v="Lidar_SRL3 - Environment Mapping"/>
    <m/>
    <m/>
    <s v="113;0"/>
    <s v="TE"/>
    <s v="0-1823853-1"/>
    <s v="5 Pos. HSD Ass'y Sealed"/>
    <m/>
    <s v="No"/>
    <s v="No"/>
    <s v="No"/>
    <n v="1"/>
    <n v="1"/>
    <n v="1"/>
    <n v="1"/>
  </r>
  <r>
    <x v="699"/>
    <s v="37.0_ADAS &amp; AutomatedDriving"/>
    <s v="37.20_Parking-System"/>
    <s v="F1301"/>
    <s v="Drive Away Assist"/>
    <m/>
    <s v="Drive Assistance"/>
    <s v="Automated Driving"/>
    <s v="Environment Mapping"/>
    <s v="L4/L5"/>
    <s v="Lidar"/>
    <s v="Lidar_SRL3"/>
    <s v="Lidar_SRL3 - Environment Mapping"/>
    <m/>
    <m/>
    <s v="113;0"/>
    <s v="TE"/>
    <s v="0-1823853-1"/>
    <s v="5 Pos. HSD Ass'y Sealed"/>
    <m/>
    <s v="No"/>
    <s v="No"/>
    <s v="No"/>
    <n v="1"/>
    <n v="1"/>
    <n v="1"/>
    <n v="1"/>
  </r>
  <r>
    <x v="699"/>
    <s v="37.0_ADAS &amp; AutomatedDriving"/>
    <s v="37.20_Parking-System"/>
    <s v="F1304"/>
    <s v="Park Assist, Side"/>
    <m/>
    <s v="Drive Assistance"/>
    <s v="Automated Driving"/>
    <s v="Environment Mapping"/>
    <s v="L4/L5"/>
    <s v="Lidar"/>
    <s v="Lidar_SRL3"/>
    <s v="Lidar_SRL3 - Environment Mapping"/>
    <m/>
    <m/>
    <s v="113;0"/>
    <s v="TE"/>
    <s v="0-1823853-1"/>
    <s v="5 Pos. HSD Ass'y Sealed"/>
    <m/>
    <s v="No"/>
    <s v="No"/>
    <s v="No"/>
    <n v="1"/>
    <n v="1"/>
    <n v="1"/>
    <n v="1"/>
  </r>
  <r>
    <x v="699"/>
    <s v="37.0_ADAS &amp; AutomatedDriving"/>
    <s v="37.20_Parking-System"/>
    <s v="F2003"/>
    <s v="Automatic Parking Support"/>
    <m/>
    <s v="Drive Assistance"/>
    <s v="Automated Driving"/>
    <s v="Environment Mapping"/>
    <s v="L4/L5"/>
    <s v="Lidar"/>
    <s v="Lidar_SRL3"/>
    <s v="Lidar_SRL3 - Environment Mapping"/>
    <m/>
    <m/>
    <s v="113;0"/>
    <s v="TE"/>
    <s v="0-1823853-1"/>
    <s v="5 Pos. HSD Ass'y Sealed"/>
    <m/>
    <s v="No"/>
    <s v="No"/>
    <s v="No"/>
    <n v="1"/>
    <n v="1"/>
    <n v="1"/>
    <n v="1"/>
  </r>
  <r>
    <x v="699"/>
    <s v="37.0_ADAS &amp; AutomatedDriving"/>
    <s v="37.30_Piloting-System"/>
    <s v="F0332"/>
    <s v="Pilot, Traffic Jam"/>
    <m/>
    <s v="Drive Assistance"/>
    <s v="Automated Driving"/>
    <s v="Environment Mapping"/>
    <s v="L4/L5"/>
    <s v="Lidar"/>
    <s v="Lidar_SRL3"/>
    <s v="Lidar_SRL3 - Environment Mapping"/>
    <m/>
    <m/>
    <s v="113;0"/>
    <s v="TE"/>
    <s v="0-1823853-1"/>
    <s v="5 Pos. HSD Ass'y Sealed"/>
    <m/>
    <s v="No"/>
    <s v="No"/>
    <s v="No"/>
    <n v="1"/>
    <n v="1"/>
    <n v="1"/>
    <n v="1"/>
  </r>
  <r>
    <x v="699"/>
    <s v="37.0_ADAS &amp; AutomatedDriving"/>
    <s v="37.30_Piloting-System"/>
    <s v="F0335"/>
    <s v="Pilot, Highway"/>
    <m/>
    <s v="Drive Assistance"/>
    <s v="Automated Driving"/>
    <s v="Environment Mapping"/>
    <s v="L4/L5"/>
    <s v="Lidar"/>
    <s v="Lidar_SRL3"/>
    <s v="Lidar_SRL3 - Environment Mapping"/>
    <m/>
    <m/>
    <s v="113;0"/>
    <s v="TE"/>
    <s v="0-1823853-1"/>
    <s v="5 Pos. HSD Ass'y Sealed"/>
    <m/>
    <s v="No"/>
    <s v="No"/>
    <s v="No"/>
    <n v="1"/>
    <n v="1"/>
    <n v="1"/>
    <n v="1"/>
  </r>
  <r>
    <x v="699"/>
    <s v="37.0_ADAS &amp; AutomatedDriving"/>
    <s v="37.30_Piloting-System"/>
    <s v="F0337"/>
    <s v="Pilot, City"/>
    <m/>
    <s v="Drive Assistance"/>
    <s v="Automated Driving"/>
    <s v="Environment Mapping"/>
    <s v="L4/L5"/>
    <s v="Lidar"/>
    <s v="Lidar_SRL3"/>
    <s v="Lidar_SRL3 - Environment Mapping"/>
    <m/>
    <m/>
    <s v="113;0"/>
    <s v="TE"/>
    <s v="0-1823853-1"/>
    <s v="5 Pos. HSD Ass'y Sealed"/>
    <m/>
    <s v="No"/>
    <s v="No"/>
    <s v="No"/>
    <n v="1"/>
    <n v="1"/>
    <n v="1"/>
    <n v="1"/>
  </r>
  <r>
    <x v="699"/>
    <s v="37.0_ADAS &amp; AutomatedDriving"/>
    <s v="37.30_Piloting-System"/>
    <s v="F0651"/>
    <s v="Pilot, Country Road"/>
    <m/>
    <s v="Drive Assistance"/>
    <s v="Automated Driving"/>
    <s v="Environment Mapping"/>
    <s v="L4/L5"/>
    <s v="Lidar"/>
    <s v="Lidar_SRL3"/>
    <s v="Lidar_SRL3 - Environment Mapping"/>
    <m/>
    <m/>
    <s v="113;0"/>
    <s v="TE"/>
    <s v="0-1823853-1"/>
    <s v="5 Pos. HSD Ass'y Sealed"/>
    <m/>
    <s v="No"/>
    <s v="No"/>
    <s v="No"/>
    <n v="1"/>
    <n v="1"/>
    <n v="1"/>
    <n v="1"/>
  </r>
  <r>
    <x v="699"/>
    <s v="37.0_ADAS &amp; AutomatedDriving"/>
    <s v="37.30_Piloting-System"/>
    <s v="F0915"/>
    <s v="Pilot, Rush Hour"/>
    <m/>
    <s v="Drive Assistance"/>
    <s v="Automated Driving"/>
    <s v="Environment Mapping"/>
    <s v="L4/L5"/>
    <s v="Lidar"/>
    <s v="Lidar_SRL3"/>
    <s v="Lidar_SRL3 - Environment Mapping"/>
    <m/>
    <m/>
    <s v="113;0"/>
    <s v="TE"/>
    <s v="0-1823853-1"/>
    <s v="5 Pos. HSD Ass'y Sealed"/>
    <m/>
    <s v="No"/>
    <s v="No"/>
    <s v="No"/>
    <n v="1"/>
    <n v="1"/>
    <n v="1"/>
    <n v="1"/>
  </r>
  <r>
    <x v="699"/>
    <s v="37.0_ADAS &amp; AutomatedDriving"/>
    <s v="37.30_Piloting-System"/>
    <s v="F1042"/>
    <s v="Pilot, Remote Operation"/>
    <m/>
    <s v="Drive Assistance"/>
    <s v="Automated Driving"/>
    <s v="Environment Mapping"/>
    <s v="L4/L5"/>
    <s v="Lidar"/>
    <s v="Lidar_SRL3"/>
    <s v="Lidar_SRL3 - Environment Mapping"/>
    <m/>
    <m/>
    <s v="113;0"/>
    <s v="TE"/>
    <s v="0-1823853-1"/>
    <s v="5 Pos. HSD Ass'y Sealed"/>
    <m/>
    <s v="No"/>
    <s v="No"/>
    <s v="No"/>
    <n v="1"/>
    <n v="1"/>
    <n v="1"/>
    <n v="1"/>
  </r>
  <r>
    <x v="699"/>
    <s v="37.0_ADAS &amp; AutomatedDriving"/>
    <s v="37.30_Piloting-System"/>
    <s v="F1105"/>
    <s v="Pilot, Data Storage System For Automated Driving (DSSAD)"/>
    <m/>
    <s v="Drive Assistance"/>
    <s v="Automated Driving"/>
    <s v="Environment Mapping"/>
    <s v="L4/L5"/>
    <s v="Lidar"/>
    <s v="Lidar_SRL3"/>
    <s v="Lidar_SRL3 - Environment Mapping"/>
    <m/>
    <m/>
    <s v="113;0"/>
    <s v="TE"/>
    <s v="0-1823853-1"/>
    <s v="5 Pos. HSD Ass'y Sealed"/>
    <m/>
    <s v="No"/>
    <s v="No"/>
    <s v="No"/>
    <n v="1"/>
    <n v="1"/>
    <n v="1"/>
    <n v="1"/>
  </r>
  <r>
    <x v="700"/>
    <s v="37.0_ADAS &amp; AutomatedDriving"/>
    <s v="37.02_Alerting-System"/>
    <s v="F0594"/>
    <s v="Object Detection, Highway"/>
    <m/>
    <s v="Drive Assistance"/>
    <s v="Automated Driving"/>
    <s v="Environment Mapping"/>
    <s v="L4/L5"/>
    <s v="Lidar"/>
    <s v="Lidar_SRL4"/>
    <s v="Lidar_SRL4 - Environment Mapping"/>
    <m/>
    <m/>
    <s v="19;-23"/>
    <s v="TE"/>
    <s v="0-1823853-1"/>
    <s v="5 Pos. HSD Ass'y Sealed"/>
    <m/>
    <s v="No"/>
    <s v="No"/>
    <s v="No"/>
    <n v="1"/>
    <n v="1"/>
    <n v="1"/>
    <n v="1"/>
  </r>
  <r>
    <x v="700"/>
    <s v="37.0_ADAS &amp; AutomatedDriving"/>
    <s v="37.11_EBA-System"/>
    <s v="F0136"/>
    <s v="EBA, Junction Assist &amp; Turn Across"/>
    <m/>
    <s v="Drive Assistance"/>
    <s v="Automated Driving"/>
    <s v="Environment Mapping"/>
    <s v="L4/L5"/>
    <s v="Lidar"/>
    <s v="Lidar_SRL4"/>
    <s v="Lidar_SRL4 - Environment Mapping"/>
    <m/>
    <m/>
    <s v="19;-23"/>
    <s v="TE"/>
    <s v="0-1823853-1"/>
    <s v="5 Pos. HSD Ass'y Sealed"/>
    <m/>
    <s v="No"/>
    <s v="No"/>
    <s v="No"/>
    <n v="1"/>
    <n v="1"/>
    <n v="1"/>
    <n v="1"/>
  </r>
  <r>
    <x v="700"/>
    <s v="37.0_ADAS &amp; AutomatedDriving"/>
    <s v="37.20_Parking-System"/>
    <s v="F0155"/>
    <s v="Park Assist, Front"/>
    <m/>
    <s v="Drive Assistance"/>
    <s v="Automated Driving"/>
    <s v="Environment Mapping"/>
    <s v="L4/L5"/>
    <s v="Lidar"/>
    <s v="Lidar_SRL4"/>
    <s v="Lidar_SRL4 - Environment Mapping"/>
    <m/>
    <m/>
    <s v="19;-23"/>
    <s v="TE"/>
    <s v="0-1823853-1"/>
    <s v="5 Pos. HSD Ass'y Sealed"/>
    <m/>
    <s v="No"/>
    <s v="No"/>
    <s v="No"/>
    <n v="1"/>
    <n v="1"/>
    <n v="1"/>
    <n v="1"/>
  </r>
  <r>
    <x v="700"/>
    <s v="37.0_ADAS &amp; AutomatedDriving"/>
    <s v="37.20_Parking-System"/>
    <s v="F0156"/>
    <s v="Park Assist, Rear"/>
    <m/>
    <s v="Drive Assistance"/>
    <s v="Automated Driving"/>
    <s v="Environment Mapping"/>
    <s v="L4/L5"/>
    <s v="Lidar"/>
    <s v="Lidar_SRL4"/>
    <s v="Lidar_SRL4 - Environment Mapping"/>
    <m/>
    <m/>
    <s v="19;-23"/>
    <s v="TE"/>
    <s v="0-1823853-1"/>
    <s v="5 Pos. HSD Ass'y Sealed"/>
    <m/>
    <s v="No"/>
    <s v="No"/>
    <s v="No"/>
    <n v="1"/>
    <n v="1"/>
    <n v="1"/>
    <n v="1"/>
  </r>
  <r>
    <x v="700"/>
    <s v="37.0_ADAS &amp; AutomatedDriving"/>
    <s v="37.20_Parking-System"/>
    <s v="F0314"/>
    <s v="Parking Pilot, Valet Parking"/>
    <m/>
    <s v="Drive Assistance"/>
    <s v="Automated Driving"/>
    <s v="Environment Mapping"/>
    <s v="L4/L5"/>
    <s v="Lidar"/>
    <s v="Lidar_SRL4"/>
    <s v="Lidar_SRL4 - Environment Mapping"/>
    <m/>
    <m/>
    <s v="19;-23"/>
    <s v="TE"/>
    <s v="0-1823853-1"/>
    <s v="5 Pos. HSD Ass'y Sealed"/>
    <m/>
    <s v="No"/>
    <s v="No"/>
    <s v="No"/>
    <n v="1"/>
    <n v="1"/>
    <n v="1"/>
    <n v="1"/>
  </r>
  <r>
    <x v="700"/>
    <s v="37.0_ADAS &amp; AutomatedDriving"/>
    <s v="37.20_Parking-System"/>
    <s v="F0536"/>
    <s v="Parking Pilot, Trained Parking"/>
    <m/>
    <s v="Drive Assistance"/>
    <s v="Automated Driving"/>
    <s v="Environment Mapping"/>
    <s v="L4/L5"/>
    <s v="Lidar"/>
    <s v="Lidar_SRL4"/>
    <s v="Lidar_SRL4 - Environment Mapping"/>
    <m/>
    <m/>
    <s v="19;-23"/>
    <s v="TE"/>
    <s v="0-1823853-1"/>
    <s v="5 Pos. HSD Ass'y Sealed"/>
    <m/>
    <s v="No"/>
    <s v="No"/>
    <s v="No"/>
    <n v="1"/>
    <n v="1"/>
    <n v="1"/>
    <n v="1"/>
  </r>
  <r>
    <x v="700"/>
    <s v="37.0_ADAS &amp; AutomatedDriving"/>
    <s v="37.20_Parking-System"/>
    <s v="F1301"/>
    <s v="Drive Away Assist"/>
    <m/>
    <s v="Drive Assistance"/>
    <s v="Automated Driving"/>
    <s v="Environment Mapping"/>
    <s v="L4/L5"/>
    <s v="Lidar"/>
    <s v="Lidar_SRL4"/>
    <s v="Lidar_SRL4 - Environment Mapping"/>
    <m/>
    <m/>
    <s v="19;-23"/>
    <s v="TE"/>
    <s v="0-1823853-1"/>
    <s v="5 Pos. HSD Ass'y Sealed"/>
    <m/>
    <s v="No"/>
    <s v="No"/>
    <s v="No"/>
    <n v="1"/>
    <n v="1"/>
    <n v="1"/>
    <n v="1"/>
  </r>
  <r>
    <x v="700"/>
    <s v="37.0_ADAS &amp; AutomatedDriving"/>
    <s v="37.20_Parking-System"/>
    <s v="F1304"/>
    <s v="Park Assist, Side"/>
    <m/>
    <s v="Drive Assistance"/>
    <s v="Automated Driving"/>
    <s v="Environment Mapping"/>
    <s v="L4/L5"/>
    <s v="Lidar"/>
    <s v="Lidar_SRL4"/>
    <s v="Lidar_SRL4 - Environment Mapping"/>
    <m/>
    <m/>
    <s v="19;-23"/>
    <s v="TE"/>
    <s v="0-1823853-1"/>
    <s v="5 Pos. HSD Ass'y Sealed"/>
    <m/>
    <s v="No"/>
    <s v="No"/>
    <s v="No"/>
    <n v="1"/>
    <n v="1"/>
    <n v="1"/>
    <n v="1"/>
  </r>
  <r>
    <x v="700"/>
    <s v="37.0_ADAS &amp; AutomatedDriving"/>
    <s v="37.20_Parking-System"/>
    <s v="F2003"/>
    <s v="Automatic Parking Support"/>
    <m/>
    <s v="Drive Assistance"/>
    <s v="Automated Driving"/>
    <s v="Environment Mapping"/>
    <s v="L4/L5"/>
    <s v="Lidar"/>
    <s v="Lidar_SRL4"/>
    <s v="Lidar_SRL4 - Environment Mapping"/>
    <m/>
    <m/>
    <s v="19;-23"/>
    <s v="TE"/>
    <s v="0-1823853-1"/>
    <s v="5 Pos. HSD Ass'y Sealed"/>
    <m/>
    <s v="No"/>
    <s v="No"/>
    <s v="No"/>
    <n v="1"/>
    <n v="1"/>
    <n v="1"/>
    <n v="1"/>
  </r>
  <r>
    <x v="700"/>
    <s v="37.0_ADAS &amp; AutomatedDriving"/>
    <s v="37.30_Piloting-System"/>
    <s v="F0332"/>
    <s v="Pilot, Traffic Jam"/>
    <m/>
    <s v="Drive Assistance"/>
    <s v="Automated Driving"/>
    <s v="Environment Mapping"/>
    <s v="L4/L5"/>
    <s v="Lidar"/>
    <s v="Lidar_SRL4"/>
    <s v="Lidar_SRL4 - Environment Mapping"/>
    <m/>
    <m/>
    <s v="19;-23"/>
    <s v="TE"/>
    <s v="0-1823853-1"/>
    <s v="5 Pos. HSD Ass'y Sealed"/>
    <m/>
    <s v="No"/>
    <s v="No"/>
    <s v="No"/>
    <n v="1"/>
    <n v="1"/>
    <n v="1"/>
    <n v="1"/>
  </r>
  <r>
    <x v="700"/>
    <s v="37.0_ADAS &amp; AutomatedDriving"/>
    <s v="37.30_Piloting-System"/>
    <s v="F0335"/>
    <s v="Pilot, Highway"/>
    <m/>
    <s v="Drive Assistance"/>
    <s v="Automated Driving"/>
    <s v="Environment Mapping"/>
    <s v="L4/L5"/>
    <s v="Lidar"/>
    <s v="Lidar_SRL4"/>
    <s v="Lidar_SRL4 - Environment Mapping"/>
    <m/>
    <m/>
    <s v="19;-23"/>
    <s v="TE"/>
    <s v="0-1823853-1"/>
    <s v="5 Pos. HSD Ass'y Sealed"/>
    <m/>
    <s v="No"/>
    <s v="No"/>
    <s v="No"/>
    <n v="1"/>
    <n v="1"/>
    <n v="1"/>
    <n v="1"/>
  </r>
  <r>
    <x v="700"/>
    <s v="37.0_ADAS &amp; AutomatedDriving"/>
    <s v="37.30_Piloting-System"/>
    <s v="F0337"/>
    <s v="Pilot, City"/>
    <m/>
    <s v="Drive Assistance"/>
    <s v="Automated Driving"/>
    <s v="Environment Mapping"/>
    <s v="L4/L5"/>
    <s v="Lidar"/>
    <s v="Lidar_SRL4"/>
    <s v="Lidar_SRL4 - Environment Mapping"/>
    <m/>
    <m/>
    <s v="19;-23"/>
    <s v="TE"/>
    <s v="0-1823853-1"/>
    <s v="5 Pos. HSD Ass'y Sealed"/>
    <m/>
    <s v="No"/>
    <s v="No"/>
    <s v="No"/>
    <n v="1"/>
    <n v="1"/>
    <n v="1"/>
    <n v="1"/>
  </r>
  <r>
    <x v="700"/>
    <s v="37.0_ADAS &amp; AutomatedDriving"/>
    <s v="37.30_Piloting-System"/>
    <s v="F0651"/>
    <s v="Pilot, Country Road"/>
    <m/>
    <s v="Drive Assistance"/>
    <s v="Automated Driving"/>
    <s v="Environment Mapping"/>
    <s v="L4/L5"/>
    <s v="Lidar"/>
    <s v="Lidar_SRL4"/>
    <s v="Lidar_SRL4 - Environment Mapping"/>
    <m/>
    <m/>
    <s v="19;-23"/>
    <s v="TE"/>
    <s v="0-1823853-1"/>
    <s v="5 Pos. HSD Ass'y Sealed"/>
    <m/>
    <s v="No"/>
    <s v="No"/>
    <s v="No"/>
    <n v="1"/>
    <n v="1"/>
    <n v="1"/>
    <n v="1"/>
  </r>
  <r>
    <x v="700"/>
    <s v="37.0_ADAS &amp; AutomatedDriving"/>
    <s v="37.30_Piloting-System"/>
    <s v="F0915"/>
    <s v="Pilot, Rush Hour"/>
    <m/>
    <s v="Drive Assistance"/>
    <s v="Automated Driving"/>
    <s v="Environment Mapping"/>
    <s v="L4/L5"/>
    <s v="Lidar"/>
    <s v="Lidar_SRL4"/>
    <s v="Lidar_SRL4 - Environment Mapping"/>
    <m/>
    <m/>
    <s v="19;-23"/>
    <s v="TE"/>
    <s v="0-1823853-1"/>
    <s v="5 Pos. HSD Ass'y Sealed"/>
    <m/>
    <s v="No"/>
    <s v="No"/>
    <s v="No"/>
    <n v="1"/>
    <n v="1"/>
    <n v="1"/>
    <n v="1"/>
  </r>
  <r>
    <x v="700"/>
    <s v="37.0_ADAS &amp; AutomatedDriving"/>
    <s v="37.30_Piloting-System"/>
    <s v="F1042"/>
    <s v="Pilot, Remote Operation"/>
    <m/>
    <s v="Drive Assistance"/>
    <s v="Automated Driving"/>
    <s v="Environment Mapping"/>
    <s v="L4/L5"/>
    <s v="Lidar"/>
    <s v="Lidar_SRL4"/>
    <s v="Lidar_SRL4 - Environment Mapping"/>
    <m/>
    <m/>
    <s v="19;-23"/>
    <s v="TE"/>
    <s v="0-1823853-1"/>
    <s v="5 Pos. HSD Ass'y Sealed"/>
    <m/>
    <s v="No"/>
    <s v="No"/>
    <s v="No"/>
    <n v="1"/>
    <n v="1"/>
    <n v="1"/>
    <n v="1"/>
  </r>
  <r>
    <x v="700"/>
    <s v="37.0_ADAS &amp; AutomatedDriving"/>
    <s v="37.30_Piloting-System"/>
    <s v="F1105"/>
    <s v="Pilot, Data Storage System For Automated Driving (DSSAD)"/>
    <m/>
    <s v="Drive Assistance"/>
    <s v="Automated Driving"/>
    <s v="Environment Mapping"/>
    <s v="L4/L5"/>
    <s v="Lidar"/>
    <s v="Lidar_SRL4"/>
    <s v="Lidar_SRL4 - Environment Mapping"/>
    <m/>
    <m/>
    <s v="19;-23"/>
    <s v="TE"/>
    <s v="0-1823853-1"/>
    <s v="5 Pos. HSD Ass'y Sealed"/>
    <m/>
    <s v="No"/>
    <s v="No"/>
    <s v="No"/>
    <n v="1"/>
    <n v="1"/>
    <n v="1"/>
    <n v="1"/>
  </r>
  <r>
    <x v="701"/>
    <s v="37.0_ADAS &amp; AutomatedDriving"/>
    <s v="37.02_Alerting-System"/>
    <s v="F1085"/>
    <s v="Object Detection, Siren Detection"/>
    <m/>
    <s v="Drive Assistance"/>
    <s v="Driver Assistance System"/>
    <s v="Sound Detection"/>
    <s v="Microphone Front Left"/>
    <s v="Actuator"/>
    <s v="Microphone Front Left"/>
    <s v="Microphone Front Left - Sound Detection"/>
    <m/>
    <m/>
    <s v="41;-3"/>
    <s v="TE"/>
    <s v="1-929080-5"/>
    <s v="2 Pos. MQS 0,63mm Unsealed"/>
    <m/>
    <s v="No"/>
    <s v="No"/>
    <s v="Yes"/>
    <n v="1"/>
    <n v="1"/>
    <n v="1"/>
    <n v="1"/>
  </r>
  <r>
    <x v="702"/>
    <s v="37.0_ADAS &amp; AutomatedDriving"/>
    <s v="37.02_Alerting-System"/>
    <s v="F1085"/>
    <s v="Object Detection, Siren Detection"/>
    <m/>
    <s v="Drive Assistance"/>
    <s v="Driver Assistance System"/>
    <s v="Sound Detection"/>
    <s v="Micropgone Front Middle"/>
    <s v="Actuator"/>
    <s v="Microphone Front Middle"/>
    <s v="Microphone Front Middle - Sound Detection"/>
    <m/>
    <m/>
    <s v="41;0"/>
    <s v="TE"/>
    <s v="1-929080-5"/>
    <s v="2 Pos. MQS 0,63mm Unsealed"/>
    <m/>
    <s v="No"/>
    <s v="No"/>
    <s v="Yes"/>
    <n v="1"/>
    <n v="1"/>
    <n v="1"/>
    <n v="1"/>
  </r>
  <r>
    <x v="703"/>
    <s v="37.0_ADAS &amp; AutomatedDriving"/>
    <s v="37.02_Alerting-System"/>
    <s v="F1085"/>
    <s v="Object Detection, Siren Detection"/>
    <m/>
    <s v="Drive Assistance"/>
    <s v="Driver Assistance System"/>
    <s v="Sound Detection"/>
    <s v="Microphone Front Right"/>
    <s v="Actuator"/>
    <s v="Microphone Front Right"/>
    <s v="Microphone Front Right - Sound Detection"/>
    <m/>
    <m/>
    <s v="41;3"/>
    <s v="TE"/>
    <s v="1-929080-5"/>
    <s v="2 Pos. MQS 0,63mm Unsealed"/>
    <m/>
    <s v="No"/>
    <s v="No"/>
    <s v="Yes"/>
    <n v="1"/>
    <n v="1"/>
    <n v="1"/>
    <n v="1"/>
  </r>
  <r>
    <x v="704"/>
    <s v="37.0_ADAS &amp; AutomatedDriving"/>
    <s v="37.02_Alerting-System"/>
    <s v="F1085"/>
    <s v="Object Detection, Siren Detection"/>
    <m/>
    <s v="Drive Assistance"/>
    <s v="Driver Assistance System"/>
    <s v="Sound Detection"/>
    <s v="Microphone Rear Left"/>
    <s v="Actuator"/>
    <s v="Microphone Rear Left"/>
    <s v="Microphone Rear Left - Sound Detection"/>
    <m/>
    <m/>
    <s v="80;-13"/>
    <s v="TE"/>
    <s v="1-929080-5"/>
    <s v="2 Pos. MQS 0,63mm Unsealed"/>
    <m/>
    <s v="No"/>
    <s v="No"/>
    <s v="Yes"/>
    <n v="1"/>
    <n v="1"/>
    <n v="1"/>
    <n v="1"/>
  </r>
  <r>
    <x v="705"/>
    <s v="37.0_ADAS &amp; AutomatedDriving"/>
    <s v="37.02_Alerting-System"/>
    <s v="F1085"/>
    <s v="Object Detection, Siren Detection"/>
    <m/>
    <s v="Drive Assistance"/>
    <s v="Driver Assistance System"/>
    <s v="Sound Detection"/>
    <s v="Microphone Rear Middle"/>
    <s v="Actuator"/>
    <s v="Microphone Rear Middle"/>
    <s v="Microphone Rear Middle - Sound Detection"/>
    <m/>
    <m/>
    <s v="62;0"/>
    <s v="TE"/>
    <s v="1-929080-5"/>
    <s v="2 Pos. MQS 0,63mm Unsealed"/>
    <m/>
    <s v="No"/>
    <s v="No"/>
    <s v="Yes"/>
    <n v="1"/>
    <n v="1"/>
    <n v="1"/>
    <n v="1"/>
  </r>
  <r>
    <x v="706"/>
    <s v="37.0_ADAS &amp; AutomatedDriving"/>
    <s v="37.02_Alerting-System"/>
    <s v="F1085"/>
    <s v="Object Detection, Siren Detection"/>
    <m/>
    <s v="Drive Assistance"/>
    <s v="Driver Assistance System"/>
    <s v="Sound Detection"/>
    <s v="Microphone Rear Right"/>
    <s v="Actuator"/>
    <s v="Microphone Rear Right"/>
    <s v="Microphone Rear Right - Sound Detection"/>
    <m/>
    <m/>
    <s v="80;13"/>
    <s v="TE"/>
    <s v="1-929080-5"/>
    <s v="2 Pos. MQS 0,63mm Unsealed"/>
    <m/>
    <s v="No"/>
    <s v="No"/>
    <s v="Yes"/>
    <n v="1"/>
    <n v="1"/>
    <n v="1"/>
    <n v="1"/>
  </r>
  <r>
    <x v="707"/>
    <s v="10.0_Comfort &amp; Exterior"/>
    <s v="10.30_OutsideLighting-System"/>
    <s v="F0097"/>
    <s v="Outside Lighting, Side Marker Front"/>
    <s v="QM"/>
    <s v="Body"/>
    <s v="External Illumination"/>
    <s v="Side Marker Front Right"/>
    <s v="FOG"/>
    <s v="Actuator"/>
    <s v="Bulb P5W"/>
    <s v="Bulb P5W - Side Marker Front Right"/>
    <m/>
    <m/>
    <s v="-1;23"/>
    <s v="TE"/>
    <s v="1-1670916-1"/>
    <s v="2 POS. MCON_SEALED"/>
    <s v="No"/>
    <s v="Yes"/>
    <s v="No"/>
    <s v="No"/>
    <n v="0"/>
    <n v="0"/>
    <n v="1"/>
    <n v="1"/>
  </r>
  <r>
    <x v="707"/>
    <s v="10.0_Comfort &amp; Exterior"/>
    <s v="10.30_OutsideLighting-System"/>
    <s v="F0097"/>
    <s v="Outside Lighting, Side Marker Front"/>
    <s v="QM"/>
    <s v="Body"/>
    <s v="External Illumination"/>
    <s v="Position Lamp Right"/>
    <s v="FOG"/>
    <s v="Actuator"/>
    <s v="Side Marker Bulb P5W"/>
    <s v="Side Marker Bulb P5W - Position Lamp Right"/>
    <m/>
    <m/>
    <s v="-1;23"/>
    <s v="TE"/>
    <s v="1-1670916-1"/>
    <s v="2 POS. MCON_SEALED"/>
    <s v="No"/>
    <s v="Yes"/>
    <s v="No"/>
    <s v="No"/>
    <n v="0"/>
    <n v="0"/>
    <n v="1"/>
    <n v="1"/>
  </r>
  <r>
    <x v="708"/>
    <s v="10.0_Comfort &amp; Exterior"/>
    <s v="10.30_OutsideLighting-System"/>
    <s v="F0619"/>
    <s v="Outside Lighting, Side Marker Rear"/>
    <s v="QM"/>
    <s v="Body"/>
    <s v="External Illumination"/>
    <s v="Side Marker Rear Left"/>
    <s v="Full LED"/>
    <s v="Actuator"/>
    <s v="LED Lamp"/>
    <s v="LED Lamp - Side Marker Rear Left"/>
    <m/>
    <m/>
    <s v="98;-22"/>
    <m/>
    <m/>
    <m/>
    <m/>
    <s v="No"/>
    <s v="Yes"/>
    <s v="Yes"/>
    <n v="0"/>
    <n v="0"/>
    <n v="1"/>
    <n v="1"/>
  </r>
  <r>
    <x v="708"/>
    <s v="10.0_Comfort &amp; Exterior"/>
    <s v="10.30_OutsideLighting-System"/>
    <s v="F0619"/>
    <s v="Outside Lighting, Side Marker Rear"/>
    <s v="QM"/>
    <s v="Body"/>
    <s v="External Illumination"/>
    <s v="Position Lamp Left"/>
    <s v="Full LED"/>
    <s v="Actuator"/>
    <s v="Side Marker LED Lamp"/>
    <s v="Side Marker LED Lamp - Position Lamp Left"/>
    <m/>
    <m/>
    <s v="98;-22"/>
    <m/>
    <m/>
    <m/>
    <m/>
    <s v="No"/>
    <s v="Yes"/>
    <s v="Yes"/>
    <n v="0"/>
    <n v="0"/>
    <n v="1"/>
    <n v="1"/>
  </r>
  <r>
    <x v="709"/>
    <s v="10.0_Comfort &amp; Exterior"/>
    <s v="10.30_OutsideLighting-System"/>
    <s v="F0229"/>
    <s v="Surround Lighting, Turning Light"/>
    <s v="B"/>
    <s v="Body"/>
    <s v="External Illumination"/>
    <s v="Side Blinker Right"/>
    <s v="Bulb"/>
    <s v="Actuator"/>
    <s v="P21W"/>
    <s v="P21W - Side Blinker Right"/>
    <m/>
    <m/>
    <s v="21;23"/>
    <m/>
    <m/>
    <m/>
    <m/>
    <m/>
    <m/>
    <m/>
    <m/>
    <m/>
    <m/>
    <m/>
  </r>
  <r>
    <x v="709"/>
    <s v="10.0_Comfort &amp; Exterior"/>
    <s v="10.30_OutsideLighting-System"/>
    <s v="F0229"/>
    <s v="Surround Lighting, Turning Light"/>
    <s v="A"/>
    <s v="Body"/>
    <s v="External Illumination"/>
    <s v="Turn Signal Right"/>
    <s v="Bulb"/>
    <s v="Actuator"/>
    <s v="Side Repeater P21W"/>
    <s v="Side Repeater P21W - Turn Signal Right"/>
    <m/>
    <m/>
    <s v="21;23"/>
    <m/>
    <m/>
    <m/>
    <m/>
    <s v="Yes"/>
    <s v="No"/>
    <s v="No"/>
    <n v="0.3"/>
    <n v="0.1"/>
    <n v="0.3"/>
    <n v="0.1"/>
  </r>
  <r>
    <x v="710"/>
    <s v="37.0_ADAS &amp; AutomatedDriving"/>
    <s v="37.30_Piloting-System"/>
    <s v="F1105"/>
    <s v="Pilot, Data Storage System For Automated Driving (DSSAD)"/>
    <m/>
    <s v="System"/>
    <s v="Cross-Domain"/>
    <s v="Data storage"/>
    <s v="Basic"/>
    <s v="Control Unit"/>
    <s v="Hard Disk Drive"/>
    <s v="Hard Disk Drive - Data storage"/>
    <m/>
    <m/>
    <m/>
    <m/>
    <m/>
    <m/>
    <m/>
    <m/>
    <m/>
    <m/>
    <m/>
    <m/>
    <m/>
    <m/>
  </r>
  <r>
    <x v="711"/>
    <s v="13.0_Comfort &amp; Interior"/>
    <s v="13.20_SeatMoving-System"/>
    <s v="F0x42"/>
    <s v="Seat Passenger, Lumbar Massage"/>
    <s v=" "/>
    <s v="Comfort"/>
    <s v="Seat Massage"/>
    <s v="Lumbar Massage"/>
    <s v="Power Seats"/>
    <s v="Actuator"/>
    <s v="Air Pump - Passenger Seat"/>
    <s v="Air Pump - Passenger Seat - Lumbar Massage"/>
    <m/>
    <m/>
    <s v="44;15"/>
    <s v="TE"/>
    <s v="2-1241370-3"/>
    <s v="6 Pos. MQS 0,63mm Unsealed"/>
    <m/>
    <s v="No"/>
    <s v="No"/>
    <s v="Yes"/>
    <n v="0.1"/>
    <n v="0.25"/>
    <n v="0.1"/>
    <n v="0.25"/>
  </r>
  <r>
    <x v="712"/>
    <s v="13.0_Comfort &amp; Interior"/>
    <s v="13.20_SeatMoving-System"/>
    <s v="F0x42"/>
    <s v="Seat Passenger, Lumbar Massage"/>
    <s v=" "/>
    <s v="Comfort"/>
    <s v="Seat Massage"/>
    <s v="Lumbar Massage"/>
    <s v="Power Seats"/>
    <s v="Actuator"/>
    <s v="Valve - Passenger Seat"/>
    <s v="Valve - Passenger Seat - Lumbar Massage"/>
    <m/>
    <m/>
    <s v="44;15"/>
    <s v="TE"/>
    <s v="1-1718346-1"/>
    <s v="3 Pos. MQS 0,63mm Unsealed"/>
    <m/>
    <s v="No"/>
    <s v="No"/>
    <s v="Yes"/>
    <n v="0.1"/>
    <n v="0.25"/>
    <n v="0.1"/>
    <n v="0.25"/>
  </r>
  <r>
    <x v="713"/>
    <s v="13.0_Comfort &amp; Interior"/>
    <s v="13.23_AntiGlareAndDimming-System"/>
    <s v="F0022"/>
    <s v="Electrochromatic (EC), Rear View Mirror"/>
    <s v="QM"/>
    <s v="Comfort"/>
    <s v="Internal Rear View Mirror"/>
    <s v="Rear View"/>
    <s v="Dimmable"/>
    <s v="Sensor"/>
    <s v="Rear Light Sensor"/>
    <s v="Rear Light Sensor - Rear View"/>
    <m/>
    <m/>
    <m/>
    <m/>
    <m/>
    <m/>
    <m/>
    <m/>
    <m/>
    <m/>
    <m/>
    <m/>
    <m/>
    <m/>
  </r>
  <r>
    <x v="713"/>
    <s v="13.0_Comfort &amp; Interior"/>
    <s v="13.23_AntiGlareAndDimming-System"/>
    <s v="F0037"/>
    <s v="Electrochromatic (EC), External Rear View Mirror"/>
    <s v="QM"/>
    <s v="Comfort"/>
    <s v="Internal Rear View Mirror"/>
    <s v="Rear View"/>
    <s v="Dimmable"/>
    <s v="Sensor"/>
    <s v="Rear Light Sensor"/>
    <s v="Rear Light Sensor - Rear View"/>
    <m/>
    <m/>
    <m/>
    <m/>
    <m/>
    <m/>
    <m/>
    <m/>
    <m/>
    <m/>
    <m/>
    <m/>
    <m/>
    <m/>
  </r>
  <r>
    <x v="714"/>
    <s v="13.0_Comfort &amp; Interior"/>
    <s v="13.x1_SteeringColumn-Adjustments"/>
    <s v="F0x44"/>
    <s v="Steering Column, Electric Adjustment"/>
    <s v="-"/>
    <s v="Comfort"/>
    <s v="Steering Column Adjust"/>
    <s v="Steering Column Movement"/>
    <s v="Power Steering Column"/>
    <s v="Switch"/>
    <s v="Adjustment Switch"/>
    <s v="Adjustment Switch - Steering Column Movement"/>
    <m/>
    <m/>
    <s v="34;-12"/>
    <s v="TE"/>
    <s v="2333102-1"/>
    <s v="2 Pos. NanoMQS 0,5mm Unsealed"/>
    <m/>
    <s v="No"/>
    <s v="No"/>
    <s v="Yes"/>
    <n v="0"/>
    <n v="0"/>
    <n v="0"/>
    <n v="0"/>
  </r>
  <r>
    <x v="715"/>
    <s v="13.0_Comfort &amp; Interior"/>
    <s v="13.x2_GloveBox-Openning"/>
    <s v="F0x45"/>
    <s v="Glove Box Lid, Electrically Driven"/>
    <s v="-"/>
    <s v="Comfort"/>
    <s v="Central Locking"/>
    <s v="Glove Box Openning"/>
    <s v="Comfort"/>
    <s v="Switch"/>
    <s v="Opening Switch"/>
    <s v="Opening Switch - Glove Box Openning"/>
    <m/>
    <m/>
    <s v="30;16"/>
    <s v="TE"/>
    <s v="1743164-2"/>
    <s v="3 Pos. MQS 0,63mm Unsealed"/>
    <m/>
    <s v="No"/>
    <s v="No"/>
    <s v="Yes"/>
    <n v="0"/>
    <n v="0"/>
    <n v="0"/>
    <n v="0"/>
  </r>
  <r>
    <x v="716"/>
    <s v="10.0_Comfort &amp; Exterior"/>
    <s v="10.30_OutsideLighting-System"/>
    <s v="F0097"/>
    <s v="Outside Lighting, Side Marker Front"/>
    <s v="QM"/>
    <s v="Body"/>
    <s v="External Illumination"/>
    <s v="Side Marker Front Right"/>
    <s v="FOG"/>
    <s v="Actuator"/>
    <s v="LED Lamp"/>
    <s v="LED Lamp - Side Marker Front Right"/>
    <m/>
    <m/>
    <s v="-1;23"/>
    <m/>
    <m/>
    <m/>
    <m/>
    <s v="No"/>
    <s v="Yes"/>
    <s v="Yes"/>
    <n v="0"/>
    <n v="0"/>
    <n v="1"/>
    <n v="1"/>
  </r>
  <r>
    <x v="716"/>
    <s v="10.0_Comfort &amp; Exterior"/>
    <s v="10.30_OutsideLighting-System"/>
    <s v="F0097"/>
    <s v="Outside Lighting, Side Marker Front"/>
    <s v="QM"/>
    <s v="Body"/>
    <s v="External Illumination"/>
    <s v="Position Lamp Right"/>
    <s v="FOG"/>
    <s v="Actuator"/>
    <s v="Side Marker LED Lamp"/>
    <s v="Side Marker LED Lamp - Position Lamp Right"/>
    <m/>
    <m/>
    <s v="-1;23"/>
    <m/>
    <m/>
    <m/>
    <m/>
    <s v="No"/>
    <s v="Yes"/>
    <s v="Yes"/>
    <n v="0"/>
    <n v="0"/>
    <n v="1"/>
    <n v="1"/>
  </r>
  <r>
    <x v="717"/>
    <s v="10.0_Comfort &amp; Exterior"/>
    <s v="10.30_OutsideLighting-System"/>
    <s v="F0619"/>
    <s v="Outside Lighting, Side Marker Rear"/>
    <s v="QM"/>
    <s v="Body"/>
    <s v="External Illumination"/>
    <s v="Side Marker Rear Left"/>
    <s v="Bulb"/>
    <s v="Actuator"/>
    <s v="Bulb P5W"/>
    <s v="Bulb P5W - Side Marker Rear Left"/>
    <m/>
    <m/>
    <s v="98;-22"/>
    <m/>
    <m/>
    <m/>
    <m/>
    <s v="Yes"/>
    <s v="No"/>
    <s v="No"/>
    <n v="0"/>
    <n v="0"/>
    <n v="1"/>
    <n v="1"/>
  </r>
  <r>
    <x v="717"/>
    <s v="10.0_Comfort &amp; Exterior"/>
    <s v="10.30_OutsideLighting-System"/>
    <s v="F0619"/>
    <s v="Outside Lighting, Side Marker Rear"/>
    <s v="QM"/>
    <s v="Body"/>
    <s v="External Illumination"/>
    <s v="Position Lamp Right"/>
    <s v="Bulb"/>
    <s v="Actuator"/>
    <s v="Side Marker Bulb P5W"/>
    <s v="Side Marker Bulb P5W - Position Lamp Right"/>
    <m/>
    <m/>
    <s v="98;-22"/>
    <m/>
    <m/>
    <m/>
    <m/>
    <s v="Yes"/>
    <s v="No"/>
    <s v="No"/>
    <n v="0"/>
    <n v="0"/>
    <n v="1"/>
    <n v="1"/>
  </r>
  <r>
    <x v="718"/>
    <s v="37.0_ADAS &amp; AutomatedDriving"/>
    <s v="37.20_Parking-System"/>
    <s v="F0156"/>
    <s v="Park Assist, Rear"/>
    <m/>
    <s v="Drive Assistance"/>
    <s v="Driver Assistance System"/>
    <s v="Short Range Distance Measurement"/>
    <s v="L1+/L2/L2+/L3/L4/L5"/>
    <s v="Sensor"/>
    <s v="Ultrasonic Sensor RL"/>
    <s v="Ultrasonic Sensor RL - Short Range Distance Measurement"/>
    <m/>
    <m/>
    <s v="113;-17"/>
    <s v="TE"/>
    <s v="0-1488991-6"/>
    <s v="3 Pos. MCON 1,2mm Sealed"/>
    <m/>
    <s v="Yes"/>
    <s v="Yes"/>
    <s v="Yes"/>
    <n v="0.05"/>
    <n v="0"/>
    <n v="0.05"/>
    <n v="0"/>
  </r>
  <r>
    <x v="718"/>
    <s v="37.0_ADAS &amp; AutomatedDriving"/>
    <s v="37.20_Parking-System"/>
    <s v="F0314"/>
    <s v="Parking Pilot, Valet Parking"/>
    <m/>
    <s v="Drive Assistance"/>
    <s v="Driver Assistance System"/>
    <s v="Short Range Distance Measurement"/>
    <s v="L1+/L2/L2+/L3/L4/L5"/>
    <s v="Sensor"/>
    <s v="Ultrasonic Sensor RL"/>
    <s v="Ultrasonic Sensor RL - Short Range Distance Measurement"/>
    <m/>
    <m/>
    <s v="113;-17"/>
    <s v="TE"/>
    <s v="0-1488991-6"/>
    <s v="3 Pos. MCON 1,2mm Sealed"/>
    <m/>
    <s v="No"/>
    <s v="No"/>
    <s v="Yes"/>
    <n v="0.05"/>
    <n v="0"/>
    <n v="0.05"/>
    <n v="0"/>
  </r>
  <r>
    <x v="718"/>
    <s v="37.0_ADAS &amp; AutomatedDriving"/>
    <s v="37.20_Parking-System"/>
    <s v="F0536"/>
    <s v="Parking Pilot, Trained Parking"/>
    <m/>
    <s v="Drive Assistance"/>
    <s v="Driver Assistance System"/>
    <s v="Short Range Distance Measurement"/>
    <s v="L1+/L2/L2+/L3/L4/L5"/>
    <s v="Sensor"/>
    <s v="Ultrasonic Sensor RL"/>
    <s v="Ultrasonic Sensor RL - Short Range Distance Measurement"/>
    <m/>
    <m/>
    <s v="113;-17"/>
    <s v="TE"/>
    <s v="0-1488991-6"/>
    <s v="3 Pos. MCON 1,2mm Sealed"/>
    <m/>
    <s v="No"/>
    <s v="No"/>
    <s v="Yes"/>
    <n v="0.05"/>
    <n v="0"/>
    <n v="0.05"/>
    <n v="0"/>
  </r>
  <r>
    <x v="718"/>
    <s v="37.0_ADAS &amp; AutomatedDriving"/>
    <s v="37.20_Parking-System"/>
    <s v="F1301"/>
    <s v="Drive Away Assist"/>
    <m/>
    <s v="Drive Assistance"/>
    <s v="Driver Assistance System"/>
    <s v="Short Range Distance Measurement"/>
    <s v="L1+/L2/L2+/L3/L4/L5"/>
    <s v="Sensor"/>
    <s v="Ultrasonic Sensor RL"/>
    <s v="Ultrasonic Sensor RL - Short Range Distance Measurement"/>
    <m/>
    <m/>
    <s v="113;-17"/>
    <s v="TE"/>
    <s v="0-1488991-6"/>
    <s v="3 Pos. MCON 1,2mm Sealed"/>
    <m/>
    <s v="No"/>
    <s v="No"/>
    <s v="Yes"/>
    <n v="0.05"/>
    <n v="0"/>
    <n v="0.05"/>
    <n v="0"/>
  </r>
  <r>
    <x v="718"/>
    <s v="37.0_ADAS &amp; AutomatedDriving"/>
    <s v="37.20_Parking-System"/>
    <s v="F1304"/>
    <s v="Park Assist, Side"/>
    <m/>
    <s v="Drive Assistance"/>
    <s v="Driver Assistance System"/>
    <s v="Short Range Distance Measurement"/>
    <s v="L1+/L2/L2+/L3/L4/L5"/>
    <s v="Sensor"/>
    <s v="Ultrasonic Sensor RL"/>
    <s v="Ultrasonic Sensor RL - Short Range Distance Measurement"/>
    <m/>
    <m/>
    <s v="113;-17"/>
    <s v="TE"/>
    <s v="0-1488991-6"/>
    <s v="3 Pos. MCON 1,2mm Sealed"/>
    <m/>
    <s v="No"/>
    <s v="Yes"/>
    <s v="Yes"/>
    <n v="0.05"/>
    <n v="0"/>
    <n v="0.05"/>
    <n v="0"/>
  </r>
  <r>
    <x v="718"/>
    <s v="37.0_ADAS &amp; AutomatedDriving"/>
    <s v="37.20_Parking-System"/>
    <s v="F2003"/>
    <s v="Automatic Parking Support"/>
    <m/>
    <s v="Drive Assistance"/>
    <s v="Driver Assistance System"/>
    <s v="Short Range Distance Measurement"/>
    <s v="L1+/L2/L2+/L3/L4/L5"/>
    <s v="Sensor"/>
    <s v="Ultrasonic Sensor RL"/>
    <s v="Ultrasonic Sensor RL - Short Range Distance Measurement"/>
    <m/>
    <m/>
    <s v="113;-17"/>
    <s v="TE"/>
    <s v="1-1670917-1"/>
    <s v="3 Pos. MCON 1,2mm Sealed"/>
    <m/>
    <s v="No"/>
    <s v="Yes"/>
    <s v="Yes"/>
    <n v="0.05"/>
    <n v="0"/>
    <n v="0.05"/>
    <n v="0"/>
  </r>
  <r>
    <x v="719"/>
    <s v="37.0_ADAS &amp; AutomatedDriving"/>
    <s v="37.20_Parking-System"/>
    <s v="F0156"/>
    <s v="Park Assist, Rear"/>
    <m/>
    <s v="Drive Assistance"/>
    <s v="Driver Assistance System"/>
    <s v="Short Range Distance Measurement"/>
    <s v="L1+/L2/L2+/L3/L4/L5"/>
    <s v="Sensor"/>
    <s v="Ultrasonic Sensor RML"/>
    <s v="Ultrasonic Sensor RML - Short Range Distance Measurement"/>
    <m/>
    <m/>
    <s v="116;-4"/>
    <s v="TE"/>
    <s v="0-1488991-6"/>
    <s v="3 Pos. MCON 1,2mm Sealed"/>
    <m/>
    <s v="Yes"/>
    <s v="Yes"/>
    <s v="Yes"/>
    <n v="0.05"/>
    <n v="0"/>
    <n v="0.05"/>
    <n v="0"/>
  </r>
  <r>
    <x v="719"/>
    <s v="37.0_ADAS &amp; AutomatedDriving"/>
    <s v="37.20_Parking-System"/>
    <s v="F0314"/>
    <s v="Parking Pilot, Valet Parking"/>
    <m/>
    <s v="Drive Assistance"/>
    <s v="Driver Assistance System"/>
    <s v="Short Range Distance Measurement"/>
    <s v="L1+/L2/L2+/L3/L4/L5"/>
    <s v="Sensor"/>
    <s v="Ultrasonic Sensor RML"/>
    <s v="Ultrasonic Sensor RML - Short Range Distance Measurement"/>
    <m/>
    <m/>
    <s v="116;-4"/>
    <s v="TE"/>
    <s v="0-1488991-6"/>
    <s v="3 Pos. MCON 1,2mm Sealed"/>
    <m/>
    <s v="No"/>
    <s v="No"/>
    <s v="Yes"/>
    <n v="0.05"/>
    <n v="0"/>
    <n v="0.05"/>
    <n v="0"/>
  </r>
  <r>
    <x v="719"/>
    <s v="37.0_ADAS &amp; AutomatedDriving"/>
    <s v="37.20_Parking-System"/>
    <s v="F0536"/>
    <s v="Parking Pilot, Trained Parking"/>
    <m/>
    <s v="Drive Assistance"/>
    <s v="Driver Assistance System"/>
    <s v="Short Range Distance Measurement"/>
    <s v="L1+/L2/L2+/L3/L4/L5"/>
    <s v="Sensor"/>
    <s v="Ultrasonic Sensor RML"/>
    <s v="Ultrasonic Sensor RML - Short Range Distance Measurement"/>
    <m/>
    <m/>
    <s v="116;-4"/>
    <s v="TE"/>
    <s v="0-1488991-6"/>
    <s v="3 Pos. MCON 1,2mm Sealed"/>
    <m/>
    <s v="No"/>
    <s v="No"/>
    <s v="Yes"/>
    <n v="0.05"/>
    <n v="0"/>
    <n v="0.05"/>
    <n v="0"/>
  </r>
  <r>
    <x v="719"/>
    <s v="37.0_ADAS &amp; AutomatedDriving"/>
    <s v="37.20_Parking-System"/>
    <s v="F1301"/>
    <s v="Drive Away Assist"/>
    <m/>
    <s v="Drive Assistance"/>
    <s v="Driver Assistance System"/>
    <s v="Short Range Distance Measurement"/>
    <s v="L1+/L2/L2+/L3/L4/L5"/>
    <s v="Sensor"/>
    <s v="Ultrasonic Sensor RML"/>
    <s v="Ultrasonic Sensor RML - Short Range Distance Measurement"/>
    <m/>
    <m/>
    <s v="116;-4"/>
    <s v="TE"/>
    <s v="0-1488991-6"/>
    <s v="3 Pos. MCON 1,2mm Sealed"/>
    <m/>
    <s v="No"/>
    <s v="No"/>
    <s v="Yes"/>
    <n v="0.05"/>
    <n v="0"/>
    <n v="0.05"/>
    <n v="0"/>
  </r>
  <r>
    <x v="719"/>
    <s v="37.0_ADAS &amp; AutomatedDriving"/>
    <s v="37.20_Parking-System"/>
    <s v="F1304"/>
    <s v="Park Assist, Side"/>
    <m/>
    <s v="Drive Assistance"/>
    <s v="Driver Assistance System"/>
    <s v="Short Range Distance Measurement"/>
    <s v="L1+/L2/L2+/L3/L4/L5"/>
    <s v="Sensor"/>
    <s v="Ultrasonic Sensor RML"/>
    <s v="Ultrasonic Sensor RML - Short Range Distance Measurement"/>
    <m/>
    <m/>
    <s v="116;-4"/>
    <s v="TE"/>
    <s v="0-1488991-6"/>
    <s v="3 Pos. MCON 1,2mm Sealed"/>
    <m/>
    <s v="No"/>
    <s v="Yes"/>
    <s v="Yes"/>
    <n v="0.05"/>
    <n v="0"/>
    <n v="0.05"/>
    <n v="0"/>
  </r>
  <r>
    <x v="719"/>
    <s v="37.0_ADAS &amp; AutomatedDriving"/>
    <s v="37.20_Parking-System"/>
    <s v="F2003"/>
    <s v="Automatic Parking Support"/>
    <m/>
    <s v="Drive Assistance"/>
    <s v="Driver Assistance System"/>
    <s v="Short Range Distance Measurement"/>
    <s v="L1+/L2/L2+/L3/L4/L5"/>
    <s v="Sensor"/>
    <s v="Ultrasonic Sensor RML"/>
    <s v="Ultrasonic Sensor RML - Short Range Distance Measurement"/>
    <m/>
    <m/>
    <s v="116;-4"/>
    <s v="TE"/>
    <s v="1-1670917-1"/>
    <s v="3 Pos. MCON 1,2mm Sealed"/>
    <m/>
    <s v="No"/>
    <s v="Yes"/>
    <s v="Yes"/>
    <n v="0.05"/>
    <n v="0"/>
    <n v="0.05"/>
    <n v="0"/>
  </r>
  <r>
    <x v="720"/>
    <s v="37.0_ADAS &amp; AutomatedDriving"/>
    <s v="37.20_Parking-System"/>
    <s v="F0156"/>
    <s v="Park Assist, Rear"/>
    <m/>
    <s v="Drive Assistance"/>
    <s v="Driver Assistance System"/>
    <s v="Short Range Distance Measurement"/>
    <s v="L1+/L2/L2+/L3/L4/L5"/>
    <s v="Sensor"/>
    <s v="Ultrasonic Sensor RMR"/>
    <s v="Ultrasonic Sensor RMR - Short Range Distance Measurement"/>
    <m/>
    <m/>
    <s v="116;4"/>
    <s v="TE"/>
    <s v="0-1488991-6"/>
    <s v="3 Pos. MCON 1,2mm Sealed"/>
    <m/>
    <s v="Yes"/>
    <s v="Yes"/>
    <s v="Yes"/>
    <n v="0.05"/>
    <n v="0"/>
    <n v="0.05"/>
    <n v="0"/>
  </r>
  <r>
    <x v="720"/>
    <s v="37.0_ADAS &amp; AutomatedDriving"/>
    <s v="37.20_Parking-System"/>
    <s v="F0314"/>
    <s v="Parking Pilot, Valet Parking"/>
    <m/>
    <s v="Drive Assistance"/>
    <s v="Driver Assistance System"/>
    <s v="Short Range Distance Measurement"/>
    <s v="L1+/L2/L2+/L3/L4/L5"/>
    <s v="Sensor"/>
    <s v="Ultrasonic Sensor RMR"/>
    <s v="Ultrasonic Sensor RMR - Short Range Distance Measurement"/>
    <m/>
    <m/>
    <s v="116;4"/>
    <s v="TE"/>
    <s v="0-1488991-6"/>
    <s v="3 Pos. MCON 1,2mm Sealed"/>
    <m/>
    <s v="No"/>
    <s v="No"/>
    <s v="Yes"/>
    <n v="0.05"/>
    <n v="0"/>
    <n v="0.05"/>
    <n v="0"/>
  </r>
  <r>
    <x v="720"/>
    <s v="37.0_ADAS &amp; AutomatedDriving"/>
    <s v="37.20_Parking-System"/>
    <s v="F0536"/>
    <s v="Parking Pilot, Trained Parking"/>
    <m/>
    <s v="Drive Assistance"/>
    <s v="Driver Assistance System"/>
    <s v="Short Range Distance Measurement"/>
    <s v="L1+/L2/L2+/L3/L4/L5"/>
    <s v="Sensor"/>
    <s v="Ultrasonic Sensor RMR"/>
    <s v="Ultrasonic Sensor RMR - Short Range Distance Measurement"/>
    <m/>
    <m/>
    <s v="116;4"/>
    <s v="TE"/>
    <s v="0-1488991-6"/>
    <s v="3 Pos. MCON 1,2mm Sealed"/>
    <m/>
    <s v="No"/>
    <s v="No"/>
    <s v="Yes"/>
    <n v="0.05"/>
    <n v="0"/>
    <n v="0.05"/>
    <n v="0"/>
  </r>
  <r>
    <x v="720"/>
    <s v="37.0_ADAS &amp; AutomatedDriving"/>
    <s v="37.20_Parking-System"/>
    <s v="F1301"/>
    <s v="Drive Away Assist"/>
    <m/>
    <s v="Drive Assistance"/>
    <s v="Driver Assistance System"/>
    <s v="Short Range Distance Measurement"/>
    <s v="L1+/L2/L2+/L3/L4/L5"/>
    <s v="Sensor"/>
    <s v="Ultrasonic Sensor RMR"/>
    <s v="Ultrasonic Sensor RMR - Short Range Distance Measurement"/>
    <m/>
    <m/>
    <s v="116;4"/>
    <s v="TE"/>
    <s v="0-1488991-6"/>
    <s v="3 Pos. MCON 1,2mm Sealed"/>
    <m/>
    <s v="No"/>
    <s v="No"/>
    <s v="Yes"/>
    <n v="0.05"/>
    <n v="0"/>
    <n v="0.05"/>
    <n v="0"/>
  </r>
  <r>
    <x v="720"/>
    <s v="37.0_ADAS &amp; AutomatedDriving"/>
    <s v="37.20_Parking-System"/>
    <s v="F1304"/>
    <s v="Park Assist, Side"/>
    <m/>
    <s v="Drive Assistance"/>
    <s v="Driver Assistance System"/>
    <s v="Short Range Distance Measurement"/>
    <s v="L1+/L2/L2+/L3/L4/L5"/>
    <s v="Sensor"/>
    <s v="Ultrasonic Sensor RMR"/>
    <s v="Ultrasonic Sensor RMR - Short Range Distance Measurement"/>
    <m/>
    <m/>
    <s v="116;4"/>
    <s v="TE"/>
    <s v="0-1488991-6"/>
    <s v="3 Pos. MCON 1,2mm Sealed"/>
    <m/>
    <s v="No"/>
    <s v="Yes"/>
    <s v="Yes"/>
    <n v="0.05"/>
    <n v="0"/>
    <n v="0.05"/>
    <n v="0"/>
  </r>
  <r>
    <x v="720"/>
    <s v="37.0_ADAS &amp; AutomatedDriving"/>
    <s v="37.20_Parking-System"/>
    <s v="F2003"/>
    <s v="Automatic Parking Support"/>
    <m/>
    <s v="Drive Assistance"/>
    <s v="Driver Assistance System"/>
    <s v="Short Range Distance Measurement"/>
    <s v="L1+/L2/L2+/L3/L4/L5"/>
    <s v="Sensor"/>
    <s v="Ultrasonic Sensor RMR"/>
    <s v="Ultrasonic Sensor RMR - Short Range Distance Measurement"/>
    <m/>
    <m/>
    <s v="116;4"/>
    <s v="TE"/>
    <s v="1-1670917-1"/>
    <s v="3 Pos. MCON 1,2mm Sealed"/>
    <m/>
    <s v="No"/>
    <s v="Yes"/>
    <s v="Yes"/>
    <n v="0.05"/>
    <n v="0"/>
    <n v="0.05"/>
    <n v="0"/>
  </r>
  <r>
    <x v="721"/>
    <s v="37.0_ADAS &amp; AutomatedDriving"/>
    <s v="37.20_Parking-System"/>
    <s v="F0156"/>
    <s v="Park Assist, Rear"/>
    <m/>
    <s v="Drive Assistance"/>
    <s v="Driver Assistance System"/>
    <s v="Short Range Distance Measurement"/>
    <s v="L1+/L2/L2+/L3/L4/L5"/>
    <s v="Sensor"/>
    <s v="Ultrasonic Sensor RR"/>
    <s v="Ultrasonic Sensor RR - Short Range Distance Measurement"/>
    <m/>
    <m/>
    <s v="113;17"/>
    <s v="TE"/>
    <s v="0-1488991-6"/>
    <s v="3 Pos. MCON 1,2mm Sealed"/>
    <m/>
    <s v="Yes"/>
    <s v="Yes"/>
    <s v="Yes"/>
    <n v="0.05"/>
    <n v="0"/>
    <n v="0.05"/>
    <n v="0"/>
  </r>
  <r>
    <x v="721"/>
    <s v="37.0_ADAS &amp; AutomatedDriving"/>
    <s v="37.20_Parking-System"/>
    <s v="F0314"/>
    <s v="Parking Pilot, Valet Parking"/>
    <m/>
    <s v="Drive Assistance"/>
    <s v="Driver Assistance System"/>
    <s v="Short Range Distance Measurement"/>
    <s v="L1+/L2/L2+/L3/L4/L5"/>
    <s v="Sensor"/>
    <s v="Ultrasonic Sensor RR"/>
    <s v="Ultrasonic Sensor RR - Short Range Distance Measurement"/>
    <m/>
    <m/>
    <s v="113;17"/>
    <s v="TE"/>
    <s v="0-1488991-6"/>
    <s v="3 Pos. MCON 1,2mm Sealed"/>
    <m/>
    <s v="No"/>
    <s v="No"/>
    <s v="Yes"/>
    <n v="0.05"/>
    <n v="0"/>
    <n v="0.05"/>
    <n v="0"/>
  </r>
  <r>
    <x v="721"/>
    <s v="37.0_ADAS &amp; AutomatedDriving"/>
    <s v="37.20_Parking-System"/>
    <s v="F0536"/>
    <s v="Parking Pilot, Trained Parking"/>
    <m/>
    <s v="Drive Assistance"/>
    <s v="Driver Assistance System"/>
    <s v="Short Range Distance Measurement"/>
    <s v="L1+/L2/L2+/L3/L4/L5"/>
    <s v="Sensor"/>
    <s v="Ultrasonic Sensor RR"/>
    <s v="Ultrasonic Sensor RR - Short Range Distance Measurement"/>
    <m/>
    <m/>
    <s v="113;17"/>
    <s v="TE"/>
    <s v="0-1488991-6"/>
    <s v="3 Pos. MCON 1,2mm Sealed"/>
    <m/>
    <s v="No"/>
    <s v="No"/>
    <s v="Yes"/>
    <n v="0.05"/>
    <n v="0"/>
    <n v="0.05"/>
    <n v="0"/>
  </r>
  <r>
    <x v="721"/>
    <s v="37.0_ADAS &amp; AutomatedDriving"/>
    <s v="37.20_Parking-System"/>
    <s v="F1301"/>
    <s v="Drive Away Assist"/>
    <m/>
    <s v="Drive Assistance"/>
    <s v="Driver Assistance System"/>
    <s v="Short Range Distance Measurement"/>
    <s v="L1+/L2/L2+/L3/L4/L5"/>
    <s v="Sensor"/>
    <s v="Ultrasonic Sensor RR"/>
    <s v="Ultrasonic Sensor RR - Short Range Distance Measurement"/>
    <m/>
    <m/>
    <s v="113;17"/>
    <s v="TE"/>
    <s v="0-1488991-6"/>
    <s v="3 Pos. MCON 1,2mm Sealed"/>
    <m/>
    <s v="No"/>
    <s v="No"/>
    <s v="Yes"/>
    <n v="0.05"/>
    <n v="0"/>
    <n v="0.05"/>
    <n v="0"/>
  </r>
  <r>
    <x v="721"/>
    <s v="37.0_ADAS &amp; AutomatedDriving"/>
    <s v="37.20_Parking-System"/>
    <s v="F1304"/>
    <s v="Park Assist, Side"/>
    <m/>
    <s v="Drive Assistance"/>
    <s v="Driver Assistance System"/>
    <s v="Short Range Distance Measurement"/>
    <s v="L1+/L2/L2+/L3/L4/L5"/>
    <s v="Sensor"/>
    <s v="Ultrasonic Sensor RR"/>
    <s v="Ultrasonic Sensor RR - Short Range Distance Measurement"/>
    <m/>
    <m/>
    <s v="113;17"/>
    <s v="TE"/>
    <s v="0-1488991-6"/>
    <s v="3 Pos. MCON 1,2mm Sealed"/>
    <m/>
    <s v="No"/>
    <s v="Yes"/>
    <s v="Yes"/>
    <n v="0.05"/>
    <n v="0"/>
    <n v="0.05"/>
    <n v="0"/>
  </r>
  <r>
    <x v="721"/>
    <s v="37.0_ADAS &amp; AutomatedDriving"/>
    <s v="37.20_Parking-System"/>
    <s v="F2003"/>
    <s v="Automatic Parking Support"/>
    <m/>
    <s v="Drive Assistance"/>
    <s v="Driver Assistance System"/>
    <s v="Short Range Distance Measurement"/>
    <s v="L1+/L2/L2+/L3/L4/L5"/>
    <s v="Sensor"/>
    <s v="Ultrasonic Sensor RR"/>
    <s v="Ultrasonic Sensor RR - Short Range Distance Measurement"/>
    <m/>
    <m/>
    <s v="113;17"/>
    <s v="TE"/>
    <s v="1-1670917-1"/>
    <s v="3 Pos. MCON 1,2mm Sealed"/>
    <m/>
    <s v="No"/>
    <s v="Yes"/>
    <s v="Yes"/>
    <n v="0.05"/>
    <n v="0"/>
    <n v="0.05"/>
    <n v="0"/>
  </r>
  <r>
    <x v="722"/>
    <s v="37.0_ADAS &amp; AutomatedDriving"/>
    <s v="37.20_Parking-System"/>
    <s v="F0156"/>
    <s v="Park Assist, Rear"/>
    <m/>
    <s v="Drive Assistance"/>
    <s v="Driver Assistance System"/>
    <s v="Short Range Distance Measurement"/>
    <s v="L1+/L2/L2+/L3/L4/L5"/>
    <s v="Sensor"/>
    <s v="Ultrasonic Sensor RSR"/>
    <s v="Ultrasonic Sensor RSR - Short Range Distance Measurement"/>
    <m/>
    <m/>
    <s v="101;21"/>
    <s v="TE"/>
    <s v="0-1488991-6"/>
    <s v="3 Pos. MCON 1,2mm Sealed"/>
    <m/>
    <s v="Yes"/>
    <s v="Yes"/>
    <s v="Yes"/>
    <n v="0.05"/>
    <n v="0"/>
    <n v="0.05"/>
    <n v="0"/>
  </r>
  <r>
    <x v="722"/>
    <s v="37.0_ADAS &amp; AutomatedDriving"/>
    <s v="37.20_Parking-System"/>
    <s v="F0314"/>
    <s v="Parking Pilot, Valet Parking"/>
    <m/>
    <s v="Drive Assistance"/>
    <s v="Driver Assistance System"/>
    <s v="Short Range Distance Measurement"/>
    <s v="L1+/L2/L2+/L3/L4/L5"/>
    <s v="Sensor"/>
    <s v="Ultrasonic Sensor RSR"/>
    <s v="Ultrasonic Sensor RSR - Short Range Distance Measurement"/>
    <m/>
    <m/>
    <s v="101;21"/>
    <s v="TE"/>
    <s v="0-1488991-6"/>
    <s v="3 Pos. MCON 1,2mm Sealed"/>
    <m/>
    <s v="No"/>
    <s v="No"/>
    <s v="Yes"/>
    <n v="0.05"/>
    <n v="0"/>
    <n v="0.05"/>
    <n v="0"/>
  </r>
  <r>
    <x v="722"/>
    <s v="37.0_ADAS &amp; AutomatedDriving"/>
    <s v="37.20_Parking-System"/>
    <s v="F0536"/>
    <s v="Parking Pilot, Trained Parking"/>
    <m/>
    <s v="Drive Assistance"/>
    <s v="Driver Assistance System"/>
    <s v="Short Range Distance Measurement"/>
    <s v="L1+/L2/L2+/L3/L4/L5"/>
    <s v="Sensor"/>
    <s v="Ultrasonic Sensor RSR"/>
    <s v="Ultrasonic Sensor RSR - Short Range Distance Measurement"/>
    <m/>
    <m/>
    <s v="101;21"/>
    <s v="TE"/>
    <s v="0-1488991-6"/>
    <s v="3 Pos. MCON 1,2mm Sealed"/>
    <m/>
    <s v="No"/>
    <s v="No"/>
    <s v="Yes"/>
    <n v="0.05"/>
    <n v="0"/>
    <n v="0.05"/>
    <n v="0"/>
  </r>
  <r>
    <x v="722"/>
    <s v="37.0_ADAS &amp; AutomatedDriving"/>
    <s v="37.20_Parking-System"/>
    <s v="F1301"/>
    <s v="Drive Away Assist"/>
    <m/>
    <s v="Drive Assistance"/>
    <s v="Driver Assistance System"/>
    <s v="Short Range Distance Measurement"/>
    <s v="L1+/L2/L2+/L3/L4/L5"/>
    <s v="Sensor"/>
    <s v="Ultrasonic Sensor RSR"/>
    <s v="Ultrasonic Sensor RSR - Short Range Distance Measurement"/>
    <m/>
    <m/>
    <s v="101;21"/>
    <s v="TE"/>
    <s v="0-1488991-6"/>
    <s v="3 Pos. MCON 1,2mm Sealed"/>
    <m/>
    <s v="No"/>
    <s v="No"/>
    <s v="Yes"/>
    <n v="0.05"/>
    <n v="0"/>
    <n v="0.05"/>
    <n v="0"/>
  </r>
  <r>
    <x v="722"/>
    <s v="37.0_ADAS &amp; AutomatedDriving"/>
    <s v="37.20_Parking-System"/>
    <s v="F1304"/>
    <s v="Park Assist, Side"/>
    <m/>
    <s v="Drive Assistance"/>
    <s v="Driver Assistance System"/>
    <s v="Short Range Distance Measurement"/>
    <s v="L1+/L2/L2+/L3/L4/L5"/>
    <s v="Sensor"/>
    <s v="Ultrasonic Sensor RSR"/>
    <s v="Ultrasonic Sensor RSR - Short Range Distance Measurement"/>
    <m/>
    <m/>
    <s v="101;21"/>
    <s v="TE"/>
    <s v="0-1488991-6"/>
    <s v="3 Pos. MCON 1,2mm Sealed"/>
    <m/>
    <s v="No"/>
    <s v="Yes"/>
    <s v="Yes"/>
    <n v="0.05"/>
    <n v="0"/>
    <n v="0.05"/>
    <n v="0"/>
  </r>
  <r>
    <x v="722"/>
    <s v="37.0_ADAS &amp; AutomatedDriving"/>
    <s v="37.20_Parking-System"/>
    <s v="F2003"/>
    <s v="Automatic Parking Support"/>
    <m/>
    <s v="Drive Assistance"/>
    <s v="Driver Assistance System"/>
    <s v="Short Range Distance Measurement"/>
    <s v="L1+/L2/L2+/L3/L4/L5"/>
    <s v="Sensor"/>
    <s v="Ultrasonic Sensor RSR"/>
    <s v="Ultrasonic Sensor RSR - Short Range Distance Measurement"/>
    <m/>
    <m/>
    <s v="101;21"/>
    <s v="TE"/>
    <s v="1-1670917-1"/>
    <s v="3 Pos. MCON 1,2mm Sealed"/>
    <m/>
    <s v="No"/>
    <s v="Yes"/>
    <s v="Yes"/>
    <n v="0.05"/>
    <n v="0"/>
    <n v="0.05"/>
    <n v="0"/>
  </r>
  <r>
    <x v="723"/>
    <m/>
    <m/>
    <m/>
    <m/>
    <m/>
    <s v="Powertrain"/>
    <s v="Engine"/>
    <s v="Mounting Vibration Control"/>
    <s v="ICE"/>
    <s v="Actuator"/>
    <s v="Valve 1 - Actuator 1 for assembly mounting"/>
    <s v="Valve 1 - Actuator 1 for assembly mounting - Mounting Vibration Control"/>
    <m/>
    <m/>
    <s v="-7;14"/>
    <m/>
    <m/>
    <m/>
    <m/>
    <s v="No"/>
    <s v="Yes"/>
    <s v="No"/>
    <n v="0"/>
    <n v="0.1"/>
    <n v="0.1"/>
    <n v="0"/>
  </r>
  <r>
    <x v="724"/>
    <m/>
    <m/>
    <m/>
    <m/>
    <s v=" "/>
    <s v="Powertrain"/>
    <s v="Engine"/>
    <s v="Mounting Vibration Control"/>
    <s v="ICE"/>
    <s v="Actuator"/>
    <s v="Valve 2 - Actuator 2 for assembly mounting"/>
    <s v="Valve 2 - Actuator 2 for assembly mounting - Mounting Vibration Control"/>
    <m/>
    <m/>
    <s v="15;-14"/>
    <m/>
    <m/>
    <m/>
    <m/>
    <s v="No"/>
    <s v="Yes"/>
    <s v="No"/>
    <n v="0"/>
    <n v="0.1"/>
    <n v="0.1"/>
    <n v="0"/>
  </r>
  <r>
    <x v="725"/>
    <m/>
    <m/>
    <m/>
    <m/>
    <m/>
    <s v="System"/>
    <s v="Power Supply"/>
    <s v="Emergency Power Supply"/>
    <m/>
    <s v="Actuator"/>
    <s v="Connection for emergency power supply"/>
    <s v="Connection for emergency power supply - Emergency Power Supply"/>
    <m/>
    <m/>
    <m/>
    <m/>
    <m/>
    <m/>
    <m/>
    <m/>
    <m/>
    <m/>
    <n v="0"/>
    <n v="0"/>
    <n v="0"/>
    <n v="0"/>
  </r>
  <r>
    <x v="726"/>
    <s v="36.0_Infotainment &amp; Connectivity"/>
    <s v="36.33_V2N_System"/>
    <s v="F0173"/>
    <s v="Hotspot"/>
    <s v="QM"/>
    <s v="Infotainment"/>
    <s v="Communication"/>
    <s v="Internal Wireless Digital Data"/>
    <s v="Private WLAN"/>
    <s v="Antenna"/>
    <s v="Wifi+Bluetooth Antenna"/>
    <s v="Wifi+Bluetooth Antenna - Internal Wireless Digital Data"/>
    <m/>
    <m/>
    <s v="85;-15"/>
    <s v="TE"/>
    <s v="1452584-1"/>
    <s v="1 Pos. Fakra II Unsealed"/>
    <m/>
    <s v="No"/>
    <s v="No"/>
    <s v="Yes"/>
    <n v="1"/>
    <n v="1"/>
    <n v="1"/>
    <n v="1"/>
  </r>
  <r>
    <x v="726"/>
    <s v="80.0_Cross-Functions"/>
    <s v="80.98_Antenna-Design"/>
    <s v="F0559"/>
    <s v="WiFi-Connection"/>
    <s v="QM"/>
    <s v="Infotainment"/>
    <s v="Communication"/>
    <s v="Internal Wireless Digital Data"/>
    <s v="Private WLAN"/>
    <s v="Antenna"/>
    <s v="Wifi+Bluetooth Antenna"/>
    <s v="Wifi+Bluetooth Antenna - Internal Wireless Digital Data"/>
    <m/>
    <m/>
    <s v="85;-15"/>
    <s v="TE"/>
    <s v="1452584-1"/>
    <s v="1 Pos. Fakra II Unsealed"/>
    <m/>
    <s v="No"/>
    <s v="No"/>
    <s v="Yes"/>
    <n v="1"/>
    <n v="1"/>
    <n v="1"/>
    <n v="1"/>
  </r>
  <r>
    <x v="727"/>
    <m/>
    <m/>
    <m/>
    <m/>
    <m/>
    <s v="Infotainment"/>
    <s v="Communication"/>
    <s v="Satellite Digital Audio Radio Service"/>
    <m/>
    <s v="Antenna"/>
    <s v="Satellite Antenna - SDARS"/>
    <s v="Satellite Antenna - SDARS - Satellite Digital Audio Radio Service"/>
    <m/>
    <m/>
    <s v="83;0"/>
    <s v="TE"/>
    <s v="1452584-1"/>
    <s v="1 Pos. Fakra II Unsealed"/>
    <m/>
    <s v="No"/>
    <s v="No"/>
    <s v="Yes"/>
    <n v="1"/>
    <n v="1"/>
    <n v="1"/>
    <n v="1"/>
  </r>
  <r>
    <x v="728"/>
    <s v="13.0_Comfort &amp; Interior"/>
    <s v="13.30_InsideLighting-System"/>
    <s v="F0383"/>
    <s v="Visor Lighting"/>
    <s v="QM"/>
    <s v="Comfort"/>
    <s v="Internal Illumination"/>
    <s v="Vanity Mirror Illumination RL"/>
    <s v="with Vanity Mirror Illumination"/>
    <s v="Switch"/>
    <s v="Switch"/>
    <s v="Switch - Vanity Mirror Illumination RL"/>
    <m/>
    <m/>
    <s v="43;-14"/>
    <s v="TE"/>
    <s v="1-929080-5"/>
    <s v="2 Pos. MQS 0,63mm Unsealed"/>
    <m/>
    <s v="No"/>
    <s v="No"/>
    <s v="Yes"/>
    <n v="0.05"/>
    <n v="0.05"/>
    <n v="0.05"/>
    <n v="0.05"/>
  </r>
  <r>
    <x v="729"/>
    <s v="13.0_Comfort &amp; Interior"/>
    <s v="13.30_InsideLighting-System"/>
    <s v="F0383"/>
    <s v="Visor Lighting"/>
    <s v="QM"/>
    <s v="Comfort"/>
    <s v="Internal Illumination"/>
    <s v="Vanity Mirror Illumination RL"/>
    <s v="with Vanity Mirror Illumination"/>
    <s v="Actuator"/>
    <s v="LED Lamp"/>
    <s v="LED Lamp - Vanity Mirror Illumination RL"/>
    <m/>
    <m/>
    <s v="62;9"/>
    <s v="TE"/>
    <s v="2282150-1"/>
    <s v="2 Pos. NanoMQS 0,5mm Unsealed"/>
    <m/>
    <s v="No"/>
    <s v="No"/>
    <s v="Yes"/>
    <n v="0.05"/>
    <n v="0.05"/>
    <n v="0.05"/>
    <n v="0.05"/>
  </r>
  <r>
    <x v="730"/>
    <s v="13.0_Comfort &amp; Interior"/>
    <s v="13.30_InsideLighting-System"/>
    <s v="F0383"/>
    <s v="Visor Lighting"/>
    <s v="QM"/>
    <s v="Comfort"/>
    <s v="Internal Illumination"/>
    <s v="Vanity Mirror Illumination RR"/>
    <s v="with Vanity Mirror Illumination"/>
    <s v="Actuator"/>
    <s v="LED Lamp"/>
    <s v="LED Lamp - Vanity Mirror Illumination RR"/>
    <m/>
    <m/>
    <s v="62;-9"/>
    <s v="TE"/>
    <s v="2282150-1"/>
    <s v="2 Pos. NanoMQS 0,5mm Unsealed"/>
    <m/>
    <s v="No"/>
    <s v="No"/>
    <s v="Yes"/>
    <n v="0.05"/>
    <n v="0.05"/>
    <n v="0.05"/>
    <n v="0.05"/>
  </r>
  <r>
    <x v="731"/>
    <s v="13.0_Comfort &amp; Interior"/>
    <s v="13.30_InsideLighting-System"/>
    <s v="F0383"/>
    <s v="Visor Lighting"/>
    <s v="QM"/>
    <s v="Comfort"/>
    <s v="Internal Illumination"/>
    <s v="Vanity Mirror Illumination RR"/>
    <s v="with Vanity Mirror Illumination"/>
    <s v="Switch"/>
    <s v="Switch"/>
    <s v="Switch - Vanity Mirror Illumination RR"/>
    <m/>
    <m/>
    <s v="43;14"/>
    <s v="TE"/>
    <s v="1-929080-5"/>
    <s v="2 Pos. MQS 0,63mm Unsealed"/>
    <m/>
    <s v="No"/>
    <s v="No"/>
    <s v="Yes"/>
    <n v="0.05"/>
    <n v="0.05"/>
    <n v="0.05"/>
    <n v="0.05"/>
  </r>
  <r>
    <x v="732"/>
    <s v="28.0_Powertrain &amp; Driveability"/>
    <s v="28.12_DriveStrategy&amp;Driveability"/>
    <s v="F0x81"/>
    <s v="Internal Combustion Engine 4 Cyl. 2,0L"/>
    <s v=" "/>
    <s v="Powertrain"/>
    <s v="Fuel Tank"/>
    <s v="Fuel Pump"/>
    <s v="ICE"/>
    <s v="Actuator"/>
    <s v="Fuel system diagnostic pump"/>
    <s v="Fuel system diagnostic pump - Fuel Pump"/>
    <m/>
    <m/>
    <s v="86;10"/>
    <m/>
    <m/>
    <m/>
    <m/>
    <s v="No"/>
    <s v="Yes"/>
    <s v="No"/>
    <n v="1"/>
    <n v="1"/>
    <n v="1"/>
    <n v="1"/>
  </r>
  <r>
    <x v="733"/>
    <m/>
    <m/>
    <m/>
    <m/>
    <s v=" "/>
    <s v="Powertrain"/>
    <s v="Engine"/>
    <s v="Exhaust Differential Pressure"/>
    <s v="ICE"/>
    <s v="Sensor"/>
    <s v="Differential pressure sensor [OPF B1]"/>
    <s v="Differential pressure sensor [OPF B1] - Exhaust Differential Pressure"/>
    <m/>
    <m/>
    <m/>
    <m/>
    <m/>
    <m/>
    <m/>
    <m/>
    <m/>
    <m/>
    <m/>
    <m/>
    <m/>
    <m/>
  </r>
  <r>
    <x v="734"/>
    <m/>
    <m/>
    <m/>
    <m/>
    <s v=" "/>
    <s v="Powertrain"/>
    <s v="Engine"/>
    <s v="Exhaust Differential Pressure"/>
    <s v="ICE"/>
    <s v="Sensor"/>
    <s v="Differential pressure sensor 2 [OPF B2]"/>
    <s v="Differential pressure sensor 2 [OPF B2] - Exhaust Differential Pressure"/>
    <m/>
    <m/>
    <m/>
    <m/>
    <m/>
    <m/>
    <m/>
    <m/>
    <m/>
    <m/>
    <m/>
    <m/>
    <m/>
    <m/>
  </r>
  <r>
    <x v="735"/>
    <m/>
    <m/>
    <s v="F0016"/>
    <s v="HVAC-System, 3- / 4-Zones"/>
    <m/>
    <s v="Comfort"/>
    <s v="Climate Control"/>
    <s v="Air Conditioning Fluid Sensor"/>
    <m/>
    <s v="Sensor"/>
    <s v="Pressure Switch"/>
    <s v="Pressure Switch - Air Conditioning Fluid Sensor"/>
    <m/>
    <m/>
    <s v="8;15"/>
    <m/>
    <m/>
    <m/>
    <m/>
    <s v="No"/>
    <s v="No"/>
    <s v="Yes"/>
    <n v="1"/>
    <n v="1"/>
    <n v="1"/>
    <n v="1"/>
  </r>
  <r>
    <x v="735"/>
    <m/>
    <m/>
    <s v="F0116"/>
    <s v="HVAC-Defrost, Manual"/>
    <m/>
    <s v="Comfort"/>
    <s v="Climate Control"/>
    <s v="Air Conditioning Fluid Sensor"/>
    <m/>
    <s v="Sensor"/>
    <s v="Pressure Switch"/>
    <s v="Pressure Switch - Air Conditioning Fluid Sensor"/>
    <m/>
    <m/>
    <s v="8;15"/>
    <m/>
    <m/>
    <m/>
    <m/>
    <s v="Yes"/>
    <s v="No"/>
    <s v="No"/>
    <n v="1"/>
    <n v="1"/>
    <n v="1"/>
    <n v="1"/>
  </r>
  <r>
    <x v="735"/>
    <m/>
    <m/>
    <s v="F0233"/>
    <s v="HVAC-Temperature, Automatic"/>
    <m/>
    <s v="Comfort"/>
    <s v="Climate Control"/>
    <s v="Air Conditioning Fluid Sensor"/>
    <m/>
    <s v="Sensor"/>
    <s v="Pressure Switch"/>
    <s v="Pressure Switch - Air Conditioning Fluid Sensor"/>
    <m/>
    <m/>
    <s v="8;15"/>
    <m/>
    <m/>
    <m/>
    <m/>
    <s v="No"/>
    <s v="Yes"/>
    <s v="Yes"/>
    <n v="1"/>
    <n v="1"/>
    <n v="1"/>
    <n v="1"/>
  </r>
  <r>
    <x v="735"/>
    <m/>
    <m/>
    <s v="F0483"/>
    <s v="HVAC-System, Fully Manual"/>
    <m/>
    <s v="Comfort"/>
    <s v="Climate Control"/>
    <s v="Air Conditioning Fluid Sensor"/>
    <m/>
    <s v="Sensor"/>
    <s v="Pressure Switch"/>
    <s v="Pressure Switch - Air Conditioning Fluid Sensor"/>
    <m/>
    <m/>
    <s v="8;15"/>
    <m/>
    <m/>
    <m/>
    <m/>
    <s v="Yes"/>
    <s v="No"/>
    <s v="No"/>
    <n v="1"/>
    <n v="1"/>
    <n v="1"/>
    <n v="1"/>
  </r>
  <r>
    <x v="735"/>
    <m/>
    <m/>
    <s v="F0721"/>
    <s v="HVAC-System, Rear Temperature Control"/>
    <m/>
    <s v="Comfort"/>
    <s v="Climate Control"/>
    <s v="Air Conditioning Fluid Sensor"/>
    <m/>
    <s v="Sensor"/>
    <s v="Pressure Switch"/>
    <s v="Pressure Switch - Air Conditioning Fluid Sensor"/>
    <m/>
    <m/>
    <s v="8;15"/>
    <m/>
    <m/>
    <m/>
    <m/>
    <s v="No"/>
    <s v="No"/>
    <s v="Yes"/>
    <n v="1"/>
    <n v="1"/>
    <n v="1"/>
    <n v="1"/>
  </r>
  <r>
    <x v="735"/>
    <m/>
    <m/>
    <s v="F0722"/>
    <s v="HVAC-System, Rear HVAC Off"/>
    <m/>
    <s v="Comfort"/>
    <s v="Climate Control"/>
    <s v="Air Conditioning Fluid Sensor"/>
    <m/>
    <s v="Sensor"/>
    <s v="Pressure Switch"/>
    <s v="Pressure Switch - Air Conditioning Fluid Sensor"/>
    <m/>
    <m/>
    <s v="8;15"/>
    <m/>
    <m/>
    <m/>
    <m/>
    <s v="No"/>
    <s v="No"/>
    <s v="Yes"/>
    <n v="1"/>
    <n v="1"/>
    <n v="1"/>
    <n v="1"/>
  </r>
  <r>
    <x v="735"/>
    <m/>
    <m/>
    <s v="F0906"/>
    <s v="HVAC Preconditioning"/>
    <m/>
    <s v="Comfort"/>
    <s v="Climate Control"/>
    <s v="Air Conditioning Fluid Sensor"/>
    <m/>
    <s v="Sensor"/>
    <s v="Pressure Switch"/>
    <s v="Pressure Switch - Air Conditioning Fluid Sensor"/>
    <m/>
    <m/>
    <s v="8;15"/>
    <m/>
    <m/>
    <m/>
    <m/>
    <s v="No"/>
    <s v="No"/>
    <s v="Yes"/>
    <n v="1"/>
    <n v="1"/>
    <n v="1"/>
    <n v="1"/>
  </r>
  <r>
    <x v="735"/>
    <m/>
    <m/>
    <s v="F0x17"/>
    <s v="HVAC-System, 2-Zones Front"/>
    <m/>
    <s v="Comfort"/>
    <s v="Climate Control"/>
    <s v="Air Conditioning Fluid Sensor"/>
    <m/>
    <s v="Sensor"/>
    <s v="Pressure Switch"/>
    <s v="Pressure Switch - Air Conditioning Fluid Sensor"/>
    <m/>
    <m/>
    <s v="8;15"/>
    <m/>
    <m/>
    <m/>
    <m/>
    <s v="No"/>
    <s v="Yes"/>
    <s v="No"/>
    <n v="1"/>
    <n v="1"/>
    <n v="1"/>
    <n v="1"/>
  </r>
  <r>
    <x v="735"/>
    <m/>
    <m/>
    <s v="F0x19"/>
    <s v="HVAC-System, Heat Pump Driven"/>
    <m/>
    <s v="Comfort"/>
    <s v="Climate Control"/>
    <s v="Air Conditioning Fluid Sensor"/>
    <m/>
    <s v="Sensor"/>
    <s v="Pressure Switch"/>
    <s v="Pressure Switch - Air Conditioning Fluid Sensor"/>
    <m/>
    <m/>
    <s v="8;15"/>
    <m/>
    <m/>
    <m/>
    <m/>
    <s v="No"/>
    <s v="No"/>
    <s v="Yes"/>
    <n v="1"/>
    <n v="1"/>
    <n v="1"/>
    <n v="1"/>
  </r>
  <r>
    <x v="736"/>
    <s v="38.0_E-Drive &amp; HV-Safety"/>
    <s v="38.10 HVBordnet&amp;Safety-System"/>
    <s v="F0526"/>
    <s v="HV-Safety, Fire Detection"/>
    <s v="QM"/>
    <s v="System"/>
    <s v="Safety"/>
    <s v="Fire Extinguishing System"/>
    <m/>
    <s v="Actuator"/>
    <s v="Fire Extinguishing Valve"/>
    <s v="Fire Extinguishing Valve - Fire Extinguishing System"/>
    <m/>
    <m/>
    <s v="17;0"/>
    <s v="TE"/>
    <s v="1563689-1"/>
    <s v="4 Pos. MCP 1,5mm Sealed"/>
    <m/>
    <s v="No"/>
    <s v="No"/>
    <s v="Yes"/>
    <n v="0"/>
    <n v="0"/>
    <n v="0"/>
    <n v="0"/>
  </r>
  <r>
    <x v="737"/>
    <s v="32.0_Comfort &amp; Chassis"/>
    <s v="32.30_Suspenioning-System"/>
    <s v="F0125"/>
    <s v="Damping, Active Electrical"/>
    <m/>
    <s v="Chassis"/>
    <s v="Suspension"/>
    <s v="Vehicle Level Information"/>
    <m/>
    <s v="Sensor"/>
    <s v="Vehicle Level Sensor Front Left"/>
    <s v="Vehicle Level Sensor Front Left - Vehicle Level Information"/>
    <m/>
    <m/>
    <s v="8;-18"/>
    <s v="TE"/>
    <s v="4-1488991-1"/>
    <s v="3 Pos. MCON 1,2mm Sealed"/>
    <m/>
    <s v="No"/>
    <s v="No"/>
    <s v="Yes"/>
    <n v="1"/>
    <n v="1"/>
    <n v="1"/>
    <n v="1"/>
  </r>
  <r>
    <x v="738"/>
    <s v="28.0_Powertrain &amp; Driveability"/>
    <s v="28.x1_Transmission"/>
    <s v="F0x26"/>
    <s v="Automatic Transmission"/>
    <m/>
    <s v="Powertrain"/>
    <s v="Transmission"/>
    <s v="Neutral Position"/>
    <s v="ICE"/>
    <s v="Sensor"/>
    <s v="Sender - Transmission Neutral Position"/>
    <s v="Sender - Transmission Neutral Position - Neutral Position"/>
    <m/>
    <m/>
    <m/>
    <m/>
    <m/>
    <m/>
    <m/>
    <m/>
    <m/>
    <m/>
    <m/>
    <m/>
    <m/>
    <m/>
  </r>
  <r>
    <x v="739"/>
    <s v="28.0_Powertrain &amp; Driveability"/>
    <s v="28.x1_Transmission"/>
    <s v="F0x26"/>
    <s v="Automatic Transmission"/>
    <m/>
    <s v="Powertrain"/>
    <s v="Transmission"/>
    <s v="Oil Temperature"/>
    <s v="ICE"/>
    <s v="Sensor"/>
    <s v="Transmission oil temperature sensor"/>
    <s v="Transmission oil temperature sensor - Oil Temperature"/>
    <m/>
    <m/>
    <m/>
    <m/>
    <m/>
    <m/>
    <m/>
    <m/>
    <m/>
    <m/>
    <m/>
    <m/>
    <m/>
    <m/>
  </r>
  <r>
    <x v="740"/>
    <s v="28.0_Powertrain &amp; Driveability"/>
    <s v="28.x1_Transmission"/>
    <s v="F0x24"/>
    <s v="Manual Transmission"/>
    <m/>
    <s v="Powertrain"/>
    <s v="Transmission"/>
    <s v="Speed Sensor"/>
    <s v="ICE"/>
    <s v="Sensor"/>
    <s v="transmission speed sensor"/>
    <s v="transmission speed sensor - Speed Sensor"/>
    <m/>
    <m/>
    <m/>
    <m/>
    <m/>
    <m/>
    <m/>
    <m/>
    <m/>
    <m/>
    <m/>
    <m/>
    <m/>
    <m/>
  </r>
  <r>
    <x v="740"/>
    <s v="28.0_Powertrain &amp; Driveability"/>
    <s v="28.x1_Transmission"/>
    <s v="F0x26"/>
    <s v="Automatic Transmission"/>
    <m/>
    <s v="Powertrain"/>
    <s v="Transmission"/>
    <s v="Speed Sensor"/>
    <s v="ICE"/>
    <s v="Sensor"/>
    <s v="transmission speed sensor"/>
    <s v="transmission speed sensor - Speed Sensor"/>
    <m/>
    <m/>
    <m/>
    <m/>
    <m/>
    <m/>
    <m/>
    <m/>
    <m/>
    <m/>
    <m/>
    <m/>
    <m/>
    <m/>
  </r>
  <r>
    <x v="741"/>
    <m/>
    <m/>
    <m/>
    <m/>
    <s v=" "/>
    <s v="Powertrain"/>
    <s v="Engine"/>
    <s v="Heating"/>
    <s v="ICE"/>
    <s v="Actuator"/>
    <s v="Pump - Heating Support"/>
    <s v="Pump - Heating Support - Heating"/>
    <m/>
    <m/>
    <m/>
    <m/>
    <m/>
    <m/>
    <m/>
    <m/>
    <m/>
    <m/>
    <m/>
    <m/>
    <m/>
    <m/>
  </r>
  <r>
    <x v="742"/>
    <s v="10.0_Comfort &amp; Exterior"/>
    <s v="10.x3_Body"/>
    <s v="F0x50"/>
    <s v="Roof, Convertible"/>
    <m/>
    <s v="Body"/>
    <s v="Convertible"/>
    <s v="Convertible Top Movement"/>
    <s v="Convertible"/>
    <s v="Actuator"/>
    <s v="Hydraulic pump for convertible top operation"/>
    <s v="Hydraulic pump for convertible top operation - Convertible Top Movement"/>
    <m/>
    <m/>
    <s v="96;-17"/>
    <m/>
    <m/>
    <m/>
    <m/>
    <s v="No"/>
    <s v="No"/>
    <s v="Yes"/>
    <n v="3.3333333333333333E-2"/>
    <n v="0"/>
    <n v="0"/>
    <n v="0"/>
  </r>
  <r>
    <x v="743"/>
    <s v="28.0_Powertrain &amp; Driveability"/>
    <s v="28.x1_Transmission"/>
    <s v="F0x28"/>
    <s v="All-Wheel Drive"/>
    <m/>
    <s v="Powertrain"/>
    <s v="Transmission"/>
    <s v="All Wheel Dirve"/>
    <m/>
    <s v="Sensor"/>
    <s v="Hydraulic temperature sensor for all-wheel drive"/>
    <s v="Hydraulic temperature sensor for all-wheel drive - All Wheel Dirve"/>
    <m/>
    <m/>
    <m/>
    <m/>
    <m/>
    <m/>
    <m/>
    <m/>
    <m/>
    <m/>
    <m/>
    <m/>
    <m/>
    <m/>
  </r>
  <r>
    <x v="744"/>
    <s v="32.0_Comfort &amp; Chassis"/>
    <s v="32.30_Suspenioning-System"/>
    <s v="F0125"/>
    <s v="Damping, Active Electrical"/>
    <s v=" "/>
    <s v="Chassis"/>
    <s v="Suspension"/>
    <s v="Dynamic Stabilization"/>
    <m/>
    <s v="Sensor"/>
    <s v="Body Acceleration Sensor RL"/>
    <s v="Body Acceleration Sensor RL - Dynamic Stabilization"/>
    <m/>
    <m/>
    <s v="85;0"/>
    <s v="TE"/>
    <s v="1-1924067-1"/>
    <s v="2 Pos. MCON 1,2mm Sealed"/>
    <m/>
    <s v="No"/>
    <s v="No"/>
    <s v="Yes"/>
    <n v="1"/>
    <n v="1"/>
    <n v="1"/>
    <n v="1"/>
  </r>
  <r>
    <x v="745"/>
    <s v="32.0_Comfort &amp; Chassis"/>
    <s v="32.30_Suspenioning-System"/>
    <s v="F0125"/>
    <s v="Damping, Active Electrical"/>
    <s v=" "/>
    <s v="Chassis"/>
    <s v="Suspension"/>
    <s v="Dynamic Stabilization"/>
    <m/>
    <s v="Sensor"/>
    <s v="Body Acceleration Sensor FL"/>
    <s v="Body Acceleration Sensor FL - Dynamic Stabilization"/>
    <m/>
    <m/>
    <s v="8;-16"/>
    <s v="TE"/>
    <s v="1-1924067-1"/>
    <s v="2 Pos. MCON 1,2mm Sealed"/>
    <m/>
    <s v="No"/>
    <s v="No"/>
    <s v="Yes"/>
    <n v="1"/>
    <n v="1"/>
    <n v="1"/>
    <n v="1"/>
  </r>
  <r>
    <x v="746"/>
    <s v="32.0_Comfort &amp; Chassis"/>
    <s v="32.30_Suspenioning-System"/>
    <s v="F0125"/>
    <s v="Damping, Active Electrical"/>
    <s v=" "/>
    <s v="Chassis"/>
    <s v="Suspension"/>
    <s v="Dynamic Stabilization"/>
    <m/>
    <s v="Sensor"/>
    <s v="Body Acceleration Sensor FR"/>
    <s v="Body Acceleration Sensor FR - Dynamic Stabilization"/>
    <m/>
    <m/>
    <s v="8;16"/>
    <s v="TE"/>
    <s v="1-1924067-1"/>
    <s v="2 Pos. MCON 1,2mm Sealed"/>
    <m/>
    <s v="No"/>
    <s v="No"/>
    <s v="Yes"/>
    <n v="1"/>
    <n v="1"/>
    <n v="1"/>
    <n v="1"/>
  </r>
  <r>
    <x v="747"/>
    <s v="13.0_Comfort &amp; Interior"/>
    <s v="13.30_InsideLighting-System"/>
    <s v="F0x52"/>
    <s v="Front Trunk Lighting"/>
    <s v="QM"/>
    <s v="Comfort"/>
    <s v="Internal Illumination"/>
    <s v="Front Trunk Illumination"/>
    <m/>
    <s v="Actuator"/>
    <s v="LED Lamp"/>
    <s v="LED Lamp - Front Trunk Illumination"/>
    <m/>
    <m/>
    <s v="4;-14"/>
    <s v="TE"/>
    <s v="1-1670916-1"/>
    <s v="2 Pos. MCON 1,2mm Sealed"/>
    <m/>
    <s v="No"/>
    <s v="Yes"/>
    <s v="Yes"/>
    <n v="0"/>
    <n v="0"/>
    <n v="0"/>
    <n v="0"/>
  </r>
  <r>
    <x v="748"/>
    <s v="10.0_Comfort &amp; Exterior"/>
    <s v="10.x2_Spoilers"/>
    <s v="F0x49"/>
    <s v="Spoilers, Automatic Adjustments"/>
    <s v=" "/>
    <s v="Body"/>
    <s v="Aerodynamics"/>
    <s v="Front Spoiler Adjustment"/>
    <s v="Sports / High Performance Driving Versions"/>
    <s v="Actuator"/>
    <s v="Compressor for front spoiler adjustment"/>
    <s v="Compressor for front spoiler adjustment - Front Spoiler Adjustment"/>
    <m/>
    <s v=" "/>
    <s v="-1;19"/>
    <s v="TE"/>
    <s v="1897726-2"/>
    <s v="10 Pos. MCP 1,5mm Sealed"/>
    <m/>
    <s v="No"/>
    <s v="No"/>
    <s v="Yes"/>
    <n v="0"/>
    <n v="4.1666666666666664E-2"/>
    <n v="0"/>
    <n v="4.1666666666666664E-2"/>
  </r>
  <r>
    <x v="749"/>
    <s v="32.0_Comfort &amp; Chassis"/>
    <s v="32.20_Steering-System"/>
    <s v="F0348"/>
    <s v="Steering System, Electric Power Steering (EPS)"/>
    <s v="D"/>
    <s v="Chassis"/>
    <s v="Electrical Power Steering"/>
    <s v="Steering"/>
    <s v="Basic"/>
    <s v="Actuator"/>
    <s v="Steering Motor Unit"/>
    <s v="Steering Motor Unit - Steering"/>
    <m/>
    <m/>
    <s v="2;-14"/>
    <s v="TE"/>
    <s v="1-2294261-5"/>
    <s v="6 Pos. MCON 1,2mm Sealed"/>
    <m/>
    <s v="Yes"/>
    <s v="Yes"/>
    <s v="No"/>
    <n v="1"/>
    <n v="1"/>
    <n v="1"/>
    <n v="1"/>
  </r>
  <r>
    <x v="750"/>
    <s v="28.0_Powertrain &amp; Driveability"/>
    <s v="28.12_DriveStrategy&amp;Driveability"/>
    <s v="F0x81"/>
    <s v="Internal Combustion Engine 4 Cyl. 2,0L"/>
    <s v=" "/>
    <s v="Powertrain"/>
    <s v="Fuel Tank"/>
    <s v="Fuel Pump"/>
    <s v="ICE"/>
    <s v="Actuator"/>
    <s v="Fuel Pump"/>
    <s v="Fuel Pump - Fuel Pump"/>
    <m/>
    <m/>
    <s v="86;10"/>
    <m/>
    <m/>
    <m/>
    <m/>
    <s v="No"/>
    <s v="Yes"/>
    <s v="No"/>
    <n v="0.5"/>
    <n v="0.5"/>
    <n v="0.5"/>
    <n v="0.5"/>
  </r>
  <r>
    <x v="750"/>
    <s v="28.0_Powertrain &amp; Driveability"/>
    <s v="28.12_DriveStrategy&amp;Driveability"/>
    <s v="F0x81"/>
    <s v="Internal Combustion Engine 4 Cyl. 2,0L"/>
    <s v=" "/>
    <s v="Powertrain"/>
    <s v="Fuel Tank"/>
    <s v="Fuel Pump"/>
    <s v="ICE"/>
    <s v="Sensor"/>
    <s v="Fuel Tank Level Sensor"/>
    <s v="Fuel Tank Level Sensor - Fuel Pump"/>
    <m/>
    <m/>
    <s v="86;10"/>
    <m/>
    <m/>
    <m/>
    <m/>
    <s v="No"/>
    <s v="Yes"/>
    <s v="No"/>
    <n v="1"/>
    <n v="1"/>
    <n v="1"/>
    <n v="1"/>
  </r>
  <r>
    <x v="751"/>
    <s v="28.0_Powertrain &amp; Driveability"/>
    <s v="28.12_DriveStrategy&amp;Driveability"/>
    <s v="F0x80"/>
    <s v="Internal Combustion Engine 3 Cyl. 1,0L"/>
    <s v=" "/>
    <s v="Powertrain"/>
    <s v="Engine"/>
    <s v="Exhaust Measurement"/>
    <s v="ICE"/>
    <s v="Sensor"/>
    <s v="Oxigen Sensor - After Catalyzer"/>
    <s v="Oxigen Sensor - After Catalyzer - Exhaust Measurement"/>
    <m/>
    <m/>
    <s v="61;-5"/>
    <m/>
    <m/>
    <m/>
    <m/>
    <s v="Yes"/>
    <s v="No"/>
    <s v="No"/>
    <n v="0.05"/>
    <n v="0.3"/>
    <n v="0.3"/>
    <n v="0.05"/>
  </r>
  <r>
    <x v="751"/>
    <s v="28.0_Powertrain &amp; Driveability"/>
    <s v="28.12_DriveStrategy&amp;Driveability"/>
    <s v="F0x81"/>
    <s v="Internal Combustion Engine 4 Cyl. 2,0L"/>
    <s v=" "/>
    <s v="Powertrain"/>
    <s v="Engine"/>
    <s v="Exhaust Measurement"/>
    <s v="ICE"/>
    <s v="Sensor"/>
    <s v="Oxigen Sensor - After Catalyzer"/>
    <s v="Oxigen Sensor - After Catalyzer - Exhaust Measurement"/>
    <m/>
    <m/>
    <s v="61;-5"/>
    <m/>
    <m/>
    <m/>
    <m/>
    <s v="No"/>
    <s v="Yes"/>
    <s v="No"/>
    <n v="0.05"/>
    <n v="0.3"/>
    <n v="0.3"/>
    <n v="0.05"/>
  </r>
  <r>
    <x v="752"/>
    <s v="28.0_Powertrain &amp; Driveability"/>
    <s v="28.12_DriveStrategy&amp;Driveability"/>
    <s v="F0x80"/>
    <s v="Internal Combustion Engine 3 Cyl. 1,0L"/>
    <s v=" "/>
    <s v="Powertrain"/>
    <s v="Engine"/>
    <s v="Exhaust Measurement"/>
    <s v="ICE"/>
    <s v="Sensor"/>
    <s v="Oxigen Sensor - Before Catalyzer"/>
    <s v="Oxigen Sensor - Before Catalyzer - Exhaust Measurement"/>
    <m/>
    <m/>
    <s v="-11;-5"/>
    <m/>
    <m/>
    <m/>
    <m/>
    <s v="Yes"/>
    <s v="No"/>
    <s v="No"/>
    <n v="1"/>
    <n v="1"/>
    <n v="1"/>
    <n v="1"/>
  </r>
  <r>
    <x v="752"/>
    <s v="28.0_Powertrain &amp; Driveability"/>
    <s v="28.12_DriveStrategy&amp;Driveability"/>
    <s v="F0x81"/>
    <s v="Internal Combustion Engine 4 Cyl. 2,0L"/>
    <s v=" "/>
    <s v="Powertrain"/>
    <s v="Engine"/>
    <s v="Exhaust Measurement"/>
    <s v="ICE"/>
    <s v="Sensor"/>
    <s v="Oxigen Sensor - Before Catalyzer"/>
    <s v="Oxigen Sensor - Before Catalyzer - Exhaust Measurement"/>
    <m/>
    <m/>
    <s v="-11;-5"/>
    <m/>
    <m/>
    <m/>
    <m/>
    <s v="No"/>
    <s v="Yes"/>
    <s v="No"/>
    <n v="1"/>
    <n v="1"/>
    <n v="1"/>
    <n v="1"/>
  </r>
  <r>
    <x v="753"/>
    <s v="32.0_Comfort &amp; Chassis"/>
    <s v="32.30_Suspenioning-System"/>
    <s v="F0x46"/>
    <s v="Damping, Front axle lift system"/>
    <s v=" "/>
    <s v="Chassis"/>
    <s v="Suspension"/>
    <s v="Front Axle Height Adjustment"/>
    <s v="with Front Axle Height Adjustment"/>
    <s v="Actuator"/>
    <s v="Hydraulic Pump Motor"/>
    <s v="Hydraulic Pump Motor - Front Axle Height Adjustment"/>
    <m/>
    <s v=" "/>
    <s v="-11;0"/>
    <s v="TE"/>
    <s v="1897210-1"/>
    <s v="4 Pos. MCP 2,8mm / 6,3mm Sealed"/>
    <m/>
    <s v="No"/>
    <s v="No"/>
    <s v="Yes"/>
    <n v="3.3333333333333333E-2"/>
    <n v="3.3333333333333333E-2"/>
    <n v="3.3333333333333333E-2"/>
    <n v="3.3333333333333333E-2"/>
  </r>
  <r>
    <x v="754"/>
    <s v="10.0_Comfort &amp; Exterior"/>
    <s v="10.x3_Body"/>
    <s v="F0x50"/>
    <s v="Roof, Convertible"/>
    <m/>
    <s v="Body"/>
    <s v="Convertible"/>
    <s v="Wind Deflection"/>
    <s v="Convertible"/>
    <s v="Actuator"/>
    <s v="Wind Deflector Motor"/>
    <s v="Wind Deflector Motor - Wind Deflection"/>
    <m/>
    <m/>
    <s v="58;-19"/>
    <m/>
    <m/>
    <m/>
    <m/>
    <s v="No"/>
    <s v="No"/>
    <s v="Yes"/>
    <n v="1"/>
    <n v="0"/>
    <n v="0"/>
    <n v="0"/>
  </r>
  <r>
    <x v="755"/>
    <m/>
    <m/>
    <m/>
    <m/>
    <m/>
    <s v="System"/>
    <s v="Power Supply"/>
    <s v="Emergency Switch-Off Switch"/>
    <m/>
    <s v="Switch"/>
    <s v="User Selector"/>
    <s v="User Selector - Emergency Switch-Off Switch"/>
    <m/>
    <m/>
    <m/>
    <m/>
    <m/>
    <m/>
    <m/>
    <m/>
    <m/>
    <m/>
    <m/>
    <m/>
    <m/>
    <m/>
  </r>
  <r>
    <x v="756"/>
    <s v="10.0_Comfort &amp; Exterior"/>
    <s v="10.30_OutsideLighting-System"/>
    <s v="F0091"/>
    <s v="Rear Lighting, Reverse Light"/>
    <s v="QM"/>
    <s v="Body"/>
    <s v="External Illumination"/>
    <s v="Reverse Gear Switch"/>
    <s v="Manual Transmission"/>
    <s v="Switch"/>
    <s v="Reverse Gear Switch"/>
    <s v="Reverse Gear Switch - Reverse Gear Switch"/>
    <m/>
    <m/>
    <s v="16;-7"/>
    <s v="TE"/>
    <s v="1897212-1"/>
    <s v="2 Pos. MCP 1,5mm Sealed"/>
    <m/>
    <s v="Yes"/>
    <s v="No"/>
    <s v="No"/>
    <n v="0.01"/>
    <n v="0"/>
    <n v="0.01"/>
    <n v="0"/>
  </r>
  <r>
    <x v="757"/>
    <s v="10.0_Comfort &amp; Exterior"/>
    <s v="10.x3_Body"/>
    <s v="F0x50"/>
    <s v="Roof, Convertible"/>
    <m/>
    <s v="Body"/>
    <s v="Convertible"/>
    <s v="Convertible Top Locking"/>
    <s v="Convertible"/>
    <s v="Switch"/>
    <s v="User Selector"/>
    <s v="User Selector - Convertible Top Locking"/>
    <m/>
    <m/>
    <s v="41;0"/>
    <m/>
    <m/>
    <m/>
    <m/>
    <s v="No"/>
    <s v="No"/>
    <s v="Yes"/>
    <n v="1"/>
    <n v="0"/>
    <n v="0"/>
    <n v="0"/>
  </r>
  <r>
    <x v="758"/>
    <s v="32.0_Comfort &amp; Chassis"/>
    <s v="32.30_Suspenioning-System"/>
    <s v="F0x47"/>
    <s v="Stabilizer, Decoupling"/>
    <s v=" "/>
    <s v="Chassis"/>
    <s v="Suspension"/>
    <s v="Rear Axle Anti-roll Bar Decoupling"/>
    <s v="with Dynamic Stabilization"/>
    <s v="Actuator"/>
    <s v="Rear Axle Anti-roll Bar Decoupling Valve"/>
    <s v="Rear Axle Anti-roll Bar Decoupling Valve - Rear Axle Anti-roll Bar Decoupling"/>
    <m/>
    <s v=" "/>
    <s v="87;0"/>
    <s v="TE"/>
    <s v="1-2282337-5"/>
    <s v="10 Pos. MCON 1,2mm Sealed"/>
    <m/>
    <s v="No"/>
    <s v="No"/>
    <s v="Yes"/>
    <n v="1"/>
    <n v="1"/>
    <n v="1"/>
    <n v="1"/>
  </r>
  <r>
    <x v="759"/>
    <s v="32.0_Comfort &amp; Chassis"/>
    <s v="32.30_Suspenioning-System"/>
    <s v="F0x47"/>
    <s v="Stabilizer, Decoupling"/>
    <m/>
    <s v="Chassis"/>
    <s v="Suspension"/>
    <s v="Front Axle Anti-roll Bar Decoupling"/>
    <s v="with Dynamic Stabilization"/>
    <s v="Actuator"/>
    <s v="Front Axle Anti-roll Bar Decoupling Valve"/>
    <s v="Front Axle Anti-roll Bar Decoupling Valve - Front Axle Anti-roll Bar Decoupling"/>
    <m/>
    <s v=" "/>
    <s v="-13;0"/>
    <s v="TE"/>
    <s v="1-2323170-5"/>
    <s v="12 Pos. MCON 1,2mm Sealed"/>
    <m/>
    <s v="No"/>
    <s v="No"/>
    <s v="Yes"/>
    <n v="1"/>
    <n v="1"/>
    <n v="1"/>
    <n v="1"/>
  </r>
  <r>
    <x v="760"/>
    <s v="10.0_Comfort &amp; Exterior"/>
    <s v="10.50_ExteriorHeating-System"/>
    <s v="F1035"/>
    <s v="Heating Sensor Farm"/>
    <m/>
    <s v="Drive Assistance"/>
    <s v="Driver Assistance System"/>
    <s v="Front Sensors Heating"/>
    <m/>
    <s v="Actuator"/>
    <s v="Heater - Window heating for front sensors"/>
    <s v="Heater - Window heating for front sensors - Front Sensors Heating"/>
    <m/>
    <m/>
    <s v="40;0"/>
    <s v="TE"/>
    <s v="1563189-1"/>
    <s v="2 Pos. MPT 1,5mm Unsealed"/>
    <m/>
    <s v="No"/>
    <s v="Yes"/>
    <s v="Yes"/>
    <n v="0"/>
    <n v="0.2"/>
    <n v="0.2"/>
    <n v="0"/>
  </r>
  <r>
    <x v="761"/>
    <s v="10.0_Comfort &amp; Exterior"/>
    <s v="10.30_OutsideLighting-System"/>
    <s v="F0110"/>
    <s v="Rear Lighting, Taillamp"/>
    <s v="QM"/>
    <s v="Body"/>
    <s v="External Illumination"/>
    <s v="Rear Lamps - Central"/>
    <s v="Full LED"/>
    <s v="Actuator"/>
    <s v="Taillamp Assy' Full LED - Center"/>
    <s v="Taillamp Assy' Full LED - Center - Rear Lamps - Central"/>
    <m/>
    <m/>
    <s v="112;0"/>
    <s v="TE"/>
    <s v="1438992-1"/>
    <s v="5 Pos. MQS 0,63mm / MPQ 2,8mm Unsealed"/>
    <s v="No"/>
    <s v="No"/>
    <s v="No"/>
    <s v="Yes"/>
    <n v="0.17"/>
    <n v="7.0000000000000007E-2"/>
    <n v="0.67"/>
    <n v="0.56999999999999995"/>
  </r>
  <r>
    <x v="761"/>
    <s v="10.0_Comfort &amp; Exterior"/>
    <s v="10.30_OutsideLighting-System"/>
    <s v="F0220"/>
    <s v="Light Scenario, Coming Home "/>
    <s v="QM"/>
    <s v="Body"/>
    <s v="External Illumination"/>
    <s v="Rear Lamps - Central"/>
    <s v="Full LED"/>
    <s v="Actuator"/>
    <s v="Taillamp Assy' Full LED - Center"/>
    <s v="Taillamp Assy' Full LED - Center - Rear Lamps - Central"/>
    <m/>
    <m/>
    <s v="112;0"/>
    <s v="TE"/>
    <s v="1438992-1"/>
    <s v="5 Pos. MQS 0,63mm / MPQ 2,8mm Unsealed"/>
    <s v="No"/>
    <s v="No"/>
    <s v="No"/>
    <s v="Yes"/>
    <n v="0.17"/>
    <n v="7.0000000000000007E-2"/>
    <n v="0.67"/>
    <n v="0.56999999999999995"/>
  </r>
  <r>
    <x v="761"/>
    <s v="10.0_Comfort &amp; Exterior"/>
    <s v="10.30_OutsideLighting-System"/>
    <s v="F0221"/>
    <s v="Light Scenario, Welcome Light"/>
    <s v="QM"/>
    <s v="Body"/>
    <s v="External Illumination"/>
    <s v="Rear Lamps - Central"/>
    <s v="Full LED"/>
    <s v="Actuator"/>
    <s v="Taillamp Assy' Full LED - Center"/>
    <s v="Taillamp Assy' Full LED - Center - Rear Lamps - Central"/>
    <m/>
    <m/>
    <s v="112;0"/>
    <s v="TE"/>
    <s v="1438992-1"/>
    <s v="5 Pos. MQS 0,63mm / MPQ 2,8mm Unsealed"/>
    <s v="No"/>
    <s v="No"/>
    <s v="No"/>
    <s v="Yes"/>
    <n v="0.17"/>
    <n v="7.0000000000000007E-2"/>
    <n v="0.67"/>
    <n v="0.56999999999999995"/>
  </r>
  <r>
    <x v="761"/>
    <s v="10.0_Comfort &amp; Exterior"/>
    <s v="10.30_OutsideLighting-System"/>
    <s v="F0227"/>
    <s v="Light Scenario, Parking Light"/>
    <s v="QM"/>
    <s v="Body"/>
    <s v="External Illumination"/>
    <s v="Rear Lamps - Central"/>
    <s v="Full LED"/>
    <s v="Actuator"/>
    <s v="Taillamp Assy' Full LED - Center"/>
    <s v="Taillamp Assy' Full LED - Center - Rear Lamps - Central"/>
    <m/>
    <m/>
    <s v="112;0"/>
    <s v="TE"/>
    <s v="1438992-1"/>
    <s v="5 Pos. MQS 0,63mm / MPQ 2,8mm Unsealed"/>
    <s v="No"/>
    <s v="No"/>
    <s v="No"/>
    <s v="Yes"/>
    <n v="0.17"/>
    <n v="7.0000000000000007E-2"/>
    <n v="0.67"/>
    <n v="0.56999999999999995"/>
  </r>
  <r>
    <x v="761"/>
    <s v="10.0_Comfort &amp; Exterior"/>
    <s v="10.30_OutsideLighting-System"/>
    <s v="F0231"/>
    <s v="Rear Lighting, Rear Position Light"/>
    <s v="QM"/>
    <s v="Body"/>
    <s v="External Illumination"/>
    <s v="Rear Lamps - Central"/>
    <s v="Full LED"/>
    <s v="Actuator"/>
    <s v="Taillamp Assy' Full LED - Center"/>
    <s v="Taillamp Assy' Full LED - Center - Rear Lamps - Central"/>
    <m/>
    <m/>
    <s v="112;0"/>
    <s v="TE"/>
    <s v="1438992-1"/>
    <s v="5 Pos. MQS 0,63mm / MPQ 2,8mm Unsealed"/>
    <s v="No"/>
    <s v="No"/>
    <s v="No"/>
    <s v="Yes"/>
    <n v="0.17"/>
    <n v="7.0000000000000007E-2"/>
    <n v="0.67"/>
    <n v="0.56999999999999995"/>
  </r>
  <r>
    <x v="762"/>
    <s v="32.0_Comfort &amp; Chassis"/>
    <s v="32.30_Suspenioning-System"/>
    <s v="F0x48"/>
    <s v="Aquaplaning, Warning"/>
    <s v=" "/>
    <s v="Chassis"/>
    <s v="Suspension"/>
    <s v="Aquaplaning Warning"/>
    <s v="with Aquaplaning Warning"/>
    <s v="Sensor"/>
    <s v="Acoustic Sensor Left"/>
    <s v="Acoustic Sensor Left - Aquaplaning Warning"/>
    <m/>
    <s v=" "/>
    <s v="18;-22"/>
    <m/>
    <m/>
    <m/>
    <m/>
    <s v="No"/>
    <s v="No"/>
    <s v="Yes"/>
    <n v="1"/>
    <n v="1"/>
    <n v="1"/>
    <n v="1"/>
  </r>
  <r>
    <x v="763"/>
    <s v="32.0_Comfort &amp; Chassis"/>
    <s v="32.30_Suspenioning-System"/>
    <s v="F0x48"/>
    <s v="Aquaplaning, Warning"/>
    <s v=" "/>
    <s v="Chassis"/>
    <s v="Suspension"/>
    <s v="Aquaplaning Warning"/>
    <s v="with Aquaplaning Warning"/>
    <s v="Sensor"/>
    <s v="Acoustic Sensor Right"/>
    <s v="Acoustic Sensor Right - Aquaplaning Warning"/>
    <m/>
    <s v=" "/>
    <s v="18;22"/>
    <s v="TE"/>
    <s v="1-1670917-1"/>
    <s v="3 Pos. MCON 1,2mm Sealed"/>
    <s v="No"/>
    <s v="No"/>
    <s v="No"/>
    <s v="Yes"/>
    <n v="1"/>
    <n v="1"/>
    <n v="1"/>
    <n v="1"/>
  </r>
  <r>
    <x v="764"/>
    <m/>
    <m/>
    <m/>
    <m/>
    <m/>
    <s v="Infotainment"/>
    <s v="Motor Sound"/>
    <s v="Engine Noise Generation [E-Sound]"/>
    <m/>
    <s v="Loudspeaker"/>
    <s v="Mid-Range Speaker HL"/>
    <s v="Mid-Range Speaker HL - Engine Noise Generation [E-Sound]"/>
    <m/>
    <m/>
    <s v="58;-22"/>
    <s v="TE"/>
    <s v="1718831-1"/>
    <s v="2 Pos. SPT 4,8mm Unsealed"/>
    <m/>
    <s v="No"/>
    <s v="No"/>
    <s v="Yes"/>
    <n v="0"/>
    <n v="0.8"/>
    <n v="0"/>
    <n v="0.4"/>
  </r>
  <r>
    <x v="765"/>
    <m/>
    <m/>
    <m/>
    <m/>
    <m/>
    <s v="Infotainment"/>
    <s v="Motor Sound"/>
    <s v="Engine Noise Generation [E-Sound]"/>
    <m/>
    <s v="Loudspeaker"/>
    <s v="Mid-Range Speaker HR"/>
    <s v="Mid-Range Speaker HR - Engine Noise Generation [E-Sound]"/>
    <m/>
    <m/>
    <s v="58;22"/>
    <s v="TE"/>
    <s v="1718831-1"/>
    <s v="2 Pos. SPT 4,8mm Unsealed"/>
    <m/>
    <s v="No"/>
    <s v="No"/>
    <s v="Yes"/>
    <n v="0"/>
    <n v="0.8"/>
    <n v="0"/>
    <n v="0.4"/>
  </r>
  <r>
    <x v="766"/>
    <m/>
    <m/>
    <m/>
    <m/>
    <m/>
    <s v="Powertrain"/>
    <s v="Engine"/>
    <s v="Socket for Radio Data Communication"/>
    <s v="ICE"/>
    <s v="Inlet"/>
    <s v="Socket for Radio Data Communication"/>
    <s v="Socket for Radio Data Communication - Socket for Radio Data Communication"/>
    <m/>
    <m/>
    <m/>
    <m/>
    <m/>
    <m/>
    <m/>
    <m/>
    <m/>
    <m/>
    <n v="1"/>
    <n v="1"/>
    <n v="1"/>
    <n v="1"/>
  </r>
  <r>
    <x v="767"/>
    <m/>
    <m/>
    <m/>
    <m/>
    <m/>
    <s v="Powertrain"/>
    <s v="Engine"/>
    <s v="Socket for Radio Data Communication"/>
    <s v="ICE"/>
    <s v="Inlet"/>
    <s v="Socket for Radio Data Communication"/>
    <s v="Socket for Radio Data Communication - Socket for Radio Data Communication"/>
    <m/>
    <m/>
    <m/>
    <m/>
    <m/>
    <m/>
    <m/>
    <m/>
    <m/>
    <m/>
    <m/>
    <m/>
    <m/>
    <m/>
  </r>
  <r>
    <x v="768"/>
    <m/>
    <m/>
    <m/>
    <m/>
    <m/>
    <s v="Comfort"/>
    <s v="Central Locking"/>
    <s v="Front Trunk Open"/>
    <m/>
    <s v="Actuator"/>
    <s v="Stepper  Motor - Front Trunk Release"/>
    <s v="Stepper  Motor - Front Trunk Release - Front Trunk Open"/>
    <m/>
    <m/>
    <s v="-13;0"/>
    <m/>
    <m/>
    <m/>
    <m/>
    <s v="No"/>
    <s v="No"/>
    <s v="No"/>
    <n v="8.3333333333333339E-4"/>
    <n v="8.3333333333333339E-4"/>
    <n v="8.3333333333333339E-4"/>
    <n v="8.3333333333333339E-4"/>
  </r>
  <r>
    <x v="769"/>
    <s v="10.0_Comfort &amp; Exterior"/>
    <s v="10.10_CentralLocking-System"/>
    <s v="F0xx2"/>
    <s v="Front Hood, Electric Release"/>
    <m/>
    <s v="Comfort"/>
    <s v="Central Locking"/>
    <s v="Hood Emergency Release"/>
    <m/>
    <s v="Actuator"/>
    <s v="Stepper Motor - Emergency Hood Release"/>
    <s v="Stepper Motor - Emergency Hood Release - Hood Emergency Release"/>
    <m/>
    <m/>
    <s v="-14;0"/>
    <m/>
    <m/>
    <m/>
    <m/>
    <s v="No"/>
    <s v="No"/>
    <s v="No"/>
    <m/>
    <m/>
    <m/>
    <m/>
  </r>
  <r>
    <x v="770"/>
    <s v="32.0_Comfort &amp; Chassis"/>
    <s v="32.20_Steering-System"/>
    <s v="F0348"/>
    <s v="Steering System, Electric Power Steering (EPS)"/>
    <s v="D"/>
    <s v="Chassis"/>
    <s v="Electrical Power Steering"/>
    <s v="Rear Axle Steering"/>
    <s v="Sports / High Performance Driving Versions"/>
    <s v="Actuator"/>
    <s v="Rear Axle Steering Motor Right"/>
    <s v="Rear Axle Steering Motor Right - Rear Axle Steering"/>
    <m/>
    <m/>
    <s v="82;17"/>
    <s v="TE"/>
    <s v="2343344-2"/>
    <s v="2 Pos. MCON 12,0mm Sealed"/>
    <m/>
    <s v="No"/>
    <s v="No"/>
    <s v="Yes"/>
    <n v="0.02"/>
    <n v="0.01"/>
    <n v="0.02"/>
    <n v="0.01"/>
  </r>
  <r>
    <x v="771"/>
    <s v="37.0_ADAS &amp; AutomatedDriving"/>
    <s v="37.02_Alerting-System"/>
    <s v="F0158"/>
    <s v="Collision Alert Rear, Rear Cross Traffic Alert"/>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1"/>
    <s v="37.0_ADAS &amp; AutomatedDriving"/>
    <s v="37.02_Alerting-System"/>
    <s v="F0160"/>
    <s v="Collision Alert Rear, Rear Collision Detection"/>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1"/>
    <s v="37.0_ADAS &amp; AutomatedDriving"/>
    <s v="37.02_Alerting-System"/>
    <s v="F0529"/>
    <s v="Vibration Feedback, Steering Wheel"/>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1"/>
    <s v="37.0_ADAS &amp; AutomatedDriving"/>
    <s v="37.02_Alerting-System"/>
    <s v="F2021"/>
    <s v="Collision Alert Side, Blind Zone Support"/>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1"/>
    <s v="37.0_ADAS &amp; AutomatedDriving"/>
    <s v="37.20_Parking-System"/>
    <s v="F0155"/>
    <s v="Park Assist, Front"/>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1"/>
    <s v="37.0_ADAS &amp; AutomatedDriving"/>
    <s v="37.20_Parking-System"/>
    <s v="F0156"/>
    <s v="Park Assist, Rear"/>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1"/>
    <s v="37.0_ADAS &amp; AutomatedDriving"/>
    <s v="37.20_Parking-System"/>
    <s v="F1301"/>
    <s v="Drive Away Assist"/>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1"/>
    <s v="37.0_ADAS &amp; AutomatedDriving"/>
    <s v="37.20_Parking-System"/>
    <s v="F1304"/>
    <s v="Park Assist, Side"/>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1"/>
    <s v="37.0_ADAS &amp; AutomatedDriving"/>
    <s v="37.20_Parking-System"/>
    <s v="F2003"/>
    <s v="Automatic Parking Support"/>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1"/>
    <s v="37.0_ADAS &amp; AutomatedDriving"/>
    <s v="37.23_LaneSupporting-System"/>
    <s v="F0331"/>
    <s v="Lane Assist, Lane Change Assist (LCA)"/>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1"/>
    <s v="37.0_ADAS &amp; AutomatedDriving"/>
    <s v="37.23_LaneSupporting-System"/>
    <s v="F0658"/>
    <s v="Lane Assist, Traffic Jam Assist"/>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1"/>
    <s v="37.0_ADAS &amp; AutomatedDriving"/>
    <s v="37.23_LaneSupporting-System"/>
    <s v="F1187"/>
    <s v="Lane Support System, Lane Centering Control (LCC)"/>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1"/>
    <s v="37.0_ADAS &amp; AutomatedDriving"/>
    <s v="37.23_LaneSupporting-System"/>
    <s v="F2010"/>
    <s v="Emergency Lane Keeping Support"/>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1"/>
    <s v="37.0_ADAS &amp; AutomatedDriving"/>
    <s v="37.30_Piloting-System"/>
    <s v="F0332"/>
    <s v="Pilot, Traffic Jam"/>
    <m/>
    <s v="Drive Assistance"/>
    <s v="Driver Assistance System"/>
    <s v="Lane Change Assist"/>
    <s v="L1+/L2/L2+"/>
    <s v="Radar"/>
    <s v="Lane Change Assist Radar [Left, Slave]"/>
    <s v="Lane Change Assist Radar [Left, Slave] - Lane Change Assist"/>
    <m/>
    <m/>
    <s v="98;-22"/>
    <s v="TE"/>
    <s v="1801600-1"/>
    <s v="10 Pos. MCON 1,2mm Sealed"/>
    <m/>
    <s v="No"/>
    <s v="Yes"/>
    <s v="No"/>
    <n v="1"/>
    <n v="1"/>
    <n v="1"/>
    <n v="1"/>
  </r>
  <r>
    <x v="772"/>
    <s v="32.0_Comfort &amp; Chassis"/>
    <s v="32.10_Braking-System"/>
    <s v="F0361"/>
    <s v="BEV-Braking, iBooster"/>
    <s v="B"/>
    <s v="Chassis"/>
    <s v="Brake"/>
    <s v="Brake Actuator"/>
    <s v="with Electric Brake Booster"/>
    <s v="Actuator"/>
    <s v="Electric Brake Booster"/>
    <s v="Electric Brake Booster - Brake Actuator"/>
    <m/>
    <m/>
    <s v="-1;14"/>
    <m/>
    <m/>
    <m/>
    <m/>
    <s v="No"/>
    <s v="No"/>
    <s v="Yes"/>
    <n v="0.1"/>
    <n v="0.3"/>
    <n v="0.3"/>
    <n v="0.5"/>
  </r>
  <r>
    <x v="773"/>
    <s v="10.0_Comfort &amp; Exterior"/>
    <s v="10.x2_Spoilers"/>
    <s v="F0x49"/>
    <s v="Spoilers, Automatic Adjustments"/>
    <m/>
    <s v="Body"/>
    <s v="Aerodynamics"/>
    <s v="Front Spoiler Adjustment"/>
    <s v="Sports / High Performance Driving Versions"/>
    <s v="Sensor"/>
    <s v="Spolier Position"/>
    <s v="Spolier Position - Front Spoiler Adjustment"/>
    <m/>
    <m/>
    <s v="-11;12"/>
    <s v="TE"/>
    <s v="1897726-2"/>
    <s v="10 Pos. MCP 1,5mm Sealed"/>
    <m/>
    <s v="No"/>
    <s v="No"/>
    <s v="Yes"/>
    <n v="0"/>
    <n v="1"/>
    <n v="0"/>
    <n v="1"/>
  </r>
  <r>
    <x v="774"/>
    <s v="37.0_ADAS &amp; AutomatedDriving"/>
    <s v="37.20_Parking-System"/>
    <s v="F0314"/>
    <s v="Parking Pilot, Valet Parking"/>
    <m/>
    <s v="Drive Assistance"/>
    <s v="Automated Driving"/>
    <s v="Radio-Controlled Parking"/>
    <m/>
    <s v="Antenna"/>
    <s v="RC Parking Antenna"/>
    <s v="RC Parking Antenna - Radio-Controlled Parking"/>
    <m/>
    <m/>
    <s v="83;0"/>
    <s v="TE"/>
    <s v="1452584-1"/>
    <s v="1 Pos. Fakra II Unsealed"/>
    <m/>
    <s v="Yes"/>
    <s v="Yes"/>
    <s v="Yes"/>
    <n v="1"/>
    <n v="1"/>
    <n v="1"/>
    <n v="1"/>
  </r>
  <r>
    <x v="775"/>
    <s v="13.0_Comfort &amp; Interior"/>
    <s v="13.25_AdditionalComfort-System"/>
    <s v="F0181"/>
    <s v="Garage Door Opening"/>
    <s v="QM"/>
    <s v="Comfort"/>
    <s v="Garage Opener"/>
    <s v="Command"/>
    <m/>
    <s v="Control Unit"/>
    <s v="Control unit for garage door opening"/>
    <s v="Control unit for garage door opening - Command"/>
    <m/>
    <m/>
    <m/>
    <m/>
    <m/>
    <m/>
    <m/>
    <m/>
    <m/>
    <m/>
    <m/>
    <m/>
    <m/>
    <m/>
  </r>
  <r>
    <x v="776"/>
    <s v="32.0_Comfort &amp; Chassis"/>
    <s v="32.20_Steering-System"/>
    <s v="F0348"/>
    <s v="Steering System, Electric Power Steering (EPS)"/>
    <s v="D"/>
    <s v="Chassis"/>
    <s v="Electrical Power Steering"/>
    <s v="Rear Axle Steering"/>
    <s v="Sports / High Performance Driving Versions"/>
    <s v="Actuator"/>
    <s v="Rear Axle Steering Motor Left"/>
    <s v="Rear Axle Steering Motor Left - Rear Axle Steering"/>
    <m/>
    <m/>
    <s v="82;-17"/>
    <s v="TE"/>
    <s v="2343344-2"/>
    <s v="2 Pos. MCON 12,0mm Sealed"/>
    <m/>
    <s v="No"/>
    <s v="No"/>
    <s v="Yes"/>
    <n v="0.02"/>
    <n v="0.01"/>
    <n v="0.02"/>
    <n v="0.01"/>
  </r>
  <r>
    <x v="777"/>
    <s v="10.0_Comfort &amp; Exterior"/>
    <s v="10.20_Mirroring-System"/>
    <s v="F0912"/>
    <s v="Surround View, 3D-View"/>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01_LightingAssistant-System"/>
    <s v="F0145"/>
    <s v="Light Assist, High Beam Automatic"/>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02_Alerting-System"/>
    <s v="F0162"/>
    <s v="Object Detection, Traffic Sign Recognition"/>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02_Alerting-System"/>
    <s v="F0345"/>
    <s v="Night Vision"/>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02_Alerting-System"/>
    <s v="F0594"/>
    <s v="Object Detection, Highway"/>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02_Alerting-System"/>
    <s v="F0599"/>
    <s v="Event Recorder, Video Capturing"/>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23_LaneSupporting-System"/>
    <s v="F0331"/>
    <s v="Lane Assist, Lane Change Assist (LCA)"/>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23_LaneSupporting-System"/>
    <s v="F0595"/>
    <s v="Lane Assist, Highway Assist"/>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23_LaneSupporting-System"/>
    <s v="F0657"/>
    <s v="Lane Assist, Evasive Steering Support"/>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23_LaneSupporting-System"/>
    <s v="F0658"/>
    <s v="Lane Assist, Traffic Jam Assist"/>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23_LaneSupporting-System"/>
    <s v="F1187"/>
    <s v="Lane Support System, Lane Centering Control (LCC)"/>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23_LaneSupporting-System"/>
    <s v="F2010"/>
    <s v="Emergency Lane Keeping Support"/>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30_Piloting-System"/>
    <s v="F0335"/>
    <s v="Pilot, Highway"/>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30_Piloting-System"/>
    <s v="F0337"/>
    <s v="Pilot, City"/>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7"/>
    <s v="37.0_ADAS &amp; AutomatedDriving"/>
    <s v="37.30_Piloting-System"/>
    <s v="F0651"/>
    <s v="Pilot, Country Road"/>
    <m/>
    <s v="Drive Assistance"/>
    <s v="Driver Assistance System"/>
    <s v="Night Vision"/>
    <s v="L3/L4/L5"/>
    <s v="Camera"/>
    <s v="Camera for night vision system"/>
    <s v="Camera for night vision system - Night Vision"/>
    <m/>
    <m/>
    <s v="41;0"/>
    <s v="TE"/>
    <s v="0-2208145-1"/>
    <s v="5 Pos. HSD Ass'y Unsealed"/>
    <s v="N/A"/>
    <s v="No"/>
    <s v="No"/>
    <s v="Yes"/>
    <n v="1"/>
    <n v="1"/>
    <n v="1"/>
    <n v="1"/>
  </r>
  <r>
    <x v="778"/>
    <s v="32.0_Comfort &amp; Chassis"/>
    <s v="32.40_Tire-System"/>
    <s v="F0x31"/>
    <s v="Tyres Pressure Monitor, Active"/>
    <s v=" "/>
    <s v="Chassis"/>
    <s v="Tyres Pressure"/>
    <s v="Tyre Pressure Control"/>
    <m/>
    <s v="Control Unit"/>
    <s v="Tyre pressure control unit (Receiver)"/>
    <s v="Tyre pressure control unit (Receiver) - Tyre Pressure Control"/>
    <m/>
    <m/>
    <s v="41;0"/>
    <m/>
    <m/>
    <m/>
    <m/>
    <s v="No"/>
    <s v="Yes"/>
    <s v="Yes"/>
    <n v="1"/>
    <n v="1"/>
    <n v="1"/>
    <n v="1"/>
  </r>
  <r>
    <x v="779"/>
    <s v="37.0_ADAS &amp; AutomatedDriving"/>
    <s v="37.02_Alerting-System"/>
    <s v="F0158"/>
    <s v="Collision Alert Rear, Rear Cross Traffic Alert"/>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79"/>
    <s v="37.0_ADAS &amp; AutomatedDriving"/>
    <s v="37.02_Alerting-System"/>
    <s v="F0160"/>
    <s v="Collision Alert Rear, Rear Collision Detection"/>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79"/>
    <s v="37.0_ADAS &amp; AutomatedDriving"/>
    <s v="37.02_Alerting-System"/>
    <s v="F0529"/>
    <s v="Vibration Feedback, Steering Wheel"/>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79"/>
    <s v="37.0_ADAS &amp; AutomatedDriving"/>
    <s v="37.02_Alerting-System"/>
    <s v="F2021"/>
    <s v="Collision Alert Side, Blind Zone Support"/>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79"/>
    <s v="37.0_ADAS &amp; AutomatedDriving"/>
    <s v="37.20_Parking-System"/>
    <s v="F0155"/>
    <s v="Park Assist, Front"/>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79"/>
    <s v="37.0_ADAS &amp; AutomatedDriving"/>
    <s v="37.20_Parking-System"/>
    <s v="F0156"/>
    <s v="Park Assist, Rear"/>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79"/>
    <s v="37.0_ADAS &amp; AutomatedDriving"/>
    <s v="37.20_Parking-System"/>
    <s v="F1301"/>
    <s v="Drive Away Assist"/>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79"/>
    <s v="37.0_ADAS &amp; AutomatedDriving"/>
    <s v="37.20_Parking-System"/>
    <s v="F1304"/>
    <s v="Park Assist, Side"/>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79"/>
    <s v="37.0_ADAS &amp; AutomatedDriving"/>
    <s v="37.20_Parking-System"/>
    <s v="F2003"/>
    <s v="Automatic Parking Support"/>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79"/>
    <s v="37.0_ADAS &amp; AutomatedDriving"/>
    <s v="37.23_LaneSupporting-System"/>
    <s v="F0331"/>
    <s v="Lane Assist, Lane Change Assist (LCA)"/>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79"/>
    <s v="37.0_ADAS &amp; AutomatedDriving"/>
    <s v="37.23_LaneSupporting-System"/>
    <s v="F0658"/>
    <s v="Lane Assist, Traffic Jam Assist"/>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79"/>
    <s v="37.0_ADAS &amp; AutomatedDriving"/>
    <s v="37.23_LaneSupporting-System"/>
    <s v="F1187"/>
    <s v="Lane Support System, Lane Centering Control (LCC)"/>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79"/>
    <s v="37.0_ADAS &amp; AutomatedDriving"/>
    <s v="37.23_LaneSupporting-System"/>
    <s v="F2010"/>
    <s v="Emergency Lane Keeping Support"/>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79"/>
    <s v="37.0_ADAS &amp; AutomatedDriving"/>
    <s v="37.30_Piloting-System"/>
    <s v="F0332"/>
    <s v="Pilot, Traffic Jam"/>
    <m/>
    <s v="Drive Assistance"/>
    <s v="Driver Assistance System"/>
    <s v="Change Lane Assistance"/>
    <s v="L1+/L2/L2+"/>
    <s v="Radar"/>
    <s v="Lane Change Assist Radar [Right, Master]"/>
    <s v="Lane Change Assist Radar [Right, Master] - Change Lane Assistance"/>
    <m/>
    <m/>
    <s v="98;22"/>
    <s v="TE"/>
    <s v="1801600-1"/>
    <s v="10 Pos. MCON 1,2mm Sealed"/>
    <m/>
    <s v="No"/>
    <s v="Yes"/>
    <s v="No"/>
    <n v="1"/>
    <n v="1"/>
    <n v="1"/>
    <n v="1"/>
  </r>
  <r>
    <x v="780"/>
    <s v="36.0_Infotainment &amp; Connectivity"/>
    <s v="36.40_Ecall-System"/>
    <s v="F0143"/>
    <s v="Emergency Call, E-Call (EU)"/>
    <m/>
    <s v="Infotainment"/>
    <s v="Communication"/>
    <s v="Emergency Call"/>
    <s v="Basic"/>
    <s v="Control Unit"/>
    <s v="E-Call Communication Module"/>
    <s v="E-Call Communication Module - Emergency Call"/>
    <m/>
    <m/>
    <s v="43;0"/>
    <s v="TE"/>
    <s v="1-1670459-2"/>
    <s v="8 Pos. MQS 0,63mm Unsealed"/>
    <m/>
    <s v="Yes"/>
    <s v="Yes"/>
    <s v="Yes"/>
    <n v="1"/>
    <n v="1"/>
    <n v="1"/>
    <n v="1"/>
  </r>
  <r>
    <x v="781"/>
    <s v="36.0_Infotainment &amp; Connectivity"/>
    <s v="36.12_Sound-System"/>
    <s v="F0198"/>
    <s v="Sound System Subwoofer"/>
    <s v="QM"/>
    <s v="Infotainment"/>
    <s v="Audio"/>
    <s v="Subwoofer Speaker"/>
    <s v="Premium Audio System"/>
    <s v="Loudspeaker"/>
    <s v="Subwoofer"/>
    <s v="Subwoofer - Subwoofer Speaker"/>
    <m/>
    <m/>
    <s v="81;-8"/>
    <s v="TE"/>
    <s v="1718831-1"/>
    <s v="2 Pos. SPT 4,8mm Unsealed"/>
    <m/>
    <s v="No"/>
    <s v="No"/>
    <s v="Yes"/>
    <n v="0.25"/>
    <n v="0.35"/>
    <n v="0.4"/>
    <n v="0.3"/>
  </r>
  <r>
    <x v="781"/>
    <s v="36.0_Infotainment &amp; Connectivity"/>
    <s v="36.12_Sound-System"/>
    <s v="F1342"/>
    <s v="Road-noise Active Noise Cancelation (RANC)"/>
    <s v="QM"/>
    <s v="Infotainment"/>
    <s v="Audio"/>
    <s v="Subwoofer Speaker"/>
    <s v="Premium Audio System"/>
    <s v="Loudspeaker"/>
    <s v="Subwoofer"/>
    <s v="Subwoofer - Subwoofer Speaker"/>
    <m/>
    <m/>
    <s v="81;-8"/>
    <s v="TE"/>
    <s v="1718831-1"/>
    <s v="2 Pos. SPT 4,8mm Unsealed"/>
    <m/>
    <s v="No"/>
    <s v="No"/>
    <s v="Yes"/>
    <n v="0.25"/>
    <n v="0.35"/>
    <n v="0.4"/>
    <n v="0.3"/>
  </r>
  <r>
    <x v="782"/>
    <s v="36.0_Infotainment &amp; Connectivity"/>
    <s v="36.12_Sound-System"/>
    <s v="F0198"/>
    <s v="Sound System Subwoofer"/>
    <s v="QM"/>
    <s v="Infotainment"/>
    <s v="Audio"/>
    <s v="Subwoofer Speaker"/>
    <s v="Premium Audio System"/>
    <s v="Loudspeaker"/>
    <s v="Subwoofer [cargo floor]"/>
    <s v="Subwoofer [cargo floor] - Subwoofer Speaker"/>
    <m/>
    <m/>
    <s v="95;16"/>
    <s v="TE"/>
    <s v="1718831-1"/>
    <s v="2 Pos. SPT 4,8mm Unsealed"/>
    <m/>
    <s v="No"/>
    <s v="No"/>
    <s v="Yes"/>
    <n v="0.25"/>
    <n v="0.35"/>
    <n v="0.4"/>
    <n v="0.3"/>
  </r>
  <r>
    <x v="782"/>
    <s v="36.0_Infotainment &amp; Connectivity"/>
    <s v="36.12_Sound-System"/>
    <s v="F1342"/>
    <s v="Road-noise Active Noise Cancelation (RANC)"/>
    <s v="QM"/>
    <s v="Infotainment"/>
    <s v="Audio"/>
    <s v="Subwoofer Speaker"/>
    <s v="Premium Audio System"/>
    <s v="Loudspeaker"/>
    <s v="Subwoofer [cargo floor]"/>
    <s v="Subwoofer [cargo floor] - Subwoofer Speaker"/>
    <m/>
    <m/>
    <s v="95;16"/>
    <s v="TE"/>
    <s v="1718831-1"/>
    <s v="2 Pos. SPT 4,8mm Unsealed"/>
    <m/>
    <s v="No"/>
    <s v="No"/>
    <s v="Yes"/>
    <n v="0.25"/>
    <n v="0.35"/>
    <n v="0.4"/>
    <n v="0.3"/>
  </r>
  <r>
    <x v="783"/>
    <s v="10.0_Comfort &amp; Exterior"/>
    <s v="10.10_CentralLocking-System"/>
    <s v="F0xx2"/>
    <s v="Front Hood, Electric Release"/>
    <m/>
    <s v="Comfort"/>
    <s v="Central Locking"/>
    <s v="Hood Emergency Release"/>
    <m/>
    <s v="Switch"/>
    <s v="User Selector"/>
    <s v="User Selector - Hood Emergency Release"/>
    <m/>
    <m/>
    <s v="33;-1"/>
    <m/>
    <m/>
    <m/>
    <m/>
    <s v="No"/>
    <s v="No"/>
    <s v="No"/>
    <m/>
    <m/>
    <m/>
    <m/>
  </r>
  <r>
    <x v="784"/>
    <s v="32.0_Comfort &amp; Chassis"/>
    <s v="32.30_Suspenioning-System"/>
    <s v="F0125"/>
    <s v="Damping, Active Electrical"/>
    <s v=" "/>
    <s v="Chassis"/>
    <s v="Suspension"/>
    <s v="Vehicle Height Adjustment"/>
    <s v="with Vehicle Height Adjustment"/>
    <s v="Actuator"/>
    <s v="Damping Adjustment Valve RL"/>
    <s v="Damping Adjustment Valve RL - Vehicle Height Adjustment"/>
    <m/>
    <m/>
    <s v="97;-20"/>
    <s v="TE"/>
    <s v="1897212-1"/>
    <s v="2 Pos. MCP 1,5mm Sealed"/>
    <s v="tbd"/>
    <s v="No"/>
    <s v="No"/>
    <s v="Yes"/>
    <n v="0"/>
    <n v="0.05"/>
    <n v="0"/>
    <n v="0.05"/>
  </r>
  <r>
    <x v="785"/>
    <s v="32.0_Comfort &amp; Chassis"/>
    <s v="32.30_Suspenioning-System"/>
    <s v="F0125"/>
    <s v="Damping, Active Electrical"/>
    <s v=" "/>
    <s v="Chassis"/>
    <s v="Suspension"/>
    <s v="Vehicle Height Adjustment"/>
    <s v="with Vehicle Height Adjustment"/>
    <s v="Actuator"/>
    <s v="Damping Adjustment Valve RR"/>
    <s v="Damping Adjustment Valve RR - Vehicle Height Adjustment"/>
    <m/>
    <m/>
    <s v="97;20"/>
    <s v="TE"/>
    <s v="1897212-1"/>
    <s v="2 Pos. MCP 1,5mm Sealed"/>
    <s v="tbd"/>
    <s v="No"/>
    <s v="No"/>
    <s v="Yes"/>
    <n v="0"/>
    <n v="0.05"/>
    <n v="0"/>
    <n v="0.05"/>
  </r>
  <r>
    <x v="786"/>
    <s v="32.0_Comfort &amp; Chassis"/>
    <s v="32.30_Suspenioning-System"/>
    <s v="F0125"/>
    <s v="Damping, Active Electrical"/>
    <s v=" "/>
    <s v="Chassis"/>
    <s v="Suspension"/>
    <s v="Vehicle Height Adjustment"/>
    <s v="with Vehicle Height Adjustment"/>
    <s v="Actuator"/>
    <s v="Damping Adjustment Valve FL"/>
    <s v="Damping Adjustment Valve FL - Vehicle Height Adjustment"/>
    <m/>
    <m/>
    <s v="9;-18"/>
    <s v="TE"/>
    <s v="1897212-1"/>
    <s v="2 Pos. MCP 1,5mm Sealed"/>
    <s v="tbd"/>
    <s v="No"/>
    <s v="No"/>
    <s v="Yes"/>
    <n v="0"/>
    <n v="0.05"/>
    <n v="0"/>
    <n v="0.05"/>
  </r>
  <r>
    <x v="787"/>
    <s v="32.0_Comfort &amp; Chassis"/>
    <s v="32.30_Suspenioning-System"/>
    <s v="F0125"/>
    <s v="Damping, Active Electrical"/>
    <s v=" "/>
    <s v="Chassis"/>
    <s v="Suspension"/>
    <s v="Vehicle Height Adjustment"/>
    <s v="with Vehicle Height Adjustment"/>
    <s v="Actuator"/>
    <s v="Damping Adjustment Valve FR"/>
    <s v="Damping Adjustment Valve FR - Vehicle Height Adjustment"/>
    <m/>
    <m/>
    <s v="9;18"/>
    <s v="TE"/>
    <s v="1897212-1"/>
    <s v="2 Pos. MCP 1,5mm Sealed"/>
    <s v="tbd"/>
    <s v="No"/>
    <s v="No"/>
    <s v="Yes"/>
    <n v="0"/>
    <n v="0.05"/>
    <n v="0"/>
    <n v="0.05"/>
  </r>
  <r>
    <x v="788"/>
    <s v="10.0_Comfort &amp; Exterior"/>
    <s v="10.x3_Body"/>
    <s v="F0x50"/>
    <s v="Roof, Convertible"/>
    <m/>
    <s v="Body"/>
    <s v="Convertible"/>
    <s v="Hood Flap"/>
    <s v="Convertible"/>
    <s v="Actuator"/>
    <s v="Hood Flap"/>
    <s v="Hood Flap - Hood Flap"/>
    <m/>
    <m/>
    <s v="104;-17"/>
    <m/>
    <m/>
    <m/>
    <m/>
    <s v="No"/>
    <s v="No"/>
    <s v="Yes"/>
    <n v="1"/>
    <n v="0"/>
    <n v="0"/>
    <n v="0"/>
  </r>
  <r>
    <x v="789"/>
    <s v="36.0_Infotainment &amp; Connectivity"/>
    <s v="36.12_Sound-System"/>
    <s v="F0198"/>
    <s v="Sound System Subwoofer"/>
    <s v="QM"/>
    <s v="Infotainment"/>
    <s v="Audio"/>
    <s v="Sub-Woofer"/>
    <s v="Premium Audio System"/>
    <s v="Actuator"/>
    <s v="Amplifier for bass speakers"/>
    <s v="Amplifier for bass speakers - Sub-Woofer"/>
    <m/>
    <m/>
    <s v="84;12"/>
    <s v="TE"/>
    <s v="1-1355696-1"/>
    <s v="6 Pos. JPT 2,8mm Sealed"/>
    <m/>
    <s v="No"/>
    <s v="No"/>
    <s v="Yes"/>
    <n v="0.3"/>
    <n v="0.3"/>
    <n v="0.3"/>
    <n v="0.3"/>
  </r>
  <r>
    <x v="790"/>
    <s v="36.0_Infotainment &amp; Connectivity"/>
    <s v="36.12_Sound-System"/>
    <s v="F0266"/>
    <s v="Sound System Type, External Amplifier"/>
    <s v="QM"/>
    <s v="Infotainment"/>
    <s v="Audio"/>
    <s v="Digital Sound Package"/>
    <s v="Premium Audio System"/>
    <s v="Actuator"/>
    <s v="Amplifier for digital sound package"/>
    <s v="Amplifier for digital sound package - Digital Sound Package"/>
    <m/>
    <m/>
    <s v="90;18"/>
    <s v="TE"/>
    <s v="1-2112035-1"/>
    <s v="26 Pos. MCP 1,5mm / 2,8mm / 6,3mm Sealed"/>
    <m/>
    <s v="No"/>
    <s v="No"/>
    <s v="Yes"/>
    <n v="0"/>
    <n v="0"/>
    <n v="0"/>
    <n v="0"/>
  </r>
  <r>
    <x v="791"/>
    <s v="36.0_Infotainment &amp; Connectivity"/>
    <s v="36.34_V2S_System"/>
    <s v="F2018"/>
    <s v="Smartphone Application"/>
    <s v="QM"/>
    <s v="Infotainment"/>
    <s v="Communication"/>
    <s v="Telephone"/>
    <s v="Telephone"/>
    <s v="Actuator"/>
    <s v="Mobile phone amplifier"/>
    <s v="Mobile phone amplifier - Telephone"/>
    <m/>
    <m/>
    <m/>
    <m/>
    <m/>
    <m/>
    <m/>
    <m/>
    <m/>
    <m/>
    <m/>
    <m/>
    <m/>
    <m/>
  </r>
  <r>
    <x v="792"/>
    <s v="36.0_Infotainment &amp; Connectivity"/>
    <s v="36.34_V2S_System"/>
    <s v="F2018"/>
    <s v="Smartphone Application"/>
    <s v="QM"/>
    <s v="Infotainment"/>
    <s v="Communication"/>
    <s v="Telephone"/>
    <s v="Telephone"/>
    <s v="Actuator"/>
    <s v="Mobile phone amplifier [compensator coupling box]"/>
    <s v="Mobile phone amplifier [compensator coupling box] - Telephone"/>
    <m/>
    <m/>
    <m/>
    <m/>
    <m/>
    <m/>
    <m/>
    <m/>
    <m/>
    <m/>
    <m/>
    <m/>
    <m/>
    <m/>
  </r>
  <r>
    <x v="793"/>
    <s v="37.0_ADAS &amp; AutomatedDriving"/>
    <s v="37.02_Alerting-System"/>
    <s v="F0345"/>
    <s v="Night Vision"/>
    <m/>
    <s v="Drive Assistance"/>
    <s v="Driver Assistance System"/>
    <s v="Night Vision Camera Washer"/>
    <m/>
    <s v="Actuator"/>
    <s v="Washer Pump Mono"/>
    <s v="Washer Pump Mono - Night Vision Camera Washer"/>
    <m/>
    <m/>
    <s v="16;18"/>
    <s v="TE"/>
    <s v="1-1355200-1"/>
    <s v="2 Pos. MCP 2,8mm Sealed"/>
    <s v="No"/>
    <s v="No"/>
    <s v="No"/>
    <s v="Yes"/>
    <n v="0"/>
    <n v="0.01"/>
    <n v="0.02"/>
    <n v="0.02"/>
  </r>
  <r>
    <x v="794"/>
    <s v="16.0_Comfort &amp; Safety"/>
    <s v="16.10_Airbag-System"/>
    <s v="F0x13"/>
    <s v="Airbag, Rollover Left/Right"/>
    <s v="D"/>
    <s v="Chassis"/>
    <s v="Airbag"/>
    <s v="Airbag"/>
    <s v="Covertible Passenger"/>
    <s v="Igniter"/>
    <s v="Rollover Protection Passenger's Side [Convertible]"/>
    <s v="Rollover Protection Passenger's Side [Convertible] - Airbag"/>
    <m/>
    <m/>
    <s v="57;19"/>
    <s v="TE"/>
    <s v="353744-7"/>
    <s v="2 Pos. Squib Airbag"/>
    <m/>
    <s v="No"/>
    <s v="No"/>
    <s v="No"/>
    <n v="0"/>
    <n v="0"/>
    <n v="0"/>
    <n v="0"/>
  </r>
  <r>
    <x v="795"/>
    <s v="16.0_Comfort &amp; Safety"/>
    <s v="16.10_Airbag-System"/>
    <s v="F0x13"/>
    <s v="Airbag, Rollover Left/Right"/>
    <s v="D"/>
    <s v="Chassis"/>
    <s v="Airbag"/>
    <s v="Airbag"/>
    <s v="Covertible Driver"/>
    <s v="Igniter"/>
    <s v="Rollover Protection Driver's Side [Convertible]"/>
    <s v="Rollover Protection Driver's Side [Convertible] - Airbag"/>
    <m/>
    <m/>
    <s v="57;-19"/>
    <s v="TE"/>
    <s v="353744-7"/>
    <s v="2 Pos. Squib Airbag"/>
    <m/>
    <s v="No"/>
    <s v="No"/>
    <s v="No"/>
    <n v="0"/>
    <n v="0"/>
    <n v="0"/>
    <n v="0"/>
  </r>
  <r>
    <x v="796"/>
    <s v="16.0_Comfort &amp; Safety"/>
    <s v="16.10_Airbag-System"/>
    <s v="F0x14"/>
    <s v="Airbag Passenger, Head"/>
    <s v="D"/>
    <s v="Chassis"/>
    <s v="Airbag"/>
    <s v="Curtain/Head Airbag"/>
    <s v="Head Passenger"/>
    <s v="Igniter"/>
    <s v="Head Airbag Passenger's Side"/>
    <s v="Head Airbag Passenger's Side - Curtain/Head Airbag"/>
    <m/>
    <m/>
    <s v="43;14"/>
    <s v="TE"/>
    <s v="353744-7"/>
    <s v="2 Pos. Squib Airbag"/>
    <m/>
    <s v="No"/>
    <s v="No"/>
    <s v="Yes"/>
    <n v="0"/>
    <n v="0"/>
    <n v="0"/>
    <n v="0"/>
  </r>
  <r>
    <x v="797"/>
    <s v="16.0_Comfort &amp; Safety"/>
    <s v="16.10_Airbag-System"/>
    <s v="F0610"/>
    <s v="Airbag Driver, Head"/>
    <s v="D"/>
    <s v="Chassis"/>
    <s v="Airbag"/>
    <s v="Curtain/Head Airbag"/>
    <s v="Head Driver"/>
    <s v="Igniter"/>
    <s v="Head Airbag Driver's Side"/>
    <s v="Head Airbag Driver's Side - Curtain/Head Airbag"/>
    <m/>
    <m/>
    <s v="43;-14"/>
    <s v="TE"/>
    <s v="353744-7"/>
    <s v="2 Pos. Squib Airbag"/>
    <m/>
    <s v="No"/>
    <s v="No"/>
    <s v="Yes"/>
    <n v="0"/>
    <n v="0"/>
    <n v="0"/>
    <n v="0"/>
  </r>
  <r>
    <x v="798"/>
    <s v="36.0_Infotainment &amp; Connectivity"/>
    <s v="36.33_V2N_System"/>
    <s v="F0x50"/>
    <s v="Car Sharing System"/>
    <m/>
    <s v="Infotainment"/>
    <s v="Communication"/>
    <s v="Chip Card Reader"/>
    <m/>
    <s v="Actuator"/>
    <s v="Chip Card Reader"/>
    <s v="Chip Card Reader - Chip Card Reader"/>
    <m/>
    <m/>
    <s v="30;14"/>
    <m/>
    <m/>
    <m/>
    <m/>
    <s v="Yes"/>
    <s v="No"/>
    <s v="No"/>
    <n v="1"/>
    <n v="1"/>
    <n v="1"/>
    <n v="1"/>
  </r>
  <r>
    <x v="799"/>
    <s v="16.0_Comfort &amp; Safety"/>
    <s v="16.30_PassengerDetection-System"/>
    <s v="F0005"/>
    <s v="Airbag Passenger, Deactivation Manual"/>
    <s v="A"/>
    <s v="Chassis"/>
    <s v="Airbag"/>
    <s v="Passenger Airbag Deactivation"/>
    <m/>
    <s v="Switch"/>
    <s v="User Selector"/>
    <s v="User Selector - Passenger Airbag Deactivation"/>
    <m/>
    <m/>
    <s v="30;18"/>
    <m/>
    <m/>
    <m/>
    <m/>
    <s v="Yes"/>
    <s v="Yes"/>
    <s v="Yes"/>
    <n v="1"/>
    <n v="1"/>
    <n v="1"/>
    <n v="1"/>
  </r>
  <r>
    <x v="800"/>
    <s v="10.0_Comfort &amp; Exterior"/>
    <s v="10.x2_Spoilers"/>
    <s v="F0x49"/>
    <s v="Spoilers, Automatic Adjustments"/>
    <m/>
    <s v="Body"/>
    <s v="Aerodynamics"/>
    <s v="Rear Spoiler Adjustment"/>
    <s v="Sports / High Performance Driving Versions"/>
    <s v="Actuator"/>
    <s v="Rear Spoiler Motor"/>
    <s v="Rear Spoiler Motor - Rear Spoiler Adjustment"/>
    <m/>
    <m/>
    <s v="101;17"/>
    <s v="TE"/>
    <s v="1563689-1"/>
    <s v="4 Pos. MCP 1,5mm Sealed"/>
    <m/>
    <s v="No"/>
    <s v="No"/>
    <s v="Yes"/>
    <n v="0"/>
    <n v="4.1666666666666664E-2"/>
    <n v="0"/>
    <n v="4.1666666666666664E-2"/>
  </r>
  <r>
    <x v="801"/>
    <s v="10.0_Comfort &amp; Exterior"/>
    <s v="10.x2_Spoilers"/>
    <s v="F0x49"/>
    <s v="Spoilers, Automatic Adjustments"/>
    <m/>
    <s v="Body"/>
    <s v="Aerodynamics"/>
    <s v="Rear Spoiler Adjustment"/>
    <s v="Sports / High Performance Driving Versions"/>
    <s v="Sensor"/>
    <s v="Rear Spoiler Position Sensor Hall"/>
    <s v="Rear Spoiler Position Sensor Hall - Rear Spoiler Adjustment"/>
    <m/>
    <m/>
    <s v="99;16"/>
    <s v="TE"/>
    <s v="1-1438608-5"/>
    <s v="2 Pos. MQS 0,63mm Sealed"/>
    <m/>
    <s v="No"/>
    <s v="No"/>
    <s v="Yes"/>
    <n v="0"/>
    <n v="4.1666666666666664E-2"/>
    <n v="0"/>
    <n v="4.1666666666666664E-2"/>
  </r>
  <r>
    <x v="802"/>
    <s v="10.0_Comfort &amp; Exterior"/>
    <s v="10.x3_Body"/>
    <s v="F0x50"/>
    <s v="Roof, Convertible"/>
    <m/>
    <s v="Body"/>
    <s v="Convertible"/>
    <s v="Convertible Top Operation"/>
    <s v="Convertible"/>
    <s v="Actuator"/>
    <s v="Top closing unit"/>
    <s v="Top closing unit - Convertible Top Operation"/>
    <m/>
    <m/>
    <s v="87;-16"/>
    <m/>
    <m/>
    <m/>
    <m/>
    <s v="No"/>
    <s v="No"/>
    <s v="Yes"/>
    <n v="3.3333333333333333E-2"/>
    <n v="0"/>
    <n v="0"/>
    <n v="0"/>
  </r>
  <r>
    <x v="803"/>
    <s v="10.0_Comfort &amp; Exterior"/>
    <s v="10.21_WindowLifting-System"/>
    <s v="F0224"/>
    <s v="Power Window Lifter Function, Comfort Open/Close"/>
    <s v="A"/>
    <s v="Body"/>
    <s v="Sun Roof"/>
    <s v="Sun Roof Opening and Closing"/>
    <s v="with Sun Roof"/>
    <s v="Switch"/>
    <s v="User Selector"/>
    <s v="User Selector - Sun Roof Opening and Closing"/>
    <m/>
    <m/>
    <s v="41;1"/>
    <m/>
    <m/>
    <m/>
    <m/>
    <s v="No"/>
    <s v="No"/>
    <s v="Yes"/>
    <n v="0.01"/>
    <n v="0"/>
    <n v="0"/>
    <n v="0"/>
  </r>
  <r>
    <x v="804"/>
    <s v="10.0_Comfort &amp; Exterior"/>
    <s v="10.21_WindowLifting-System"/>
    <s v="F0224"/>
    <s v="Power Window Lifter Function, Comfort Open/Close"/>
    <s v="A"/>
    <s v="Body"/>
    <s v="Sun Roof"/>
    <s v="Sun Roof Courtain Opening and Closing"/>
    <s v="with Sun Roof"/>
    <s v="Switch"/>
    <s v="User Selector"/>
    <s v="User Selector - Sun Roof Courtain Opening and Closing"/>
    <m/>
    <m/>
    <s v="41;-1"/>
    <m/>
    <m/>
    <m/>
    <m/>
    <s v="No"/>
    <s v="No"/>
    <s v="Yes"/>
    <n v="0.01"/>
    <n v="0"/>
    <n v="0"/>
    <n v="0"/>
  </r>
  <r>
    <x v="805"/>
    <s v="10.0_Comfort &amp; Exterior"/>
    <s v="10.21_WindowLifting-System"/>
    <s v="F0224"/>
    <s v="Power Window Lifter Function, Comfort Open/Close"/>
    <s v="A"/>
    <s v="Body"/>
    <s v="Sun Roof"/>
    <s v="Sun Roof Wind Deflection"/>
    <s v="with Sun Roof"/>
    <s v="Actuator"/>
    <s v="Motor for Wind Deflection"/>
    <s v="Motor for Wind Deflection - Sun Roof Wind Deflection"/>
    <m/>
    <m/>
    <s v="41;0"/>
    <m/>
    <m/>
    <m/>
    <m/>
    <s v="No"/>
    <s v="No"/>
    <s v="Yes"/>
    <n v="0.01"/>
    <n v="0"/>
    <n v="0"/>
    <n v="0"/>
  </r>
  <r>
    <x v="806"/>
    <s v="10.0_Comfort &amp; Exterior"/>
    <s v="10.20_Mirroring-System"/>
    <s v="F0159"/>
    <s v="Rear View, Camera"/>
    <s v="A"/>
    <s v="Drive Assistance"/>
    <s v="Park Assistance"/>
    <s v="Rear View"/>
    <s v="with Back-up Camera"/>
    <s v="Camera"/>
    <s v="Back-up Camera"/>
    <s v="Back-up Camera - Rear View"/>
    <m/>
    <m/>
    <s v="113;0"/>
    <m/>
    <m/>
    <m/>
    <m/>
    <s v="No"/>
    <s v="No"/>
    <s v="No"/>
    <n v="0.1"/>
    <n v="0"/>
    <n v="0.1"/>
    <n v="0"/>
  </r>
  <r>
    <x v="807"/>
    <s v="39.0_HVAC &amp; Thermal"/>
    <s v="39.10_PassengerThermal-System"/>
    <s v="F0627"/>
    <s v="HVAC-Recirculation, Manual"/>
    <s v="QM"/>
    <s v="Comfort"/>
    <s v="Climate Control"/>
    <s v="Air Recycling"/>
    <s v="with Air Conditioning"/>
    <s v="Switch"/>
    <s v="User Selector"/>
    <s v="User Selector - Air Recycling"/>
    <m/>
    <m/>
    <s v="34;2"/>
    <m/>
    <m/>
    <m/>
    <m/>
    <s v="Yes"/>
    <s v="Yes"/>
    <s v="Yes"/>
    <n v="0"/>
    <n v="0"/>
    <n v="1"/>
    <n v="1"/>
  </r>
  <r>
    <x v="808"/>
    <s v="39.0_HVAC &amp; Thermal"/>
    <s v="39.10_PassengerThermal-System"/>
    <s v="F0x19"/>
    <s v="HVAC-System, Heat Pump Driven"/>
    <s v="QM"/>
    <s v="Comfort"/>
    <s v="Climate Control"/>
    <s v="Coolant Temperature"/>
    <s v="Heat Pump"/>
    <s v="Sensor"/>
    <s v="Temperature Sensor"/>
    <s v="Temperature Sensor - Coolant Temperature"/>
    <m/>
    <m/>
    <s v="-6;14"/>
    <m/>
    <m/>
    <m/>
    <m/>
    <s v="No"/>
    <s v="No"/>
    <s v="Yes"/>
    <n v="1"/>
    <n v="1"/>
    <n v="1"/>
    <n v="1"/>
  </r>
  <r>
    <x v="809"/>
    <s v="39.0_HVAC &amp; Thermal"/>
    <s v="39.10_PassengerThermal-System"/>
    <s v="F0233"/>
    <s v="HVAC-Temperature, Automatic"/>
    <s v="QM"/>
    <s v="Comfort"/>
    <s v="Climate Control"/>
    <s v="Heat Pump System Operation"/>
    <s v="with Automatic Air Conditioning"/>
    <s v="Actuator"/>
    <s v="Valve - Heater Coolant Shut-off"/>
    <s v="Valve - Heater Coolant Shut-off - Heat Pump System Operation"/>
    <m/>
    <m/>
    <s v="-1;14"/>
    <m/>
    <m/>
    <m/>
    <m/>
    <s v="No"/>
    <s v="No"/>
    <s v="Yes"/>
    <n v="0"/>
    <n v="0.5"/>
    <n v="0.5"/>
    <n v="0"/>
  </r>
  <r>
    <x v="810"/>
    <s v="39.0_HVAC &amp; Thermal"/>
    <s v="39.10_PassengerThermal-System"/>
    <s v="F0x19"/>
    <s v="HVAC-System, Heat Pump Driven"/>
    <s v="QM"/>
    <s v="Powertrain"/>
    <s v="Cooling/Heating"/>
    <s v="Radiator Ventilation"/>
    <s v="EV"/>
    <s v="Actuator"/>
    <s v="Cooling Fan Motor 600W"/>
    <s v="Cooling Fan Motor 600W - Radiator Ventilation"/>
    <m/>
    <m/>
    <s v="-11;-5"/>
    <s v="TE"/>
    <s v="1897210-1"/>
    <s v="4 Pos. MCP 2,8mm / 6,3mm Sealed"/>
    <m/>
    <s v="No"/>
    <s v="Yes"/>
    <s v="No"/>
    <n v="0.8"/>
    <n v="0.3"/>
    <n v="0.6"/>
    <n v="0.4"/>
  </r>
  <r>
    <x v="810"/>
    <s v="39.0_HVAC &amp; Thermal"/>
    <s v="39.11_ComponentThermal-System"/>
    <s v="F0257"/>
    <s v="HV-Components, Cooling"/>
    <s v="TBD"/>
    <s v="Powertrain"/>
    <s v="Cooling/Heating"/>
    <s v="Radiator Ventilation"/>
    <s v="EV"/>
    <s v="Actuator"/>
    <s v="Cooling Fan Motor 600W"/>
    <s v="Cooling Fan Motor 600W - Radiator Ventilation"/>
    <m/>
    <m/>
    <s v="-11;-5"/>
    <s v="TE"/>
    <s v="1897210-1"/>
    <s v="4 Pos. MCP 2,8mm / 6,3mm Sealed"/>
    <m/>
    <s v="No"/>
    <s v="Yes"/>
    <s v="No"/>
    <n v="0.8"/>
    <n v="0.3"/>
    <n v="0.6"/>
    <n v="0.4"/>
  </r>
  <r>
    <x v="810"/>
    <s v="39.0_HVAC &amp; Thermal"/>
    <s v="39.11_ComponentThermal-System"/>
    <s v="F0553"/>
    <s v="Thermal Management, HV-CoolingGeneration"/>
    <s v="QM"/>
    <s v="Powertrain"/>
    <s v="Cooling/Heating"/>
    <s v="Radiator Ventilation"/>
    <s v="EV"/>
    <s v="Actuator"/>
    <s v="Cooling Fan Motor 600W"/>
    <s v="Cooling Fan Motor 600W - Radiator Ventilation"/>
    <m/>
    <m/>
    <s v="-11;-5"/>
    <s v="TE"/>
    <s v="1897210-1"/>
    <s v="4 Pos. MCP 2,8mm / 6,3mm Sealed"/>
    <m/>
    <s v="No"/>
    <s v="Yes"/>
    <s v="No"/>
    <n v="0.8"/>
    <n v="0.3"/>
    <n v="0.6"/>
    <n v="0.4"/>
  </r>
  <r>
    <x v="810"/>
    <s v="39.0_HVAC &amp; Thermal"/>
    <s v="39.11_ComponentThermal-System"/>
    <s v="F0889"/>
    <s v="Thermal Management, Heat Pumping"/>
    <s v="QM"/>
    <s v="Powertrain"/>
    <s v="Cooling/Heating"/>
    <s v="Radiator Ventilation"/>
    <s v="EV"/>
    <s v="Actuator"/>
    <s v="Cooling Fan Motor 600W"/>
    <s v="Cooling Fan Motor 600W - Radiator Ventilation"/>
    <m/>
    <m/>
    <s v="-11;-5"/>
    <s v="TE"/>
    <s v="1897210-1"/>
    <s v="4 Pos. MCP 2,8mm / 6,3mm Sealed"/>
    <m/>
    <s v="No"/>
    <s v="Yes"/>
    <s v="No"/>
    <n v="0.8"/>
    <n v="0.3"/>
    <n v="0.6"/>
    <n v="0.4"/>
  </r>
  <r>
    <x v="811"/>
    <s v="39.0_HVAC &amp; Thermal"/>
    <s v="39.10_PassengerThermal-System"/>
    <s v="F0x19"/>
    <s v="HVAC-System, Heat Pump Driven"/>
    <s v="QM"/>
    <s v="Powertrain"/>
    <s v="Cooling/Heating"/>
    <s v="Radiator Ventilation"/>
    <s v="EV"/>
    <s v="Actuator"/>
    <s v="Cooling Fan Motor 2x400W"/>
    <s v="Cooling Fan Motor 2x400W - Radiator Ventilation"/>
    <m/>
    <m/>
    <s v="-11;-11"/>
    <s v="TE"/>
    <s v="1897210-1"/>
    <s v="4 Pos. MCP 2,8mm / 6,3mm Sealed"/>
    <m/>
    <s v="No"/>
    <s v="No"/>
    <s v="Yes"/>
    <n v="0.8"/>
    <n v="0.3"/>
    <n v="0.6"/>
    <n v="0.4"/>
  </r>
  <r>
    <x v="811"/>
    <s v="39.0_HVAC &amp; Thermal"/>
    <s v="39.11_ComponentThermal-System"/>
    <s v="F0257"/>
    <s v="HV-Components, Cooling"/>
    <s v="TBD"/>
    <s v="Powertrain"/>
    <s v="Cooling/Heating"/>
    <s v="Radiator Ventilation"/>
    <s v="EV"/>
    <s v="Actuator"/>
    <s v="Cooling Fan Motor 2x400W"/>
    <s v="Cooling Fan Motor 2x400W - Radiator Ventilation"/>
    <m/>
    <m/>
    <s v="-11;-11"/>
    <s v="TE"/>
    <s v="1897210-1"/>
    <s v="4 Pos. MCP 2,8mm / 6,3mm Sealed"/>
    <m/>
    <s v="No"/>
    <s v="No"/>
    <s v="Yes"/>
    <n v="0.8"/>
    <n v="0.3"/>
    <n v="0.6"/>
    <n v="0.4"/>
  </r>
  <r>
    <x v="811"/>
    <s v="39.0_HVAC &amp; Thermal"/>
    <s v="39.11_ComponentThermal-System"/>
    <s v="F0553"/>
    <s v="Thermal Management, HV-CoolingGeneration"/>
    <s v="QM"/>
    <s v="Powertrain"/>
    <s v="Cooling/Heating"/>
    <s v="Radiator Ventilation"/>
    <s v="EV"/>
    <s v="Actuator"/>
    <s v="Cooling Fan Motor 2x400W"/>
    <s v="Cooling Fan Motor 2x400W - Radiator Ventilation"/>
    <m/>
    <m/>
    <s v="-11;-11"/>
    <s v="TE"/>
    <s v="1897210-1"/>
    <s v="4 Pos. MCP 2,8mm / 6,3mm Sealed"/>
    <m/>
    <s v="No"/>
    <s v="No"/>
    <s v="Yes"/>
    <n v="0.8"/>
    <n v="0.3"/>
    <n v="0.6"/>
    <n v="0.4"/>
  </r>
  <r>
    <x v="811"/>
    <s v="39.0_HVAC &amp; Thermal"/>
    <s v="39.11_ComponentThermal-System"/>
    <s v="F0889"/>
    <s v="Thermal Management, Heat Pumping"/>
    <s v="QM"/>
    <s v="Powertrain"/>
    <s v="Cooling/Heating"/>
    <s v="Radiator Ventilation"/>
    <s v="EV"/>
    <s v="Actuator"/>
    <s v="Cooling Fan Motor 2x400W"/>
    <s v="Cooling Fan Motor 2x400W - Radiator Ventilation"/>
    <m/>
    <m/>
    <s v="-11;-11"/>
    <s v="TE"/>
    <s v="1897210-1"/>
    <s v="4 Pos. MCP 2,8mm / 6,3mm Sealed"/>
    <m/>
    <s v="No"/>
    <s v="No"/>
    <s v="Yes"/>
    <n v="0.8"/>
    <n v="0.3"/>
    <n v="0.6"/>
    <n v="0.4"/>
  </r>
  <r>
    <x v="812"/>
    <s v="39.0_HVAC &amp; Thermal"/>
    <s v="39.10_PassengerThermal-System"/>
    <s v="F0x19"/>
    <s v="HVAC-System, Heat Pump Driven"/>
    <s v="QM"/>
    <s v="Comfort"/>
    <s v="Climate Control"/>
    <s v="Heat Pump System Operation"/>
    <s v="Heat Pump"/>
    <s v="Sensor"/>
    <s v="Pressure and Temperature Sensor 1 before Compressor"/>
    <s v="Pressure and Temperature Sensor 1 before Compressor - Heat Pump System Operation"/>
    <m/>
    <m/>
    <s v="22;16"/>
    <m/>
    <m/>
    <m/>
    <m/>
    <s v="No"/>
    <s v="No"/>
    <s v="Yes"/>
    <n v="1"/>
    <n v="1"/>
    <n v="1"/>
    <n v="1"/>
  </r>
  <r>
    <x v="813"/>
    <s v="39.0_HVAC &amp; Thermal"/>
    <s v="39.10_PassengerThermal-System"/>
    <s v="F0x19"/>
    <s v="HVAC-System, Heat Pump Driven"/>
    <s v="QM"/>
    <s v="Comfort"/>
    <s v="Climate Control"/>
    <s v="Heat Pump System Operation"/>
    <s v="Heat Pump"/>
    <s v="Sensor"/>
    <s v="Pressure and Temperature Sensor 2 After AC Condenser"/>
    <s v="Pressure and Temperature Sensor 2 After AC Condenser - Heat Pump System Operation"/>
    <m/>
    <m/>
    <s v="20;9"/>
    <m/>
    <m/>
    <m/>
    <m/>
    <s v="No"/>
    <s v="No"/>
    <s v="Yes"/>
    <n v="1"/>
    <n v="1"/>
    <n v="1"/>
    <n v="1"/>
  </r>
  <r>
    <x v="814"/>
    <s v="39.0_HVAC &amp; Thermal"/>
    <s v="39.10_PassengerThermal-System"/>
    <s v="F0x19"/>
    <s v="HVAC-System, Heat Pump Driven"/>
    <s v="QM"/>
    <s v="Comfort"/>
    <s v="Climate Control"/>
    <s v="Heat Pump System Operation"/>
    <s v="Heat Pump"/>
    <s v="Sensor"/>
    <s v="Pressure and Temperature Sensor 1 After AC Condenser"/>
    <s v="Pressure and Temperature Sensor 1 After AC Condenser - Heat Pump System Operation"/>
    <m/>
    <m/>
    <s v="21;2"/>
    <m/>
    <m/>
    <m/>
    <m/>
    <s v="No"/>
    <s v="No"/>
    <s v="Yes"/>
    <n v="1"/>
    <n v="1"/>
    <n v="1"/>
    <n v="1"/>
  </r>
  <r>
    <x v="815"/>
    <s v="39.0_HVAC &amp; Thermal"/>
    <s v="39.10_PassengerThermal-System"/>
    <s v="F0x19"/>
    <s v="HVAC-System, Heat Pump Driven"/>
    <s v="QM"/>
    <s v="Comfort"/>
    <s v="Climate Control"/>
    <s v="Heat Pump System Operation"/>
    <s v="Heat Pump"/>
    <s v="Sensor"/>
    <s v="Pressure and Temperature Sensor Before AC Condenser"/>
    <s v="Pressure and Temperature Sensor Before AC Condenser - Heat Pump System Operation"/>
    <m/>
    <m/>
    <s v="22;1"/>
    <m/>
    <m/>
    <m/>
    <m/>
    <s v="No"/>
    <s v="No"/>
    <s v="Yes"/>
    <n v="1"/>
    <n v="1"/>
    <n v="1"/>
    <n v="1"/>
  </r>
  <r>
    <x v="816"/>
    <s v="39.0_HVAC &amp; Thermal"/>
    <s v="39.10_PassengerThermal-System"/>
    <s v="F0x19"/>
    <s v="HVAC-System, Heat Pump Driven"/>
    <s v="QM"/>
    <s v="Comfort"/>
    <s v="Climate Control"/>
    <s v="Heat Pump System Operation"/>
    <s v="with Automatic Air Conditioning"/>
    <s v="Actuator"/>
    <s v="Expansion Valve for Refrigerant After Heating Condenser"/>
    <s v="Expansion Valve for Refrigerant After Heating Condenser - Heat Pump System Operation"/>
    <m/>
    <m/>
    <s v="-8;14"/>
    <m/>
    <m/>
    <m/>
    <m/>
    <s v="No"/>
    <s v="No"/>
    <s v="Yes"/>
    <n v="0.5"/>
    <n v="0.5"/>
    <n v="0.5"/>
    <n v="0.5"/>
  </r>
  <r>
    <x v="817"/>
    <s v="39.0_HVAC &amp; Thermal"/>
    <s v="39.10_PassengerThermal-System"/>
    <s v="F0x19"/>
    <s v="HVAC-System, Heat Pump Driven"/>
    <s v="QM"/>
    <s v="Comfort"/>
    <s v="Climate Control"/>
    <s v="Heat Pump System Operation"/>
    <s v="Heat Pump"/>
    <s v="Actuator"/>
    <s v="Expansion Valve for Refrigerant After Evaporator"/>
    <s v="Expansion Valve for Refrigerant After Evaporator - Heat Pump System Operation"/>
    <m/>
    <m/>
    <s v="23;-2"/>
    <m/>
    <m/>
    <m/>
    <m/>
    <s v="No"/>
    <s v="No"/>
    <s v="Yes"/>
    <n v="0.5"/>
    <n v="0.5"/>
    <n v="0.5"/>
    <n v="0.5"/>
  </r>
  <r>
    <x v="818"/>
    <s v="39.0_HVAC &amp; Thermal"/>
    <s v="39.10_PassengerThermal-System"/>
    <s v="F0x19"/>
    <s v="HVAC-System, Heat Pump Driven"/>
    <s v="QM"/>
    <s v="Comfort"/>
    <s v="Climate Control"/>
    <s v="Heat Pump System Operation"/>
    <s v="with Automatic Air Conditioning"/>
    <s v="Actuator"/>
    <s v="Expansion Valve for Refrigerant Before Chiller"/>
    <s v="Expansion Valve for Refrigerant Before Chiller - Heat Pump System Operation"/>
    <m/>
    <m/>
    <s v="-11;10"/>
    <m/>
    <m/>
    <m/>
    <m/>
    <s v="No"/>
    <s v="No"/>
    <s v="Yes"/>
    <n v="0.5"/>
    <n v="0.5"/>
    <n v="0.5"/>
    <n v="0.5"/>
  </r>
  <r>
    <x v="819"/>
    <s v="39.0_HVAC &amp; Thermal"/>
    <s v="39.10_PassengerThermal-System"/>
    <s v="F0x19"/>
    <s v="HVAC-System, Heat Pump Driven"/>
    <s v="QM"/>
    <s v="Comfort"/>
    <s v="Climate Control"/>
    <s v="Heat Pump System Operation"/>
    <s v="Heat Pump"/>
    <s v="Actuator"/>
    <s v="Valve - Refrigerant Shut-off After Heating Condenser"/>
    <s v="Valve - Refrigerant Shut-off After Heating Condenser - Heat Pump System Operation"/>
    <m/>
    <m/>
    <s v="10;14"/>
    <m/>
    <m/>
    <m/>
    <m/>
    <s v="No"/>
    <s v="No"/>
    <s v="Yes"/>
    <n v="0.5"/>
    <n v="0.5"/>
    <n v="0.5"/>
    <n v="0.5"/>
  </r>
  <r>
    <x v="819"/>
    <s v="39.0_HVAC &amp; Thermal"/>
    <s v="39.11_ComponentThermal-System"/>
    <s v="F0x19"/>
    <s v="HVAC-System, Heat Pump Driven"/>
    <s v="QM"/>
    <s v="Comfort"/>
    <s v="Climate Control"/>
    <s v="Heat Pump System Operation"/>
    <s v="Heat Pump"/>
    <s v="Actuator"/>
    <s v="Valve - Refrigerant Shut-off After Heating Condenser"/>
    <s v="Valve - Refrigerant Shut-off After Heating Condenser - Heat Pump System Operation"/>
    <m/>
    <m/>
    <s v="10;14"/>
    <m/>
    <m/>
    <m/>
    <m/>
    <s v="No"/>
    <s v="No"/>
    <s v="Yes"/>
    <n v="0.5"/>
    <n v="0.5"/>
    <n v="0.5"/>
    <n v="0.5"/>
  </r>
  <r>
    <x v="820"/>
    <s v="39.0_HVAC &amp; Thermal"/>
    <s v="39.10_PassengerThermal-System"/>
    <s v="F0x19"/>
    <s v="HVAC-System, Heat Pump Driven"/>
    <s v="QM"/>
    <s v="Comfort"/>
    <s v="Climate Control"/>
    <s v="Heat Pump System Operation"/>
    <s v="Heat Pump"/>
    <s v="Actuator"/>
    <s v="Valve - Refrigerant Shut-off After Evaporator"/>
    <s v="Valve - Refrigerant Shut-off After Evaporator - Heat Pump System Operation"/>
    <m/>
    <m/>
    <s v="18;12"/>
    <m/>
    <m/>
    <m/>
    <m/>
    <s v="No"/>
    <s v="No"/>
    <s v="Yes"/>
    <n v="0.5"/>
    <n v="0.5"/>
    <n v="0.5"/>
    <n v="0.5"/>
  </r>
  <r>
    <x v="820"/>
    <s v="39.0_HVAC &amp; Thermal"/>
    <s v="39.11_ComponentThermal-System"/>
    <s v="F0x19"/>
    <s v="HVAC-System, Heat Pump Driven"/>
    <s v="QM"/>
    <s v="Comfort"/>
    <s v="Climate Control"/>
    <s v="Heat Pump System Operation"/>
    <s v="Heat Pump"/>
    <s v="Actuator"/>
    <s v="Valve - Refrigerant Shut-off After Evaporator"/>
    <s v="Valve - Refrigerant Shut-off After Evaporator - Heat Pump System Operation"/>
    <m/>
    <m/>
    <s v="18;12"/>
    <m/>
    <m/>
    <m/>
    <m/>
    <s v="No"/>
    <s v="No"/>
    <s v="Yes"/>
    <n v="0.5"/>
    <n v="0.5"/>
    <n v="0.5"/>
    <n v="0.5"/>
  </r>
  <r>
    <x v="821"/>
    <s v="39.0_HVAC &amp; Thermal"/>
    <s v="39.10_PassengerThermal-System"/>
    <s v="F0016"/>
    <s v="HVAC-System, 3- / 4-Zones"/>
    <s v="QM"/>
    <s v="Comfort"/>
    <s v="Climate Control"/>
    <s v="Internal Temperature"/>
    <s v="with Automatic Air Conditioning"/>
    <s v="Sensor"/>
    <s v="Footwell Temperature Sensor Front Left"/>
    <s v="Footwell Temperature Sensor Front Left - Internal Temperature"/>
    <m/>
    <m/>
    <s v="31;-16"/>
    <m/>
    <m/>
    <m/>
    <m/>
    <s v="No"/>
    <s v="No"/>
    <s v="Yes"/>
    <n v="1"/>
    <n v="1"/>
    <n v="1"/>
    <n v="1"/>
  </r>
  <r>
    <x v="821"/>
    <s v="39.0_HVAC &amp; Thermal"/>
    <s v="39.10_PassengerThermal-System"/>
    <s v="F0233"/>
    <s v="HVAC-Temperature, Automatic"/>
    <s v="QM"/>
    <s v="Comfort"/>
    <s v="Climate Control"/>
    <s v="Internal Temperature"/>
    <s v="with Automatic Air Conditioning"/>
    <s v="Sensor"/>
    <s v="Footwell Temperature Sensor Front Left"/>
    <s v="Footwell Temperature Sensor Front Left - Internal Temperature"/>
    <m/>
    <m/>
    <s v="31;-16"/>
    <m/>
    <m/>
    <m/>
    <m/>
    <s v="No"/>
    <s v="Yes"/>
    <s v="Yes"/>
    <n v="1"/>
    <n v="1"/>
    <n v="1"/>
    <n v="1"/>
  </r>
  <r>
    <x v="821"/>
    <s v="39.0_HVAC &amp; Thermal"/>
    <s v="39.10_PassengerThermal-System"/>
    <s v="F0234"/>
    <s v="HVAC-Blower, Automatic"/>
    <s v="QM"/>
    <s v="Comfort"/>
    <s v="Climate Control"/>
    <s v="Internal Temperature"/>
    <s v="with Automatic Air Conditioning"/>
    <s v="Sensor"/>
    <s v="Footwell Temperature Sensor Front Left"/>
    <s v="Footwell Temperature Sensor Front Left - Internal Temperature"/>
    <m/>
    <m/>
    <s v="31;-16"/>
    <m/>
    <m/>
    <m/>
    <m/>
    <s v="No"/>
    <s v="Yes"/>
    <s v="Yes"/>
    <n v="1"/>
    <n v="1"/>
    <n v="1"/>
    <n v="1"/>
  </r>
  <r>
    <x v="821"/>
    <s v="39.0_HVAC &amp; Thermal"/>
    <s v="39.10_PassengerThermal-System"/>
    <s v="F0x17"/>
    <s v="HVAC-System, 2-Zones Front"/>
    <s v="QM"/>
    <s v="Comfort"/>
    <s v="Climate Control"/>
    <s v="Internal Temperature"/>
    <s v="with Automatic Air Conditioning"/>
    <s v="Sensor"/>
    <s v="Footwell Temperature Sensor Front Left"/>
    <s v="Footwell Temperature Sensor Front Left - Internal Temperature"/>
    <m/>
    <m/>
    <s v="31;-16"/>
    <m/>
    <m/>
    <m/>
    <m/>
    <s v="No"/>
    <s v="Yes"/>
    <s v="No"/>
    <n v="1"/>
    <n v="1"/>
    <n v="1"/>
    <n v="1"/>
  </r>
  <r>
    <x v="821"/>
    <s v="39.0_HVAC &amp; Thermal"/>
    <s v="39.10_PassengerThermal-System"/>
    <s v="F0x19"/>
    <s v="HVAC-System, Heat Pump Driven"/>
    <s v="QM"/>
    <s v="Comfort"/>
    <s v="Climate Control"/>
    <s v="Internal Temperature"/>
    <s v="with Automatic Air Conditioning"/>
    <s v="Sensor"/>
    <s v="Footwell Temperature Sensor Front Left"/>
    <s v="Footwell Temperature Sensor Front Left - Internal Temperature"/>
    <m/>
    <m/>
    <s v="31;-16"/>
    <m/>
    <m/>
    <m/>
    <m/>
    <s v="No"/>
    <s v="Yes"/>
    <s v="Yes"/>
    <n v="1"/>
    <n v="1"/>
    <n v="1"/>
    <n v="1"/>
  </r>
  <r>
    <x v="821"/>
    <s v="39.0_HVAC &amp; Thermal"/>
    <s v="39.10_PassengerThermal-System"/>
    <s v="F0x20"/>
    <s v="HVAC-System, Electrical Heating"/>
    <s v="QM"/>
    <s v="Comfort"/>
    <s v="Climate Control"/>
    <s v="Internal Temperature"/>
    <s v="with Automatic Air Conditioning"/>
    <s v="Sensor"/>
    <s v="Footwell Temperature Sensor Front Left"/>
    <s v="Footwell Temperature Sensor Front Left - Internal Temperature"/>
    <m/>
    <m/>
    <s v="31;-16"/>
    <m/>
    <m/>
    <m/>
    <m/>
    <s v="No"/>
    <s v="No"/>
    <s v="Yes"/>
    <n v="1"/>
    <n v="1"/>
    <n v="1"/>
    <n v="1"/>
  </r>
  <r>
    <x v="821"/>
    <s v="39.0_HVAC &amp; Thermal"/>
    <s v="39.10_PassengerThermal-System"/>
    <s v="F0x60"/>
    <s v="Parking Heating"/>
    <m/>
    <s v="Comfort"/>
    <s v="Climate Control"/>
    <s v="Internal Temperature"/>
    <s v="with Automatic Air Conditioning"/>
    <s v="Sensor"/>
    <s v="Footwell Temperature Sensor Front Left"/>
    <s v="Footwell Temperature Sensor Front Left - Internal Temperature"/>
    <m/>
    <m/>
    <s v="31;-16"/>
    <m/>
    <m/>
    <m/>
    <m/>
    <s v="No"/>
    <s v="No"/>
    <s v="Yes"/>
    <n v="1"/>
    <n v="1"/>
    <n v="1"/>
    <n v="1"/>
  </r>
  <r>
    <x v="822"/>
    <s v="39.0_HVAC &amp; Thermal"/>
    <s v="39.10_PassengerThermal-System"/>
    <s v="F0016"/>
    <s v="HVAC-System, 3- / 4-Zones"/>
    <s v="QM"/>
    <s v="Comfort"/>
    <s v="Climate Control"/>
    <s v="Internal Temperature"/>
    <s v="with Automatic Air Conditioning"/>
    <s v="Sensor"/>
    <s v="Footwell Temperature Sensor Front Right"/>
    <s v="Footwell Temperature Sensor Front Right - Internal Temperature"/>
    <m/>
    <m/>
    <s v="31;16"/>
    <m/>
    <m/>
    <m/>
    <m/>
    <s v="No"/>
    <s v="No"/>
    <s v="Yes"/>
    <n v="1"/>
    <n v="1"/>
    <n v="1"/>
    <n v="1"/>
  </r>
  <r>
    <x v="822"/>
    <s v="39.0_HVAC &amp; Thermal"/>
    <s v="39.10_PassengerThermal-System"/>
    <s v="F0233"/>
    <s v="HVAC-Temperature, Automatic"/>
    <s v="QM"/>
    <s v="Comfort"/>
    <s v="Climate Control"/>
    <s v="Internal Temperature"/>
    <s v="with Automatic Air Conditioning"/>
    <s v="Sensor"/>
    <s v="Footwell Temperature Sensor Front Right"/>
    <s v="Footwell Temperature Sensor Front Right - Internal Temperature"/>
    <m/>
    <m/>
    <s v="31;16"/>
    <m/>
    <m/>
    <m/>
    <m/>
    <s v="No"/>
    <s v="Yes"/>
    <s v="Yes"/>
    <n v="1"/>
    <n v="1"/>
    <n v="1"/>
    <n v="1"/>
  </r>
  <r>
    <x v="822"/>
    <s v="39.0_HVAC &amp; Thermal"/>
    <s v="39.10_PassengerThermal-System"/>
    <s v="F0234"/>
    <s v="HVAC-Blower, Automatic"/>
    <s v="QM"/>
    <s v="Comfort"/>
    <s v="Climate Control"/>
    <s v="Internal Temperature"/>
    <s v="with Automatic Air Conditioning"/>
    <s v="Sensor"/>
    <s v="Footwell Temperature Sensor Front Right"/>
    <s v="Footwell Temperature Sensor Front Right - Internal Temperature"/>
    <m/>
    <m/>
    <s v="31;16"/>
    <m/>
    <m/>
    <m/>
    <m/>
    <s v="No"/>
    <s v="Yes"/>
    <s v="Yes"/>
    <n v="1"/>
    <n v="1"/>
    <n v="1"/>
    <n v="1"/>
  </r>
  <r>
    <x v="822"/>
    <s v="39.0_HVAC &amp; Thermal"/>
    <s v="39.10_PassengerThermal-System"/>
    <s v="F0x17"/>
    <s v="HVAC-System, 2-Zones Front"/>
    <s v="QM"/>
    <s v="Comfort"/>
    <s v="Climate Control"/>
    <s v="Internal Temperature"/>
    <s v="with Automatic Air Conditioning"/>
    <s v="Sensor"/>
    <s v="Footwell Temperature Sensor Front Right"/>
    <s v="Footwell Temperature Sensor Front Right - Internal Temperature"/>
    <m/>
    <m/>
    <s v="31;16"/>
    <m/>
    <m/>
    <m/>
    <m/>
    <s v="No"/>
    <s v="Yes"/>
    <s v="No"/>
    <n v="1"/>
    <n v="1"/>
    <n v="1"/>
    <n v="1"/>
  </r>
  <r>
    <x v="822"/>
    <s v="39.0_HVAC &amp; Thermal"/>
    <s v="39.10_PassengerThermal-System"/>
    <s v="F0x19"/>
    <s v="HVAC-System, Heat Pump Driven"/>
    <s v="QM"/>
    <s v="Comfort"/>
    <s v="Climate Control"/>
    <s v="Internal Temperature"/>
    <s v="with Automatic Air Conditioning"/>
    <s v="Sensor"/>
    <s v="Footwell Temperature Sensor Front Right"/>
    <s v="Footwell Temperature Sensor Front Right - Internal Temperature"/>
    <m/>
    <m/>
    <s v="31;16"/>
    <m/>
    <m/>
    <m/>
    <m/>
    <s v="No"/>
    <s v="Yes"/>
    <s v="Yes"/>
    <n v="1"/>
    <n v="1"/>
    <n v="1"/>
    <n v="1"/>
  </r>
  <r>
    <x v="822"/>
    <s v="39.0_HVAC &amp; Thermal"/>
    <s v="39.10_PassengerThermal-System"/>
    <s v="F0x20"/>
    <s v="HVAC-System, Electrical Heating"/>
    <s v="QM"/>
    <s v="Comfort"/>
    <s v="Climate Control"/>
    <s v="Internal Temperature"/>
    <s v="with Automatic Air Conditioning"/>
    <s v="Sensor"/>
    <s v="Footwell Temperature Sensor Front Right"/>
    <s v="Footwell Temperature Sensor Front Right - Internal Temperature"/>
    <m/>
    <m/>
    <s v="31;16"/>
    <m/>
    <m/>
    <m/>
    <m/>
    <s v="No"/>
    <s v="No"/>
    <s v="Yes"/>
    <n v="1"/>
    <n v="1"/>
    <n v="1"/>
    <n v="1"/>
  </r>
  <r>
    <x v="822"/>
    <s v="39.0_HVAC &amp; Thermal"/>
    <s v="39.10_PassengerThermal-System"/>
    <s v="F0x60"/>
    <s v="Parking Heating"/>
    <m/>
    <s v="Comfort"/>
    <s v="Climate Control"/>
    <s v="Internal Temperature"/>
    <s v="with Automatic Air Conditioning"/>
    <s v="Sensor"/>
    <s v="Footwell Temperature Sensor Front Right"/>
    <s v="Footwell Temperature Sensor Front Right - Internal Temperature"/>
    <m/>
    <m/>
    <s v="31;16"/>
    <m/>
    <m/>
    <m/>
    <m/>
    <s v="No"/>
    <s v="No"/>
    <s v="Yes"/>
    <n v="1"/>
    <n v="1"/>
    <n v="1"/>
    <n v="1"/>
  </r>
  <r>
    <x v="823"/>
    <s v="39.0_HVAC &amp; Thermal"/>
    <s v="39.10_PassengerThermal-System"/>
    <s v="F0016"/>
    <s v="HVAC-System, 3- / 4-Zones"/>
    <s v="QM"/>
    <s v="Comfort"/>
    <s v="Climate Control"/>
    <s v="Air Flow Deflection"/>
    <s v="with Automatic Air Conditioning"/>
    <s v="Actuator"/>
    <s v="Stepper Motor - Cockpit Deflector FL 1"/>
    <s v="Stepper Motor - Cockpit Deflector FL 1 - Air Flow Deflection"/>
    <m/>
    <m/>
    <s v="32;-14"/>
    <m/>
    <m/>
    <m/>
    <m/>
    <s v="No"/>
    <s v="No"/>
    <s v="Yes"/>
    <n v="0.01"/>
    <n v="0.01"/>
    <n v="0.01"/>
    <n v="0.01"/>
  </r>
  <r>
    <x v="823"/>
    <s v="39.0_HVAC &amp; Thermal"/>
    <s v="39.10_PassengerThermal-System"/>
    <s v="F0x17"/>
    <s v="HVAC-System, 2-Zones Front"/>
    <s v="QM"/>
    <s v="Comfort"/>
    <s v="Climate Control"/>
    <s v="Air Flow Deflection"/>
    <s v="with Automatic Air Conditioning"/>
    <s v="Actuator"/>
    <s v="Stepper Motor - Cockpit Deflector FL 1"/>
    <s v="Stepper Motor - Cockpit Deflector FL 1 - Air Flow Deflection"/>
    <m/>
    <m/>
    <s v="32;-14"/>
    <m/>
    <m/>
    <m/>
    <m/>
    <s v="No"/>
    <s v="Yes"/>
    <s v="No"/>
    <n v="0.01"/>
    <n v="0.01"/>
    <n v="0.01"/>
    <n v="0.01"/>
  </r>
  <r>
    <x v="823"/>
    <s v="39.0_HVAC &amp; Thermal"/>
    <s v="39.10_PassengerThermal-System"/>
    <s v="F0x19"/>
    <s v="HVAC-System, Heat Pump Driven"/>
    <s v="QM"/>
    <s v="Comfort"/>
    <s v="Climate Control"/>
    <s v="Air Flow Deflection"/>
    <s v="with Automatic Air Conditioning"/>
    <s v="Actuator"/>
    <s v="Stepper Motor - Cockpit Deflector FL 1"/>
    <s v="Stepper Motor - Cockpit Deflector FL 1 - Air Flow Deflection"/>
    <m/>
    <m/>
    <s v="32;-14"/>
    <m/>
    <m/>
    <m/>
    <m/>
    <s v="No"/>
    <s v="Yes"/>
    <s v="Yes"/>
    <n v="0.01"/>
    <n v="0.01"/>
    <n v="0.01"/>
    <n v="0.01"/>
  </r>
  <r>
    <x v="824"/>
    <s v="39.0_HVAC &amp; Thermal"/>
    <s v="39.10_PassengerThermal-System"/>
    <s v="F0016"/>
    <s v="HVAC-System, 3- / 4-Zones"/>
    <s v="QM"/>
    <s v="Comfort"/>
    <s v="Climate Control"/>
    <s v="Air Flow Deflection"/>
    <s v="with Automatic Air Conditioning"/>
    <s v="Actuator"/>
    <s v="Stepper Motor - Cockpit Deflector FL 2"/>
    <s v="Stepper Motor - Cockpit Deflector FL 2 - Air Flow Deflection"/>
    <m/>
    <m/>
    <s v="32;-14"/>
    <m/>
    <m/>
    <m/>
    <m/>
    <s v="No"/>
    <s v="No"/>
    <s v="Yes"/>
    <n v="0.01"/>
    <n v="0.01"/>
    <n v="0.01"/>
    <n v="0.01"/>
  </r>
  <r>
    <x v="824"/>
    <s v="39.0_HVAC &amp; Thermal"/>
    <s v="39.10_PassengerThermal-System"/>
    <s v="F0x17"/>
    <s v="HVAC-System, 2-Zones Front"/>
    <s v="QM"/>
    <s v="Comfort"/>
    <s v="Climate Control"/>
    <s v="Air Flow Deflection"/>
    <s v="with Automatic Air Conditioning"/>
    <s v="Actuator"/>
    <s v="Stepper Motor - Cockpit Deflector FL 2"/>
    <s v="Stepper Motor - Cockpit Deflector FL 2 - Air Flow Deflection"/>
    <m/>
    <m/>
    <s v="32;-14"/>
    <m/>
    <m/>
    <m/>
    <m/>
    <s v="No"/>
    <s v="Yes"/>
    <s v="No"/>
    <n v="0.01"/>
    <n v="0.01"/>
    <n v="0.01"/>
    <n v="0.01"/>
  </r>
  <r>
    <x v="824"/>
    <s v="39.0_HVAC &amp; Thermal"/>
    <s v="39.10_PassengerThermal-System"/>
    <s v="F0x19"/>
    <s v="HVAC-System, Heat Pump Driven"/>
    <s v="QM"/>
    <s v="Comfort"/>
    <s v="Climate Control"/>
    <s v="Air Flow Deflection"/>
    <s v="with Automatic Air Conditioning"/>
    <s v="Actuator"/>
    <s v="Stepper Motor - Cockpit Deflector FL 2"/>
    <s v="Stepper Motor - Cockpit Deflector FL 2 - Air Flow Deflection"/>
    <m/>
    <m/>
    <s v="32;-14"/>
    <m/>
    <m/>
    <m/>
    <m/>
    <s v="No"/>
    <s v="Yes"/>
    <s v="Yes"/>
    <n v="0.01"/>
    <n v="0.01"/>
    <n v="0.01"/>
    <n v="0.01"/>
  </r>
  <r>
    <x v="825"/>
    <s v="39.0_HVAC &amp; Thermal"/>
    <s v="39.10_PassengerThermal-System"/>
    <s v="F0016"/>
    <s v="HVAC-System, 3- / 4-Zones"/>
    <s v="QM"/>
    <s v="Comfort"/>
    <s v="Climate Control"/>
    <s v="Air Flow Deflection"/>
    <s v="with Automatic Air Conditioning"/>
    <s v="Actuator"/>
    <s v="Stepper Motor - Cockpit Deflector ML 1"/>
    <s v="Stepper Motor - Cockpit Deflector ML 1 - Air Flow Deflection"/>
    <m/>
    <m/>
    <s v="31;-2"/>
    <m/>
    <m/>
    <m/>
    <m/>
    <s v="No"/>
    <s v="No"/>
    <s v="Yes"/>
    <n v="0.01"/>
    <n v="0.01"/>
    <n v="0.01"/>
    <n v="0.01"/>
  </r>
  <r>
    <x v="825"/>
    <s v="39.0_HVAC &amp; Thermal"/>
    <s v="39.10_PassengerThermal-System"/>
    <s v="F0x17"/>
    <s v="HVAC-System, 2-Zones Front"/>
    <s v="QM"/>
    <s v="Comfort"/>
    <s v="Climate Control"/>
    <s v="Air Flow Deflection"/>
    <s v="with Automatic Air Conditioning"/>
    <s v="Actuator"/>
    <s v="Stepper Motor - Cockpit Deflector ML 1"/>
    <s v="Stepper Motor - Cockpit Deflector ML 1 - Air Flow Deflection"/>
    <m/>
    <m/>
    <s v="31;-2"/>
    <m/>
    <m/>
    <m/>
    <m/>
    <s v="No"/>
    <s v="Yes"/>
    <s v="No"/>
    <n v="0.01"/>
    <n v="0.01"/>
    <n v="0.01"/>
    <n v="0.01"/>
  </r>
  <r>
    <x v="825"/>
    <s v="39.0_HVAC &amp; Thermal"/>
    <s v="39.10_PassengerThermal-System"/>
    <s v="F0x19"/>
    <s v="HVAC-System, Heat Pump Driven"/>
    <s v="QM"/>
    <s v="Comfort"/>
    <s v="Climate Control"/>
    <s v="Air Flow Deflection"/>
    <s v="with Automatic Air Conditioning"/>
    <s v="Actuator"/>
    <s v="Stepper Motor - Cockpit Deflector ML 1"/>
    <s v="Stepper Motor - Cockpit Deflector ML 1 - Air Flow Deflection"/>
    <m/>
    <m/>
    <s v="31;-2"/>
    <m/>
    <m/>
    <m/>
    <m/>
    <s v="No"/>
    <s v="Yes"/>
    <s v="Yes"/>
    <n v="0.01"/>
    <n v="0.01"/>
    <n v="0.01"/>
    <n v="0.01"/>
  </r>
  <r>
    <x v="826"/>
    <s v="39.0_HVAC &amp; Thermal"/>
    <s v="39.10_PassengerThermal-System"/>
    <s v="F0016"/>
    <s v="HVAC-System, 3- / 4-Zones"/>
    <s v="QM"/>
    <s v="Comfort"/>
    <s v="Climate Control"/>
    <s v="Air Flow Deflection"/>
    <s v="with Automatic Air Conditioning"/>
    <s v="Actuator"/>
    <s v="Stepper Motor - Cockpit Deflector ML 2"/>
    <s v="Stepper Motor - Cockpit Deflector ML 2 - Air Flow Deflection"/>
    <m/>
    <m/>
    <s v="31;-2"/>
    <m/>
    <m/>
    <m/>
    <m/>
    <s v="No"/>
    <s v="No"/>
    <s v="Yes"/>
    <n v="0.01"/>
    <n v="0.01"/>
    <n v="0.01"/>
    <n v="0.01"/>
  </r>
  <r>
    <x v="826"/>
    <s v="39.0_HVAC &amp; Thermal"/>
    <s v="39.10_PassengerThermal-System"/>
    <s v="F0x17"/>
    <s v="HVAC-System, 2-Zones Front"/>
    <s v="QM"/>
    <s v="Comfort"/>
    <s v="Climate Control"/>
    <s v="Air Flow Deflection"/>
    <s v="with Automatic Air Conditioning"/>
    <s v="Actuator"/>
    <s v="Stepper Motor - Cockpit Deflector ML 2"/>
    <s v="Stepper Motor - Cockpit Deflector ML 2 - Air Flow Deflection"/>
    <m/>
    <m/>
    <s v="31;-2"/>
    <m/>
    <m/>
    <m/>
    <m/>
    <s v="No"/>
    <s v="Yes"/>
    <s v="No"/>
    <n v="0.01"/>
    <n v="0.01"/>
    <n v="0.01"/>
    <n v="0.01"/>
  </r>
  <r>
    <x v="826"/>
    <s v="39.0_HVAC &amp; Thermal"/>
    <s v="39.10_PassengerThermal-System"/>
    <s v="F0x19"/>
    <s v="HVAC-System, Heat Pump Driven"/>
    <s v="QM"/>
    <s v="Comfort"/>
    <s v="Climate Control"/>
    <s v="Air Flow Deflection"/>
    <s v="with Automatic Air Conditioning"/>
    <s v="Actuator"/>
    <s v="Stepper Motor - Cockpit Deflector ML 2"/>
    <s v="Stepper Motor - Cockpit Deflector ML 2 - Air Flow Deflection"/>
    <m/>
    <m/>
    <s v="31;-2"/>
    <m/>
    <m/>
    <m/>
    <m/>
    <s v="No"/>
    <s v="Yes"/>
    <s v="Yes"/>
    <n v="0.01"/>
    <n v="0.01"/>
    <n v="0.01"/>
    <n v="0.01"/>
  </r>
  <r>
    <x v="827"/>
    <s v="39.0_HVAC &amp; Thermal"/>
    <s v="39.10_PassengerThermal-System"/>
    <s v="F0016"/>
    <s v="HVAC-System, 3- / 4-Zones"/>
    <s v="QM"/>
    <s v="Comfort"/>
    <s v="Climate Control"/>
    <s v="Air Flow Deflection"/>
    <s v="with Automatic Air Conditioning"/>
    <s v="Actuator"/>
    <s v="Stepper Motor - Cockpit Deflector MR 1"/>
    <s v="Stepper Motor - Cockpit Deflector MR 1 - Air Flow Deflection"/>
    <m/>
    <m/>
    <s v="31;2"/>
    <m/>
    <m/>
    <m/>
    <m/>
    <s v="No"/>
    <s v="No"/>
    <s v="Yes"/>
    <n v="0.01"/>
    <n v="0.01"/>
    <n v="0.01"/>
    <n v="0.01"/>
  </r>
  <r>
    <x v="827"/>
    <s v="39.0_HVAC &amp; Thermal"/>
    <s v="39.10_PassengerThermal-System"/>
    <s v="F0x17"/>
    <s v="HVAC-System, 2-Zones Front"/>
    <s v="QM"/>
    <s v="Comfort"/>
    <s v="Climate Control"/>
    <s v="Air Flow Deflection"/>
    <s v="with Automatic Air Conditioning"/>
    <s v="Actuator"/>
    <s v="Stepper Motor - Cockpit Deflector MR 1"/>
    <s v="Stepper Motor - Cockpit Deflector MR 1 - Air Flow Deflection"/>
    <m/>
    <m/>
    <s v="31;2"/>
    <m/>
    <m/>
    <m/>
    <m/>
    <s v="No"/>
    <s v="Yes"/>
    <s v="No"/>
    <n v="0.01"/>
    <n v="0.01"/>
    <n v="0.01"/>
    <n v="0.01"/>
  </r>
  <r>
    <x v="827"/>
    <s v="39.0_HVAC &amp; Thermal"/>
    <s v="39.10_PassengerThermal-System"/>
    <s v="F0x19"/>
    <s v="HVAC-System, Heat Pump Driven"/>
    <s v="QM"/>
    <s v="Comfort"/>
    <s v="Climate Control"/>
    <s v="Air Flow Deflection"/>
    <s v="with Automatic Air Conditioning"/>
    <s v="Actuator"/>
    <s v="Stepper Motor - Cockpit Deflector MR 1"/>
    <s v="Stepper Motor - Cockpit Deflector MR 1 - Air Flow Deflection"/>
    <m/>
    <m/>
    <s v="31;2"/>
    <m/>
    <m/>
    <m/>
    <m/>
    <s v="No"/>
    <s v="Yes"/>
    <s v="Yes"/>
    <n v="0.01"/>
    <n v="0.01"/>
    <n v="0.01"/>
    <n v="0.01"/>
  </r>
  <r>
    <x v="828"/>
    <s v="39.0_HVAC &amp; Thermal"/>
    <s v="39.10_PassengerThermal-System"/>
    <s v="F0016"/>
    <s v="HVAC-System, 3- / 4-Zones"/>
    <s v="QM"/>
    <s v="Comfort"/>
    <s v="Climate Control"/>
    <s v="Air Flow Deflection"/>
    <s v="with Automatic Air Conditioning"/>
    <s v="Actuator"/>
    <s v="Stepper Motor - Cockpit Deflector MR 2"/>
    <s v="Stepper Motor - Cockpit Deflector MR 2 - Air Flow Deflection"/>
    <m/>
    <m/>
    <s v="31;2"/>
    <m/>
    <m/>
    <m/>
    <m/>
    <s v="No"/>
    <s v="No"/>
    <s v="Yes"/>
    <n v="0.01"/>
    <n v="0.01"/>
    <n v="0.01"/>
    <n v="0.01"/>
  </r>
  <r>
    <x v="828"/>
    <s v="39.0_HVAC &amp; Thermal"/>
    <s v="39.10_PassengerThermal-System"/>
    <s v="F0x17"/>
    <s v="HVAC-System, 2-Zones Front"/>
    <s v="QM"/>
    <s v="Comfort"/>
    <s v="Climate Control"/>
    <s v="Air Flow Deflection"/>
    <s v="with Automatic Air Conditioning"/>
    <s v="Actuator"/>
    <s v="Stepper Motor - Cockpit Deflector MR 2"/>
    <s v="Stepper Motor - Cockpit Deflector MR 2 - Air Flow Deflection"/>
    <m/>
    <m/>
    <s v="31;2"/>
    <m/>
    <m/>
    <m/>
    <m/>
    <s v="No"/>
    <s v="Yes"/>
    <s v="No"/>
    <n v="0.01"/>
    <n v="0.01"/>
    <n v="0.01"/>
    <n v="0.01"/>
  </r>
  <r>
    <x v="828"/>
    <s v="39.0_HVAC &amp; Thermal"/>
    <s v="39.10_PassengerThermal-System"/>
    <s v="F0x19"/>
    <s v="HVAC-System, Heat Pump Driven"/>
    <s v="QM"/>
    <s v="Comfort"/>
    <s v="Climate Control"/>
    <s v="Air Flow Deflection"/>
    <s v="with Automatic Air Conditioning"/>
    <s v="Actuator"/>
    <s v="Stepper Motor - Cockpit Deflector MR 2"/>
    <s v="Stepper Motor - Cockpit Deflector MR 2 - Air Flow Deflection"/>
    <m/>
    <m/>
    <s v="31;2"/>
    <m/>
    <m/>
    <m/>
    <m/>
    <s v="No"/>
    <s v="Yes"/>
    <s v="Yes"/>
    <n v="0.01"/>
    <n v="0.01"/>
    <n v="0.01"/>
    <n v="0.01"/>
  </r>
  <r>
    <x v="829"/>
    <s v="39.0_HVAC &amp; Thermal"/>
    <s v="39.10_PassengerThermal-System"/>
    <s v="F0016"/>
    <s v="HVAC-System, 3- / 4-Zones"/>
    <s v="QM"/>
    <s v="Comfort"/>
    <s v="Climate Control"/>
    <s v="Air Flow Deflection"/>
    <s v="with Automatic Air Conditioning"/>
    <s v="Actuator"/>
    <s v="Stepper Motor - Cockpit Deflector FR 1"/>
    <s v="Stepper Motor - Cockpit Deflector FR 1 - Air Flow Deflection"/>
    <m/>
    <m/>
    <s v="32;14"/>
    <m/>
    <m/>
    <m/>
    <m/>
    <s v="No"/>
    <s v="No"/>
    <s v="Yes"/>
    <n v="0.01"/>
    <n v="0.01"/>
    <n v="0.01"/>
    <n v="0.01"/>
  </r>
  <r>
    <x v="829"/>
    <s v="39.0_HVAC &amp; Thermal"/>
    <s v="39.10_PassengerThermal-System"/>
    <s v="F0x17"/>
    <s v="HVAC-System, 2-Zones Front"/>
    <s v="QM"/>
    <s v="Comfort"/>
    <s v="Climate Control"/>
    <s v="Air Flow Deflection"/>
    <s v="with Automatic Air Conditioning"/>
    <s v="Actuator"/>
    <s v="Stepper Motor - Cockpit Deflector FR 1"/>
    <s v="Stepper Motor - Cockpit Deflector FR 1 - Air Flow Deflection"/>
    <m/>
    <m/>
    <s v="32;14"/>
    <m/>
    <m/>
    <m/>
    <m/>
    <s v="No"/>
    <s v="Yes"/>
    <s v="No"/>
    <n v="0.01"/>
    <n v="0.01"/>
    <n v="0.01"/>
    <n v="0.01"/>
  </r>
  <r>
    <x v="829"/>
    <s v="39.0_HVAC &amp; Thermal"/>
    <s v="39.10_PassengerThermal-System"/>
    <s v="F0x19"/>
    <s v="HVAC-System, Heat Pump Driven"/>
    <s v="QM"/>
    <s v="Comfort"/>
    <s v="Climate Control"/>
    <s v="Air Flow Deflection"/>
    <s v="with Automatic Air Conditioning"/>
    <s v="Actuator"/>
    <s v="Stepper Motor - Cockpit Deflector FR 1"/>
    <s v="Stepper Motor - Cockpit Deflector FR 1 - Air Flow Deflection"/>
    <m/>
    <m/>
    <s v="32;14"/>
    <m/>
    <m/>
    <m/>
    <m/>
    <s v="No"/>
    <s v="Yes"/>
    <s v="Yes"/>
    <n v="0.01"/>
    <n v="0.01"/>
    <n v="0.01"/>
    <n v="0.01"/>
  </r>
  <r>
    <x v="830"/>
    <s v="39.0_HVAC &amp; Thermal"/>
    <s v="39.10_PassengerThermal-System"/>
    <s v="F0016"/>
    <s v="HVAC-System, 3- / 4-Zones"/>
    <s v="QM"/>
    <s v="Comfort"/>
    <s v="Climate Control"/>
    <s v="Air Flow Deflection"/>
    <s v="with Automatic Air Conditioning"/>
    <s v="Actuator"/>
    <s v="Stepper Motor - Cockpit Deflector FR 2"/>
    <s v="Stepper Motor - Cockpit Deflector FR 2 - Air Flow Deflection"/>
    <m/>
    <m/>
    <s v="32;14"/>
    <m/>
    <m/>
    <m/>
    <m/>
    <s v="No"/>
    <s v="No"/>
    <s v="Yes"/>
    <n v="0.01"/>
    <n v="0.01"/>
    <n v="0.01"/>
    <n v="0.01"/>
  </r>
  <r>
    <x v="830"/>
    <s v="39.0_HVAC &amp; Thermal"/>
    <s v="39.10_PassengerThermal-System"/>
    <s v="F0x17"/>
    <s v="HVAC-System, 2-Zones Front"/>
    <s v="QM"/>
    <s v="Comfort"/>
    <s v="Climate Control"/>
    <s v="Air Flow Deflection"/>
    <s v="with Automatic Air Conditioning"/>
    <s v="Actuator"/>
    <s v="Stepper Motor - Cockpit Deflector FR 2"/>
    <s v="Stepper Motor - Cockpit Deflector FR 2 - Air Flow Deflection"/>
    <m/>
    <m/>
    <s v="32;14"/>
    <m/>
    <m/>
    <m/>
    <m/>
    <s v="No"/>
    <s v="Yes"/>
    <s v="No"/>
    <n v="0.01"/>
    <n v="0.01"/>
    <n v="0.01"/>
    <n v="0.01"/>
  </r>
  <r>
    <x v="830"/>
    <s v="39.0_HVAC &amp; Thermal"/>
    <s v="39.10_PassengerThermal-System"/>
    <s v="F0x19"/>
    <s v="HVAC-System, Heat Pump Driven"/>
    <s v="QM"/>
    <s v="Comfort"/>
    <s v="Climate Control"/>
    <s v="Air Flow Deflection"/>
    <s v="with Automatic Air Conditioning"/>
    <s v="Actuator"/>
    <s v="Stepper Motor - Cockpit Deflector FR 2"/>
    <s v="Stepper Motor - Cockpit Deflector FR 2 - Air Flow Deflection"/>
    <m/>
    <m/>
    <s v="32;14"/>
    <m/>
    <m/>
    <m/>
    <m/>
    <s v="No"/>
    <s v="Yes"/>
    <s v="Yes"/>
    <n v="0.01"/>
    <n v="0.01"/>
    <n v="0.01"/>
    <n v="0.01"/>
  </r>
  <r>
    <x v="831"/>
    <s v="39.0_HVAC &amp; Thermal"/>
    <s v="39.10_PassengerThermal-System"/>
    <s v="F0483"/>
    <s v="HVAC-System, Fully Manual"/>
    <s v="QM"/>
    <s v="Comfort"/>
    <s v="Climate Control"/>
    <s v="Command Panel"/>
    <s v="with Air Conditioning"/>
    <s v="Switch"/>
    <s v="Front Control Unit with User Selector"/>
    <s v="Front Control Unit with User Selector - Command Panel"/>
    <m/>
    <m/>
    <s v="33;1"/>
    <s v="TE"/>
    <s v="936120-2"/>
    <s v="4 Pos. MQS 0,63mm Unsealed"/>
    <m/>
    <s v="Yes"/>
    <s v="No"/>
    <s v="No"/>
    <n v="1"/>
    <n v="1"/>
    <n v="0.5"/>
    <n v="0.5"/>
  </r>
  <r>
    <x v="832"/>
    <s v="39.0_HVAC &amp; Thermal"/>
    <s v="39.10_PassengerThermal-System"/>
    <s v="F0233"/>
    <s v="HVAC-Temperature, Automatic"/>
    <s v="QM"/>
    <s v="Powertrain"/>
    <s v="Cooling/Heating"/>
    <s v="Computing - Heat Pump"/>
    <s v="with Air Conditioning"/>
    <s v="Control Unit"/>
    <s v="Heat Pump Control Unit"/>
    <s v="Heat Pump Control Unit - Computing - Heat Pump"/>
    <m/>
    <m/>
    <m/>
    <m/>
    <m/>
    <m/>
    <m/>
    <m/>
    <m/>
    <m/>
    <m/>
    <m/>
    <m/>
    <m/>
  </r>
  <r>
    <x v="832"/>
    <s v="39.0_HVAC &amp; Thermal"/>
    <s v="39.10_PassengerThermal-System"/>
    <s v="F0x19"/>
    <s v="HVAC-System, Heat Pump Driven"/>
    <s v="QM"/>
    <s v="Powertrain"/>
    <s v="Cooling/Heating"/>
    <s v="Computing - Heat Pump"/>
    <s v="with Air Conditioning"/>
    <s v="Control Unit"/>
    <s v="Heat Pump Control Unit"/>
    <s v="Heat Pump Control Unit - Computing - Heat Pump"/>
    <m/>
    <m/>
    <m/>
    <m/>
    <m/>
    <m/>
    <m/>
    <m/>
    <m/>
    <m/>
    <m/>
    <m/>
    <m/>
    <m/>
  </r>
  <r>
    <x v="832"/>
    <s v="39.0_HVAC &amp; Thermal"/>
    <s v="39.10_PassengerThermal-System"/>
    <s v="F0x60"/>
    <s v="Parking Heating"/>
    <m/>
    <s v="Powertrain"/>
    <s v="Cooling/Heating"/>
    <s v="Computing - Heat Pump"/>
    <s v="with Air Conditioning"/>
    <s v="Control Unit"/>
    <s v="Heat Pump Control Unit"/>
    <s v="Heat Pump Control Unit - Computing - Heat Pump"/>
    <m/>
    <m/>
    <m/>
    <m/>
    <m/>
    <m/>
    <m/>
    <s v="No"/>
    <s v="Yes"/>
    <s v="Yes"/>
    <m/>
    <m/>
    <m/>
    <m/>
  </r>
  <r>
    <x v="832"/>
    <s v="39.0_HVAC &amp; Thermal"/>
    <s v="39.11_ComponentThermal-System"/>
    <s v="F0889"/>
    <s v="Thermal Management, Heat Pumping"/>
    <s v="QM"/>
    <s v="Powertrain"/>
    <s v="Cooling/Heating"/>
    <s v="Computing - Heat Pump"/>
    <s v="with Air Conditioning"/>
    <s v="Control Unit"/>
    <s v="Heat Pump Control Unit"/>
    <s v="Heat Pump Control Unit - Computing - Heat Pump"/>
    <m/>
    <m/>
    <m/>
    <m/>
    <m/>
    <m/>
    <m/>
    <m/>
    <m/>
    <m/>
    <m/>
    <m/>
    <m/>
    <m/>
  </r>
  <r>
    <x v="833"/>
    <s v="39.0_HVAC &amp; Thermal"/>
    <s v="39.10_PassengerThermal-System"/>
    <s v="F0x23"/>
    <s v="Internal Ventilation, without A/C"/>
    <m/>
    <s v="Comfort"/>
    <s v="Climate Control"/>
    <s v="Command Panel"/>
    <s v="without Air Conditioning"/>
    <s v="Switch"/>
    <s v="User Selector - Blower Speed"/>
    <s v="User Selector - Blower Speed - Command Panel"/>
    <m/>
    <m/>
    <s v="33;1"/>
    <s v="TE"/>
    <s v="965601-2"/>
    <s v="8 Pos. MQS 0,63mm Unsealed"/>
    <m/>
    <s v="No"/>
    <s v="No"/>
    <s v="No"/>
    <n v="1"/>
    <n v="1"/>
    <n v="1"/>
    <n v="1"/>
  </r>
  <r>
    <x v="834"/>
    <s v="39.0_HVAC &amp; Thermal"/>
    <s v="39.10_PassengerThermal-System"/>
    <s v="F0x23"/>
    <s v="Internal Ventilation, without A/C"/>
    <m/>
    <s v="Comfort"/>
    <s v="Climate Control"/>
    <s v="Blower Speed Control"/>
    <s v="without Air Conditioning"/>
    <s v="Actuator"/>
    <s v="Blower Resistance"/>
    <s v="Blower Resistance - Blower Speed Control"/>
    <m/>
    <m/>
    <m/>
    <m/>
    <m/>
    <m/>
    <m/>
    <s v="No"/>
    <s v="No"/>
    <s v="No"/>
    <m/>
    <m/>
    <m/>
    <m/>
  </r>
  <r>
    <x v="835"/>
    <s v="39.0_HVAC &amp; Thermal"/>
    <s v="39.10_PassengerThermal-System"/>
    <s v="F0x20"/>
    <s v="HVAC-System, Electrical Heating"/>
    <s v="QM"/>
    <s v="Comfort"/>
    <s v="Climate Control"/>
    <s v="Air Heating"/>
    <s v="with Additional Heating"/>
    <s v="Actuator"/>
    <s v="Electrical Air Heater PTC Low Voltage"/>
    <s v="Electrical Air Heater PTC Low Voltage - Air Heating"/>
    <m/>
    <m/>
    <s v="25;6"/>
    <s v="TE"/>
    <s v="2133344-3"/>
    <s v="Eyelet M8x35"/>
    <m/>
    <s v="No"/>
    <s v="Yes"/>
    <s v="No"/>
    <n v="0"/>
    <n v="0.2"/>
    <n v="0.4"/>
    <n v="0"/>
  </r>
  <r>
    <x v="835"/>
    <s v="39.0_HVAC &amp; Thermal"/>
    <s v="39.10_PassengerThermal-System"/>
    <s v="F0x60"/>
    <s v="Parking Heating"/>
    <m/>
    <s v="Comfort"/>
    <s v="Climate Control"/>
    <s v="Air Heating"/>
    <s v="with Additional Heating"/>
    <s v="Actuator"/>
    <s v="Electrical Air Heater PTC Low Voltage"/>
    <s v="Electrical Air Heater PTC Low Voltage - Air Heating"/>
    <m/>
    <m/>
    <s v="25;6"/>
    <s v="TE"/>
    <s v="2133344-3"/>
    <s v="Eyelet M8x35"/>
    <m/>
    <s v="No"/>
    <s v="Yes"/>
    <s v="No"/>
    <n v="0"/>
    <n v="0.2"/>
    <n v="0.4"/>
    <n v="0"/>
  </r>
  <r>
    <x v="835"/>
    <s v="39.0_HVAC &amp; Thermal"/>
    <s v="39.11_ComponentThermal-System"/>
    <s v="F0615"/>
    <s v="Thermal Management, HV-HeatingGeneration"/>
    <s v="QM"/>
    <s v="Comfort"/>
    <s v="Climate Control"/>
    <s v="Air Heating"/>
    <s v="with Additional Heating"/>
    <s v="Actuator"/>
    <s v="Electrical Air Heater PTC Low Voltage"/>
    <s v="Electrical Air Heater PTC Low Voltage - Air Heating"/>
    <m/>
    <m/>
    <s v="25;6"/>
    <s v="TE"/>
    <s v="2133344-3"/>
    <s v="Eyelet M8x35"/>
    <m/>
    <s v="No"/>
    <s v="Yes"/>
    <s v="No"/>
    <n v="0"/>
    <n v="0.2"/>
    <n v="0.4"/>
    <n v="0"/>
  </r>
  <r>
    <x v="836"/>
    <s v="39.0_HVAC &amp; Thermal"/>
    <s v="39.10_PassengerThermal-System"/>
    <s v="F0016"/>
    <s v="HVAC-System, 3- / 4-Zones"/>
    <s v="QM"/>
    <s v="Comfort"/>
    <s v="Climate Control"/>
    <s v="Air Flow Deflection"/>
    <s v="with Automatic Air Conditioning"/>
    <s v="Actuator"/>
    <s v="Stepper Motor - B-Pillar L"/>
    <s v="Stepper Motor - B-Pillar L - Air Flow Deflection"/>
    <m/>
    <m/>
    <s v="57;-19"/>
    <m/>
    <m/>
    <m/>
    <m/>
    <s v="No"/>
    <s v="No"/>
    <s v="Yes"/>
    <n v="0.01"/>
    <n v="0.01"/>
    <n v="0.01"/>
    <n v="0.01"/>
  </r>
  <r>
    <x v="836"/>
    <s v="39.0_HVAC &amp; Thermal"/>
    <s v="39.10_PassengerThermal-System"/>
    <s v="F0721"/>
    <s v="HVAC-System, Rear Temperature Control"/>
    <s v="QM"/>
    <s v="Comfort"/>
    <s v="Climate Control"/>
    <s v="Air Flow Deflection"/>
    <s v="with Automatic Air Conditioning"/>
    <s v="Actuator"/>
    <s v="Stepper Motor - B-Pillar L"/>
    <s v="Stepper Motor - B-Pillar L - Air Flow Deflection"/>
    <m/>
    <m/>
    <s v="57;-19"/>
    <m/>
    <m/>
    <m/>
    <m/>
    <s v="No"/>
    <s v="No"/>
    <s v="Yes"/>
    <n v="0.01"/>
    <n v="0.01"/>
    <n v="0.01"/>
    <n v="0.01"/>
  </r>
  <r>
    <x v="836"/>
    <s v="39.0_HVAC &amp; Thermal"/>
    <s v="39.10_PassengerThermal-System"/>
    <s v="F0722"/>
    <s v="HVAC-System, Rear HVAC Off"/>
    <s v="QM"/>
    <s v="Comfort"/>
    <s v="Climate Control"/>
    <s v="Air Flow Deflection"/>
    <s v="with Automatic Air Conditioning"/>
    <s v="Actuator"/>
    <s v="Stepper Motor - B-Pillar L"/>
    <s v="Stepper Motor - B-Pillar L - Air Flow Deflection"/>
    <m/>
    <m/>
    <s v="57;-19"/>
    <m/>
    <m/>
    <m/>
    <m/>
    <s v="No"/>
    <s v="No"/>
    <s v="Yes"/>
    <n v="0.01"/>
    <n v="0.01"/>
    <n v="0.01"/>
    <n v="0.01"/>
  </r>
  <r>
    <x v="837"/>
    <s v="39.0_HVAC &amp; Thermal"/>
    <s v="39.10_PassengerThermal-System"/>
    <s v="F0016"/>
    <s v="HVAC-System, 3- / 4-Zones"/>
    <s v="QM"/>
    <s v="Comfort"/>
    <s v="Climate Control"/>
    <s v="Air Flow Deflection"/>
    <s v="with Automatic Air Conditioning"/>
    <s v="Actuator"/>
    <s v="Stepper Motor - B-Pillar L"/>
    <s v="Stepper Motor - B-Pillar L - Air Flow Deflection"/>
    <m/>
    <m/>
    <s v="57;-19"/>
    <m/>
    <m/>
    <m/>
    <m/>
    <s v="No"/>
    <s v="No"/>
    <s v="Yes"/>
    <n v="0.01"/>
    <n v="0.01"/>
    <n v="0.01"/>
    <n v="0.01"/>
  </r>
  <r>
    <x v="837"/>
    <s v="39.0_HVAC &amp; Thermal"/>
    <s v="39.10_PassengerThermal-System"/>
    <s v="F0721"/>
    <s v="HVAC-System, Rear Temperature Control"/>
    <s v="QM"/>
    <s v="Comfort"/>
    <s v="Climate Control"/>
    <s v="Air Flow Deflection"/>
    <s v="with Automatic Air Conditioning"/>
    <s v="Actuator"/>
    <s v="Stepper Motor - B-Pillar L"/>
    <s v="Stepper Motor - B-Pillar L - Air Flow Deflection"/>
    <m/>
    <m/>
    <s v="57;-19"/>
    <m/>
    <m/>
    <m/>
    <m/>
    <s v="No"/>
    <s v="No"/>
    <s v="Yes"/>
    <n v="0.01"/>
    <n v="0.01"/>
    <n v="0.01"/>
    <n v="0.01"/>
  </r>
  <r>
    <x v="837"/>
    <s v="39.0_HVAC &amp; Thermal"/>
    <s v="39.10_PassengerThermal-System"/>
    <s v="F0722"/>
    <s v="HVAC-System, Rear HVAC Off"/>
    <s v="QM"/>
    <s v="Comfort"/>
    <s v="Climate Control"/>
    <s v="Air Flow Deflection"/>
    <s v="with Automatic Air Conditioning"/>
    <s v="Actuator"/>
    <s v="Stepper Motor - B-Pillar L"/>
    <s v="Stepper Motor - B-Pillar L - Air Flow Deflection"/>
    <m/>
    <m/>
    <s v="57;-19"/>
    <m/>
    <m/>
    <m/>
    <m/>
    <s v="No"/>
    <s v="No"/>
    <s v="Yes"/>
    <n v="0.01"/>
    <n v="0.01"/>
    <n v="0.01"/>
    <n v="0.01"/>
  </r>
  <r>
    <x v="838"/>
    <s v="39.0_HVAC &amp; Thermal"/>
    <s v="39.10_PassengerThermal-System"/>
    <s v="F0016"/>
    <s v="HVAC-System, 3- / 4-Zones"/>
    <s v="QM"/>
    <s v="Comfort"/>
    <s v="Climate Control"/>
    <s v="Air Flow Deflection"/>
    <s v="with Automatic Air Conditioning"/>
    <s v="Actuator"/>
    <s v="Stepper Motor - B-Pillar R"/>
    <s v="Stepper Motor - B-Pillar R - Air Flow Deflection"/>
    <m/>
    <m/>
    <s v="57;19"/>
    <m/>
    <m/>
    <m/>
    <m/>
    <s v="No"/>
    <s v="No"/>
    <s v="Yes"/>
    <n v="0.01"/>
    <n v="0.01"/>
    <n v="0.01"/>
    <n v="0.01"/>
  </r>
  <r>
    <x v="838"/>
    <s v="39.0_HVAC &amp; Thermal"/>
    <s v="39.10_PassengerThermal-System"/>
    <s v="F0721"/>
    <s v="HVAC-System, Rear Temperature Control"/>
    <s v="QM"/>
    <s v="Comfort"/>
    <s v="Climate Control"/>
    <s v="Air Flow Deflection"/>
    <s v="with Automatic Air Conditioning"/>
    <s v="Actuator"/>
    <s v="Stepper Motor - B-Pillar R"/>
    <s v="Stepper Motor - B-Pillar R - Air Flow Deflection"/>
    <m/>
    <m/>
    <s v="57;19"/>
    <m/>
    <m/>
    <m/>
    <m/>
    <s v="No"/>
    <s v="No"/>
    <s v="Yes"/>
    <n v="0.01"/>
    <n v="0.01"/>
    <n v="0.01"/>
    <n v="0.01"/>
  </r>
  <r>
    <x v="838"/>
    <s v="39.0_HVAC &amp; Thermal"/>
    <s v="39.10_PassengerThermal-System"/>
    <s v="F0722"/>
    <s v="HVAC-System, Rear HVAC Off"/>
    <s v="QM"/>
    <s v="Comfort"/>
    <s v="Climate Control"/>
    <s v="Air Flow Deflection"/>
    <s v="with Automatic Air Conditioning"/>
    <s v="Actuator"/>
    <s v="Stepper Motor - B-Pillar R"/>
    <s v="Stepper Motor - B-Pillar R - Air Flow Deflection"/>
    <m/>
    <m/>
    <s v="57;19"/>
    <m/>
    <m/>
    <m/>
    <m/>
    <s v="No"/>
    <s v="No"/>
    <s v="Yes"/>
    <n v="0.01"/>
    <n v="0.01"/>
    <n v="0.01"/>
    <n v="0.01"/>
  </r>
  <r>
    <x v="839"/>
    <s v="39.0_HVAC &amp; Thermal"/>
    <s v="39.10_PassengerThermal-System"/>
    <s v="F0016"/>
    <s v="HVAC-System, 3- / 4-Zones"/>
    <s v="QM"/>
    <s v="Comfort"/>
    <s v="Climate Control"/>
    <s v="Air Flow Deflection"/>
    <s v="with Automatic Air Conditioning"/>
    <s v="Actuator"/>
    <s v="Stepper Motor - B-Pillar R"/>
    <s v="Stepper Motor - B-Pillar R - Air Flow Deflection"/>
    <m/>
    <m/>
    <s v="57;19"/>
    <m/>
    <m/>
    <m/>
    <m/>
    <s v="No"/>
    <s v="No"/>
    <s v="Yes"/>
    <n v="0.01"/>
    <n v="0.01"/>
    <n v="0.01"/>
    <n v="0.01"/>
  </r>
  <r>
    <x v="839"/>
    <s v="39.0_HVAC &amp; Thermal"/>
    <s v="39.10_PassengerThermal-System"/>
    <s v="F0721"/>
    <s v="HVAC-System, Rear Temperature Control"/>
    <s v="QM"/>
    <s v="Comfort"/>
    <s v="Climate Control"/>
    <s v="Air Flow Deflection"/>
    <s v="with Automatic Air Conditioning"/>
    <s v="Actuator"/>
    <s v="Stepper Motor - B-Pillar R"/>
    <s v="Stepper Motor - B-Pillar R - Air Flow Deflection"/>
    <m/>
    <m/>
    <s v="57;19"/>
    <m/>
    <m/>
    <m/>
    <m/>
    <s v="No"/>
    <s v="No"/>
    <s v="Yes"/>
    <n v="0.01"/>
    <n v="0.01"/>
    <n v="0.01"/>
    <n v="0.01"/>
  </r>
  <r>
    <x v="839"/>
    <s v="39.0_HVAC &amp; Thermal"/>
    <s v="39.10_PassengerThermal-System"/>
    <s v="F0722"/>
    <s v="HVAC-System, Rear HVAC Off"/>
    <s v="QM"/>
    <s v="Comfort"/>
    <s v="Climate Control"/>
    <s v="Air Flow Deflection"/>
    <s v="with Automatic Air Conditioning"/>
    <s v="Actuator"/>
    <s v="Stepper Motor - B-Pillar R"/>
    <s v="Stepper Motor - B-Pillar R - Air Flow Deflection"/>
    <m/>
    <m/>
    <s v="57;19"/>
    <m/>
    <m/>
    <m/>
    <m/>
    <s v="No"/>
    <s v="No"/>
    <s v="Yes"/>
    <n v="0.01"/>
    <n v="0.01"/>
    <n v="0.01"/>
    <n v="0.01"/>
  </r>
  <r>
    <x v="840"/>
    <s v="39.0_HVAC &amp; Thermal"/>
    <s v="39.10_PassengerThermal-System"/>
    <s v="F0016"/>
    <s v="HVAC-System, 3- / 4-Zones"/>
    <s v="QM"/>
    <s v="Comfort"/>
    <s v="Climate Control"/>
    <s v="Air Flow Deflection"/>
    <s v="with Automatic Air Conditioning"/>
    <s v="Actuator"/>
    <s v="Stepper Motor - Cockpit Flap"/>
    <s v="Stepper Motor - Cockpit Flap - Air Flow Deflection"/>
    <m/>
    <m/>
    <s v="26;-6"/>
    <m/>
    <m/>
    <m/>
    <m/>
    <s v="No"/>
    <s v="No"/>
    <s v="Yes"/>
    <n v="0.01"/>
    <n v="0.01"/>
    <n v="0.01"/>
    <n v="0.01"/>
  </r>
  <r>
    <x v="840"/>
    <s v="39.0_HVAC &amp; Thermal"/>
    <s v="39.10_PassengerThermal-System"/>
    <s v="F0233"/>
    <s v="HVAC-Temperature, Automatic"/>
    <s v="QM"/>
    <s v="Comfort"/>
    <s v="Climate Control"/>
    <s v="Air Flow Deflection"/>
    <s v="with Automatic Air Conditioning"/>
    <s v="Actuator"/>
    <s v="Stepper Motor - Cockpit Flap"/>
    <s v="Stepper Motor - Cockpit Flap - Air Flow Deflection"/>
    <m/>
    <m/>
    <s v="26;-6"/>
    <m/>
    <m/>
    <m/>
    <m/>
    <s v="No"/>
    <s v="Yes"/>
    <s v="Yes"/>
    <n v="0.01"/>
    <n v="0.01"/>
    <n v="0.01"/>
    <n v="0.01"/>
  </r>
  <r>
    <x v="840"/>
    <s v="39.0_HVAC &amp; Thermal"/>
    <s v="39.10_PassengerThermal-System"/>
    <s v="F0234"/>
    <s v="HVAC-Blower, Automatic"/>
    <s v="QM"/>
    <s v="Comfort"/>
    <s v="Climate Control"/>
    <s v="Air Flow Deflection"/>
    <s v="with Automatic Air Conditioning"/>
    <s v="Actuator"/>
    <s v="Stepper Motor - Cockpit Flap"/>
    <s v="Stepper Motor - Cockpit Flap - Air Flow Deflection"/>
    <m/>
    <m/>
    <s v="26;-6"/>
    <m/>
    <m/>
    <m/>
    <m/>
    <s v="No"/>
    <s v="Yes"/>
    <s v="Yes"/>
    <n v="0.01"/>
    <n v="0.01"/>
    <n v="0.01"/>
    <n v="0.01"/>
  </r>
  <r>
    <x v="840"/>
    <s v="39.0_HVAC &amp; Thermal"/>
    <s v="39.10_PassengerThermal-System"/>
    <s v="F0906"/>
    <s v="HVAC Preconditioning"/>
    <s v="QM"/>
    <s v="Comfort"/>
    <s v="Climate Control"/>
    <s v="Air Flow Deflection"/>
    <s v="with Automatic Air Conditioning"/>
    <s v="Actuator"/>
    <s v="Stepper Motor - Cockpit Flap"/>
    <s v="Stepper Motor - Cockpit Flap - Air Flow Deflection"/>
    <m/>
    <m/>
    <s v="26;-6"/>
    <m/>
    <m/>
    <m/>
    <m/>
    <s v="No"/>
    <s v="No"/>
    <s v="Yes"/>
    <n v="0.01"/>
    <n v="0.01"/>
    <n v="0.01"/>
    <n v="0.01"/>
  </r>
  <r>
    <x v="840"/>
    <s v="39.0_HVAC &amp; Thermal"/>
    <s v="39.10_PassengerThermal-System"/>
    <s v="F0x17"/>
    <s v="HVAC-System, 2-Zones Front"/>
    <s v="QM"/>
    <s v="Comfort"/>
    <s v="Climate Control"/>
    <s v="Air Flow Deflection"/>
    <s v="with Automatic Air Conditioning"/>
    <s v="Actuator"/>
    <s v="Stepper Motor - Cockpit Flap"/>
    <s v="Stepper Motor - Cockpit Flap - Air Flow Deflection"/>
    <m/>
    <m/>
    <s v="26;-6"/>
    <m/>
    <m/>
    <m/>
    <m/>
    <s v="No"/>
    <s v="Yes"/>
    <s v="No"/>
    <n v="0.01"/>
    <n v="0.01"/>
    <n v="0.01"/>
    <n v="0.01"/>
  </r>
  <r>
    <x v="840"/>
    <s v="39.0_HVAC &amp; Thermal"/>
    <s v="39.10_PassengerThermal-System"/>
    <s v="F0x20"/>
    <s v="HVAC-System, Electrical Heating"/>
    <s v="QM"/>
    <s v="Comfort"/>
    <s v="Climate Control"/>
    <s v="Air Flow Deflection"/>
    <s v="with Automatic Air Conditioning"/>
    <s v="Actuator"/>
    <s v="Stepper Motor - Cockpit Flap"/>
    <s v="Stepper Motor - Cockpit Flap - Air Flow Deflection"/>
    <m/>
    <m/>
    <s v="26;-6"/>
    <m/>
    <m/>
    <m/>
    <m/>
    <s v="No"/>
    <s v="No"/>
    <s v="Yes"/>
    <n v="0.01"/>
    <n v="0.01"/>
    <n v="0.01"/>
    <n v="0.01"/>
  </r>
  <r>
    <x v="840"/>
    <s v="39.0_HVAC &amp; Thermal"/>
    <s v="39.10_PassengerThermal-System"/>
    <s v="F0x60"/>
    <s v="Parking Heating"/>
    <s v="QM"/>
    <s v="Comfort"/>
    <s v="Climate Control"/>
    <s v="Air Flow Deflection"/>
    <s v="with Automatic Air Conditioning"/>
    <s v="Actuator"/>
    <s v="Stepper Motor - Cockpit Flap"/>
    <s v="Stepper Motor - Cockpit Flap - Air Flow Deflection"/>
    <m/>
    <m/>
    <s v="26;-6"/>
    <m/>
    <m/>
    <m/>
    <m/>
    <s v="No"/>
    <s v="No"/>
    <s v="Yes"/>
    <n v="0.01"/>
    <n v="0.01"/>
    <n v="0.01"/>
    <n v="0.01"/>
  </r>
  <r>
    <x v="841"/>
    <s v="39.0_HVAC &amp; Thermal"/>
    <s v="39.10_PassengerThermal-System"/>
    <s v="F0016"/>
    <s v="HVAC-System, 3- / 4-Zones"/>
    <s v="QM"/>
    <s v="Comfort"/>
    <s v="Climate Control"/>
    <s v="Air Flow Deflection"/>
    <s v="with Automatic Air Conditioning"/>
    <s v="Actuator"/>
    <s v="Stepper Motor - Cockpit Flap"/>
    <s v="Stepper Motor - Cockpit Flap - Air Flow Deflection"/>
    <m/>
    <m/>
    <s v="25;-6"/>
    <m/>
    <m/>
    <m/>
    <m/>
    <s v="No"/>
    <s v="No"/>
    <s v="Yes"/>
    <n v="0.01"/>
    <n v="0.01"/>
    <n v="0.01"/>
    <n v="0.01"/>
  </r>
  <r>
    <x v="841"/>
    <s v="39.0_HVAC &amp; Thermal"/>
    <s v="39.10_PassengerThermal-System"/>
    <s v="F0233"/>
    <s v="HVAC-Temperature, Automatic"/>
    <s v="QM"/>
    <s v="Comfort"/>
    <s v="Climate Control"/>
    <s v="Air Flow Deflection"/>
    <s v="with Automatic Air Conditioning"/>
    <s v="Actuator"/>
    <s v="Stepper Motor - Cockpit Flap"/>
    <s v="Stepper Motor - Cockpit Flap - Air Flow Deflection"/>
    <m/>
    <m/>
    <s v="25;-6"/>
    <m/>
    <m/>
    <m/>
    <m/>
    <s v="No"/>
    <s v="Yes"/>
    <s v="Yes"/>
    <n v="0.01"/>
    <n v="0.01"/>
    <n v="0.01"/>
    <n v="0.01"/>
  </r>
  <r>
    <x v="841"/>
    <s v="39.0_HVAC &amp; Thermal"/>
    <s v="39.10_PassengerThermal-System"/>
    <s v="F0234"/>
    <s v="HVAC-Blower, Automatic"/>
    <s v="QM"/>
    <s v="Comfort"/>
    <s v="Climate Control"/>
    <s v="Air Flow Deflection"/>
    <s v="with Automatic Air Conditioning"/>
    <s v="Actuator"/>
    <s v="Stepper Motor - Cockpit Flap"/>
    <s v="Stepper Motor - Cockpit Flap - Air Flow Deflection"/>
    <m/>
    <m/>
    <s v="25;-6"/>
    <m/>
    <m/>
    <m/>
    <m/>
    <s v="No"/>
    <s v="Yes"/>
    <s v="Yes"/>
    <n v="0.01"/>
    <n v="0.01"/>
    <n v="0.01"/>
    <n v="0.01"/>
  </r>
  <r>
    <x v="841"/>
    <s v="39.0_HVAC &amp; Thermal"/>
    <s v="39.10_PassengerThermal-System"/>
    <s v="F0906"/>
    <s v="HVAC Preconditioning"/>
    <s v="QM"/>
    <s v="Comfort"/>
    <s v="Climate Control"/>
    <s v="Air Flow Deflection"/>
    <s v="with Automatic Air Conditioning"/>
    <s v="Actuator"/>
    <s v="Stepper Motor - Cockpit Flap"/>
    <s v="Stepper Motor - Cockpit Flap - Air Flow Deflection"/>
    <m/>
    <m/>
    <s v="25;-6"/>
    <m/>
    <m/>
    <m/>
    <m/>
    <s v="No"/>
    <s v="No"/>
    <s v="Yes"/>
    <n v="0.01"/>
    <n v="0.01"/>
    <n v="0.01"/>
    <n v="0.01"/>
  </r>
  <r>
    <x v="841"/>
    <s v="39.0_HVAC &amp; Thermal"/>
    <s v="39.10_PassengerThermal-System"/>
    <s v="F0x17"/>
    <s v="HVAC-System, 2-Zones Front"/>
    <s v="QM"/>
    <s v="Comfort"/>
    <s v="Climate Control"/>
    <s v="Air Flow Deflection"/>
    <s v="with Automatic Air Conditioning"/>
    <s v="Actuator"/>
    <s v="Stepper Motor - Cockpit Flap"/>
    <s v="Stepper Motor - Cockpit Flap - Air Flow Deflection"/>
    <m/>
    <m/>
    <s v="25;-6"/>
    <m/>
    <m/>
    <m/>
    <m/>
    <s v="No"/>
    <s v="Yes"/>
    <s v="No"/>
    <n v="0.01"/>
    <n v="0.01"/>
    <n v="0.01"/>
    <n v="0.01"/>
  </r>
  <r>
    <x v="841"/>
    <s v="39.0_HVAC &amp; Thermal"/>
    <s v="39.10_PassengerThermal-System"/>
    <s v="F0x20"/>
    <s v="HVAC-System, Electrical Heating"/>
    <s v="QM"/>
    <s v="Comfort"/>
    <s v="Climate Control"/>
    <s v="Air Flow Deflection"/>
    <s v="with Automatic Air Conditioning"/>
    <s v="Actuator"/>
    <s v="Stepper Motor - Cockpit Flap"/>
    <s v="Stepper Motor - Cockpit Flap - Air Flow Deflection"/>
    <m/>
    <m/>
    <s v="25;-6"/>
    <m/>
    <m/>
    <m/>
    <m/>
    <s v="No"/>
    <s v="No"/>
    <s v="Yes"/>
    <n v="0.01"/>
    <n v="0.01"/>
    <n v="0.01"/>
    <n v="0.01"/>
  </r>
  <r>
    <x v="841"/>
    <s v="39.0_HVAC &amp; Thermal"/>
    <s v="39.10_PassengerThermal-System"/>
    <s v="F0x60"/>
    <s v="Parking Heating"/>
    <s v="QM"/>
    <s v="Comfort"/>
    <s v="Climate Control"/>
    <s v="Air Flow Deflection"/>
    <s v="with Automatic Air Conditioning"/>
    <s v="Actuator"/>
    <s v="Stepper Motor - Cockpit Flap"/>
    <s v="Stepper Motor - Cockpit Flap - Air Flow Deflection"/>
    <m/>
    <m/>
    <s v="25;-6"/>
    <m/>
    <m/>
    <m/>
    <m/>
    <s v="No"/>
    <s v="No"/>
    <s v="Yes"/>
    <n v="0.01"/>
    <n v="0.01"/>
    <n v="0.01"/>
    <n v="0.01"/>
  </r>
  <r>
    <x v="842"/>
    <s v="39.0_HVAC &amp; Thermal"/>
    <s v="39.10_PassengerThermal-System"/>
    <s v="F0016"/>
    <s v="HVAC-System, 3- / 4-Zones"/>
    <s v="QM"/>
    <s v="Comfort"/>
    <s v="Climate Control"/>
    <s v="Air Flow Deflection"/>
    <s v="with Automatic Air Conditioning"/>
    <s v="Actuator"/>
    <s v="Stepper Motor - Cockpit Flap"/>
    <s v="Stepper Motor - Cockpit Flap - Air Flow Deflection"/>
    <m/>
    <m/>
    <s v="25;-2"/>
    <m/>
    <m/>
    <m/>
    <m/>
    <s v="No"/>
    <s v="No"/>
    <s v="Yes"/>
    <n v="0.01"/>
    <n v="0.01"/>
    <n v="0.01"/>
    <n v="0.01"/>
  </r>
  <r>
    <x v="842"/>
    <s v="39.0_HVAC &amp; Thermal"/>
    <s v="39.10_PassengerThermal-System"/>
    <s v="F0233"/>
    <s v="HVAC-Temperature, Automatic"/>
    <s v="QM"/>
    <s v="Comfort"/>
    <s v="Climate Control"/>
    <s v="Air Flow Deflection"/>
    <s v="with Automatic Air Conditioning"/>
    <s v="Actuator"/>
    <s v="Stepper Motor - Cockpit Flap"/>
    <s v="Stepper Motor - Cockpit Flap - Air Flow Deflection"/>
    <m/>
    <m/>
    <s v="25;-2"/>
    <m/>
    <m/>
    <m/>
    <m/>
    <s v="No"/>
    <s v="Yes"/>
    <s v="Yes"/>
    <n v="0.01"/>
    <n v="0.01"/>
    <n v="0.01"/>
    <n v="0.01"/>
  </r>
  <r>
    <x v="842"/>
    <s v="39.0_HVAC &amp; Thermal"/>
    <s v="39.10_PassengerThermal-System"/>
    <s v="F0234"/>
    <s v="HVAC-Blower, Automatic"/>
    <s v="QM"/>
    <s v="Comfort"/>
    <s v="Climate Control"/>
    <s v="Air Flow Deflection"/>
    <s v="with Automatic Air Conditioning"/>
    <s v="Actuator"/>
    <s v="Stepper Motor - Cockpit Flap"/>
    <s v="Stepper Motor - Cockpit Flap - Air Flow Deflection"/>
    <m/>
    <m/>
    <s v="25;-2"/>
    <m/>
    <m/>
    <m/>
    <m/>
    <s v="No"/>
    <s v="Yes"/>
    <s v="Yes"/>
    <n v="0.01"/>
    <n v="0.01"/>
    <n v="0.01"/>
    <n v="0.01"/>
  </r>
  <r>
    <x v="842"/>
    <s v="39.0_HVAC &amp; Thermal"/>
    <s v="39.10_PassengerThermal-System"/>
    <s v="F0906"/>
    <s v="HVAC Preconditioning"/>
    <s v="QM"/>
    <s v="Comfort"/>
    <s v="Climate Control"/>
    <s v="Air Flow Deflection"/>
    <s v="with Automatic Air Conditioning"/>
    <s v="Actuator"/>
    <s v="Stepper Motor - Cockpit Flap"/>
    <s v="Stepper Motor - Cockpit Flap - Air Flow Deflection"/>
    <m/>
    <m/>
    <s v="25;-2"/>
    <m/>
    <m/>
    <m/>
    <m/>
    <s v="No"/>
    <s v="No"/>
    <s v="Yes"/>
    <n v="0.01"/>
    <n v="0.01"/>
    <n v="0.01"/>
    <n v="0.01"/>
  </r>
  <r>
    <x v="842"/>
    <s v="39.0_HVAC &amp; Thermal"/>
    <s v="39.10_PassengerThermal-System"/>
    <s v="F0x17"/>
    <s v="HVAC-System, 2-Zones Front"/>
    <s v="QM"/>
    <s v="Comfort"/>
    <s v="Climate Control"/>
    <s v="Air Flow Deflection"/>
    <s v="with Automatic Air Conditioning"/>
    <s v="Actuator"/>
    <s v="Stepper Motor - Cockpit Flap"/>
    <s v="Stepper Motor - Cockpit Flap - Air Flow Deflection"/>
    <m/>
    <m/>
    <s v="25;-2"/>
    <m/>
    <m/>
    <m/>
    <m/>
    <s v="No"/>
    <s v="Yes"/>
    <s v="No"/>
    <n v="0.01"/>
    <n v="0.01"/>
    <n v="0.01"/>
    <n v="0.01"/>
  </r>
  <r>
    <x v="842"/>
    <s v="39.0_HVAC &amp; Thermal"/>
    <s v="39.10_PassengerThermal-System"/>
    <s v="F0x20"/>
    <s v="HVAC-System, Electrical Heating"/>
    <s v="QM"/>
    <s v="Comfort"/>
    <s v="Climate Control"/>
    <s v="Air Flow Deflection"/>
    <s v="with Automatic Air Conditioning"/>
    <s v="Actuator"/>
    <s v="Stepper Motor - Cockpit Flap"/>
    <s v="Stepper Motor - Cockpit Flap - Air Flow Deflection"/>
    <m/>
    <m/>
    <s v="25;-2"/>
    <m/>
    <m/>
    <m/>
    <m/>
    <s v="No"/>
    <s v="No"/>
    <s v="Yes"/>
    <n v="0.01"/>
    <n v="0.01"/>
    <n v="0.01"/>
    <n v="0.01"/>
  </r>
  <r>
    <x v="842"/>
    <s v="39.0_HVAC &amp; Thermal"/>
    <s v="39.10_PassengerThermal-System"/>
    <s v="F0x60"/>
    <s v="Parking Heating"/>
    <s v="QM"/>
    <s v="Comfort"/>
    <s v="Climate Control"/>
    <s v="Air Flow Deflection"/>
    <s v="with Automatic Air Conditioning"/>
    <s v="Actuator"/>
    <s v="Stepper Motor - Cockpit Flap"/>
    <s v="Stepper Motor - Cockpit Flap - Air Flow Deflection"/>
    <m/>
    <m/>
    <s v="25;-2"/>
    <m/>
    <m/>
    <m/>
    <m/>
    <s v="No"/>
    <s v="No"/>
    <s v="Yes"/>
    <n v="0.01"/>
    <n v="0.01"/>
    <n v="0.01"/>
    <n v="0.01"/>
  </r>
  <r>
    <x v="843"/>
    <s v="39.0_HVAC &amp; Thermal"/>
    <s v="39.10_PassengerThermal-System"/>
    <s v="F0016"/>
    <s v="HVAC-System, 3- / 4-Zones"/>
    <s v="QM"/>
    <s v="Comfort"/>
    <s v="Climate Control"/>
    <s v="Air Flow Deflection"/>
    <s v="with Automatic Air Conditioning"/>
    <s v="Actuator"/>
    <s v="Stepper Motor - Cockpit Flap"/>
    <s v="Stepper Motor - Cockpit Flap - Air Flow Deflection"/>
    <m/>
    <m/>
    <s v="25;0"/>
    <m/>
    <m/>
    <m/>
    <m/>
    <s v="No"/>
    <s v="No"/>
    <s v="Yes"/>
    <n v="0.01"/>
    <n v="0.01"/>
    <n v="0.01"/>
    <n v="0.01"/>
  </r>
  <r>
    <x v="843"/>
    <s v="39.0_HVAC &amp; Thermal"/>
    <s v="39.10_PassengerThermal-System"/>
    <s v="F0233"/>
    <s v="HVAC-Temperature, Automatic"/>
    <s v="QM"/>
    <s v="Comfort"/>
    <s v="Climate Control"/>
    <s v="Air Flow Deflection"/>
    <s v="with Automatic Air Conditioning"/>
    <s v="Actuator"/>
    <s v="Stepper Motor - Cockpit Flap"/>
    <s v="Stepper Motor - Cockpit Flap - Air Flow Deflection"/>
    <m/>
    <m/>
    <s v="25;0"/>
    <m/>
    <m/>
    <m/>
    <m/>
    <s v="No"/>
    <s v="Yes"/>
    <s v="Yes"/>
    <n v="0.01"/>
    <n v="0.01"/>
    <n v="0.01"/>
    <n v="0.01"/>
  </r>
  <r>
    <x v="843"/>
    <s v="39.0_HVAC &amp; Thermal"/>
    <s v="39.10_PassengerThermal-System"/>
    <s v="F0234"/>
    <s v="HVAC-Blower, Automatic"/>
    <s v="QM"/>
    <s v="Comfort"/>
    <s v="Climate Control"/>
    <s v="Air Flow Deflection"/>
    <s v="with Automatic Air Conditioning"/>
    <s v="Actuator"/>
    <s v="Stepper Motor - Cockpit Flap"/>
    <s v="Stepper Motor - Cockpit Flap - Air Flow Deflection"/>
    <m/>
    <m/>
    <s v="25;0"/>
    <m/>
    <m/>
    <m/>
    <m/>
    <s v="No"/>
    <s v="Yes"/>
    <s v="Yes"/>
    <n v="0.01"/>
    <n v="0.01"/>
    <n v="0.01"/>
    <n v="0.01"/>
  </r>
  <r>
    <x v="843"/>
    <s v="39.0_HVAC &amp; Thermal"/>
    <s v="39.10_PassengerThermal-System"/>
    <s v="F0906"/>
    <s v="HVAC Preconditioning"/>
    <s v="QM"/>
    <s v="Comfort"/>
    <s v="Climate Control"/>
    <s v="Air Flow Deflection"/>
    <s v="with Automatic Air Conditioning"/>
    <s v="Actuator"/>
    <s v="Stepper Motor - Cockpit Flap"/>
    <s v="Stepper Motor - Cockpit Flap - Air Flow Deflection"/>
    <m/>
    <m/>
    <s v="25;0"/>
    <m/>
    <m/>
    <m/>
    <m/>
    <s v="No"/>
    <s v="No"/>
    <s v="Yes"/>
    <n v="0.01"/>
    <n v="0.01"/>
    <n v="0.01"/>
    <n v="0.01"/>
  </r>
  <r>
    <x v="843"/>
    <s v="39.0_HVAC &amp; Thermal"/>
    <s v="39.10_PassengerThermal-System"/>
    <s v="F0x17"/>
    <s v="HVAC-System, 2-Zones Front"/>
    <s v="QM"/>
    <s v="Comfort"/>
    <s v="Climate Control"/>
    <s v="Air Flow Deflection"/>
    <s v="with Automatic Air Conditioning"/>
    <s v="Actuator"/>
    <s v="Stepper Motor - Cockpit Flap"/>
    <s v="Stepper Motor - Cockpit Flap - Air Flow Deflection"/>
    <m/>
    <m/>
    <s v="25;0"/>
    <m/>
    <m/>
    <m/>
    <m/>
    <s v="No"/>
    <s v="Yes"/>
    <s v="No"/>
    <n v="0.01"/>
    <n v="0.01"/>
    <n v="0.01"/>
    <n v="0.01"/>
  </r>
  <r>
    <x v="843"/>
    <s v="39.0_HVAC &amp; Thermal"/>
    <s v="39.10_PassengerThermal-System"/>
    <s v="F0x20"/>
    <s v="HVAC-System, Electrical Heating"/>
    <s v="QM"/>
    <s v="Comfort"/>
    <s v="Climate Control"/>
    <s v="Air Flow Deflection"/>
    <s v="with Automatic Air Conditioning"/>
    <s v="Actuator"/>
    <s v="Stepper Motor - Cockpit Flap"/>
    <s v="Stepper Motor - Cockpit Flap - Air Flow Deflection"/>
    <m/>
    <m/>
    <s v="25;0"/>
    <m/>
    <m/>
    <m/>
    <m/>
    <s v="No"/>
    <s v="No"/>
    <s v="Yes"/>
    <n v="0.01"/>
    <n v="0.01"/>
    <n v="0.01"/>
    <n v="0.01"/>
  </r>
  <r>
    <x v="843"/>
    <s v="39.0_HVAC &amp; Thermal"/>
    <s v="39.10_PassengerThermal-System"/>
    <s v="F0x60"/>
    <s v="Parking Heating"/>
    <s v="QM"/>
    <s v="Comfort"/>
    <s v="Climate Control"/>
    <s v="Air Flow Deflection"/>
    <s v="with Automatic Air Conditioning"/>
    <s v="Actuator"/>
    <s v="Stepper Motor - Cockpit Flap"/>
    <s v="Stepper Motor - Cockpit Flap - Air Flow Deflection"/>
    <m/>
    <m/>
    <s v="25;0"/>
    <m/>
    <m/>
    <m/>
    <m/>
    <s v="No"/>
    <s v="No"/>
    <s v="Yes"/>
    <n v="0.01"/>
    <n v="0.01"/>
    <n v="0.01"/>
    <n v="0.01"/>
  </r>
  <r>
    <x v="844"/>
    <s v="39.0_HVAC &amp; Thermal"/>
    <s v="39.10_PassengerThermal-System"/>
    <s v="F0016"/>
    <s v="HVAC-System, 3- / 4-Zones"/>
    <s v="QM"/>
    <s v="Comfort"/>
    <s v="Climate Control"/>
    <s v="Air Flow Deflection"/>
    <s v="with Automatic Air Conditioning"/>
    <s v="Actuator"/>
    <s v="Stepper Motor - Cockpit Flap"/>
    <s v="Stepper Motor - Cockpit Flap - Air Flow Deflection"/>
    <m/>
    <m/>
    <s v="25;2"/>
    <m/>
    <m/>
    <m/>
    <m/>
    <s v="No"/>
    <s v="No"/>
    <s v="Yes"/>
    <n v="0.01"/>
    <n v="0.01"/>
    <n v="0.01"/>
    <n v="0.01"/>
  </r>
  <r>
    <x v="844"/>
    <s v="39.0_HVAC &amp; Thermal"/>
    <s v="39.10_PassengerThermal-System"/>
    <s v="F0233"/>
    <s v="HVAC-Temperature, Automatic"/>
    <s v="QM"/>
    <s v="Comfort"/>
    <s v="Climate Control"/>
    <s v="Air Flow Deflection"/>
    <s v="with Automatic Air Conditioning"/>
    <s v="Actuator"/>
    <s v="Stepper Motor - Cockpit Flap"/>
    <s v="Stepper Motor - Cockpit Flap - Air Flow Deflection"/>
    <m/>
    <m/>
    <s v="25;2"/>
    <m/>
    <m/>
    <m/>
    <m/>
    <s v="No"/>
    <s v="Yes"/>
    <s v="Yes"/>
    <n v="0.01"/>
    <n v="0.01"/>
    <n v="0.01"/>
    <n v="0.01"/>
  </r>
  <r>
    <x v="844"/>
    <s v="39.0_HVAC &amp; Thermal"/>
    <s v="39.10_PassengerThermal-System"/>
    <s v="F0234"/>
    <s v="HVAC-Blower, Automatic"/>
    <s v="QM"/>
    <s v="Comfort"/>
    <s v="Climate Control"/>
    <s v="Air Flow Deflection"/>
    <s v="with Automatic Air Conditioning"/>
    <s v="Actuator"/>
    <s v="Stepper Motor - Cockpit Flap"/>
    <s v="Stepper Motor - Cockpit Flap - Air Flow Deflection"/>
    <m/>
    <m/>
    <s v="25;2"/>
    <m/>
    <m/>
    <m/>
    <m/>
    <s v="No"/>
    <s v="Yes"/>
    <s v="Yes"/>
    <n v="0.01"/>
    <n v="0.01"/>
    <n v="0.01"/>
    <n v="0.01"/>
  </r>
  <r>
    <x v="844"/>
    <s v="39.0_HVAC &amp; Thermal"/>
    <s v="39.10_PassengerThermal-System"/>
    <s v="F0906"/>
    <s v="HVAC Preconditioning"/>
    <s v="QM"/>
    <s v="Comfort"/>
    <s v="Climate Control"/>
    <s v="Air Flow Deflection"/>
    <s v="with Automatic Air Conditioning"/>
    <s v="Actuator"/>
    <s v="Stepper Motor - Cockpit Flap"/>
    <s v="Stepper Motor - Cockpit Flap - Air Flow Deflection"/>
    <m/>
    <m/>
    <s v="25;2"/>
    <m/>
    <m/>
    <m/>
    <m/>
    <s v="No"/>
    <s v="No"/>
    <s v="Yes"/>
    <n v="0.01"/>
    <n v="0.01"/>
    <n v="0.01"/>
    <n v="0.01"/>
  </r>
  <r>
    <x v="844"/>
    <s v="39.0_HVAC &amp; Thermal"/>
    <s v="39.10_PassengerThermal-System"/>
    <s v="F0x17"/>
    <s v="HVAC-System, 2-Zones Front"/>
    <s v="QM"/>
    <s v="Comfort"/>
    <s v="Climate Control"/>
    <s v="Air Flow Deflection"/>
    <s v="with Automatic Air Conditioning"/>
    <s v="Actuator"/>
    <s v="Stepper Motor - Cockpit Flap"/>
    <s v="Stepper Motor - Cockpit Flap - Air Flow Deflection"/>
    <m/>
    <m/>
    <s v="25;2"/>
    <m/>
    <m/>
    <m/>
    <m/>
    <s v="No"/>
    <s v="Yes"/>
    <s v="No"/>
    <n v="0.01"/>
    <n v="0.01"/>
    <n v="0.01"/>
    <n v="0.01"/>
  </r>
  <r>
    <x v="844"/>
    <s v="39.0_HVAC &amp; Thermal"/>
    <s v="39.10_PassengerThermal-System"/>
    <s v="F0x20"/>
    <s v="HVAC-System, Electrical Heating"/>
    <s v="QM"/>
    <s v="Comfort"/>
    <s v="Climate Control"/>
    <s v="Air Flow Deflection"/>
    <s v="with Automatic Air Conditioning"/>
    <s v="Actuator"/>
    <s v="Stepper Motor - Cockpit Flap"/>
    <s v="Stepper Motor - Cockpit Flap - Air Flow Deflection"/>
    <m/>
    <m/>
    <s v="25;2"/>
    <m/>
    <m/>
    <m/>
    <m/>
    <s v="No"/>
    <s v="No"/>
    <s v="Yes"/>
    <n v="0.01"/>
    <n v="0.01"/>
    <n v="0.01"/>
    <n v="0.01"/>
  </r>
  <r>
    <x v="844"/>
    <s v="39.0_HVAC &amp; Thermal"/>
    <s v="39.10_PassengerThermal-System"/>
    <s v="F0x60"/>
    <s v="Parking Heating"/>
    <s v="QM"/>
    <s v="Comfort"/>
    <s v="Climate Control"/>
    <s v="Air Flow Deflection"/>
    <s v="with Automatic Air Conditioning"/>
    <s v="Actuator"/>
    <s v="Stepper Motor - Cockpit Flap"/>
    <s v="Stepper Motor - Cockpit Flap - Air Flow Deflection"/>
    <m/>
    <m/>
    <s v="25;2"/>
    <m/>
    <m/>
    <m/>
    <m/>
    <s v="No"/>
    <s v="No"/>
    <s v="Yes"/>
    <n v="0.01"/>
    <n v="0.01"/>
    <n v="0.01"/>
    <n v="0.01"/>
  </r>
  <r>
    <x v="845"/>
    <s v="39.0_HVAC &amp; Thermal"/>
    <s v="39.10_PassengerThermal-System"/>
    <s v="F0016"/>
    <s v="HVAC-System, 3- / 4-Zones"/>
    <s v="QM"/>
    <s v="Comfort"/>
    <s v="Climate Control"/>
    <s v="Air Flow Deflection"/>
    <s v="with Automatic Air Conditioning"/>
    <s v="Actuator"/>
    <s v="Stepper Motor - Cockpit Flap"/>
    <s v="Stepper Motor - Cockpit Flap - Air Flow Deflection"/>
    <m/>
    <m/>
    <s v="26;6"/>
    <m/>
    <m/>
    <m/>
    <m/>
    <s v="No"/>
    <s v="No"/>
    <s v="Yes"/>
    <n v="0.01"/>
    <n v="0.01"/>
    <n v="0.01"/>
    <n v="0.01"/>
  </r>
  <r>
    <x v="845"/>
    <s v="39.0_HVAC &amp; Thermal"/>
    <s v="39.10_PassengerThermal-System"/>
    <s v="F0233"/>
    <s v="HVAC-Temperature, Automatic"/>
    <s v="QM"/>
    <s v="Comfort"/>
    <s v="Climate Control"/>
    <s v="Air Flow Deflection"/>
    <s v="with Automatic Air Conditioning"/>
    <s v="Actuator"/>
    <s v="Stepper Motor - Cockpit Flap"/>
    <s v="Stepper Motor - Cockpit Flap - Air Flow Deflection"/>
    <m/>
    <m/>
    <s v="26;6"/>
    <m/>
    <m/>
    <m/>
    <m/>
    <s v="No"/>
    <s v="Yes"/>
    <s v="Yes"/>
    <n v="0.01"/>
    <n v="0.01"/>
    <n v="0.01"/>
    <n v="0.01"/>
  </r>
  <r>
    <x v="845"/>
    <s v="39.0_HVAC &amp; Thermal"/>
    <s v="39.10_PassengerThermal-System"/>
    <s v="F0234"/>
    <s v="HVAC-Blower, Automatic"/>
    <s v="QM"/>
    <s v="Comfort"/>
    <s v="Climate Control"/>
    <s v="Air Flow Deflection"/>
    <s v="with Automatic Air Conditioning"/>
    <s v="Actuator"/>
    <s v="Stepper Motor - Cockpit Flap"/>
    <s v="Stepper Motor - Cockpit Flap - Air Flow Deflection"/>
    <m/>
    <m/>
    <s v="26;6"/>
    <m/>
    <m/>
    <m/>
    <m/>
    <s v="No"/>
    <s v="Yes"/>
    <s v="Yes"/>
    <n v="0.01"/>
    <n v="0.01"/>
    <n v="0.01"/>
    <n v="0.01"/>
  </r>
  <r>
    <x v="845"/>
    <s v="39.0_HVAC &amp; Thermal"/>
    <s v="39.10_PassengerThermal-System"/>
    <s v="F0906"/>
    <s v="HVAC Preconditioning"/>
    <s v="QM"/>
    <s v="Comfort"/>
    <s v="Climate Control"/>
    <s v="Air Flow Deflection"/>
    <s v="with Automatic Air Conditioning"/>
    <s v="Actuator"/>
    <s v="Stepper Motor - Cockpit Flap"/>
    <s v="Stepper Motor - Cockpit Flap - Air Flow Deflection"/>
    <m/>
    <m/>
    <s v="26;6"/>
    <m/>
    <m/>
    <m/>
    <m/>
    <s v="No"/>
    <s v="No"/>
    <s v="Yes"/>
    <n v="0.01"/>
    <n v="0.01"/>
    <n v="0.01"/>
    <n v="0.01"/>
  </r>
  <r>
    <x v="845"/>
    <s v="39.0_HVAC &amp; Thermal"/>
    <s v="39.10_PassengerThermal-System"/>
    <s v="F0x17"/>
    <s v="HVAC-System, 2-Zones Front"/>
    <s v="QM"/>
    <s v="Comfort"/>
    <s v="Climate Control"/>
    <s v="Air Flow Deflection"/>
    <s v="with Automatic Air Conditioning"/>
    <s v="Actuator"/>
    <s v="Stepper Motor - Cockpit Flap"/>
    <s v="Stepper Motor - Cockpit Flap - Air Flow Deflection"/>
    <m/>
    <m/>
    <s v="26;6"/>
    <m/>
    <m/>
    <m/>
    <m/>
    <s v="No"/>
    <s v="Yes"/>
    <s v="No"/>
    <n v="0.01"/>
    <n v="0.01"/>
    <n v="0.01"/>
    <n v="0.01"/>
  </r>
  <r>
    <x v="845"/>
    <s v="39.0_HVAC &amp; Thermal"/>
    <s v="39.10_PassengerThermal-System"/>
    <s v="F0x20"/>
    <s v="HVAC-System, Electrical Heating"/>
    <s v="QM"/>
    <s v="Comfort"/>
    <s v="Climate Control"/>
    <s v="Air Flow Deflection"/>
    <s v="with Automatic Air Conditioning"/>
    <s v="Actuator"/>
    <s v="Stepper Motor - Cockpit Flap"/>
    <s v="Stepper Motor - Cockpit Flap - Air Flow Deflection"/>
    <m/>
    <m/>
    <s v="26;6"/>
    <m/>
    <m/>
    <m/>
    <m/>
    <s v="No"/>
    <s v="No"/>
    <s v="Yes"/>
    <n v="0.01"/>
    <n v="0.01"/>
    <n v="0.01"/>
    <n v="0.01"/>
  </r>
  <r>
    <x v="845"/>
    <s v="39.0_HVAC &amp; Thermal"/>
    <s v="39.10_PassengerThermal-System"/>
    <s v="F0x60"/>
    <s v="Parking Heating"/>
    <s v="QM"/>
    <s v="Comfort"/>
    <s v="Climate Control"/>
    <s v="Air Flow Deflection"/>
    <s v="with Automatic Air Conditioning"/>
    <s v="Actuator"/>
    <s v="Stepper Motor - Cockpit Flap"/>
    <s v="Stepper Motor - Cockpit Flap - Air Flow Deflection"/>
    <m/>
    <m/>
    <s v="26;6"/>
    <m/>
    <m/>
    <m/>
    <m/>
    <s v="No"/>
    <s v="No"/>
    <s v="Yes"/>
    <n v="0.01"/>
    <n v="0.01"/>
    <n v="0.01"/>
    <n v="0.01"/>
  </r>
  <r>
    <x v="846"/>
    <s v="39.0_HVAC &amp; Thermal"/>
    <s v="39.10_PassengerThermal-System"/>
    <s v="F0016"/>
    <s v="HVAC-System, 3- / 4-Zones"/>
    <s v="QM"/>
    <s v="Comfort"/>
    <s v="Climate Control"/>
    <s v="Air Flow Deflection"/>
    <s v="with Automatic Air Conditioning"/>
    <s v="Actuator"/>
    <s v="Stepper Motor - Cockpit Flap"/>
    <s v="Stepper Motor - Cockpit Flap - Air Flow Deflection"/>
    <m/>
    <m/>
    <s v="25;6"/>
    <m/>
    <m/>
    <m/>
    <m/>
    <s v="No"/>
    <s v="No"/>
    <s v="Yes"/>
    <n v="0.01"/>
    <n v="0.01"/>
    <n v="0.01"/>
    <n v="0.01"/>
  </r>
  <r>
    <x v="846"/>
    <s v="39.0_HVAC &amp; Thermal"/>
    <s v="39.10_PassengerThermal-System"/>
    <s v="F0233"/>
    <s v="HVAC-Temperature, Automatic"/>
    <s v="QM"/>
    <s v="Comfort"/>
    <s v="Climate Control"/>
    <s v="Air Flow Deflection"/>
    <s v="with Automatic Air Conditioning"/>
    <s v="Actuator"/>
    <s v="Stepper Motor - Cockpit Flap"/>
    <s v="Stepper Motor - Cockpit Flap - Air Flow Deflection"/>
    <m/>
    <m/>
    <s v="25;6"/>
    <m/>
    <m/>
    <m/>
    <m/>
    <s v="No"/>
    <s v="Yes"/>
    <s v="Yes"/>
    <n v="0.01"/>
    <n v="0.01"/>
    <n v="0.01"/>
    <n v="0.01"/>
  </r>
  <r>
    <x v="846"/>
    <s v="39.0_HVAC &amp; Thermal"/>
    <s v="39.10_PassengerThermal-System"/>
    <s v="F0234"/>
    <s v="HVAC-Blower, Automatic"/>
    <s v="QM"/>
    <s v="Comfort"/>
    <s v="Climate Control"/>
    <s v="Air Flow Deflection"/>
    <s v="with Automatic Air Conditioning"/>
    <s v="Actuator"/>
    <s v="Stepper Motor - Cockpit Flap"/>
    <s v="Stepper Motor - Cockpit Flap - Air Flow Deflection"/>
    <m/>
    <m/>
    <s v="25;6"/>
    <m/>
    <m/>
    <m/>
    <m/>
    <s v="No"/>
    <s v="Yes"/>
    <s v="Yes"/>
    <n v="0.01"/>
    <n v="0.01"/>
    <n v="0.01"/>
    <n v="0.01"/>
  </r>
  <r>
    <x v="846"/>
    <s v="39.0_HVAC &amp; Thermal"/>
    <s v="39.10_PassengerThermal-System"/>
    <s v="F0906"/>
    <s v="HVAC Preconditioning"/>
    <s v="QM"/>
    <s v="Comfort"/>
    <s v="Climate Control"/>
    <s v="Air Flow Deflection"/>
    <s v="with Automatic Air Conditioning"/>
    <s v="Actuator"/>
    <s v="Stepper Motor - Cockpit Flap"/>
    <s v="Stepper Motor - Cockpit Flap - Air Flow Deflection"/>
    <m/>
    <m/>
    <s v="25;6"/>
    <m/>
    <m/>
    <m/>
    <m/>
    <s v="No"/>
    <s v="No"/>
    <s v="Yes"/>
    <n v="0.01"/>
    <n v="0.01"/>
    <n v="0.01"/>
    <n v="0.01"/>
  </r>
  <r>
    <x v="846"/>
    <s v="39.0_HVAC &amp; Thermal"/>
    <s v="39.10_PassengerThermal-System"/>
    <s v="F0x17"/>
    <s v="HVAC-System, 2-Zones Front"/>
    <s v="QM"/>
    <s v="Comfort"/>
    <s v="Climate Control"/>
    <s v="Air Flow Deflection"/>
    <s v="with Automatic Air Conditioning"/>
    <s v="Actuator"/>
    <s v="Stepper Motor - Cockpit Flap"/>
    <s v="Stepper Motor - Cockpit Flap - Air Flow Deflection"/>
    <m/>
    <m/>
    <s v="25;6"/>
    <m/>
    <m/>
    <m/>
    <m/>
    <s v="No"/>
    <s v="Yes"/>
    <s v="No"/>
    <n v="0.01"/>
    <n v="0.01"/>
    <n v="0.01"/>
    <n v="0.01"/>
  </r>
  <r>
    <x v="846"/>
    <s v="39.0_HVAC &amp; Thermal"/>
    <s v="39.10_PassengerThermal-System"/>
    <s v="F0x20"/>
    <s v="HVAC-System, Electrical Heating"/>
    <s v="QM"/>
    <s v="Comfort"/>
    <s v="Climate Control"/>
    <s v="Air Flow Deflection"/>
    <s v="with Automatic Air Conditioning"/>
    <s v="Actuator"/>
    <s v="Stepper Motor - Cockpit Flap"/>
    <s v="Stepper Motor - Cockpit Flap - Air Flow Deflection"/>
    <m/>
    <m/>
    <s v="25;6"/>
    <m/>
    <m/>
    <m/>
    <m/>
    <s v="No"/>
    <s v="No"/>
    <s v="Yes"/>
    <n v="0.01"/>
    <n v="0.01"/>
    <n v="0.01"/>
    <n v="0.01"/>
  </r>
  <r>
    <x v="846"/>
    <s v="39.0_HVAC &amp; Thermal"/>
    <s v="39.10_PassengerThermal-System"/>
    <s v="F0x60"/>
    <s v="Parking Heating"/>
    <s v="QM"/>
    <s v="Comfort"/>
    <s v="Climate Control"/>
    <s v="Air Flow Deflection"/>
    <s v="with Automatic Air Conditioning"/>
    <s v="Actuator"/>
    <s v="Stepper Motor - Cockpit Flap"/>
    <s v="Stepper Motor - Cockpit Flap - Air Flow Deflection"/>
    <m/>
    <m/>
    <s v="25;6"/>
    <m/>
    <m/>
    <m/>
    <m/>
    <s v="No"/>
    <s v="No"/>
    <s v="Yes"/>
    <n v="0.01"/>
    <n v="0.01"/>
    <n v="0.01"/>
    <n v="0.01"/>
  </r>
  <r>
    <x v="847"/>
    <s v="39.0_HVAC &amp; Thermal"/>
    <s v="39.10_PassengerThermal-System"/>
    <s v="F0016"/>
    <s v="HVAC-System, 3- / 4-Zones"/>
    <s v="QM"/>
    <s v="Comfort"/>
    <s v="Climate Control"/>
    <s v="Air Flow Deflection"/>
    <s v="with Automatic Air Conditioning"/>
    <s v="Switch"/>
    <s v="User Selector Potentiometer - Cockpit Center Air Diffuser Right"/>
    <s v="User Selector Potentiometer - Cockpit Center Air Diffuser Right - Air Flow Deflection"/>
    <m/>
    <m/>
    <s v="33;3"/>
    <m/>
    <m/>
    <m/>
    <m/>
    <s v="No"/>
    <s v="No"/>
    <s v="Yes"/>
    <n v="0"/>
    <n v="0"/>
    <n v="1"/>
    <n v="1"/>
  </r>
  <r>
    <x v="847"/>
    <s v="39.0_HVAC &amp; Thermal"/>
    <s v="39.10_PassengerThermal-System"/>
    <s v="F0234"/>
    <s v="HVAC-Blower, Automatic"/>
    <s v="QM"/>
    <s v="Comfort"/>
    <s v="Climate Control"/>
    <s v="Air Flow Deflection"/>
    <s v="with Automatic Air Conditioning"/>
    <s v="Switch"/>
    <s v="User Selector Potentiometer - Cockpit Center Air Diffuser Right"/>
    <s v="User Selector Potentiometer - Cockpit Center Air Diffuser Right - Air Flow Deflection"/>
    <m/>
    <m/>
    <s v="33;3"/>
    <m/>
    <m/>
    <m/>
    <m/>
    <s v="No"/>
    <s v="Yes"/>
    <s v="Yes"/>
    <n v="0"/>
    <n v="0"/>
    <n v="1"/>
    <n v="1"/>
  </r>
  <r>
    <x v="847"/>
    <s v="39.0_HVAC &amp; Thermal"/>
    <s v="39.10_PassengerThermal-System"/>
    <s v="F0x17"/>
    <s v="HVAC-System, 2-Zones Front"/>
    <s v="QM"/>
    <s v="Comfort"/>
    <s v="Climate Control"/>
    <s v="Air Flow Deflection"/>
    <s v="with Automatic Air Conditioning"/>
    <s v="Switch"/>
    <s v="User Selector Potentiometer - Cockpit Center Air Diffuser Right"/>
    <s v="User Selector Potentiometer - Cockpit Center Air Diffuser Right - Air Flow Deflection"/>
    <m/>
    <m/>
    <s v="33;3"/>
    <m/>
    <m/>
    <m/>
    <m/>
    <s v="No"/>
    <s v="Yes"/>
    <s v="No"/>
    <n v="0"/>
    <n v="0"/>
    <n v="1"/>
    <n v="1"/>
  </r>
  <r>
    <x v="848"/>
    <s v="39.0_HVAC &amp; Thermal"/>
    <s v="39.10_PassengerThermal-System"/>
    <s v="F0016"/>
    <s v="HVAC-System, 3- / 4-Zones"/>
    <s v="QM"/>
    <s v="Comfort"/>
    <s v="Climate Control"/>
    <s v="Air Flow Deflection"/>
    <s v="with Automatic Air Conditioning"/>
    <s v="Switch"/>
    <s v="User Selector Potentiometer - Cockpit Right Air Diffuser"/>
    <s v="User Selector Potentiometer - Cockpit Right Air Diffuser - Air Flow Deflection"/>
    <m/>
    <m/>
    <s v="33;15"/>
    <m/>
    <m/>
    <m/>
    <m/>
    <s v="No"/>
    <s v="No"/>
    <s v="Yes"/>
    <n v="0"/>
    <n v="0"/>
    <n v="1"/>
    <n v="1"/>
  </r>
  <r>
    <x v="848"/>
    <s v="39.0_HVAC &amp; Thermal"/>
    <s v="39.10_PassengerThermal-System"/>
    <s v="F0234"/>
    <s v="HVAC-Blower, Automatic"/>
    <s v="QM"/>
    <s v="Comfort"/>
    <s v="Climate Control"/>
    <s v="Air Flow Deflection"/>
    <s v="with Automatic Air Conditioning"/>
    <s v="Switch"/>
    <s v="User Selector Potentiometer - Cockpit Right Air Diffuser"/>
    <s v="User Selector Potentiometer - Cockpit Right Air Diffuser - Air Flow Deflection"/>
    <m/>
    <m/>
    <s v="33;15"/>
    <m/>
    <m/>
    <m/>
    <m/>
    <s v="No"/>
    <s v="Yes"/>
    <s v="Yes"/>
    <n v="0"/>
    <n v="0"/>
    <n v="1"/>
    <n v="1"/>
  </r>
  <r>
    <x v="848"/>
    <s v="39.0_HVAC &amp; Thermal"/>
    <s v="39.10_PassengerThermal-System"/>
    <s v="F0x17"/>
    <s v="HVAC-System, 2-Zones Front"/>
    <s v="QM"/>
    <s v="Comfort"/>
    <s v="Climate Control"/>
    <s v="Air Flow Deflection"/>
    <s v="with Automatic Air Conditioning"/>
    <s v="Switch"/>
    <s v="User Selector Potentiometer - Cockpit Right Air Diffuser"/>
    <s v="User Selector Potentiometer - Cockpit Right Air Diffuser - Air Flow Deflection"/>
    <m/>
    <m/>
    <s v="33;15"/>
    <m/>
    <m/>
    <m/>
    <m/>
    <s v="No"/>
    <s v="Yes"/>
    <s v="No"/>
    <n v="0"/>
    <n v="0"/>
    <n v="1"/>
    <n v="1"/>
  </r>
  <r>
    <x v="849"/>
    <s v="39.0_HVAC &amp; Thermal"/>
    <s v="39.10_PassengerThermal-System"/>
    <s v="F0x21"/>
    <s v="Ionizer, Front"/>
    <m/>
    <s v="Comfort"/>
    <s v="Climate Control"/>
    <s v="Air Ionizer Front"/>
    <s v="with Ionizer"/>
    <s v="Actuator"/>
    <s v="Ionizer Front"/>
    <s v="Ionizer Front - Air Ionizer Front"/>
    <m/>
    <m/>
    <s v="31;0"/>
    <s v="TE"/>
    <s v="1-1718346-1"/>
    <s v="3 Pos. MQS 0,63mm Unsealed"/>
    <m/>
    <s v="No"/>
    <s v="Yes"/>
    <s v="Yes"/>
    <n v="1"/>
    <n v="1"/>
    <n v="1"/>
    <n v="1"/>
  </r>
  <r>
    <x v="850"/>
    <s v="39.0_HVAC &amp; Thermal"/>
    <s v="39.10_PassengerThermal-System"/>
    <s v="F0x21"/>
    <s v="Ionizer, Front"/>
    <m/>
    <s v="Comfort"/>
    <s v="Climate Control"/>
    <s v="Air Ionizer Front"/>
    <s v="with Ionizer"/>
    <s v="Switch"/>
    <s v="User Selector Front"/>
    <s v="User Selector Front - Air Ionizer Front"/>
    <m/>
    <m/>
    <s v="31;0"/>
    <s v="TE"/>
    <s v="2141627-1"/>
    <s v="4 Pos. MQS 0,63mm / MCON 1,2mm Unsealed"/>
    <m/>
    <s v="No"/>
    <s v="Yes"/>
    <s v="Yes"/>
    <n v="1"/>
    <n v="1"/>
    <n v="1"/>
    <n v="1"/>
  </r>
  <r>
    <x v="851"/>
    <s v="39.0_HVAC &amp; Thermal"/>
    <s v="39.10_PassengerThermal-System"/>
    <s v="F0x22"/>
    <s v="Ionizer, Rear"/>
    <m/>
    <s v="Comfort"/>
    <s v="Climate Control"/>
    <s v="Air Ionizer Rear"/>
    <s v="with Ionizer"/>
    <s v="Actuator"/>
    <s v="Ionizer Rear"/>
    <s v="Ionizer Rear - Air Ionizer Rear"/>
    <m/>
    <m/>
    <s v="61;0"/>
    <s v="TE"/>
    <s v="1-1718346-1"/>
    <s v="3 Pos. MQS 0,63mm Unsealed"/>
    <m/>
    <s v="No"/>
    <s v="No"/>
    <s v="Yes"/>
    <n v="1"/>
    <n v="1"/>
    <n v="1"/>
    <n v="1"/>
  </r>
  <r>
    <x v="852"/>
    <s v="39.0_HVAC &amp; Thermal"/>
    <s v="39.10_PassengerThermal-System"/>
    <s v="F0x22"/>
    <s v="Ionizer, Rear"/>
    <m/>
    <s v="Comfort"/>
    <s v="Climate Control"/>
    <s v="Air Ionizer Rear"/>
    <s v="with Ionizer"/>
    <s v="Switch"/>
    <s v="User Selector Rear"/>
    <s v="User Selector Rear - Air Ionizer Rear"/>
    <m/>
    <m/>
    <s v="61;0"/>
    <s v="TE"/>
    <s v="2141627-1"/>
    <s v="4 Pos. MQS 0,63mm / MCON 1,2mm Unsealed"/>
    <m/>
    <s v="No"/>
    <s v="No"/>
    <s v="Yes"/>
    <n v="1"/>
    <n v="1"/>
    <n v="1"/>
    <n v="1"/>
  </r>
  <r>
    <x v="853"/>
    <s v="39.0_HVAC &amp; Thermal"/>
    <s v="39.10_PassengerThermal-System"/>
    <s v="F0016"/>
    <s v="HVAC-System, 3- / 4-Zones"/>
    <s v="QM"/>
    <s v="Comfort"/>
    <s v="Climate Control"/>
    <s v="Solar Intensity"/>
    <s v="with Air Conditioning"/>
    <s v="Sensor"/>
    <s v="Solar Sensor"/>
    <s v="Solar Sensor - Solar Intensity"/>
    <m/>
    <m/>
    <s v="25;0"/>
    <m/>
    <m/>
    <m/>
    <m/>
    <s v="No"/>
    <s v="No"/>
    <s v="Yes"/>
    <n v="1"/>
    <n v="1"/>
    <n v="1"/>
    <n v="1"/>
  </r>
  <r>
    <x v="853"/>
    <s v="39.0_HVAC &amp; Thermal"/>
    <s v="39.10_PassengerThermal-System"/>
    <s v="F0233"/>
    <s v="HVAC-Temperature, Automatic"/>
    <s v="QM"/>
    <s v="Comfort"/>
    <s v="Climate Control"/>
    <s v="Solar Intensity"/>
    <s v="with Air Conditioning"/>
    <s v="Sensor"/>
    <s v="Solar Sensor"/>
    <s v="Solar Sensor - Solar Intensity"/>
    <m/>
    <m/>
    <s v="25;0"/>
    <m/>
    <m/>
    <m/>
    <m/>
    <s v="No"/>
    <s v="Yes"/>
    <s v="Yes"/>
    <n v="1"/>
    <n v="1"/>
    <n v="1"/>
    <n v="1"/>
  </r>
  <r>
    <x v="853"/>
    <s v="39.0_HVAC &amp; Thermal"/>
    <s v="39.10_PassengerThermal-System"/>
    <s v="F0234"/>
    <s v="HVAC-Blower, Automatic"/>
    <s v="QM"/>
    <s v="Comfort"/>
    <s v="Climate Control"/>
    <s v="Solar Intensity"/>
    <s v="with Air Conditioning"/>
    <s v="Sensor"/>
    <s v="Solar Sensor"/>
    <s v="Solar Sensor - Solar Intensity"/>
    <m/>
    <m/>
    <s v="25;0"/>
    <m/>
    <m/>
    <m/>
    <m/>
    <s v="No"/>
    <s v="Yes"/>
    <s v="Yes"/>
    <n v="1"/>
    <n v="1"/>
    <n v="1"/>
    <n v="1"/>
  </r>
  <r>
    <x v="853"/>
    <s v="39.0_HVAC &amp; Thermal"/>
    <s v="39.10_PassengerThermal-System"/>
    <s v="F0x17"/>
    <s v="HVAC-System, 2-Zones Front"/>
    <s v="QM"/>
    <s v="Comfort"/>
    <s v="Climate Control"/>
    <s v="Solar Intensity"/>
    <s v="with Air Conditioning"/>
    <s v="Sensor"/>
    <s v="Solar Sensor"/>
    <s v="Solar Sensor - Solar Intensity"/>
    <m/>
    <m/>
    <s v="25;0"/>
    <m/>
    <m/>
    <m/>
    <m/>
    <s v="No"/>
    <s v="Yes"/>
    <s v="No"/>
    <n v="1"/>
    <n v="1"/>
    <n v="1"/>
    <n v="1"/>
  </r>
  <r>
    <x v="853"/>
    <s v="39.0_HVAC &amp; Thermal"/>
    <s v="39.10_PassengerThermal-System"/>
    <s v="F0x19"/>
    <s v="HVAC-System, Heat Pump Driven"/>
    <s v="QM"/>
    <s v="Comfort"/>
    <s v="Climate Control"/>
    <s v="Solar Intensity"/>
    <s v="with Air Conditioning"/>
    <s v="Sensor"/>
    <s v="Solar Sensor"/>
    <s v="Solar Sensor - Solar Intensity"/>
    <m/>
    <m/>
    <s v="25;0"/>
    <m/>
    <m/>
    <m/>
    <m/>
    <s v="No"/>
    <s v="Yes"/>
    <s v="Yes"/>
    <n v="1"/>
    <n v="1"/>
    <n v="1"/>
    <n v="1"/>
  </r>
  <r>
    <x v="854"/>
    <s v="39.0_HVAC &amp; Thermal"/>
    <s v="39.10_PassengerThermal-System"/>
    <s v="F0627"/>
    <s v="HVAC-Recirculation, Manual"/>
    <s v="QM"/>
    <s v="Comfort"/>
    <s v="Climate Control"/>
    <s v="Air Recycling"/>
    <s v="with Air Conditioning"/>
    <s v="Actuator"/>
    <s v="Stepper Motor"/>
    <s v="Stepper Motor - Air Recycling"/>
    <m/>
    <m/>
    <s v="29;11"/>
    <m/>
    <m/>
    <m/>
    <m/>
    <s v="Yes"/>
    <s v="No"/>
    <s v="No"/>
    <n v="0.01"/>
    <n v="0.01"/>
    <n v="0.01"/>
    <n v="0.01"/>
  </r>
  <r>
    <x v="855"/>
    <s v="39.0_HVAC &amp; Thermal"/>
    <s v="39.10_PassengerThermal-System"/>
    <s v="F0116"/>
    <s v="HVAC-Defrost, Manual"/>
    <s v="QM"/>
    <s v="Comfort"/>
    <s v="Climate Control"/>
    <s v="Widshield Deffog and Defrost"/>
    <s v="with Air Conditioning"/>
    <s v="Switch"/>
    <s v="User Selector"/>
    <s v="User Selector - Widshield Deffog and Defrost"/>
    <m/>
    <m/>
    <s v="34;2"/>
    <m/>
    <m/>
    <m/>
    <m/>
    <s v="No"/>
    <s v="Yes"/>
    <s v="Yes"/>
    <n v="0"/>
    <n v="0"/>
    <n v="1"/>
    <n v="1"/>
  </r>
  <r>
    <x v="856"/>
    <s v="39.0_HVAC &amp; Thermal"/>
    <s v="39.10_PassengerThermal-System"/>
    <s v="F0016"/>
    <s v="HVAC-System, 3- / 4-Zones"/>
    <s v="QM"/>
    <s v="Comfort"/>
    <s v="Climate Control"/>
    <s v="Air Flow Deflection"/>
    <s v="with Automatic Air Conditioning"/>
    <s v="Switch"/>
    <s v="User Selector Potentiometer - Cockpit Left Air Diffuser"/>
    <s v="User Selector Potentiometer - Cockpit Left Air Diffuser - Air Flow Deflection"/>
    <m/>
    <m/>
    <s v="33;-15"/>
    <m/>
    <m/>
    <m/>
    <m/>
    <s v="No"/>
    <s v="No"/>
    <s v="Yes"/>
    <n v="0"/>
    <n v="0"/>
    <n v="1"/>
    <n v="1"/>
  </r>
  <r>
    <x v="856"/>
    <s v="39.0_HVAC &amp; Thermal"/>
    <s v="39.10_PassengerThermal-System"/>
    <s v="F0234"/>
    <s v="HVAC-Blower, Automatic"/>
    <s v="QM"/>
    <s v="Comfort"/>
    <s v="Climate Control"/>
    <s v="Air Flow Deflection"/>
    <s v="with Automatic Air Conditioning"/>
    <s v="Switch"/>
    <s v="User Selector Potentiometer - Cockpit Left Air Diffuser"/>
    <s v="User Selector Potentiometer - Cockpit Left Air Diffuser - Air Flow Deflection"/>
    <m/>
    <m/>
    <s v="33;-15"/>
    <m/>
    <m/>
    <m/>
    <m/>
    <s v="No"/>
    <s v="Yes"/>
    <s v="Yes"/>
    <n v="0"/>
    <n v="0"/>
    <n v="1"/>
    <n v="1"/>
  </r>
  <r>
    <x v="856"/>
    <s v="39.0_HVAC &amp; Thermal"/>
    <s v="39.10_PassengerThermal-System"/>
    <s v="F0x17"/>
    <s v="HVAC-System, 2-Zones Front"/>
    <s v="QM"/>
    <s v="Comfort"/>
    <s v="Climate Control"/>
    <s v="Air Flow Deflection"/>
    <s v="with Automatic Air Conditioning"/>
    <s v="Switch"/>
    <s v="User Selector Potentiometer - Cockpit Left Air Diffuser"/>
    <s v="User Selector Potentiometer - Cockpit Left Air Diffuser - Air Flow Deflection"/>
    <m/>
    <m/>
    <s v="33;-15"/>
    <m/>
    <m/>
    <m/>
    <m/>
    <s v="No"/>
    <s v="Yes"/>
    <s v="No"/>
    <n v="0"/>
    <n v="0"/>
    <n v="1"/>
    <n v="1"/>
  </r>
  <r>
    <x v="857"/>
    <s v="39.0_HVAC &amp; Thermal"/>
    <s v="39.10_PassengerThermal-System"/>
    <s v="F0x19"/>
    <s v="HVAC-System, Heat Pump Driven"/>
    <s v="QM"/>
    <s v="Comfort"/>
    <s v="Climate Control"/>
    <s v="Heat Pump System Operation"/>
    <s v="Heat Pump"/>
    <s v="Actuator"/>
    <s v="Valve - Refrigerant Shut-off Before Reservoir"/>
    <s v="Valve - Refrigerant Shut-off Before Reservoir - Heat Pump System Operation"/>
    <m/>
    <m/>
    <s v="16;6"/>
    <m/>
    <m/>
    <m/>
    <m/>
    <s v="No"/>
    <s v="No"/>
    <s v="Yes"/>
    <n v="0.5"/>
    <n v="0.5"/>
    <n v="0.5"/>
    <n v="0.5"/>
  </r>
  <r>
    <x v="857"/>
    <s v="39.0_HVAC &amp; Thermal"/>
    <s v="39.11_ComponentThermal-System"/>
    <s v="F0x19"/>
    <s v="HVAC-System, Heat Pump Driven"/>
    <s v="QM"/>
    <s v="Comfort"/>
    <s v="Climate Control"/>
    <s v="Heat Pump System Operation"/>
    <s v="Heat Pump"/>
    <s v="Actuator"/>
    <s v="Valve - Refrigerant Shut-off Before Reservoir"/>
    <s v="Valve - Refrigerant Shut-off Before Reservoir - Heat Pump System Operation"/>
    <m/>
    <m/>
    <s v="16;6"/>
    <m/>
    <m/>
    <m/>
    <m/>
    <s v="No"/>
    <s v="No"/>
    <s v="Yes"/>
    <n v="0.5"/>
    <n v="0.5"/>
    <n v="0.5"/>
    <n v="0.5"/>
  </r>
  <r>
    <x v="858"/>
    <s v="39.0_HVAC &amp; Thermal"/>
    <s v="39.10_PassengerThermal-System"/>
    <s v="F0x19"/>
    <s v="HVAC-System, Heat Pump Driven"/>
    <s v="QM"/>
    <s v="Comfort"/>
    <s v="Climate Control"/>
    <s v="Heat Pump System Operation"/>
    <s v="Heat Pump"/>
    <s v="Sensor"/>
    <s v="Pressure and Temperature Sensor 2 before Compressor"/>
    <s v="Pressure and Temperature Sensor 2 before Compressor - Heat Pump System Operation"/>
    <m/>
    <m/>
    <s v="19;-3"/>
    <m/>
    <m/>
    <m/>
    <m/>
    <s v="No"/>
    <s v="No"/>
    <s v="Yes"/>
    <n v="1"/>
    <n v="1"/>
    <n v="1"/>
    <n v="1"/>
  </r>
  <r>
    <x v="859"/>
    <s v="37.0_ADAS &amp; AutomatedDriving"/>
    <s v="37.02_Alerting-System"/>
    <s v="F1085"/>
    <s v="Object Detection, Siren Detection"/>
    <m/>
    <s v="Drive Assistance"/>
    <s v="Automated Driving"/>
    <s v="Environment Recognition"/>
    <m/>
    <s v="Sensor"/>
    <s v="Acoustic Sensor Front Left"/>
    <s v="Acoustic Sensor Front Left - Environment Recognition"/>
    <m/>
    <s v=" "/>
    <s v="42;-15"/>
    <s v="TE"/>
    <s v="2141467-1"/>
    <s v="2 Pos. NanoMQS 0,5mm Sealed"/>
    <m/>
    <s v="No"/>
    <s v="No"/>
    <s v="Yes"/>
    <n v="1"/>
    <n v="1"/>
    <n v="1"/>
    <n v="1"/>
  </r>
  <r>
    <x v="860"/>
    <s v="37.0_ADAS &amp; AutomatedDriving"/>
    <s v="37.02_Alerting-System"/>
    <s v="F1085"/>
    <s v="Object Detection, Siren Detection"/>
    <m/>
    <s v="Drive Assistance"/>
    <s v="Automated Driving"/>
    <s v="Environment Recognition"/>
    <m/>
    <s v="Sensor"/>
    <s v="Acoustic Sensor Front Right"/>
    <s v="Acoustic Sensor Front Right - Environment Recognition"/>
    <m/>
    <s v=" "/>
    <s v="42;15"/>
    <s v="TE"/>
    <s v="2141467-1"/>
    <s v="2 Pos. NanoMQS 0,5mm Sealed"/>
    <m/>
    <s v="No"/>
    <s v="No"/>
    <s v="Yes"/>
    <n v="1"/>
    <n v="1"/>
    <n v="1"/>
    <n v="1"/>
  </r>
  <r>
    <x v="861"/>
    <s v="37.0_ADAS &amp; AutomatedDriving"/>
    <s v="37.02_Alerting-System"/>
    <s v="F1085"/>
    <s v="Object Detection, Siren Detection"/>
    <m/>
    <s v="Drive Assistance"/>
    <s v="Automated Driving"/>
    <s v="Environment Recognition"/>
    <m/>
    <s v="Sensor"/>
    <s v="Acoustic Sensor Rear Left"/>
    <s v="Acoustic Sensor Rear Left - Environment Recognition"/>
    <m/>
    <s v=" "/>
    <s v="84;-13"/>
    <s v="TE"/>
    <s v="2141467-1"/>
    <s v="2 Pos. NanoMQS 0,5mm Sealed"/>
    <m/>
    <s v="No"/>
    <s v="No"/>
    <s v="Yes"/>
    <n v="1"/>
    <n v="1"/>
    <n v="1"/>
    <n v="1"/>
  </r>
  <r>
    <x v="862"/>
    <s v="37.0_ADAS &amp; AutomatedDriving"/>
    <s v="37.02_Alerting-System"/>
    <s v="F1085"/>
    <s v="Object Detection, Siren Detection"/>
    <m/>
    <s v="Drive Assistance"/>
    <s v="Automated Driving"/>
    <s v="Environment Recognition"/>
    <m/>
    <s v="Sensor"/>
    <s v="Acoustic Sensor Rear Right"/>
    <s v="Acoustic Sensor Rear Right - Environment Recognition"/>
    <m/>
    <s v=" "/>
    <s v="84;13"/>
    <s v="TE"/>
    <s v="2141467-1"/>
    <s v="2 Pos. NanoMQS 0,5mm Sealed"/>
    <m/>
    <s v="No"/>
    <s v="No"/>
    <s v="Yes"/>
    <n v="1"/>
    <n v="1"/>
    <n v="1"/>
    <n v="1"/>
  </r>
  <r>
    <x v="863"/>
    <s v="39.0_HVAC &amp; Thermal"/>
    <s v="39.11_ComponentThermal-System"/>
    <s v="F0393"/>
    <s v="Thermal Management, Master (BEV Vehicles)"/>
    <s v="B"/>
    <s v="Powertrain"/>
    <s v="Cooling/Heating"/>
    <s v="Computing"/>
    <m/>
    <s v="Control Unit"/>
    <s v="Thermal Management Control Unit"/>
    <s v="Thermal Management Control Unit - Computing"/>
    <m/>
    <m/>
    <m/>
    <m/>
    <m/>
    <m/>
    <m/>
    <m/>
    <m/>
    <m/>
    <m/>
    <m/>
    <m/>
    <m/>
  </r>
  <r>
    <x v="863"/>
    <s v="39.0_HVAC &amp; Thermal"/>
    <s v="39.11_ComponentThermal-System"/>
    <s v="F0459"/>
    <s v="Thermal Management, HV-Battery Cooling"/>
    <s v="C"/>
    <s v="Powertrain"/>
    <s v="Cooling/Heating"/>
    <s v="Computing"/>
    <m/>
    <s v="Control Unit"/>
    <s v="Thermal Management Control Unit"/>
    <s v="Thermal Management Control Unit - Computing"/>
    <m/>
    <m/>
    <m/>
    <m/>
    <m/>
    <m/>
    <m/>
    <m/>
    <m/>
    <m/>
    <m/>
    <m/>
    <m/>
    <m/>
  </r>
  <r>
    <x v="864"/>
    <s v="32.0_Comfort &amp; Chassis"/>
    <s v="32.10_Braking-System"/>
    <s v="F0339"/>
    <s v="Brake, By Wire (Electro Mechanic)"/>
    <s v="D"/>
    <s v="Chassis"/>
    <s v="Brake"/>
    <s v="Brake Actuator"/>
    <s v="Basic"/>
    <s v="Actuator"/>
    <s v="ESP Unit Redundant"/>
    <s v="ESP Unit Redundant - Brake Actuator"/>
    <m/>
    <m/>
    <s v="-1;14"/>
    <m/>
    <m/>
    <m/>
    <m/>
    <s v="No"/>
    <s v="No"/>
    <s v="Yes"/>
    <n v="0.1"/>
    <n v="0.3"/>
    <n v="0.3"/>
    <n v="0.5"/>
  </r>
  <r>
    <x v="865"/>
    <s v="36.0_Infotainment &amp; Connectivity"/>
    <s v="36.12_Sound-System"/>
    <s v="F0406"/>
    <s v="Sound System Front, 2 Wideband Speaker "/>
    <s v="QM"/>
    <s v="Infotainment"/>
    <s v="Audio"/>
    <s v="Full Range Speaker"/>
    <s v="Basic Audio System"/>
    <s v="Loudspeaker"/>
    <s v="Loudspeaker - Door Front Right"/>
    <s v="Loudspeaker - Door Front Right - Full Range Speaker"/>
    <m/>
    <m/>
    <s v="36;21"/>
    <s v="TE"/>
    <s v="157420-1"/>
    <s v="2 Pos. JPT 2,8mm Unsealed"/>
    <m/>
    <s v="Yes"/>
    <s v="No"/>
    <s v="No"/>
    <n v="0.25"/>
    <n v="0.35"/>
    <n v="0.4"/>
    <n v="0.3"/>
  </r>
  <r>
    <x v="866"/>
    <s v="36.0_Infotainment &amp; Connectivity"/>
    <s v="36.12_Sound-System"/>
    <s v="F0408"/>
    <s v="Sound System Rear, 2 Wideband Speaker"/>
    <s v="QM"/>
    <s v="Infotainment"/>
    <s v="Audio"/>
    <s v="Full Range Speaker"/>
    <s v="Basic Audio System"/>
    <s v="Loudspeaker"/>
    <s v="Loudspeaker - Door Rear Right / Rear Seat Right Trim"/>
    <s v="Loudspeaker - Door Rear Right / Rear Seat Right Trim - Full Range Speaker"/>
    <m/>
    <m/>
    <s v="58;22"/>
    <s v="TE"/>
    <s v="157420-1"/>
    <s v="2 Pos. JPT 2,8mm Unsealed"/>
    <m/>
    <s v="Yes"/>
    <s v="No"/>
    <s v="No"/>
    <n v="0.25"/>
    <n v="0.35"/>
    <n v="0.4"/>
    <n v="0.3"/>
  </r>
  <r>
    <x v="867"/>
    <s v="36.0_Infotainment &amp; Connectivity"/>
    <s v="36.12_Sound-System"/>
    <s v="F0x40"/>
    <s v="Sound System, Surround"/>
    <s v=" "/>
    <s v="Infotainment"/>
    <s v="Audio"/>
    <s v="Full Range Speaker"/>
    <s v="Premium Audio System"/>
    <s v="Loudspeaker"/>
    <s v="Loudspeaker - Surround Left"/>
    <s v="Loudspeaker - Surround Left - Full Range Speaker"/>
    <m/>
    <m/>
    <s v="86;-16"/>
    <s v="TE"/>
    <s v="157420-1"/>
    <s v="2 Pos. JPT 2,8mm Unsealed"/>
    <m/>
    <s v="No"/>
    <s v="No"/>
    <s v="Yes"/>
    <n v="0.25"/>
    <n v="0.35"/>
    <n v="0.4"/>
    <n v="0.3"/>
  </r>
  <r>
    <x v="868"/>
    <s v="36.0_Infotainment &amp; Connectivity"/>
    <s v="36.12_Sound-System"/>
    <s v="F0x40"/>
    <s v="Sound System, Surround"/>
    <s v=" "/>
    <s v="Infotainment"/>
    <s v="Audio"/>
    <s v="Full Range Speaker"/>
    <s v="Premium Audio System"/>
    <s v="Loudspeaker"/>
    <s v="Loudspeaker - Surround Right"/>
    <s v="Loudspeaker - Surround Right - Full Range Speaker"/>
    <m/>
    <m/>
    <s v="86;16"/>
    <s v="TE"/>
    <s v="157420-1"/>
    <s v="2 Pos. JPT 2,8mm Unsealed"/>
    <m/>
    <s v="No"/>
    <s v="No"/>
    <s v="Yes"/>
    <n v="0.25"/>
    <n v="0.35"/>
    <n v="0.4"/>
    <n v="0.3"/>
  </r>
  <r>
    <x v="869"/>
    <s v="36.0_Infotainment &amp; Connectivity"/>
    <s v="36.12_Sound-System"/>
    <s v="F0x34"/>
    <s v="Sound System Front, 2 Midrange and Woofer Speakers"/>
    <s v=" "/>
    <s v="Infotainment"/>
    <s v="Audio"/>
    <s v="Mid Range and Woofer Speaker"/>
    <s v="Standard Audio System"/>
    <s v="Loudspeaker"/>
    <s v="Loudspeaker - Door Front Right"/>
    <s v="Loudspeaker - Door Front Right - Mid Range and Woofer Speaker"/>
    <m/>
    <m/>
    <s v="36;21"/>
    <s v="TE"/>
    <s v="157420-1"/>
    <s v="2 Pos. JPT 2,8mm Unsealed"/>
    <m/>
    <s v="No"/>
    <s v="Yes"/>
    <s v="No"/>
    <n v="0.25"/>
    <n v="0.35"/>
    <n v="0.4"/>
    <n v="0.3"/>
  </r>
  <r>
    <x v="870"/>
    <s v="36.0_Infotainment &amp; Connectivity"/>
    <s v="36.12_Sound-System"/>
    <s v="F0x35"/>
    <s v="Sound System Rear, 2 Midrange and Woofer Speakers"/>
    <s v=" "/>
    <s v="Infotainment"/>
    <s v="Audio"/>
    <s v="Mid Range and Woofer Speaker"/>
    <s v="Standard Audio System"/>
    <s v="Loudspeaker"/>
    <s v="Loudspeaker - Door Rear Left / Rear Seat Left Trim"/>
    <s v="Loudspeaker - Door Rear Left / Rear Seat Left Trim - Mid Range and Woofer Speaker"/>
    <m/>
    <m/>
    <s v="58;-22"/>
    <s v="TE"/>
    <s v="157420-1"/>
    <s v="2 Pos. JPT 2,8mm Unsealed"/>
    <m/>
    <s v="No"/>
    <s v="Yes"/>
    <s v="No"/>
    <n v="0.25"/>
    <n v="0.35"/>
    <n v="0.4"/>
    <n v="0.3"/>
  </r>
  <r>
    <x v="871"/>
    <s v="36.0_Infotainment &amp; Connectivity"/>
    <s v="36.12_Sound-System"/>
    <s v="F0x35"/>
    <s v="Sound System Rear, 2 Midrange and Woofer Speakers"/>
    <s v=" "/>
    <s v="Infotainment"/>
    <s v="Audio"/>
    <s v="Mid Range and Woofer Speaker"/>
    <s v="Standard Audio System"/>
    <s v="Loudspeaker"/>
    <s v="Loudspeaker - Door Rear Right / Rear Seat Right Trim"/>
    <s v="Loudspeaker - Door Rear Right / Rear Seat Right Trim - Mid Range and Woofer Speaker"/>
    <m/>
    <m/>
    <s v="58;22"/>
    <s v="TE"/>
    <s v="157420-1"/>
    <s v="2 Pos. JPT 2,8mm Unsealed"/>
    <m/>
    <s v="No"/>
    <s v="Yes"/>
    <s v="No"/>
    <n v="0.25"/>
    <n v="0.35"/>
    <n v="0.4"/>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Werte" updatedVersion="8" minRefreshableVersion="3" useAutoFormatting="1" itemPrintTitles="1" createdVersion="6" indent="0" outline="1" outlineData="1" multipleFieldFilters="0">
  <location ref="A1:B874" firstHeaderRow="1" firstDataRow="1" firstDataCol="1"/>
  <pivotFields count="27">
    <pivotField axis="axisRow" dataField="1" showAll="0">
      <items count="921">
        <item x="0"/>
        <item x="1"/>
        <item x="2"/>
        <item x="3"/>
        <item x="4"/>
        <item x="5"/>
        <item x="6"/>
        <item x="7"/>
        <item x="8"/>
        <item x="9"/>
        <item x="10"/>
        <item x="11"/>
        <item x="12"/>
        <item x="13"/>
        <item x="14"/>
        <item x="15"/>
        <item x="16"/>
        <item x="17"/>
        <item x="18"/>
        <item x="19"/>
        <item x="20"/>
        <item x="21"/>
        <item x="22"/>
        <item x="23"/>
        <item x="24"/>
        <item x="25"/>
        <item m="1" x="875"/>
        <item x="26"/>
        <item x="27"/>
        <item x="28"/>
        <item x="29"/>
        <item x="30"/>
        <item x="31"/>
        <item x="32"/>
        <item x="33"/>
        <item m="1" x="916"/>
        <item x="34"/>
        <item x="35"/>
        <item x="36"/>
        <item x="37"/>
        <item x="38"/>
        <item x="39"/>
        <item x="40"/>
        <item x="41"/>
        <item x="43"/>
        <item x="44"/>
        <item x="45"/>
        <item x="46"/>
        <item x="47"/>
        <item x="48"/>
        <item x="49"/>
        <item x="50"/>
        <item m="1" x="911"/>
        <item m="1" x="913"/>
        <item x="51"/>
        <item x="52"/>
        <item x="53"/>
        <item x="54"/>
        <item x="55"/>
        <item x="56"/>
        <item x="57"/>
        <item x="58"/>
        <item x="59"/>
        <item x="60"/>
        <item x="61"/>
        <item x="62"/>
        <item x="63"/>
        <item x="64"/>
        <item x="65"/>
        <item x="66"/>
        <item m="1" x="876"/>
        <item x="67"/>
        <item x="68"/>
        <item m="1" x="877"/>
        <item m="1" x="87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m="1" x="907"/>
        <item x="104"/>
        <item x="105"/>
        <item x="106"/>
        <item x="107"/>
        <item x="108"/>
        <item x="109"/>
        <item x="110"/>
        <item x="111"/>
        <item x="112"/>
        <item x="113"/>
        <item x="114"/>
        <item x="115"/>
        <item x="116"/>
        <item m="1" x="894"/>
        <item x="117"/>
        <item x="118"/>
        <item x="119"/>
        <item x="120"/>
        <item x="121"/>
        <item x="122"/>
        <item x="123"/>
        <item x="124"/>
        <item x="125"/>
        <item x="126"/>
        <item x="127"/>
        <item x="128"/>
        <item x="129"/>
        <item x="130"/>
        <item x="131"/>
        <item x="132"/>
        <item x="133"/>
        <item x="134"/>
        <item x="135"/>
        <item x="136"/>
        <item x="137"/>
        <item x="138"/>
        <item x="139"/>
        <item x="140"/>
        <item x="141"/>
        <item x="144"/>
        <item x="145"/>
        <item x="146"/>
        <item x="147"/>
        <item x="148"/>
        <item m="1" x="891"/>
        <item x="149"/>
        <item x="150"/>
        <item m="1" x="895"/>
        <item x="151"/>
        <item x="152"/>
        <item x="153"/>
        <item x="154"/>
        <item x="155"/>
        <item x="156"/>
        <item x="157"/>
        <item x="158"/>
        <item x="159"/>
        <item x="160"/>
        <item x="161"/>
        <item x="162"/>
        <item x="163"/>
        <item x="164"/>
        <item x="165"/>
        <item x="166"/>
        <item x="167"/>
        <item x="168"/>
        <item x="169"/>
        <item x="170"/>
        <item x="171"/>
        <item x="172"/>
        <item x="173"/>
        <item m="1" x="896"/>
        <item m="1" x="897"/>
        <item m="1" x="898"/>
        <item m="1" x="899"/>
        <item x="174"/>
        <item x="175"/>
        <item m="1" x="900"/>
        <item m="1" x="901"/>
        <item x="176"/>
        <item x="177"/>
        <item m="1" x="902"/>
        <item x="178"/>
        <item x="179"/>
        <item x="180"/>
        <item x="181"/>
        <item x="182"/>
        <item x="183"/>
        <item m="1" x="892"/>
        <item m="1" x="893"/>
        <item x="184"/>
        <item x="185"/>
        <item x="186"/>
        <item x="187"/>
        <item x="188"/>
        <item x="189"/>
        <item x="190"/>
        <item x="191"/>
        <item x="193"/>
        <item x="194"/>
        <item x="195"/>
        <item x="196"/>
        <item x="197"/>
        <item x="198"/>
        <item x="199"/>
        <item x="200"/>
        <item x="201"/>
        <item x="202"/>
        <item x="203"/>
        <item x="204"/>
        <item x="205"/>
        <item x="206"/>
        <item x="207"/>
        <item x="208"/>
        <item x="209"/>
        <item x="210"/>
        <item x="211"/>
        <item x="212"/>
        <item x="213"/>
        <item x="214"/>
        <item x="215"/>
        <item m="1" x="884"/>
        <item m="1" x="88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7"/>
        <item x="278"/>
        <item x="279"/>
        <item x="280"/>
        <item x="281"/>
        <item m="1" x="889"/>
        <item m="1" x="890"/>
        <item x="282"/>
        <item x="283"/>
        <item x="284"/>
        <item x="285"/>
        <item x="286"/>
        <item x="287"/>
        <item x="288"/>
        <item x="289"/>
        <item x="290"/>
        <item x="291"/>
        <item x="292"/>
        <item x="293"/>
        <item x="294"/>
        <item x="295"/>
        <item x="296"/>
        <item x="297"/>
        <item x="298"/>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m="1" x="872"/>
        <item x="381"/>
        <item x="382"/>
        <item x="383"/>
        <item x="384"/>
        <item x="385"/>
        <item x="386"/>
        <item x="387"/>
        <item x="388"/>
        <item x="389"/>
        <item x="390"/>
        <item x="391"/>
        <item x="393"/>
        <item x="395"/>
        <item x="397"/>
        <item x="398"/>
        <item x="399"/>
        <item x="400"/>
        <item x="401"/>
        <item x="402"/>
        <item x="403"/>
        <item x="404"/>
        <item x="405"/>
        <item x="406"/>
        <item x="407"/>
        <item x="408"/>
        <item x="409"/>
        <item x="410"/>
        <item x="411"/>
        <item x="412"/>
        <item m="1" x="887"/>
        <item x="413"/>
        <item x="414"/>
        <item x="415"/>
        <item m="1" x="888"/>
        <item x="416"/>
        <item x="417"/>
        <item x="418"/>
        <item x="419"/>
        <item x="420"/>
        <item x="421"/>
        <item x="422"/>
        <item x="423"/>
        <item x="424"/>
        <item x="425"/>
        <item x="426"/>
        <item x="427"/>
        <item x="428"/>
        <item x="429"/>
        <item x="430"/>
        <item x="431"/>
        <item x="432"/>
        <item x="433"/>
        <item x="434"/>
        <item x="435"/>
        <item x="436"/>
        <item m="1" x="873"/>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m="1" x="903"/>
        <item x="475"/>
        <item x="476"/>
        <item x="477"/>
        <item x="478"/>
        <item x="479"/>
        <item x="480"/>
        <item x="481"/>
        <item x="482"/>
        <item x="483"/>
        <item m="1" x="908"/>
        <item m="1" x="910"/>
        <item m="1" x="915"/>
        <item m="1" x="917"/>
        <item m="1" x="919"/>
        <item x="484"/>
        <item x="485"/>
        <item x="486"/>
        <item x="487"/>
        <item x="488"/>
        <item x="489"/>
        <item x="490"/>
        <item x="491"/>
        <item x="492"/>
        <item x="493"/>
        <item x="494"/>
        <item x="495"/>
        <item x="497"/>
        <item x="498"/>
        <item x="500"/>
        <item x="501"/>
        <item x="503"/>
        <item x="504"/>
        <item x="505"/>
        <item m="1" x="912"/>
        <item m="1" x="881"/>
        <item x="506"/>
        <item m="1" x="879"/>
        <item x="507"/>
        <item x="538"/>
        <item x="539"/>
        <item x="540"/>
        <item x="541"/>
        <item x="542"/>
        <item x="543"/>
        <item x="544"/>
        <item x="545"/>
        <item x="546"/>
        <item x="547"/>
        <item x="548"/>
        <item x="549"/>
        <item x="550"/>
        <item x="551"/>
        <item x="552"/>
        <item x="553"/>
        <item m="1" x="880"/>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m="1" x="882"/>
        <item m="1" x="883"/>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m="1" x="886"/>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m="1" x="904"/>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m="1" x="914"/>
        <item x="728"/>
        <item x="729"/>
        <item x="730"/>
        <item x="731"/>
        <item x="732"/>
        <item x="733"/>
        <item x="734"/>
        <item x="735"/>
        <item x="736"/>
        <item x="737"/>
        <item x="738"/>
        <item x="739"/>
        <item x="740"/>
        <item x="741"/>
        <item x="742"/>
        <item x="743"/>
        <item m="1" x="905"/>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m="1" x="906"/>
        <item x="774"/>
        <item x="775"/>
        <item x="776"/>
        <item m="1" x="874"/>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m="1" x="909"/>
        <item x="807"/>
        <item x="808"/>
        <item x="809"/>
        <item x="810"/>
        <item x="811"/>
        <item x="812"/>
        <item x="813"/>
        <item x="814"/>
        <item x="815"/>
        <item x="816"/>
        <item x="817"/>
        <item x="818"/>
        <item x="819"/>
        <item x="820"/>
        <item x="821"/>
        <item x="822"/>
        <item x="824"/>
        <item x="825"/>
        <item x="826"/>
        <item x="827"/>
        <item x="828"/>
        <item x="829"/>
        <item x="830"/>
        <item x="831"/>
        <item x="832"/>
        <item x="833"/>
        <item x="834"/>
        <item x="835"/>
        <item x="836"/>
        <item x="837"/>
        <item x="838"/>
        <item x="839"/>
        <item x="840"/>
        <item x="841"/>
        <item x="842"/>
        <item x="843"/>
        <item x="844"/>
        <item x="845"/>
        <item x="846"/>
        <item m="1" x="918"/>
        <item x="847"/>
        <item x="848"/>
        <item x="849"/>
        <item x="850"/>
        <item x="851"/>
        <item x="852"/>
        <item x="853"/>
        <item x="854"/>
        <item x="855"/>
        <item x="859"/>
        <item x="860"/>
        <item x="861"/>
        <item x="862"/>
        <item x="863"/>
        <item x="864"/>
        <item x="865"/>
        <item x="866"/>
        <item x="867"/>
        <item x="868"/>
        <item x="869"/>
        <item x="870"/>
        <item x="871"/>
        <item x="192"/>
        <item x="299"/>
        <item x="300"/>
        <item x="823"/>
        <item x="858"/>
        <item x="857"/>
        <item x="856"/>
        <item x="42"/>
        <item x="276"/>
        <item x="508"/>
        <item x="509"/>
        <item x="510"/>
        <item x="511"/>
        <item x="512"/>
        <item x="513"/>
        <item x="514"/>
        <item x="515"/>
        <item x="516"/>
        <item x="517"/>
        <item x="518"/>
        <item x="519"/>
        <item x="520"/>
        <item x="521"/>
        <item x="522"/>
        <item x="523"/>
        <item x="524"/>
        <item x="392"/>
        <item x="394"/>
        <item x="396"/>
        <item x="496"/>
        <item x="499"/>
        <item x="525"/>
        <item x="526"/>
        <item x="527"/>
        <item x="528"/>
        <item x="529"/>
        <item x="530"/>
        <item x="531"/>
        <item x="532"/>
        <item x="533"/>
        <item x="534"/>
        <item x="535"/>
        <item x="536"/>
        <item x="537"/>
        <item x="502"/>
        <item x="142"/>
        <item x="1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73">
    <i>
      <x/>
    </i>
    <i>
      <x v="1"/>
    </i>
    <i>
      <x v="2"/>
    </i>
    <i>
      <x v="3"/>
    </i>
    <i>
      <x v="4"/>
    </i>
    <i>
      <x v="5"/>
    </i>
    <i>
      <x v="6"/>
    </i>
    <i>
      <x v="7"/>
    </i>
    <i>
      <x v="8"/>
    </i>
    <i>
      <x v="9"/>
    </i>
    <i>
      <x v="10"/>
    </i>
    <i>
      <x v="11"/>
    </i>
    <i>
      <x v="12"/>
    </i>
    <i>
      <x v="13"/>
    </i>
    <i>
      <x v="14"/>
    </i>
    <i>
      <x v="15"/>
    </i>
    <i>
      <x v="16"/>
    </i>
    <i>
      <x v="17"/>
    </i>
    <i>
      <x v="18"/>
    </i>
    <i>
      <x v="19"/>
    </i>
    <i>
      <x v="20"/>
    </i>
    <i>
      <x v="21"/>
    </i>
    <i>
      <x v="22"/>
    </i>
    <i>
      <x v="23"/>
    </i>
    <i>
      <x v="24"/>
    </i>
    <i>
      <x v="25"/>
    </i>
    <i>
      <x v="27"/>
    </i>
    <i>
      <x v="28"/>
    </i>
    <i>
      <x v="29"/>
    </i>
    <i>
      <x v="30"/>
    </i>
    <i>
      <x v="31"/>
    </i>
    <i>
      <x v="32"/>
    </i>
    <i>
      <x v="33"/>
    </i>
    <i>
      <x v="34"/>
    </i>
    <i>
      <x v="36"/>
    </i>
    <i>
      <x v="37"/>
    </i>
    <i>
      <x v="38"/>
    </i>
    <i>
      <x v="39"/>
    </i>
    <i>
      <x v="40"/>
    </i>
    <i>
      <x v="41"/>
    </i>
    <i>
      <x v="42"/>
    </i>
    <i>
      <x v="43"/>
    </i>
    <i>
      <x v="44"/>
    </i>
    <i>
      <x v="45"/>
    </i>
    <i>
      <x v="46"/>
    </i>
    <i>
      <x v="47"/>
    </i>
    <i>
      <x v="48"/>
    </i>
    <i>
      <x v="49"/>
    </i>
    <i>
      <x v="50"/>
    </i>
    <i>
      <x v="51"/>
    </i>
    <i>
      <x v="54"/>
    </i>
    <i>
      <x v="55"/>
    </i>
    <i>
      <x v="56"/>
    </i>
    <i>
      <x v="57"/>
    </i>
    <i>
      <x v="58"/>
    </i>
    <i>
      <x v="59"/>
    </i>
    <i>
      <x v="60"/>
    </i>
    <i>
      <x v="61"/>
    </i>
    <i>
      <x v="62"/>
    </i>
    <i>
      <x v="63"/>
    </i>
    <i>
      <x v="64"/>
    </i>
    <i>
      <x v="65"/>
    </i>
    <i>
      <x v="66"/>
    </i>
    <i>
      <x v="67"/>
    </i>
    <i>
      <x v="68"/>
    </i>
    <i>
      <x v="69"/>
    </i>
    <i>
      <x v="71"/>
    </i>
    <i>
      <x v="72"/>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1"/>
    </i>
    <i>
      <x v="112"/>
    </i>
    <i>
      <x v="113"/>
    </i>
    <i>
      <x v="114"/>
    </i>
    <i>
      <x v="115"/>
    </i>
    <i>
      <x v="116"/>
    </i>
    <i>
      <x v="117"/>
    </i>
    <i>
      <x v="118"/>
    </i>
    <i>
      <x v="119"/>
    </i>
    <i>
      <x v="120"/>
    </i>
    <i>
      <x v="121"/>
    </i>
    <i>
      <x v="122"/>
    </i>
    <i>
      <x v="123"/>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6"/>
    </i>
    <i>
      <x v="157"/>
    </i>
    <i>
      <x v="159"/>
    </i>
    <i>
      <x v="160"/>
    </i>
    <i>
      <x v="161"/>
    </i>
    <i>
      <x v="162"/>
    </i>
    <i>
      <x v="163"/>
    </i>
    <i>
      <x v="164"/>
    </i>
    <i>
      <x v="165"/>
    </i>
    <i>
      <x v="166"/>
    </i>
    <i>
      <x v="167"/>
    </i>
    <i>
      <x v="168"/>
    </i>
    <i>
      <x v="169"/>
    </i>
    <i>
      <x v="170"/>
    </i>
    <i>
      <x v="171"/>
    </i>
    <i>
      <x v="172"/>
    </i>
    <i>
      <x v="173"/>
    </i>
    <i>
      <x v="174"/>
    </i>
    <i>
      <x v="175"/>
    </i>
    <i>
      <x v="176"/>
    </i>
    <i>
      <x v="177"/>
    </i>
    <i>
      <x v="178"/>
    </i>
    <i>
      <x v="179"/>
    </i>
    <i>
      <x v="180"/>
    </i>
    <i>
      <x v="181"/>
    </i>
    <i>
      <x v="186"/>
    </i>
    <i>
      <x v="187"/>
    </i>
    <i>
      <x v="190"/>
    </i>
    <i>
      <x v="191"/>
    </i>
    <i>
      <x v="193"/>
    </i>
    <i>
      <x v="194"/>
    </i>
    <i>
      <x v="195"/>
    </i>
    <i>
      <x v="196"/>
    </i>
    <i>
      <x v="197"/>
    </i>
    <i>
      <x v="198"/>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9"/>
    </i>
    <i>
      <x v="430"/>
    </i>
    <i>
      <x v="431"/>
    </i>
    <i>
      <x v="433"/>
    </i>
    <i>
      <x v="434"/>
    </i>
    <i>
      <x v="435"/>
    </i>
    <i>
      <x v="436"/>
    </i>
    <i>
      <x v="437"/>
    </i>
    <i>
      <x v="438"/>
    </i>
    <i>
      <x v="439"/>
    </i>
    <i>
      <x v="440"/>
    </i>
    <i>
      <x v="441"/>
    </i>
    <i>
      <x v="442"/>
    </i>
    <i>
      <x v="443"/>
    </i>
    <i>
      <x v="444"/>
    </i>
    <i>
      <x v="445"/>
    </i>
    <i>
      <x v="446"/>
    </i>
    <i>
      <x v="447"/>
    </i>
    <i>
      <x v="448"/>
    </i>
    <i>
      <x v="449"/>
    </i>
    <i>
      <x v="450"/>
    </i>
    <i>
      <x v="451"/>
    </i>
    <i>
      <x v="452"/>
    </i>
    <i>
      <x v="453"/>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4"/>
    </i>
    <i>
      <x v="495"/>
    </i>
    <i>
      <x v="496"/>
    </i>
    <i>
      <x v="497"/>
    </i>
    <i>
      <x v="498"/>
    </i>
    <i>
      <x v="499"/>
    </i>
    <i>
      <x v="500"/>
    </i>
    <i>
      <x v="501"/>
    </i>
    <i>
      <x v="502"/>
    </i>
    <i>
      <x v="508"/>
    </i>
    <i>
      <x v="509"/>
    </i>
    <i>
      <x v="510"/>
    </i>
    <i>
      <x v="511"/>
    </i>
    <i>
      <x v="512"/>
    </i>
    <i>
      <x v="513"/>
    </i>
    <i>
      <x v="514"/>
    </i>
    <i>
      <x v="515"/>
    </i>
    <i>
      <x v="516"/>
    </i>
    <i>
      <x v="517"/>
    </i>
    <i>
      <x v="518"/>
    </i>
    <i>
      <x v="519"/>
    </i>
    <i>
      <x v="520"/>
    </i>
    <i>
      <x v="521"/>
    </i>
    <i>
      <x v="522"/>
    </i>
    <i>
      <x v="523"/>
    </i>
    <i>
      <x v="524"/>
    </i>
    <i>
      <x v="525"/>
    </i>
    <i>
      <x v="526"/>
    </i>
    <i>
      <x v="529"/>
    </i>
    <i>
      <x v="531"/>
    </i>
    <i>
      <x v="532"/>
    </i>
    <i>
      <x v="533"/>
    </i>
    <i>
      <x v="534"/>
    </i>
    <i>
      <x v="535"/>
    </i>
    <i>
      <x v="536"/>
    </i>
    <i>
      <x v="537"/>
    </i>
    <i>
      <x v="538"/>
    </i>
    <i>
      <x v="539"/>
    </i>
    <i>
      <x v="540"/>
    </i>
    <i>
      <x v="541"/>
    </i>
    <i>
      <x v="542"/>
    </i>
    <i>
      <x v="543"/>
    </i>
    <i>
      <x v="544"/>
    </i>
    <i>
      <x v="545"/>
    </i>
    <i>
      <x v="546"/>
    </i>
    <i>
      <x v="547"/>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8"/>
    </i>
    <i>
      <x v="729"/>
    </i>
    <i>
      <x v="730"/>
    </i>
    <i>
      <x v="731"/>
    </i>
    <i>
      <x v="732"/>
    </i>
    <i>
      <x v="733"/>
    </i>
    <i>
      <x v="734"/>
    </i>
    <i>
      <x v="735"/>
    </i>
    <i>
      <x v="736"/>
    </i>
    <i>
      <x v="737"/>
    </i>
    <i>
      <x v="738"/>
    </i>
    <i>
      <x v="739"/>
    </i>
    <i>
      <x v="740"/>
    </i>
    <i>
      <x v="741"/>
    </i>
    <i>
      <x v="742"/>
    </i>
    <i>
      <x v="743"/>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6"/>
    </i>
    <i>
      <x v="777"/>
    </i>
    <i>
      <x v="778"/>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t="grand">
      <x/>
    </i>
  </rowItems>
  <colItems count="1">
    <i/>
  </colItems>
  <dataFields count="1">
    <dataField name="Anzahl von Index"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B6:M387" totalsRowShown="0" headerRowDxfId="16" dataDxfId="14" headerRowBorderDxfId="15" tableBorderDxfId="13" totalsRowBorderDxfId="12">
  <autoFilter ref="B6:M387" xr:uid="{00000000-0009-0000-0100-000001000000}">
    <filterColumn colId="0">
      <filters>
        <filter val="28.0_Powertrain &amp; Driveability"/>
      </filters>
    </filterColumn>
  </autoFilter>
  <sortState xmlns:xlrd2="http://schemas.microsoft.com/office/spreadsheetml/2017/richdata2" ref="B7:M387">
    <sortCondition ref="B6:B387"/>
  </sortState>
  <tableColumns count="12">
    <tableColumn id="1" xr3:uid="{00000000-0010-0000-0000-000001000000}" name="Domain" dataDxfId="11"/>
    <tableColumn id="2" xr3:uid="{00000000-0010-0000-0000-000002000000}" name="System" dataDxfId="10"/>
    <tableColumn id="3" xr3:uid="{00000000-0010-0000-0000-000003000000}" name="Feature" dataDxfId="9"/>
    <tableColumn id="4" xr3:uid="{00000000-0010-0000-0000-000004000000}" name="Description" dataDxfId="8"/>
    <tableColumn id="7" xr3:uid="{00000000-0010-0000-0000-000007000000}" name="Feature_x000a_Number" dataDxfId="7"/>
    <tableColumn id="9" xr3:uid="{00000000-0010-0000-0000-000009000000}" name="Required Feature" dataDxfId="6" dataCellStyle="Standard 2"/>
    <tableColumn id="5" xr3:uid="{00000000-0010-0000-0000-000005000000}" name="SAE Level" dataDxfId="5"/>
    <tableColumn id="18" xr3:uid="{00000000-0010-0000-0000-000012000000}" name="Software_x000a_Feature" dataDxfId="4"/>
    <tableColumn id="8" xr3:uid="{00000000-0010-0000-0000-000008000000}" name="Comment" dataDxfId="3"/>
    <tableColumn id="6" xr3:uid="{00000000-0010-0000-0000-000006000000}" name="Low class" dataDxfId="2"/>
    <tableColumn id="15" xr3:uid="{00000000-0010-0000-0000-00000F000000}" name="Medium class" dataDxfId="1"/>
    <tableColumn id="14" xr3:uid="{00000000-0010-0000-0000-00000E000000}" name="High class" dataDxfId="0"/>
  </tableColumns>
  <tableStyleInfo name="TableStyleMedium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6" Type="http://schemas.openxmlformats.org/officeDocument/2006/relationships/hyperlink" Target="https://www.ti.com/solution/automotive-long-range-radar-76-to-81ghz-with-rfcmos" TargetMode="External"/><Relationship Id="rId21" Type="http://schemas.openxmlformats.org/officeDocument/2006/relationships/hyperlink" Target="https://www.ti.com/solution/automotive-rear-light" TargetMode="External"/><Relationship Id="rId42" Type="http://schemas.openxmlformats.org/officeDocument/2006/relationships/hyperlink" Target="https://www.google.de/url?sa=t&amp;rct=j&amp;q=&amp;esrc=s&amp;source=web&amp;cd=&amp;cad=rja&amp;uact=8&amp;ved=2ahUKEwj6y5LQuM2LAxV2RPEDHQV6MlsQFnoECC8QAQ&amp;url=https%3A%2F%2Fwww.ti.com%2Flit%2Fszzy011&amp;usg=AOvVaw22TGDsw-Jiva0qu5-WZ23Q&amp;opi=89978449" TargetMode="External"/><Relationship Id="rId47" Type="http://schemas.openxmlformats.org/officeDocument/2006/relationships/hyperlink" Target="https://www.ti.com/solution/automotive-kick-to-open-module" TargetMode="External"/><Relationship Id="rId63" Type="http://schemas.openxmlformats.org/officeDocument/2006/relationships/hyperlink" Target="http://www.autlog-germany.de/en/products/sensors/interior-temperature-sensor/" TargetMode="External"/><Relationship Id="rId68" Type="http://schemas.openxmlformats.org/officeDocument/2006/relationships/hyperlink" Target="https://sensirion-automotive.com/products/co2-sensor" TargetMode="External"/><Relationship Id="rId84" Type="http://schemas.openxmlformats.org/officeDocument/2006/relationships/hyperlink" Target="https://fcc.report/FCC-ID/2AJW515891/7757407.pdf" TargetMode="External"/><Relationship Id="rId89" Type="http://schemas.openxmlformats.org/officeDocument/2006/relationships/hyperlink" Target="https://fcc.report/FCC-ID/2AJW515891/7757407.pdf" TargetMode="External"/><Relationship Id="rId16" Type="http://schemas.openxmlformats.org/officeDocument/2006/relationships/hyperlink" Target="https://www.infineon.com/cms/en/applications/automotive/led-lighting/full-led-headlamps/?gatedContentFileId=~%275546d46272aa54c00172b850df584e15" TargetMode="External"/><Relationship Id="rId11" Type="http://schemas.openxmlformats.org/officeDocument/2006/relationships/hyperlink" Target="https://techinfo.honda.com/rjanisis/pubs/om/ah/b3s52424iom/enu/details/131236047-2625.html" TargetMode="External"/><Relationship Id="rId32" Type="http://schemas.openxmlformats.org/officeDocument/2006/relationships/hyperlink" Target="https://www.ti.com/solution/automotive-ultra-short-range-radar" TargetMode="External"/><Relationship Id="rId37" Type="http://schemas.openxmlformats.org/officeDocument/2006/relationships/hyperlink" Target="https://www.ti.com/solution/automotive-seat-position-comfort-module" TargetMode="External"/><Relationship Id="rId53" Type="http://schemas.openxmlformats.org/officeDocument/2006/relationships/hyperlink" Target="https://www.ti.com/solution/roof-motor-module" TargetMode="External"/><Relationship Id="rId58" Type="http://schemas.openxmlformats.org/officeDocument/2006/relationships/hyperlink" Target="https://www.ti.com/solution/boosted-audio-amplifier-with-anc" TargetMode="External"/><Relationship Id="rId74" Type="http://schemas.openxmlformats.org/officeDocument/2006/relationships/hyperlink" Target="http://www.autlog-germany.de/en/products/sensors/intake-air-sensor/" TargetMode="External"/><Relationship Id="rId79" Type="http://schemas.openxmlformats.org/officeDocument/2006/relationships/hyperlink" Target="https://www.st.com/resource/en/datasheet/st25r3918.pdf" TargetMode="External"/><Relationship Id="rId102" Type="http://schemas.openxmlformats.org/officeDocument/2006/relationships/hyperlink" Target="https://www.ti.com/lit/an/slla383a/slla383a.pdf" TargetMode="External"/><Relationship Id="rId5" Type="http://schemas.openxmlformats.org/officeDocument/2006/relationships/hyperlink" Target="https://www.electronicproducts.com/car-access-system-block-diagram/" TargetMode="External"/><Relationship Id="rId90" Type="http://schemas.openxmlformats.org/officeDocument/2006/relationships/hyperlink" Target="https://www.renesas.com/en/blogs/explore-cost-effective-way-support-mandatory-adas-systems?srsltid=AfmBOopJ0c_9b893Rwha6e5Nf19oZmnRW8k3fOj5QP0qXEmpKRuOkKT3" TargetMode="External"/><Relationship Id="rId95" Type="http://schemas.openxmlformats.org/officeDocument/2006/relationships/hyperlink" Target="https://www.ovt.com/wp-content/uploads/2022/01/OV7955-PB-v1.5-WEB.pdf" TargetMode="External"/><Relationship Id="rId22" Type="http://schemas.openxmlformats.org/officeDocument/2006/relationships/hyperlink" Target="https://www.ti.com/solution/automotive-rear-light" TargetMode="External"/><Relationship Id="rId27" Type="http://schemas.openxmlformats.org/officeDocument/2006/relationships/hyperlink" Target="https://www.ti.com/solution/driver-occupant-monitoring-camera-module" TargetMode="External"/><Relationship Id="rId43" Type="http://schemas.openxmlformats.org/officeDocument/2006/relationships/hyperlink" Target="https://www.google.de/url?sa=t&amp;rct=j&amp;q=&amp;esrc=s&amp;source=web&amp;cd=&amp;cad=rja&amp;uact=8&amp;ved=2ahUKEwj6y5LQuM2LAxV2RPEDHQV6MlsQFnoECC8QAQ&amp;url=https%3A%2F%2Fwww.ti.com%2Flit%2Fszzy011&amp;usg=AOvVaw22TGDsw-Jiva0qu5-WZ23Q&amp;opi=89978449" TargetMode="External"/><Relationship Id="rId48" Type="http://schemas.openxmlformats.org/officeDocument/2006/relationships/hyperlink" Target="https://www.ti.com/solution/wiper-module" TargetMode="External"/><Relationship Id="rId64" Type="http://schemas.openxmlformats.org/officeDocument/2006/relationships/hyperlink" Target="http://www.autlog-germany.de/en/products/sensors/interior-temperature-sensor/" TargetMode="External"/><Relationship Id="rId69" Type="http://schemas.openxmlformats.org/officeDocument/2006/relationships/hyperlink" Target="http://www.autlog-germany.de/en/products/sensors/external-air-temperature-sensor/" TargetMode="External"/><Relationship Id="rId80" Type="http://schemas.openxmlformats.org/officeDocument/2006/relationships/hyperlink" Target="https://www.st.com/resource/en/datasheet/st25r3918.pdf" TargetMode="External"/><Relationship Id="rId85" Type="http://schemas.openxmlformats.org/officeDocument/2006/relationships/hyperlink" Target="https://fcc.report/FCC-ID/2AJW515891/7757407.pdf" TargetMode="External"/><Relationship Id="rId12" Type="http://schemas.openxmlformats.org/officeDocument/2006/relationships/hyperlink" Target="https://techinfo.honda.com/rjanisis/pubs/om/ah/b3s52424iom/enu/details/131236047-3664.html" TargetMode="External"/><Relationship Id="rId17" Type="http://schemas.openxmlformats.org/officeDocument/2006/relationships/hyperlink" Target="https://toshiba.semicon-storage.com/us/semiconductor/design-development/referencedesign/detail.RD209.html" TargetMode="External"/><Relationship Id="rId33" Type="http://schemas.openxmlformats.org/officeDocument/2006/relationships/hyperlink" Target="https://www.ti.com/solution/seat-heating-module" TargetMode="External"/><Relationship Id="rId38" Type="http://schemas.openxmlformats.org/officeDocument/2006/relationships/hyperlink" Target="https://www.ti.com/solution/automotive-seat-position-comfort-module" TargetMode="External"/><Relationship Id="rId59" Type="http://schemas.openxmlformats.org/officeDocument/2006/relationships/hyperlink" Target="https://www.ti.com/solution/trunk-module" TargetMode="External"/><Relationship Id="rId103" Type="http://schemas.openxmlformats.org/officeDocument/2006/relationships/hyperlink" Target="https://www.prodigytechno.com/difference-between-lin-can-and-flexray-protocols" TargetMode="External"/><Relationship Id="rId20" Type="http://schemas.openxmlformats.org/officeDocument/2006/relationships/hyperlink" Target="https://www.ti.com/solution/automotive-rear-light" TargetMode="External"/><Relationship Id="rId41" Type="http://schemas.openxmlformats.org/officeDocument/2006/relationships/hyperlink" Target="https://www.google.de/url?sa=t&amp;rct=j&amp;q=&amp;esrc=s&amp;source=web&amp;cd=&amp;cad=rja&amp;uact=8&amp;ved=2ahUKEwj6y5LQuM2LAxV2RPEDHQV6MlsQFnoECC8QAQ&amp;url=https%3A%2F%2Fwww.ti.com%2Flit%2Fszzy011&amp;usg=AOvVaw22TGDsw-Jiva0qu5-WZ23Q&amp;opi=89978449" TargetMode="External"/><Relationship Id="rId54" Type="http://schemas.openxmlformats.org/officeDocument/2006/relationships/hyperlink" Target="https://www.ti.com/solution/automotive-door-handle-module" TargetMode="External"/><Relationship Id="rId62" Type="http://schemas.openxmlformats.org/officeDocument/2006/relationships/hyperlink" Target="http://www.autlog-germany.de/en/products/sensors/interior-temperature-sensor/" TargetMode="External"/><Relationship Id="rId70" Type="http://schemas.openxmlformats.org/officeDocument/2006/relationships/hyperlink" Target="https://sensirion-automotive.com/products/particulate-matter-sensor" TargetMode="External"/><Relationship Id="rId75" Type="http://schemas.openxmlformats.org/officeDocument/2006/relationships/hyperlink" Target="http://www.autlog-germany.de/en/products/sensors/coolant-temperature-sensors/" TargetMode="External"/><Relationship Id="rId83" Type="http://schemas.openxmlformats.org/officeDocument/2006/relationships/hyperlink" Target="https://fcc.report/FCC-ID/2AJW515891/7757407.pdf" TargetMode="External"/><Relationship Id="rId88" Type="http://schemas.openxmlformats.org/officeDocument/2006/relationships/hyperlink" Target="https://fcc.report/FCC-ID/2AJW515891/7757407.pdf" TargetMode="External"/><Relationship Id="rId91" Type="http://schemas.openxmlformats.org/officeDocument/2006/relationships/hyperlink" Target="https://www.renesas.com/en/blogs/explore-cost-effective-way-support-mandatory-adas-systems?srsltid=AfmBOopJ0c_9b893Rwha6e5Nf19oZmnRW8k3fOj5QP0qXEmpKRuOkKT3" TargetMode="External"/><Relationship Id="rId96" Type="http://schemas.openxmlformats.org/officeDocument/2006/relationships/hyperlink" Target="https://digiflec.com/wp-content/uploads/2024/04/Automotive_Camera_C2_Spec_Sheet_2023.pdf" TargetMode="External"/><Relationship Id="rId1" Type="http://schemas.openxmlformats.org/officeDocument/2006/relationships/hyperlink" Target="https://www.6speedonline.com/forums/attachment.php?attachmentid=378681&amp;d=1401093166" TargetMode="External"/><Relationship Id="rId6" Type="http://schemas.openxmlformats.org/officeDocument/2006/relationships/hyperlink" Target="https://www.nxp.com/products/security-and-authentication/secure-car-access/passive-keyless-entry-chip:NCF29AG-H" TargetMode="External"/><Relationship Id="rId15" Type="http://schemas.openxmlformats.org/officeDocument/2006/relationships/hyperlink" Target="https://zf-lifetec.com/products" TargetMode="External"/><Relationship Id="rId23" Type="http://schemas.openxmlformats.org/officeDocument/2006/relationships/hyperlink" Target="https://www.ti.com/solution/automotive-rear-light" TargetMode="External"/><Relationship Id="rId28" Type="http://schemas.openxmlformats.org/officeDocument/2006/relationships/hyperlink" Target="https://www.ti.com/solution/short-medium-range-radar-76-to-81ghz-with-rfcmos" TargetMode="External"/><Relationship Id="rId36" Type="http://schemas.openxmlformats.org/officeDocument/2006/relationships/hyperlink" Target="https://www.ti.com/solution/seat-lumbar-massage-module" TargetMode="External"/><Relationship Id="rId49" Type="http://schemas.openxmlformats.org/officeDocument/2006/relationships/hyperlink" Target="https://www.ti.com/solution/wiper-module" TargetMode="External"/><Relationship Id="rId57" Type="http://schemas.openxmlformats.org/officeDocument/2006/relationships/hyperlink" Target="https://www.ti.com/solution/boosted-audio-amplifier-with-anc" TargetMode="External"/><Relationship Id="rId106" Type="http://schemas.openxmlformats.org/officeDocument/2006/relationships/printerSettings" Target="../printerSettings/printerSettings4.bin"/><Relationship Id="rId10" Type="http://schemas.openxmlformats.org/officeDocument/2006/relationships/hyperlink" Target="https://www.cascoauto.com/products/connectivity-products/" TargetMode="External"/><Relationship Id="rId31" Type="http://schemas.openxmlformats.org/officeDocument/2006/relationships/hyperlink" Target="https://www.ti.com/solution/automotive-ultra-short-range-radar" TargetMode="External"/><Relationship Id="rId44" Type="http://schemas.openxmlformats.org/officeDocument/2006/relationships/hyperlink" Target="https://www.google.de/url?sa=t&amp;rct=j&amp;q=&amp;esrc=s&amp;source=web&amp;cd=&amp;cad=rja&amp;uact=8&amp;ved=2ahUKEwj6y5LQuM2LAxV2RPEDHQV6MlsQFnoECC8QAQ&amp;url=https%3A%2F%2Fwww.ti.com%2Flit%2Fszzy011&amp;usg=AOvVaw22TGDsw-Jiva0qu5-WZ23Q&amp;opi=89978449" TargetMode="External"/><Relationship Id="rId52" Type="http://schemas.openxmlformats.org/officeDocument/2006/relationships/hyperlink" Target="https://www.ti.com/solution/roof-motor-module" TargetMode="External"/><Relationship Id="rId60" Type="http://schemas.openxmlformats.org/officeDocument/2006/relationships/hyperlink" Target="https://www.ti.com/solution/trunk-module" TargetMode="External"/><Relationship Id="rId65" Type="http://schemas.openxmlformats.org/officeDocument/2006/relationships/hyperlink" Target="http://www.autlog-germany.de/en/products/sensors/interior-temperature-sensor/" TargetMode="External"/><Relationship Id="rId73" Type="http://schemas.openxmlformats.org/officeDocument/2006/relationships/hyperlink" Target="https://www.zf.com/products/de/cv/products_72898.html?pageLink=details_divider658792" TargetMode="External"/><Relationship Id="rId78" Type="http://schemas.openxmlformats.org/officeDocument/2006/relationships/hyperlink" Target="https://www.google.de/url?sa=i&amp;url=https%3A%2F%2Fautosystemy.eu%2Fdownload.php%3Fatt%3D83&amp;psig=AOvVaw2un_R-PaAset5OIjz40Q08&amp;ust=1741695440452000&amp;source=images&amp;cd=vfe&amp;opi=89978449&amp;ved=0CAcQr5oMahcKEwjQ5Nqhv_-LAxUAAAAAHQAAAAAQBA" TargetMode="External"/><Relationship Id="rId81" Type="http://schemas.openxmlformats.org/officeDocument/2006/relationships/hyperlink" Target="https://fcc.report/FCC-ID/2AJW515891/7757407.pdf" TargetMode="External"/><Relationship Id="rId86" Type="http://schemas.openxmlformats.org/officeDocument/2006/relationships/hyperlink" Target="https://fcc.report/FCC-ID/2AJW515891/7757407.pdf" TargetMode="External"/><Relationship Id="rId94" Type="http://schemas.openxmlformats.org/officeDocument/2006/relationships/hyperlink" Target="https://www.continental-automotive.com/en/components/cameras/multi-function-mono-camera-mfc527.html" TargetMode="External"/><Relationship Id="rId99" Type="http://schemas.openxmlformats.org/officeDocument/2006/relationships/hyperlink" Target="https://opensig.org/wp-content/uploads/2024/01/1000BASE-T1_SystemImplementationSpecification_v1.6.pdf" TargetMode="External"/><Relationship Id="rId101" Type="http://schemas.openxmlformats.org/officeDocument/2006/relationships/hyperlink" Target="https://www.prodigytechno.com/difference-between-lin-can-and-flexray-protocols" TargetMode="External"/><Relationship Id="rId4" Type="http://schemas.openxmlformats.org/officeDocument/2006/relationships/hyperlink" Target="https://www.industrystock.de/de/unternehmen/Fahrzeuge/Fahrzeugtechnik/Autotuning/Frontspoiler" TargetMode="External"/><Relationship Id="rId9" Type="http://schemas.openxmlformats.org/officeDocument/2006/relationships/hyperlink" Target="https://www.cascoauto.com/products/connectivity-products/" TargetMode="External"/><Relationship Id="rId13" Type="http://schemas.openxmlformats.org/officeDocument/2006/relationships/hyperlink" Target="https://conti-engineering.com/components/airbag-control-unit-t25/" TargetMode="External"/><Relationship Id="rId18" Type="http://schemas.openxmlformats.org/officeDocument/2006/relationships/hyperlink" Target="https://toshiba.semicon-storage.com/us/semiconductor/design-development/referencedesign/detail.RD209.html" TargetMode="External"/><Relationship Id="rId39" Type="http://schemas.openxmlformats.org/officeDocument/2006/relationships/hyperlink" Target="https://www.ti.com/solution/active-noise-cancellation-anc-microphone" TargetMode="External"/><Relationship Id="rId34" Type="http://schemas.openxmlformats.org/officeDocument/2006/relationships/hyperlink" Target="https://www.ti.com/solution/seat-heating-module" TargetMode="External"/><Relationship Id="rId50" Type="http://schemas.openxmlformats.org/officeDocument/2006/relationships/hyperlink" Target="https://www.ti.com/solution/automotive-window-module" TargetMode="External"/><Relationship Id="rId55" Type="http://schemas.openxmlformats.org/officeDocument/2006/relationships/hyperlink" Target="https://www.ti.com/solution/automotive-door-handle-module" TargetMode="External"/><Relationship Id="rId76" Type="http://schemas.openxmlformats.org/officeDocument/2006/relationships/hyperlink" Target="https://www.kroschu-cable.de/de/downloads.html" TargetMode="External"/><Relationship Id="rId97" Type="http://schemas.openxmlformats.org/officeDocument/2006/relationships/hyperlink" Target="https://digiflec.com/wp-content/uploads/2024/04/Automotive_Camera_C2_Spec_Sheet_2023.pdf" TargetMode="External"/><Relationship Id="rId104" Type="http://schemas.openxmlformats.org/officeDocument/2006/relationships/hyperlink" Target="https://www.evcreate.com/wiring-the-ibooster/" TargetMode="External"/><Relationship Id="rId7" Type="http://schemas.openxmlformats.org/officeDocument/2006/relationships/hyperlink" Target="https://en.wikipedia.org/wiki/Automobile_auxiliary_power_outlet" TargetMode="External"/><Relationship Id="rId71" Type="http://schemas.openxmlformats.org/officeDocument/2006/relationships/hyperlink" Target="http://www.autlog-germany.de/en/products/sensors/wheel-speed-sensors/" TargetMode="External"/><Relationship Id="rId92" Type="http://schemas.openxmlformats.org/officeDocument/2006/relationships/hyperlink" Target="https://www.renesas.com/en/blogs/explore-cost-effective-way-support-mandatory-adas-systems?srsltid=AfmBOopJ0c_9b893Rwha6e5Nf19oZmnRW8k3fOj5QP0qXEmpKRuOkKT3" TargetMode="External"/><Relationship Id="rId2" Type="http://schemas.openxmlformats.org/officeDocument/2006/relationships/hyperlink" Target="https://dfkitcar.com/forum/index.php?threads/diagram-for-brake-booster-vacuum-sensor-lnf.2721/" TargetMode="External"/><Relationship Id="rId29" Type="http://schemas.openxmlformats.org/officeDocument/2006/relationships/hyperlink" Target="https://www.ti.com/solution/short-medium-range-radar-76-to-81ghz-with-rfcmos" TargetMode="External"/><Relationship Id="rId24" Type="http://schemas.openxmlformats.org/officeDocument/2006/relationships/hyperlink" Target="https://www.ti.com/solution/front-camera" TargetMode="External"/><Relationship Id="rId40" Type="http://schemas.openxmlformats.org/officeDocument/2006/relationships/hyperlink" Target="https://www.ti.com/solution/automotive-head-unit" TargetMode="External"/><Relationship Id="rId45" Type="http://schemas.openxmlformats.org/officeDocument/2006/relationships/hyperlink" Target="https://www.google.de/url?sa=t&amp;rct=j&amp;q=&amp;esrc=s&amp;source=web&amp;cd=&amp;cad=rja&amp;uact=8&amp;ved=2ahUKEwj6y5LQuM2LAxV2RPEDHQV6MlsQFnoECC8QAQ&amp;url=https%3A%2F%2Fwww.ti.com%2Flit%2Fszzy011&amp;usg=AOvVaw22TGDsw-Jiva0qu5-WZ23Q&amp;opi=89978449" TargetMode="External"/><Relationship Id="rId66" Type="http://schemas.openxmlformats.org/officeDocument/2006/relationships/hyperlink" Target="https://sensirion-automotive.com/products/cabin-air-temperature-sensor" TargetMode="External"/><Relationship Id="rId87" Type="http://schemas.openxmlformats.org/officeDocument/2006/relationships/hyperlink" Target="https://fcc.report/FCC-ID/2AJW515891/7757407.pdf" TargetMode="External"/><Relationship Id="rId61" Type="http://schemas.openxmlformats.org/officeDocument/2006/relationships/hyperlink" Target="http://www.autlog-germany.de/en/products/sensors/interior-temperature-sensor/" TargetMode="External"/><Relationship Id="rId82" Type="http://schemas.openxmlformats.org/officeDocument/2006/relationships/hyperlink" Target="https://fcc.report/FCC-ID/2AJW515891/7757407.pdf" TargetMode="External"/><Relationship Id="rId19" Type="http://schemas.openxmlformats.org/officeDocument/2006/relationships/hyperlink" Target="https://toshiba.semicon-storage.com/info/docget.jsp?did=151210" TargetMode="External"/><Relationship Id="rId14" Type="http://schemas.openxmlformats.org/officeDocument/2006/relationships/hyperlink" Target="https://www.bosch-mobility.com/media/global/solutions/passenger-cars-and-light-commercial-vehicles/driving-safety-systems/pedestrian-protection/integrated-safety-unit/product_data_sheet_integrated_safety_unit.pdf" TargetMode="External"/><Relationship Id="rId30" Type="http://schemas.openxmlformats.org/officeDocument/2006/relationships/hyperlink" Target="https://www.ti.com/solution/short-medium-range-radar-76-to-81ghz-with-rfcmos" TargetMode="External"/><Relationship Id="rId35" Type="http://schemas.openxmlformats.org/officeDocument/2006/relationships/hyperlink" Target="https://www.ti.com/solution/seat-lumbar-massage-module" TargetMode="External"/><Relationship Id="rId56" Type="http://schemas.openxmlformats.org/officeDocument/2006/relationships/hyperlink" Target="https://www.ti.com/solution/automotive-door-handle-module" TargetMode="External"/><Relationship Id="rId77" Type="http://schemas.openxmlformats.org/officeDocument/2006/relationships/hyperlink" Target="https://www.digikey.co.th/htmldatasheets/production/545376/0/0/1/c702-card-readers.html" TargetMode="External"/><Relationship Id="rId100" Type="http://schemas.openxmlformats.org/officeDocument/2006/relationships/hyperlink" Target="https://www.prodigytechno.com/difference-between-lin-can-and-flexray-protocols" TargetMode="External"/><Relationship Id="rId105" Type="http://schemas.openxmlformats.org/officeDocument/2006/relationships/hyperlink" Target="https://www.evcreate.com/ibooster-can-bus/" TargetMode="External"/><Relationship Id="rId8" Type="http://schemas.openxmlformats.org/officeDocument/2006/relationships/hyperlink" Target="https://hyundai.oempartsonline.com/oem-parts/hyundai-12-volt-accessory-power-outlet-95120ar000" TargetMode="External"/><Relationship Id="rId51" Type="http://schemas.openxmlformats.org/officeDocument/2006/relationships/hyperlink" Target="https://www.ti.com/solution/automotive-window-module" TargetMode="External"/><Relationship Id="rId72" Type="http://schemas.openxmlformats.org/officeDocument/2006/relationships/hyperlink" Target="https://www.continental-automotive.com/de/komponenten/sensoren/speed-and-position-sensors/wheel-speed-sensor/wheel-speed-sensor-with-epb-cable.html" TargetMode="External"/><Relationship Id="rId93" Type="http://schemas.openxmlformats.org/officeDocument/2006/relationships/hyperlink" Target="https://www.renesas.com/en/blogs/explore-cost-effective-way-support-mandatory-adas-systems?srsltid=AfmBOopJ0c_9b893Rwha6e5Nf19oZmnRW8k3fOj5QP0qXEmpKRuOkKT3" TargetMode="External"/><Relationship Id="rId98" Type="http://schemas.openxmlformats.org/officeDocument/2006/relationships/hyperlink" Target="https://digiflec.com/wp-content/uploads/2024/04/Automotive_Camera_C2_Spec_Sheet_2023.pdf" TargetMode="External"/><Relationship Id="rId3" Type="http://schemas.openxmlformats.org/officeDocument/2006/relationships/hyperlink" Target="https://service.tesla.com/docs/Model3/ElectricalReference/" TargetMode="External"/><Relationship Id="rId25" Type="http://schemas.openxmlformats.org/officeDocument/2006/relationships/hyperlink" Target="https://www.ti.com/solution/automotive-rear-camera" TargetMode="External"/><Relationship Id="rId46" Type="http://schemas.openxmlformats.org/officeDocument/2006/relationships/hyperlink" Target="https://www.google.de/url?sa=t&amp;rct=j&amp;q=&amp;esrc=s&amp;source=web&amp;cd=&amp;cad=rja&amp;uact=8&amp;ved=2ahUKEwj6y5LQuM2LAxV2RPEDHQV6MlsQFnoECC8QAQ&amp;url=https%3A%2F%2Fwww.ti.com%2Flit%2Fszzy011&amp;usg=AOvVaw22TGDsw-Jiva0qu5-WZ23Q&amp;opi=89978449" TargetMode="External"/><Relationship Id="rId67" Type="http://schemas.openxmlformats.org/officeDocument/2006/relationships/hyperlink" Target="https://sensirion-automotive.com/products/cabin-air-temperature-sensor"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zoomScale="115" zoomScaleNormal="115" workbookViewId="0">
      <pane ySplit="6" topLeftCell="A7" activePane="bottomLeft" state="frozen"/>
      <selection pane="bottomLeft" activeCell="A8" sqref="A8"/>
    </sheetView>
  </sheetViews>
  <sheetFormatPr baseColWidth="10" defaultColWidth="11" defaultRowHeight="13.8" x14ac:dyDescent="0.25"/>
  <cols>
    <col min="1" max="1" width="14.3984375" style="3" customWidth="1"/>
    <col min="2" max="2" width="112.8984375" style="3" customWidth="1"/>
    <col min="3" max="3" width="21.5" style="3" customWidth="1"/>
    <col min="4" max="16384" width="11" style="3"/>
  </cols>
  <sheetData>
    <row r="1" spans="1:5" s="1" customFormat="1" ht="59.25" customHeight="1" thickBot="1" x14ac:dyDescent="0.3">
      <c r="A1" s="2" t="s">
        <v>0</v>
      </c>
      <c r="B1" s="62"/>
      <c r="C1" s="62"/>
      <c r="D1" s="63"/>
      <c r="E1" s="64"/>
    </row>
    <row r="2" spans="1:5" s="1" customFormat="1" ht="14.4" x14ac:dyDescent="0.25">
      <c r="A2" s="65">
        <f>MAX(A7:A45)</f>
        <v>45985</v>
      </c>
      <c r="B2" s="63"/>
      <c r="C2" s="66"/>
      <c r="D2" s="63"/>
      <c r="E2" s="64"/>
    </row>
    <row r="3" spans="1:5" ht="14.4" x14ac:dyDescent="0.25">
      <c r="C3" s="66"/>
      <c r="D3" s="63"/>
    </row>
    <row r="4" spans="1:5" x14ac:dyDescent="0.25">
      <c r="A4" s="3" t="s">
        <v>1</v>
      </c>
    </row>
    <row r="6" spans="1:5" ht="21.9" customHeight="1" x14ac:dyDescent="0.25">
      <c r="A6" s="4" t="s">
        <v>2</v>
      </c>
      <c r="B6" s="5" t="s">
        <v>3</v>
      </c>
      <c r="C6" s="6" t="s">
        <v>4</v>
      </c>
    </row>
    <row r="7" spans="1:5" ht="18" customHeight="1" x14ac:dyDescent="0.25">
      <c r="A7" s="50">
        <v>44985</v>
      </c>
      <c r="B7" s="7" t="s">
        <v>5</v>
      </c>
      <c r="C7" s="37" t="s">
        <v>6</v>
      </c>
    </row>
    <row r="8" spans="1:5" ht="27.6" x14ac:dyDescent="0.25">
      <c r="A8" s="224">
        <v>45985</v>
      </c>
      <c r="B8" s="7" t="s">
        <v>9793</v>
      </c>
      <c r="C8" s="3" t="s">
        <v>9794</v>
      </c>
    </row>
    <row r="9" spans="1:5" x14ac:dyDescent="0.25">
      <c r="B9" s="7"/>
    </row>
    <row r="10" spans="1:5" x14ac:dyDescent="0.25">
      <c r="B10" s="162"/>
    </row>
    <row r="11" spans="1:5" x14ac:dyDescent="0.25">
      <c r="B11" s="162"/>
    </row>
    <row r="12" spans="1:5" x14ac:dyDescent="0.25">
      <c r="B12" s="162"/>
    </row>
    <row r="13" spans="1:5" x14ac:dyDescent="0.25">
      <c r="B13" s="162"/>
    </row>
    <row r="14" spans="1:5" x14ac:dyDescent="0.25">
      <c r="B14" s="162"/>
    </row>
    <row r="15" spans="1:5" x14ac:dyDescent="0.25">
      <c r="B15" s="162"/>
    </row>
    <row r="16" spans="1:5" x14ac:dyDescent="0.25">
      <c r="B16" s="162"/>
    </row>
    <row r="17" spans="2:2" x14ac:dyDescent="0.25">
      <c r="B17" s="162"/>
    </row>
    <row r="18" spans="2:2" x14ac:dyDescent="0.25">
      <c r="B18" s="162"/>
    </row>
  </sheetData>
  <autoFilter ref="A6:C6" xr:uid="{00000000-0009-0000-0000-000000000000}"/>
  <phoneticPr fontId="19" type="noConversion"/>
  <pageMargins left="0.7" right="0.7" top="0.78740157499999996" bottom="0.78740157499999996"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4"/>
  <sheetViews>
    <sheetView showGridLines="0" zoomScale="90" zoomScaleNormal="90" workbookViewId="0">
      <pane ySplit="6" topLeftCell="A184" activePane="bottomLeft" state="frozen"/>
      <selection pane="bottomLeft" activeCell="B3" sqref="B3"/>
    </sheetView>
  </sheetViews>
  <sheetFormatPr baseColWidth="10" defaultColWidth="8" defaultRowHeight="14.4" x14ac:dyDescent="0.3"/>
  <cols>
    <col min="1" max="1" width="3.09765625" style="12" customWidth="1"/>
    <col min="2" max="2" width="30.59765625" style="12" customWidth="1"/>
    <col min="3" max="3" width="25" style="12" customWidth="1"/>
    <col min="4" max="4" width="36.5" style="12" customWidth="1"/>
    <col min="5" max="5" width="41.09765625" style="19" customWidth="1"/>
    <col min="6" max="6" width="7.8984375" style="20" customWidth="1"/>
    <col min="7" max="7" width="10.09765625" style="20" customWidth="1"/>
    <col min="8" max="8" width="14" style="21" bestFit="1" customWidth="1"/>
    <col min="9" max="9" width="14" style="21" customWidth="1"/>
    <col min="10" max="10" width="17.59765625" style="12" bestFit="1" customWidth="1"/>
    <col min="11" max="11" width="20.09765625" style="34" bestFit="1" customWidth="1"/>
    <col min="12" max="13" width="20.09765625" style="34" customWidth="1"/>
    <col min="14" max="15" width="8" style="12"/>
    <col min="16" max="16" width="30.59765625" style="12" customWidth="1"/>
    <col min="17" max="17" width="25" style="12" customWidth="1"/>
    <col min="18" max="16384" width="8" style="12"/>
  </cols>
  <sheetData>
    <row r="1" spans="1:17" ht="28.8" thickBot="1" x14ac:dyDescent="0.55000000000000004">
      <c r="A1" s="8"/>
      <c r="B1" s="9" t="s">
        <v>7</v>
      </c>
      <c r="C1" s="8"/>
      <c r="D1" s="8"/>
      <c r="E1" s="8"/>
      <c r="F1" s="10"/>
      <c r="G1" s="10"/>
      <c r="H1" s="10"/>
      <c r="I1" s="10"/>
      <c r="J1" s="11"/>
      <c r="K1" s="11"/>
      <c r="L1" s="11"/>
      <c r="M1" s="11"/>
      <c r="P1" s="9" t="s">
        <v>7</v>
      </c>
      <c r="Q1" s="8"/>
    </row>
    <row r="2" spans="1:17" ht="18" thickTop="1" x14ac:dyDescent="0.3">
      <c r="A2" s="8"/>
      <c r="B2" s="13" t="s">
        <v>8</v>
      </c>
      <c r="C2" s="14"/>
      <c r="D2" s="8"/>
      <c r="E2" s="8"/>
      <c r="F2" s="10"/>
      <c r="G2" s="10"/>
      <c r="H2" s="10"/>
      <c r="I2" s="10"/>
      <c r="J2" s="11"/>
      <c r="K2" s="11"/>
      <c r="L2" s="11"/>
      <c r="M2" s="11"/>
      <c r="P2" s="13" t="s">
        <v>8</v>
      </c>
      <c r="Q2" s="14"/>
    </row>
    <row r="3" spans="1:17" ht="17.399999999999999" x14ac:dyDescent="0.3">
      <c r="A3" s="8"/>
      <c r="B3" s="15" t="s">
        <v>9</v>
      </c>
      <c r="C3" s="8"/>
      <c r="D3" s="8"/>
      <c r="E3" s="8"/>
      <c r="F3" s="10"/>
      <c r="G3" s="10"/>
      <c r="H3" s="10"/>
      <c r="I3" s="10"/>
      <c r="J3" s="11"/>
      <c r="K3" s="11"/>
      <c r="L3" s="11"/>
      <c r="M3" s="11"/>
      <c r="P3" s="15" t="s">
        <v>9</v>
      </c>
      <c r="Q3" s="8"/>
    </row>
    <row r="4" spans="1:17" ht="17.399999999999999" x14ac:dyDescent="0.3">
      <c r="A4" s="8"/>
      <c r="B4" s="16" t="s">
        <v>10</v>
      </c>
      <c r="C4" s="17">
        <v>45889</v>
      </c>
      <c r="D4" s="18"/>
      <c r="E4" s="8"/>
      <c r="F4" s="10"/>
      <c r="G4" s="10"/>
      <c r="H4" s="10"/>
      <c r="I4" s="10"/>
      <c r="J4" s="11"/>
      <c r="K4" s="187" t="s">
        <v>11</v>
      </c>
      <c r="L4" s="187"/>
      <c r="M4" s="187"/>
      <c r="P4" s="16" t="s">
        <v>10</v>
      </c>
      <c r="Q4" s="17">
        <v>45049</v>
      </c>
    </row>
    <row r="5" spans="1:17" x14ac:dyDescent="0.3">
      <c r="K5" s="188"/>
      <c r="L5" s="188"/>
      <c r="M5" s="188"/>
    </row>
    <row r="6" spans="1:17" ht="27.6" x14ac:dyDescent="0.3">
      <c r="B6" s="22" t="s">
        <v>12</v>
      </c>
      <c r="C6" s="23" t="s">
        <v>13</v>
      </c>
      <c r="D6" s="23" t="s">
        <v>14</v>
      </c>
      <c r="E6" s="24" t="s">
        <v>3</v>
      </c>
      <c r="F6" s="25" t="s">
        <v>15</v>
      </c>
      <c r="G6" s="25" t="s">
        <v>8540</v>
      </c>
      <c r="H6" s="25" t="s">
        <v>16</v>
      </c>
      <c r="I6" s="25" t="s">
        <v>17</v>
      </c>
      <c r="J6" s="26" t="s">
        <v>18</v>
      </c>
      <c r="K6" s="26" t="s">
        <v>19</v>
      </c>
      <c r="L6" s="26" t="s">
        <v>20</v>
      </c>
      <c r="M6" s="26" t="s">
        <v>21</v>
      </c>
      <c r="P6" s="22" t="s">
        <v>12</v>
      </c>
      <c r="Q6" s="23" t="s">
        <v>13</v>
      </c>
    </row>
    <row r="7" spans="1:17" ht="66" hidden="1" x14ac:dyDescent="0.3">
      <c r="A7" s="71" t="str">
        <f>Tabelle1[[#This Row],[Feature
Number]]</f>
        <v>F0090</v>
      </c>
      <c r="B7" s="27" t="s">
        <v>29</v>
      </c>
      <c r="C7" s="27" t="s">
        <v>207</v>
      </c>
      <c r="D7" s="43" t="s">
        <v>208</v>
      </c>
      <c r="E7" s="28" t="s">
        <v>209</v>
      </c>
      <c r="F7" s="29" t="s">
        <v>210</v>
      </c>
      <c r="G7" s="31" t="s">
        <v>211</v>
      </c>
      <c r="H7" s="29"/>
      <c r="I7" s="29"/>
      <c r="J7" s="27"/>
      <c r="K7" s="29" t="s">
        <v>28</v>
      </c>
      <c r="L7" s="29" t="s">
        <v>28</v>
      </c>
      <c r="M7" s="29" t="s">
        <v>28</v>
      </c>
      <c r="O7" s="12" t="s">
        <v>28</v>
      </c>
      <c r="P7" s="27" t="s">
        <v>29</v>
      </c>
      <c r="Q7" s="27" t="s">
        <v>207</v>
      </c>
    </row>
    <row r="8" spans="1:17" ht="39.6" hidden="1" x14ac:dyDescent="0.3">
      <c r="B8" s="27" t="s">
        <v>29</v>
      </c>
      <c r="C8" s="27" t="s">
        <v>207</v>
      </c>
      <c r="D8" s="43" t="s">
        <v>249</v>
      </c>
      <c r="E8" s="28" t="s">
        <v>250</v>
      </c>
      <c r="F8" s="29" t="s">
        <v>211</v>
      </c>
      <c r="G8" s="31" t="s">
        <v>73</v>
      </c>
      <c r="H8" s="29"/>
      <c r="I8" s="29"/>
      <c r="J8" s="27"/>
      <c r="K8" s="29" t="s">
        <v>28</v>
      </c>
      <c r="L8" s="29" t="s">
        <v>28</v>
      </c>
      <c r="M8" s="29" t="s">
        <v>28</v>
      </c>
      <c r="O8" s="12" t="s">
        <v>28</v>
      </c>
      <c r="P8" s="27" t="s">
        <v>29</v>
      </c>
      <c r="Q8" s="27" t="s">
        <v>207</v>
      </c>
    </row>
    <row r="9" spans="1:17" hidden="1" x14ac:dyDescent="0.3">
      <c r="A9" s="71" t="str">
        <f>Tabelle1[[#This Row],[Feature
Number]]</f>
        <v>F0389</v>
      </c>
      <c r="B9" s="27" t="s">
        <v>29</v>
      </c>
      <c r="C9" s="27" t="s">
        <v>153</v>
      </c>
      <c r="D9" s="43" t="s">
        <v>585</v>
      </c>
      <c r="E9" s="28" t="s">
        <v>586</v>
      </c>
      <c r="F9" s="29" t="s">
        <v>587</v>
      </c>
      <c r="G9" s="31" t="s">
        <v>157</v>
      </c>
      <c r="H9" s="29"/>
      <c r="I9" s="29"/>
      <c r="J9" s="27"/>
      <c r="K9" s="29" t="s">
        <v>28</v>
      </c>
      <c r="L9" s="29"/>
      <c r="M9" s="29"/>
      <c r="O9" s="12" t="s">
        <v>28</v>
      </c>
      <c r="P9" s="27" t="s">
        <v>318</v>
      </c>
      <c r="Q9" s="27" t="s">
        <v>362</v>
      </c>
    </row>
    <row r="10" spans="1:17" hidden="1" x14ac:dyDescent="0.3">
      <c r="A10" s="71" t="str">
        <f>Tabelle1[[#This Row],[Feature
Number]]</f>
        <v>F0222</v>
      </c>
      <c r="B10" s="27" t="s">
        <v>29</v>
      </c>
      <c r="C10" s="27" t="s">
        <v>153</v>
      </c>
      <c r="D10" s="43" t="s">
        <v>381</v>
      </c>
      <c r="E10" s="28" t="s">
        <v>382</v>
      </c>
      <c r="F10" s="29" t="s">
        <v>157</v>
      </c>
      <c r="G10" s="31" t="s">
        <v>73</v>
      </c>
      <c r="H10" s="29"/>
      <c r="I10" s="29"/>
      <c r="J10" s="27"/>
      <c r="K10" s="29" t="s">
        <v>28</v>
      </c>
      <c r="L10" s="29"/>
      <c r="M10" s="29"/>
      <c r="O10" s="12" t="s">
        <v>28</v>
      </c>
      <c r="P10" s="27" t="s">
        <v>29</v>
      </c>
      <c r="Q10" s="27" t="s">
        <v>153</v>
      </c>
    </row>
    <row r="11" spans="1:17" hidden="1" x14ac:dyDescent="0.3">
      <c r="A11" s="71" t="str">
        <f>Tabelle1[[#This Row],[Feature
Number]]</f>
        <v>F0112</v>
      </c>
      <c r="B11" s="27" t="s">
        <v>29</v>
      </c>
      <c r="C11" s="27" t="s">
        <v>30</v>
      </c>
      <c r="D11" s="43" t="s">
        <v>234</v>
      </c>
      <c r="E11" s="28" t="s">
        <v>235</v>
      </c>
      <c r="F11" s="29" t="s">
        <v>236</v>
      </c>
      <c r="G11" s="31" t="s">
        <v>73</v>
      </c>
      <c r="H11" s="29"/>
      <c r="I11" s="29"/>
      <c r="J11" s="27"/>
      <c r="K11" s="29" t="s">
        <v>28</v>
      </c>
      <c r="L11" s="29" t="s">
        <v>28</v>
      </c>
      <c r="M11" s="29" t="s">
        <v>28</v>
      </c>
      <c r="O11" s="12" t="s">
        <v>28</v>
      </c>
      <c r="P11" s="27" t="s">
        <v>29</v>
      </c>
      <c r="Q11" s="27" t="s">
        <v>153</v>
      </c>
    </row>
    <row r="12" spans="1:17" ht="145.19999999999999" hidden="1" x14ac:dyDescent="0.3">
      <c r="A12" s="71" t="str">
        <f>Tabelle1[[#This Row],[Feature
Number]]</f>
        <v>F0341</v>
      </c>
      <c r="B12" s="27" t="s">
        <v>29</v>
      </c>
      <c r="C12" s="27" t="s">
        <v>536</v>
      </c>
      <c r="D12" s="43" t="s">
        <v>537</v>
      </c>
      <c r="E12" s="28" t="s">
        <v>538</v>
      </c>
      <c r="F12" s="29" t="s">
        <v>539</v>
      </c>
      <c r="G12" s="31" t="s">
        <v>73</v>
      </c>
      <c r="H12" s="29"/>
      <c r="I12" s="29"/>
      <c r="J12" s="27"/>
      <c r="K12" s="29"/>
      <c r="L12" s="29" t="s">
        <v>28</v>
      </c>
      <c r="M12" s="29" t="s">
        <v>28</v>
      </c>
      <c r="O12" s="12" t="s">
        <v>28</v>
      </c>
      <c r="P12" s="27" t="s">
        <v>63</v>
      </c>
      <c r="Q12" s="27" t="s">
        <v>64</v>
      </c>
    </row>
    <row r="13" spans="1:17" ht="39.6" hidden="1" x14ac:dyDescent="0.3">
      <c r="A13" s="71" t="str">
        <f>Tabelle1[[#This Row],[Feature
Number]]</f>
        <v>F0xx4</v>
      </c>
      <c r="B13" s="38" t="s">
        <v>29</v>
      </c>
      <c r="C13" s="38" t="s">
        <v>82</v>
      </c>
      <c r="D13" s="43" t="s">
        <v>1108</v>
      </c>
      <c r="E13" s="38" t="s">
        <v>1109</v>
      </c>
      <c r="F13" s="41" t="s">
        <v>1110</v>
      </c>
      <c r="G13" s="54" t="s">
        <v>1107</v>
      </c>
      <c r="H13" s="41"/>
      <c r="I13" s="41"/>
      <c r="J13" s="41"/>
      <c r="K13" s="41" t="s">
        <v>28</v>
      </c>
      <c r="L13" s="41" t="s">
        <v>28</v>
      </c>
      <c r="M13" s="41" t="s">
        <v>28</v>
      </c>
      <c r="O13" s="12" t="s">
        <v>28</v>
      </c>
      <c r="P13" s="27" t="s">
        <v>63</v>
      </c>
      <c r="Q13" s="27" t="s">
        <v>64</v>
      </c>
    </row>
    <row r="14" spans="1:17" ht="52.8" hidden="1" x14ac:dyDescent="0.3">
      <c r="A14" s="71" t="str">
        <f>Tabelle1[[#This Row],[Feature
Number]]</f>
        <v>F0107</v>
      </c>
      <c r="B14" s="27" t="s">
        <v>29</v>
      </c>
      <c r="C14" s="27" t="s">
        <v>82</v>
      </c>
      <c r="D14" s="43" t="s">
        <v>228</v>
      </c>
      <c r="E14" s="30" t="s">
        <v>229</v>
      </c>
      <c r="F14" s="29" t="s">
        <v>230</v>
      </c>
      <c r="G14" s="31" t="s">
        <v>230</v>
      </c>
      <c r="H14" s="29"/>
      <c r="I14" s="29"/>
      <c r="J14" s="27"/>
      <c r="K14" s="29"/>
      <c r="L14" s="29" t="s">
        <v>28</v>
      </c>
      <c r="M14" s="29" t="s">
        <v>28</v>
      </c>
      <c r="O14" s="12" t="s">
        <v>28</v>
      </c>
      <c r="P14" s="27" t="s">
        <v>63</v>
      </c>
      <c r="Q14" s="27" t="s">
        <v>64</v>
      </c>
    </row>
    <row r="15" spans="1:17" hidden="1" x14ac:dyDescent="0.3">
      <c r="A15" s="71" t="str">
        <f>Tabelle1[[#This Row],[Feature
Number]]</f>
        <v>F0912</v>
      </c>
      <c r="B15" s="27" t="s">
        <v>29</v>
      </c>
      <c r="C15" s="27" t="s">
        <v>113</v>
      </c>
      <c r="D15" s="43" t="s">
        <v>930</v>
      </c>
      <c r="E15" s="28" t="s">
        <v>931</v>
      </c>
      <c r="F15" s="29" t="s">
        <v>932</v>
      </c>
      <c r="G15" s="31" t="s">
        <v>307</v>
      </c>
      <c r="H15" s="29"/>
      <c r="I15" s="29"/>
      <c r="J15" s="27" t="s">
        <v>248</v>
      </c>
      <c r="K15" s="29"/>
      <c r="L15" s="29" t="s">
        <v>28</v>
      </c>
      <c r="M15" s="29" t="s">
        <v>28</v>
      </c>
      <c r="O15" s="12" t="s">
        <v>28</v>
      </c>
      <c r="P15" s="27" t="s">
        <v>63</v>
      </c>
      <c r="Q15" s="27" t="s">
        <v>64</v>
      </c>
    </row>
    <row r="16" spans="1:17" ht="66" hidden="1" x14ac:dyDescent="0.3">
      <c r="A16" s="71" t="str">
        <f>Tabelle1[[#This Row],[Feature
Number]]</f>
        <v>F0229</v>
      </c>
      <c r="B16" s="27" t="s">
        <v>29</v>
      </c>
      <c r="C16" s="27" t="s">
        <v>30</v>
      </c>
      <c r="D16" s="43" t="s">
        <v>402</v>
      </c>
      <c r="E16" s="28" t="s">
        <v>403</v>
      </c>
      <c r="F16" s="29" t="s">
        <v>96</v>
      </c>
      <c r="G16" s="31" t="s">
        <v>73</v>
      </c>
      <c r="H16" s="29"/>
      <c r="I16" s="29"/>
      <c r="J16" s="27"/>
      <c r="K16" s="29" t="s">
        <v>28</v>
      </c>
      <c r="L16" s="29" t="s">
        <v>28</v>
      </c>
      <c r="M16" s="29" t="s">
        <v>28</v>
      </c>
      <c r="O16" s="12" t="s">
        <v>28</v>
      </c>
      <c r="P16" s="27" t="s">
        <v>63</v>
      </c>
      <c r="Q16" s="27" t="s">
        <v>64</v>
      </c>
    </row>
    <row r="17" spans="1:17" ht="52.8" hidden="1" x14ac:dyDescent="0.3">
      <c r="A17" s="71" t="str">
        <f>Tabelle1[[#This Row],[Feature
Number]]</f>
        <v>F0228</v>
      </c>
      <c r="B17" s="27" t="s">
        <v>29</v>
      </c>
      <c r="C17" s="27" t="s">
        <v>30</v>
      </c>
      <c r="D17" s="43" t="s">
        <v>399</v>
      </c>
      <c r="E17" s="28" t="s">
        <v>400</v>
      </c>
      <c r="F17" s="29" t="s">
        <v>401</v>
      </c>
      <c r="G17" s="31" t="s">
        <v>96</v>
      </c>
      <c r="H17" s="29"/>
      <c r="I17" s="29"/>
      <c r="J17" s="27"/>
      <c r="K17" s="29" t="s">
        <v>28</v>
      </c>
      <c r="L17" s="29" t="s">
        <v>28</v>
      </c>
      <c r="M17" s="29" t="s">
        <v>28</v>
      </c>
      <c r="P17" s="27" t="s">
        <v>77</v>
      </c>
      <c r="Q17" s="27" t="s">
        <v>149</v>
      </c>
    </row>
    <row r="18" spans="1:17" ht="39.6" hidden="1" x14ac:dyDescent="0.3">
      <c r="A18" s="71" t="str">
        <f>Tabelle1[[#This Row],[Feature
Number]]</f>
        <v>F0038</v>
      </c>
      <c r="B18" s="27" t="s">
        <v>29</v>
      </c>
      <c r="C18" s="27" t="s">
        <v>30</v>
      </c>
      <c r="D18" s="43" t="s">
        <v>110</v>
      </c>
      <c r="E18" s="28" t="s">
        <v>111</v>
      </c>
      <c r="F18" s="29" t="s">
        <v>112</v>
      </c>
      <c r="G18" s="31" t="s">
        <v>96</v>
      </c>
      <c r="H18" s="29"/>
      <c r="I18" s="29"/>
      <c r="J18" s="27"/>
      <c r="K18" s="29"/>
      <c r="L18" s="29" t="s">
        <v>28</v>
      </c>
      <c r="M18" s="29" t="s">
        <v>28</v>
      </c>
      <c r="O18" s="12" t="s">
        <v>28</v>
      </c>
      <c r="P18" s="27" t="s">
        <v>266</v>
      </c>
      <c r="Q18" s="27" t="s">
        <v>276</v>
      </c>
    </row>
    <row r="19" spans="1:17" ht="52.8" hidden="1" x14ac:dyDescent="0.3">
      <c r="A19" s="71" t="str">
        <f>Tabelle1[[#This Row],[Feature
Number]]</f>
        <v>F0x49</v>
      </c>
      <c r="B19" s="47" t="s">
        <v>29</v>
      </c>
      <c r="C19" s="47" t="s">
        <v>1082</v>
      </c>
      <c r="D19" s="36" t="s">
        <v>1083</v>
      </c>
      <c r="E19" s="36" t="s">
        <v>1084</v>
      </c>
      <c r="F19" s="35" t="s">
        <v>1085</v>
      </c>
      <c r="G19" s="58" t="s">
        <v>73</v>
      </c>
      <c r="H19" s="35" t="s">
        <v>1010</v>
      </c>
      <c r="I19" s="35" t="s">
        <v>1010</v>
      </c>
      <c r="J19" s="47"/>
      <c r="K19" s="35" t="s">
        <v>1010</v>
      </c>
      <c r="L19" s="35" t="s">
        <v>28</v>
      </c>
      <c r="M19" s="35" t="s">
        <v>28</v>
      </c>
      <c r="O19" s="12" t="s">
        <v>28</v>
      </c>
      <c r="P19" s="27" t="s">
        <v>318</v>
      </c>
      <c r="Q19" s="27" t="s">
        <v>764</v>
      </c>
    </row>
    <row r="20" spans="1:17" ht="66" hidden="1" x14ac:dyDescent="0.3">
      <c r="A20" s="71" t="str">
        <f>Tabelle1[[#This Row],[Feature
Number]]</f>
        <v>F0x51</v>
      </c>
      <c r="B20" s="73" t="s">
        <v>29</v>
      </c>
      <c r="C20" s="73" t="s">
        <v>1089</v>
      </c>
      <c r="D20" s="61" t="s">
        <v>1090</v>
      </c>
      <c r="E20" s="61" t="s">
        <v>1091</v>
      </c>
      <c r="F20" s="52" t="s">
        <v>1092</v>
      </c>
      <c r="G20" s="56" t="s">
        <v>73</v>
      </c>
      <c r="H20" s="52" t="s">
        <v>1010</v>
      </c>
      <c r="I20" s="52" t="s">
        <v>1010</v>
      </c>
      <c r="J20" s="73"/>
      <c r="K20" s="52" t="s">
        <v>1010</v>
      </c>
      <c r="L20" s="52" t="s">
        <v>28</v>
      </c>
      <c r="M20" s="52" t="s">
        <v>28</v>
      </c>
      <c r="O20" s="12" t="s">
        <v>28</v>
      </c>
      <c r="P20" s="27" t="s">
        <v>318</v>
      </c>
      <c r="Q20" s="27" t="s">
        <v>764</v>
      </c>
    </row>
    <row r="21" spans="1:17" ht="105.6" hidden="1" x14ac:dyDescent="0.3">
      <c r="A21" s="71" t="str">
        <f>Tabelle1[[#This Row],[Feature
Number]]</f>
        <v>F0159</v>
      </c>
      <c r="B21" s="27" t="s">
        <v>29</v>
      </c>
      <c r="C21" s="27" t="s">
        <v>113</v>
      </c>
      <c r="D21" s="43" t="s">
        <v>305</v>
      </c>
      <c r="E21" s="28" t="s">
        <v>306</v>
      </c>
      <c r="F21" s="29" t="s">
        <v>307</v>
      </c>
      <c r="G21" s="31" t="s">
        <v>68</v>
      </c>
      <c r="H21" s="29"/>
      <c r="I21" s="29"/>
      <c r="J21" s="27"/>
      <c r="K21" s="29"/>
      <c r="L21" s="29" t="s">
        <v>28</v>
      </c>
      <c r="M21" s="29" t="s">
        <v>28</v>
      </c>
      <c r="P21" s="27" t="s">
        <v>318</v>
      </c>
      <c r="Q21" s="27" t="s">
        <v>764</v>
      </c>
    </row>
    <row r="22" spans="1:17" ht="52.8" hidden="1" x14ac:dyDescent="0.3">
      <c r="A22" s="71" t="str">
        <f>Tabelle1[[#This Row],[Feature
Number]]</f>
        <v>F0110</v>
      </c>
      <c r="B22" s="27" t="s">
        <v>29</v>
      </c>
      <c r="C22" s="27" t="s">
        <v>30</v>
      </c>
      <c r="D22" s="43" t="s">
        <v>231</v>
      </c>
      <c r="E22" s="28" t="s">
        <v>232</v>
      </c>
      <c r="F22" s="29" t="s">
        <v>233</v>
      </c>
      <c r="G22" s="31" t="s">
        <v>73</v>
      </c>
      <c r="H22" s="29"/>
      <c r="I22" s="29"/>
      <c r="J22" s="27"/>
      <c r="K22" s="29" t="s">
        <v>28</v>
      </c>
      <c r="L22" s="29" t="s">
        <v>28</v>
      </c>
      <c r="M22" s="29" t="s">
        <v>28</v>
      </c>
      <c r="O22" s="12" t="s">
        <v>28</v>
      </c>
      <c r="P22" s="27" t="s">
        <v>256</v>
      </c>
      <c r="Q22" s="27" t="s">
        <v>261</v>
      </c>
    </row>
    <row r="23" spans="1:17" ht="26.4" hidden="1" x14ac:dyDescent="0.3">
      <c r="A23" s="71" t="str">
        <f>Tabelle1[[#This Row],[Feature
Number]]</f>
        <v>F0091</v>
      </c>
      <c r="B23" s="27" t="s">
        <v>29</v>
      </c>
      <c r="C23" s="27" t="s">
        <v>30</v>
      </c>
      <c r="D23" s="43" t="s">
        <v>212</v>
      </c>
      <c r="E23" s="28" t="s">
        <v>213</v>
      </c>
      <c r="F23" s="29" t="s">
        <v>214</v>
      </c>
      <c r="G23" s="31" t="s">
        <v>73</v>
      </c>
      <c r="H23" s="29"/>
      <c r="I23" s="29"/>
      <c r="J23" s="27"/>
      <c r="K23" s="29" t="s">
        <v>28</v>
      </c>
      <c r="L23" s="29" t="s">
        <v>28</v>
      </c>
      <c r="M23" s="29" t="s">
        <v>28</v>
      </c>
      <c r="O23" s="12" t="s">
        <v>28</v>
      </c>
      <c r="P23" s="27" t="s">
        <v>280</v>
      </c>
      <c r="Q23" s="27" t="s">
        <v>328</v>
      </c>
    </row>
    <row r="24" spans="1:17" ht="52.8" hidden="1" x14ac:dyDescent="0.3">
      <c r="A24" s="71" t="str">
        <f>Tabelle1[[#This Row],[Feature
Number]]</f>
        <v>F0231</v>
      </c>
      <c r="B24" s="27" t="s">
        <v>29</v>
      </c>
      <c r="C24" s="27" t="s">
        <v>30</v>
      </c>
      <c r="D24" s="43" t="s">
        <v>406</v>
      </c>
      <c r="E24" s="28" t="s">
        <v>407</v>
      </c>
      <c r="F24" s="29" t="s">
        <v>408</v>
      </c>
      <c r="G24" s="31"/>
      <c r="H24" s="29"/>
      <c r="I24" s="29"/>
      <c r="J24" s="27"/>
      <c r="K24" s="29" t="s">
        <v>28</v>
      </c>
      <c r="L24" s="29" t="s">
        <v>28</v>
      </c>
      <c r="M24" s="29" t="s">
        <v>28</v>
      </c>
      <c r="O24" s="12" t="s">
        <v>28</v>
      </c>
      <c r="P24" s="27" t="s">
        <v>318</v>
      </c>
      <c r="Q24" s="27" t="s">
        <v>443</v>
      </c>
    </row>
    <row r="25" spans="1:17" ht="26.4" hidden="1" x14ac:dyDescent="0.3">
      <c r="A25" s="71" t="str">
        <f>Tabelle1[[#This Row],[Feature
Number]]</f>
        <v>F0074</v>
      </c>
      <c r="B25" s="27" t="s">
        <v>29</v>
      </c>
      <c r="C25" s="27" t="s">
        <v>30</v>
      </c>
      <c r="D25" s="43" t="s">
        <v>179</v>
      </c>
      <c r="E25" s="28" t="s">
        <v>180</v>
      </c>
      <c r="F25" s="29" t="s">
        <v>181</v>
      </c>
      <c r="G25" s="31" t="s">
        <v>73</v>
      </c>
      <c r="H25" s="29"/>
      <c r="I25" s="29"/>
      <c r="J25" s="27"/>
      <c r="K25" s="29" t="s">
        <v>28</v>
      </c>
      <c r="L25" s="29" t="s">
        <v>28</v>
      </c>
      <c r="M25" s="29" t="s">
        <v>28</v>
      </c>
      <c r="O25" s="12" t="s">
        <v>28</v>
      </c>
      <c r="P25" s="47" t="s">
        <v>256</v>
      </c>
      <c r="Q25" s="47" t="s">
        <v>429</v>
      </c>
    </row>
    <row r="26" spans="1:17" ht="52.8" hidden="1" x14ac:dyDescent="0.3">
      <c r="A26" s="71" t="str">
        <f>Tabelle1[[#This Row],[Feature
Number]]</f>
        <v>F0378</v>
      </c>
      <c r="B26" s="27" t="s">
        <v>29</v>
      </c>
      <c r="C26" s="27" t="s">
        <v>30</v>
      </c>
      <c r="D26" s="43" t="s">
        <v>574</v>
      </c>
      <c r="E26" s="28" t="s">
        <v>575</v>
      </c>
      <c r="F26" s="29" t="s">
        <v>573</v>
      </c>
      <c r="G26" s="31" t="s">
        <v>73</v>
      </c>
      <c r="H26" s="29"/>
      <c r="I26" s="29"/>
      <c r="J26" s="27"/>
      <c r="K26" s="29"/>
      <c r="L26" s="29" t="s">
        <v>28</v>
      </c>
      <c r="M26" s="29" t="s">
        <v>28</v>
      </c>
      <c r="O26" s="12" t="s">
        <v>28</v>
      </c>
      <c r="P26" s="27" t="s">
        <v>199</v>
      </c>
      <c r="Q26" s="27" t="s">
        <v>455</v>
      </c>
    </row>
    <row r="27" spans="1:17" ht="39.6" hidden="1" x14ac:dyDescent="0.3">
      <c r="A27" s="71" t="str">
        <f>Tabelle1[[#This Row],[Feature
Number]]</f>
        <v>F0409</v>
      </c>
      <c r="B27" s="27" t="s">
        <v>29</v>
      </c>
      <c r="C27" s="27" t="s">
        <v>30</v>
      </c>
      <c r="D27" s="43" t="s">
        <v>607</v>
      </c>
      <c r="E27" s="28" t="s">
        <v>608</v>
      </c>
      <c r="F27" s="29" t="s">
        <v>609</v>
      </c>
      <c r="G27" s="31" t="s">
        <v>34</v>
      </c>
      <c r="H27" s="29"/>
      <c r="I27" s="29"/>
      <c r="J27" s="27"/>
      <c r="K27" s="29" t="s">
        <v>28</v>
      </c>
      <c r="L27" s="29" t="s">
        <v>28</v>
      </c>
      <c r="M27" s="29" t="s">
        <v>28</v>
      </c>
      <c r="O27" s="12" t="s">
        <v>28</v>
      </c>
      <c r="P27" s="27" t="s">
        <v>199</v>
      </c>
      <c r="Q27" s="27" t="s">
        <v>455</v>
      </c>
    </row>
    <row r="28" spans="1:17" ht="52.8" hidden="1" x14ac:dyDescent="0.3">
      <c r="A28" s="71" t="str">
        <f>Tabelle1[[#This Row],[Feature
Number]]</f>
        <v>F0002</v>
      </c>
      <c r="B28" s="27" t="s">
        <v>29</v>
      </c>
      <c r="C28" s="27" t="s">
        <v>30</v>
      </c>
      <c r="D28" s="43" t="s">
        <v>31</v>
      </c>
      <c r="E28" s="28" t="s">
        <v>32</v>
      </c>
      <c r="F28" s="52" t="s">
        <v>33</v>
      </c>
      <c r="G28" s="53" t="s">
        <v>34</v>
      </c>
      <c r="H28" s="29"/>
      <c r="I28" s="29" t="s">
        <v>28</v>
      </c>
      <c r="J28" s="27"/>
      <c r="K28" s="29" t="s">
        <v>28</v>
      </c>
      <c r="L28" s="29" t="s">
        <v>28</v>
      </c>
      <c r="M28" s="29" t="s">
        <v>28</v>
      </c>
      <c r="O28" s="12" t="s">
        <v>28</v>
      </c>
      <c r="P28" s="27" t="s">
        <v>77</v>
      </c>
      <c r="Q28" s="27" t="s">
        <v>149</v>
      </c>
    </row>
    <row r="29" spans="1:17" ht="26.4" hidden="1" x14ac:dyDescent="0.3">
      <c r="A29" s="71" t="str">
        <f>Tabelle1[[#This Row],[Feature
Number]]</f>
        <v>F0230</v>
      </c>
      <c r="B29" s="27" t="s">
        <v>29</v>
      </c>
      <c r="C29" s="27" t="s">
        <v>30</v>
      </c>
      <c r="D29" s="43" t="s">
        <v>404</v>
      </c>
      <c r="E29" s="28" t="s">
        <v>405</v>
      </c>
      <c r="F29" s="29" t="s">
        <v>34</v>
      </c>
      <c r="G29" s="31" t="s">
        <v>73</v>
      </c>
      <c r="H29" s="29"/>
      <c r="I29" s="29"/>
      <c r="J29" s="27"/>
      <c r="K29" s="29" t="s">
        <v>28</v>
      </c>
      <c r="L29" s="29" t="s">
        <v>28</v>
      </c>
      <c r="M29" s="29" t="s">
        <v>28</v>
      </c>
      <c r="O29" s="12" t="s">
        <v>28</v>
      </c>
      <c r="P29" s="27" t="s">
        <v>251</v>
      </c>
      <c r="Q29" s="27" t="s">
        <v>252</v>
      </c>
    </row>
    <row r="30" spans="1:17" ht="66" hidden="1" x14ac:dyDescent="0.3">
      <c r="A30" s="71" t="str">
        <f>Tabelle1[[#This Row],[Feature
Number]]</f>
        <v>F0150</v>
      </c>
      <c r="B30" s="27" t="s">
        <v>29</v>
      </c>
      <c r="C30" s="27" t="s">
        <v>207</v>
      </c>
      <c r="D30" s="43" t="s">
        <v>291</v>
      </c>
      <c r="E30" s="28" t="s">
        <v>292</v>
      </c>
      <c r="F30" s="29" t="s">
        <v>293</v>
      </c>
      <c r="G30" s="31" t="s">
        <v>211</v>
      </c>
      <c r="H30" s="29"/>
      <c r="I30" s="29"/>
      <c r="J30" s="27"/>
      <c r="K30" s="29" t="s">
        <v>28</v>
      </c>
      <c r="L30" s="29" t="s">
        <v>28</v>
      </c>
      <c r="M30" s="29" t="s">
        <v>28</v>
      </c>
      <c r="O30" s="12" t="s">
        <v>28</v>
      </c>
      <c r="P30" s="27" t="s">
        <v>29</v>
      </c>
      <c r="Q30" s="27" t="s">
        <v>30</v>
      </c>
    </row>
    <row r="31" spans="1:17" ht="79.2" hidden="1" x14ac:dyDescent="0.3">
      <c r="A31" s="71" t="str">
        <f>Tabelle1[[#This Row],[Feature
Number]]</f>
        <v>F0076</v>
      </c>
      <c r="B31" s="27" t="s">
        <v>29</v>
      </c>
      <c r="C31" s="27" t="s">
        <v>30</v>
      </c>
      <c r="D31" s="43" t="s">
        <v>182</v>
      </c>
      <c r="E31" s="28" t="s">
        <v>183</v>
      </c>
      <c r="F31" s="29" t="s">
        <v>184</v>
      </c>
      <c r="G31" s="31" t="s">
        <v>185</v>
      </c>
      <c r="H31" s="29"/>
      <c r="I31" s="29"/>
      <c r="J31" s="27"/>
      <c r="K31" s="29" t="s">
        <v>28</v>
      </c>
      <c r="L31" s="29" t="s">
        <v>28</v>
      </c>
      <c r="M31" s="29" t="s">
        <v>28</v>
      </c>
      <c r="O31" s="12" t="s">
        <v>28</v>
      </c>
      <c r="P31" s="27" t="s">
        <v>29</v>
      </c>
      <c r="Q31" s="27" t="s">
        <v>536</v>
      </c>
    </row>
    <row r="32" spans="1:17" ht="52.8" hidden="1" x14ac:dyDescent="0.3">
      <c r="A32" s="71" t="str">
        <f>Tabelle1[[#This Row],[Feature
Number]]</f>
        <v>F2025</v>
      </c>
      <c r="B32" s="27" t="s">
        <v>29</v>
      </c>
      <c r="C32" s="27" t="s">
        <v>386</v>
      </c>
      <c r="D32" s="28" t="s">
        <v>1249</v>
      </c>
      <c r="E32" s="28" t="s">
        <v>1250</v>
      </c>
      <c r="F32" s="29" t="s">
        <v>390</v>
      </c>
      <c r="G32" s="31" t="s">
        <v>73</v>
      </c>
      <c r="H32" s="29"/>
      <c r="I32" s="29"/>
      <c r="J32" s="27"/>
      <c r="K32" s="29" t="s">
        <v>28</v>
      </c>
      <c r="L32" s="29" t="s">
        <v>28</v>
      </c>
      <c r="M32" s="29" t="s">
        <v>28</v>
      </c>
      <c r="O32" s="12" t="s">
        <v>28</v>
      </c>
      <c r="P32" s="27" t="s">
        <v>251</v>
      </c>
      <c r="Q32" s="27" t="s">
        <v>252</v>
      </c>
    </row>
    <row r="33" spans="1:17" ht="105.6" hidden="1" x14ac:dyDescent="0.3">
      <c r="A33" s="71" t="str">
        <f>Tabelle1[[#This Row],[Feature
Number]]</f>
        <v>F0224</v>
      </c>
      <c r="B33" s="27" t="s">
        <v>29</v>
      </c>
      <c r="C33" s="27" t="s">
        <v>386</v>
      </c>
      <c r="D33" s="43" t="s">
        <v>387</v>
      </c>
      <c r="E33" s="28" t="s">
        <v>388</v>
      </c>
      <c r="F33" s="29" t="s">
        <v>389</v>
      </c>
      <c r="G33" s="31" t="s">
        <v>390</v>
      </c>
      <c r="H33" s="29"/>
      <c r="I33" s="29" t="s">
        <v>28</v>
      </c>
      <c r="J33" s="27"/>
      <c r="K33" s="29" t="s">
        <v>28</v>
      </c>
      <c r="L33" s="29" t="s">
        <v>28</v>
      </c>
      <c r="M33" s="29" t="s">
        <v>28</v>
      </c>
      <c r="O33" s="12" t="s">
        <v>28</v>
      </c>
      <c r="P33" s="27" t="s">
        <v>251</v>
      </c>
      <c r="Q33" s="27" t="s">
        <v>252</v>
      </c>
    </row>
    <row r="34" spans="1:17" ht="39.6" hidden="1" x14ac:dyDescent="0.3">
      <c r="A34" s="71" t="str">
        <f>Tabelle1[[#This Row],[Feature
Number]]</f>
        <v>F0041</v>
      </c>
      <c r="B34" s="27" t="s">
        <v>29</v>
      </c>
      <c r="C34" s="27" t="s">
        <v>113</v>
      </c>
      <c r="D34" s="43" t="s">
        <v>117</v>
      </c>
      <c r="E34" s="28" t="s">
        <v>118</v>
      </c>
      <c r="F34" s="29" t="s">
        <v>119</v>
      </c>
      <c r="G34" s="31" t="s">
        <v>116</v>
      </c>
      <c r="H34" s="29"/>
      <c r="I34" s="29"/>
      <c r="J34" s="27"/>
      <c r="K34" s="29"/>
      <c r="L34" s="29" t="s">
        <v>28</v>
      </c>
      <c r="M34" s="29" t="s">
        <v>28</v>
      </c>
      <c r="O34" s="12" t="s">
        <v>28</v>
      </c>
      <c r="P34" s="27" t="s">
        <v>256</v>
      </c>
      <c r="Q34" s="27" t="s">
        <v>429</v>
      </c>
    </row>
    <row r="35" spans="1:17" ht="26.4" hidden="1" x14ac:dyDescent="0.3">
      <c r="A35" s="71" t="str">
        <f>Tabelle1[[#This Row],[Feature
Number]]</f>
        <v>F0039</v>
      </c>
      <c r="B35" s="27" t="s">
        <v>29</v>
      </c>
      <c r="C35" s="27" t="s">
        <v>113</v>
      </c>
      <c r="D35" s="43" t="s">
        <v>114</v>
      </c>
      <c r="E35" s="28" t="s">
        <v>115</v>
      </c>
      <c r="F35" s="29" t="s">
        <v>116</v>
      </c>
      <c r="G35" s="31" t="s">
        <v>73</v>
      </c>
      <c r="H35" s="29"/>
      <c r="I35" s="29"/>
      <c r="J35" s="27"/>
      <c r="K35" s="29" t="s">
        <v>28</v>
      </c>
      <c r="L35" s="29" t="s">
        <v>28</v>
      </c>
      <c r="M35" s="29" t="s">
        <v>28</v>
      </c>
      <c r="O35" s="12" t="s">
        <v>28</v>
      </c>
      <c r="P35" s="27" t="s">
        <v>57</v>
      </c>
      <c r="Q35" s="27" t="s">
        <v>349</v>
      </c>
    </row>
    <row r="36" spans="1:17" ht="105.6" hidden="1" x14ac:dyDescent="0.3">
      <c r="A36" s="71" t="str">
        <f>Tabelle1[[#This Row],[Feature
Number]]</f>
        <v>F0249</v>
      </c>
      <c r="B36" s="27" t="s">
        <v>29</v>
      </c>
      <c r="C36" s="27" t="s">
        <v>113</v>
      </c>
      <c r="D36" s="43" t="s">
        <v>437</v>
      </c>
      <c r="E36" s="28" t="s">
        <v>438</v>
      </c>
      <c r="F36" s="29" t="s">
        <v>439</v>
      </c>
      <c r="G36" s="31" t="s">
        <v>73</v>
      </c>
      <c r="H36" s="29"/>
      <c r="I36" s="29"/>
      <c r="J36" s="27" t="s">
        <v>248</v>
      </c>
      <c r="K36" s="29"/>
      <c r="L36" s="29"/>
      <c r="M36" s="29" t="s">
        <v>28</v>
      </c>
      <c r="O36" s="12" t="s">
        <v>28</v>
      </c>
      <c r="P36" s="27" t="s">
        <v>57</v>
      </c>
      <c r="Q36" s="27" t="s">
        <v>349</v>
      </c>
    </row>
    <row r="37" spans="1:17" hidden="1" x14ac:dyDescent="0.3">
      <c r="A37" s="71"/>
      <c r="B37" s="27" t="s">
        <v>29</v>
      </c>
      <c r="C37" s="27" t="s">
        <v>30</v>
      </c>
      <c r="D37" s="43" t="s">
        <v>747</v>
      </c>
      <c r="E37" s="28" t="s">
        <v>748</v>
      </c>
      <c r="F37" s="29" t="s">
        <v>749</v>
      </c>
      <c r="G37" s="59" t="s">
        <v>220</v>
      </c>
      <c r="H37" s="29"/>
      <c r="I37" s="29"/>
      <c r="J37" s="27"/>
      <c r="K37" s="29" t="s">
        <v>28</v>
      </c>
      <c r="L37" s="29" t="s">
        <v>28</v>
      </c>
      <c r="M37" s="29" t="s">
        <v>28</v>
      </c>
      <c r="P37" s="27"/>
      <c r="Q37" s="27"/>
    </row>
    <row r="38" spans="1:17" ht="26.4" hidden="1" x14ac:dyDescent="0.3">
      <c r="A38" s="71"/>
      <c r="B38" s="27" t="s">
        <v>29</v>
      </c>
      <c r="C38" s="27" t="s">
        <v>30</v>
      </c>
      <c r="D38" s="43" t="s">
        <v>218</v>
      </c>
      <c r="E38" s="28" t="s">
        <v>219</v>
      </c>
      <c r="F38" s="29" t="s">
        <v>220</v>
      </c>
      <c r="G38" s="59" t="s">
        <v>73</v>
      </c>
      <c r="H38" s="29"/>
      <c r="I38" s="29"/>
      <c r="J38" s="27"/>
      <c r="K38" s="29" t="s">
        <v>28</v>
      </c>
      <c r="L38" s="29" t="s">
        <v>28</v>
      </c>
      <c r="M38" s="29" t="s">
        <v>28</v>
      </c>
      <c r="P38" s="27"/>
      <c r="Q38" s="27"/>
    </row>
    <row r="39" spans="1:17" ht="26.4" hidden="1" x14ac:dyDescent="0.3">
      <c r="A39" s="71" t="str">
        <f>Tabelle1[[#This Row],[Feature
Number]]</f>
        <v>F0782</v>
      </c>
      <c r="B39" s="27" t="s">
        <v>29</v>
      </c>
      <c r="C39" s="27" t="s">
        <v>30</v>
      </c>
      <c r="D39" s="43" t="s">
        <v>867</v>
      </c>
      <c r="E39" s="28" t="s">
        <v>868</v>
      </c>
      <c r="F39" s="29" t="s">
        <v>869</v>
      </c>
      <c r="G39" s="31" t="s">
        <v>73</v>
      </c>
      <c r="H39" s="29"/>
      <c r="I39" s="29"/>
      <c r="J39" s="27"/>
      <c r="K39" s="29" t="s">
        <v>28</v>
      </c>
      <c r="L39" s="29" t="s">
        <v>28</v>
      </c>
      <c r="M39" s="29" t="s">
        <v>28</v>
      </c>
      <c r="O39" s="12" t="s">
        <v>28</v>
      </c>
      <c r="P39" s="27" t="s">
        <v>57</v>
      </c>
      <c r="Q39" s="27" t="s">
        <v>349</v>
      </c>
    </row>
    <row r="40" spans="1:17" ht="52.8" hidden="1" x14ac:dyDescent="0.3">
      <c r="A40" s="71" t="str">
        <f>Tabelle1[[#This Row],[Feature
Number]]</f>
        <v>F0221</v>
      </c>
      <c r="B40" s="27" t="s">
        <v>29</v>
      </c>
      <c r="C40" s="27" t="s">
        <v>30</v>
      </c>
      <c r="D40" s="43" t="s">
        <v>378</v>
      </c>
      <c r="E40" s="28" t="s">
        <v>379</v>
      </c>
      <c r="F40" s="29" t="s">
        <v>380</v>
      </c>
      <c r="G40" s="31" t="s">
        <v>73</v>
      </c>
      <c r="H40" s="29"/>
      <c r="I40" s="29" t="s">
        <v>28</v>
      </c>
      <c r="J40" s="27"/>
      <c r="K40" s="29"/>
      <c r="L40" s="29" t="s">
        <v>28</v>
      </c>
      <c r="M40" s="29" t="s">
        <v>28</v>
      </c>
      <c r="P40" s="27" t="s">
        <v>57</v>
      </c>
      <c r="Q40" s="27" t="s">
        <v>349</v>
      </c>
    </row>
    <row r="41" spans="1:17" ht="52.8" hidden="1" x14ac:dyDescent="0.3">
      <c r="A41" s="71" t="str">
        <f>Tabelle1[[#This Row],[Feature
Number]]</f>
        <v>F0227</v>
      </c>
      <c r="B41" s="27" t="s">
        <v>29</v>
      </c>
      <c r="C41" s="27" t="s">
        <v>30</v>
      </c>
      <c r="D41" s="43" t="s">
        <v>396</v>
      </c>
      <c r="E41" s="28" t="s">
        <v>397</v>
      </c>
      <c r="F41" s="29" t="s">
        <v>398</v>
      </c>
      <c r="G41" s="31" t="s">
        <v>73</v>
      </c>
      <c r="H41" s="29"/>
      <c r="I41" s="29"/>
      <c r="J41" s="27"/>
      <c r="K41" s="29" t="s">
        <v>28</v>
      </c>
      <c r="L41" s="29" t="s">
        <v>28</v>
      </c>
      <c r="M41" s="29" t="s">
        <v>28</v>
      </c>
      <c r="O41" s="12" t="s">
        <v>28</v>
      </c>
      <c r="P41" s="27" t="s">
        <v>57</v>
      </c>
      <c r="Q41" s="27" t="s">
        <v>349</v>
      </c>
    </row>
    <row r="42" spans="1:17" ht="118.8" hidden="1" x14ac:dyDescent="0.3">
      <c r="A42" s="71" t="str">
        <f>Tabelle1[[#This Row],[Feature
Number]]</f>
        <v>F0071</v>
      </c>
      <c r="B42" s="27" t="s">
        <v>29</v>
      </c>
      <c r="C42" s="27" t="s">
        <v>30</v>
      </c>
      <c r="D42" s="43" t="s">
        <v>172</v>
      </c>
      <c r="E42" s="28" t="s">
        <v>173</v>
      </c>
      <c r="F42" s="29" t="s">
        <v>174</v>
      </c>
      <c r="G42" s="31" t="s">
        <v>175</v>
      </c>
      <c r="H42" s="29"/>
      <c r="I42" s="29" t="s">
        <v>28</v>
      </c>
      <c r="J42" s="27"/>
      <c r="K42" s="29"/>
      <c r="L42" s="29" t="s">
        <v>28</v>
      </c>
      <c r="M42" s="29" t="s">
        <v>28</v>
      </c>
      <c r="O42" s="12" t="s">
        <v>28</v>
      </c>
      <c r="P42" s="27" t="s">
        <v>57</v>
      </c>
      <c r="Q42" s="27" t="s">
        <v>349</v>
      </c>
    </row>
    <row r="43" spans="1:17" ht="66" hidden="1" x14ac:dyDescent="0.3">
      <c r="A43" s="71" t="str">
        <f>Tabelle1[[#This Row],[Feature
Number]]</f>
        <v>F0220</v>
      </c>
      <c r="B43" s="27" t="s">
        <v>29</v>
      </c>
      <c r="C43" s="27" t="s">
        <v>30</v>
      </c>
      <c r="D43" s="43" t="s">
        <v>375</v>
      </c>
      <c r="E43" s="28" t="s">
        <v>376</v>
      </c>
      <c r="F43" s="29" t="s">
        <v>377</v>
      </c>
      <c r="G43" s="31" t="s">
        <v>73</v>
      </c>
      <c r="H43" s="29"/>
      <c r="I43" s="29" t="s">
        <v>28</v>
      </c>
      <c r="J43" s="27"/>
      <c r="K43" s="29"/>
      <c r="L43" s="29" t="s">
        <v>28</v>
      </c>
      <c r="M43" s="29" t="s">
        <v>28</v>
      </c>
      <c r="O43" s="12" t="s">
        <v>28</v>
      </c>
      <c r="P43" s="27" t="s">
        <v>57</v>
      </c>
      <c r="Q43" s="27" t="s">
        <v>349</v>
      </c>
    </row>
    <row r="44" spans="1:17" ht="66" hidden="1" x14ac:dyDescent="0.3">
      <c r="A44" s="71" t="str">
        <f>Tabelle1[[#This Row],[Feature
Number]]</f>
        <v>F0028</v>
      </c>
      <c r="B44" s="27" t="s">
        <v>29</v>
      </c>
      <c r="C44" s="27" t="s">
        <v>30</v>
      </c>
      <c r="D44" s="43" t="s">
        <v>93</v>
      </c>
      <c r="E44" s="28" t="s">
        <v>94</v>
      </c>
      <c r="F44" s="29" t="s">
        <v>95</v>
      </c>
      <c r="G44" s="31" t="s">
        <v>96</v>
      </c>
      <c r="H44" s="29"/>
      <c r="I44" s="29" t="s">
        <v>28</v>
      </c>
      <c r="J44" s="27"/>
      <c r="K44" s="29" t="s">
        <v>28</v>
      </c>
      <c r="L44" s="29" t="s">
        <v>28</v>
      </c>
      <c r="M44" s="29" t="s">
        <v>28</v>
      </c>
      <c r="O44" s="12" t="s">
        <v>28</v>
      </c>
      <c r="P44" s="38" t="s">
        <v>29</v>
      </c>
      <c r="Q44" s="38" t="s">
        <v>82</v>
      </c>
    </row>
    <row r="45" spans="1:17" ht="39.6" hidden="1" x14ac:dyDescent="0.3">
      <c r="A45" s="71" t="str">
        <f>Tabelle1[[#This Row],[Feature
Number]]</f>
        <v>F0068</v>
      </c>
      <c r="B45" s="27" t="s">
        <v>29</v>
      </c>
      <c r="C45" s="27" t="s">
        <v>69</v>
      </c>
      <c r="D45" s="43" t="s">
        <v>170</v>
      </c>
      <c r="E45" s="28" t="s">
        <v>171</v>
      </c>
      <c r="F45" s="29" t="s">
        <v>169</v>
      </c>
      <c r="G45" s="31" t="s">
        <v>73</v>
      </c>
      <c r="H45" s="29"/>
      <c r="I45" s="29"/>
      <c r="J45" s="27"/>
      <c r="K45" s="29" t="s">
        <v>28</v>
      </c>
      <c r="L45" s="29" t="s">
        <v>28</v>
      </c>
      <c r="M45" s="29" t="s">
        <v>28</v>
      </c>
      <c r="O45" s="12" t="s">
        <v>28</v>
      </c>
      <c r="P45" s="27" t="s">
        <v>29</v>
      </c>
      <c r="Q45" s="27" t="s">
        <v>82</v>
      </c>
    </row>
    <row r="46" spans="1:17" ht="92.4" hidden="1" x14ac:dyDescent="0.3">
      <c r="A46" s="71" t="str">
        <f>Tabelle1[[#This Row],[Feature
Number]]</f>
        <v>F0064</v>
      </c>
      <c r="B46" s="27" t="s">
        <v>29</v>
      </c>
      <c r="C46" s="27" t="s">
        <v>69</v>
      </c>
      <c r="D46" s="43" t="s">
        <v>166</v>
      </c>
      <c r="E46" s="28" t="s">
        <v>167</v>
      </c>
      <c r="F46" s="29" t="s">
        <v>168</v>
      </c>
      <c r="G46" s="31" t="s">
        <v>169</v>
      </c>
      <c r="H46" s="29"/>
      <c r="I46" s="29" t="s">
        <v>28</v>
      </c>
      <c r="J46" s="27"/>
      <c r="K46" s="29" t="s">
        <v>28</v>
      </c>
      <c r="L46" s="29" t="s">
        <v>28</v>
      </c>
      <c r="M46" s="29" t="s">
        <v>28</v>
      </c>
      <c r="O46" s="12" t="s">
        <v>28</v>
      </c>
      <c r="P46" s="27" t="s">
        <v>29</v>
      </c>
      <c r="Q46" s="27" t="s">
        <v>113</v>
      </c>
    </row>
    <row r="47" spans="1:17" ht="66" hidden="1" x14ac:dyDescent="0.3">
      <c r="A47" s="71" t="str">
        <f>Tabelle1[[#This Row],[Feature
Number]]</f>
        <v>F1025</v>
      </c>
      <c r="B47" s="27" t="s">
        <v>29</v>
      </c>
      <c r="C47" s="27" t="s">
        <v>69</v>
      </c>
      <c r="D47" s="28" t="s">
        <v>1131</v>
      </c>
      <c r="E47" s="28" t="s">
        <v>1132</v>
      </c>
      <c r="F47" s="29" t="s">
        <v>1133</v>
      </c>
      <c r="G47" s="31" t="s">
        <v>385</v>
      </c>
      <c r="H47" s="29"/>
      <c r="I47" s="29"/>
      <c r="J47" s="27"/>
      <c r="K47" s="29" t="s">
        <v>28</v>
      </c>
      <c r="L47" s="29" t="s">
        <v>28</v>
      </c>
      <c r="M47" s="29" t="s">
        <v>28</v>
      </c>
      <c r="O47" s="12" t="s">
        <v>28</v>
      </c>
      <c r="P47" s="27" t="s">
        <v>29</v>
      </c>
      <c r="Q47" s="27" t="s">
        <v>30</v>
      </c>
    </row>
    <row r="48" spans="1:17" ht="79.2" hidden="1" x14ac:dyDescent="0.3">
      <c r="A48" s="71" t="str">
        <f>Tabelle1[[#This Row],[Feature
Number]]</f>
        <v>F0061</v>
      </c>
      <c r="B48" s="27" t="s">
        <v>29</v>
      </c>
      <c r="C48" s="27" t="s">
        <v>120</v>
      </c>
      <c r="D48" s="43" t="s">
        <v>158</v>
      </c>
      <c r="E48" s="28" t="s">
        <v>159</v>
      </c>
      <c r="F48" s="29" t="s">
        <v>160</v>
      </c>
      <c r="G48" s="31" t="s">
        <v>161</v>
      </c>
      <c r="H48" s="29"/>
      <c r="I48" s="29"/>
      <c r="J48" s="27"/>
      <c r="K48" s="29"/>
      <c r="L48" s="29" t="s">
        <v>28</v>
      </c>
      <c r="M48" s="29" t="s">
        <v>28</v>
      </c>
      <c r="O48" s="12" t="s">
        <v>28</v>
      </c>
      <c r="P48" s="27" t="s">
        <v>29</v>
      </c>
      <c r="Q48" s="27" t="s">
        <v>30</v>
      </c>
    </row>
    <row r="49" spans="1:17" ht="52.8" hidden="1" x14ac:dyDescent="0.3">
      <c r="A49" s="71" t="str">
        <f>Tabelle1[[#This Row],[Feature
Number]]</f>
        <v>F0990</v>
      </c>
      <c r="B49" s="27" t="s">
        <v>29</v>
      </c>
      <c r="C49" s="27" t="s">
        <v>120</v>
      </c>
      <c r="D49" s="43" t="s">
        <v>969</v>
      </c>
      <c r="E49" s="28" t="s">
        <v>970</v>
      </c>
      <c r="F49" s="29" t="s">
        <v>971</v>
      </c>
      <c r="G49" s="31" t="s">
        <v>587</v>
      </c>
      <c r="H49" s="29"/>
      <c r="I49" s="29"/>
      <c r="J49" s="27" t="s">
        <v>248</v>
      </c>
      <c r="K49" s="29"/>
      <c r="L49" s="29" t="s">
        <v>28</v>
      </c>
      <c r="M49" s="29" t="s">
        <v>28</v>
      </c>
      <c r="O49" s="12" t="s">
        <v>28</v>
      </c>
      <c r="P49" s="27" t="s">
        <v>29</v>
      </c>
      <c r="Q49" s="27" t="s">
        <v>30</v>
      </c>
    </row>
    <row r="50" spans="1:17" hidden="1" x14ac:dyDescent="0.3">
      <c r="A50" s="71" t="str">
        <f>Tabelle1[[#This Row],[Feature
Number]]</f>
        <v>F0437</v>
      </c>
      <c r="B50" s="27" t="s">
        <v>29</v>
      </c>
      <c r="C50" s="27" t="s">
        <v>120</v>
      </c>
      <c r="D50" s="43" t="s">
        <v>622</v>
      </c>
      <c r="E50" s="28" t="s">
        <v>623</v>
      </c>
      <c r="F50" s="29" t="s">
        <v>624</v>
      </c>
      <c r="G50" s="31" t="s">
        <v>587</v>
      </c>
      <c r="H50" s="29"/>
      <c r="I50" s="29"/>
      <c r="J50" s="27" t="s">
        <v>248</v>
      </c>
      <c r="K50" s="29"/>
      <c r="L50" s="29" t="s">
        <v>28</v>
      </c>
      <c r="M50" s="29" t="s">
        <v>28</v>
      </c>
      <c r="O50" s="12" t="s">
        <v>28</v>
      </c>
      <c r="P50" s="27" t="s">
        <v>256</v>
      </c>
      <c r="Q50" s="27" t="s">
        <v>543</v>
      </c>
    </row>
    <row r="51" spans="1:17" hidden="1" x14ac:dyDescent="0.3">
      <c r="A51" s="71" t="str">
        <f>Tabelle1[[#This Row],[Feature
Number]]</f>
        <v>F0117</v>
      </c>
      <c r="B51" s="27" t="s">
        <v>29</v>
      </c>
      <c r="C51" s="27" t="s">
        <v>120</v>
      </c>
      <c r="D51" s="43" t="s">
        <v>245</v>
      </c>
      <c r="E51" s="28" t="s">
        <v>246</v>
      </c>
      <c r="F51" s="29" t="s">
        <v>247</v>
      </c>
      <c r="G51" s="31" t="s">
        <v>157</v>
      </c>
      <c r="H51" s="29"/>
      <c r="I51" s="29"/>
      <c r="J51" s="27" t="s">
        <v>248</v>
      </c>
      <c r="K51" s="29"/>
      <c r="L51" s="29" t="s">
        <v>28</v>
      </c>
      <c r="M51" s="29" t="s">
        <v>28</v>
      </c>
      <c r="O51" s="12" t="s">
        <v>28</v>
      </c>
      <c r="P51" s="27" t="s">
        <v>77</v>
      </c>
      <c r="Q51" s="27" t="s">
        <v>128</v>
      </c>
    </row>
    <row r="52" spans="1:17" ht="39.6" hidden="1" x14ac:dyDescent="0.3">
      <c r="A52" s="71" t="str">
        <f>Tabelle1[[#This Row],[Feature
Number]]</f>
        <v>F1035</v>
      </c>
      <c r="B52" s="27" t="s">
        <v>29</v>
      </c>
      <c r="C52" s="27" t="s">
        <v>120</v>
      </c>
      <c r="D52" s="43" t="s">
        <v>1143</v>
      </c>
      <c r="E52" s="28" t="s">
        <v>1144</v>
      </c>
      <c r="F52" s="29" t="s">
        <v>161</v>
      </c>
      <c r="G52" s="31" t="s">
        <v>73</v>
      </c>
      <c r="H52" s="29"/>
      <c r="I52" s="29"/>
      <c r="J52" s="27" t="s">
        <v>248</v>
      </c>
      <c r="K52" s="29"/>
      <c r="L52" s="29" t="s">
        <v>28</v>
      </c>
      <c r="M52" s="29" t="s">
        <v>28</v>
      </c>
      <c r="O52" s="12" t="s">
        <v>28</v>
      </c>
      <c r="P52" s="27" t="s">
        <v>63</v>
      </c>
      <c r="Q52" s="27" t="s">
        <v>224</v>
      </c>
    </row>
    <row r="53" spans="1:17" ht="52.8" hidden="1" x14ac:dyDescent="0.3">
      <c r="A53" s="71" t="str">
        <f>Tabelle1[[#This Row],[Feature
Number]]</f>
        <v>F0089</v>
      </c>
      <c r="B53" s="27" t="s">
        <v>29</v>
      </c>
      <c r="C53" s="27" t="s">
        <v>120</v>
      </c>
      <c r="D53" s="43" t="s">
        <v>204</v>
      </c>
      <c r="E53" s="28" t="s">
        <v>205</v>
      </c>
      <c r="F53" s="29" t="s">
        <v>206</v>
      </c>
      <c r="G53" s="31" t="s">
        <v>73</v>
      </c>
      <c r="H53" s="29"/>
      <c r="I53" s="29"/>
      <c r="J53" s="27"/>
      <c r="K53" s="29" t="s">
        <v>28</v>
      </c>
      <c r="L53" s="29" t="s">
        <v>28</v>
      </c>
      <c r="M53" s="29" t="s">
        <v>28</v>
      </c>
      <c r="O53" s="12" t="s">
        <v>28</v>
      </c>
      <c r="P53" s="27" t="s">
        <v>256</v>
      </c>
      <c r="Q53" s="27" t="s">
        <v>543</v>
      </c>
    </row>
    <row r="54" spans="1:17" ht="26.4" hidden="1" x14ac:dyDescent="0.3">
      <c r="A54" s="71" t="str">
        <f>Tabelle1[[#This Row],[Feature
Number]]</f>
        <v>F0964</v>
      </c>
      <c r="B54" s="27" t="s">
        <v>29</v>
      </c>
      <c r="C54" s="27" t="s">
        <v>120</v>
      </c>
      <c r="D54" s="43" t="s">
        <v>946</v>
      </c>
      <c r="E54" s="28" t="s">
        <v>947</v>
      </c>
      <c r="F54" s="29" t="s">
        <v>948</v>
      </c>
      <c r="G54" s="31" t="s">
        <v>73</v>
      </c>
      <c r="H54" s="29"/>
      <c r="I54" s="29"/>
      <c r="J54" s="27" t="s">
        <v>248</v>
      </c>
      <c r="K54" s="29"/>
      <c r="L54" s="29"/>
      <c r="M54" s="29" t="s">
        <v>28</v>
      </c>
      <c r="O54" s="12" t="s">
        <v>28</v>
      </c>
      <c r="P54" s="47" t="s">
        <v>77</v>
      </c>
      <c r="Q54" s="47" t="s">
        <v>1064</v>
      </c>
    </row>
    <row r="55" spans="1:17" hidden="1" x14ac:dyDescent="0.3">
      <c r="A55" s="71" t="str">
        <f>Tabelle1[[#This Row],[Feature
Number]]</f>
        <v>F0042</v>
      </c>
      <c r="B55" s="27" t="s">
        <v>29</v>
      </c>
      <c r="C55" s="27" t="s">
        <v>120</v>
      </c>
      <c r="D55" s="43" t="s">
        <v>121</v>
      </c>
      <c r="E55" s="28" t="s">
        <v>122</v>
      </c>
      <c r="F55" s="29" t="s">
        <v>123</v>
      </c>
      <c r="G55" s="31" t="s">
        <v>73</v>
      </c>
      <c r="H55" s="29"/>
      <c r="I55" s="29"/>
      <c r="J55" s="27"/>
      <c r="K55" s="29" t="s">
        <v>28</v>
      </c>
      <c r="L55" s="29" t="s">
        <v>28</v>
      </c>
      <c r="M55" s="29"/>
      <c r="O55" s="12" t="s">
        <v>28</v>
      </c>
      <c r="P55" s="47" t="s">
        <v>256</v>
      </c>
      <c r="Q55" s="47" t="s">
        <v>257</v>
      </c>
    </row>
    <row r="56" spans="1:17" ht="39.6" hidden="1" x14ac:dyDescent="0.3">
      <c r="A56" s="71" t="str">
        <f>Tabelle1[[#This Row],[Feature
Number]]</f>
        <v>F0057</v>
      </c>
      <c r="B56" s="27" t="s">
        <v>29</v>
      </c>
      <c r="C56" s="27" t="s">
        <v>153</v>
      </c>
      <c r="D56" s="43" t="s">
        <v>154</v>
      </c>
      <c r="E56" s="28" t="s">
        <v>155</v>
      </c>
      <c r="F56" s="29" t="s">
        <v>156</v>
      </c>
      <c r="G56" s="31" t="s">
        <v>157</v>
      </c>
      <c r="H56" s="29"/>
      <c r="I56" s="29"/>
      <c r="J56" s="27"/>
      <c r="K56" s="29"/>
      <c r="L56" s="29" t="s">
        <v>28</v>
      </c>
      <c r="M56" s="29" t="s">
        <v>28</v>
      </c>
      <c r="O56" s="12" t="s">
        <v>28</v>
      </c>
      <c r="P56" s="47" t="s">
        <v>29</v>
      </c>
      <c r="Q56" s="47" t="s">
        <v>1082</v>
      </c>
    </row>
    <row r="57" spans="1:17" ht="66" hidden="1" x14ac:dyDescent="0.3">
      <c r="A57" s="71" t="str">
        <f>Tabelle1[[#This Row],[Feature
Number]]</f>
        <v>F0024</v>
      </c>
      <c r="B57" s="27" t="s">
        <v>29</v>
      </c>
      <c r="C57" s="27" t="s">
        <v>30</v>
      </c>
      <c r="D57" s="43" t="s">
        <v>87</v>
      </c>
      <c r="E57" s="28" t="s">
        <v>88</v>
      </c>
      <c r="F57" s="29" t="s">
        <v>89</v>
      </c>
      <c r="G57" s="31" t="s">
        <v>73</v>
      </c>
      <c r="H57" s="29"/>
      <c r="I57" s="29"/>
      <c r="J57" s="27"/>
      <c r="K57" s="29" t="s">
        <v>28</v>
      </c>
      <c r="L57" s="29" t="s">
        <v>28</v>
      </c>
      <c r="M57" s="29" t="s">
        <v>28</v>
      </c>
      <c r="O57" s="12" t="s">
        <v>28</v>
      </c>
      <c r="P57" s="47" t="s">
        <v>280</v>
      </c>
      <c r="Q57" s="47" t="s">
        <v>354</v>
      </c>
    </row>
    <row r="58" spans="1:17" ht="39.6" hidden="1" x14ac:dyDescent="0.3">
      <c r="A58" s="71" t="str">
        <f>Tabelle1[[#This Row],[Feature
Number]]</f>
        <v>F0xx6</v>
      </c>
      <c r="B58" s="38" t="s">
        <v>29</v>
      </c>
      <c r="C58" s="38" t="s">
        <v>82</v>
      </c>
      <c r="D58" s="43" t="s">
        <v>1114</v>
      </c>
      <c r="E58" s="38" t="s">
        <v>1115</v>
      </c>
      <c r="F58" s="41" t="s">
        <v>854</v>
      </c>
      <c r="G58" s="54" t="s">
        <v>86</v>
      </c>
      <c r="H58" s="41"/>
      <c r="I58" s="41"/>
      <c r="J58" s="41"/>
      <c r="K58" s="41" t="s">
        <v>28</v>
      </c>
      <c r="L58" s="41" t="s">
        <v>28</v>
      </c>
      <c r="M58" s="41" t="s">
        <v>28</v>
      </c>
      <c r="O58" s="12" t="s">
        <v>28</v>
      </c>
      <c r="P58" s="27" t="s">
        <v>280</v>
      </c>
      <c r="Q58" s="27" t="s">
        <v>354</v>
      </c>
    </row>
    <row r="59" spans="1:17" ht="52.8" hidden="1" x14ac:dyDescent="0.3">
      <c r="A59" s="71" t="str">
        <f>Tabelle1[[#This Row],[Feature
Number]]</f>
        <v>F0225</v>
      </c>
      <c r="B59" s="27" t="s">
        <v>29</v>
      </c>
      <c r="C59" s="27" t="s">
        <v>30</v>
      </c>
      <c r="D59" s="43" t="s">
        <v>391</v>
      </c>
      <c r="E59" s="28" t="s">
        <v>392</v>
      </c>
      <c r="F59" s="29" t="s">
        <v>185</v>
      </c>
      <c r="G59" s="31" t="s">
        <v>73</v>
      </c>
      <c r="H59" s="29"/>
      <c r="I59" s="29"/>
      <c r="J59" s="27"/>
      <c r="K59" s="29" t="s">
        <v>28</v>
      </c>
      <c r="L59" s="29" t="s">
        <v>28</v>
      </c>
      <c r="M59" s="29" t="s">
        <v>28</v>
      </c>
      <c r="O59" s="12" t="s">
        <v>28</v>
      </c>
      <c r="P59" s="27" t="s">
        <v>280</v>
      </c>
      <c r="Q59" s="27" t="s">
        <v>354</v>
      </c>
    </row>
    <row r="60" spans="1:17" hidden="1" x14ac:dyDescent="0.3">
      <c r="A60" s="71" t="str">
        <f>Tabelle1[[#This Row],[Feature
Number]]</f>
        <v>F0226</v>
      </c>
      <c r="B60" s="27" t="s">
        <v>29</v>
      </c>
      <c r="C60" s="27" t="s">
        <v>30</v>
      </c>
      <c r="D60" s="43" t="s">
        <v>393</v>
      </c>
      <c r="E60" s="28" t="s">
        <v>394</v>
      </c>
      <c r="F60" s="29" t="s">
        <v>395</v>
      </c>
      <c r="G60" s="31" t="s">
        <v>73</v>
      </c>
      <c r="H60" s="29"/>
      <c r="I60" s="29"/>
      <c r="J60" s="27"/>
      <c r="K60" s="29" t="s">
        <v>28</v>
      </c>
      <c r="L60" s="29" t="s">
        <v>28</v>
      </c>
      <c r="M60" s="29" t="s">
        <v>28</v>
      </c>
      <c r="P60" s="47" t="s">
        <v>280</v>
      </c>
      <c r="Q60" s="47" t="s">
        <v>354</v>
      </c>
    </row>
    <row r="61" spans="1:17" ht="79.2" hidden="1" x14ac:dyDescent="0.3">
      <c r="A61" s="71" t="str">
        <f>Tabelle1[[#This Row],[Feature
Number]]</f>
        <v>F0377</v>
      </c>
      <c r="B61" s="27" t="s">
        <v>29</v>
      </c>
      <c r="C61" s="27" t="s">
        <v>30</v>
      </c>
      <c r="D61" s="43" t="s">
        <v>571</v>
      </c>
      <c r="E61" s="28" t="s">
        <v>572</v>
      </c>
      <c r="F61" s="29" t="s">
        <v>175</v>
      </c>
      <c r="G61" s="31" t="s">
        <v>573</v>
      </c>
      <c r="H61" s="29"/>
      <c r="I61" s="29"/>
      <c r="J61" s="27"/>
      <c r="K61" s="29"/>
      <c r="L61" s="29" t="s">
        <v>28</v>
      </c>
      <c r="M61" s="29" t="s">
        <v>28</v>
      </c>
      <c r="O61" s="12" t="s">
        <v>28</v>
      </c>
      <c r="P61" s="27" t="s">
        <v>280</v>
      </c>
      <c r="Q61" s="27" t="s">
        <v>354</v>
      </c>
    </row>
    <row r="62" spans="1:17" ht="66" hidden="1" x14ac:dyDescent="0.3">
      <c r="A62" s="71" t="str">
        <f>Tabelle1[[#This Row],[Feature
Number]]</f>
        <v>F0031</v>
      </c>
      <c r="B62" s="27" t="s">
        <v>29</v>
      </c>
      <c r="C62" s="27" t="s">
        <v>30</v>
      </c>
      <c r="D62" s="43" t="s">
        <v>97</v>
      </c>
      <c r="E62" s="28" t="s">
        <v>98</v>
      </c>
      <c r="F62" s="29" t="s">
        <v>99</v>
      </c>
      <c r="G62" s="31" t="s">
        <v>73</v>
      </c>
      <c r="H62" s="29"/>
      <c r="I62" s="29"/>
      <c r="J62" s="27"/>
      <c r="K62" s="29"/>
      <c r="L62" s="29" t="s">
        <v>28</v>
      </c>
      <c r="M62" s="29" t="s">
        <v>28</v>
      </c>
      <c r="O62" s="12" t="s">
        <v>28</v>
      </c>
      <c r="P62" s="27" t="s">
        <v>280</v>
      </c>
      <c r="Q62" s="27" t="s">
        <v>354</v>
      </c>
    </row>
    <row r="63" spans="1:17" ht="39.6" hidden="1" x14ac:dyDescent="0.3">
      <c r="A63" s="71" t="str">
        <f>Tabelle1[[#This Row],[Feature
Number]]</f>
        <v>F0xx2</v>
      </c>
      <c r="B63" s="38" t="s">
        <v>29</v>
      </c>
      <c r="C63" s="38" t="s">
        <v>82</v>
      </c>
      <c r="D63" s="43" t="s">
        <v>1102</v>
      </c>
      <c r="E63" s="38" t="s">
        <v>1103</v>
      </c>
      <c r="F63" s="41" t="s">
        <v>1104</v>
      </c>
      <c r="G63" s="54" t="s">
        <v>1101</v>
      </c>
      <c r="H63" s="41"/>
      <c r="I63" s="41"/>
      <c r="J63" s="41"/>
      <c r="K63" s="41"/>
      <c r="L63" s="41"/>
      <c r="M63" s="41" t="s">
        <v>28</v>
      </c>
      <c r="O63" s="12" t="s">
        <v>28</v>
      </c>
      <c r="P63" s="47" t="s">
        <v>280</v>
      </c>
      <c r="Q63" s="47" t="s">
        <v>354</v>
      </c>
    </row>
    <row r="64" spans="1:17" ht="39.6" hidden="1" x14ac:dyDescent="0.3">
      <c r="A64" s="71" t="str">
        <f>Tabelle1[[#This Row],[Feature
Number]]</f>
        <v>F0223</v>
      </c>
      <c r="B64" s="27" t="s">
        <v>29</v>
      </c>
      <c r="C64" s="27" t="s">
        <v>69</v>
      </c>
      <c r="D64" s="43" t="s">
        <v>383</v>
      </c>
      <c r="E64" s="28" t="s">
        <v>384</v>
      </c>
      <c r="F64" s="29" t="s">
        <v>385</v>
      </c>
      <c r="G64" s="31" t="s">
        <v>168</v>
      </c>
      <c r="H64" s="29"/>
      <c r="I64" s="29"/>
      <c r="J64" s="27"/>
      <c r="K64" s="29" t="s">
        <v>28</v>
      </c>
      <c r="L64" s="29" t="s">
        <v>28</v>
      </c>
      <c r="M64" s="29" t="s">
        <v>28</v>
      </c>
      <c r="O64" s="12" t="s">
        <v>28</v>
      </c>
      <c r="P64" s="47" t="s">
        <v>280</v>
      </c>
      <c r="Q64" s="47" t="s">
        <v>354</v>
      </c>
    </row>
    <row r="65" spans="1:17" ht="39.6" hidden="1" x14ac:dyDescent="0.3">
      <c r="A65" s="71" t="str">
        <f>Tabelle1[[#This Row],[Feature
Number]]</f>
        <v>F0xx5</v>
      </c>
      <c r="B65" s="38" t="s">
        <v>29</v>
      </c>
      <c r="C65" s="38" t="s">
        <v>82</v>
      </c>
      <c r="D65" s="43" t="s">
        <v>1111</v>
      </c>
      <c r="E65" s="38" t="s">
        <v>1112</v>
      </c>
      <c r="F65" s="54" t="s">
        <v>1113</v>
      </c>
      <c r="G65" s="54" t="s">
        <v>86</v>
      </c>
      <c r="H65" s="41"/>
      <c r="I65" s="41"/>
      <c r="J65" s="41"/>
      <c r="K65" s="41" t="s">
        <v>28</v>
      </c>
      <c r="L65" s="41" t="s">
        <v>28</v>
      </c>
      <c r="M65" s="41" t="s">
        <v>28</v>
      </c>
      <c r="P65" s="47" t="s">
        <v>280</v>
      </c>
      <c r="Q65" s="47" t="s">
        <v>354</v>
      </c>
    </row>
    <row r="66" spans="1:17" ht="26.4" hidden="1" x14ac:dyDescent="0.3">
      <c r="A66" s="71" t="str">
        <f>Tabelle1[[#This Row],[Feature
Number]]</f>
        <v>F0379</v>
      </c>
      <c r="B66" s="27" t="s">
        <v>29</v>
      </c>
      <c r="C66" s="27" t="s">
        <v>30</v>
      </c>
      <c r="D66" s="43" t="s">
        <v>576</v>
      </c>
      <c r="E66" s="28" t="s">
        <v>577</v>
      </c>
      <c r="F66" s="29" t="s">
        <v>578</v>
      </c>
      <c r="G66" s="31" t="s">
        <v>148</v>
      </c>
      <c r="H66" s="29"/>
      <c r="I66" s="29"/>
      <c r="J66" s="27"/>
      <c r="K66" s="29" t="s">
        <v>28</v>
      </c>
      <c r="L66" s="29" t="s">
        <v>28</v>
      </c>
      <c r="M66" s="29" t="s">
        <v>28</v>
      </c>
      <c r="O66" s="12" t="s">
        <v>28</v>
      </c>
      <c r="P66" s="27" t="s">
        <v>280</v>
      </c>
      <c r="Q66" s="27" t="s">
        <v>354</v>
      </c>
    </row>
    <row r="67" spans="1:17" ht="26.4" hidden="1" x14ac:dyDescent="0.3">
      <c r="A67" s="71" t="str">
        <f>Tabelle1[[#This Row],[Feature
Number]]</f>
        <v>F0053</v>
      </c>
      <c r="B67" s="27" t="s">
        <v>29</v>
      </c>
      <c r="C67" s="27" t="s">
        <v>30</v>
      </c>
      <c r="D67" s="43" t="s">
        <v>146</v>
      </c>
      <c r="E67" s="28" t="s">
        <v>147</v>
      </c>
      <c r="F67" s="29" t="s">
        <v>148</v>
      </c>
      <c r="G67" s="31" t="s">
        <v>73</v>
      </c>
      <c r="H67" s="29"/>
      <c r="I67" s="29"/>
      <c r="J67" s="27"/>
      <c r="K67" s="29" t="s">
        <v>28</v>
      </c>
      <c r="L67" s="29" t="s">
        <v>28</v>
      </c>
      <c r="M67" s="29" t="s">
        <v>28</v>
      </c>
      <c r="O67" s="12" t="s">
        <v>28</v>
      </c>
      <c r="P67" s="27" t="s">
        <v>280</v>
      </c>
      <c r="Q67" s="27" t="s">
        <v>354</v>
      </c>
    </row>
    <row r="68" spans="1:17" ht="26.4" hidden="1" x14ac:dyDescent="0.3">
      <c r="A68" s="71" t="str">
        <f>Tabelle1[[#This Row],[Feature
Number]]</f>
        <v>F0780</v>
      </c>
      <c r="B68" s="27" t="s">
        <v>29</v>
      </c>
      <c r="C68" s="27" t="s">
        <v>30</v>
      </c>
      <c r="D68" s="43" t="s">
        <v>861</v>
      </c>
      <c r="E68" s="28" t="s">
        <v>862</v>
      </c>
      <c r="F68" s="29" t="s">
        <v>863</v>
      </c>
      <c r="G68" s="31" t="s">
        <v>73</v>
      </c>
      <c r="H68" s="29"/>
      <c r="I68" s="29"/>
      <c r="J68" s="27"/>
      <c r="K68" s="29"/>
      <c r="L68" s="29" t="s">
        <v>28</v>
      </c>
      <c r="M68" s="29" t="s">
        <v>28</v>
      </c>
      <c r="O68" s="12" t="s">
        <v>28</v>
      </c>
      <c r="P68" s="47" t="s">
        <v>280</v>
      </c>
      <c r="Q68" s="47" t="s">
        <v>354</v>
      </c>
    </row>
    <row r="69" spans="1:17" ht="79.2" hidden="1" x14ac:dyDescent="0.3">
      <c r="A69" s="71" t="str">
        <f>Tabelle1[[#This Row],[Feature
Number]]</f>
        <v>F0960</v>
      </c>
      <c r="B69" s="27" t="s">
        <v>29</v>
      </c>
      <c r="C69" s="27" t="s">
        <v>69</v>
      </c>
      <c r="D69" s="43" t="s">
        <v>943</v>
      </c>
      <c r="E69" s="28" t="s">
        <v>944</v>
      </c>
      <c r="F69" s="29" t="s">
        <v>945</v>
      </c>
      <c r="G69" s="31" t="s">
        <v>385</v>
      </c>
      <c r="H69" s="29"/>
      <c r="I69" s="29" t="s">
        <v>28</v>
      </c>
      <c r="J69" s="27"/>
      <c r="K69" s="29" t="s">
        <v>28</v>
      </c>
      <c r="L69" s="29" t="s">
        <v>28</v>
      </c>
      <c r="M69" s="29" t="s">
        <v>28</v>
      </c>
      <c r="O69" s="12" t="s">
        <v>28</v>
      </c>
      <c r="P69" s="47" t="s">
        <v>280</v>
      </c>
      <c r="Q69" s="47" t="s">
        <v>354</v>
      </c>
    </row>
    <row r="70" spans="1:17" ht="26.4" hidden="1" x14ac:dyDescent="0.3">
      <c r="A70" s="71" t="str">
        <f>Tabelle1[[#This Row],[Feature
Number]]</f>
        <v>F0723</v>
      </c>
      <c r="B70" s="27" t="s">
        <v>29</v>
      </c>
      <c r="C70" s="27" t="s">
        <v>82</v>
      </c>
      <c r="D70" s="43" t="s">
        <v>845</v>
      </c>
      <c r="E70" s="28" t="s">
        <v>846</v>
      </c>
      <c r="F70" s="29" t="s">
        <v>847</v>
      </c>
      <c r="G70" s="31" t="s">
        <v>847</v>
      </c>
      <c r="H70" s="29"/>
      <c r="I70" s="29" t="s">
        <v>28</v>
      </c>
      <c r="J70" s="27"/>
      <c r="K70" s="29" t="s">
        <v>28</v>
      </c>
      <c r="L70" s="29" t="s">
        <v>28</v>
      </c>
      <c r="M70" s="29" t="s">
        <v>28</v>
      </c>
      <c r="O70" s="12" t="s">
        <v>28</v>
      </c>
      <c r="P70" s="27" t="s">
        <v>280</v>
      </c>
      <c r="Q70" s="27" t="s">
        <v>354</v>
      </c>
    </row>
    <row r="71" spans="1:17" ht="52.8" hidden="1" x14ac:dyDescent="0.3">
      <c r="A71" s="71" t="str">
        <f>Tabelle1[[#This Row],[Feature
Number]]</f>
        <v>F0xx3</v>
      </c>
      <c r="B71" s="38" t="s">
        <v>29</v>
      </c>
      <c r="C71" s="38" t="s">
        <v>82</v>
      </c>
      <c r="D71" s="43" t="s">
        <v>1105</v>
      </c>
      <c r="E71" s="38" t="s">
        <v>1106</v>
      </c>
      <c r="F71" s="41" t="s">
        <v>1107</v>
      </c>
      <c r="G71" s="54" t="s">
        <v>86</v>
      </c>
      <c r="H71" s="41"/>
      <c r="I71" s="41"/>
      <c r="J71" s="41"/>
      <c r="K71" s="41" t="s">
        <v>28</v>
      </c>
      <c r="L71" s="41" t="s">
        <v>28</v>
      </c>
      <c r="M71" s="41" t="s">
        <v>28</v>
      </c>
      <c r="O71" s="12" t="s">
        <v>28</v>
      </c>
      <c r="P71" s="27" t="s">
        <v>280</v>
      </c>
      <c r="Q71" s="27" t="s">
        <v>505</v>
      </c>
    </row>
    <row r="72" spans="1:17" ht="66" hidden="1" x14ac:dyDescent="0.3">
      <c r="A72" s="71" t="str">
        <f>Tabelle1[[#This Row],[Feature
Number]]</f>
        <v>F0646</v>
      </c>
      <c r="B72" s="27" t="s">
        <v>29</v>
      </c>
      <c r="C72" s="27" t="s">
        <v>82</v>
      </c>
      <c r="D72" s="43" t="s">
        <v>777</v>
      </c>
      <c r="E72" s="28" t="s">
        <v>778</v>
      </c>
      <c r="F72" s="31" t="s">
        <v>86</v>
      </c>
      <c r="G72" s="31" t="s">
        <v>92</v>
      </c>
      <c r="H72" s="29"/>
      <c r="I72" s="29"/>
      <c r="J72" s="27"/>
      <c r="K72" s="29" t="s">
        <v>28</v>
      </c>
      <c r="L72" s="29" t="s">
        <v>28</v>
      </c>
      <c r="M72" s="29" t="s">
        <v>28</v>
      </c>
      <c r="O72" s="12" t="s">
        <v>28</v>
      </c>
      <c r="P72" s="27" t="s">
        <v>63</v>
      </c>
      <c r="Q72" s="27" t="s">
        <v>224</v>
      </c>
    </row>
    <row r="73" spans="1:17" ht="92.4" hidden="1" x14ac:dyDescent="0.3">
      <c r="A73" s="71" t="str">
        <f>Tabelle1[[#This Row],[Feature
Number]]</f>
        <v>F0027</v>
      </c>
      <c r="B73" s="27" t="s">
        <v>29</v>
      </c>
      <c r="C73" s="27" t="s">
        <v>82</v>
      </c>
      <c r="D73" s="43" t="s">
        <v>90</v>
      </c>
      <c r="E73" s="28" t="s">
        <v>91</v>
      </c>
      <c r="F73" s="29" t="s">
        <v>92</v>
      </c>
      <c r="G73" s="31" t="s">
        <v>73</v>
      </c>
      <c r="H73" s="29"/>
      <c r="I73" s="29"/>
      <c r="J73" s="27"/>
      <c r="K73" s="29" t="s">
        <v>28</v>
      </c>
      <c r="L73" s="29" t="s">
        <v>28</v>
      </c>
      <c r="M73" s="29" t="s">
        <v>28</v>
      </c>
      <c r="O73" s="12" t="s">
        <v>28</v>
      </c>
      <c r="P73" s="38" t="s">
        <v>77</v>
      </c>
      <c r="Q73" s="38" t="s">
        <v>136</v>
      </c>
    </row>
    <row r="74" spans="1:17" ht="79.2" hidden="1" x14ac:dyDescent="0.3">
      <c r="A74" s="71" t="str">
        <f>Tabelle1[[#This Row],[Feature
Number]]</f>
        <v>F0023</v>
      </c>
      <c r="B74" s="27" t="s">
        <v>29</v>
      </c>
      <c r="C74" s="27" t="s">
        <v>82</v>
      </c>
      <c r="D74" s="43" t="s">
        <v>83</v>
      </c>
      <c r="E74" s="28" t="s">
        <v>84</v>
      </c>
      <c r="F74" s="29" t="s">
        <v>85</v>
      </c>
      <c r="G74" s="31" t="s">
        <v>86</v>
      </c>
      <c r="H74" s="29"/>
      <c r="I74" s="29" t="s">
        <v>28</v>
      </c>
      <c r="J74" s="27"/>
      <c r="K74" s="29" t="s">
        <v>28</v>
      </c>
      <c r="L74" s="29" t="s">
        <v>28</v>
      </c>
      <c r="M74" s="29" t="s">
        <v>28</v>
      </c>
      <c r="O74" s="12" t="s">
        <v>28</v>
      </c>
      <c r="P74" s="38" t="s">
        <v>77</v>
      </c>
      <c r="Q74" s="38" t="s">
        <v>136</v>
      </c>
    </row>
    <row r="75" spans="1:17" ht="52.8" hidden="1" x14ac:dyDescent="0.3">
      <c r="A75" s="71" t="str">
        <f>Tabelle1[[#This Row],[Feature
Number]]</f>
        <v>F0xx1</v>
      </c>
      <c r="B75" s="69" t="s">
        <v>29</v>
      </c>
      <c r="C75" s="69" t="s">
        <v>82</v>
      </c>
      <c r="D75" s="43" t="s">
        <v>1099</v>
      </c>
      <c r="E75" s="38" t="s">
        <v>1100</v>
      </c>
      <c r="F75" s="41" t="s">
        <v>1101</v>
      </c>
      <c r="G75" s="54" t="s">
        <v>86</v>
      </c>
      <c r="H75" s="41"/>
      <c r="I75" s="41"/>
      <c r="J75" s="69"/>
      <c r="K75" s="41"/>
      <c r="L75" s="41" t="s">
        <v>28</v>
      </c>
      <c r="M75" s="41" t="s">
        <v>28</v>
      </c>
      <c r="O75" s="12" t="s">
        <v>28</v>
      </c>
      <c r="P75" s="38" t="s">
        <v>77</v>
      </c>
      <c r="Q75" s="38" t="s">
        <v>128</v>
      </c>
    </row>
    <row r="76" spans="1:17" ht="79.2" hidden="1" x14ac:dyDescent="0.3">
      <c r="A76" s="71" t="str">
        <f>Tabelle1[[#This Row],[Feature
Number]]</f>
        <v>F0032</v>
      </c>
      <c r="B76" s="27" t="s">
        <v>29</v>
      </c>
      <c r="C76" s="27" t="s">
        <v>82</v>
      </c>
      <c r="D76" s="43" t="s">
        <v>100</v>
      </c>
      <c r="E76" s="28" t="s">
        <v>101</v>
      </c>
      <c r="F76" s="29" t="s">
        <v>102</v>
      </c>
      <c r="G76" s="31" t="s">
        <v>86</v>
      </c>
      <c r="H76" s="29"/>
      <c r="I76" s="29"/>
      <c r="J76" s="27"/>
      <c r="K76" s="29" t="s">
        <v>28</v>
      </c>
      <c r="L76" s="29" t="s">
        <v>28</v>
      </c>
      <c r="M76" s="29" t="s">
        <v>28</v>
      </c>
      <c r="O76" s="12" t="s">
        <v>28</v>
      </c>
      <c r="P76" s="27" t="s">
        <v>22</v>
      </c>
      <c r="Q76" s="27" t="s">
        <v>132</v>
      </c>
    </row>
    <row r="77" spans="1:17" ht="26.4" hidden="1" x14ac:dyDescent="0.3">
      <c r="A77" s="71" t="str">
        <f>Tabelle1[[#This Row],[Feature
Number]]</f>
        <v>F0738</v>
      </c>
      <c r="B77" s="27" t="s">
        <v>29</v>
      </c>
      <c r="C77" s="27" t="s">
        <v>82</v>
      </c>
      <c r="D77" s="43" t="s">
        <v>851</v>
      </c>
      <c r="E77" s="28" t="s">
        <v>852</v>
      </c>
      <c r="F77" s="29" t="s">
        <v>853</v>
      </c>
      <c r="G77" s="31" t="s">
        <v>854</v>
      </c>
      <c r="H77" s="29"/>
      <c r="I77" s="29"/>
      <c r="J77" s="27"/>
      <c r="K77" s="29"/>
      <c r="L77" s="29"/>
      <c r="M77" s="29" t="s">
        <v>28</v>
      </c>
      <c r="O77" s="12" t="s">
        <v>28</v>
      </c>
      <c r="P77" s="27" t="s">
        <v>22</v>
      </c>
      <c r="Q77" s="27" t="s">
        <v>132</v>
      </c>
    </row>
    <row r="78" spans="1:17" ht="39.6" hidden="1" x14ac:dyDescent="0.3">
      <c r="A78" s="71" t="str">
        <f>Tabelle1[[#This Row],[Feature
Number]]</f>
        <v>F0533</v>
      </c>
      <c r="B78" s="27" t="s">
        <v>29</v>
      </c>
      <c r="C78" s="27" t="s">
        <v>153</v>
      </c>
      <c r="D78" s="43" t="s">
        <v>687</v>
      </c>
      <c r="E78" s="28" t="s">
        <v>688</v>
      </c>
      <c r="F78" s="29" t="s">
        <v>689</v>
      </c>
      <c r="G78" s="31" t="s">
        <v>157</v>
      </c>
      <c r="H78" s="29"/>
      <c r="I78" s="29"/>
      <c r="J78" s="27"/>
      <c r="K78" s="29" t="s">
        <v>28</v>
      </c>
      <c r="L78" s="29" t="s">
        <v>28</v>
      </c>
      <c r="M78" s="29" t="s">
        <v>28</v>
      </c>
      <c r="O78" s="12" t="s">
        <v>28</v>
      </c>
      <c r="P78" s="27" t="s">
        <v>22</v>
      </c>
      <c r="Q78" s="27" t="s">
        <v>132</v>
      </c>
    </row>
    <row r="79" spans="1:17" ht="39.6" hidden="1" x14ac:dyDescent="0.3">
      <c r="A79" s="71" t="str">
        <f>Tabelle1[[#This Row],[Feature
Number]]</f>
        <v>F0360</v>
      </c>
      <c r="B79" s="27" t="s">
        <v>29</v>
      </c>
      <c r="C79" s="27" t="s">
        <v>69</v>
      </c>
      <c r="D79" s="43" t="s">
        <v>556</v>
      </c>
      <c r="E79" s="28" t="s">
        <v>557</v>
      </c>
      <c r="F79" s="29" t="s">
        <v>558</v>
      </c>
      <c r="G79" s="31" t="s">
        <v>72</v>
      </c>
      <c r="H79" s="29"/>
      <c r="I79" s="29"/>
      <c r="J79" s="27"/>
      <c r="K79" s="29" t="s">
        <v>28</v>
      </c>
      <c r="L79" s="29" t="s">
        <v>28</v>
      </c>
      <c r="M79" s="29" t="s">
        <v>28</v>
      </c>
      <c r="O79" s="12" t="s">
        <v>28</v>
      </c>
      <c r="P79" s="27" t="s">
        <v>77</v>
      </c>
      <c r="Q79" s="27" t="s">
        <v>128</v>
      </c>
    </row>
    <row r="80" spans="1:17" ht="66" hidden="1" x14ac:dyDescent="0.3">
      <c r="A80" s="71" t="str">
        <f>Tabelle1[[#This Row],[Feature
Number]]</f>
        <v>F0020</v>
      </c>
      <c r="B80" s="27" t="s">
        <v>29</v>
      </c>
      <c r="C80" s="27" t="s">
        <v>69</v>
      </c>
      <c r="D80" s="43" t="s">
        <v>70</v>
      </c>
      <c r="E80" s="28" t="s">
        <v>71</v>
      </c>
      <c r="F80" s="29" t="s">
        <v>72</v>
      </c>
      <c r="G80" s="31" t="s">
        <v>73</v>
      </c>
      <c r="H80" s="29"/>
      <c r="I80" s="29"/>
      <c r="J80" s="27"/>
      <c r="K80" s="29" t="s">
        <v>28</v>
      </c>
      <c r="L80" s="29" t="s">
        <v>28</v>
      </c>
      <c r="M80" s="29" t="s">
        <v>28</v>
      </c>
      <c r="O80" s="12" t="s">
        <v>28</v>
      </c>
      <c r="P80" s="27" t="s">
        <v>77</v>
      </c>
      <c r="Q80" s="27" t="s">
        <v>136</v>
      </c>
    </row>
    <row r="81" spans="1:17" ht="26.4" hidden="1" x14ac:dyDescent="0.3">
      <c r="A81" s="71" t="str">
        <f>Tabelle1[[#This Row],[Feature
Number]]</f>
        <v>F0781</v>
      </c>
      <c r="B81" s="169" t="s">
        <v>29</v>
      </c>
      <c r="C81" s="169" t="s">
        <v>30</v>
      </c>
      <c r="D81" s="170" t="s">
        <v>8246</v>
      </c>
      <c r="E81" s="170" t="s">
        <v>8247</v>
      </c>
      <c r="F81" s="171" t="s">
        <v>866</v>
      </c>
      <c r="G81" s="175" t="s">
        <v>73</v>
      </c>
      <c r="H81" s="171"/>
      <c r="I81" s="171"/>
      <c r="J81" s="169"/>
      <c r="K81" s="171"/>
      <c r="L81" s="171" t="s">
        <v>28</v>
      </c>
      <c r="M81" s="171" t="s">
        <v>28</v>
      </c>
      <c r="O81" s="12" t="s">
        <v>28</v>
      </c>
      <c r="P81" s="47" t="s">
        <v>77</v>
      </c>
      <c r="Q81" s="47" t="s">
        <v>136</v>
      </c>
    </row>
    <row r="82" spans="1:17" ht="52.8" hidden="1" x14ac:dyDescent="0.3">
      <c r="A82" s="71" t="str">
        <f>Tabelle1[[#This Row],[Feature
Number]]</f>
        <v>F0x90</v>
      </c>
      <c r="B82" s="169" t="s">
        <v>29</v>
      </c>
      <c r="C82" s="169" t="s">
        <v>30</v>
      </c>
      <c r="D82" s="170" t="s">
        <v>9736</v>
      </c>
      <c r="E82" s="170" t="s">
        <v>9737</v>
      </c>
      <c r="F82" s="171" t="s">
        <v>9735</v>
      </c>
      <c r="G82" s="175"/>
      <c r="H82" s="171"/>
      <c r="I82" s="171"/>
      <c r="J82" s="169"/>
      <c r="K82" s="171"/>
      <c r="L82" s="171"/>
      <c r="M82" s="171" t="s">
        <v>28</v>
      </c>
      <c r="O82" s="12" t="s">
        <v>28</v>
      </c>
      <c r="P82" s="27" t="s">
        <v>77</v>
      </c>
      <c r="Q82" s="27" t="s">
        <v>128</v>
      </c>
    </row>
    <row r="83" spans="1:17" hidden="1" x14ac:dyDescent="0.3">
      <c r="A83" s="71" t="str">
        <f>Tabelle1[[#This Row],[Feature
Number]]</f>
        <v>F0383</v>
      </c>
      <c r="B83" s="27" t="s">
        <v>77</v>
      </c>
      <c r="C83" s="27" t="s">
        <v>149</v>
      </c>
      <c r="D83" s="43" t="s">
        <v>582</v>
      </c>
      <c r="E83" s="28" t="s">
        <v>583</v>
      </c>
      <c r="F83" s="29" t="s">
        <v>584</v>
      </c>
      <c r="G83" s="31" t="s">
        <v>73</v>
      </c>
      <c r="H83" s="29"/>
      <c r="I83" s="29"/>
      <c r="J83" s="27"/>
      <c r="K83" s="29"/>
      <c r="L83" s="29" t="s">
        <v>28</v>
      </c>
      <c r="M83" s="29" t="s">
        <v>28</v>
      </c>
      <c r="O83" s="12" t="s">
        <v>28</v>
      </c>
      <c r="P83" s="27" t="s">
        <v>77</v>
      </c>
      <c r="Q83" s="27" t="s">
        <v>128</v>
      </c>
    </row>
    <row r="84" spans="1:17" hidden="1" x14ac:dyDescent="0.3">
      <c r="A84" s="71" t="str">
        <f>Tabelle1[[#This Row],[Feature
Number]]</f>
        <v>F0382</v>
      </c>
      <c r="B84" s="27" t="s">
        <v>77</v>
      </c>
      <c r="C84" s="27" t="s">
        <v>149</v>
      </c>
      <c r="D84" s="43" t="s">
        <v>579</v>
      </c>
      <c r="E84" s="28" t="s">
        <v>580</v>
      </c>
      <c r="F84" s="29" t="s">
        <v>581</v>
      </c>
      <c r="G84" s="31" t="s">
        <v>73</v>
      </c>
      <c r="H84" s="29"/>
      <c r="I84" s="29"/>
      <c r="J84" s="27"/>
      <c r="K84" s="29" t="s">
        <v>28</v>
      </c>
      <c r="L84" s="29" t="s">
        <v>28</v>
      </c>
      <c r="M84" s="29" t="s">
        <v>28</v>
      </c>
      <c r="O84" s="12" t="s">
        <v>28</v>
      </c>
      <c r="P84" s="27" t="s">
        <v>77</v>
      </c>
      <c r="Q84" s="27" t="s">
        <v>136</v>
      </c>
    </row>
    <row r="85" spans="1:17" ht="26.4" hidden="1" x14ac:dyDescent="0.3">
      <c r="A85" s="71" t="str">
        <f>Tabelle1[[#This Row],[Feature
Number]]</f>
        <v>F0100</v>
      </c>
      <c r="B85" s="27" t="s">
        <v>77</v>
      </c>
      <c r="C85" s="27" t="s">
        <v>128</v>
      </c>
      <c r="D85" s="43" t="s">
        <v>221</v>
      </c>
      <c r="E85" s="28" t="s">
        <v>222</v>
      </c>
      <c r="F85" s="29" t="s">
        <v>223</v>
      </c>
      <c r="G85" s="31" t="s">
        <v>73</v>
      </c>
      <c r="H85" s="29"/>
      <c r="I85" s="29"/>
      <c r="J85" s="27"/>
      <c r="K85" s="29"/>
      <c r="L85" s="29" t="s">
        <v>28</v>
      </c>
      <c r="M85" s="29" t="s">
        <v>28</v>
      </c>
      <c r="O85" s="12" t="s">
        <v>28</v>
      </c>
      <c r="P85" s="47" t="s">
        <v>77</v>
      </c>
      <c r="Q85" s="47" t="s">
        <v>136</v>
      </c>
    </row>
    <row r="86" spans="1:17" ht="39.6" hidden="1" x14ac:dyDescent="0.3">
      <c r="A86" s="71" t="str">
        <f>Tabelle1[[#This Row],[Feature
Number]]</f>
        <v>F0x44</v>
      </c>
      <c r="B86" s="47" t="s">
        <v>77</v>
      </c>
      <c r="C86" s="47" t="s">
        <v>1064</v>
      </c>
      <c r="D86" s="36" t="s">
        <v>1065</v>
      </c>
      <c r="E86" s="36" t="s">
        <v>1066</v>
      </c>
      <c r="F86" s="35" t="s">
        <v>1067</v>
      </c>
      <c r="G86" s="58" t="s">
        <v>73</v>
      </c>
      <c r="H86" s="35" t="s">
        <v>1010</v>
      </c>
      <c r="I86" s="35" t="s">
        <v>1010</v>
      </c>
      <c r="J86" s="47"/>
      <c r="K86" s="35" t="s">
        <v>1010</v>
      </c>
      <c r="L86" s="35" t="s">
        <v>28</v>
      </c>
      <c r="M86" s="35" t="s">
        <v>28</v>
      </c>
      <c r="O86" s="12" t="s">
        <v>28</v>
      </c>
      <c r="P86" s="27" t="s">
        <v>77</v>
      </c>
      <c r="Q86" s="27" t="s">
        <v>128</v>
      </c>
    </row>
    <row r="87" spans="1:17" ht="52.8" hidden="1" x14ac:dyDescent="0.3">
      <c r="A87" s="71" t="str">
        <f>Tabelle1[[#This Row],[Feature
Number]]</f>
        <v>F0x10</v>
      </c>
      <c r="B87" s="38" t="s">
        <v>77</v>
      </c>
      <c r="C87" s="38" t="s">
        <v>136</v>
      </c>
      <c r="D87" s="43" t="s">
        <v>975</v>
      </c>
      <c r="E87" s="38" t="s">
        <v>976</v>
      </c>
      <c r="F87" s="41" t="s">
        <v>977</v>
      </c>
      <c r="G87" s="54" t="s">
        <v>73</v>
      </c>
      <c r="H87" s="41"/>
      <c r="I87" s="41"/>
      <c r="J87" s="41"/>
      <c r="K87" s="41"/>
      <c r="L87" s="41"/>
      <c r="M87" s="41" t="s">
        <v>28</v>
      </c>
      <c r="O87" s="12" t="s">
        <v>28</v>
      </c>
      <c r="P87" s="73" t="s">
        <v>29</v>
      </c>
      <c r="Q87" s="73" t="s">
        <v>1089</v>
      </c>
    </row>
    <row r="88" spans="1:17" ht="26.4" hidden="1" x14ac:dyDescent="0.3">
      <c r="A88" s="71" t="str">
        <f>Tabelle1[[#This Row],[Feature
Number]]</f>
        <v>F0xx9</v>
      </c>
      <c r="B88" s="38" t="s">
        <v>77</v>
      </c>
      <c r="C88" s="38" t="s">
        <v>136</v>
      </c>
      <c r="D88" s="43" t="s">
        <v>1122</v>
      </c>
      <c r="E88" s="38" t="s">
        <v>1123</v>
      </c>
      <c r="F88" s="41" t="s">
        <v>1124</v>
      </c>
      <c r="G88" s="54" t="s">
        <v>567</v>
      </c>
      <c r="H88" s="41"/>
      <c r="I88" s="41"/>
      <c r="J88" s="41"/>
      <c r="K88" s="41"/>
      <c r="L88" s="41"/>
      <c r="M88" s="41" t="s">
        <v>28</v>
      </c>
      <c r="O88" s="12" t="s">
        <v>28</v>
      </c>
      <c r="P88" s="27" t="s">
        <v>256</v>
      </c>
      <c r="Q88" s="27" t="s">
        <v>261</v>
      </c>
    </row>
    <row r="89" spans="1:17" ht="39.6" hidden="1" x14ac:dyDescent="0.3">
      <c r="A89" s="71" t="str">
        <f>Tabelle1[[#This Row],[Feature
Number]]</f>
        <v>F0xx7</v>
      </c>
      <c r="B89" s="38" t="s">
        <v>77</v>
      </c>
      <c r="C89" s="38" t="s">
        <v>128</v>
      </c>
      <c r="D89" s="43" t="s">
        <v>1116</v>
      </c>
      <c r="E89" s="38" t="s">
        <v>1117</v>
      </c>
      <c r="F89" s="41" t="s">
        <v>1118</v>
      </c>
      <c r="G89" s="54" t="s">
        <v>564</v>
      </c>
      <c r="H89" s="41"/>
      <c r="I89" s="41"/>
      <c r="J89" s="41"/>
      <c r="K89" s="41"/>
      <c r="L89" s="41" t="s">
        <v>28</v>
      </c>
      <c r="M89" s="41" t="s">
        <v>28</v>
      </c>
      <c r="O89" s="12" t="s">
        <v>28</v>
      </c>
      <c r="P89" s="27" t="s">
        <v>280</v>
      </c>
      <c r="Q89" s="27" t="s">
        <v>354</v>
      </c>
    </row>
    <row r="90" spans="1:17" hidden="1" x14ac:dyDescent="0.3">
      <c r="A90" s="71" t="str">
        <f>Tabelle1[[#This Row],[Feature
Number]]</f>
        <v>F0371</v>
      </c>
      <c r="B90" s="27" t="s">
        <v>77</v>
      </c>
      <c r="C90" s="27" t="s">
        <v>128</v>
      </c>
      <c r="D90" s="43" t="s">
        <v>568</v>
      </c>
      <c r="E90" s="28" t="s">
        <v>569</v>
      </c>
      <c r="F90" s="29" t="s">
        <v>570</v>
      </c>
      <c r="G90" s="31" t="s">
        <v>564</v>
      </c>
      <c r="H90" s="29"/>
      <c r="I90" s="29"/>
      <c r="J90" s="27"/>
      <c r="K90" s="29"/>
      <c r="L90" s="29" t="s">
        <v>28</v>
      </c>
      <c r="M90" s="29" t="s">
        <v>28</v>
      </c>
      <c r="O90" s="12" t="s">
        <v>28</v>
      </c>
      <c r="P90" s="27" t="s">
        <v>251</v>
      </c>
      <c r="Q90" s="27" t="s">
        <v>366</v>
      </c>
    </row>
    <row r="91" spans="1:17" ht="39.6" hidden="1" x14ac:dyDescent="0.3">
      <c r="A91" s="71" t="str">
        <f>Tabelle1[[#This Row],[Feature
Number]]</f>
        <v>F0370</v>
      </c>
      <c r="B91" s="27" t="s">
        <v>77</v>
      </c>
      <c r="C91" s="27" t="s">
        <v>136</v>
      </c>
      <c r="D91" s="43" t="s">
        <v>565</v>
      </c>
      <c r="E91" s="28" t="s">
        <v>566</v>
      </c>
      <c r="F91" s="29" t="s">
        <v>567</v>
      </c>
      <c r="G91" s="31" t="s">
        <v>139</v>
      </c>
      <c r="H91" s="29"/>
      <c r="I91" s="29"/>
      <c r="J91" s="27"/>
      <c r="K91" s="29"/>
      <c r="L91" s="29" t="s">
        <v>28</v>
      </c>
      <c r="M91" s="29" t="s">
        <v>28</v>
      </c>
      <c r="O91" s="12" t="s">
        <v>28</v>
      </c>
      <c r="P91" s="27" t="s">
        <v>251</v>
      </c>
      <c r="Q91" s="27" t="s">
        <v>366</v>
      </c>
    </row>
    <row r="92" spans="1:17" ht="39.6" hidden="1" x14ac:dyDescent="0.3">
      <c r="A92" s="71" t="str">
        <f>Tabelle1[[#This Row],[Feature
Number]]</f>
        <v>F0x42</v>
      </c>
      <c r="B92" s="47" t="s">
        <v>77</v>
      </c>
      <c r="C92" s="47" t="s">
        <v>136</v>
      </c>
      <c r="D92" s="36" t="s">
        <v>1058</v>
      </c>
      <c r="E92" s="36" t="s">
        <v>1059</v>
      </c>
      <c r="F92" s="35" t="s">
        <v>1060</v>
      </c>
      <c r="G92" s="58" t="s">
        <v>1057</v>
      </c>
      <c r="H92" s="35" t="s">
        <v>1010</v>
      </c>
      <c r="I92" s="35" t="s">
        <v>1010</v>
      </c>
      <c r="J92" s="47"/>
      <c r="K92" s="35" t="s">
        <v>1010</v>
      </c>
      <c r="L92" s="35" t="s">
        <v>1010</v>
      </c>
      <c r="M92" s="35" t="s">
        <v>28</v>
      </c>
      <c r="P92" s="27" t="s">
        <v>63</v>
      </c>
      <c r="Q92" s="27" t="s">
        <v>224</v>
      </c>
    </row>
    <row r="93" spans="1:17" ht="39.6" hidden="1" x14ac:dyDescent="0.3">
      <c r="A93" s="71" t="str">
        <f>Tabelle1[[#This Row],[Feature
Number]]</f>
        <v>F0368</v>
      </c>
      <c r="B93" s="27" t="s">
        <v>77</v>
      </c>
      <c r="C93" s="27" t="s">
        <v>128</v>
      </c>
      <c r="D93" s="43" t="s">
        <v>562</v>
      </c>
      <c r="E93" s="28" t="s">
        <v>563</v>
      </c>
      <c r="F93" s="29" t="s">
        <v>564</v>
      </c>
      <c r="G93" s="31" t="s">
        <v>131</v>
      </c>
      <c r="H93" s="29"/>
      <c r="I93" s="29"/>
      <c r="J93" s="27"/>
      <c r="K93" s="29"/>
      <c r="L93" s="29" t="s">
        <v>28</v>
      </c>
      <c r="M93" s="29" t="s">
        <v>28</v>
      </c>
      <c r="O93" s="12" t="s">
        <v>28</v>
      </c>
      <c r="P93" s="27" t="s">
        <v>256</v>
      </c>
      <c r="Q93" s="27" t="s">
        <v>532</v>
      </c>
    </row>
    <row r="94" spans="1:17" hidden="1" x14ac:dyDescent="0.3">
      <c r="A94" s="71" t="str">
        <f>Tabelle1[[#This Row],[Feature
Number]]</f>
        <v>F0052</v>
      </c>
      <c r="B94" s="27" t="s">
        <v>77</v>
      </c>
      <c r="C94" s="27" t="s">
        <v>128</v>
      </c>
      <c r="D94" s="43" t="s">
        <v>143</v>
      </c>
      <c r="E94" s="28" t="s">
        <v>144</v>
      </c>
      <c r="F94" s="29" t="s">
        <v>145</v>
      </c>
      <c r="G94" s="31" t="s">
        <v>131</v>
      </c>
      <c r="H94" s="29"/>
      <c r="I94" s="29"/>
      <c r="J94" s="27"/>
      <c r="K94" s="29"/>
      <c r="L94" s="29" t="s">
        <v>28</v>
      </c>
      <c r="M94" s="29" t="s">
        <v>28</v>
      </c>
      <c r="O94" s="12" t="s">
        <v>28</v>
      </c>
      <c r="P94" s="27" t="s">
        <v>29</v>
      </c>
      <c r="Q94" s="27" t="s">
        <v>113</v>
      </c>
    </row>
    <row r="95" spans="1:17" ht="28.8" hidden="1" x14ac:dyDescent="0.3">
      <c r="A95" s="71" t="str">
        <f>Tabelle1[[#This Row],[Feature
Number]]</f>
        <v>F0050</v>
      </c>
      <c r="B95" s="27" t="s">
        <v>77</v>
      </c>
      <c r="C95" s="27" t="s">
        <v>136</v>
      </c>
      <c r="D95" s="43" t="s">
        <v>137</v>
      </c>
      <c r="E95" s="67" t="s">
        <v>138</v>
      </c>
      <c r="F95" s="29" t="s">
        <v>139</v>
      </c>
      <c r="G95" s="31" t="s">
        <v>73</v>
      </c>
      <c r="H95" s="29"/>
      <c r="I95" s="29"/>
      <c r="J95" s="27"/>
      <c r="K95" s="29"/>
      <c r="L95" s="29" t="s">
        <v>28</v>
      </c>
      <c r="M95" s="29" t="s">
        <v>28</v>
      </c>
      <c r="O95" s="12" t="s">
        <v>28</v>
      </c>
      <c r="P95" s="27" t="s">
        <v>29</v>
      </c>
      <c r="Q95" s="27" t="s">
        <v>30</v>
      </c>
    </row>
    <row r="96" spans="1:17" ht="39.6" hidden="1" x14ac:dyDescent="0.3">
      <c r="A96" s="71" t="str">
        <f>Tabelle1[[#This Row],[Feature
Number]]</f>
        <v>F0x41</v>
      </c>
      <c r="B96" s="47" t="s">
        <v>77</v>
      </c>
      <c r="C96" s="47" t="s">
        <v>136</v>
      </c>
      <c r="D96" s="36" t="s">
        <v>1055</v>
      </c>
      <c r="E96" s="36" t="s">
        <v>1056</v>
      </c>
      <c r="F96" s="35" t="s">
        <v>1057</v>
      </c>
      <c r="G96" s="58" t="s">
        <v>139</v>
      </c>
      <c r="H96" s="35" t="s">
        <v>1010</v>
      </c>
      <c r="I96" s="35" t="s">
        <v>1010</v>
      </c>
      <c r="J96" s="47"/>
      <c r="K96" s="35" t="s">
        <v>1010</v>
      </c>
      <c r="L96" s="35" t="s">
        <v>1010</v>
      </c>
      <c r="M96" s="35" t="s">
        <v>28</v>
      </c>
      <c r="O96" s="12" t="s">
        <v>28</v>
      </c>
      <c r="P96" s="27" t="s">
        <v>29</v>
      </c>
      <c r="Q96" s="27" t="s">
        <v>30</v>
      </c>
    </row>
    <row r="97" spans="1:17" ht="39.6" hidden="1" x14ac:dyDescent="0.3">
      <c r="A97" s="71" t="str">
        <f>Tabelle1[[#This Row],[Feature
Number]]</f>
        <v>F0047</v>
      </c>
      <c r="B97" s="27" t="s">
        <v>77</v>
      </c>
      <c r="C97" s="27" t="s">
        <v>128</v>
      </c>
      <c r="D97" s="43" t="s">
        <v>129</v>
      </c>
      <c r="E97" s="28" t="s">
        <v>130</v>
      </c>
      <c r="F97" s="29" t="s">
        <v>131</v>
      </c>
      <c r="G97" s="31" t="s">
        <v>73</v>
      </c>
      <c r="H97" s="29"/>
      <c r="I97" s="29"/>
      <c r="J97" s="27"/>
      <c r="K97" s="29"/>
      <c r="L97" s="29" t="s">
        <v>28</v>
      </c>
      <c r="M97" s="29" t="s">
        <v>28</v>
      </c>
      <c r="P97" s="27" t="s">
        <v>29</v>
      </c>
      <c r="Q97" s="27" t="s">
        <v>30</v>
      </c>
    </row>
    <row r="98" spans="1:17" hidden="1" x14ac:dyDescent="0.3">
      <c r="A98" s="71" t="str">
        <f>Tabelle1[[#This Row],[Feature
Number]]</f>
        <v>F0085</v>
      </c>
      <c r="B98" s="27" t="s">
        <v>77</v>
      </c>
      <c r="C98" s="27" t="s">
        <v>149</v>
      </c>
      <c r="D98" s="43" t="s">
        <v>196</v>
      </c>
      <c r="E98" s="28" t="s">
        <v>197</v>
      </c>
      <c r="F98" s="29" t="s">
        <v>198</v>
      </c>
      <c r="G98" s="31" t="s">
        <v>195</v>
      </c>
      <c r="H98" s="29"/>
      <c r="I98" s="29"/>
      <c r="J98" s="27"/>
      <c r="K98" s="29"/>
      <c r="L98" s="29" t="s">
        <v>28</v>
      </c>
      <c r="M98" s="29" t="s">
        <v>28</v>
      </c>
      <c r="O98" s="12" t="s">
        <v>28</v>
      </c>
      <c r="P98" s="27" t="s">
        <v>29</v>
      </c>
      <c r="Q98" s="27" t="s">
        <v>30</v>
      </c>
    </row>
    <row r="99" spans="1:17" hidden="1" x14ac:dyDescent="0.3">
      <c r="A99" s="71" t="str">
        <f>Tabelle1[[#This Row],[Feature
Number]]</f>
        <v>F0084</v>
      </c>
      <c r="B99" s="27" t="s">
        <v>77</v>
      </c>
      <c r="C99" s="27" t="s">
        <v>149</v>
      </c>
      <c r="D99" s="43" t="s">
        <v>193</v>
      </c>
      <c r="E99" s="28" t="s">
        <v>194</v>
      </c>
      <c r="F99" s="29" t="s">
        <v>195</v>
      </c>
      <c r="G99" s="31" t="s">
        <v>178</v>
      </c>
      <c r="H99" s="29"/>
      <c r="I99" s="29"/>
      <c r="J99" s="27"/>
      <c r="K99" s="29" t="s">
        <v>28</v>
      </c>
      <c r="L99" s="29" t="s">
        <v>28</v>
      </c>
      <c r="M99" s="29" t="s">
        <v>28</v>
      </c>
      <c r="O99" s="12" t="s">
        <v>28</v>
      </c>
      <c r="P99" s="27" t="s">
        <v>29</v>
      </c>
      <c r="Q99" s="27" t="s">
        <v>30</v>
      </c>
    </row>
    <row r="100" spans="1:17" hidden="1" x14ac:dyDescent="0.3">
      <c r="A100" s="71" t="str">
        <f>Tabelle1[[#This Row],[Feature
Number]]</f>
        <v>F0054</v>
      </c>
      <c r="B100" s="27" t="s">
        <v>77</v>
      </c>
      <c r="C100" s="27" t="s">
        <v>149</v>
      </c>
      <c r="D100" s="43" t="s">
        <v>150</v>
      </c>
      <c r="E100" s="28" t="s">
        <v>151</v>
      </c>
      <c r="F100" s="29" t="s">
        <v>152</v>
      </c>
      <c r="G100" s="31" t="s">
        <v>73</v>
      </c>
      <c r="H100" s="29"/>
      <c r="I100" s="29"/>
      <c r="J100" s="27"/>
      <c r="K100" s="29"/>
      <c r="L100" s="29" t="s">
        <v>28</v>
      </c>
      <c r="M100" s="29" t="s">
        <v>28</v>
      </c>
      <c r="O100" s="12" t="s">
        <v>28</v>
      </c>
      <c r="P100" s="27" t="s">
        <v>29</v>
      </c>
      <c r="Q100" s="27" t="s">
        <v>30</v>
      </c>
    </row>
    <row r="101" spans="1:17" ht="26.4" hidden="1" x14ac:dyDescent="0.3">
      <c r="A101" s="71" t="str">
        <f>Tabelle1[[#This Row],[Feature
Number]]</f>
        <v>F0x45</v>
      </c>
      <c r="B101" s="47" t="s">
        <v>77</v>
      </c>
      <c r="C101" s="47" t="s">
        <v>1068</v>
      </c>
      <c r="D101" s="36" t="s">
        <v>1069</v>
      </c>
      <c r="E101" s="36" t="s">
        <v>1070</v>
      </c>
      <c r="F101" s="35" t="s">
        <v>1071</v>
      </c>
      <c r="G101" s="58" t="s">
        <v>73</v>
      </c>
      <c r="H101" s="35" t="s">
        <v>1010</v>
      </c>
      <c r="I101" s="35" t="s">
        <v>1010</v>
      </c>
      <c r="J101" s="47"/>
      <c r="K101" s="35" t="s">
        <v>1010</v>
      </c>
      <c r="L101" s="35" t="s">
        <v>28</v>
      </c>
      <c r="M101" s="35" t="s">
        <v>28</v>
      </c>
      <c r="O101" s="12" t="s">
        <v>28</v>
      </c>
      <c r="P101" s="27" t="s">
        <v>29</v>
      </c>
      <c r="Q101" s="27" t="s">
        <v>30</v>
      </c>
    </row>
    <row r="102" spans="1:17" ht="92.4" hidden="1" x14ac:dyDescent="0.3">
      <c r="A102" s="71" t="str">
        <f>Tabelle1[[#This Row],[Feature
Number]]</f>
        <v>F0181</v>
      </c>
      <c r="B102" s="27" t="s">
        <v>77</v>
      </c>
      <c r="C102" s="27" t="s">
        <v>345</v>
      </c>
      <c r="D102" s="43" t="s">
        <v>346</v>
      </c>
      <c r="E102" s="28" t="s">
        <v>347</v>
      </c>
      <c r="F102" s="29" t="s">
        <v>348</v>
      </c>
      <c r="G102" s="31" t="s">
        <v>73</v>
      </c>
      <c r="H102" s="29"/>
      <c r="I102" s="29"/>
      <c r="J102" s="27"/>
      <c r="K102" s="29" t="s">
        <v>28</v>
      </c>
      <c r="L102" s="29" t="s">
        <v>28</v>
      </c>
      <c r="M102" s="29" t="s">
        <v>28</v>
      </c>
      <c r="O102" s="12" t="s">
        <v>28</v>
      </c>
      <c r="P102" s="27" t="s">
        <v>29</v>
      </c>
      <c r="Q102" s="27" t="s">
        <v>30</v>
      </c>
    </row>
    <row r="103" spans="1:17" hidden="1" x14ac:dyDescent="0.3">
      <c r="A103" s="71" t="str">
        <f>Tabelle1[[#This Row],[Feature
Number]]</f>
        <v>F0x52</v>
      </c>
      <c r="B103" s="73" t="s">
        <v>77</v>
      </c>
      <c r="C103" s="73" t="s">
        <v>149</v>
      </c>
      <c r="D103" s="61" t="s">
        <v>1093</v>
      </c>
      <c r="E103" s="61" t="s">
        <v>1094</v>
      </c>
      <c r="F103" s="52" t="s">
        <v>1095</v>
      </c>
      <c r="G103" s="31" t="s">
        <v>73</v>
      </c>
      <c r="H103" s="52"/>
      <c r="I103" s="52"/>
      <c r="J103" s="73"/>
      <c r="K103" s="52"/>
      <c r="L103" s="52" t="s">
        <v>28</v>
      </c>
      <c r="M103" s="52" t="s">
        <v>28</v>
      </c>
      <c r="O103" s="12" t="s">
        <v>28</v>
      </c>
      <c r="P103" s="27" t="s">
        <v>77</v>
      </c>
      <c r="Q103" s="27" t="s">
        <v>149</v>
      </c>
    </row>
    <row r="104" spans="1:17" hidden="1" x14ac:dyDescent="0.3">
      <c r="A104" s="71" t="str">
        <f>Tabelle1[[#This Row],[Feature
Number]]</f>
        <v>F0xx8</v>
      </c>
      <c r="B104" s="38" t="s">
        <v>77</v>
      </c>
      <c r="C104" s="38" t="s">
        <v>124</v>
      </c>
      <c r="D104" s="43" t="s">
        <v>1119</v>
      </c>
      <c r="E104" s="38" t="s">
        <v>1120</v>
      </c>
      <c r="F104" s="41" t="s">
        <v>1121</v>
      </c>
      <c r="G104" s="54" t="s">
        <v>127</v>
      </c>
      <c r="H104" s="41"/>
      <c r="I104" s="41"/>
      <c r="J104" s="41"/>
      <c r="K104" s="41"/>
      <c r="L104" s="41" t="s">
        <v>28</v>
      </c>
      <c r="M104" s="41" t="s">
        <v>28</v>
      </c>
      <c r="O104" s="12" t="s">
        <v>28</v>
      </c>
      <c r="P104" s="27" t="s">
        <v>77</v>
      </c>
      <c r="Q104" s="27" t="s">
        <v>149</v>
      </c>
    </row>
    <row r="105" spans="1:17" ht="26.4" hidden="1" x14ac:dyDescent="0.3">
      <c r="A105" s="71" t="str">
        <f>Tabelle1[[#This Row],[Feature
Number]]</f>
        <v>F0045</v>
      </c>
      <c r="B105" s="27" t="s">
        <v>77</v>
      </c>
      <c r="C105" s="27" t="s">
        <v>124</v>
      </c>
      <c r="D105" s="43" t="s">
        <v>125</v>
      </c>
      <c r="E105" s="28" t="s">
        <v>126</v>
      </c>
      <c r="F105" s="29" t="s">
        <v>127</v>
      </c>
      <c r="G105" s="31" t="s">
        <v>73</v>
      </c>
      <c r="H105" s="29"/>
      <c r="I105" s="29"/>
      <c r="J105" s="27"/>
      <c r="K105" s="29"/>
      <c r="L105" s="29" t="s">
        <v>28</v>
      </c>
      <c r="M105" s="29" t="s">
        <v>28</v>
      </c>
      <c r="O105" s="12" t="s">
        <v>28</v>
      </c>
      <c r="P105" s="27" t="s">
        <v>29</v>
      </c>
      <c r="Q105" s="27" t="s">
        <v>207</v>
      </c>
    </row>
    <row r="106" spans="1:17" ht="79.2" hidden="1" x14ac:dyDescent="0.3">
      <c r="A106" s="71" t="str">
        <f>Tabelle1[[#This Row],[Feature
Number]]</f>
        <v>F0022</v>
      </c>
      <c r="B106" s="27" t="s">
        <v>77</v>
      </c>
      <c r="C106" s="27" t="s">
        <v>78</v>
      </c>
      <c r="D106" s="43" t="s">
        <v>79</v>
      </c>
      <c r="E106" s="28" t="s">
        <v>80</v>
      </c>
      <c r="F106" s="29" t="s">
        <v>81</v>
      </c>
      <c r="G106" s="31" t="s">
        <v>73</v>
      </c>
      <c r="H106" s="29"/>
      <c r="I106" s="29"/>
      <c r="J106" s="27"/>
      <c r="K106" s="29"/>
      <c r="L106" s="29" t="s">
        <v>28</v>
      </c>
      <c r="M106" s="29" t="s">
        <v>28</v>
      </c>
      <c r="O106" s="12" t="s">
        <v>28</v>
      </c>
      <c r="P106" s="27" t="s">
        <v>29</v>
      </c>
      <c r="Q106" s="27" t="s">
        <v>30</v>
      </c>
    </row>
    <row r="107" spans="1:17" ht="52.8" hidden="1" x14ac:dyDescent="0.3">
      <c r="A107" s="71" t="str">
        <f>Tabelle1[[#This Row],[Feature
Number]]</f>
        <v>F0037</v>
      </c>
      <c r="B107" s="38" t="s">
        <v>77</v>
      </c>
      <c r="C107" s="38" t="s">
        <v>78</v>
      </c>
      <c r="D107" s="43" t="s">
        <v>107</v>
      </c>
      <c r="E107" s="38" t="s">
        <v>108</v>
      </c>
      <c r="F107" s="41" t="s">
        <v>109</v>
      </c>
      <c r="G107" s="54" t="s">
        <v>81</v>
      </c>
      <c r="H107" s="41"/>
      <c r="I107" s="41"/>
      <c r="J107" s="41"/>
      <c r="K107" s="41"/>
      <c r="L107" s="41" t="s">
        <v>28</v>
      </c>
      <c r="M107" s="41" t="s">
        <v>28</v>
      </c>
      <c r="O107" s="12" t="s">
        <v>28</v>
      </c>
      <c r="P107" s="27" t="s">
        <v>280</v>
      </c>
      <c r="Q107" s="27" t="s">
        <v>463</v>
      </c>
    </row>
    <row r="108" spans="1:17" ht="52.8" hidden="1" x14ac:dyDescent="0.3">
      <c r="A108" s="71" t="str">
        <f>Tabelle1[[#This Row],[Feature
Number]]</f>
        <v>F0072</v>
      </c>
      <c r="B108" s="27" t="s">
        <v>77</v>
      </c>
      <c r="C108" s="27" t="s">
        <v>149</v>
      </c>
      <c r="D108" s="43" t="s">
        <v>176</v>
      </c>
      <c r="E108" s="28" t="s">
        <v>177</v>
      </c>
      <c r="F108" s="29" t="s">
        <v>178</v>
      </c>
      <c r="G108" s="31" t="s">
        <v>73</v>
      </c>
      <c r="H108" s="29"/>
      <c r="I108" s="29"/>
      <c r="J108" s="27"/>
      <c r="K108" s="29" t="s">
        <v>28</v>
      </c>
      <c r="L108" s="29" t="s">
        <v>28</v>
      </c>
      <c r="M108" s="29" t="s">
        <v>28</v>
      </c>
      <c r="O108" s="12" t="s">
        <v>28</v>
      </c>
      <c r="P108" s="27" t="s">
        <v>280</v>
      </c>
      <c r="Q108" s="27" t="s">
        <v>463</v>
      </c>
    </row>
    <row r="109" spans="1:17" ht="39.6" hidden="1" x14ac:dyDescent="0.3">
      <c r="A109" s="71" t="str">
        <f>Tabelle1[[#This Row],[Feature
Number]]</f>
        <v>F0500</v>
      </c>
      <c r="B109" s="27" t="s">
        <v>77</v>
      </c>
      <c r="C109" s="27" t="s">
        <v>124</v>
      </c>
      <c r="D109" s="43" t="s">
        <v>674</v>
      </c>
      <c r="E109" s="28" t="s">
        <v>675</v>
      </c>
      <c r="F109" s="29" t="s">
        <v>676</v>
      </c>
      <c r="G109" s="31" t="s">
        <v>677</v>
      </c>
      <c r="H109" s="29"/>
      <c r="I109" s="29"/>
      <c r="J109" s="27"/>
      <c r="K109" s="29"/>
      <c r="L109" s="29"/>
      <c r="M109" s="29" t="s">
        <v>28</v>
      </c>
      <c r="O109" s="12" t="s">
        <v>28</v>
      </c>
      <c r="P109" s="27" t="s">
        <v>280</v>
      </c>
      <c r="Q109" s="27" t="s">
        <v>463</v>
      </c>
    </row>
    <row r="110" spans="1:17" ht="26.4" hidden="1" x14ac:dyDescent="0.3">
      <c r="A110" s="71" t="str">
        <f>Tabelle1[[#This Row],[Feature
Number]]</f>
        <v>F0x33</v>
      </c>
      <c r="B110" s="47" t="s">
        <v>77</v>
      </c>
      <c r="C110" s="47" t="s">
        <v>124</v>
      </c>
      <c r="D110" s="36" t="s">
        <v>1031</v>
      </c>
      <c r="E110" s="36" t="s">
        <v>1032</v>
      </c>
      <c r="F110" s="35" t="s">
        <v>1033</v>
      </c>
      <c r="G110" s="58" t="s">
        <v>677</v>
      </c>
      <c r="H110" s="35" t="s">
        <v>1010</v>
      </c>
      <c r="I110" s="35" t="s">
        <v>1010</v>
      </c>
      <c r="J110" s="47"/>
      <c r="K110" s="35" t="s">
        <v>1010</v>
      </c>
      <c r="L110" s="35" t="s">
        <v>28</v>
      </c>
      <c r="M110" s="35" t="s">
        <v>28</v>
      </c>
      <c r="O110" s="12" t="s">
        <v>28</v>
      </c>
      <c r="P110" s="27" t="s">
        <v>22</v>
      </c>
      <c r="Q110" s="27" t="s">
        <v>103</v>
      </c>
    </row>
    <row r="111" spans="1:17" ht="39.6" hidden="1" x14ac:dyDescent="0.3">
      <c r="A111" s="71" t="str">
        <f>Tabelle1[[#This Row],[Feature
Number]]</f>
        <v>F0781</v>
      </c>
      <c r="B111" s="27" t="s">
        <v>77</v>
      </c>
      <c r="C111" s="27" t="s">
        <v>124</v>
      </c>
      <c r="D111" s="43" t="s">
        <v>864</v>
      </c>
      <c r="E111" s="28" t="s">
        <v>865</v>
      </c>
      <c r="F111" s="29" t="s">
        <v>866</v>
      </c>
      <c r="G111" s="31" t="s">
        <v>677</v>
      </c>
      <c r="H111" s="29"/>
      <c r="I111" s="29"/>
      <c r="J111" s="27"/>
      <c r="K111" s="29"/>
      <c r="L111" s="29" t="s">
        <v>28</v>
      </c>
      <c r="M111" s="29" t="s">
        <v>28</v>
      </c>
      <c r="O111" s="12" t="s">
        <v>28</v>
      </c>
      <c r="P111" s="27" t="s">
        <v>29</v>
      </c>
      <c r="Q111" s="27" t="s">
        <v>386</v>
      </c>
    </row>
    <row r="112" spans="1:17" ht="39.6" hidden="1" x14ac:dyDescent="0.3">
      <c r="A112" s="71" t="str">
        <f>Tabelle1[[#This Row],[Feature
Number]]</f>
        <v>F0x32</v>
      </c>
      <c r="B112" s="47" t="s">
        <v>77</v>
      </c>
      <c r="C112" s="47" t="s">
        <v>124</v>
      </c>
      <c r="D112" s="36" t="s">
        <v>1029</v>
      </c>
      <c r="E112" s="36" t="s">
        <v>1030</v>
      </c>
      <c r="F112" s="35" t="s">
        <v>677</v>
      </c>
      <c r="G112" s="58" t="s">
        <v>73</v>
      </c>
      <c r="H112" s="35" t="s">
        <v>1010</v>
      </c>
      <c r="I112" s="35" t="s">
        <v>1010</v>
      </c>
      <c r="J112" s="47"/>
      <c r="K112" s="35" t="s">
        <v>1010</v>
      </c>
      <c r="L112" s="35" t="s">
        <v>28</v>
      </c>
      <c r="M112" s="35" t="s">
        <v>28</v>
      </c>
      <c r="O112" s="12" t="s">
        <v>28</v>
      </c>
      <c r="P112" s="27" t="s">
        <v>29</v>
      </c>
      <c r="Q112" s="27" t="s">
        <v>386</v>
      </c>
    </row>
    <row r="113" spans="1:17" hidden="1" x14ac:dyDescent="0.3">
      <c r="A113" s="71" t="str">
        <f>Tabelle1[[#This Row],[Feature
Number]]</f>
        <v>F0411</v>
      </c>
      <c r="B113" s="27" t="s">
        <v>63</v>
      </c>
      <c r="C113" s="27" t="s">
        <v>64</v>
      </c>
      <c r="D113" s="43" t="s">
        <v>614</v>
      </c>
      <c r="E113" s="28" t="s">
        <v>615</v>
      </c>
      <c r="F113" s="29" t="s">
        <v>616</v>
      </c>
      <c r="G113" s="31" t="s">
        <v>327</v>
      </c>
      <c r="H113" s="29"/>
      <c r="I113" s="29"/>
      <c r="J113" s="27"/>
      <c r="K113" s="29"/>
      <c r="L113" s="29" t="s">
        <v>28</v>
      </c>
      <c r="M113" s="29" t="s">
        <v>28</v>
      </c>
      <c r="O113" s="12" t="s">
        <v>28</v>
      </c>
      <c r="P113" s="27" t="s">
        <v>318</v>
      </c>
      <c r="Q113" s="27" t="s">
        <v>319</v>
      </c>
    </row>
    <row r="114" spans="1:17" ht="39.6" hidden="1" x14ac:dyDescent="0.3">
      <c r="A114" s="71" t="str">
        <f>Tabelle1[[#This Row],[Feature
Number]]</f>
        <v>F0115</v>
      </c>
      <c r="B114" s="27" t="s">
        <v>63</v>
      </c>
      <c r="C114" s="27" t="s">
        <v>64</v>
      </c>
      <c r="D114" s="43" t="s">
        <v>237</v>
      </c>
      <c r="E114" s="28" t="s">
        <v>238</v>
      </c>
      <c r="F114" s="29" t="s">
        <v>239</v>
      </c>
      <c r="G114" s="31" t="s">
        <v>240</v>
      </c>
      <c r="H114" s="29"/>
      <c r="I114" s="29" t="s">
        <v>28</v>
      </c>
      <c r="J114" s="27"/>
      <c r="K114" s="29" t="s">
        <v>28</v>
      </c>
      <c r="L114" s="29" t="s">
        <v>28</v>
      </c>
      <c r="M114" s="29" t="s">
        <v>28</v>
      </c>
      <c r="O114" s="12" t="s">
        <v>28</v>
      </c>
      <c r="P114" s="27" t="s">
        <v>22</v>
      </c>
      <c r="Q114" s="27" t="s">
        <v>103</v>
      </c>
    </row>
    <row r="115" spans="1:17" ht="39.6" hidden="1" x14ac:dyDescent="0.3">
      <c r="A115" s="71" t="str">
        <f>Tabelle1[[#This Row],[Feature
Number]]</f>
        <v>F0232</v>
      </c>
      <c r="B115" s="27" t="s">
        <v>63</v>
      </c>
      <c r="C115" s="27" t="s">
        <v>64</v>
      </c>
      <c r="D115" s="43" t="s">
        <v>409</v>
      </c>
      <c r="E115" s="28" t="s">
        <v>410</v>
      </c>
      <c r="F115" s="29" t="s">
        <v>411</v>
      </c>
      <c r="G115" s="31" t="s">
        <v>327</v>
      </c>
      <c r="H115" s="29"/>
      <c r="I115" s="29"/>
      <c r="J115" s="27"/>
      <c r="K115" s="29" t="s">
        <v>28</v>
      </c>
      <c r="L115" s="29" t="s">
        <v>28</v>
      </c>
      <c r="M115" s="29" t="s">
        <v>28</v>
      </c>
      <c r="O115" s="12" t="s">
        <v>28</v>
      </c>
      <c r="P115" s="27" t="s">
        <v>22</v>
      </c>
      <c r="Q115" s="27" t="s">
        <v>23</v>
      </c>
    </row>
    <row r="116" spans="1:17" ht="39.6" hidden="1" x14ac:dyDescent="0.3">
      <c r="A116" s="71" t="str">
        <f>Tabelle1[[#This Row],[Feature
Number]]</f>
        <v>F1037</v>
      </c>
      <c r="B116" s="27" t="s">
        <v>63</v>
      </c>
      <c r="C116" s="27" t="s">
        <v>64</v>
      </c>
      <c r="D116" s="43" t="s">
        <v>1145</v>
      </c>
      <c r="E116" s="28" t="s">
        <v>1146</v>
      </c>
      <c r="F116" s="52" t="s">
        <v>1147</v>
      </c>
      <c r="G116" s="56" t="s">
        <v>1148</v>
      </c>
      <c r="H116" s="29"/>
      <c r="I116" s="29" t="s">
        <v>28</v>
      </c>
      <c r="J116" s="27"/>
      <c r="K116" s="29" t="s">
        <v>28</v>
      </c>
      <c r="L116" s="29" t="s">
        <v>28</v>
      </c>
      <c r="M116" s="29" t="s">
        <v>28</v>
      </c>
      <c r="O116" s="12" t="s">
        <v>28</v>
      </c>
      <c r="P116" s="27" t="s">
        <v>266</v>
      </c>
      <c r="Q116" s="27" t="s">
        <v>519</v>
      </c>
    </row>
    <row r="117" spans="1:17" ht="26.4" hidden="1" x14ac:dyDescent="0.3">
      <c r="A117" s="71" t="str">
        <f>Tabelle1[[#This Row],[Feature
Number]]</f>
        <v>F0293</v>
      </c>
      <c r="B117" s="27" t="s">
        <v>63</v>
      </c>
      <c r="C117" s="27" t="s">
        <v>64</v>
      </c>
      <c r="D117" s="43" t="s">
        <v>489</v>
      </c>
      <c r="E117" s="28" t="s">
        <v>490</v>
      </c>
      <c r="F117" s="29" t="s">
        <v>491</v>
      </c>
      <c r="G117" s="31" t="s">
        <v>327</v>
      </c>
      <c r="H117" s="29"/>
      <c r="I117" s="29"/>
      <c r="J117" s="27"/>
      <c r="K117" s="29" t="s">
        <v>28</v>
      </c>
      <c r="L117" s="29" t="s">
        <v>28</v>
      </c>
      <c r="M117" s="29" t="s">
        <v>28</v>
      </c>
      <c r="O117" s="12" t="s">
        <v>28</v>
      </c>
      <c r="P117" s="27" t="s">
        <v>266</v>
      </c>
      <c r="Q117" s="27" t="s">
        <v>519</v>
      </c>
    </row>
    <row r="118" spans="1:17" ht="79.2" hidden="1" x14ac:dyDescent="0.3">
      <c r="A118" s="71" t="str">
        <f>Tabelle1[[#This Row],[Feature
Number]]</f>
        <v>F0101</v>
      </c>
      <c r="B118" s="27" t="s">
        <v>63</v>
      </c>
      <c r="C118" s="27" t="s">
        <v>224</v>
      </c>
      <c r="D118" s="43" t="s">
        <v>225</v>
      </c>
      <c r="E118" s="28" t="s">
        <v>226</v>
      </c>
      <c r="F118" s="29" t="s">
        <v>227</v>
      </c>
      <c r="G118" s="31" t="s">
        <v>73</v>
      </c>
      <c r="H118" s="29"/>
      <c r="I118" s="29"/>
      <c r="J118" s="27"/>
      <c r="K118" s="29" t="s">
        <v>28</v>
      </c>
      <c r="L118" s="29" t="s">
        <v>28</v>
      </c>
      <c r="M118" s="29" t="s">
        <v>28</v>
      </c>
      <c r="O118" s="12" t="s">
        <v>28</v>
      </c>
      <c r="P118" s="27" t="s">
        <v>266</v>
      </c>
      <c r="Q118" s="27" t="s">
        <v>519</v>
      </c>
    </row>
    <row r="119" spans="1:17" ht="92.4" hidden="1" x14ac:dyDescent="0.3">
      <c r="A119" s="71" t="str">
        <f>Tabelle1[[#This Row],[Feature
Number]]</f>
        <v>F0259</v>
      </c>
      <c r="B119" s="27" t="s">
        <v>63</v>
      </c>
      <c r="C119" s="27" t="s">
        <v>224</v>
      </c>
      <c r="D119" s="43" t="s">
        <v>460</v>
      </c>
      <c r="E119" s="28" t="s">
        <v>461</v>
      </c>
      <c r="F119" s="29" t="s">
        <v>462</v>
      </c>
      <c r="G119" s="31" t="s">
        <v>73</v>
      </c>
      <c r="H119" s="29"/>
      <c r="I119" s="29"/>
      <c r="J119" s="27"/>
      <c r="K119" s="29" t="s">
        <v>28</v>
      </c>
      <c r="L119" s="29" t="s">
        <v>28</v>
      </c>
      <c r="M119" s="29" t="s">
        <v>28</v>
      </c>
      <c r="O119" s="12" t="s">
        <v>28</v>
      </c>
      <c r="P119" s="27" t="s">
        <v>266</v>
      </c>
      <c r="Q119" s="27" t="s">
        <v>519</v>
      </c>
    </row>
    <row r="120" spans="1:17" ht="39.6" hidden="1" x14ac:dyDescent="0.3">
      <c r="A120" s="71" t="str">
        <f>Tabelle1[[#This Row],[Feature
Number]]</f>
        <v>F0803</v>
      </c>
      <c r="B120" s="27" t="s">
        <v>63</v>
      </c>
      <c r="C120" s="27" t="s">
        <v>224</v>
      </c>
      <c r="D120" s="28" t="s">
        <v>898</v>
      </c>
      <c r="E120" s="28" t="s">
        <v>899</v>
      </c>
      <c r="F120" s="49" t="s">
        <v>900</v>
      </c>
      <c r="G120" s="31" t="s">
        <v>370</v>
      </c>
      <c r="H120" s="29"/>
      <c r="I120" s="29"/>
      <c r="J120" s="27"/>
      <c r="K120" s="29"/>
      <c r="L120" s="29"/>
      <c r="M120" s="29" t="s">
        <v>28</v>
      </c>
      <c r="P120" s="27" t="s">
        <v>266</v>
      </c>
      <c r="Q120" s="27" t="s">
        <v>519</v>
      </c>
    </row>
    <row r="121" spans="1:17" hidden="1" x14ac:dyDescent="0.3">
      <c r="A121" s="71" t="str">
        <f>Tabelle1[[#This Row],[Feature
Number]]</f>
        <v>F0465</v>
      </c>
      <c r="B121" s="27" t="s">
        <v>63</v>
      </c>
      <c r="C121" s="27" t="s">
        <v>64</v>
      </c>
      <c r="D121" s="43" t="s">
        <v>649</v>
      </c>
      <c r="E121" s="28" t="s">
        <v>650</v>
      </c>
      <c r="F121" s="29" t="s">
        <v>651</v>
      </c>
      <c r="G121" s="31" t="s">
        <v>336</v>
      </c>
      <c r="H121" s="29"/>
      <c r="I121" s="29" t="s">
        <v>28</v>
      </c>
      <c r="J121" s="27"/>
      <c r="K121" s="29" t="s">
        <v>28</v>
      </c>
      <c r="L121" s="29" t="s">
        <v>28</v>
      </c>
      <c r="M121" s="29" t="s">
        <v>28</v>
      </c>
      <c r="O121" s="12" t="s">
        <v>28</v>
      </c>
      <c r="P121" s="27" t="s">
        <v>266</v>
      </c>
      <c r="Q121" s="27" t="s">
        <v>519</v>
      </c>
    </row>
    <row r="122" spans="1:17" ht="79.2" hidden="1" x14ac:dyDescent="0.3">
      <c r="A122" s="71" t="str">
        <f>Tabelle1[[#This Row],[Feature
Number]]</f>
        <v>F0732</v>
      </c>
      <c r="B122" s="27" t="s">
        <v>63</v>
      </c>
      <c r="C122" s="27" t="s">
        <v>64</v>
      </c>
      <c r="D122" s="43" t="s">
        <v>848</v>
      </c>
      <c r="E122" s="28" t="s">
        <v>849</v>
      </c>
      <c r="F122" s="29" t="s">
        <v>850</v>
      </c>
      <c r="G122" s="31" t="s">
        <v>336</v>
      </c>
      <c r="H122" s="29"/>
      <c r="I122" s="29" t="s">
        <v>28</v>
      </c>
      <c r="J122" s="27"/>
      <c r="K122" s="29" t="s">
        <v>28</v>
      </c>
      <c r="L122" s="29" t="s">
        <v>28</v>
      </c>
      <c r="M122" s="29" t="s">
        <v>28</v>
      </c>
      <c r="O122" s="12" t="s">
        <v>28</v>
      </c>
      <c r="P122" s="27" t="s">
        <v>266</v>
      </c>
      <c r="Q122" s="27" t="s">
        <v>519</v>
      </c>
    </row>
    <row r="123" spans="1:17" ht="52.8" hidden="1" x14ac:dyDescent="0.3">
      <c r="A123" s="71" t="str">
        <f>Tabelle1[[#This Row],[Feature
Number]]</f>
        <v>F0203</v>
      </c>
      <c r="B123" s="27" t="s">
        <v>63</v>
      </c>
      <c r="C123" s="27" t="s">
        <v>64</v>
      </c>
      <c r="D123" s="43" t="s">
        <v>359</v>
      </c>
      <c r="E123" s="28" t="s">
        <v>360</v>
      </c>
      <c r="F123" s="29" t="s">
        <v>361</v>
      </c>
      <c r="G123" s="31" t="s">
        <v>336</v>
      </c>
      <c r="H123" s="29"/>
      <c r="I123" s="29" t="s">
        <v>28</v>
      </c>
      <c r="J123" s="27"/>
      <c r="K123" s="29" t="s">
        <v>28</v>
      </c>
      <c r="L123" s="29" t="s">
        <v>28</v>
      </c>
      <c r="M123" s="29" t="s">
        <v>28</v>
      </c>
      <c r="O123" s="12" t="s">
        <v>28</v>
      </c>
      <c r="P123" s="27" t="s">
        <v>22</v>
      </c>
      <c r="Q123" s="27" t="s">
        <v>35</v>
      </c>
    </row>
    <row r="124" spans="1:17" ht="39.6" hidden="1" x14ac:dyDescent="0.3">
      <c r="A124" s="71" t="str">
        <f>Tabelle1[[#This Row],[Feature
Number]]</f>
        <v>F0238</v>
      </c>
      <c r="B124" s="27" t="s">
        <v>63</v>
      </c>
      <c r="C124" s="27" t="s">
        <v>64</v>
      </c>
      <c r="D124" s="43" t="s">
        <v>418</v>
      </c>
      <c r="E124" s="28" t="s">
        <v>419</v>
      </c>
      <c r="F124" s="29" t="s">
        <v>327</v>
      </c>
      <c r="G124" s="31" t="s">
        <v>336</v>
      </c>
      <c r="H124" s="29"/>
      <c r="I124" s="29" t="s">
        <v>28</v>
      </c>
      <c r="J124" s="27"/>
      <c r="K124" s="29" t="s">
        <v>28</v>
      </c>
      <c r="L124" s="29" t="s">
        <v>28</v>
      </c>
      <c r="M124" s="29" t="s">
        <v>28</v>
      </c>
      <c r="O124" s="12" t="s">
        <v>28</v>
      </c>
      <c r="P124" s="27" t="s">
        <v>22</v>
      </c>
      <c r="Q124" s="27" t="s">
        <v>35</v>
      </c>
    </row>
    <row r="125" spans="1:17" ht="26.4" hidden="1" x14ac:dyDescent="0.3">
      <c r="A125" s="71" t="str">
        <f>Tabelle1[[#This Row],[Feature
Number]]</f>
        <v>F0541</v>
      </c>
      <c r="B125" s="27" t="s">
        <v>63</v>
      </c>
      <c r="C125" s="27" t="s">
        <v>64</v>
      </c>
      <c r="D125" s="43" t="s">
        <v>694</v>
      </c>
      <c r="E125" s="28" t="s">
        <v>695</v>
      </c>
      <c r="F125" s="29" t="s">
        <v>696</v>
      </c>
      <c r="G125" s="31" t="s">
        <v>336</v>
      </c>
      <c r="H125" s="29"/>
      <c r="I125" s="29" t="s">
        <v>28</v>
      </c>
      <c r="J125" s="27"/>
      <c r="K125" s="29" t="s">
        <v>28</v>
      </c>
      <c r="L125" s="29" t="s">
        <v>28</v>
      </c>
      <c r="M125" s="29" t="s">
        <v>28</v>
      </c>
      <c r="O125" s="12" t="s">
        <v>28</v>
      </c>
      <c r="P125" s="27" t="s">
        <v>266</v>
      </c>
      <c r="Q125" s="27" t="s">
        <v>294</v>
      </c>
    </row>
    <row r="126" spans="1:17" ht="26.4" hidden="1" x14ac:dyDescent="0.3">
      <c r="A126" s="71" t="str">
        <f>Tabelle1[[#This Row],[Feature
Number]]</f>
        <v>F0463</v>
      </c>
      <c r="B126" s="27" t="s">
        <v>63</v>
      </c>
      <c r="C126" s="27" t="s">
        <v>64</v>
      </c>
      <c r="D126" s="43" t="s">
        <v>643</v>
      </c>
      <c r="E126" s="28" t="s">
        <v>644</v>
      </c>
      <c r="F126" s="29" t="s">
        <v>645</v>
      </c>
      <c r="G126" s="31" t="s">
        <v>336</v>
      </c>
      <c r="H126" s="29"/>
      <c r="I126" s="29" t="s">
        <v>28</v>
      </c>
      <c r="J126" s="27"/>
      <c r="K126" s="29" t="s">
        <v>28</v>
      </c>
      <c r="L126" s="29" t="s">
        <v>28</v>
      </c>
      <c r="M126" s="29" t="s">
        <v>28</v>
      </c>
      <c r="O126" s="12" t="s">
        <v>28</v>
      </c>
      <c r="P126" s="27" t="s">
        <v>266</v>
      </c>
      <c r="Q126" s="27" t="s">
        <v>294</v>
      </c>
    </row>
    <row r="127" spans="1:17" ht="39.6" hidden="1" x14ac:dyDescent="0.3">
      <c r="A127" s="71" t="str">
        <f>Tabelle1[[#This Row],[Feature
Number]]</f>
        <v>F0239</v>
      </c>
      <c r="B127" s="27" t="s">
        <v>63</v>
      </c>
      <c r="C127" s="27" t="s">
        <v>64</v>
      </c>
      <c r="D127" s="43" t="s">
        <v>420</v>
      </c>
      <c r="E127" s="28" t="s">
        <v>421</v>
      </c>
      <c r="F127" s="29" t="s">
        <v>422</v>
      </c>
      <c r="G127" s="31" t="s">
        <v>336</v>
      </c>
      <c r="H127" s="29"/>
      <c r="I127" s="29" t="s">
        <v>28</v>
      </c>
      <c r="J127" s="27"/>
      <c r="K127" s="29" t="s">
        <v>28</v>
      </c>
      <c r="L127" s="29" t="s">
        <v>28</v>
      </c>
      <c r="M127" s="29" t="s">
        <v>28</v>
      </c>
      <c r="O127" s="12" t="s">
        <v>28</v>
      </c>
      <c r="P127" s="27" t="s">
        <v>57</v>
      </c>
      <c r="Q127" s="27" t="s">
        <v>58</v>
      </c>
    </row>
    <row r="128" spans="1:17" ht="26.4" hidden="1" x14ac:dyDescent="0.3">
      <c r="A128" s="71" t="str">
        <f>Tabelle1[[#This Row],[Feature
Number]]</f>
        <v>F0019</v>
      </c>
      <c r="B128" s="27" t="s">
        <v>63</v>
      </c>
      <c r="C128" s="27" t="s">
        <v>64</v>
      </c>
      <c r="D128" s="43" t="s">
        <v>65</v>
      </c>
      <c r="E128" s="28" t="s">
        <v>66</v>
      </c>
      <c r="F128" s="29" t="s">
        <v>67</v>
      </c>
      <c r="G128" s="31" t="s">
        <v>68</v>
      </c>
      <c r="H128" s="29"/>
      <c r="I128" s="29" t="s">
        <v>28</v>
      </c>
      <c r="J128" s="27"/>
      <c r="K128" s="29" t="s">
        <v>28</v>
      </c>
      <c r="L128" s="29" t="s">
        <v>28</v>
      </c>
      <c r="M128" s="29" t="s">
        <v>28</v>
      </c>
      <c r="O128" s="12" t="s">
        <v>28</v>
      </c>
      <c r="P128" s="27" t="s">
        <v>256</v>
      </c>
      <c r="Q128" s="27" t="s">
        <v>532</v>
      </c>
    </row>
    <row r="129" spans="1:17" hidden="1" x14ac:dyDescent="0.3">
      <c r="A129" s="71" t="str">
        <f>Tabelle1[[#This Row],[Feature
Number]]</f>
        <v>F0623</v>
      </c>
      <c r="B129" s="27" t="s">
        <v>63</v>
      </c>
      <c r="C129" s="27" t="s">
        <v>64</v>
      </c>
      <c r="D129" s="43" t="s">
        <v>750</v>
      </c>
      <c r="E129" s="28" t="s">
        <v>751</v>
      </c>
      <c r="F129" s="29" t="s">
        <v>752</v>
      </c>
      <c r="G129" s="31" t="s">
        <v>327</v>
      </c>
      <c r="H129" s="29"/>
      <c r="I129" s="29" t="s">
        <v>28</v>
      </c>
      <c r="J129" s="27"/>
      <c r="K129" s="29" t="s">
        <v>28</v>
      </c>
      <c r="L129" s="29" t="s">
        <v>28</v>
      </c>
      <c r="M129" s="29" t="s">
        <v>28</v>
      </c>
      <c r="O129" s="12" t="s">
        <v>28</v>
      </c>
      <c r="P129" s="27" t="s">
        <v>266</v>
      </c>
      <c r="Q129" s="27" t="s">
        <v>294</v>
      </c>
    </row>
    <row r="130" spans="1:17" ht="26.4" hidden="1" x14ac:dyDescent="0.3">
      <c r="A130" s="71" t="str">
        <f>Tabelle1[[#This Row],[Feature
Number]]</f>
        <v>F0240</v>
      </c>
      <c r="B130" s="27" t="s">
        <v>63</v>
      </c>
      <c r="C130" s="27" t="s">
        <v>64</v>
      </c>
      <c r="D130" s="43" t="s">
        <v>423</v>
      </c>
      <c r="E130" s="28" t="s">
        <v>424</v>
      </c>
      <c r="F130" s="29" t="s">
        <v>425</v>
      </c>
      <c r="G130" s="31" t="s">
        <v>336</v>
      </c>
      <c r="H130" s="29"/>
      <c r="I130" s="29" t="s">
        <v>28</v>
      </c>
      <c r="J130" s="27"/>
      <c r="K130" s="29" t="s">
        <v>28</v>
      </c>
      <c r="L130" s="29" t="s">
        <v>28</v>
      </c>
      <c r="M130" s="29" t="s">
        <v>28</v>
      </c>
      <c r="O130" s="12" t="s">
        <v>28</v>
      </c>
      <c r="P130" s="27" t="s">
        <v>266</v>
      </c>
      <c r="Q130" s="27" t="s">
        <v>294</v>
      </c>
    </row>
    <row r="131" spans="1:17" ht="26.4" hidden="1" x14ac:dyDescent="0.3">
      <c r="A131" s="71" t="str">
        <f>Tabelle1[[#This Row],[Feature
Number]]</f>
        <v>F0790</v>
      </c>
      <c r="B131" s="27" t="s">
        <v>63</v>
      </c>
      <c r="C131" s="27" t="s">
        <v>64</v>
      </c>
      <c r="D131" s="43" t="s">
        <v>876</v>
      </c>
      <c r="E131" s="28" t="s">
        <v>877</v>
      </c>
      <c r="F131" s="29" t="s">
        <v>878</v>
      </c>
      <c r="G131" s="31" t="s">
        <v>336</v>
      </c>
      <c r="H131" s="29"/>
      <c r="I131" s="29" t="s">
        <v>28</v>
      </c>
      <c r="J131" s="27"/>
      <c r="K131" s="29" t="s">
        <v>28</v>
      </c>
      <c r="L131" s="29" t="s">
        <v>28</v>
      </c>
      <c r="M131" s="29" t="s">
        <v>28</v>
      </c>
      <c r="O131" s="12" t="s">
        <v>28</v>
      </c>
      <c r="P131" s="27" t="s">
        <v>266</v>
      </c>
      <c r="Q131" s="27" t="s">
        <v>294</v>
      </c>
    </row>
    <row r="132" spans="1:17" hidden="1" x14ac:dyDescent="0.3">
      <c r="A132" s="71" t="str">
        <f>Tabelle1[[#This Row],[Feature
Number]]</f>
        <v>F0626</v>
      </c>
      <c r="B132" s="27" t="s">
        <v>63</v>
      </c>
      <c r="C132" s="27" t="s">
        <v>64</v>
      </c>
      <c r="D132" s="43" t="s">
        <v>756</v>
      </c>
      <c r="E132" s="28" t="s">
        <v>757</v>
      </c>
      <c r="F132" s="29" t="s">
        <v>758</v>
      </c>
      <c r="G132" s="31" t="s">
        <v>327</v>
      </c>
      <c r="H132" s="29"/>
      <c r="I132" s="29" t="s">
        <v>28</v>
      </c>
      <c r="J132" s="27"/>
      <c r="K132" s="29" t="s">
        <v>28</v>
      </c>
      <c r="L132" s="29" t="s">
        <v>28</v>
      </c>
      <c r="M132" s="29" t="s">
        <v>28</v>
      </c>
      <c r="O132" s="12" t="s">
        <v>28</v>
      </c>
      <c r="P132" s="27" t="s">
        <v>29</v>
      </c>
      <c r="Q132" s="27" t="s">
        <v>113</v>
      </c>
    </row>
    <row r="133" spans="1:17" hidden="1" x14ac:dyDescent="0.3">
      <c r="A133" s="71" t="str">
        <f>Tabelle1[[#This Row],[Feature
Number]]</f>
        <v>F0903</v>
      </c>
      <c r="B133" s="27" t="s">
        <v>63</v>
      </c>
      <c r="C133" s="27" t="s">
        <v>64</v>
      </c>
      <c r="D133" s="43" t="s">
        <v>921</v>
      </c>
      <c r="E133" s="28" t="s">
        <v>922</v>
      </c>
      <c r="F133" s="29" t="s">
        <v>923</v>
      </c>
      <c r="G133" s="31" t="s">
        <v>327</v>
      </c>
      <c r="H133" s="29"/>
      <c r="I133" s="29" t="s">
        <v>28</v>
      </c>
      <c r="J133" s="27"/>
      <c r="K133" s="29" t="s">
        <v>28</v>
      </c>
      <c r="L133" s="29" t="s">
        <v>28</v>
      </c>
      <c r="M133" s="29" t="s">
        <v>28</v>
      </c>
      <c r="O133" s="12" t="s">
        <v>28</v>
      </c>
      <c r="P133" s="27" t="s">
        <v>29</v>
      </c>
      <c r="Q133" s="27" t="s">
        <v>113</v>
      </c>
    </row>
    <row r="134" spans="1:17" hidden="1" x14ac:dyDescent="0.3">
      <c r="A134" s="71" t="str">
        <f>Tabelle1[[#This Row],[Feature
Number]]</f>
        <v>F0904</v>
      </c>
      <c r="B134" s="27" t="s">
        <v>63</v>
      </c>
      <c r="C134" s="27" t="s">
        <v>64</v>
      </c>
      <c r="D134" s="43" t="s">
        <v>924</v>
      </c>
      <c r="E134" s="28" t="s">
        <v>925</v>
      </c>
      <c r="F134" s="29" t="s">
        <v>926</v>
      </c>
      <c r="G134" s="31" t="s">
        <v>327</v>
      </c>
      <c r="H134" s="29"/>
      <c r="I134" s="29" t="s">
        <v>28</v>
      </c>
      <c r="J134" s="27"/>
      <c r="K134" s="29" t="s">
        <v>28</v>
      </c>
      <c r="L134" s="29" t="s">
        <v>28</v>
      </c>
      <c r="M134" s="29" t="s">
        <v>28</v>
      </c>
      <c r="O134" s="12" t="s">
        <v>28</v>
      </c>
      <c r="P134" s="27" t="s">
        <v>29</v>
      </c>
      <c r="Q134" s="27" t="s">
        <v>113</v>
      </c>
    </row>
    <row r="135" spans="1:17" hidden="1" x14ac:dyDescent="0.3">
      <c r="A135" s="71" t="str">
        <f>Tabelle1[[#This Row],[Feature
Number]]</f>
        <v>F0464</v>
      </c>
      <c r="B135" s="27" t="s">
        <v>63</v>
      </c>
      <c r="C135" s="27" t="s">
        <v>64</v>
      </c>
      <c r="D135" s="43" t="s">
        <v>646</v>
      </c>
      <c r="E135" s="28" t="s">
        <v>647</v>
      </c>
      <c r="F135" s="48" t="s">
        <v>648</v>
      </c>
      <c r="G135" s="56" t="s">
        <v>336</v>
      </c>
      <c r="H135" s="29"/>
      <c r="I135" s="29" t="s">
        <v>28</v>
      </c>
      <c r="J135" s="27"/>
      <c r="K135" s="29" t="s">
        <v>28</v>
      </c>
      <c r="L135" s="29" t="s">
        <v>28</v>
      </c>
      <c r="M135" s="29" t="s">
        <v>28</v>
      </c>
      <c r="O135" s="12" t="s">
        <v>28</v>
      </c>
      <c r="P135" s="27" t="s">
        <v>29</v>
      </c>
      <c r="Q135" s="27" t="s">
        <v>30</v>
      </c>
    </row>
    <row r="136" spans="1:17" ht="39.6" hidden="1" x14ac:dyDescent="0.3">
      <c r="A136" s="71" t="str">
        <f>Tabelle1[[#This Row],[Feature
Number]]</f>
        <v>F0495</v>
      </c>
      <c r="B136" s="27" t="s">
        <v>63</v>
      </c>
      <c r="C136" s="27" t="s">
        <v>64</v>
      </c>
      <c r="D136" s="43" t="s">
        <v>671</v>
      </c>
      <c r="E136" s="28" t="s">
        <v>672</v>
      </c>
      <c r="F136" s="29" t="s">
        <v>673</v>
      </c>
      <c r="G136" s="31" t="s">
        <v>68</v>
      </c>
      <c r="H136" s="29"/>
      <c r="I136" s="29" t="s">
        <v>28</v>
      </c>
      <c r="J136" s="27"/>
      <c r="K136" s="29" t="s">
        <v>28</v>
      </c>
      <c r="L136" s="29" t="s">
        <v>28</v>
      </c>
      <c r="M136" s="29" t="s">
        <v>28</v>
      </c>
      <c r="O136" s="12" t="s">
        <v>28</v>
      </c>
      <c r="P136" s="27" t="s">
        <v>29</v>
      </c>
      <c r="Q136" s="27" t="s">
        <v>30</v>
      </c>
    </row>
    <row r="137" spans="1:17" ht="39.6" hidden="1" x14ac:dyDescent="0.3">
      <c r="A137" s="71" t="str">
        <f>Tabelle1[[#This Row],[Feature
Number]]</f>
        <v>F0631</v>
      </c>
      <c r="B137" s="27" t="s">
        <v>63</v>
      </c>
      <c r="C137" s="27" t="s">
        <v>64</v>
      </c>
      <c r="D137" s="43" t="s">
        <v>768</v>
      </c>
      <c r="E137" s="28" t="s">
        <v>769</v>
      </c>
      <c r="F137" s="29" t="s">
        <v>770</v>
      </c>
      <c r="G137" s="31" t="s">
        <v>68</v>
      </c>
      <c r="H137" s="29"/>
      <c r="I137" s="29" t="s">
        <v>28</v>
      </c>
      <c r="J137" s="27"/>
      <c r="K137" s="29" t="s">
        <v>28</v>
      </c>
      <c r="L137" s="29" t="s">
        <v>28</v>
      </c>
      <c r="M137" s="29" t="s">
        <v>28</v>
      </c>
      <c r="O137" s="12" t="s">
        <v>28</v>
      </c>
      <c r="P137" s="27" t="s">
        <v>199</v>
      </c>
      <c r="Q137" s="27" t="s">
        <v>485</v>
      </c>
    </row>
    <row r="138" spans="1:17" ht="79.2" hidden="1" x14ac:dyDescent="0.3">
      <c r="A138" s="71" t="str">
        <f>Tabelle1[[#This Row],[Feature
Number]]</f>
        <v>F0608</v>
      </c>
      <c r="B138" s="27" t="s">
        <v>63</v>
      </c>
      <c r="C138" s="27" t="s">
        <v>64</v>
      </c>
      <c r="D138" s="43" t="s">
        <v>735</v>
      </c>
      <c r="E138" s="28" t="s">
        <v>736</v>
      </c>
      <c r="F138" s="29" t="s">
        <v>240</v>
      </c>
      <c r="G138" s="31" t="s">
        <v>336</v>
      </c>
      <c r="H138" s="29"/>
      <c r="I138" s="29" t="s">
        <v>28</v>
      </c>
      <c r="J138" s="27"/>
      <c r="K138" s="29" t="s">
        <v>28</v>
      </c>
      <c r="L138" s="29" t="s">
        <v>28</v>
      </c>
      <c r="M138" s="29" t="s">
        <v>28</v>
      </c>
      <c r="O138" s="12" t="s">
        <v>28</v>
      </c>
      <c r="P138" s="27" t="s">
        <v>29</v>
      </c>
      <c r="Q138" s="27" t="s">
        <v>30</v>
      </c>
    </row>
    <row r="139" spans="1:17" ht="39.6" hidden="1" x14ac:dyDescent="0.3">
      <c r="A139" s="71" t="str">
        <f>Tabelle1[[#This Row],[Feature
Number]]</f>
        <v>F0168</v>
      </c>
      <c r="B139" s="27" t="s">
        <v>63</v>
      </c>
      <c r="C139" s="27" t="s">
        <v>64</v>
      </c>
      <c r="D139" s="43" t="s">
        <v>324</v>
      </c>
      <c r="E139" s="28" t="s">
        <v>325</v>
      </c>
      <c r="F139" s="29" t="s">
        <v>326</v>
      </c>
      <c r="G139" s="31" t="s">
        <v>327</v>
      </c>
      <c r="H139" s="29"/>
      <c r="I139" s="29" t="s">
        <v>28</v>
      </c>
      <c r="J139" s="27"/>
      <c r="K139" s="29" t="s">
        <v>28</v>
      </c>
      <c r="L139" s="29" t="s">
        <v>28</v>
      </c>
      <c r="M139" s="29" t="s">
        <v>28</v>
      </c>
      <c r="O139" s="12" t="s">
        <v>28</v>
      </c>
      <c r="P139" s="27" t="s">
        <v>266</v>
      </c>
      <c r="Q139" s="27" t="s">
        <v>276</v>
      </c>
    </row>
    <row r="140" spans="1:17" ht="52.8" hidden="1" x14ac:dyDescent="0.3">
      <c r="A140" s="71" t="str">
        <f>Tabelle1[[#This Row],[Feature
Number]]</f>
        <v>F0172</v>
      </c>
      <c r="B140" s="27" t="s">
        <v>63</v>
      </c>
      <c r="C140" s="27" t="s">
        <v>64</v>
      </c>
      <c r="D140" s="43" t="s">
        <v>333</v>
      </c>
      <c r="E140" s="28" t="s">
        <v>334</v>
      </c>
      <c r="F140" s="29" t="s">
        <v>335</v>
      </c>
      <c r="G140" s="31" t="s">
        <v>336</v>
      </c>
      <c r="H140" s="29"/>
      <c r="I140" s="29" t="s">
        <v>28</v>
      </c>
      <c r="J140" s="27"/>
      <c r="K140" s="29" t="s">
        <v>28</v>
      </c>
      <c r="L140" s="29" t="s">
        <v>28</v>
      </c>
      <c r="M140" s="29" t="s">
        <v>28</v>
      </c>
      <c r="O140" s="12" t="s">
        <v>28</v>
      </c>
      <c r="P140" s="27" t="s">
        <v>266</v>
      </c>
      <c r="Q140" s="27" t="s">
        <v>276</v>
      </c>
    </row>
    <row r="141" spans="1:17" ht="26.4" hidden="1" x14ac:dyDescent="0.3">
      <c r="A141" s="71" t="str">
        <f>Tabelle1[[#This Row],[Feature
Number]]</f>
        <v>F0788</v>
      </c>
      <c r="B141" s="27" t="s">
        <v>63</v>
      </c>
      <c r="C141" s="27" t="s">
        <v>64</v>
      </c>
      <c r="D141" s="43" t="s">
        <v>870</v>
      </c>
      <c r="E141" s="28" t="s">
        <v>871</v>
      </c>
      <c r="F141" s="29" t="s">
        <v>872</v>
      </c>
      <c r="G141" s="31" t="s">
        <v>336</v>
      </c>
      <c r="H141" s="29"/>
      <c r="I141" s="29" t="s">
        <v>28</v>
      </c>
      <c r="J141" s="27"/>
      <c r="K141" s="29" t="s">
        <v>28</v>
      </c>
      <c r="L141" s="29" t="s">
        <v>28</v>
      </c>
      <c r="M141" s="29" t="s">
        <v>28</v>
      </c>
      <c r="O141" s="12" t="s">
        <v>28</v>
      </c>
      <c r="P141" s="27" t="s">
        <v>266</v>
      </c>
      <c r="Q141" s="27" t="s">
        <v>276</v>
      </c>
    </row>
    <row r="142" spans="1:17" hidden="1" x14ac:dyDescent="0.3">
      <c r="A142" s="71" t="str">
        <f>Tabelle1[[#This Row],[Feature
Number]]</f>
        <v>F0624</v>
      </c>
      <c r="B142" s="27" t="s">
        <v>63</v>
      </c>
      <c r="C142" s="27" t="s">
        <v>64</v>
      </c>
      <c r="D142" s="43" t="s">
        <v>753</v>
      </c>
      <c r="E142" s="28" t="s">
        <v>754</v>
      </c>
      <c r="F142" s="29" t="s">
        <v>755</v>
      </c>
      <c r="G142" s="31" t="s">
        <v>327</v>
      </c>
      <c r="H142" s="29"/>
      <c r="I142" s="29" t="s">
        <v>28</v>
      </c>
      <c r="J142" s="27"/>
      <c r="K142" s="29" t="s">
        <v>28</v>
      </c>
      <c r="L142" s="29" t="s">
        <v>28</v>
      </c>
      <c r="M142" s="29" t="s">
        <v>28</v>
      </c>
      <c r="O142" s="12" t="s">
        <v>28</v>
      </c>
      <c r="P142" s="69" t="s">
        <v>266</v>
      </c>
      <c r="Q142" s="69" t="s">
        <v>276</v>
      </c>
    </row>
    <row r="143" spans="1:17" hidden="1" x14ac:dyDescent="0.3">
      <c r="A143" s="71" t="str">
        <f>Tabelle1[[#This Row],[Feature
Number]]</f>
        <v>F0063</v>
      </c>
      <c r="B143" s="27" t="s">
        <v>63</v>
      </c>
      <c r="C143" s="27" t="s">
        <v>162</v>
      </c>
      <c r="D143" s="43" t="s">
        <v>2131</v>
      </c>
      <c r="E143" s="28" t="s">
        <v>2132</v>
      </c>
      <c r="F143" s="29" t="s">
        <v>2133</v>
      </c>
      <c r="G143" s="31" t="s">
        <v>73</v>
      </c>
      <c r="H143" s="29"/>
      <c r="I143" s="29"/>
      <c r="J143" s="27"/>
      <c r="K143" s="29" t="s">
        <v>28</v>
      </c>
      <c r="L143" s="29" t="s">
        <v>73</v>
      </c>
      <c r="M143" s="29" t="s">
        <v>73</v>
      </c>
      <c r="O143" s="12" t="s">
        <v>28</v>
      </c>
      <c r="P143" s="27" t="s">
        <v>318</v>
      </c>
      <c r="Q143" s="27" t="s">
        <v>882</v>
      </c>
    </row>
    <row r="144" spans="1:17" hidden="1" x14ac:dyDescent="0.3">
      <c r="A144" s="71" t="str">
        <f>Tabelle1[[#This Row],[Feature
Number]]</f>
        <v>F0062</v>
      </c>
      <c r="B144" s="27" t="s">
        <v>63</v>
      </c>
      <c r="C144" s="27" t="s">
        <v>162</v>
      </c>
      <c r="D144" s="43" t="s">
        <v>163</v>
      </c>
      <c r="E144" s="28" t="s">
        <v>164</v>
      </c>
      <c r="F144" s="29" t="s">
        <v>165</v>
      </c>
      <c r="G144" s="31" t="s">
        <v>73</v>
      </c>
      <c r="H144" s="29"/>
      <c r="I144" s="29"/>
      <c r="J144" s="27"/>
      <c r="K144" s="29" t="s">
        <v>73</v>
      </c>
      <c r="L144" s="29" t="s">
        <v>28</v>
      </c>
      <c r="M144" s="29" t="s">
        <v>28</v>
      </c>
      <c r="O144" s="12" t="s">
        <v>28</v>
      </c>
      <c r="P144" s="27" t="s">
        <v>280</v>
      </c>
      <c r="Q144" s="27" t="s">
        <v>1241</v>
      </c>
    </row>
    <row r="145" spans="1:17" ht="39.6" hidden="1" x14ac:dyDescent="0.3">
      <c r="A145" s="71" t="str">
        <f>Tabelle1[[#This Row],[Feature
Number]]</f>
        <v>F0268</v>
      </c>
      <c r="B145" s="27" t="s">
        <v>63</v>
      </c>
      <c r="C145" s="27" t="s">
        <v>162</v>
      </c>
      <c r="D145" s="43" t="s">
        <v>475</v>
      </c>
      <c r="E145" s="28" t="s">
        <v>476</v>
      </c>
      <c r="F145" s="29" t="s">
        <v>477</v>
      </c>
      <c r="G145" s="31" t="s">
        <v>73</v>
      </c>
      <c r="H145" s="29"/>
      <c r="I145" s="29"/>
      <c r="J145" s="27"/>
      <c r="K145" s="29" t="s">
        <v>28</v>
      </c>
      <c r="L145" s="29" t="s">
        <v>28</v>
      </c>
      <c r="M145" s="29" t="s">
        <v>28</v>
      </c>
      <c r="O145" s="12" t="s">
        <v>28</v>
      </c>
      <c r="P145" s="27" t="s">
        <v>280</v>
      </c>
      <c r="Q145" s="27" t="s">
        <v>328</v>
      </c>
    </row>
    <row r="146" spans="1:17" ht="79.2" hidden="1" x14ac:dyDescent="0.3">
      <c r="A146" s="71" t="str">
        <f>Tabelle1[[#This Row],[Feature
Number]]</f>
        <v>F1344</v>
      </c>
      <c r="B146" s="27" t="s">
        <v>63</v>
      </c>
      <c r="C146" s="27" t="s">
        <v>224</v>
      </c>
      <c r="D146" s="28" t="s">
        <v>1190</v>
      </c>
      <c r="E146" s="28" t="s">
        <v>1191</v>
      </c>
      <c r="F146" s="29" t="s">
        <v>1192</v>
      </c>
      <c r="G146" s="31" t="s">
        <v>73</v>
      </c>
      <c r="H146" s="29"/>
      <c r="I146" s="29"/>
      <c r="J146" s="27" t="s">
        <v>248</v>
      </c>
      <c r="K146" s="29" t="s">
        <v>28</v>
      </c>
      <c r="L146" s="29" t="s">
        <v>28</v>
      </c>
      <c r="M146" s="29" t="s">
        <v>28</v>
      </c>
      <c r="O146" s="12" t="s">
        <v>28</v>
      </c>
      <c r="P146" s="27" t="s">
        <v>280</v>
      </c>
      <c r="Q146" s="27" t="s">
        <v>328</v>
      </c>
    </row>
    <row r="147" spans="1:17" ht="39.6" hidden="1" x14ac:dyDescent="0.3">
      <c r="A147" s="71" t="str">
        <f>Tabelle1[[#This Row],[Feature
Number]]</f>
        <v>F0791</v>
      </c>
      <c r="B147" s="27" t="s">
        <v>63</v>
      </c>
      <c r="C147" s="27" t="s">
        <v>64</v>
      </c>
      <c r="D147" s="43" t="s">
        <v>879</v>
      </c>
      <c r="E147" s="28" t="s">
        <v>880</v>
      </c>
      <c r="F147" s="29" t="s">
        <v>881</v>
      </c>
      <c r="G147" s="31" t="s">
        <v>336</v>
      </c>
      <c r="H147" s="29"/>
      <c r="I147" s="29" t="s">
        <v>28</v>
      </c>
      <c r="J147" s="27"/>
      <c r="K147" s="29"/>
      <c r="L147" s="29" t="s">
        <v>28</v>
      </c>
      <c r="M147" s="29" t="s">
        <v>28</v>
      </c>
      <c r="O147" s="12" t="s">
        <v>28</v>
      </c>
      <c r="P147" s="47" t="s">
        <v>251</v>
      </c>
      <c r="Q147" s="47" t="s">
        <v>1006</v>
      </c>
    </row>
    <row r="148" spans="1:17" ht="39.6" hidden="1" x14ac:dyDescent="0.3">
      <c r="A148" s="71" t="str">
        <f>Tabelle1[[#This Row],[Feature
Number]]</f>
        <v>F0789</v>
      </c>
      <c r="B148" s="27" t="s">
        <v>63</v>
      </c>
      <c r="C148" s="27" t="s">
        <v>64</v>
      </c>
      <c r="D148" s="43" t="s">
        <v>873</v>
      </c>
      <c r="E148" s="28" t="s">
        <v>874</v>
      </c>
      <c r="F148" s="29" t="s">
        <v>875</v>
      </c>
      <c r="G148" s="31" t="s">
        <v>327</v>
      </c>
      <c r="H148" s="29"/>
      <c r="I148" s="29" t="s">
        <v>28</v>
      </c>
      <c r="J148" s="27"/>
      <c r="K148" s="29" t="s">
        <v>28</v>
      </c>
      <c r="L148" s="29" t="s">
        <v>28</v>
      </c>
      <c r="M148" s="29" t="s">
        <v>28</v>
      </c>
      <c r="P148" s="27" t="s">
        <v>251</v>
      </c>
      <c r="Q148" s="27" t="s">
        <v>311</v>
      </c>
    </row>
    <row r="149" spans="1:17" ht="66" hidden="1" x14ac:dyDescent="0.3">
      <c r="A149" s="71" t="str">
        <f>Tabelle1[[#This Row],[Feature
Number]]</f>
        <v>F0674</v>
      </c>
      <c r="B149" s="27" t="s">
        <v>63</v>
      </c>
      <c r="C149" s="27" t="s">
        <v>64</v>
      </c>
      <c r="D149" s="43" t="s">
        <v>800</v>
      </c>
      <c r="E149" s="28" t="s">
        <v>801</v>
      </c>
      <c r="F149" s="29" t="s">
        <v>802</v>
      </c>
      <c r="G149" s="31" t="s">
        <v>467</v>
      </c>
      <c r="H149" s="29"/>
      <c r="I149" s="29" t="s">
        <v>28</v>
      </c>
      <c r="J149" s="27"/>
      <c r="K149" s="29" t="s">
        <v>28</v>
      </c>
      <c r="L149" s="29" t="s">
        <v>28</v>
      </c>
      <c r="M149" s="29" t="s">
        <v>28</v>
      </c>
      <c r="O149" s="12" t="s">
        <v>28</v>
      </c>
      <c r="P149" s="27" t="s">
        <v>251</v>
      </c>
      <c r="Q149" s="27" t="s">
        <v>366</v>
      </c>
    </row>
    <row r="150" spans="1:17" ht="26.4" hidden="1" x14ac:dyDescent="0.3">
      <c r="A150" s="71" t="str">
        <f>Tabelle1[[#This Row],[Feature
Number]]</f>
        <v>F0177</v>
      </c>
      <c r="B150" s="27" t="s">
        <v>63</v>
      </c>
      <c r="C150" s="27" t="s">
        <v>64</v>
      </c>
      <c r="D150" s="43" t="s">
        <v>342</v>
      </c>
      <c r="E150" s="28" t="s">
        <v>343</v>
      </c>
      <c r="F150" s="29" t="s">
        <v>344</v>
      </c>
      <c r="G150" s="31" t="s">
        <v>68</v>
      </c>
      <c r="H150" s="29"/>
      <c r="I150" s="29" t="s">
        <v>28</v>
      </c>
      <c r="J150" s="27"/>
      <c r="K150" s="29" t="s">
        <v>28</v>
      </c>
      <c r="L150" s="29" t="s">
        <v>28</v>
      </c>
      <c r="M150" s="29" t="s">
        <v>28</v>
      </c>
      <c r="O150" s="12" t="s">
        <v>28</v>
      </c>
      <c r="P150" s="27" t="s">
        <v>318</v>
      </c>
      <c r="Q150" s="27" t="s">
        <v>371</v>
      </c>
    </row>
    <row r="151" spans="1:17" ht="79.2" hidden="1" x14ac:dyDescent="0.3">
      <c r="A151" s="71" t="str">
        <f>Tabelle1[[#This Row],[Feature
Number]]</f>
        <v>F0410</v>
      </c>
      <c r="B151" s="27" t="s">
        <v>22</v>
      </c>
      <c r="C151" s="27" t="s">
        <v>132</v>
      </c>
      <c r="D151" s="43" t="s">
        <v>610</v>
      </c>
      <c r="E151" s="28" t="s">
        <v>611</v>
      </c>
      <c r="F151" s="29" t="s">
        <v>612</v>
      </c>
      <c r="G151" s="31" t="s">
        <v>613</v>
      </c>
      <c r="H151" s="29"/>
      <c r="I151" s="29"/>
      <c r="J151" s="27"/>
      <c r="K151" s="29"/>
      <c r="L151" s="29" t="s">
        <v>28</v>
      </c>
      <c r="M151" s="29" t="s">
        <v>28</v>
      </c>
      <c r="O151" s="12" t="s">
        <v>28</v>
      </c>
      <c r="P151" s="27" t="s">
        <v>318</v>
      </c>
      <c r="Q151" s="27" t="s">
        <v>319</v>
      </c>
    </row>
    <row r="152" spans="1:17" ht="52.8" hidden="1" x14ac:dyDescent="0.3">
      <c r="A152" s="71" t="str">
        <f>Tabelle1[[#This Row],[Feature
Number]]</f>
        <v>F0891</v>
      </c>
      <c r="B152" s="27" t="s">
        <v>22</v>
      </c>
      <c r="C152" s="27" t="s">
        <v>132</v>
      </c>
      <c r="D152" s="43" t="s">
        <v>911</v>
      </c>
      <c r="E152" s="28" t="s">
        <v>912</v>
      </c>
      <c r="F152" s="29" t="s">
        <v>913</v>
      </c>
      <c r="G152" s="31" t="s">
        <v>914</v>
      </c>
      <c r="H152" s="29"/>
      <c r="I152" s="29"/>
      <c r="J152" s="27"/>
      <c r="K152" s="29" t="s">
        <v>28</v>
      </c>
      <c r="L152" s="29" t="s">
        <v>28</v>
      </c>
      <c r="M152" s="29" t="s">
        <v>28</v>
      </c>
      <c r="O152" s="12" t="s">
        <v>28</v>
      </c>
      <c r="P152" s="27" t="s">
        <v>318</v>
      </c>
      <c r="Q152" s="27" t="s">
        <v>362</v>
      </c>
    </row>
    <row r="153" spans="1:17" ht="52.8" hidden="1" x14ac:dyDescent="0.3">
      <c r="A153" s="71" t="str">
        <f>Tabelle1[[#This Row],[Feature
Number]]</f>
        <v>F0093</v>
      </c>
      <c r="B153" s="27" t="s">
        <v>22</v>
      </c>
      <c r="C153" s="27" t="s">
        <v>132</v>
      </c>
      <c r="D153" s="43" t="s">
        <v>215</v>
      </c>
      <c r="E153" s="28" t="s">
        <v>216</v>
      </c>
      <c r="F153" s="29" t="s">
        <v>217</v>
      </c>
      <c r="G153" s="31" t="s">
        <v>73</v>
      </c>
      <c r="H153" s="29"/>
      <c r="I153" s="29"/>
      <c r="J153" s="27"/>
      <c r="K153" s="29" t="s">
        <v>28</v>
      </c>
      <c r="L153" s="29" t="s">
        <v>28</v>
      </c>
      <c r="M153" s="29" t="s">
        <v>28</v>
      </c>
      <c r="P153" s="27" t="s">
        <v>29</v>
      </c>
      <c r="Q153" s="27" t="s">
        <v>30</v>
      </c>
    </row>
    <row r="154" spans="1:17" ht="92.4" hidden="1" x14ac:dyDescent="0.3">
      <c r="A154" s="71" t="str">
        <f>Tabelle1[[#This Row],[Feature
Number]]</f>
        <v>F0083</v>
      </c>
      <c r="B154" s="27" t="s">
        <v>22</v>
      </c>
      <c r="C154" s="27" t="s">
        <v>103</v>
      </c>
      <c r="D154" s="43" t="s">
        <v>189</v>
      </c>
      <c r="E154" s="28" t="s">
        <v>190</v>
      </c>
      <c r="F154" s="29" t="s">
        <v>191</v>
      </c>
      <c r="G154" s="31" t="s">
        <v>192</v>
      </c>
      <c r="H154" s="29"/>
      <c r="I154" s="29" t="s">
        <v>28</v>
      </c>
      <c r="J154" s="27"/>
      <c r="K154" s="29" t="s">
        <v>28</v>
      </c>
      <c r="L154" s="29" t="s">
        <v>28</v>
      </c>
      <c r="M154" s="29" t="s">
        <v>28</v>
      </c>
      <c r="O154" s="12" t="s">
        <v>28</v>
      </c>
      <c r="P154" s="27" t="s">
        <v>29</v>
      </c>
      <c r="Q154" s="27" t="s">
        <v>30</v>
      </c>
    </row>
    <row r="155" spans="1:17" ht="26.4" hidden="1" x14ac:dyDescent="0.3">
      <c r="A155" s="71" t="str">
        <f>Tabelle1[[#This Row],[Feature
Number]]</f>
        <v>F0649</v>
      </c>
      <c r="B155" s="27" t="s">
        <v>22</v>
      </c>
      <c r="C155" s="27" t="s">
        <v>103</v>
      </c>
      <c r="D155" s="43" t="s">
        <v>782</v>
      </c>
      <c r="E155" s="28" t="s">
        <v>783</v>
      </c>
      <c r="F155" s="55" t="s">
        <v>784</v>
      </c>
      <c r="G155" s="31" t="s">
        <v>50</v>
      </c>
      <c r="H155" s="29"/>
      <c r="I155" s="29" t="s">
        <v>28</v>
      </c>
      <c r="J155" s="27"/>
      <c r="K155" s="29" t="s">
        <v>28</v>
      </c>
      <c r="L155" s="29" t="s">
        <v>28</v>
      </c>
      <c r="M155" s="29" t="s">
        <v>28</v>
      </c>
      <c r="O155" s="12" t="s">
        <v>28</v>
      </c>
      <c r="P155" s="27" t="s">
        <v>29</v>
      </c>
      <c r="Q155" s="27" t="s">
        <v>30</v>
      </c>
    </row>
    <row r="156" spans="1:17" ht="66" hidden="1" x14ac:dyDescent="0.3">
      <c r="A156" s="71" t="str">
        <f>Tabelle1[[#This Row],[Feature
Number]]</f>
        <v>F0141</v>
      </c>
      <c r="B156" s="27" t="s">
        <v>22</v>
      </c>
      <c r="C156" s="27" t="s">
        <v>23</v>
      </c>
      <c r="D156" s="43" t="s">
        <v>272</v>
      </c>
      <c r="E156" s="28" t="s">
        <v>273</v>
      </c>
      <c r="F156" s="29" t="s">
        <v>274</v>
      </c>
      <c r="G156" s="31" t="s">
        <v>275</v>
      </c>
      <c r="H156" s="29"/>
      <c r="I156" s="29" t="s">
        <v>28</v>
      </c>
      <c r="J156" s="27"/>
      <c r="K156" s="29" t="s">
        <v>28</v>
      </c>
      <c r="L156" s="29" t="s">
        <v>28</v>
      </c>
      <c r="M156" s="29" t="s">
        <v>28</v>
      </c>
      <c r="O156" s="12" t="s">
        <v>28</v>
      </c>
      <c r="P156" s="27" t="s">
        <v>29</v>
      </c>
      <c r="Q156" s="27" t="s">
        <v>30</v>
      </c>
    </row>
    <row r="157" spans="1:17" ht="39.6" hidden="1" x14ac:dyDescent="0.3">
      <c r="A157" s="71" t="str">
        <f>Tabelle1[[#This Row],[Feature
Number]]</f>
        <v>F0436</v>
      </c>
      <c r="B157" s="27" t="s">
        <v>22</v>
      </c>
      <c r="C157" s="27" t="s">
        <v>35</v>
      </c>
      <c r="D157" s="43" t="s">
        <v>619</v>
      </c>
      <c r="E157" s="28" t="s">
        <v>620</v>
      </c>
      <c r="F157" s="29" t="s">
        <v>621</v>
      </c>
      <c r="G157" s="31" t="s">
        <v>188</v>
      </c>
      <c r="H157" s="29"/>
      <c r="I157" s="29"/>
      <c r="J157" s="27"/>
      <c r="K157" s="29"/>
      <c r="L157" s="29" t="s">
        <v>28</v>
      </c>
      <c r="M157" s="29" t="s">
        <v>28</v>
      </c>
      <c r="O157" s="12" t="s">
        <v>28</v>
      </c>
      <c r="P157" s="27" t="s">
        <v>29</v>
      </c>
      <c r="Q157" s="27" t="s">
        <v>30</v>
      </c>
    </row>
    <row r="158" spans="1:17" ht="79.2" hidden="1" x14ac:dyDescent="0.3">
      <c r="A158" s="71" t="str">
        <f>Tabelle1[[#This Row],[Feature
Number]]</f>
        <v>F0080</v>
      </c>
      <c r="B158" s="27" t="s">
        <v>22</v>
      </c>
      <c r="C158" s="27" t="s">
        <v>35</v>
      </c>
      <c r="D158" s="43" t="s">
        <v>186</v>
      </c>
      <c r="E158" s="28" t="s">
        <v>187</v>
      </c>
      <c r="F158" s="29" t="s">
        <v>188</v>
      </c>
      <c r="G158" s="31" t="s">
        <v>73</v>
      </c>
      <c r="H158" s="29"/>
      <c r="I158" s="29"/>
      <c r="J158" s="27"/>
      <c r="K158" s="29" t="s">
        <v>28</v>
      </c>
      <c r="L158" s="29" t="s">
        <v>28</v>
      </c>
      <c r="M158" s="29" t="s">
        <v>28</v>
      </c>
      <c r="O158" s="12" t="s">
        <v>28</v>
      </c>
      <c r="P158" s="27" t="s">
        <v>266</v>
      </c>
      <c r="Q158" s="27" t="s">
        <v>286</v>
      </c>
    </row>
    <row r="159" spans="1:17" ht="79.2" hidden="1" x14ac:dyDescent="0.3">
      <c r="A159" s="71" t="str">
        <f>Tabelle1[[#This Row],[Feature
Number]]</f>
        <v>F0036</v>
      </c>
      <c r="B159" s="27" t="s">
        <v>22</v>
      </c>
      <c r="C159" s="27" t="s">
        <v>103</v>
      </c>
      <c r="D159" s="28" t="s">
        <v>104</v>
      </c>
      <c r="E159" s="28" t="s">
        <v>105</v>
      </c>
      <c r="F159" s="29" t="s">
        <v>106</v>
      </c>
      <c r="G159" s="31" t="s">
        <v>73</v>
      </c>
      <c r="H159" s="29"/>
      <c r="I159" s="29"/>
      <c r="J159" s="27"/>
      <c r="K159" s="29" t="s">
        <v>28</v>
      </c>
      <c r="L159" s="29" t="s">
        <v>28</v>
      </c>
      <c r="M159" s="29" t="s">
        <v>28</v>
      </c>
      <c r="O159" s="12" t="s">
        <v>28</v>
      </c>
      <c r="P159" s="27" t="s">
        <v>266</v>
      </c>
      <c r="Q159" s="27" t="s">
        <v>514</v>
      </c>
    </row>
    <row r="160" spans="1:17" ht="26.4" hidden="1" x14ac:dyDescent="0.3">
      <c r="A160" s="71" t="str">
        <f>Tabelle1[[#This Row],[Feature
Number]]</f>
        <v>F0797</v>
      </c>
      <c r="B160" s="27" t="s">
        <v>22</v>
      </c>
      <c r="C160" s="27" t="s">
        <v>103</v>
      </c>
      <c r="D160" s="28" t="s">
        <v>889</v>
      </c>
      <c r="E160" s="28" t="s">
        <v>890</v>
      </c>
      <c r="F160" s="29" t="s">
        <v>891</v>
      </c>
      <c r="G160" s="31" t="s">
        <v>73</v>
      </c>
      <c r="H160" s="29"/>
      <c r="I160" s="29"/>
      <c r="J160" s="27"/>
      <c r="K160" s="29" t="s">
        <v>28</v>
      </c>
      <c r="L160" s="29" t="s">
        <v>28</v>
      </c>
      <c r="M160" s="29" t="s">
        <v>28</v>
      </c>
      <c r="O160" s="12" t="s">
        <v>28</v>
      </c>
      <c r="P160" s="27" t="s">
        <v>266</v>
      </c>
      <c r="Q160" s="27" t="s">
        <v>514</v>
      </c>
    </row>
    <row r="161" spans="1:17" ht="158.4" hidden="1" x14ac:dyDescent="0.3">
      <c r="A161" s="71" t="str">
        <f>Tabelle1[[#This Row],[Feature
Number]]</f>
        <v>F0x16</v>
      </c>
      <c r="B161" s="38" t="s">
        <v>22</v>
      </c>
      <c r="C161" s="38" t="s">
        <v>103</v>
      </c>
      <c r="D161" s="43" t="s">
        <v>989</v>
      </c>
      <c r="E161" s="38" t="s">
        <v>990</v>
      </c>
      <c r="F161" s="41" t="s">
        <v>27</v>
      </c>
      <c r="G161" s="54" t="s">
        <v>73</v>
      </c>
      <c r="H161" s="41"/>
      <c r="I161" s="41"/>
      <c r="J161" s="41"/>
      <c r="K161" s="41" t="s">
        <v>28</v>
      </c>
      <c r="L161" s="41" t="s">
        <v>28</v>
      </c>
      <c r="M161" s="41" t="s">
        <v>28</v>
      </c>
      <c r="O161" s="12" t="s">
        <v>28</v>
      </c>
      <c r="P161" s="27" t="s">
        <v>266</v>
      </c>
      <c r="Q161" s="27" t="s">
        <v>514</v>
      </c>
    </row>
    <row r="162" spans="1:17" ht="52.8" hidden="1" x14ac:dyDescent="0.3">
      <c r="A162" s="71" t="str">
        <f>Tabelle1[[#This Row],[Feature
Number]]</f>
        <v>F0777</v>
      </c>
      <c r="B162" s="27" t="s">
        <v>22</v>
      </c>
      <c r="C162" s="27" t="s">
        <v>103</v>
      </c>
      <c r="D162" s="43" t="s">
        <v>858</v>
      </c>
      <c r="E162" s="28" t="s">
        <v>859</v>
      </c>
      <c r="F162" s="29" t="s">
        <v>50</v>
      </c>
      <c r="G162" s="31" t="s">
        <v>73</v>
      </c>
      <c r="H162" s="29"/>
      <c r="I162" s="29"/>
      <c r="J162" s="28" t="s">
        <v>860</v>
      </c>
      <c r="K162" s="29" t="s">
        <v>28</v>
      </c>
      <c r="L162" s="29" t="s">
        <v>28</v>
      </c>
      <c r="M162" s="29" t="s">
        <v>28</v>
      </c>
      <c r="O162" s="12" t="s">
        <v>28</v>
      </c>
      <c r="P162" s="27" t="s">
        <v>266</v>
      </c>
      <c r="Q162" s="27" t="s">
        <v>514</v>
      </c>
    </row>
    <row r="163" spans="1:17" ht="39.6" hidden="1" x14ac:dyDescent="0.3">
      <c r="A163" s="71" t="str">
        <f>Tabelle1[[#This Row],[Feature
Number]]</f>
        <v>F0641</v>
      </c>
      <c r="B163" s="27" t="s">
        <v>22</v>
      </c>
      <c r="C163" s="27" t="s">
        <v>103</v>
      </c>
      <c r="D163" s="43" t="s">
        <v>774</v>
      </c>
      <c r="E163" s="28" t="s">
        <v>775</v>
      </c>
      <c r="F163" s="55" t="s">
        <v>776</v>
      </c>
      <c r="G163" s="31" t="s">
        <v>50</v>
      </c>
      <c r="H163" s="29"/>
      <c r="I163" s="29"/>
      <c r="J163" s="27"/>
      <c r="K163" s="29" t="s">
        <v>28</v>
      </c>
      <c r="L163" s="29" t="s">
        <v>28</v>
      </c>
      <c r="M163" s="29" t="s">
        <v>28</v>
      </c>
      <c r="O163" s="12" t="s">
        <v>28</v>
      </c>
      <c r="P163" s="27" t="s">
        <v>266</v>
      </c>
      <c r="Q163" s="27" t="s">
        <v>514</v>
      </c>
    </row>
    <row r="164" spans="1:17" ht="79.2" hidden="1" x14ac:dyDescent="0.3">
      <c r="A164" s="71" t="str">
        <f>Tabelle1[[#This Row],[Feature
Number]]</f>
        <v>F0800</v>
      </c>
      <c r="B164" s="27" t="s">
        <v>22</v>
      </c>
      <c r="C164" s="27" t="s">
        <v>132</v>
      </c>
      <c r="D164" s="43" t="s">
        <v>892</v>
      </c>
      <c r="E164" s="28" t="s">
        <v>141</v>
      </c>
      <c r="F164" s="29" t="s">
        <v>893</v>
      </c>
      <c r="G164" s="31" t="s">
        <v>621</v>
      </c>
      <c r="H164" s="29"/>
      <c r="I164" s="29"/>
      <c r="J164" s="27"/>
      <c r="K164" s="29"/>
      <c r="L164" s="29"/>
      <c r="M164" s="29" t="s">
        <v>28</v>
      </c>
      <c r="O164" s="12" t="s">
        <v>28</v>
      </c>
      <c r="P164" s="38" t="s">
        <v>57</v>
      </c>
      <c r="Q164" s="38" t="s">
        <v>58</v>
      </c>
    </row>
    <row r="165" spans="1:17" ht="79.2" hidden="1" x14ac:dyDescent="0.3">
      <c r="A165" s="71" t="str">
        <f>Tabelle1[[#This Row],[Feature
Number]]</f>
        <v>F0051</v>
      </c>
      <c r="B165" s="27" t="s">
        <v>22</v>
      </c>
      <c r="C165" s="27" t="s">
        <v>132</v>
      </c>
      <c r="D165" s="43" t="s">
        <v>140</v>
      </c>
      <c r="E165" s="28" t="s">
        <v>141</v>
      </c>
      <c r="F165" s="29" t="s">
        <v>142</v>
      </c>
      <c r="G165" s="31" t="s">
        <v>73</v>
      </c>
      <c r="H165" s="29"/>
      <c r="I165" s="29"/>
      <c r="J165" s="27"/>
      <c r="K165" s="29" t="s">
        <v>28</v>
      </c>
      <c r="L165" s="29" t="s">
        <v>28</v>
      </c>
      <c r="M165" s="29" t="s">
        <v>28</v>
      </c>
      <c r="P165" s="38" t="s">
        <v>57</v>
      </c>
      <c r="Q165" s="38" t="s">
        <v>58</v>
      </c>
    </row>
    <row r="166" spans="1:17" ht="118.8" hidden="1" x14ac:dyDescent="0.3">
      <c r="A166" s="71" t="str">
        <f>Tabelle1[[#This Row],[Feature
Number]]</f>
        <v>F0x13</v>
      </c>
      <c r="B166" s="38" t="s">
        <v>22</v>
      </c>
      <c r="C166" s="38" t="s">
        <v>40</v>
      </c>
      <c r="D166" s="43" t="s">
        <v>981</v>
      </c>
      <c r="E166" s="38" t="s">
        <v>982</v>
      </c>
      <c r="F166" s="41" t="s">
        <v>983</v>
      </c>
      <c r="G166" s="31" t="s">
        <v>891</v>
      </c>
      <c r="H166" s="41"/>
      <c r="I166" s="41"/>
      <c r="J166" s="41"/>
      <c r="K166" s="41"/>
      <c r="L166" s="41"/>
      <c r="M166" s="41"/>
      <c r="O166" s="12" t="s">
        <v>28</v>
      </c>
      <c r="P166" s="38" t="s">
        <v>57</v>
      </c>
      <c r="Q166" s="38" t="s">
        <v>58</v>
      </c>
    </row>
    <row r="167" spans="1:17" ht="26.4" hidden="1" x14ac:dyDescent="0.3">
      <c r="A167" s="71" t="str">
        <f>Tabelle1[[#This Row],[Feature
Number]]</f>
        <v>F0013</v>
      </c>
      <c r="B167" s="27" t="s">
        <v>22</v>
      </c>
      <c r="C167" s="27" t="s">
        <v>40</v>
      </c>
      <c r="D167" s="43" t="s">
        <v>54</v>
      </c>
      <c r="E167" s="28" t="s">
        <v>55</v>
      </c>
      <c r="F167" s="29" t="s">
        <v>56</v>
      </c>
      <c r="G167" s="31" t="s">
        <v>44</v>
      </c>
      <c r="H167" s="29"/>
      <c r="I167" s="29"/>
      <c r="J167" s="27"/>
      <c r="K167" s="29" t="s">
        <v>28</v>
      </c>
      <c r="L167" s="29" t="s">
        <v>28</v>
      </c>
      <c r="M167" s="29" t="s">
        <v>28</v>
      </c>
      <c r="O167" s="12" t="s">
        <v>28</v>
      </c>
      <c r="P167" s="27" t="s">
        <v>318</v>
      </c>
      <c r="Q167" s="27" t="s">
        <v>433</v>
      </c>
    </row>
    <row r="168" spans="1:17" ht="39.6" hidden="1" x14ac:dyDescent="0.3">
      <c r="A168" s="71" t="str">
        <f>Tabelle1[[#This Row],[Feature
Number]]</f>
        <v>F0012</v>
      </c>
      <c r="B168" s="27" t="s">
        <v>22</v>
      </c>
      <c r="C168" s="27" t="s">
        <v>40</v>
      </c>
      <c r="D168" s="43" t="s">
        <v>51</v>
      </c>
      <c r="E168" s="28" t="s">
        <v>52</v>
      </c>
      <c r="F168" s="29" t="s">
        <v>53</v>
      </c>
      <c r="G168" s="31" t="s">
        <v>44</v>
      </c>
      <c r="H168" s="29"/>
      <c r="I168" s="29"/>
      <c r="J168" s="27"/>
      <c r="K168" s="29" t="s">
        <v>28</v>
      </c>
      <c r="L168" s="29" t="s">
        <v>28</v>
      </c>
      <c r="M168" s="29" t="s">
        <v>28</v>
      </c>
      <c r="O168" s="12" t="s">
        <v>28</v>
      </c>
      <c r="P168" s="27" t="s">
        <v>318</v>
      </c>
      <c r="Q168" s="27" t="s">
        <v>433</v>
      </c>
    </row>
    <row r="169" spans="1:17" ht="52.8" hidden="1" x14ac:dyDescent="0.3">
      <c r="A169" s="71" t="str">
        <f>Tabelle1[[#This Row],[Feature
Number]]</f>
        <v>F0894</v>
      </c>
      <c r="B169" s="27" t="s">
        <v>22</v>
      </c>
      <c r="C169" s="27" t="s">
        <v>40</v>
      </c>
      <c r="D169" s="28" t="s">
        <v>915</v>
      </c>
      <c r="E169" s="28" t="s">
        <v>916</v>
      </c>
      <c r="F169" s="29" t="s">
        <v>917</v>
      </c>
      <c r="G169" s="31" t="s">
        <v>44</v>
      </c>
      <c r="H169" s="29"/>
      <c r="I169" s="29"/>
      <c r="J169" s="27"/>
      <c r="K169" s="29"/>
      <c r="L169" s="29"/>
      <c r="M169" s="29" t="s">
        <v>28</v>
      </c>
      <c r="O169" s="12" t="s">
        <v>28</v>
      </c>
      <c r="P169" s="27" t="s">
        <v>63</v>
      </c>
      <c r="Q169" s="27" t="s">
        <v>64</v>
      </c>
    </row>
    <row r="170" spans="1:17" ht="92.4" hidden="1" x14ac:dyDescent="0.3">
      <c r="A170" s="71" t="str">
        <f>Tabelle1[[#This Row],[Feature
Number]]</f>
        <v>F0009</v>
      </c>
      <c r="B170" s="27" t="s">
        <v>22</v>
      </c>
      <c r="C170" s="27" t="s">
        <v>40</v>
      </c>
      <c r="D170" s="43" t="s">
        <v>41</v>
      </c>
      <c r="E170" s="28" t="s">
        <v>42</v>
      </c>
      <c r="F170" s="29" t="s">
        <v>43</v>
      </c>
      <c r="G170" s="31" t="s">
        <v>44</v>
      </c>
      <c r="H170" s="29"/>
      <c r="I170" s="29"/>
      <c r="J170" s="27"/>
      <c r="K170" s="29" t="s">
        <v>28</v>
      </c>
      <c r="L170" s="29" t="s">
        <v>28</v>
      </c>
      <c r="M170" s="29" t="s">
        <v>28</v>
      </c>
      <c r="O170" s="12" t="s">
        <v>28</v>
      </c>
      <c r="P170" s="27" t="s">
        <v>63</v>
      </c>
      <c r="Q170" s="27" t="s">
        <v>64</v>
      </c>
    </row>
    <row r="171" spans="1:17" ht="39.6" hidden="1" x14ac:dyDescent="0.3">
      <c r="A171" s="71" t="str">
        <f>Tabelle1[[#This Row],[Feature
Number]]</f>
        <v>F0457</v>
      </c>
      <c r="B171" s="27" t="s">
        <v>22</v>
      </c>
      <c r="C171" s="27" t="s">
        <v>40</v>
      </c>
      <c r="D171" s="28" t="s">
        <v>634</v>
      </c>
      <c r="E171" s="28" t="s">
        <v>635</v>
      </c>
      <c r="F171" s="29" t="s">
        <v>636</v>
      </c>
      <c r="G171" s="31" t="s">
        <v>44</v>
      </c>
      <c r="H171" s="29"/>
      <c r="I171" s="29"/>
      <c r="J171" s="27"/>
      <c r="K171" s="29" t="s">
        <v>28</v>
      </c>
      <c r="L171" s="29" t="s">
        <v>28</v>
      </c>
      <c r="M171" s="29" t="s">
        <v>28</v>
      </c>
      <c r="O171" s="12" t="s">
        <v>28</v>
      </c>
      <c r="P171" s="27" t="s">
        <v>63</v>
      </c>
      <c r="Q171" s="27" t="s">
        <v>64</v>
      </c>
    </row>
    <row r="172" spans="1:17" ht="52.8" hidden="1" x14ac:dyDescent="0.3">
      <c r="A172" s="71" t="str">
        <f>Tabelle1[[#This Row],[Feature
Number]]</f>
        <v>F0439</v>
      </c>
      <c r="B172" s="27" t="s">
        <v>22</v>
      </c>
      <c r="C172" s="27" t="s">
        <v>40</v>
      </c>
      <c r="D172" s="28" t="s">
        <v>625</v>
      </c>
      <c r="E172" s="28" t="s">
        <v>626</v>
      </c>
      <c r="F172" s="29" t="s">
        <v>627</v>
      </c>
      <c r="G172" s="31" t="s">
        <v>618</v>
      </c>
      <c r="H172" s="29"/>
      <c r="I172" s="29"/>
      <c r="J172" s="27"/>
      <c r="K172" s="29"/>
      <c r="L172" s="29"/>
      <c r="M172" s="29" t="s">
        <v>28</v>
      </c>
      <c r="O172" s="12" t="s">
        <v>28</v>
      </c>
      <c r="P172" s="27" t="s">
        <v>63</v>
      </c>
      <c r="Q172" s="27" t="s">
        <v>64</v>
      </c>
    </row>
    <row r="173" spans="1:17" ht="26.4" hidden="1" x14ac:dyDescent="0.3">
      <c r="A173" s="71" t="str">
        <f>Tabelle1[[#This Row],[Feature
Number]]</f>
        <v>F0612</v>
      </c>
      <c r="B173" s="27" t="s">
        <v>22</v>
      </c>
      <c r="C173" s="27" t="s">
        <v>40</v>
      </c>
      <c r="D173" s="43" t="s">
        <v>740</v>
      </c>
      <c r="E173" s="28" t="s">
        <v>741</v>
      </c>
      <c r="F173" s="29" t="s">
        <v>39</v>
      </c>
      <c r="G173" s="31" t="s">
        <v>44</v>
      </c>
      <c r="H173" s="29"/>
      <c r="I173" s="29"/>
      <c r="J173" s="27"/>
      <c r="K173" s="29" t="s">
        <v>28</v>
      </c>
      <c r="L173" s="29" t="s">
        <v>28</v>
      </c>
      <c r="M173" s="29" t="s">
        <v>28</v>
      </c>
      <c r="O173" s="12" t="s">
        <v>28</v>
      </c>
      <c r="P173" s="27" t="s">
        <v>63</v>
      </c>
      <c r="Q173" s="27" t="s">
        <v>64</v>
      </c>
    </row>
    <row r="174" spans="1:17" ht="39.6" hidden="1" x14ac:dyDescent="0.3">
      <c r="A174" s="71" t="str">
        <f>Tabelle1[[#This Row],[Feature
Number]]</f>
        <v>F0x15</v>
      </c>
      <c r="B174" s="38" t="s">
        <v>22</v>
      </c>
      <c r="C174" s="38" t="s">
        <v>40</v>
      </c>
      <c r="D174" s="43" t="s">
        <v>986</v>
      </c>
      <c r="E174" s="38" t="s">
        <v>987</v>
      </c>
      <c r="F174" s="41" t="s">
        <v>988</v>
      </c>
      <c r="G174" s="31" t="s">
        <v>47</v>
      </c>
      <c r="H174" s="41"/>
      <c r="I174" s="41"/>
      <c r="J174" s="41"/>
      <c r="K174" s="41"/>
      <c r="L174" s="41" t="s">
        <v>28</v>
      </c>
      <c r="M174" s="41" t="s">
        <v>28</v>
      </c>
      <c r="O174" s="12" t="s">
        <v>28</v>
      </c>
      <c r="P174" s="27" t="s">
        <v>63</v>
      </c>
      <c r="Q174" s="27" t="s">
        <v>64</v>
      </c>
    </row>
    <row r="175" spans="1:17" ht="39.6" hidden="1" x14ac:dyDescent="0.3">
      <c r="A175" s="71" t="str">
        <f>Tabelle1[[#This Row],[Feature
Number]]</f>
        <v>F0x14</v>
      </c>
      <c r="B175" s="38" t="s">
        <v>22</v>
      </c>
      <c r="C175" s="38" t="s">
        <v>40</v>
      </c>
      <c r="D175" s="43" t="s">
        <v>984</v>
      </c>
      <c r="E175" s="38" t="s">
        <v>738</v>
      </c>
      <c r="F175" s="41" t="s">
        <v>985</v>
      </c>
      <c r="G175" s="31" t="s">
        <v>739</v>
      </c>
      <c r="H175" s="41"/>
      <c r="I175" s="41"/>
      <c r="J175" s="41"/>
      <c r="K175" s="41" t="s">
        <v>28</v>
      </c>
      <c r="L175" s="41" t="s">
        <v>28</v>
      </c>
      <c r="M175" s="41" t="s">
        <v>28</v>
      </c>
      <c r="O175" s="12" t="s">
        <v>28</v>
      </c>
      <c r="P175" s="27" t="s">
        <v>63</v>
      </c>
      <c r="Q175" s="27" t="s">
        <v>64</v>
      </c>
    </row>
    <row r="176" spans="1:17" ht="52.8" hidden="1" x14ac:dyDescent="0.3">
      <c r="A176" s="71" t="str">
        <f>Tabelle1[[#This Row],[Feature
Number]]</f>
        <v>F0005</v>
      </c>
      <c r="B176" s="27" t="s">
        <v>22</v>
      </c>
      <c r="C176" s="27" t="s">
        <v>35</v>
      </c>
      <c r="D176" s="43" t="s">
        <v>36</v>
      </c>
      <c r="E176" s="28" t="s">
        <v>37</v>
      </c>
      <c r="F176" s="29" t="s">
        <v>38</v>
      </c>
      <c r="G176" s="31" t="s">
        <v>39</v>
      </c>
      <c r="H176" s="29"/>
      <c r="I176" s="29"/>
      <c r="J176" s="27"/>
      <c r="K176" s="29" t="s">
        <v>28</v>
      </c>
      <c r="L176" s="29" t="s">
        <v>28</v>
      </c>
      <c r="M176" s="29" t="s">
        <v>28</v>
      </c>
      <c r="O176" s="12" t="s">
        <v>28</v>
      </c>
      <c r="P176" s="27" t="s">
        <v>63</v>
      </c>
      <c r="Q176" s="27" t="s">
        <v>64</v>
      </c>
    </row>
    <row r="177" spans="1:17" ht="39.6" hidden="1" x14ac:dyDescent="0.3">
      <c r="A177" s="71" t="str">
        <f>Tabelle1[[#This Row],[Feature
Number]]</f>
        <v>F0419</v>
      </c>
      <c r="B177" s="27" t="s">
        <v>22</v>
      </c>
      <c r="C177" s="27" t="s">
        <v>40</v>
      </c>
      <c r="D177" s="28" t="s">
        <v>617</v>
      </c>
      <c r="E177" s="28" t="s">
        <v>75</v>
      </c>
      <c r="F177" s="29" t="s">
        <v>618</v>
      </c>
      <c r="G177" s="31" t="s">
        <v>76</v>
      </c>
      <c r="H177" s="29"/>
      <c r="I177" s="29"/>
      <c r="J177" s="27"/>
      <c r="K177" s="29"/>
      <c r="L177" s="29" t="s">
        <v>28</v>
      </c>
      <c r="M177" s="29" t="s">
        <v>28</v>
      </c>
      <c r="O177" s="12" t="s">
        <v>28</v>
      </c>
      <c r="P177" s="27" t="s">
        <v>63</v>
      </c>
      <c r="Q177" s="27" t="s">
        <v>64</v>
      </c>
    </row>
    <row r="178" spans="1:17" ht="26.4" hidden="1" x14ac:dyDescent="0.3">
      <c r="A178" s="71" t="str">
        <f>Tabelle1[[#This Row],[Feature
Number]]</f>
        <v>F0011</v>
      </c>
      <c r="B178" s="27" t="s">
        <v>22</v>
      </c>
      <c r="C178" s="27" t="s">
        <v>40</v>
      </c>
      <c r="D178" s="43" t="s">
        <v>48</v>
      </c>
      <c r="E178" s="28" t="s">
        <v>49</v>
      </c>
      <c r="F178" s="29" t="s">
        <v>44</v>
      </c>
      <c r="G178" s="31" t="s">
        <v>50</v>
      </c>
      <c r="H178" s="29"/>
      <c r="I178" s="29"/>
      <c r="J178" s="27"/>
      <c r="K178" s="29" t="s">
        <v>28</v>
      </c>
      <c r="L178" s="29" t="s">
        <v>28</v>
      </c>
      <c r="M178" s="29" t="s">
        <v>28</v>
      </c>
      <c r="O178" s="12" t="s">
        <v>28</v>
      </c>
      <c r="P178" s="27" t="s">
        <v>63</v>
      </c>
      <c r="Q178" s="27" t="s">
        <v>64</v>
      </c>
    </row>
    <row r="179" spans="1:17" ht="39.6" hidden="1" x14ac:dyDescent="0.3">
      <c r="A179" s="71" t="str">
        <f>Tabelle1[[#This Row],[Feature
Number]]</f>
        <v>F0010</v>
      </c>
      <c r="B179" s="27" t="s">
        <v>22</v>
      </c>
      <c r="C179" s="27" t="s">
        <v>40</v>
      </c>
      <c r="D179" s="43" t="s">
        <v>45</v>
      </c>
      <c r="E179" s="28" t="s">
        <v>46</v>
      </c>
      <c r="F179" s="29" t="s">
        <v>47</v>
      </c>
      <c r="G179" s="31" t="s">
        <v>44</v>
      </c>
      <c r="H179" s="29"/>
      <c r="I179" s="29"/>
      <c r="J179" s="27"/>
      <c r="K179" s="29"/>
      <c r="L179" s="29" t="s">
        <v>28</v>
      </c>
      <c r="M179" s="29" t="s">
        <v>28</v>
      </c>
      <c r="O179" s="12" t="s">
        <v>28</v>
      </c>
      <c r="P179" s="27" t="s">
        <v>63</v>
      </c>
      <c r="Q179" s="27" t="s">
        <v>64</v>
      </c>
    </row>
    <row r="180" spans="1:17" ht="39.6" hidden="1" x14ac:dyDescent="0.3">
      <c r="A180" s="71" t="str">
        <f>Tabelle1[[#This Row],[Feature
Number]]</f>
        <v>F0610</v>
      </c>
      <c r="B180" s="27" t="s">
        <v>22</v>
      </c>
      <c r="C180" s="27" t="s">
        <v>40</v>
      </c>
      <c r="D180" s="43" t="s">
        <v>737</v>
      </c>
      <c r="E180" s="28" t="s">
        <v>738</v>
      </c>
      <c r="F180" s="29" t="s">
        <v>739</v>
      </c>
      <c r="G180" s="31" t="s">
        <v>44</v>
      </c>
      <c r="H180" s="29"/>
      <c r="I180" s="29"/>
      <c r="J180" s="27"/>
      <c r="K180" s="29" t="s">
        <v>28</v>
      </c>
      <c r="L180" s="29" t="s">
        <v>28</v>
      </c>
      <c r="M180" s="29" t="s">
        <v>28</v>
      </c>
      <c r="O180" s="12" t="s">
        <v>28</v>
      </c>
      <c r="P180" s="27" t="s">
        <v>63</v>
      </c>
      <c r="Q180" s="27" t="s">
        <v>64</v>
      </c>
    </row>
    <row r="181" spans="1:17" ht="39.6" hidden="1" x14ac:dyDescent="0.3">
      <c r="A181" s="71" t="str">
        <f>Tabelle1[[#This Row],[Feature
Number]]</f>
        <v>F0021</v>
      </c>
      <c r="B181" s="27" t="s">
        <v>22</v>
      </c>
      <c r="C181" s="27" t="s">
        <v>40</v>
      </c>
      <c r="D181" s="43" t="s">
        <v>74</v>
      </c>
      <c r="E181" s="28" t="s">
        <v>75</v>
      </c>
      <c r="F181" s="29" t="s">
        <v>76</v>
      </c>
      <c r="G181" s="31" t="s">
        <v>44</v>
      </c>
      <c r="H181" s="29"/>
      <c r="I181" s="29"/>
      <c r="J181" s="27"/>
      <c r="K181" s="29"/>
      <c r="L181" s="29" t="s">
        <v>28</v>
      </c>
      <c r="M181" s="29" t="s">
        <v>28</v>
      </c>
      <c r="O181" s="12" t="s">
        <v>28</v>
      </c>
      <c r="P181" s="27" t="s">
        <v>63</v>
      </c>
      <c r="Q181" s="27" t="s">
        <v>64</v>
      </c>
    </row>
    <row r="182" spans="1:17" ht="52.8" hidden="1" x14ac:dyDescent="0.3">
      <c r="A182" s="71" t="str">
        <f>Tabelle1[[#This Row],[Feature
Number]]</f>
        <v>F0001</v>
      </c>
      <c r="B182" s="27" t="s">
        <v>22</v>
      </c>
      <c r="C182" s="27" t="s">
        <v>23</v>
      </c>
      <c r="D182" s="43" t="s">
        <v>24</v>
      </c>
      <c r="E182" s="28" t="s">
        <v>25</v>
      </c>
      <c r="F182" s="52" t="s">
        <v>26</v>
      </c>
      <c r="G182" s="31" t="s">
        <v>27</v>
      </c>
      <c r="H182" s="29"/>
      <c r="I182" s="29"/>
      <c r="J182" s="27"/>
      <c r="K182" s="29" t="s">
        <v>28</v>
      </c>
      <c r="L182" s="29" t="s">
        <v>28</v>
      </c>
      <c r="M182" s="29" t="s">
        <v>28</v>
      </c>
      <c r="O182" s="12" t="s">
        <v>28</v>
      </c>
      <c r="P182" s="27" t="s">
        <v>63</v>
      </c>
      <c r="Q182" s="27" t="s">
        <v>64</v>
      </c>
    </row>
    <row r="183" spans="1:17" ht="52.8" hidden="1" x14ac:dyDescent="0.3">
      <c r="A183" s="71" t="str">
        <f>Tabelle1[[#This Row],[Feature
Number]]</f>
        <v>F0049</v>
      </c>
      <c r="B183" s="27" t="s">
        <v>22</v>
      </c>
      <c r="C183" s="27" t="s">
        <v>132</v>
      </c>
      <c r="D183" s="28" t="s">
        <v>133</v>
      </c>
      <c r="E183" s="28" t="s">
        <v>134</v>
      </c>
      <c r="F183" s="29" t="s">
        <v>135</v>
      </c>
      <c r="G183" s="31" t="s">
        <v>73</v>
      </c>
      <c r="H183" s="29"/>
      <c r="I183" s="29"/>
      <c r="J183" s="27"/>
      <c r="K183" s="29"/>
      <c r="L183" s="29"/>
      <c r="M183" s="29" t="s">
        <v>28</v>
      </c>
      <c r="O183" s="12" t="s">
        <v>28</v>
      </c>
      <c r="P183" s="27" t="s">
        <v>63</v>
      </c>
      <c r="Q183" s="27" t="s">
        <v>64</v>
      </c>
    </row>
    <row r="184" spans="1:17" ht="52.8" x14ac:dyDescent="0.3">
      <c r="A184" s="71" t="str">
        <f>Tabelle1[[#This Row],[Feature
Number]]</f>
        <v>F1223</v>
      </c>
      <c r="B184" s="27" t="s">
        <v>251</v>
      </c>
      <c r="C184" s="27" t="s">
        <v>252</v>
      </c>
      <c r="D184" s="43" t="s">
        <v>1172</v>
      </c>
      <c r="E184" s="28" t="s">
        <v>1173</v>
      </c>
      <c r="F184" s="29" t="s">
        <v>1174</v>
      </c>
      <c r="G184" s="31" t="s">
        <v>73</v>
      </c>
      <c r="H184" s="29"/>
      <c r="I184" s="29"/>
      <c r="J184" s="27"/>
      <c r="K184" s="29"/>
      <c r="L184" s="29"/>
      <c r="M184" s="29" t="s">
        <v>28</v>
      </c>
      <c r="O184" s="12" t="s">
        <v>28</v>
      </c>
      <c r="P184" s="27" t="s">
        <v>63</v>
      </c>
      <c r="Q184" s="27" t="s">
        <v>64</v>
      </c>
    </row>
    <row r="185" spans="1:17" x14ac:dyDescent="0.3">
      <c r="A185" s="71" t="str">
        <f>Tabelle1[[#This Row],[Feature
Number]]</f>
        <v>F0795</v>
      </c>
      <c r="B185" s="27" t="s">
        <v>251</v>
      </c>
      <c r="C185" s="27" t="s">
        <v>252</v>
      </c>
      <c r="D185" s="43" t="s">
        <v>886</v>
      </c>
      <c r="E185" s="28" t="s">
        <v>887</v>
      </c>
      <c r="F185" s="29" t="s">
        <v>888</v>
      </c>
      <c r="G185" s="31" t="s">
        <v>73</v>
      </c>
      <c r="H185" s="29"/>
      <c r="I185" s="29"/>
      <c r="J185" s="27"/>
      <c r="K185" s="29" t="s">
        <v>28</v>
      </c>
      <c r="L185" s="29" t="s">
        <v>28</v>
      </c>
      <c r="M185" s="29" t="s">
        <v>28</v>
      </c>
      <c r="O185" s="12" t="s">
        <v>28</v>
      </c>
      <c r="P185" s="27" t="s">
        <v>63</v>
      </c>
      <c r="Q185" s="27" t="s">
        <v>64</v>
      </c>
    </row>
    <row r="186" spans="1:17" ht="264" x14ac:dyDescent="0.3">
      <c r="A186" s="71" t="str">
        <f>Tabelle1[[#This Row],[Feature
Number]]</f>
        <v>F0982</v>
      </c>
      <c r="B186" s="27" t="s">
        <v>251</v>
      </c>
      <c r="C186" s="27" t="s">
        <v>252</v>
      </c>
      <c r="D186" s="43" t="s">
        <v>962</v>
      </c>
      <c r="E186" s="28" t="s">
        <v>963</v>
      </c>
      <c r="F186" s="29" t="s">
        <v>964</v>
      </c>
      <c r="G186" s="31" t="s">
        <v>73</v>
      </c>
      <c r="H186" s="29"/>
      <c r="I186" s="29"/>
      <c r="J186" s="27"/>
      <c r="K186" s="29"/>
      <c r="L186" s="29"/>
      <c r="M186" s="29" t="s">
        <v>28</v>
      </c>
      <c r="O186" s="12" t="s">
        <v>28</v>
      </c>
      <c r="P186" s="27" t="s">
        <v>63</v>
      </c>
      <c r="Q186" s="27" t="s">
        <v>64</v>
      </c>
    </row>
    <row r="187" spans="1:17" ht="92.4" x14ac:dyDescent="0.3">
      <c r="A187" s="71" t="str">
        <f>Tabelle1[[#This Row],[Feature
Number]]</f>
        <v>F0681</v>
      </c>
      <c r="B187" s="27" t="s">
        <v>251</v>
      </c>
      <c r="C187" s="27" t="s">
        <v>366</v>
      </c>
      <c r="D187" s="43" t="s">
        <v>806</v>
      </c>
      <c r="E187" s="28" t="s">
        <v>807</v>
      </c>
      <c r="F187" s="29" t="s">
        <v>808</v>
      </c>
      <c r="G187" s="31" t="s">
        <v>370</v>
      </c>
      <c r="H187" s="29"/>
      <c r="I187" s="29"/>
      <c r="J187" s="27"/>
      <c r="K187" s="29" t="s">
        <v>28</v>
      </c>
      <c r="L187" s="29" t="s">
        <v>28</v>
      </c>
      <c r="M187" s="29" t="s">
        <v>28</v>
      </c>
      <c r="O187" s="12" t="s">
        <v>28</v>
      </c>
      <c r="P187" s="27" t="s">
        <v>63</v>
      </c>
      <c r="Q187" s="27" t="s">
        <v>64</v>
      </c>
    </row>
    <row r="188" spans="1:17" ht="26.4" x14ac:dyDescent="0.3">
      <c r="A188" s="71" t="str">
        <f>Tabelle1[[#This Row],[Feature
Number]]</f>
        <v>F0294</v>
      </c>
      <c r="B188" s="27" t="s">
        <v>251</v>
      </c>
      <c r="C188" s="27" t="s">
        <v>366</v>
      </c>
      <c r="D188" s="43" t="s">
        <v>492</v>
      </c>
      <c r="E188" s="28" t="s">
        <v>493</v>
      </c>
      <c r="F188" s="29" t="s">
        <v>494</v>
      </c>
      <c r="G188" s="31" t="s">
        <v>370</v>
      </c>
      <c r="H188" s="29"/>
      <c r="I188" s="29" t="s">
        <v>28</v>
      </c>
      <c r="J188" s="27"/>
      <c r="K188" s="29" t="s">
        <v>28</v>
      </c>
      <c r="L188" s="29" t="s">
        <v>28</v>
      </c>
      <c r="M188" s="29" t="s">
        <v>28</v>
      </c>
      <c r="O188" s="12" t="s">
        <v>28</v>
      </c>
      <c r="P188" s="27" t="s">
        <v>63</v>
      </c>
      <c r="Q188" s="27" t="s">
        <v>64</v>
      </c>
    </row>
    <row r="189" spans="1:17" ht="26.4" x14ac:dyDescent="0.3">
      <c r="A189" s="71" t="str">
        <f>Tabelle1[[#This Row],[Feature
Number]]</f>
        <v>F0x24</v>
      </c>
      <c r="B189" s="47" t="s">
        <v>251</v>
      </c>
      <c r="C189" s="47" t="s">
        <v>1006</v>
      </c>
      <c r="D189" s="51" t="s">
        <v>1007</v>
      </c>
      <c r="E189" s="36" t="s">
        <v>1008</v>
      </c>
      <c r="F189" s="35" t="s">
        <v>1009</v>
      </c>
      <c r="G189" s="58" t="s">
        <v>73</v>
      </c>
      <c r="H189" s="35" t="s">
        <v>1010</v>
      </c>
      <c r="I189" s="35" t="s">
        <v>1010</v>
      </c>
      <c r="J189" s="47"/>
      <c r="K189" s="35" t="s">
        <v>28</v>
      </c>
      <c r="L189" s="35" t="s">
        <v>28</v>
      </c>
      <c r="M189" s="35" t="s">
        <v>28</v>
      </c>
      <c r="O189" s="12" t="s">
        <v>28</v>
      </c>
      <c r="P189" s="27" t="s">
        <v>63</v>
      </c>
      <c r="Q189" s="27" t="s">
        <v>64</v>
      </c>
    </row>
    <row r="190" spans="1:17" ht="105.6" x14ac:dyDescent="0.3">
      <c r="A190" s="71" t="str">
        <f>Tabelle1[[#This Row],[Feature
Number]]</f>
        <v>F0161</v>
      </c>
      <c r="B190" s="27" t="s">
        <v>251</v>
      </c>
      <c r="C190" s="27" t="s">
        <v>311</v>
      </c>
      <c r="D190" s="43" t="s">
        <v>312</v>
      </c>
      <c r="E190" s="28" t="s">
        <v>313</v>
      </c>
      <c r="F190" s="29" t="s">
        <v>314</v>
      </c>
      <c r="G190" s="31" t="s">
        <v>73</v>
      </c>
      <c r="H190" s="29"/>
      <c r="I190" s="29"/>
      <c r="J190" s="27"/>
      <c r="K190" s="29" t="s">
        <v>28</v>
      </c>
      <c r="L190" s="29" t="s">
        <v>28</v>
      </c>
      <c r="M190" s="29" t="s">
        <v>28</v>
      </c>
      <c r="O190" s="12" t="s">
        <v>28</v>
      </c>
      <c r="P190" s="27" t="s">
        <v>63</v>
      </c>
      <c r="Q190" s="27" t="s">
        <v>64</v>
      </c>
    </row>
    <row r="191" spans="1:17" ht="158.4" x14ac:dyDescent="0.3">
      <c r="A191" s="71" t="str">
        <f>Tabelle1[[#This Row],[Feature
Number]]</f>
        <v>F0215</v>
      </c>
      <c r="B191" s="27" t="s">
        <v>251</v>
      </c>
      <c r="C191" s="27" t="s">
        <v>366</v>
      </c>
      <c r="D191" s="43" t="s">
        <v>367</v>
      </c>
      <c r="E191" s="28" t="s">
        <v>368</v>
      </c>
      <c r="F191" s="29" t="s">
        <v>369</v>
      </c>
      <c r="G191" s="31" t="s">
        <v>370</v>
      </c>
      <c r="H191" s="29"/>
      <c r="I191" s="29"/>
      <c r="J191" s="27"/>
      <c r="K191" s="29" t="s">
        <v>28</v>
      </c>
      <c r="L191" s="29" t="s">
        <v>28</v>
      </c>
      <c r="M191" s="29" t="s">
        <v>28</v>
      </c>
      <c r="O191" s="12" t="s">
        <v>28</v>
      </c>
      <c r="P191" s="27" t="s">
        <v>29</v>
      </c>
      <c r="Q191" s="27" t="s">
        <v>69</v>
      </c>
    </row>
    <row r="192" spans="1:17" ht="26.4" x14ac:dyDescent="0.3">
      <c r="A192" s="71" t="str">
        <f>Tabelle1[[#This Row],[Feature
Number]]</f>
        <v>F0x29</v>
      </c>
      <c r="B192" s="47" t="s">
        <v>251</v>
      </c>
      <c r="C192" s="47" t="s">
        <v>1006</v>
      </c>
      <c r="D192" s="51" t="s">
        <v>1023</v>
      </c>
      <c r="E192" s="36" t="s">
        <v>1024</v>
      </c>
      <c r="F192" s="35" t="s">
        <v>1025</v>
      </c>
      <c r="G192" s="58" t="s">
        <v>1022</v>
      </c>
      <c r="H192" s="35" t="s">
        <v>1010</v>
      </c>
      <c r="I192" s="35" t="s">
        <v>1010</v>
      </c>
      <c r="J192" s="47"/>
      <c r="K192" s="35" t="s">
        <v>28</v>
      </c>
      <c r="L192" s="35" t="s">
        <v>28</v>
      </c>
      <c r="M192" s="35" t="s">
        <v>28</v>
      </c>
      <c r="O192" s="12" t="s">
        <v>28</v>
      </c>
      <c r="P192" s="27" t="s">
        <v>29</v>
      </c>
      <c r="Q192" s="27" t="s">
        <v>69</v>
      </c>
    </row>
    <row r="193" spans="1:17" ht="39.6" x14ac:dyDescent="0.3">
      <c r="A193" s="71" t="str">
        <f>Tabelle1[[#This Row],[Feature
Number]]</f>
        <v>F0680</v>
      </c>
      <c r="B193" s="27" t="s">
        <v>251</v>
      </c>
      <c r="C193" s="27" t="s">
        <v>252</v>
      </c>
      <c r="D193" s="43" t="s">
        <v>803</v>
      </c>
      <c r="E193" s="28" t="s">
        <v>804</v>
      </c>
      <c r="F193" s="29" t="s">
        <v>805</v>
      </c>
      <c r="G193" s="31" t="s">
        <v>73</v>
      </c>
      <c r="H193" s="29"/>
      <c r="I193" s="29" t="s">
        <v>28</v>
      </c>
      <c r="J193" s="27"/>
      <c r="K193" s="29" t="s">
        <v>28</v>
      </c>
      <c r="L193" s="29" t="s">
        <v>28</v>
      </c>
      <c r="M193" s="29" t="s">
        <v>28</v>
      </c>
      <c r="O193" s="12" t="s">
        <v>28</v>
      </c>
      <c r="P193" s="27" t="s">
        <v>29</v>
      </c>
      <c r="Q193" s="27" t="s">
        <v>69</v>
      </c>
    </row>
    <row r="194" spans="1:17" ht="66" x14ac:dyDescent="0.3">
      <c r="A194" s="71" t="str">
        <f>Tabelle1[[#This Row],[Feature
Number]]</f>
        <v>F0122</v>
      </c>
      <c r="B194" s="27" t="s">
        <v>251</v>
      </c>
      <c r="C194" s="27" t="s">
        <v>252</v>
      </c>
      <c r="D194" s="43" t="s">
        <v>253</v>
      </c>
      <c r="E194" s="28" t="s">
        <v>254</v>
      </c>
      <c r="F194" s="29" t="s">
        <v>255</v>
      </c>
      <c r="G194" s="31" t="s">
        <v>73</v>
      </c>
      <c r="H194" s="29"/>
      <c r="I194" s="29" t="s">
        <v>28</v>
      </c>
      <c r="J194" s="27"/>
      <c r="K194" s="29" t="s">
        <v>28</v>
      </c>
      <c r="L194" s="29" t="s">
        <v>28</v>
      </c>
      <c r="M194" s="29" t="s">
        <v>28</v>
      </c>
      <c r="O194" s="12" t="s">
        <v>28</v>
      </c>
      <c r="P194" s="27" t="s">
        <v>199</v>
      </c>
      <c r="Q194" s="27" t="s">
        <v>200</v>
      </c>
    </row>
    <row r="195" spans="1:17" ht="39.6" x14ac:dyDescent="0.3">
      <c r="A195" s="71" t="str">
        <f>Tabelle1[[#This Row],[Feature
Number]]</f>
        <v>F0589</v>
      </c>
      <c r="B195" s="27" t="s">
        <v>251</v>
      </c>
      <c r="C195" s="27" t="s">
        <v>252</v>
      </c>
      <c r="D195" s="43" t="s">
        <v>721</v>
      </c>
      <c r="E195" s="28" t="s">
        <v>722</v>
      </c>
      <c r="F195" s="29" t="s">
        <v>723</v>
      </c>
      <c r="G195" s="31" t="s">
        <v>73</v>
      </c>
      <c r="H195" s="29"/>
      <c r="I195" s="29" t="s">
        <v>28</v>
      </c>
      <c r="J195" s="27"/>
      <c r="K195" s="29" t="s">
        <v>28</v>
      </c>
      <c r="L195" s="29" t="s">
        <v>28</v>
      </c>
      <c r="M195" s="29" t="s">
        <v>28</v>
      </c>
      <c r="O195" s="12" t="s">
        <v>28</v>
      </c>
      <c r="P195" s="27" t="s">
        <v>199</v>
      </c>
      <c r="Q195" s="27" t="s">
        <v>200</v>
      </c>
    </row>
    <row r="196" spans="1:17" ht="158.4" x14ac:dyDescent="0.3">
      <c r="A196" s="71" t="str">
        <f>Tabelle1[[#This Row],[Feature
Number]]</f>
        <v>F2004</v>
      </c>
      <c r="B196" s="27" t="s">
        <v>251</v>
      </c>
      <c r="C196" s="27" t="s">
        <v>311</v>
      </c>
      <c r="D196" s="43" t="s">
        <v>1209</v>
      </c>
      <c r="E196" s="28" t="s">
        <v>1210</v>
      </c>
      <c r="F196" s="29" t="s">
        <v>598</v>
      </c>
      <c r="G196" s="31" t="s">
        <v>73</v>
      </c>
      <c r="H196" s="29"/>
      <c r="I196" s="29"/>
      <c r="J196" s="27"/>
      <c r="K196" s="29"/>
      <c r="L196" s="29"/>
      <c r="M196" s="29" t="s">
        <v>28</v>
      </c>
      <c r="O196" s="12" t="s">
        <v>28</v>
      </c>
      <c r="P196" s="27" t="s">
        <v>199</v>
      </c>
      <c r="Q196" s="27" t="s">
        <v>200</v>
      </c>
    </row>
    <row r="197" spans="1:17" ht="92.4" x14ac:dyDescent="0.3">
      <c r="A197" s="71" t="str">
        <f>Tabelle1[[#This Row],[Feature
Number]]</f>
        <v>F0x27</v>
      </c>
      <c r="B197" s="47" t="s">
        <v>251</v>
      </c>
      <c r="C197" s="47" t="s">
        <v>1006</v>
      </c>
      <c r="D197" s="51" t="s">
        <v>1017</v>
      </c>
      <c r="E197" s="36" t="s">
        <v>1018</v>
      </c>
      <c r="F197" s="35" t="s">
        <v>1019</v>
      </c>
      <c r="G197" s="58" t="s">
        <v>73</v>
      </c>
      <c r="H197" s="35" t="s">
        <v>1010</v>
      </c>
      <c r="I197" s="35" t="s">
        <v>1010</v>
      </c>
      <c r="J197" s="47"/>
      <c r="K197" s="35" t="s">
        <v>28</v>
      </c>
      <c r="L197" s="35" t="s">
        <v>28</v>
      </c>
      <c r="M197" s="35" t="s">
        <v>28</v>
      </c>
      <c r="O197" s="12" t="s">
        <v>28</v>
      </c>
      <c r="P197" s="27" t="s">
        <v>199</v>
      </c>
      <c r="Q197" s="27" t="s">
        <v>200</v>
      </c>
    </row>
    <row r="198" spans="1:17" ht="39.6" x14ac:dyDescent="0.3">
      <c r="A198" s="71" t="str">
        <f>Tabelle1[[#This Row],[Feature
Number]]</f>
        <v>F0x26</v>
      </c>
      <c r="B198" s="47" t="s">
        <v>251</v>
      </c>
      <c r="C198" s="47" t="s">
        <v>1006</v>
      </c>
      <c r="D198" s="51" t="s">
        <v>1014</v>
      </c>
      <c r="E198" s="36" t="s">
        <v>1015</v>
      </c>
      <c r="F198" s="35" t="s">
        <v>1016</v>
      </c>
      <c r="G198" s="58" t="s">
        <v>73</v>
      </c>
      <c r="H198" s="35" t="s">
        <v>1010</v>
      </c>
      <c r="I198" s="35" t="s">
        <v>1010</v>
      </c>
      <c r="J198" s="47"/>
      <c r="K198" s="35" t="s">
        <v>28</v>
      </c>
      <c r="L198" s="35" t="s">
        <v>28</v>
      </c>
      <c r="M198" s="35" t="s">
        <v>28</v>
      </c>
      <c r="O198" s="12" t="s">
        <v>28</v>
      </c>
      <c r="P198" s="27" t="s">
        <v>199</v>
      </c>
      <c r="Q198" s="27" t="s">
        <v>200</v>
      </c>
    </row>
    <row r="199" spans="1:17" ht="79.2" x14ac:dyDescent="0.3">
      <c r="A199" s="71" t="str">
        <f>Tabelle1[[#This Row],[Feature
Number]]</f>
        <v>F0x25</v>
      </c>
      <c r="B199" s="47" t="s">
        <v>251</v>
      </c>
      <c r="C199" s="47" t="s">
        <v>1006</v>
      </c>
      <c r="D199" s="51" t="s">
        <v>1011</v>
      </c>
      <c r="E199" s="36" t="s">
        <v>1012</v>
      </c>
      <c r="F199" s="35" t="s">
        <v>1013</v>
      </c>
      <c r="G199" s="58" t="s">
        <v>1009</v>
      </c>
      <c r="H199" s="35" t="s">
        <v>1010</v>
      </c>
      <c r="I199" s="35" t="s">
        <v>1010</v>
      </c>
      <c r="J199" s="47"/>
      <c r="K199" s="35" t="s">
        <v>28</v>
      </c>
      <c r="L199" s="35" t="s">
        <v>28</v>
      </c>
      <c r="M199" s="35" t="s">
        <v>1010</v>
      </c>
      <c r="O199" s="12" t="s">
        <v>28</v>
      </c>
      <c r="P199" s="27" t="s">
        <v>199</v>
      </c>
      <c r="Q199" s="27" t="s">
        <v>200</v>
      </c>
    </row>
    <row r="200" spans="1:17" ht="26.4" x14ac:dyDescent="0.3">
      <c r="A200" s="71" t="str">
        <f>Tabelle1[[#This Row],[Feature
Number]]</f>
        <v>F0x28</v>
      </c>
      <c r="B200" s="47" t="s">
        <v>251</v>
      </c>
      <c r="C200" s="47" t="s">
        <v>1006</v>
      </c>
      <c r="D200" s="51" t="s">
        <v>1020</v>
      </c>
      <c r="E200" s="36" t="s">
        <v>1021</v>
      </c>
      <c r="F200" s="35" t="s">
        <v>1022</v>
      </c>
      <c r="G200" s="58" t="s">
        <v>73</v>
      </c>
      <c r="H200" s="35" t="s">
        <v>1010</v>
      </c>
      <c r="I200" s="35" t="s">
        <v>1010</v>
      </c>
      <c r="J200" s="47"/>
      <c r="K200" s="35" t="s">
        <v>1010</v>
      </c>
      <c r="L200" s="35" t="s">
        <v>28</v>
      </c>
      <c r="M200" s="35" t="s">
        <v>28</v>
      </c>
      <c r="O200" s="12" t="s">
        <v>28</v>
      </c>
      <c r="P200" s="27" t="s">
        <v>199</v>
      </c>
      <c r="Q200" s="27" t="s">
        <v>200</v>
      </c>
    </row>
    <row r="201" spans="1:17" ht="26.4" x14ac:dyDescent="0.3">
      <c r="A201" s="71" t="str">
        <f>Tabelle1[[#This Row],[Feature
Number]]</f>
        <v>F0x80</v>
      </c>
      <c r="B201" s="38" t="s">
        <v>251</v>
      </c>
      <c r="C201" s="38" t="s">
        <v>311</v>
      </c>
      <c r="D201" s="43" t="s">
        <v>9665</v>
      </c>
      <c r="E201" s="38" t="s">
        <v>9664</v>
      </c>
      <c r="F201" s="41" t="s">
        <v>9667</v>
      </c>
      <c r="G201" s="54"/>
      <c r="H201" s="41"/>
      <c r="I201" s="41"/>
      <c r="J201" s="41"/>
      <c r="K201" s="41" t="s">
        <v>28</v>
      </c>
      <c r="L201" s="41"/>
      <c r="M201" s="41"/>
      <c r="O201" s="12" t="s">
        <v>28</v>
      </c>
      <c r="P201" s="27" t="s">
        <v>199</v>
      </c>
      <c r="Q201" s="27" t="s">
        <v>200</v>
      </c>
    </row>
    <row r="202" spans="1:17" ht="26.4" x14ac:dyDescent="0.3">
      <c r="A202" s="71" t="str">
        <f>Tabelle1[[#This Row],[Feature
Number]]</f>
        <v>F0x81</v>
      </c>
      <c r="B202" s="38" t="s">
        <v>251</v>
      </c>
      <c r="C202" s="38" t="s">
        <v>311</v>
      </c>
      <c r="D202" s="43" t="s">
        <v>9666</v>
      </c>
      <c r="E202" s="38" t="s">
        <v>9664</v>
      </c>
      <c r="F202" s="41" t="s">
        <v>9668</v>
      </c>
      <c r="G202" s="54"/>
      <c r="H202" s="41"/>
      <c r="I202" s="41"/>
      <c r="J202" s="41"/>
      <c r="K202" s="41"/>
      <c r="L202" s="41" t="s">
        <v>28</v>
      </c>
      <c r="M202" s="41"/>
      <c r="O202" s="12" t="s">
        <v>28</v>
      </c>
      <c r="P202" s="27" t="s">
        <v>199</v>
      </c>
      <c r="Q202" s="27" t="s">
        <v>200</v>
      </c>
    </row>
    <row r="203" spans="1:17" ht="26.4" x14ac:dyDescent="0.3">
      <c r="A203" s="71" t="str">
        <f>Tabelle1[[#This Row],[Feature
Number]]</f>
        <v>F0x12</v>
      </c>
      <c r="B203" s="38" t="s">
        <v>251</v>
      </c>
      <c r="C203" s="38" t="s">
        <v>311</v>
      </c>
      <c r="D203" s="43" t="s">
        <v>978</v>
      </c>
      <c r="E203" s="38" t="s">
        <v>979</v>
      </c>
      <c r="F203" s="41" t="s">
        <v>980</v>
      </c>
      <c r="G203" s="54" t="s">
        <v>73</v>
      </c>
      <c r="H203" s="41"/>
      <c r="I203" s="41"/>
      <c r="J203" s="41"/>
      <c r="K203" s="41" t="s">
        <v>28</v>
      </c>
      <c r="L203" s="41" t="s">
        <v>28</v>
      </c>
      <c r="M203" s="41" t="s">
        <v>28</v>
      </c>
      <c r="O203" s="12" t="s">
        <v>28</v>
      </c>
      <c r="P203" s="27" t="s">
        <v>199</v>
      </c>
      <c r="Q203" s="27" t="s">
        <v>200</v>
      </c>
    </row>
    <row r="204" spans="1:17" hidden="1" x14ac:dyDescent="0.3">
      <c r="A204" s="71" t="str">
        <f>Tabelle1[[#This Row],[Feature
Number]]</f>
        <v>F1117</v>
      </c>
      <c r="B204" s="27" t="s">
        <v>256</v>
      </c>
      <c r="C204" s="27" t="s">
        <v>261</v>
      </c>
      <c r="D204" s="28" t="s">
        <v>1165</v>
      </c>
      <c r="E204" s="28" t="s">
        <v>1166</v>
      </c>
      <c r="F204" s="29" t="s">
        <v>1167</v>
      </c>
      <c r="G204" s="31" t="s">
        <v>73</v>
      </c>
      <c r="H204" s="29"/>
      <c r="I204" s="29"/>
      <c r="J204" s="27"/>
      <c r="K204" s="29" t="s">
        <v>28</v>
      </c>
      <c r="L204" s="29" t="s">
        <v>28</v>
      </c>
      <c r="M204" s="29" t="s">
        <v>28</v>
      </c>
      <c r="O204" s="12" t="s">
        <v>28</v>
      </c>
      <c r="P204" s="27" t="s">
        <v>199</v>
      </c>
      <c r="Q204" s="27" t="s">
        <v>200</v>
      </c>
    </row>
    <row r="205" spans="1:17" ht="105.6" hidden="1" x14ac:dyDescent="0.3">
      <c r="A205" s="71" t="str">
        <f>Tabelle1[[#This Row],[Feature
Number]]</f>
        <v>F0x31</v>
      </c>
      <c r="B205" s="47" t="s">
        <v>256</v>
      </c>
      <c r="C205" s="47" t="s">
        <v>429</v>
      </c>
      <c r="D205" s="51" t="s">
        <v>1026</v>
      </c>
      <c r="E205" s="36" t="s">
        <v>1027</v>
      </c>
      <c r="F205" s="35" t="s">
        <v>1028</v>
      </c>
      <c r="G205" s="58" t="s">
        <v>73</v>
      </c>
      <c r="H205" s="35" t="s">
        <v>1010</v>
      </c>
      <c r="I205" s="35" t="s">
        <v>1010</v>
      </c>
      <c r="J205" s="47"/>
      <c r="K205" s="35" t="s">
        <v>1010</v>
      </c>
      <c r="L205" s="35" t="s">
        <v>28</v>
      </c>
      <c r="M205" s="35" t="s">
        <v>28</v>
      </c>
      <c r="O205" s="12" t="s">
        <v>28</v>
      </c>
      <c r="P205" s="27" t="s">
        <v>57</v>
      </c>
      <c r="Q205" s="27" t="s">
        <v>349</v>
      </c>
    </row>
    <row r="206" spans="1:17" ht="52.8" hidden="1" x14ac:dyDescent="0.3">
      <c r="A206" s="71" t="str">
        <f>Tabelle1[[#This Row],[Feature
Number]]</f>
        <v>F0247</v>
      </c>
      <c r="B206" s="27" t="s">
        <v>256</v>
      </c>
      <c r="C206" s="27" t="s">
        <v>429</v>
      </c>
      <c r="D206" s="43" t="s">
        <v>430</v>
      </c>
      <c r="E206" s="28" t="s">
        <v>431</v>
      </c>
      <c r="F206" s="29" t="s">
        <v>432</v>
      </c>
      <c r="G206" s="31" t="s">
        <v>73</v>
      </c>
      <c r="H206" s="29"/>
      <c r="I206" s="29" t="s">
        <v>28</v>
      </c>
      <c r="J206" s="27"/>
      <c r="K206" s="29" t="s">
        <v>28</v>
      </c>
      <c r="L206" s="29" t="s">
        <v>28</v>
      </c>
      <c r="M206" s="29" t="s">
        <v>28</v>
      </c>
      <c r="O206" s="12" t="s">
        <v>28</v>
      </c>
      <c r="P206" s="27" t="s">
        <v>57</v>
      </c>
      <c r="Q206" s="27" t="s">
        <v>349</v>
      </c>
    </row>
    <row r="207" spans="1:17" ht="26.4" hidden="1" x14ac:dyDescent="0.3">
      <c r="A207" s="71" t="str">
        <f>Tabelle1[[#This Row],[Feature
Number]]</f>
        <v>F0400</v>
      </c>
      <c r="B207" s="27" t="s">
        <v>256</v>
      </c>
      <c r="C207" s="27" t="s">
        <v>543</v>
      </c>
      <c r="D207" s="43" t="s">
        <v>595</v>
      </c>
      <c r="E207" s="28" t="s">
        <v>596</v>
      </c>
      <c r="F207" s="29" t="s">
        <v>597</v>
      </c>
      <c r="G207" s="31" t="s">
        <v>598</v>
      </c>
      <c r="H207" s="29"/>
      <c r="I207" s="29"/>
      <c r="J207" s="27"/>
      <c r="K207" s="29"/>
      <c r="L207" s="29"/>
      <c r="M207" s="29" t="s">
        <v>28</v>
      </c>
      <c r="O207" s="12" t="s">
        <v>28</v>
      </c>
      <c r="P207" s="27" t="s">
        <v>199</v>
      </c>
      <c r="Q207" s="27" t="s">
        <v>510</v>
      </c>
    </row>
    <row r="208" spans="1:17" ht="26.4" hidden="1" x14ac:dyDescent="0.3">
      <c r="A208" s="71" t="str">
        <f>Tabelle1[[#This Row],[Feature
Number]]</f>
        <v>F0348</v>
      </c>
      <c r="B208" s="27" t="s">
        <v>256</v>
      </c>
      <c r="C208" s="27" t="s">
        <v>543</v>
      </c>
      <c r="D208" s="28" t="s">
        <v>544</v>
      </c>
      <c r="E208" s="28" t="s">
        <v>545</v>
      </c>
      <c r="F208" s="29" t="s">
        <v>546</v>
      </c>
      <c r="G208" s="31" t="s">
        <v>73</v>
      </c>
      <c r="H208" s="29"/>
      <c r="I208" s="29"/>
      <c r="J208" s="27"/>
      <c r="K208" s="29" t="s">
        <v>28</v>
      </c>
      <c r="L208" s="29" t="s">
        <v>28</v>
      </c>
      <c r="M208" s="29" t="s">
        <v>28</v>
      </c>
      <c r="O208" s="12" t="s">
        <v>28</v>
      </c>
      <c r="P208" s="27" t="s">
        <v>57</v>
      </c>
      <c r="Q208" s="27" t="s">
        <v>58</v>
      </c>
    </row>
    <row r="209" spans="1:17" ht="66" hidden="1" x14ac:dyDescent="0.3">
      <c r="A209" s="71" t="str">
        <f>Tabelle1[[#This Row],[Feature
Number]]</f>
        <v>F0x47</v>
      </c>
      <c r="B209" s="47" t="s">
        <v>256</v>
      </c>
      <c r="C209" s="47" t="s">
        <v>257</v>
      </c>
      <c r="D209" s="36" t="s">
        <v>1075</v>
      </c>
      <c r="E209" s="36" t="s">
        <v>1076</v>
      </c>
      <c r="F209" s="35" t="s">
        <v>1077</v>
      </c>
      <c r="G209" s="58" t="s">
        <v>73</v>
      </c>
      <c r="H209" s="35" t="s">
        <v>1010</v>
      </c>
      <c r="I209" s="35" t="s">
        <v>1010</v>
      </c>
      <c r="J209" s="47"/>
      <c r="K209" s="35" t="s">
        <v>1010</v>
      </c>
      <c r="L209" s="35" t="s">
        <v>1010</v>
      </c>
      <c r="M209" s="35" t="s">
        <v>28</v>
      </c>
      <c r="O209" s="12" t="s">
        <v>28</v>
      </c>
      <c r="P209" s="27" t="s">
        <v>57</v>
      </c>
      <c r="Q209" s="27" t="s">
        <v>58</v>
      </c>
    </row>
    <row r="210" spans="1:17" ht="39.6" hidden="1" x14ac:dyDescent="0.3">
      <c r="A210" s="71" t="str">
        <f>Tabelle1[[#This Row],[Feature
Number]]</f>
        <v>F1341</v>
      </c>
      <c r="B210" s="27" t="s">
        <v>256</v>
      </c>
      <c r="C210" s="27" t="s">
        <v>261</v>
      </c>
      <c r="D210" s="28" t="s">
        <v>1184</v>
      </c>
      <c r="E210" s="28" t="s">
        <v>1185</v>
      </c>
      <c r="F210" s="29" t="s">
        <v>1186</v>
      </c>
      <c r="G210" s="31" t="s">
        <v>73</v>
      </c>
      <c r="H210" s="29"/>
      <c r="I210" s="29"/>
      <c r="J210" s="27" t="s">
        <v>248</v>
      </c>
      <c r="K210" s="29"/>
      <c r="L210" s="29" t="s">
        <v>28</v>
      </c>
      <c r="M210" s="29" t="s">
        <v>28</v>
      </c>
      <c r="O210" s="12" t="s">
        <v>28</v>
      </c>
      <c r="P210" s="27" t="s">
        <v>57</v>
      </c>
      <c r="Q210" s="27" t="s">
        <v>58</v>
      </c>
    </row>
    <row r="211" spans="1:17" ht="26.4" hidden="1" x14ac:dyDescent="0.3">
      <c r="A211" s="71" t="str">
        <f>Tabelle1[[#This Row],[Feature
Number]]</f>
        <v>F2020</v>
      </c>
      <c r="B211" s="27" t="s">
        <v>256</v>
      </c>
      <c r="C211" s="27" t="s">
        <v>532</v>
      </c>
      <c r="D211" s="28" t="s">
        <v>1237</v>
      </c>
      <c r="E211" s="28" t="s">
        <v>1238</v>
      </c>
      <c r="F211" s="29" t="s">
        <v>370</v>
      </c>
      <c r="G211" s="31" t="s">
        <v>73</v>
      </c>
      <c r="H211" s="29"/>
      <c r="I211" s="29"/>
      <c r="J211" s="27"/>
      <c r="K211" s="29" t="s">
        <v>28</v>
      </c>
      <c r="L211" s="29" t="s">
        <v>28</v>
      </c>
      <c r="M211" s="29" t="s">
        <v>28</v>
      </c>
      <c r="O211" s="12" t="s">
        <v>28</v>
      </c>
      <c r="P211" s="38" t="s">
        <v>57</v>
      </c>
      <c r="Q211" s="38" t="s">
        <v>58</v>
      </c>
    </row>
    <row r="212" spans="1:17" ht="26.4" hidden="1" x14ac:dyDescent="0.3">
      <c r="A212" s="71" t="str">
        <f>Tabelle1[[#This Row],[Feature
Number]]</f>
        <v>F0648</v>
      </c>
      <c r="B212" s="27" t="s">
        <v>256</v>
      </c>
      <c r="C212" s="27" t="s">
        <v>532</v>
      </c>
      <c r="D212" s="43" t="s">
        <v>779</v>
      </c>
      <c r="E212" s="28" t="s">
        <v>780</v>
      </c>
      <c r="F212" s="31" t="s">
        <v>781</v>
      </c>
      <c r="G212" s="31" t="s">
        <v>73</v>
      </c>
      <c r="H212" s="29"/>
      <c r="I212" s="29"/>
      <c r="J212" s="27"/>
      <c r="K212" s="29" t="s">
        <v>28</v>
      </c>
      <c r="L212" s="29"/>
      <c r="M212" s="29"/>
      <c r="O212" s="12" t="s">
        <v>28</v>
      </c>
      <c r="P212" s="38" t="s">
        <v>57</v>
      </c>
      <c r="Q212" s="38" t="s">
        <v>58</v>
      </c>
    </row>
    <row r="213" spans="1:17" ht="66" hidden="1" x14ac:dyDescent="0.3">
      <c r="A213" s="71" t="str">
        <f>Tabelle1[[#This Row],[Feature
Number]]</f>
        <v>F0131</v>
      </c>
      <c r="B213" s="27" t="s">
        <v>256</v>
      </c>
      <c r="C213" s="27" t="s">
        <v>261</v>
      </c>
      <c r="D213" s="28" t="s">
        <v>262</v>
      </c>
      <c r="E213" s="28" t="s">
        <v>263</v>
      </c>
      <c r="F213" s="29" t="s">
        <v>264</v>
      </c>
      <c r="G213" s="31" t="s">
        <v>265</v>
      </c>
      <c r="H213" s="29"/>
      <c r="I213" s="29"/>
      <c r="J213" s="27"/>
      <c r="K213" s="29"/>
      <c r="L213" s="29" t="s">
        <v>28</v>
      </c>
      <c r="M213" s="29" t="s">
        <v>28</v>
      </c>
      <c r="O213" s="12" t="s">
        <v>28</v>
      </c>
      <c r="P213" s="38" t="s">
        <v>57</v>
      </c>
      <c r="Q213" s="38" t="s">
        <v>58</v>
      </c>
    </row>
    <row r="214" spans="1:17" ht="52.8" hidden="1" x14ac:dyDescent="0.3">
      <c r="A214" s="71" t="str">
        <f>Tabelle1[[#This Row],[Feature
Number]]</f>
        <v>F0921</v>
      </c>
      <c r="B214" s="27" t="s">
        <v>256</v>
      </c>
      <c r="C214" s="27" t="s">
        <v>543</v>
      </c>
      <c r="D214" s="28" t="s">
        <v>937</v>
      </c>
      <c r="E214" s="28" t="s">
        <v>938</v>
      </c>
      <c r="F214" s="49" t="s">
        <v>939</v>
      </c>
      <c r="G214" s="57" t="s">
        <v>73</v>
      </c>
      <c r="H214" s="29"/>
      <c r="I214" s="29"/>
      <c r="J214" s="27"/>
      <c r="K214" s="29" t="s">
        <v>28</v>
      </c>
      <c r="L214" s="29" t="s">
        <v>28</v>
      </c>
      <c r="M214" s="29" t="s">
        <v>28</v>
      </c>
      <c r="O214" s="12" t="s">
        <v>28</v>
      </c>
      <c r="P214" s="27" t="s">
        <v>57</v>
      </c>
      <c r="Q214" s="27" t="s">
        <v>58</v>
      </c>
    </row>
    <row r="215" spans="1:17" ht="52.8" hidden="1" x14ac:dyDescent="0.3">
      <c r="A215" s="71" t="str">
        <f>Tabelle1[[#This Row],[Feature
Number]]</f>
        <v>F0350</v>
      </c>
      <c r="B215" s="27" t="s">
        <v>256</v>
      </c>
      <c r="C215" s="27" t="s">
        <v>543</v>
      </c>
      <c r="D215" s="28" t="s">
        <v>547</v>
      </c>
      <c r="E215" s="28" t="s">
        <v>548</v>
      </c>
      <c r="F215" s="29" t="s">
        <v>549</v>
      </c>
      <c r="G215" s="31" t="s">
        <v>546</v>
      </c>
      <c r="H215" s="29"/>
      <c r="I215" s="29"/>
      <c r="J215" s="27"/>
      <c r="K215" s="29"/>
      <c r="L215" s="29"/>
      <c r="M215" s="29" t="s">
        <v>28</v>
      </c>
      <c r="O215" s="12" t="s">
        <v>28</v>
      </c>
      <c r="P215" s="38" t="s">
        <v>57</v>
      </c>
      <c r="Q215" s="38" t="s">
        <v>58</v>
      </c>
    </row>
    <row r="216" spans="1:17" ht="79.2" hidden="1" x14ac:dyDescent="0.3">
      <c r="A216" s="71" t="str">
        <f>Tabelle1[[#This Row],[Feature
Number]]</f>
        <v>F2008</v>
      </c>
      <c r="B216" s="27" t="s">
        <v>256</v>
      </c>
      <c r="C216" s="27" t="s">
        <v>261</v>
      </c>
      <c r="D216" s="28" t="s">
        <v>1217</v>
      </c>
      <c r="E216" s="28" t="s">
        <v>1218</v>
      </c>
      <c r="F216" s="29" t="s">
        <v>265</v>
      </c>
      <c r="G216" s="31" t="s">
        <v>1195</v>
      </c>
      <c r="H216" s="29"/>
      <c r="I216" s="29"/>
      <c r="J216" s="27"/>
      <c r="K216" s="29" t="s">
        <v>28</v>
      </c>
      <c r="L216" s="29" t="s">
        <v>28</v>
      </c>
      <c r="M216" s="29" t="s">
        <v>28</v>
      </c>
      <c r="O216" s="12" t="s">
        <v>28</v>
      </c>
      <c r="P216" s="27" t="s">
        <v>57</v>
      </c>
      <c r="Q216" s="27" t="s">
        <v>58</v>
      </c>
    </row>
    <row r="217" spans="1:17" ht="52.8" hidden="1" x14ac:dyDescent="0.3">
      <c r="A217" s="71" t="str">
        <f>Tabelle1[[#This Row],[Feature
Number]]</f>
        <v>F2007</v>
      </c>
      <c r="B217" s="27" t="s">
        <v>256</v>
      </c>
      <c r="C217" s="27" t="s">
        <v>532</v>
      </c>
      <c r="D217" s="43" t="s">
        <v>1214</v>
      </c>
      <c r="E217" s="28" t="s">
        <v>1215</v>
      </c>
      <c r="F217" s="29" t="s">
        <v>1216</v>
      </c>
      <c r="G217" s="31" t="s">
        <v>781</v>
      </c>
      <c r="H217" s="29"/>
      <c r="I217" s="29"/>
      <c r="J217" s="27"/>
      <c r="K217" s="29" t="s">
        <v>28</v>
      </c>
      <c r="L217" s="29" t="s">
        <v>28</v>
      </c>
      <c r="M217" s="29" t="s">
        <v>28</v>
      </c>
      <c r="O217" s="12" t="s">
        <v>28</v>
      </c>
      <c r="P217" s="27" t="s">
        <v>57</v>
      </c>
      <c r="Q217" s="27" t="s">
        <v>58</v>
      </c>
    </row>
    <row r="218" spans="1:17" ht="66" hidden="1" x14ac:dyDescent="0.3">
      <c r="A218" s="71" t="str">
        <f>Tabelle1[[#This Row],[Feature
Number]]</f>
        <v>F0x46</v>
      </c>
      <c r="B218" s="47" t="s">
        <v>256</v>
      </c>
      <c r="C218" s="47" t="s">
        <v>257</v>
      </c>
      <c r="D218" s="36" t="s">
        <v>1072</v>
      </c>
      <c r="E218" s="36" t="s">
        <v>1073</v>
      </c>
      <c r="F218" s="35" t="s">
        <v>1074</v>
      </c>
      <c r="G218" s="58" t="s">
        <v>73</v>
      </c>
      <c r="H218" s="35" t="s">
        <v>1010</v>
      </c>
      <c r="I218" s="35" t="s">
        <v>1010</v>
      </c>
      <c r="J218" s="47"/>
      <c r="K218" s="35" t="s">
        <v>1010</v>
      </c>
      <c r="L218" s="35" t="s">
        <v>1010</v>
      </c>
      <c r="M218" s="35" t="s">
        <v>28</v>
      </c>
      <c r="O218" s="12" t="s">
        <v>28</v>
      </c>
      <c r="P218" s="27" t="s">
        <v>57</v>
      </c>
      <c r="Q218" s="27" t="s">
        <v>58</v>
      </c>
    </row>
    <row r="219" spans="1:17" ht="26.4" hidden="1" x14ac:dyDescent="0.3">
      <c r="A219" s="71" t="str">
        <f>Tabelle1[[#This Row],[Feature
Number]]</f>
        <v>F0125</v>
      </c>
      <c r="B219" s="27" t="s">
        <v>256</v>
      </c>
      <c r="C219" s="27" t="s">
        <v>257</v>
      </c>
      <c r="D219" s="28" t="s">
        <v>258</v>
      </c>
      <c r="E219" s="28" t="s">
        <v>259</v>
      </c>
      <c r="F219" s="29" t="s">
        <v>260</v>
      </c>
      <c r="G219" s="31" t="s">
        <v>73</v>
      </c>
      <c r="H219" s="29"/>
      <c r="I219" s="29"/>
      <c r="J219" s="27" t="s">
        <v>248</v>
      </c>
      <c r="K219" s="29"/>
      <c r="L219" s="29"/>
      <c r="M219" s="29" t="s">
        <v>28</v>
      </c>
      <c r="O219" s="12" t="s">
        <v>28</v>
      </c>
      <c r="P219" s="27" t="s">
        <v>57</v>
      </c>
      <c r="Q219" s="27" t="s">
        <v>58</v>
      </c>
    </row>
    <row r="220" spans="1:17" ht="52.8" hidden="1" x14ac:dyDescent="0.3">
      <c r="A220" s="71" t="str">
        <f>Tabelle1[[#This Row],[Feature
Number]]</f>
        <v>F0x43</v>
      </c>
      <c r="B220" s="47" t="s">
        <v>256</v>
      </c>
      <c r="C220" s="47" t="s">
        <v>532</v>
      </c>
      <c r="D220" s="36" t="s">
        <v>1061</v>
      </c>
      <c r="E220" s="36" t="s">
        <v>1062</v>
      </c>
      <c r="F220" s="35" t="s">
        <v>1063</v>
      </c>
      <c r="G220" s="58" t="s">
        <v>327</v>
      </c>
      <c r="H220" s="35" t="s">
        <v>1010</v>
      </c>
      <c r="I220" s="35" t="s">
        <v>1010</v>
      </c>
      <c r="J220" s="47"/>
      <c r="K220" s="35" t="s">
        <v>1010</v>
      </c>
      <c r="L220" s="35" t="s">
        <v>28</v>
      </c>
      <c r="M220" s="35" t="s">
        <v>28</v>
      </c>
      <c r="O220" s="12" t="s">
        <v>28</v>
      </c>
      <c r="P220" s="27" t="s">
        <v>280</v>
      </c>
      <c r="Q220" s="27" t="s">
        <v>337</v>
      </c>
    </row>
    <row r="221" spans="1:17" ht="66" hidden="1" x14ac:dyDescent="0.3">
      <c r="A221" s="71" t="str">
        <f>Tabelle1[[#This Row],[Feature
Number]]</f>
        <v>F0339</v>
      </c>
      <c r="B221" s="27" t="s">
        <v>256</v>
      </c>
      <c r="C221" s="27" t="s">
        <v>532</v>
      </c>
      <c r="D221" s="43" t="s">
        <v>533</v>
      </c>
      <c r="E221" s="28" t="s">
        <v>534</v>
      </c>
      <c r="F221" s="29" t="s">
        <v>535</v>
      </c>
      <c r="G221" s="31" t="s">
        <v>73</v>
      </c>
      <c r="H221" s="29"/>
      <c r="I221" s="29"/>
      <c r="J221" s="27"/>
      <c r="K221" s="29" t="s">
        <v>28</v>
      </c>
      <c r="L221" s="29" t="s">
        <v>28</v>
      </c>
      <c r="M221" s="29" t="s">
        <v>28</v>
      </c>
      <c r="O221" s="12" t="s">
        <v>28</v>
      </c>
      <c r="P221" s="27" t="s">
        <v>63</v>
      </c>
      <c r="Q221" s="27" t="s">
        <v>162</v>
      </c>
    </row>
    <row r="222" spans="1:17" ht="118.8" hidden="1" x14ac:dyDescent="0.3">
      <c r="A222" s="71" t="str">
        <f>Tabelle1[[#This Row],[Feature
Number]]</f>
        <v>F0653</v>
      </c>
      <c r="B222" s="27" t="s">
        <v>256</v>
      </c>
      <c r="C222" s="27" t="s">
        <v>532</v>
      </c>
      <c r="D222" s="43" t="s">
        <v>788</v>
      </c>
      <c r="E222" s="28" t="s">
        <v>789</v>
      </c>
      <c r="F222" s="29" t="s">
        <v>790</v>
      </c>
      <c r="G222" s="31" t="s">
        <v>73</v>
      </c>
      <c r="H222" s="29"/>
      <c r="I222" s="29"/>
      <c r="J222" s="27"/>
      <c r="K222" s="29"/>
      <c r="L222" s="29" t="s">
        <v>28</v>
      </c>
      <c r="M222" s="29" t="s">
        <v>28</v>
      </c>
      <c r="O222" s="12" t="s">
        <v>28</v>
      </c>
      <c r="P222" s="27" t="s">
        <v>63</v>
      </c>
      <c r="Q222" s="27" t="s">
        <v>162</v>
      </c>
    </row>
    <row r="223" spans="1:17" ht="92.4" hidden="1" x14ac:dyDescent="0.3">
      <c r="A223" s="71" t="str">
        <f>Tabelle1[[#This Row],[Feature
Number]]</f>
        <v>F0361</v>
      </c>
      <c r="B223" s="27" t="s">
        <v>256</v>
      </c>
      <c r="C223" s="27" t="s">
        <v>532</v>
      </c>
      <c r="D223" s="28" t="s">
        <v>559</v>
      </c>
      <c r="E223" s="28" t="s">
        <v>560</v>
      </c>
      <c r="F223" s="29" t="s">
        <v>561</v>
      </c>
      <c r="G223" s="31" t="s">
        <v>73</v>
      </c>
      <c r="H223" s="29"/>
      <c r="I223" s="29"/>
      <c r="J223" s="27"/>
      <c r="K223" s="29" t="s">
        <v>28</v>
      </c>
      <c r="L223" s="29" t="s">
        <v>28</v>
      </c>
      <c r="M223" s="29" t="s">
        <v>28</v>
      </c>
      <c r="O223" s="12" t="s">
        <v>28</v>
      </c>
      <c r="P223" s="27" t="s">
        <v>256</v>
      </c>
      <c r="Q223" s="27" t="s">
        <v>261</v>
      </c>
    </row>
    <row r="224" spans="1:17" ht="52.8" hidden="1" x14ac:dyDescent="0.3">
      <c r="A224" s="71" t="str">
        <f>Tabelle1[[#This Row],[Feature
Number]]</f>
        <v>F0x48</v>
      </c>
      <c r="B224" s="47" t="s">
        <v>256</v>
      </c>
      <c r="C224" s="47" t="s">
        <v>257</v>
      </c>
      <c r="D224" s="36" t="s">
        <v>1078</v>
      </c>
      <c r="E224" s="36" t="s">
        <v>1079</v>
      </c>
      <c r="F224" s="35" t="s">
        <v>1080</v>
      </c>
      <c r="G224" s="58" t="s">
        <v>1081</v>
      </c>
      <c r="H224" s="35" t="s">
        <v>1010</v>
      </c>
      <c r="I224" s="35" t="s">
        <v>1010</v>
      </c>
      <c r="J224" s="47"/>
      <c r="K224" s="35" t="s">
        <v>1010</v>
      </c>
      <c r="L224" s="35" t="s">
        <v>1010</v>
      </c>
      <c r="M224" s="35" t="s">
        <v>28</v>
      </c>
      <c r="O224" s="12" t="s">
        <v>28</v>
      </c>
      <c r="P224" s="27" t="s">
        <v>29</v>
      </c>
      <c r="Q224" s="27" t="s">
        <v>120</v>
      </c>
    </row>
    <row r="225" spans="1:17" ht="52.8" hidden="1" x14ac:dyDescent="0.3">
      <c r="A225" s="71" t="str">
        <f>Tabelle1[[#This Row],[Feature
Number]]</f>
        <v>F2000</v>
      </c>
      <c r="B225" s="27" t="s">
        <v>256</v>
      </c>
      <c r="C225" s="27" t="s">
        <v>532</v>
      </c>
      <c r="D225" s="43" t="s">
        <v>1193</v>
      </c>
      <c r="E225" s="28" t="s">
        <v>1194</v>
      </c>
      <c r="F225" s="29" t="s">
        <v>1195</v>
      </c>
      <c r="G225" s="31" t="s">
        <v>73</v>
      </c>
      <c r="H225" s="29"/>
      <c r="I225" s="29"/>
      <c r="J225" s="27"/>
      <c r="K225" s="29" t="s">
        <v>28</v>
      </c>
      <c r="L225" s="29" t="s">
        <v>28</v>
      </c>
      <c r="M225" s="29" t="s">
        <v>28</v>
      </c>
      <c r="P225" s="27" t="s">
        <v>29</v>
      </c>
      <c r="Q225" s="27" t="s">
        <v>120</v>
      </c>
    </row>
    <row r="226" spans="1:17" ht="118.8" hidden="1" x14ac:dyDescent="0.3">
      <c r="A226" s="71" t="str">
        <f>Tabelle1[[#This Row],[Feature
Number]]</f>
        <v>F0762</v>
      </c>
      <c r="B226" s="27" t="s">
        <v>280</v>
      </c>
      <c r="C226" s="27" t="s">
        <v>328</v>
      </c>
      <c r="D226" s="43" t="s">
        <v>855</v>
      </c>
      <c r="E226" s="28" t="s">
        <v>856</v>
      </c>
      <c r="F226" s="29" t="s">
        <v>857</v>
      </c>
      <c r="G226" s="31" t="s">
        <v>331</v>
      </c>
      <c r="H226" s="29"/>
      <c r="I226" s="29"/>
      <c r="J226" s="27"/>
      <c r="K226" s="29" t="s">
        <v>28</v>
      </c>
      <c r="L226" s="29" t="s">
        <v>28</v>
      </c>
      <c r="M226" s="29" t="s">
        <v>28</v>
      </c>
      <c r="O226" s="12" t="s">
        <v>28</v>
      </c>
      <c r="P226" s="27" t="s">
        <v>29</v>
      </c>
      <c r="Q226" s="27" t="s">
        <v>120</v>
      </c>
    </row>
    <row r="227" spans="1:17" ht="26.4" hidden="1" x14ac:dyDescent="0.3">
      <c r="A227" s="71" t="str">
        <f>Tabelle1[[#This Row],[Feature
Number]]</f>
        <v>F0x40</v>
      </c>
      <c r="B227" s="47" t="s">
        <v>280</v>
      </c>
      <c r="C227" s="47" t="s">
        <v>354</v>
      </c>
      <c r="D227" s="36" t="s">
        <v>1052</v>
      </c>
      <c r="E227" s="36" t="s">
        <v>1053</v>
      </c>
      <c r="F227" s="35" t="s">
        <v>1054</v>
      </c>
      <c r="G227" s="58" t="s">
        <v>474</v>
      </c>
      <c r="H227" s="35" t="s">
        <v>1010</v>
      </c>
      <c r="I227" s="35" t="s">
        <v>1010</v>
      </c>
      <c r="J227" s="47"/>
      <c r="K227" s="35" t="s">
        <v>1010</v>
      </c>
      <c r="L227" s="35" t="s">
        <v>28</v>
      </c>
      <c r="M227" s="35" t="s">
        <v>28</v>
      </c>
      <c r="O227" s="12" t="s">
        <v>28</v>
      </c>
      <c r="P227" s="27" t="s">
        <v>29</v>
      </c>
      <c r="Q227" s="27" t="s">
        <v>120</v>
      </c>
    </row>
    <row r="228" spans="1:17" hidden="1" x14ac:dyDescent="0.3">
      <c r="A228" s="71" t="str">
        <f>Tabelle1[[#This Row],[Feature
Number]]</f>
        <v>F0266</v>
      </c>
      <c r="B228" s="27" t="s">
        <v>280</v>
      </c>
      <c r="C228" s="27" t="s">
        <v>354</v>
      </c>
      <c r="D228" s="43" t="s">
        <v>472</v>
      </c>
      <c r="E228" s="28" t="s">
        <v>473</v>
      </c>
      <c r="F228" s="29" t="s">
        <v>358</v>
      </c>
      <c r="G228" s="31" t="s">
        <v>474</v>
      </c>
      <c r="H228" s="29"/>
      <c r="I228" s="29"/>
      <c r="J228" s="27"/>
      <c r="K228" s="29" t="s">
        <v>28</v>
      </c>
      <c r="L228" s="29" t="s">
        <v>28</v>
      </c>
      <c r="M228" s="29" t="s">
        <v>28</v>
      </c>
      <c r="O228" s="12" t="s">
        <v>28</v>
      </c>
      <c r="P228" s="27" t="s">
        <v>29</v>
      </c>
      <c r="Q228" s="27" t="s">
        <v>120</v>
      </c>
    </row>
    <row r="229" spans="1:17" ht="26.4" hidden="1" x14ac:dyDescent="0.3">
      <c r="A229" s="71" t="str">
        <f>Tabelle1[[#This Row],[Feature
Number]]</f>
        <v>F0198</v>
      </c>
      <c r="B229" s="27" t="s">
        <v>280</v>
      </c>
      <c r="C229" s="27" t="s">
        <v>354</v>
      </c>
      <c r="D229" s="43" t="s">
        <v>355</v>
      </c>
      <c r="E229" s="28" t="s">
        <v>356</v>
      </c>
      <c r="F229" s="29" t="s">
        <v>357</v>
      </c>
      <c r="G229" s="31" t="s">
        <v>358</v>
      </c>
      <c r="H229" s="29"/>
      <c r="I229" s="29"/>
      <c r="J229" s="27"/>
      <c r="K229" s="29"/>
      <c r="L229" s="29" t="s">
        <v>28</v>
      </c>
      <c r="M229" s="29" t="s">
        <v>28</v>
      </c>
      <c r="O229" s="12" t="s">
        <v>28</v>
      </c>
      <c r="P229" s="27" t="s">
        <v>29</v>
      </c>
      <c r="Q229" s="27" t="s">
        <v>120</v>
      </c>
    </row>
    <row r="230" spans="1:17" hidden="1" x14ac:dyDescent="0.3">
      <c r="A230" s="71" t="str">
        <f>Tabelle1[[#This Row],[Feature
Number]]</f>
        <v>F0x39</v>
      </c>
      <c r="B230" s="47" t="s">
        <v>280</v>
      </c>
      <c r="C230" s="47" t="s">
        <v>354</v>
      </c>
      <c r="D230" s="36" t="s">
        <v>1049</v>
      </c>
      <c r="E230" s="36" t="s">
        <v>1050</v>
      </c>
      <c r="F230" s="35" t="s">
        <v>1051</v>
      </c>
      <c r="G230" s="58"/>
      <c r="H230" s="35" t="s">
        <v>1010</v>
      </c>
      <c r="I230" s="35" t="s">
        <v>1010</v>
      </c>
      <c r="J230" s="47"/>
      <c r="K230" s="35" t="s">
        <v>1010</v>
      </c>
      <c r="L230" s="35" t="s">
        <v>28</v>
      </c>
      <c r="M230" s="35" t="s">
        <v>28</v>
      </c>
      <c r="O230" s="12" t="s">
        <v>28</v>
      </c>
      <c r="P230" s="27" t="s">
        <v>29</v>
      </c>
      <c r="Q230" s="27" t="s">
        <v>120</v>
      </c>
    </row>
    <row r="231" spans="1:17" ht="26.4" hidden="1" x14ac:dyDescent="0.3">
      <c r="A231" s="71" t="str">
        <f>Tabelle1[[#This Row],[Feature
Number]]</f>
        <v>F0408</v>
      </c>
      <c r="B231" s="27" t="s">
        <v>280</v>
      </c>
      <c r="C231" s="27" t="s">
        <v>354</v>
      </c>
      <c r="D231" s="43" t="s">
        <v>604</v>
      </c>
      <c r="E231" s="28" t="s">
        <v>605</v>
      </c>
      <c r="F231" s="29" t="s">
        <v>606</v>
      </c>
      <c r="G231" s="31" t="s">
        <v>601</v>
      </c>
      <c r="H231" s="29"/>
      <c r="I231" s="29"/>
      <c r="J231" s="27"/>
      <c r="K231" s="29" t="s">
        <v>28</v>
      </c>
      <c r="L231" s="29" t="s">
        <v>28</v>
      </c>
      <c r="M231" s="29" t="s">
        <v>28</v>
      </c>
      <c r="O231" s="12" t="s">
        <v>28</v>
      </c>
      <c r="P231" s="27" t="s">
        <v>29</v>
      </c>
      <c r="Q231" s="27" t="s">
        <v>120</v>
      </c>
    </row>
    <row r="232" spans="1:17" ht="26.4" hidden="1" x14ac:dyDescent="0.3">
      <c r="A232" s="71" t="str">
        <f>Tabelle1[[#This Row],[Feature
Number]]</f>
        <v>F0801</v>
      </c>
      <c r="B232" s="27" t="s">
        <v>280</v>
      </c>
      <c r="C232" s="27" t="s">
        <v>354</v>
      </c>
      <c r="D232" s="43" t="s">
        <v>894</v>
      </c>
      <c r="E232" s="28" t="s">
        <v>895</v>
      </c>
      <c r="F232" s="29" t="s">
        <v>896</v>
      </c>
      <c r="G232" s="31" t="s">
        <v>897</v>
      </c>
      <c r="H232" s="29"/>
      <c r="I232" s="29"/>
      <c r="J232" s="27"/>
      <c r="K232" s="29" t="s">
        <v>28</v>
      </c>
      <c r="L232" s="29" t="s">
        <v>28</v>
      </c>
      <c r="M232" s="29" t="s">
        <v>28</v>
      </c>
      <c r="O232" s="12" t="s">
        <v>28</v>
      </c>
      <c r="P232" s="27" t="s">
        <v>318</v>
      </c>
      <c r="Q232" s="27" t="s">
        <v>433</v>
      </c>
    </row>
    <row r="233" spans="1:17" hidden="1" x14ac:dyDescent="0.3">
      <c r="A233" s="71" t="str">
        <f>Tabelle1[[#This Row],[Feature
Number]]</f>
        <v>F0x37</v>
      </c>
      <c r="B233" s="47" t="s">
        <v>280</v>
      </c>
      <c r="C233" s="47" t="s">
        <v>354</v>
      </c>
      <c r="D233" s="36" t="s">
        <v>1043</v>
      </c>
      <c r="E233" s="36" t="s">
        <v>1044</v>
      </c>
      <c r="F233" s="35" t="s">
        <v>1045</v>
      </c>
      <c r="G233" s="58"/>
      <c r="H233" s="35" t="s">
        <v>1010</v>
      </c>
      <c r="I233" s="35" t="s">
        <v>1010</v>
      </c>
      <c r="J233" s="47"/>
      <c r="K233" s="35" t="s">
        <v>1010</v>
      </c>
      <c r="L233" s="35" t="s">
        <v>28</v>
      </c>
      <c r="M233" s="35" t="s">
        <v>28</v>
      </c>
      <c r="O233" s="12" t="s">
        <v>28</v>
      </c>
      <c r="P233" s="27" t="s">
        <v>29</v>
      </c>
      <c r="Q233" s="27" t="s">
        <v>153</v>
      </c>
    </row>
    <row r="234" spans="1:17" ht="26.4" hidden="1" x14ac:dyDescent="0.3">
      <c r="A234" s="71" t="str">
        <f>Tabelle1[[#This Row],[Feature
Number]]</f>
        <v>F0x35</v>
      </c>
      <c r="B234" s="47" t="s">
        <v>280</v>
      </c>
      <c r="C234" s="47" t="s">
        <v>354</v>
      </c>
      <c r="D234" s="36" t="s">
        <v>1037</v>
      </c>
      <c r="E234" s="36" t="s">
        <v>1038</v>
      </c>
      <c r="F234" s="35" t="s">
        <v>1039</v>
      </c>
      <c r="G234" s="58"/>
      <c r="H234" s="35" t="s">
        <v>1010</v>
      </c>
      <c r="I234" s="35" t="s">
        <v>1010</v>
      </c>
      <c r="J234" s="47"/>
      <c r="K234" s="35" t="s">
        <v>1010</v>
      </c>
      <c r="L234" s="35" t="s">
        <v>28</v>
      </c>
      <c r="M234" s="35" t="s">
        <v>28</v>
      </c>
      <c r="O234" s="12" t="s">
        <v>28</v>
      </c>
      <c r="P234" s="27" t="s">
        <v>29</v>
      </c>
      <c r="Q234" s="27" t="s">
        <v>30</v>
      </c>
    </row>
    <row r="235" spans="1:17" hidden="1" x14ac:dyDescent="0.3">
      <c r="A235" s="71" t="str">
        <f>Tabelle1[[#This Row],[Feature
Number]]</f>
        <v>F0x38</v>
      </c>
      <c r="B235" s="47" t="s">
        <v>280</v>
      </c>
      <c r="C235" s="47" t="s">
        <v>354</v>
      </c>
      <c r="D235" s="36" t="s">
        <v>1046</v>
      </c>
      <c r="E235" s="36" t="s">
        <v>1047</v>
      </c>
      <c r="F235" s="35" t="s">
        <v>1048</v>
      </c>
      <c r="G235" s="58"/>
      <c r="H235" s="35" t="s">
        <v>1010</v>
      </c>
      <c r="I235" s="35" t="s">
        <v>1010</v>
      </c>
      <c r="J235" s="47"/>
      <c r="K235" s="35" t="s">
        <v>1010</v>
      </c>
      <c r="L235" s="35" t="s">
        <v>28</v>
      </c>
      <c r="M235" s="35" t="s">
        <v>28</v>
      </c>
      <c r="O235" s="12" t="s">
        <v>28</v>
      </c>
      <c r="P235" s="27" t="s">
        <v>256</v>
      </c>
      <c r="Q235" s="27" t="s">
        <v>543</v>
      </c>
    </row>
    <row r="236" spans="1:17" ht="26.4" hidden="1" x14ac:dyDescent="0.3">
      <c r="A236" s="71" t="str">
        <f>Tabelle1[[#This Row],[Feature
Number]]</f>
        <v>F0406</v>
      </c>
      <c r="B236" s="27" t="s">
        <v>280</v>
      </c>
      <c r="C236" s="27" t="s">
        <v>354</v>
      </c>
      <c r="D236" s="43" t="s">
        <v>599</v>
      </c>
      <c r="E236" s="28" t="s">
        <v>600</v>
      </c>
      <c r="F236" s="29" t="s">
        <v>601</v>
      </c>
      <c r="G236" s="31" t="s">
        <v>467</v>
      </c>
      <c r="H236" s="29"/>
      <c r="I236" s="29"/>
      <c r="J236" s="27"/>
      <c r="K236" s="29" t="s">
        <v>28</v>
      </c>
      <c r="L236" s="29" t="s">
        <v>28</v>
      </c>
      <c r="M236" s="29" t="s">
        <v>28</v>
      </c>
      <c r="O236" s="12" t="s">
        <v>28</v>
      </c>
      <c r="P236" s="27" t="s">
        <v>77</v>
      </c>
      <c r="Q236" s="27" t="s">
        <v>149</v>
      </c>
    </row>
    <row r="237" spans="1:17" ht="26.4" hidden="1" x14ac:dyDescent="0.3">
      <c r="A237" s="71" t="str">
        <f>Tabelle1[[#This Row],[Feature
Number]]</f>
        <v>F0407</v>
      </c>
      <c r="B237" s="27" t="s">
        <v>280</v>
      </c>
      <c r="C237" s="27" t="s">
        <v>354</v>
      </c>
      <c r="D237" s="43" t="s">
        <v>602</v>
      </c>
      <c r="E237" s="28" t="s">
        <v>603</v>
      </c>
      <c r="F237" s="29" t="s">
        <v>474</v>
      </c>
      <c r="G237" s="31" t="s">
        <v>601</v>
      </c>
      <c r="H237" s="29"/>
      <c r="I237" s="29"/>
      <c r="J237" s="27"/>
      <c r="K237" s="29" t="s">
        <v>28</v>
      </c>
      <c r="L237" s="29" t="s">
        <v>28</v>
      </c>
      <c r="M237" s="29" t="s">
        <v>28</v>
      </c>
      <c r="O237" s="12" t="s">
        <v>28</v>
      </c>
      <c r="P237" s="27" t="s">
        <v>57</v>
      </c>
      <c r="Q237" s="27" t="s">
        <v>58</v>
      </c>
    </row>
    <row r="238" spans="1:17" hidden="1" x14ac:dyDescent="0.3">
      <c r="A238" s="71" t="str">
        <f>Tabelle1[[#This Row],[Feature
Number]]</f>
        <v>F0x36</v>
      </c>
      <c r="B238" s="47" t="s">
        <v>280</v>
      </c>
      <c r="C238" s="47" t="s">
        <v>354</v>
      </c>
      <c r="D238" s="36" t="s">
        <v>1040</v>
      </c>
      <c r="E238" s="36" t="s">
        <v>1041</v>
      </c>
      <c r="F238" s="35" t="s">
        <v>1042</v>
      </c>
      <c r="G238" s="58"/>
      <c r="H238" s="35" t="s">
        <v>1010</v>
      </c>
      <c r="I238" s="35" t="s">
        <v>1010</v>
      </c>
      <c r="J238" s="47"/>
      <c r="K238" s="35" t="s">
        <v>1010</v>
      </c>
      <c r="L238" s="35" t="s">
        <v>28</v>
      </c>
      <c r="M238" s="35" t="s">
        <v>28</v>
      </c>
      <c r="O238" s="12" t="s">
        <v>28</v>
      </c>
      <c r="P238" s="47" t="s">
        <v>77</v>
      </c>
      <c r="Q238" s="47" t="s">
        <v>1068</v>
      </c>
    </row>
    <row r="239" spans="1:17" ht="26.4" hidden="1" x14ac:dyDescent="0.3">
      <c r="A239" s="71" t="str">
        <f>Tabelle1[[#This Row],[Feature
Number]]</f>
        <v>F0x34</v>
      </c>
      <c r="B239" s="47" t="s">
        <v>280</v>
      </c>
      <c r="C239" s="47" t="s">
        <v>354</v>
      </c>
      <c r="D239" s="36" t="s">
        <v>1034</v>
      </c>
      <c r="E239" s="36" t="s">
        <v>1035</v>
      </c>
      <c r="F239" s="35" t="s">
        <v>1036</v>
      </c>
      <c r="G239" s="58"/>
      <c r="H239" s="35" t="s">
        <v>1010</v>
      </c>
      <c r="I239" s="35" t="s">
        <v>1010</v>
      </c>
      <c r="J239" s="47"/>
      <c r="K239" s="35" t="s">
        <v>1010</v>
      </c>
      <c r="L239" s="35" t="s">
        <v>28</v>
      </c>
      <c r="M239" s="35" t="s">
        <v>28</v>
      </c>
      <c r="O239" s="12" t="s">
        <v>28</v>
      </c>
      <c r="P239" s="27" t="s">
        <v>77</v>
      </c>
      <c r="Q239" s="27" t="s">
        <v>345</v>
      </c>
    </row>
    <row r="240" spans="1:17" ht="26.4" hidden="1" x14ac:dyDescent="0.3">
      <c r="A240" s="71" t="str">
        <f>Tabelle1[[#This Row],[Feature
Number]]</f>
        <v>F0872</v>
      </c>
      <c r="B240" s="27" t="s">
        <v>280</v>
      </c>
      <c r="C240" s="27" t="s">
        <v>354</v>
      </c>
      <c r="D240" s="43" t="s">
        <v>901</v>
      </c>
      <c r="E240" s="28" t="s">
        <v>902</v>
      </c>
      <c r="F240" s="29" t="s">
        <v>903</v>
      </c>
      <c r="G240" s="31" t="s">
        <v>474</v>
      </c>
      <c r="H240" s="29"/>
      <c r="I240" s="29"/>
      <c r="J240" s="27"/>
      <c r="K240" s="29"/>
      <c r="L240" s="29" t="s">
        <v>28</v>
      </c>
      <c r="M240" s="29" t="s">
        <v>28</v>
      </c>
      <c r="O240" s="12" t="s">
        <v>28</v>
      </c>
      <c r="P240" s="38" t="s">
        <v>29</v>
      </c>
      <c r="Q240" s="38" t="s">
        <v>82</v>
      </c>
    </row>
    <row r="241" spans="1:17" ht="52.8" hidden="1" x14ac:dyDescent="0.3">
      <c r="A241" s="71" t="str">
        <f>Tabelle1[[#This Row],[Feature
Number]]</f>
        <v>F2018</v>
      </c>
      <c r="B241" s="27" t="s">
        <v>280</v>
      </c>
      <c r="C241" s="27" t="s">
        <v>505</v>
      </c>
      <c r="D241" s="43" t="s">
        <v>1233</v>
      </c>
      <c r="E241" s="28" t="s">
        <v>1234</v>
      </c>
      <c r="F241" s="29" t="s">
        <v>1235</v>
      </c>
      <c r="G241" s="31" t="s">
        <v>1236</v>
      </c>
      <c r="H241" s="29"/>
      <c r="I241" s="29" t="s">
        <v>28</v>
      </c>
      <c r="J241" s="27"/>
      <c r="K241" s="29"/>
      <c r="L241" s="29" t="s">
        <v>28</v>
      </c>
      <c r="M241" s="29" t="s">
        <v>28</v>
      </c>
      <c r="O241" s="12" t="s">
        <v>28</v>
      </c>
      <c r="P241" s="73" t="s">
        <v>77</v>
      </c>
      <c r="Q241" s="73" t="s">
        <v>149</v>
      </c>
    </row>
    <row r="242" spans="1:17" ht="66" hidden="1" x14ac:dyDescent="0.3">
      <c r="A242" s="71" t="str">
        <f>Tabelle1[[#This Row],[Feature
Number]]</f>
        <v>F1342</v>
      </c>
      <c r="B242" s="27" t="s">
        <v>280</v>
      </c>
      <c r="C242" s="27" t="s">
        <v>354</v>
      </c>
      <c r="D242" s="43" t="s">
        <v>1187</v>
      </c>
      <c r="E242" s="28" t="s">
        <v>1188</v>
      </c>
      <c r="F242" s="29" t="s">
        <v>1189</v>
      </c>
      <c r="G242" s="31" t="s">
        <v>896</v>
      </c>
      <c r="H242" s="29"/>
      <c r="I242" s="29"/>
      <c r="J242" s="27" t="s">
        <v>248</v>
      </c>
      <c r="K242" s="29"/>
      <c r="L242" s="29"/>
      <c r="M242" s="29" t="s">
        <v>28</v>
      </c>
      <c r="O242" s="12" t="s">
        <v>28</v>
      </c>
      <c r="P242" s="27" t="s">
        <v>256</v>
      </c>
      <c r="Q242" s="27" t="s">
        <v>543</v>
      </c>
    </row>
    <row r="243" spans="1:17" ht="39.6" hidden="1" x14ac:dyDescent="0.3">
      <c r="A243" s="71" t="str">
        <f>Tabelle1[[#This Row],[Feature
Number]]</f>
        <v>F0261</v>
      </c>
      <c r="B243" s="27" t="s">
        <v>280</v>
      </c>
      <c r="C243" s="27" t="s">
        <v>463</v>
      </c>
      <c r="D243" s="43" t="s">
        <v>464</v>
      </c>
      <c r="E243" s="28" t="s">
        <v>465</v>
      </c>
      <c r="F243" s="29" t="s">
        <v>466</v>
      </c>
      <c r="G243" s="31" t="s">
        <v>467</v>
      </c>
      <c r="H243" s="29"/>
      <c r="I243" s="29"/>
      <c r="J243" s="27"/>
      <c r="K243" s="29" t="s">
        <v>28</v>
      </c>
      <c r="L243" s="29" t="s">
        <v>28</v>
      </c>
      <c r="M243" s="29" t="s">
        <v>28</v>
      </c>
      <c r="O243" s="12" t="s">
        <v>28</v>
      </c>
      <c r="P243" s="27" t="s">
        <v>29</v>
      </c>
      <c r="Q243" s="27" t="s">
        <v>30</v>
      </c>
    </row>
    <row r="244" spans="1:17" ht="145.19999999999999" hidden="1" x14ac:dyDescent="0.3">
      <c r="A244" s="71" t="str">
        <f>Tabelle1[[#This Row],[Feature
Number]]</f>
        <v>F0665</v>
      </c>
      <c r="B244" s="27" t="s">
        <v>280</v>
      </c>
      <c r="C244" s="27" t="s">
        <v>463</v>
      </c>
      <c r="D244" s="28" t="s">
        <v>798</v>
      </c>
      <c r="E244" s="28" t="s">
        <v>799</v>
      </c>
      <c r="F244" s="29" t="s">
        <v>467</v>
      </c>
      <c r="G244" s="31" t="s">
        <v>73</v>
      </c>
      <c r="H244" s="29"/>
      <c r="I244" s="29"/>
      <c r="J244" s="27"/>
      <c r="K244" s="29" t="s">
        <v>28</v>
      </c>
      <c r="L244" s="29" t="s">
        <v>28</v>
      </c>
      <c r="M244" s="29" t="s">
        <v>28</v>
      </c>
      <c r="O244" s="12" t="s">
        <v>28</v>
      </c>
      <c r="P244" s="27" t="s">
        <v>29</v>
      </c>
      <c r="Q244" s="27" t="s">
        <v>30</v>
      </c>
    </row>
    <row r="245" spans="1:17" ht="52.8" hidden="1" x14ac:dyDescent="0.3">
      <c r="A245" s="71" t="str">
        <f>Tabelle1[[#This Row],[Feature
Number]]</f>
        <v>F0574</v>
      </c>
      <c r="B245" s="27" t="s">
        <v>280</v>
      </c>
      <c r="C245" s="27" t="s">
        <v>463</v>
      </c>
      <c r="D245" s="43" t="s">
        <v>718</v>
      </c>
      <c r="E245" s="28" t="s">
        <v>719</v>
      </c>
      <c r="F245" s="29" t="s">
        <v>720</v>
      </c>
      <c r="G245" s="31" t="s">
        <v>467</v>
      </c>
      <c r="H245" s="29"/>
      <c r="I245" s="29"/>
      <c r="J245" s="27"/>
      <c r="K245" s="29" t="s">
        <v>28</v>
      </c>
      <c r="L245" s="29" t="s">
        <v>28</v>
      </c>
      <c r="M245" s="29" t="s">
        <v>28</v>
      </c>
      <c r="O245" s="12" t="s">
        <v>28</v>
      </c>
      <c r="P245" s="27" t="s">
        <v>29</v>
      </c>
      <c r="Q245" s="27" t="s">
        <v>30</v>
      </c>
    </row>
    <row r="246" spans="1:17" ht="26.4" hidden="1" x14ac:dyDescent="0.3">
      <c r="A246" s="71" t="str">
        <f>Tabelle1[[#This Row],[Feature
Number]]</f>
        <v>F2023</v>
      </c>
      <c r="B246" s="27" t="s">
        <v>280</v>
      </c>
      <c r="C246" s="27" t="s">
        <v>1241</v>
      </c>
      <c r="D246" s="28" t="s">
        <v>1242</v>
      </c>
      <c r="E246" s="28" t="s">
        <v>1243</v>
      </c>
      <c r="F246" s="29" t="s">
        <v>1244</v>
      </c>
      <c r="G246" s="31" t="s">
        <v>1245</v>
      </c>
      <c r="H246" s="29"/>
      <c r="I246" s="29"/>
      <c r="J246" s="27"/>
      <c r="K246" s="29" t="s">
        <v>28</v>
      </c>
      <c r="L246" s="29" t="s">
        <v>28</v>
      </c>
      <c r="M246" s="29" t="s">
        <v>28</v>
      </c>
      <c r="O246" s="12" t="s">
        <v>28</v>
      </c>
      <c r="P246" s="27" t="s">
        <v>29</v>
      </c>
      <c r="Q246" s="27" t="s">
        <v>30</v>
      </c>
    </row>
    <row r="247" spans="1:17" ht="39.6" hidden="1" x14ac:dyDescent="0.3">
      <c r="A247" s="71" t="str">
        <f>Tabelle1[[#This Row],[Feature
Number]]</f>
        <v>Fx100</v>
      </c>
      <c r="B247" s="27" t="s">
        <v>280</v>
      </c>
      <c r="C247" s="27" t="s">
        <v>328</v>
      </c>
      <c r="D247" s="43" t="s">
        <v>1690</v>
      </c>
      <c r="E247" s="28" t="s">
        <v>8267</v>
      </c>
      <c r="F247" s="29" t="s">
        <v>8268</v>
      </c>
      <c r="G247" s="31" t="s">
        <v>73</v>
      </c>
      <c r="H247" s="29"/>
      <c r="I247" s="29"/>
      <c r="J247" s="27"/>
      <c r="K247" s="29" t="s">
        <v>28</v>
      </c>
      <c r="L247" s="29" t="s">
        <v>28</v>
      </c>
      <c r="M247" s="29" t="s">
        <v>28</v>
      </c>
      <c r="O247" s="12" t="s">
        <v>28</v>
      </c>
      <c r="P247" s="38" t="s">
        <v>29</v>
      </c>
      <c r="Q247" s="38" t="s">
        <v>82</v>
      </c>
    </row>
    <row r="248" spans="1:17" ht="26.4" hidden="1" x14ac:dyDescent="0.3">
      <c r="A248" s="71" t="str">
        <f>Tabelle1[[#This Row],[Feature
Number]]</f>
        <v>F0170</v>
      </c>
      <c r="B248" s="27" t="s">
        <v>280</v>
      </c>
      <c r="C248" s="27" t="s">
        <v>328</v>
      </c>
      <c r="D248" s="43" t="s">
        <v>329</v>
      </c>
      <c r="E248" s="28" t="s">
        <v>330</v>
      </c>
      <c r="F248" s="29" t="s">
        <v>331</v>
      </c>
      <c r="G248" s="31" t="s">
        <v>332</v>
      </c>
      <c r="H248" s="29"/>
      <c r="I248" s="29"/>
      <c r="J248" s="27"/>
      <c r="K248" s="29" t="s">
        <v>28</v>
      </c>
      <c r="L248" s="29" t="s">
        <v>28</v>
      </c>
      <c r="M248" s="29" t="s">
        <v>28</v>
      </c>
      <c r="O248" s="12" t="s">
        <v>28</v>
      </c>
      <c r="P248" s="47" t="s">
        <v>251</v>
      </c>
      <c r="Q248" s="47" t="s">
        <v>1006</v>
      </c>
    </row>
    <row r="249" spans="1:17" ht="184.8" hidden="1" x14ac:dyDescent="0.3">
      <c r="A249" s="71" t="str">
        <f>Tabelle1[[#This Row],[Feature
Number]]</f>
        <v>F0173</v>
      </c>
      <c r="B249" s="27" t="s">
        <v>280</v>
      </c>
      <c r="C249" s="27" t="s">
        <v>337</v>
      </c>
      <c r="D249" s="43" t="s">
        <v>338</v>
      </c>
      <c r="E249" s="28" t="s">
        <v>339</v>
      </c>
      <c r="F249" s="29" t="s">
        <v>340</v>
      </c>
      <c r="G249" s="31" t="s">
        <v>341</v>
      </c>
      <c r="H249" s="29"/>
      <c r="I249" s="29"/>
      <c r="J249" s="27"/>
      <c r="K249" s="29" t="s">
        <v>28</v>
      </c>
      <c r="L249" s="29" t="s">
        <v>28</v>
      </c>
      <c r="M249" s="29" t="s">
        <v>28</v>
      </c>
      <c r="O249" s="12" t="s">
        <v>28</v>
      </c>
      <c r="P249" s="38" t="s">
        <v>77</v>
      </c>
      <c r="Q249" s="38" t="s">
        <v>124</v>
      </c>
    </row>
    <row r="250" spans="1:17" ht="52.8" hidden="1" x14ac:dyDescent="0.3">
      <c r="A250" s="71" t="str">
        <f>Tabelle1[[#This Row],[Feature
Number]]</f>
        <v>F0143</v>
      </c>
      <c r="B250" s="27" t="s">
        <v>280</v>
      </c>
      <c r="C250" s="27" t="s">
        <v>281</v>
      </c>
      <c r="D250" s="43" t="s">
        <v>282</v>
      </c>
      <c r="E250" s="28" t="s">
        <v>283</v>
      </c>
      <c r="F250" s="29" t="s">
        <v>284</v>
      </c>
      <c r="G250" s="31" t="s">
        <v>73</v>
      </c>
      <c r="H250" s="29"/>
      <c r="I250" s="29"/>
      <c r="J250" s="61" t="s">
        <v>285</v>
      </c>
      <c r="K250" s="29" t="s">
        <v>28</v>
      </c>
      <c r="L250" s="29" t="s">
        <v>28</v>
      </c>
      <c r="M250" s="29" t="s">
        <v>28</v>
      </c>
      <c r="O250" s="12" t="s">
        <v>28</v>
      </c>
      <c r="P250" s="27" t="s">
        <v>77</v>
      </c>
      <c r="Q250" s="27" t="s">
        <v>124</v>
      </c>
    </row>
    <row r="251" spans="1:17" ht="92.4" hidden="1" x14ac:dyDescent="0.3">
      <c r="A251" s="71" t="str">
        <f>Tabelle1[[#This Row],[Feature
Number]]</f>
        <v>F0x50</v>
      </c>
      <c r="B251" s="47" t="s">
        <v>280</v>
      </c>
      <c r="C251" s="47" t="s">
        <v>337</v>
      </c>
      <c r="D251" s="36" t="s">
        <v>1086</v>
      </c>
      <c r="E251" s="36" t="s">
        <v>1087</v>
      </c>
      <c r="F251" s="35" t="s">
        <v>1088</v>
      </c>
      <c r="G251" s="58" t="s">
        <v>284</v>
      </c>
      <c r="H251" s="35" t="s">
        <v>1010</v>
      </c>
      <c r="I251" s="35" t="s">
        <v>1010</v>
      </c>
      <c r="J251" s="47"/>
      <c r="K251" s="35" t="s">
        <v>28</v>
      </c>
      <c r="L251" s="35" t="s">
        <v>28</v>
      </c>
      <c r="M251" s="35" t="s">
        <v>28</v>
      </c>
      <c r="O251" s="12" t="s">
        <v>28</v>
      </c>
      <c r="P251" s="27" t="s">
        <v>63</v>
      </c>
      <c r="Q251" s="27" t="s">
        <v>162</v>
      </c>
    </row>
    <row r="252" spans="1:17" ht="105.6" hidden="1" x14ac:dyDescent="0.3">
      <c r="A252" s="71" t="str">
        <f>Tabelle1[[#This Row],[Feature
Number]]</f>
        <v>F0561</v>
      </c>
      <c r="B252" s="27" t="s">
        <v>280</v>
      </c>
      <c r="C252" s="27" t="s">
        <v>505</v>
      </c>
      <c r="D252" s="43" t="s">
        <v>711</v>
      </c>
      <c r="E252" s="28" t="s">
        <v>712</v>
      </c>
      <c r="F252" s="29" t="s">
        <v>713</v>
      </c>
      <c r="G252" s="31" t="s">
        <v>714</v>
      </c>
      <c r="H252" s="29"/>
      <c r="I252" s="29" t="s">
        <v>28</v>
      </c>
      <c r="J252" s="27"/>
      <c r="K252" s="29" t="s">
        <v>28</v>
      </c>
      <c r="L252" s="29" t="s">
        <v>28</v>
      </c>
      <c r="M252" s="29" t="s">
        <v>28</v>
      </c>
      <c r="O252" s="12" t="s">
        <v>28</v>
      </c>
      <c r="P252" s="27" t="s">
        <v>266</v>
      </c>
      <c r="Q252" s="27" t="s">
        <v>276</v>
      </c>
    </row>
    <row r="253" spans="1:17" ht="39.6" hidden="1" x14ac:dyDescent="0.3">
      <c r="A253" s="71" t="str">
        <f>Tabelle1[[#This Row],[Feature
Number]]</f>
        <v>F0705</v>
      </c>
      <c r="B253" s="27" t="s">
        <v>280</v>
      </c>
      <c r="C253" s="27" t="s">
        <v>505</v>
      </c>
      <c r="D253" s="43" t="s">
        <v>831</v>
      </c>
      <c r="E253" s="28" t="s">
        <v>832</v>
      </c>
      <c r="F253" s="29" t="s">
        <v>833</v>
      </c>
      <c r="G253" s="31" t="s">
        <v>834</v>
      </c>
      <c r="H253" s="29"/>
      <c r="I253" s="29"/>
      <c r="J253" s="27"/>
      <c r="K253" s="29" t="s">
        <v>28</v>
      </c>
      <c r="L253" s="29" t="s">
        <v>28</v>
      </c>
      <c r="M253" s="29" t="s">
        <v>28</v>
      </c>
      <c r="O253" s="12" t="s">
        <v>28</v>
      </c>
      <c r="P253" s="27" t="s">
        <v>22</v>
      </c>
      <c r="Q253" s="27" t="s">
        <v>103</v>
      </c>
    </row>
    <row r="254" spans="1:17" ht="52.8" hidden="1" x14ac:dyDescent="0.3">
      <c r="A254" s="71" t="str">
        <f>Tabelle1[[#This Row],[Feature
Number]]</f>
        <v>F0706</v>
      </c>
      <c r="B254" s="27" t="s">
        <v>280</v>
      </c>
      <c r="C254" s="27" t="s">
        <v>505</v>
      </c>
      <c r="D254" s="43" t="s">
        <v>835</v>
      </c>
      <c r="E254" s="28" t="s">
        <v>836</v>
      </c>
      <c r="F254" s="29" t="s">
        <v>837</v>
      </c>
      <c r="G254" s="31" t="s">
        <v>838</v>
      </c>
      <c r="H254" s="29"/>
      <c r="I254" s="29"/>
      <c r="J254" s="27"/>
      <c r="K254" s="29" t="s">
        <v>28</v>
      </c>
      <c r="L254" s="29" t="s">
        <v>28</v>
      </c>
      <c r="M254" s="29" t="s">
        <v>28</v>
      </c>
      <c r="O254" s="12" t="s">
        <v>28</v>
      </c>
      <c r="P254" s="27" t="s">
        <v>256</v>
      </c>
      <c r="Q254" s="27" t="s">
        <v>261</v>
      </c>
    </row>
    <row r="255" spans="1:17" ht="118.8" hidden="1" x14ac:dyDescent="0.3">
      <c r="A255" s="71" t="str">
        <f>Tabelle1[[#This Row],[Feature
Number]]</f>
        <v>F0319</v>
      </c>
      <c r="B255" s="27" t="s">
        <v>280</v>
      </c>
      <c r="C255" s="27" t="s">
        <v>505</v>
      </c>
      <c r="D255" s="43" t="s">
        <v>506</v>
      </c>
      <c r="E255" s="28" t="s">
        <v>507</v>
      </c>
      <c r="F255" s="29" t="s">
        <v>508</v>
      </c>
      <c r="G255" s="31" t="s">
        <v>509</v>
      </c>
      <c r="H255" s="29"/>
      <c r="I255" s="29" t="s">
        <v>28</v>
      </c>
      <c r="J255" s="27"/>
      <c r="K255" s="29" t="s">
        <v>28</v>
      </c>
      <c r="L255" s="29" t="s">
        <v>28</v>
      </c>
      <c r="M255" s="29" t="s">
        <v>28</v>
      </c>
      <c r="O255" s="12" t="s">
        <v>28</v>
      </c>
      <c r="P255" s="27" t="s">
        <v>251</v>
      </c>
      <c r="Q255" s="27" t="s">
        <v>252</v>
      </c>
    </row>
    <row r="256" spans="1:17" ht="26.4" hidden="1" x14ac:dyDescent="0.3">
      <c r="A256" s="71" t="str">
        <f>Tabelle1[[#This Row],[Feature
Number]]</f>
        <v>F0529</v>
      </c>
      <c r="B256" s="27" t="s">
        <v>266</v>
      </c>
      <c r="C256" s="27" t="s">
        <v>276</v>
      </c>
      <c r="D256" s="43" t="s">
        <v>684</v>
      </c>
      <c r="E256" s="28" t="s">
        <v>685</v>
      </c>
      <c r="F256" s="29" t="s">
        <v>686</v>
      </c>
      <c r="G256" s="31" t="s">
        <v>73</v>
      </c>
      <c r="H256" s="29"/>
      <c r="I256" s="29"/>
      <c r="J256" s="27"/>
      <c r="K256" s="29" t="s">
        <v>28</v>
      </c>
      <c r="L256" s="29" t="s">
        <v>28</v>
      </c>
      <c r="M256" s="29" t="s">
        <v>28</v>
      </c>
      <c r="O256" s="12" t="s">
        <v>28</v>
      </c>
      <c r="P256" s="27" t="s">
        <v>251</v>
      </c>
      <c r="Q256" s="27" t="s">
        <v>252</v>
      </c>
    </row>
    <row r="257" spans="1:17" ht="79.2" hidden="1" x14ac:dyDescent="0.3">
      <c r="A257" s="71" t="str">
        <f>Tabelle1[[#This Row],[Feature
Number]]</f>
        <v>F0332</v>
      </c>
      <c r="B257" s="27" t="s">
        <v>266</v>
      </c>
      <c r="C257" s="27" t="s">
        <v>519</v>
      </c>
      <c r="D257" s="43" t="s">
        <v>520</v>
      </c>
      <c r="E257" s="28" t="s">
        <v>521</v>
      </c>
      <c r="F257" s="29" t="s">
        <v>522</v>
      </c>
      <c r="G257" s="31" t="s">
        <v>523</v>
      </c>
      <c r="H257" s="29"/>
      <c r="I257" s="29"/>
      <c r="J257" s="27"/>
      <c r="K257" s="29"/>
      <c r="L257" s="29" t="s">
        <v>28</v>
      </c>
      <c r="M257" s="29" t="s">
        <v>28</v>
      </c>
      <c r="O257" s="12" t="s">
        <v>28</v>
      </c>
      <c r="P257" s="27" t="s">
        <v>251</v>
      </c>
      <c r="Q257" s="27" t="s">
        <v>252</v>
      </c>
    </row>
    <row r="258" spans="1:17" ht="105.6" hidden="1" x14ac:dyDescent="0.3">
      <c r="A258" s="71" t="str">
        <f>Tabelle1[[#This Row],[Feature
Number]]</f>
        <v>F0915</v>
      </c>
      <c r="B258" s="27" t="s">
        <v>266</v>
      </c>
      <c r="C258" s="27" t="s">
        <v>519</v>
      </c>
      <c r="D258" s="43" t="s">
        <v>933</v>
      </c>
      <c r="E258" s="28" t="s">
        <v>934</v>
      </c>
      <c r="F258" s="29" t="s">
        <v>935</v>
      </c>
      <c r="G258" s="31" t="s">
        <v>936</v>
      </c>
      <c r="H258" s="29"/>
      <c r="I258" s="29"/>
      <c r="J258" s="27"/>
      <c r="K258" s="29"/>
      <c r="L258" s="29" t="s">
        <v>28</v>
      </c>
      <c r="M258" s="29" t="s">
        <v>28</v>
      </c>
      <c r="O258" s="12" t="s">
        <v>28</v>
      </c>
      <c r="P258" s="27" t="s">
        <v>318</v>
      </c>
      <c r="Q258" s="27" t="s">
        <v>371</v>
      </c>
    </row>
    <row r="259" spans="1:17" ht="66" hidden="1" x14ac:dyDescent="0.3">
      <c r="A259" s="71" t="str">
        <f>Tabelle1[[#This Row],[Feature
Number]]</f>
        <v>F1042</v>
      </c>
      <c r="B259" s="27" t="s">
        <v>266</v>
      </c>
      <c r="C259" s="27" t="s">
        <v>519</v>
      </c>
      <c r="D259" s="43" t="s">
        <v>1149</v>
      </c>
      <c r="E259" s="28" t="s">
        <v>1150</v>
      </c>
      <c r="F259" s="29" t="s">
        <v>1151</v>
      </c>
      <c r="G259" s="31" t="s">
        <v>530</v>
      </c>
      <c r="H259" s="29"/>
      <c r="I259" s="29"/>
      <c r="J259" s="27"/>
      <c r="K259" s="29"/>
      <c r="L259" s="29"/>
      <c r="M259" s="29" t="s">
        <v>28</v>
      </c>
      <c r="O259" s="12" t="s">
        <v>28</v>
      </c>
      <c r="P259" s="27" t="s">
        <v>318</v>
      </c>
      <c r="Q259" s="27" t="s">
        <v>371</v>
      </c>
    </row>
    <row r="260" spans="1:17" ht="118.8" hidden="1" x14ac:dyDescent="0.3">
      <c r="A260" s="71" t="str">
        <f>Tabelle1[[#This Row],[Feature
Number]]</f>
        <v>F0335</v>
      </c>
      <c r="B260" s="27" t="s">
        <v>266</v>
      </c>
      <c r="C260" s="27" t="s">
        <v>519</v>
      </c>
      <c r="D260" s="43" t="s">
        <v>524</v>
      </c>
      <c r="E260" s="28" t="s">
        <v>525</v>
      </c>
      <c r="F260" s="29" t="s">
        <v>526</v>
      </c>
      <c r="G260" s="31" t="s">
        <v>527</v>
      </c>
      <c r="H260" s="29"/>
      <c r="I260" s="29"/>
      <c r="J260" s="27"/>
      <c r="K260" s="29"/>
      <c r="L260" s="29" t="s">
        <v>28</v>
      </c>
      <c r="M260" s="29" t="s">
        <v>28</v>
      </c>
      <c r="O260" s="12" t="s">
        <v>28</v>
      </c>
      <c r="P260" s="27" t="s">
        <v>199</v>
      </c>
      <c r="Q260" s="27" t="s">
        <v>468</v>
      </c>
    </row>
    <row r="261" spans="1:17" ht="52.8" hidden="1" x14ac:dyDescent="0.3">
      <c r="A261" s="71" t="str">
        <f>Tabelle1[[#This Row],[Feature
Number]]</f>
        <v>F1105</v>
      </c>
      <c r="B261" s="27" t="s">
        <v>266</v>
      </c>
      <c r="C261" s="27" t="s">
        <v>519</v>
      </c>
      <c r="D261" s="43" t="s">
        <v>1157</v>
      </c>
      <c r="E261" s="28" t="s">
        <v>1158</v>
      </c>
      <c r="F261" s="29" t="s">
        <v>1159</v>
      </c>
      <c r="G261" s="31" t="s">
        <v>73</v>
      </c>
      <c r="H261" s="29"/>
      <c r="I261" s="29"/>
      <c r="J261" s="27"/>
      <c r="K261" s="29"/>
      <c r="L261" s="29" t="s">
        <v>28</v>
      </c>
      <c r="M261" s="29" t="s">
        <v>28</v>
      </c>
      <c r="O261" s="12" t="s">
        <v>28</v>
      </c>
      <c r="P261" s="27" t="s">
        <v>318</v>
      </c>
      <c r="Q261" s="27" t="s">
        <v>371</v>
      </c>
    </row>
    <row r="262" spans="1:17" ht="92.4" hidden="1" x14ac:dyDescent="0.3">
      <c r="A262" s="71" t="str">
        <f>Tabelle1[[#This Row],[Feature
Number]]</f>
        <v>F0651</v>
      </c>
      <c r="B262" s="27" t="s">
        <v>266</v>
      </c>
      <c r="C262" s="27" t="s">
        <v>519</v>
      </c>
      <c r="D262" s="43" t="s">
        <v>785</v>
      </c>
      <c r="E262" s="28" t="s">
        <v>786</v>
      </c>
      <c r="F262" s="29" t="s">
        <v>787</v>
      </c>
      <c r="G262" s="31" t="s">
        <v>522</v>
      </c>
      <c r="H262" s="29"/>
      <c r="I262" s="29"/>
      <c r="J262" s="27"/>
      <c r="K262" s="29"/>
      <c r="L262" s="29"/>
      <c r="M262" s="29" t="s">
        <v>28</v>
      </c>
      <c r="O262" s="12" t="s">
        <v>28</v>
      </c>
      <c r="P262" s="27" t="s">
        <v>266</v>
      </c>
      <c r="Q262" s="27" t="s">
        <v>514</v>
      </c>
    </row>
    <row r="263" spans="1:17" ht="118.8" hidden="1" x14ac:dyDescent="0.3">
      <c r="A263" s="71" t="str">
        <f>Tabelle1[[#This Row],[Feature
Number]]</f>
        <v>F0337</v>
      </c>
      <c r="B263" s="27" t="s">
        <v>266</v>
      </c>
      <c r="C263" s="27" t="s">
        <v>519</v>
      </c>
      <c r="D263" s="43" t="s">
        <v>528</v>
      </c>
      <c r="E263" s="28" t="s">
        <v>529</v>
      </c>
      <c r="F263" s="29" t="s">
        <v>530</v>
      </c>
      <c r="G263" s="31" t="s">
        <v>531</v>
      </c>
      <c r="H263" s="29"/>
      <c r="I263" s="29"/>
      <c r="J263" s="27"/>
      <c r="K263" s="29"/>
      <c r="L263" s="29"/>
      <c r="M263" s="29" t="s">
        <v>28</v>
      </c>
      <c r="O263" s="12" t="s">
        <v>28</v>
      </c>
      <c r="P263" s="27" t="s">
        <v>280</v>
      </c>
      <c r="Q263" s="27" t="s">
        <v>281</v>
      </c>
    </row>
    <row r="264" spans="1:17" ht="92.4" hidden="1" x14ac:dyDescent="0.3">
      <c r="A264" s="71" t="str">
        <f>Tabelle1[[#This Row],[Feature
Number]]</f>
        <v>F0314</v>
      </c>
      <c r="B264" s="27" t="s">
        <v>266</v>
      </c>
      <c r="C264" s="27" t="s">
        <v>294</v>
      </c>
      <c r="D264" s="43" t="s">
        <v>501</v>
      </c>
      <c r="E264" s="28" t="s">
        <v>502</v>
      </c>
      <c r="F264" s="29" t="s">
        <v>503</v>
      </c>
      <c r="G264" s="31" t="s">
        <v>504</v>
      </c>
      <c r="H264" s="29"/>
      <c r="I264" s="29"/>
      <c r="J264" s="27"/>
      <c r="K264" s="29"/>
      <c r="L264" s="29"/>
      <c r="M264" s="29" t="s">
        <v>28</v>
      </c>
      <c r="O264" s="12" t="s">
        <v>28</v>
      </c>
      <c r="P264" s="27" t="s">
        <v>266</v>
      </c>
      <c r="Q264" s="27" t="s">
        <v>267</v>
      </c>
    </row>
    <row r="265" spans="1:17" ht="79.2" hidden="1" x14ac:dyDescent="0.3">
      <c r="A265" s="71" t="str">
        <f>Tabelle1[[#This Row],[Feature
Number]]</f>
        <v>F0536</v>
      </c>
      <c r="B265" s="27" t="s">
        <v>266</v>
      </c>
      <c r="C265" s="27" t="s">
        <v>294</v>
      </c>
      <c r="D265" s="43" t="s">
        <v>690</v>
      </c>
      <c r="E265" s="28" t="s">
        <v>691</v>
      </c>
      <c r="F265" s="29" t="s">
        <v>692</v>
      </c>
      <c r="G265" s="31" t="s">
        <v>693</v>
      </c>
      <c r="H265" s="29"/>
      <c r="I265" s="29"/>
      <c r="J265" s="27"/>
      <c r="K265" s="29" t="s">
        <v>28</v>
      </c>
      <c r="L265" s="29" t="s">
        <v>28</v>
      </c>
      <c r="M265" s="29" t="s">
        <v>28</v>
      </c>
      <c r="O265" s="12" t="s">
        <v>28</v>
      </c>
      <c r="P265" s="27" t="s">
        <v>77</v>
      </c>
      <c r="Q265" s="27" t="s">
        <v>78</v>
      </c>
    </row>
    <row r="266" spans="1:17" ht="66" hidden="1" x14ac:dyDescent="0.3">
      <c r="A266" s="71" t="str">
        <f>Tabelle1[[#This Row],[Feature
Number]]</f>
        <v>F1304</v>
      </c>
      <c r="B266" s="27" t="s">
        <v>266</v>
      </c>
      <c r="C266" s="27" t="s">
        <v>294</v>
      </c>
      <c r="D266" s="43" t="s">
        <v>1179</v>
      </c>
      <c r="E266" s="28" t="s">
        <v>1180</v>
      </c>
      <c r="F266" s="29" t="s">
        <v>1178</v>
      </c>
      <c r="G266" s="31" t="s">
        <v>297</v>
      </c>
      <c r="H266" s="29"/>
      <c r="I266" s="29"/>
      <c r="J266" s="27"/>
      <c r="K266" s="29" t="s">
        <v>28</v>
      </c>
      <c r="L266" s="29" t="s">
        <v>28</v>
      </c>
      <c r="M266" s="29" t="s">
        <v>28</v>
      </c>
      <c r="O266" s="12" t="s">
        <v>28</v>
      </c>
      <c r="P266" s="38" t="s">
        <v>77</v>
      </c>
      <c r="Q266" s="38" t="s">
        <v>78</v>
      </c>
    </row>
    <row r="267" spans="1:17" ht="52.8" hidden="1" x14ac:dyDescent="0.3">
      <c r="A267" s="71" t="str">
        <f>Tabelle1[[#This Row],[Feature
Number]]</f>
        <v>F0156</v>
      </c>
      <c r="B267" s="27" t="s">
        <v>266</v>
      </c>
      <c r="C267" s="27" t="s">
        <v>294</v>
      </c>
      <c r="D267" s="43" t="s">
        <v>299</v>
      </c>
      <c r="E267" s="28" t="s">
        <v>300</v>
      </c>
      <c r="F267" s="29" t="s">
        <v>298</v>
      </c>
      <c r="G267" s="31" t="s">
        <v>73</v>
      </c>
      <c r="H267" s="29"/>
      <c r="I267" s="29"/>
      <c r="J267" s="27"/>
      <c r="K267" s="29" t="s">
        <v>28</v>
      </c>
      <c r="L267" s="29" t="s">
        <v>28</v>
      </c>
      <c r="M267" s="29" t="s">
        <v>28</v>
      </c>
      <c r="O267" s="12" t="s">
        <v>28</v>
      </c>
      <c r="P267" s="27" t="s">
        <v>318</v>
      </c>
      <c r="Q267" s="27" t="s">
        <v>319</v>
      </c>
    </row>
    <row r="268" spans="1:17" ht="52.8" hidden="1" x14ac:dyDescent="0.3">
      <c r="A268" s="71" t="str">
        <f>Tabelle1[[#This Row],[Feature
Number]]</f>
        <v>F0155</v>
      </c>
      <c r="B268" s="27" t="s">
        <v>266</v>
      </c>
      <c r="C268" s="27" t="s">
        <v>294</v>
      </c>
      <c r="D268" s="43" t="s">
        <v>295</v>
      </c>
      <c r="E268" s="28" t="s">
        <v>296</v>
      </c>
      <c r="F268" s="29" t="s">
        <v>297</v>
      </c>
      <c r="G268" s="31" t="s">
        <v>298</v>
      </c>
      <c r="H268" s="29"/>
      <c r="I268" s="29"/>
      <c r="J268" s="27"/>
      <c r="K268" s="29" t="s">
        <v>28</v>
      </c>
      <c r="L268" s="29" t="s">
        <v>28</v>
      </c>
      <c r="M268" s="29" t="s">
        <v>28</v>
      </c>
      <c r="O268" s="12" t="s">
        <v>28</v>
      </c>
      <c r="P268" s="27" t="s">
        <v>318</v>
      </c>
      <c r="Q268" s="28" t="s">
        <v>319</v>
      </c>
    </row>
    <row r="269" spans="1:17" ht="105.6" hidden="1" x14ac:dyDescent="0.3">
      <c r="A269" s="71" t="str">
        <f>Tabelle1[[#This Row],[Feature
Number]]</f>
        <v>F0162</v>
      </c>
      <c r="B269" s="27" t="s">
        <v>266</v>
      </c>
      <c r="C269" s="27" t="s">
        <v>276</v>
      </c>
      <c r="D269" s="43" t="s">
        <v>315</v>
      </c>
      <c r="E269" s="28" t="s">
        <v>316</v>
      </c>
      <c r="F269" s="29" t="s">
        <v>317</v>
      </c>
      <c r="G269" s="31" t="s">
        <v>289</v>
      </c>
      <c r="H269" s="29"/>
      <c r="I269" s="29"/>
      <c r="J269" s="27"/>
      <c r="K269" s="29" t="s">
        <v>28</v>
      </c>
      <c r="L269" s="29" t="s">
        <v>28</v>
      </c>
      <c r="M269" s="29" t="s">
        <v>28</v>
      </c>
      <c r="O269" s="12" t="s">
        <v>28</v>
      </c>
      <c r="P269" s="27" t="s">
        <v>318</v>
      </c>
      <c r="Q269" s="27" t="s">
        <v>319</v>
      </c>
    </row>
    <row r="270" spans="1:17" ht="184.8" hidden="1" x14ac:dyDescent="0.3">
      <c r="A270" s="71" t="str">
        <f>Tabelle1[[#This Row],[Feature
Number]]</f>
        <v>F1085</v>
      </c>
      <c r="B270" s="27" t="s">
        <v>266</v>
      </c>
      <c r="C270" s="27" t="s">
        <v>276</v>
      </c>
      <c r="D270" s="43" t="s">
        <v>1155</v>
      </c>
      <c r="E270" s="28" t="s">
        <v>1156</v>
      </c>
      <c r="F270" s="29" t="s">
        <v>1081</v>
      </c>
      <c r="G270" s="31" t="s">
        <v>73</v>
      </c>
      <c r="H270" s="29"/>
      <c r="I270" s="29"/>
      <c r="J270" s="27" t="s">
        <v>248</v>
      </c>
      <c r="K270" s="29"/>
      <c r="L270" s="29" t="s">
        <v>28</v>
      </c>
      <c r="M270" s="29" t="s">
        <v>28</v>
      </c>
      <c r="O270" s="12" t="s">
        <v>28</v>
      </c>
      <c r="P270" s="27" t="s">
        <v>29</v>
      </c>
      <c r="Q270" s="27" t="s">
        <v>69</v>
      </c>
    </row>
    <row r="271" spans="1:17" ht="39.6" hidden="1" x14ac:dyDescent="0.3">
      <c r="A271" s="71" t="str">
        <f>Tabelle1[[#This Row],[Feature
Number]]</f>
        <v>F0594</v>
      </c>
      <c r="B271" s="27" t="s">
        <v>266</v>
      </c>
      <c r="C271" s="27" t="s">
        <v>276</v>
      </c>
      <c r="D271" s="43" t="s">
        <v>724</v>
      </c>
      <c r="E271" s="28" t="s">
        <v>725</v>
      </c>
      <c r="F271" s="29" t="s">
        <v>726</v>
      </c>
      <c r="G271" s="31" t="s">
        <v>727</v>
      </c>
      <c r="H271" s="29"/>
      <c r="I271" s="29"/>
      <c r="J271" s="27"/>
      <c r="K271" s="29" t="s">
        <v>28</v>
      </c>
      <c r="L271" s="29" t="s">
        <v>28</v>
      </c>
      <c r="M271" s="29" t="s">
        <v>28</v>
      </c>
      <c r="O271" s="12" t="s">
        <v>28</v>
      </c>
      <c r="P271" s="27" t="s">
        <v>256</v>
      </c>
      <c r="Q271" s="27" t="s">
        <v>532</v>
      </c>
    </row>
    <row r="272" spans="1:17" ht="39.6" hidden="1" x14ac:dyDescent="0.3">
      <c r="A272" s="71" t="str">
        <f>Tabelle1[[#This Row],[Feature
Number]]</f>
        <v>F0345</v>
      </c>
      <c r="B272" s="69" t="s">
        <v>266</v>
      </c>
      <c r="C272" s="69" t="s">
        <v>276</v>
      </c>
      <c r="D272" s="38" t="s">
        <v>540</v>
      </c>
      <c r="E272" s="38" t="s">
        <v>541</v>
      </c>
      <c r="F272" s="41" t="s">
        <v>542</v>
      </c>
      <c r="G272" s="31"/>
      <c r="H272" s="29"/>
      <c r="I272" s="29"/>
      <c r="J272" s="27"/>
      <c r="K272" s="29"/>
      <c r="L272" s="29" t="s">
        <v>28</v>
      </c>
      <c r="M272" s="29" t="s">
        <v>28</v>
      </c>
      <c r="O272" s="12" t="s">
        <v>28</v>
      </c>
      <c r="P272" s="27" t="s">
        <v>266</v>
      </c>
      <c r="Q272" s="27" t="s">
        <v>267</v>
      </c>
    </row>
    <row r="273" spans="1:17" ht="79.2" hidden="1" x14ac:dyDescent="0.3">
      <c r="A273" s="71" t="str">
        <f>Tabelle1[[#This Row],[Feature
Number]]</f>
        <v>F0145</v>
      </c>
      <c r="B273" s="27" t="s">
        <v>266</v>
      </c>
      <c r="C273" s="27" t="s">
        <v>286</v>
      </c>
      <c r="D273" s="43" t="s">
        <v>287</v>
      </c>
      <c r="E273" s="28" t="s">
        <v>288</v>
      </c>
      <c r="F273" s="29" t="s">
        <v>289</v>
      </c>
      <c r="G273" s="31" t="s">
        <v>184</v>
      </c>
      <c r="H273" s="29"/>
      <c r="I273" s="29"/>
      <c r="J273" s="27" t="s">
        <v>290</v>
      </c>
      <c r="K273" s="29" t="s">
        <v>28</v>
      </c>
      <c r="L273" s="29" t="s">
        <v>28</v>
      </c>
      <c r="M273" s="29" t="s">
        <v>28</v>
      </c>
      <c r="O273" s="12" t="s">
        <v>28</v>
      </c>
      <c r="P273" s="27" t="s">
        <v>266</v>
      </c>
      <c r="Q273" s="27" t="s">
        <v>267</v>
      </c>
    </row>
    <row r="274" spans="1:17" ht="52.8" hidden="1" x14ac:dyDescent="0.3">
      <c r="A274" s="71" t="str">
        <f>Tabelle1[[#This Row],[Feature
Number]]</f>
        <v>F1187</v>
      </c>
      <c r="B274" s="27" t="s">
        <v>266</v>
      </c>
      <c r="C274" s="27" t="s">
        <v>514</v>
      </c>
      <c r="D274" s="43" t="s">
        <v>1168</v>
      </c>
      <c r="E274" s="28" t="s">
        <v>1169</v>
      </c>
      <c r="F274" s="29" t="s">
        <v>1170</v>
      </c>
      <c r="G274" s="31" t="s">
        <v>1171</v>
      </c>
      <c r="H274" s="31"/>
      <c r="I274" s="31"/>
      <c r="J274" s="27"/>
      <c r="K274" s="29" t="s">
        <v>28</v>
      </c>
      <c r="L274" s="29" t="s">
        <v>28</v>
      </c>
      <c r="M274" s="29" t="s">
        <v>28</v>
      </c>
      <c r="O274" s="12" t="s">
        <v>28</v>
      </c>
      <c r="P274" s="27" t="s">
        <v>266</v>
      </c>
      <c r="Q274" s="27" t="s">
        <v>276</v>
      </c>
    </row>
    <row r="275" spans="1:17" ht="66" hidden="1" x14ac:dyDescent="0.3">
      <c r="A275" s="71" t="str">
        <f>Tabelle1[[#This Row],[Feature
Number]]</f>
        <v>F0658</v>
      </c>
      <c r="B275" s="27" t="s">
        <v>266</v>
      </c>
      <c r="C275" s="27" t="s">
        <v>514</v>
      </c>
      <c r="D275" s="43" t="s">
        <v>795</v>
      </c>
      <c r="E275" s="28" t="s">
        <v>796</v>
      </c>
      <c r="F275" s="29" t="s">
        <v>731</v>
      </c>
      <c r="G275" s="31" t="s">
        <v>797</v>
      </c>
      <c r="H275" s="29"/>
      <c r="I275" s="29"/>
      <c r="J275" s="27"/>
      <c r="K275" s="29" t="s">
        <v>28</v>
      </c>
      <c r="L275" s="29" t="s">
        <v>28</v>
      </c>
      <c r="M275" s="29" t="s">
        <v>28</v>
      </c>
      <c r="O275" s="12" t="s">
        <v>28</v>
      </c>
      <c r="P275" s="27" t="s">
        <v>266</v>
      </c>
      <c r="Q275" s="27" t="s">
        <v>276</v>
      </c>
    </row>
    <row r="276" spans="1:17" ht="66" hidden="1" x14ac:dyDescent="0.3">
      <c r="A276" s="71" t="str">
        <f>Tabelle1[[#This Row],[Feature
Number]]</f>
        <v>F0331</v>
      </c>
      <c r="B276" s="27" t="s">
        <v>266</v>
      </c>
      <c r="C276" s="27" t="s">
        <v>514</v>
      </c>
      <c r="D276" s="43" t="s">
        <v>515</v>
      </c>
      <c r="E276" s="28" t="s">
        <v>516</v>
      </c>
      <c r="F276" s="29" t="s">
        <v>517</v>
      </c>
      <c r="G276" s="31" t="s">
        <v>518</v>
      </c>
      <c r="H276" s="31"/>
      <c r="I276" s="31"/>
      <c r="J276" s="27"/>
      <c r="K276" s="29" t="s">
        <v>28</v>
      </c>
      <c r="L276" s="29" t="s">
        <v>28</v>
      </c>
      <c r="M276" s="29" t="s">
        <v>28</v>
      </c>
      <c r="O276" s="12" t="s">
        <v>28</v>
      </c>
      <c r="P276" s="27" t="s">
        <v>251</v>
      </c>
      <c r="Q276" s="27" t="s">
        <v>311</v>
      </c>
    </row>
    <row r="277" spans="1:17" ht="52.8" hidden="1" x14ac:dyDescent="0.3">
      <c r="A277" s="71" t="str">
        <f>Tabelle1[[#This Row],[Feature
Number]]</f>
        <v>F0595</v>
      </c>
      <c r="B277" s="27" t="s">
        <v>266</v>
      </c>
      <c r="C277" s="27" t="s">
        <v>514</v>
      </c>
      <c r="D277" s="43" t="s">
        <v>728</v>
      </c>
      <c r="E277" s="28" t="s">
        <v>729</v>
      </c>
      <c r="F277" s="29" t="s">
        <v>730</v>
      </c>
      <c r="G277" s="31" t="s">
        <v>731</v>
      </c>
      <c r="H277" s="29"/>
      <c r="I277" s="29"/>
      <c r="J277" s="27"/>
      <c r="K277" s="29" t="s">
        <v>28</v>
      </c>
      <c r="L277" s="29" t="s">
        <v>28</v>
      </c>
      <c r="M277" s="29" t="s">
        <v>28</v>
      </c>
      <c r="O277" s="12" t="s">
        <v>28</v>
      </c>
      <c r="P277" s="27" t="s">
        <v>266</v>
      </c>
      <c r="Q277" s="27" t="s">
        <v>294</v>
      </c>
    </row>
    <row r="278" spans="1:17" ht="52.8" hidden="1" x14ac:dyDescent="0.3">
      <c r="A278" s="71" t="str">
        <f>Tabelle1[[#This Row],[Feature
Number]]</f>
        <v>F0657</v>
      </c>
      <c r="B278" s="27" t="s">
        <v>266</v>
      </c>
      <c r="C278" s="27" t="s">
        <v>514</v>
      </c>
      <c r="D278" s="43" t="s">
        <v>791</v>
      </c>
      <c r="E278" s="28" t="s">
        <v>792</v>
      </c>
      <c r="F278" s="29" t="s">
        <v>793</v>
      </c>
      <c r="G278" s="31" t="s">
        <v>794</v>
      </c>
      <c r="H278" s="29"/>
      <c r="I278" s="29"/>
      <c r="J278" s="27"/>
      <c r="K278" s="29" t="s">
        <v>28</v>
      </c>
      <c r="L278" s="29" t="s">
        <v>28</v>
      </c>
      <c r="M278" s="29" t="s">
        <v>28</v>
      </c>
      <c r="O278" s="12" t="s">
        <v>28</v>
      </c>
      <c r="P278" s="38" t="s">
        <v>29</v>
      </c>
      <c r="Q278" s="38" t="s">
        <v>82</v>
      </c>
    </row>
    <row r="279" spans="1:17" ht="26.4" hidden="1" x14ac:dyDescent="0.3">
      <c r="A279" s="71" t="str">
        <f>Tabelle1[[#This Row],[Feature
Number]]</f>
        <v>F0599</v>
      </c>
      <c r="B279" s="27" t="s">
        <v>266</v>
      </c>
      <c r="C279" s="27" t="s">
        <v>276</v>
      </c>
      <c r="D279" s="43" t="s">
        <v>732</v>
      </c>
      <c r="E279" s="28" t="s">
        <v>733</v>
      </c>
      <c r="F279" s="29" t="s">
        <v>734</v>
      </c>
      <c r="G279" s="31" t="s">
        <v>289</v>
      </c>
      <c r="H279" s="29"/>
      <c r="I279" s="29"/>
      <c r="J279" s="27"/>
      <c r="K279" s="29"/>
      <c r="L279" s="29" t="s">
        <v>28</v>
      </c>
      <c r="M279" s="29" t="s">
        <v>28</v>
      </c>
      <c r="O279" s="12" t="s">
        <v>28</v>
      </c>
      <c r="P279" s="27" t="s">
        <v>29</v>
      </c>
      <c r="Q279" s="27" t="s">
        <v>30</v>
      </c>
    </row>
    <row r="280" spans="1:17" ht="118.8" hidden="1" x14ac:dyDescent="0.3">
      <c r="A280" s="71" t="str">
        <f>Tabelle1[[#This Row],[Feature
Number]]</f>
        <v>F2010</v>
      </c>
      <c r="B280" s="27" t="s">
        <v>266</v>
      </c>
      <c r="C280" s="27" t="s">
        <v>514</v>
      </c>
      <c r="D280" s="43" t="s">
        <v>1223</v>
      </c>
      <c r="E280" s="28" t="s">
        <v>1224</v>
      </c>
      <c r="F280" s="29" t="s">
        <v>1171</v>
      </c>
      <c r="G280" s="31" t="s">
        <v>1225</v>
      </c>
      <c r="H280" s="31"/>
      <c r="I280" s="31"/>
      <c r="J280" s="28"/>
      <c r="K280" s="29" t="s">
        <v>28</v>
      </c>
      <c r="L280" s="29" t="s">
        <v>28</v>
      </c>
      <c r="M280" s="29" t="s">
        <v>28</v>
      </c>
      <c r="O280" s="12" t="s">
        <v>28</v>
      </c>
      <c r="P280" s="27" t="s">
        <v>29</v>
      </c>
      <c r="Q280" s="27" t="s">
        <v>30</v>
      </c>
    </row>
    <row r="281" spans="1:17" ht="237.6" hidden="1" x14ac:dyDescent="0.3">
      <c r="A281" s="71" t="str">
        <f>Tabelle1[[#This Row],[Feature
Number]]</f>
        <v>F2009</v>
      </c>
      <c r="B281" s="27" t="s">
        <v>266</v>
      </c>
      <c r="C281" s="27" t="s">
        <v>267</v>
      </c>
      <c r="D281" s="43" t="s">
        <v>1219</v>
      </c>
      <c r="E281" s="28" t="s">
        <v>1220</v>
      </c>
      <c r="F281" s="29" t="s">
        <v>271</v>
      </c>
      <c r="G281" s="31" t="s">
        <v>1221</v>
      </c>
      <c r="H281" s="29"/>
      <c r="I281" s="29"/>
      <c r="J281" s="28" t="s">
        <v>1222</v>
      </c>
      <c r="K281" s="29" t="s">
        <v>28</v>
      </c>
      <c r="L281" s="29" t="s">
        <v>28</v>
      </c>
      <c r="M281" s="29" t="s">
        <v>28</v>
      </c>
      <c r="O281" s="12" t="s">
        <v>28</v>
      </c>
      <c r="P281" s="27" t="s">
        <v>29</v>
      </c>
      <c r="Q281" s="27" t="s">
        <v>30</v>
      </c>
    </row>
    <row r="282" spans="1:17" ht="79.2" hidden="1" x14ac:dyDescent="0.3">
      <c r="A282" s="71" t="str">
        <f>Tabelle1[[#This Row],[Feature
Number]]</f>
        <v>F0885</v>
      </c>
      <c r="B282" s="27" t="s">
        <v>266</v>
      </c>
      <c r="C282" s="27" t="s">
        <v>267</v>
      </c>
      <c r="D282" s="43" t="s">
        <v>904</v>
      </c>
      <c r="E282" s="28" t="s">
        <v>905</v>
      </c>
      <c r="F282" s="49" t="s">
        <v>906</v>
      </c>
      <c r="G282" s="53" t="s">
        <v>907</v>
      </c>
      <c r="H282" s="29"/>
      <c r="I282" s="29"/>
      <c r="J282" s="27"/>
      <c r="K282" s="29" t="s">
        <v>28</v>
      </c>
      <c r="L282" s="29" t="s">
        <v>28</v>
      </c>
      <c r="M282" s="29" t="s">
        <v>28</v>
      </c>
      <c r="O282" s="12" t="s">
        <v>28</v>
      </c>
      <c r="P282" s="27" t="s">
        <v>318</v>
      </c>
      <c r="Q282" s="27" t="s">
        <v>433</v>
      </c>
    </row>
    <row r="283" spans="1:17" ht="158.4" hidden="1" x14ac:dyDescent="0.3">
      <c r="A283" s="71" t="str">
        <f>Tabelle1[[#This Row],[Feature
Number]]</f>
        <v>F0136</v>
      </c>
      <c r="B283" s="27" t="s">
        <v>266</v>
      </c>
      <c r="C283" s="27" t="s">
        <v>267</v>
      </c>
      <c r="D283" s="43" t="s">
        <v>268</v>
      </c>
      <c r="E283" s="28" t="s">
        <v>269</v>
      </c>
      <c r="F283" s="29" t="s">
        <v>270</v>
      </c>
      <c r="G283" s="31" t="s">
        <v>271</v>
      </c>
      <c r="H283" s="29"/>
      <c r="I283" s="29"/>
      <c r="J283" s="27"/>
      <c r="K283" s="29" t="s">
        <v>28</v>
      </c>
      <c r="L283" s="29" t="s">
        <v>28</v>
      </c>
      <c r="M283" s="29" t="s">
        <v>28</v>
      </c>
      <c r="O283" s="12" t="s">
        <v>28</v>
      </c>
      <c r="P283" s="27" t="s">
        <v>318</v>
      </c>
      <c r="Q283" s="27" t="s">
        <v>433</v>
      </c>
    </row>
    <row r="284" spans="1:17" ht="92.4" hidden="1" x14ac:dyDescent="0.3">
      <c r="A284" s="71" t="str">
        <f>Tabelle1[[#This Row],[Feature
Number]]</f>
        <v>F0142</v>
      </c>
      <c r="B284" s="27" t="s">
        <v>266</v>
      </c>
      <c r="C284" s="27" t="s">
        <v>276</v>
      </c>
      <c r="D284" s="43" t="s">
        <v>277</v>
      </c>
      <c r="E284" s="28" t="s">
        <v>278</v>
      </c>
      <c r="F284" s="29" t="s">
        <v>279</v>
      </c>
      <c r="G284" s="31" t="s">
        <v>73</v>
      </c>
      <c r="H284" s="29"/>
      <c r="I284" s="29" t="s">
        <v>28</v>
      </c>
      <c r="J284" s="27"/>
      <c r="K284" s="29" t="s">
        <v>28</v>
      </c>
      <c r="L284" s="29" t="s">
        <v>28</v>
      </c>
      <c r="M284" s="29" t="s">
        <v>28</v>
      </c>
      <c r="O284" s="12" t="s">
        <v>28</v>
      </c>
      <c r="P284" s="27" t="s">
        <v>318</v>
      </c>
      <c r="Q284" s="27" t="s">
        <v>433</v>
      </c>
    </row>
    <row r="285" spans="1:17" ht="171.6" hidden="1" x14ac:dyDescent="0.3">
      <c r="A285" s="71" t="str">
        <f>Tabelle1[[#This Row],[Feature
Number]]</f>
        <v>F2006</v>
      </c>
      <c r="B285" s="27" t="s">
        <v>266</v>
      </c>
      <c r="C285" s="27" t="s">
        <v>276</v>
      </c>
      <c r="D285" s="43" t="s">
        <v>1211</v>
      </c>
      <c r="E285" s="28" t="s">
        <v>1212</v>
      </c>
      <c r="F285" s="29" t="s">
        <v>1213</v>
      </c>
      <c r="G285" s="31" t="s">
        <v>1171</v>
      </c>
      <c r="H285" s="31"/>
      <c r="I285" s="31"/>
      <c r="J285" s="27"/>
      <c r="K285" s="29" t="s">
        <v>28</v>
      </c>
      <c r="L285" s="29" t="s">
        <v>28</v>
      </c>
      <c r="M285" s="29" t="s">
        <v>28</v>
      </c>
      <c r="O285" s="12" t="s">
        <v>28</v>
      </c>
      <c r="P285" s="27" t="s">
        <v>318</v>
      </c>
      <c r="Q285" s="27" t="s">
        <v>433</v>
      </c>
    </row>
    <row r="286" spans="1:17" ht="66" hidden="1" x14ac:dyDescent="0.3">
      <c r="A286" s="71" t="str">
        <f>Tabelle1[[#This Row],[Feature
Number]]</f>
        <v>F1301</v>
      </c>
      <c r="B286" s="27" t="s">
        <v>266</v>
      </c>
      <c r="C286" s="27" t="s">
        <v>294</v>
      </c>
      <c r="D286" s="43" t="s">
        <v>1175</v>
      </c>
      <c r="E286" s="28" t="s">
        <v>1176</v>
      </c>
      <c r="F286" s="29" t="s">
        <v>1177</v>
      </c>
      <c r="G286" s="31" t="s">
        <v>1178</v>
      </c>
      <c r="H286" s="29"/>
      <c r="I286" s="29"/>
      <c r="J286" s="27"/>
      <c r="K286" s="29" t="s">
        <v>28</v>
      </c>
      <c r="L286" s="29" t="s">
        <v>28</v>
      </c>
      <c r="M286" s="29" t="s">
        <v>28</v>
      </c>
      <c r="O286" s="12" t="s">
        <v>28</v>
      </c>
      <c r="P286" s="47" t="s">
        <v>251</v>
      </c>
      <c r="Q286" s="47" t="s">
        <v>1006</v>
      </c>
    </row>
    <row r="287" spans="1:17" ht="145.19999999999999" hidden="1" x14ac:dyDescent="0.3">
      <c r="A287" s="71" t="str">
        <f>Tabelle1[[#This Row],[Feature
Number]]</f>
        <v>F2021</v>
      </c>
      <c r="B287" s="27" t="s">
        <v>266</v>
      </c>
      <c r="C287" s="27" t="s">
        <v>276</v>
      </c>
      <c r="D287" s="43" t="s">
        <v>1239</v>
      </c>
      <c r="E287" s="28" t="s">
        <v>1240</v>
      </c>
      <c r="F287" s="29" t="s">
        <v>304</v>
      </c>
      <c r="G287" s="31" t="s">
        <v>73</v>
      </c>
      <c r="H287" s="29"/>
      <c r="I287" s="29"/>
      <c r="J287" s="27"/>
      <c r="K287" s="29" t="s">
        <v>28</v>
      </c>
      <c r="L287" s="29" t="s">
        <v>28</v>
      </c>
      <c r="M287" s="29" t="s">
        <v>28</v>
      </c>
      <c r="O287" s="12" t="s">
        <v>28</v>
      </c>
      <c r="P287" s="27" t="s">
        <v>318</v>
      </c>
      <c r="Q287" s="27" t="s">
        <v>443</v>
      </c>
    </row>
    <row r="288" spans="1:17" ht="105.6" hidden="1" x14ac:dyDescent="0.3">
      <c r="A288" s="71" t="str">
        <f>Tabelle1[[#This Row],[Feature
Number]]</f>
        <v>F0158</v>
      </c>
      <c r="B288" s="27" t="s">
        <v>266</v>
      </c>
      <c r="C288" s="27" t="s">
        <v>276</v>
      </c>
      <c r="D288" s="43" t="s">
        <v>301</v>
      </c>
      <c r="E288" s="28" t="s">
        <v>302</v>
      </c>
      <c r="F288" s="29" t="s">
        <v>303</v>
      </c>
      <c r="G288" s="31" t="s">
        <v>304</v>
      </c>
      <c r="H288" s="29"/>
      <c r="I288" s="29"/>
      <c r="J288" s="27"/>
      <c r="K288" s="29" t="s">
        <v>28</v>
      </c>
      <c r="L288" s="29" t="s">
        <v>28</v>
      </c>
      <c r="M288" s="29" t="s">
        <v>28</v>
      </c>
      <c r="O288" s="12" t="s">
        <v>28</v>
      </c>
      <c r="P288" s="27" t="s">
        <v>318</v>
      </c>
      <c r="Q288" s="27" t="s">
        <v>443</v>
      </c>
    </row>
    <row r="289" spans="1:17" ht="105.6" hidden="1" x14ac:dyDescent="0.3">
      <c r="A289" s="71" t="str">
        <f>Tabelle1[[#This Row],[Feature
Number]]</f>
        <v>F0160</v>
      </c>
      <c r="B289" s="27" t="s">
        <v>266</v>
      </c>
      <c r="C289" s="27" t="s">
        <v>276</v>
      </c>
      <c r="D289" s="43" t="s">
        <v>308</v>
      </c>
      <c r="E289" s="28" t="s">
        <v>309</v>
      </c>
      <c r="F289" s="29" t="s">
        <v>310</v>
      </c>
      <c r="G289" s="31" t="s">
        <v>304</v>
      </c>
      <c r="H289" s="29"/>
      <c r="I289" s="29"/>
      <c r="J289" s="27"/>
      <c r="K289" s="29" t="s">
        <v>28</v>
      </c>
      <c r="L289" s="29" t="s">
        <v>28</v>
      </c>
      <c r="M289" s="29" t="s">
        <v>28</v>
      </c>
      <c r="O289" s="12" t="s">
        <v>28</v>
      </c>
      <c r="P289" s="27" t="s">
        <v>318</v>
      </c>
      <c r="Q289" s="27" t="s">
        <v>443</v>
      </c>
    </row>
    <row r="290" spans="1:17" ht="237.6" hidden="1" x14ac:dyDescent="0.3">
      <c r="A290" s="71" t="str">
        <f>Tabelle1[[#This Row],[Feature
Number]]</f>
        <v>F2003</v>
      </c>
      <c r="B290" s="27" t="s">
        <v>266</v>
      </c>
      <c r="C290" s="27" t="s">
        <v>294</v>
      </c>
      <c r="D290" s="43" t="s">
        <v>1205</v>
      </c>
      <c r="E290" s="28" t="s">
        <v>1206</v>
      </c>
      <c r="F290" s="29" t="s">
        <v>1207</v>
      </c>
      <c r="G290" s="31" t="s">
        <v>1208</v>
      </c>
      <c r="H290" s="29"/>
      <c r="I290" s="29"/>
      <c r="J290" s="27"/>
      <c r="K290" s="29" t="s">
        <v>28</v>
      </c>
      <c r="L290" s="29" t="s">
        <v>28</v>
      </c>
      <c r="M290" s="29" t="s">
        <v>28</v>
      </c>
      <c r="O290" s="12" t="s">
        <v>28</v>
      </c>
      <c r="P290" s="27" t="s">
        <v>318</v>
      </c>
      <c r="Q290" s="27" t="s">
        <v>443</v>
      </c>
    </row>
    <row r="291" spans="1:17" ht="52.8" hidden="1" x14ac:dyDescent="0.3">
      <c r="A291" s="71" t="str">
        <f>Tabelle1[[#This Row],[Feature
Number]]</f>
        <v>F0967</v>
      </c>
      <c r="B291" s="27" t="s">
        <v>266</v>
      </c>
      <c r="C291" s="27" t="s">
        <v>267</v>
      </c>
      <c r="D291" s="43" t="s">
        <v>949</v>
      </c>
      <c r="E291" s="28" t="s">
        <v>950</v>
      </c>
      <c r="F291" s="29" t="s">
        <v>951</v>
      </c>
      <c r="G291" s="31" t="s">
        <v>265</v>
      </c>
      <c r="H291" s="29"/>
      <c r="I291" s="29" t="s">
        <v>28</v>
      </c>
      <c r="J291" s="27"/>
      <c r="K291" s="29" t="s">
        <v>28</v>
      </c>
      <c r="L291" s="29" t="s">
        <v>28</v>
      </c>
      <c r="M291" s="29" t="s">
        <v>28</v>
      </c>
      <c r="O291" s="12" t="s">
        <v>28</v>
      </c>
      <c r="P291" s="47" t="s">
        <v>256</v>
      </c>
      <c r="Q291" s="47" t="s">
        <v>257</v>
      </c>
    </row>
    <row r="292" spans="1:17" ht="316.8" hidden="1" x14ac:dyDescent="0.3">
      <c r="A292" s="71" t="str">
        <f>Tabelle1[[#This Row],[Feature
Number]]</f>
        <v>F2002</v>
      </c>
      <c r="B292" s="27" t="s">
        <v>266</v>
      </c>
      <c r="C292" s="27" t="s">
        <v>1196</v>
      </c>
      <c r="D292" s="43" t="s">
        <v>1201</v>
      </c>
      <c r="E292" s="28" t="s">
        <v>1202</v>
      </c>
      <c r="F292" s="29" t="s">
        <v>1203</v>
      </c>
      <c r="G292" s="31" t="s">
        <v>1204</v>
      </c>
      <c r="H292" s="31"/>
      <c r="I292" s="31"/>
      <c r="J292" s="27"/>
      <c r="K292" s="29" t="s">
        <v>28</v>
      </c>
      <c r="L292" s="29" t="s">
        <v>28</v>
      </c>
      <c r="M292" s="29" t="s">
        <v>28</v>
      </c>
      <c r="O292" s="12" t="s">
        <v>28</v>
      </c>
      <c r="P292" s="27" t="s">
        <v>256</v>
      </c>
      <c r="Q292" s="27" t="s">
        <v>257</v>
      </c>
    </row>
    <row r="293" spans="1:17" ht="66" hidden="1" x14ac:dyDescent="0.3">
      <c r="A293" s="71" t="str">
        <f>Tabelle1[[#This Row],[Feature
Number]]</f>
        <v>F2001</v>
      </c>
      <c r="B293" s="27" t="s">
        <v>266</v>
      </c>
      <c r="C293" s="27" t="s">
        <v>1196</v>
      </c>
      <c r="D293" s="43" t="s">
        <v>1197</v>
      </c>
      <c r="E293" s="28" t="s">
        <v>1198</v>
      </c>
      <c r="F293" s="29" t="s">
        <v>1199</v>
      </c>
      <c r="G293" s="31" t="s">
        <v>1200</v>
      </c>
      <c r="H293" s="31"/>
      <c r="I293" s="31"/>
      <c r="J293" s="27"/>
      <c r="K293" s="29"/>
      <c r="L293" s="29" t="s">
        <v>28</v>
      </c>
      <c r="M293" s="29" t="s">
        <v>28</v>
      </c>
      <c r="O293" s="12" t="s">
        <v>28</v>
      </c>
      <c r="P293" s="27" t="s">
        <v>22</v>
      </c>
      <c r="Q293" s="27" t="s">
        <v>103</v>
      </c>
    </row>
    <row r="294" spans="1:17" ht="26.4" hidden="1" x14ac:dyDescent="0.3">
      <c r="A294" s="71" t="str">
        <f>Tabelle1[[#This Row],[Feature
Number]]</f>
        <v>F0682</v>
      </c>
      <c r="B294" s="27" t="s">
        <v>199</v>
      </c>
      <c r="C294" s="27" t="s">
        <v>455</v>
      </c>
      <c r="D294" s="43" t="s">
        <v>809</v>
      </c>
      <c r="E294" s="28" t="s">
        <v>810</v>
      </c>
      <c r="F294" s="29" t="s">
        <v>811</v>
      </c>
      <c r="G294" s="31" t="s">
        <v>73</v>
      </c>
      <c r="H294" s="29"/>
      <c r="I294" s="29"/>
      <c r="J294" s="27"/>
      <c r="K294" s="29" t="s">
        <v>28</v>
      </c>
      <c r="L294" s="29" t="s">
        <v>28</v>
      </c>
      <c r="M294" s="29" t="s">
        <v>28</v>
      </c>
      <c r="O294" s="12" t="s">
        <v>28</v>
      </c>
      <c r="P294" s="38" t="s">
        <v>22</v>
      </c>
      <c r="Q294" s="38" t="s">
        <v>103</v>
      </c>
    </row>
    <row r="295" spans="1:17" ht="39.6" hidden="1" x14ac:dyDescent="0.3">
      <c r="A295" s="71" t="str">
        <f>Tabelle1[[#This Row],[Feature
Number]]</f>
        <v>F0258</v>
      </c>
      <c r="B295" s="27" t="s">
        <v>199</v>
      </c>
      <c r="C295" s="27" t="s">
        <v>455</v>
      </c>
      <c r="D295" s="43" t="s">
        <v>456</v>
      </c>
      <c r="E295" s="28" t="s">
        <v>457</v>
      </c>
      <c r="F295" s="29" t="s">
        <v>458</v>
      </c>
      <c r="G295" s="31" t="s">
        <v>73</v>
      </c>
      <c r="H295" s="29"/>
      <c r="I295" s="29"/>
      <c r="J295" s="28" t="s">
        <v>459</v>
      </c>
      <c r="K295" s="29" t="s">
        <v>28</v>
      </c>
      <c r="L295" s="29" t="s">
        <v>28</v>
      </c>
      <c r="M295" s="29" t="s">
        <v>28</v>
      </c>
      <c r="O295" s="12" t="s">
        <v>28</v>
      </c>
      <c r="P295" s="27" t="s">
        <v>22</v>
      </c>
      <c r="Q295" s="27" t="s">
        <v>103</v>
      </c>
    </row>
    <row r="296" spans="1:17" ht="26.4" hidden="1" x14ac:dyDescent="0.3">
      <c r="A296" s="71" t="str">
        <f>Tabelle1[[#This Row],[Feature
Number]]</f>
        <v>F0947</v>
      </c>
      <c r="B296" s="27" t="s">
        <v>199</v>
      </c>
      <c r="C296" s="27" t="s">
        <v>485</v>
      </c>
      <c r="D296" s="43" t="s">
        <v>940</v>
      </c>
      <c r="E296" s="28" t="s">
        <v>941</v>
      </c>
      <c r="F296" s="29" t="s">
        <v>942</v>
      </c>
      <c r="G296" s="31" t="s">
        <v>488</v>
      </c>
      <c r="H296" s="29"/>
      <c r="I296" s="29"/>
      <c r="J296" s="27"/>
      <c r="K296" s="29" t="s">
        <v>28</v>
      </c>
      <c r="L296" s="29" t="s">
        <v>28</v>
      </c>
      <c r="M296" s="29" t="s">
        <v>28</v>
      </c>
      <c r="O296" s="12" t="s">
        <v>28</v>
      </c>
      <c r="P296" s="27" t="s">
        <v>22</v>
      </c>
      <c r="Q296" s="27" t="s">
        <v>103</v>
      </c>
    </row>
    <row r="297" spans="1:17" ht="26.4" hidden="1" x14ac:dyDescent="0.3">
      <c r="A297" s="71" t="str">
        <f>Tabelle1[[#This Row],[Feature
Number]]</f>
        <v>F0086</v>
      </c>
      <c r="B297" s="27" t="s">
        <v>199</v>
      </c>
      <c r="C297" s="27" t="s">
        <v>200</v>
      </c>
      <c r="D297" s="43" t="s">
        <v>201</v>
      </c>
      <c r="E297" s="28" t="s">
        <v>202</v>
      </c>
      <c r="F297" s="48" t="s">
        <v>203</v>
      </c>
      <c r="G297" s="55" t="s">
        <v>73</v>
      </c>
      <c r="H297" s="29"/>
      <c r="I297" s="29"/>
      <c r="J297" s="27"/>
      <c r="K297" s="29" t="s">
        <v>28</v>
      </c>
      <c r="L297" s="29" t="s">
        <v>28</v>
      </c>
      <c r="M297" s="29" t="s">
        <v>28</v>
      </c>
      <c r="O297" s="12" t="s">
        <v>28</v>
      </c>
      <c r="P297" s="27" t="s">
        <v>77</v>
      </c>
      <c r="Q297" s="27" t="s">
        <v>149</v>
      </c>
    </row>
    <row r="298" spans="1:17" ht="26.4" hidden="1" x14ac:dyDescent="0.3">
      <c r="A298" s="71" t="str">
        <f>Tabelle1[[#This Row],[Feature
Number]]</f>
        <v>F0474</v>
      </c>
      <c r="B298" s="27" t="s">
        <v>199</v>
      </c>
      <c r="C298" s="27" t="s">
        <v>200</v>
      </c>
      <c r="D298" s="43" t="s">
        <v>655</v>
      </c>
      <c r="E298" s="28" t="s">
        <v>656</v>
      </c>
      <c r="F298" s="29" t="s">
        <v>657</v>
      </c>
      <c r="G298" s="31" t="s">
        <v>73</v>
      </c>
      <c r="H298" s="29"/>
      <c r="I298" s="29"/>
      <c r="J298" s="27"/>
      <c r="K298" s="29" t="s">
        <v>28</v>
      </c>
      <c r="L298" s="29" t="s">
        <v>28</v>
      </c>
      <c r="M298" s="29" t="s">
        <v>28</v>
      </c>
      <c r="O298" s="12" t="s">
        <v>28</v>
      </c>
      <c r="P298" s="27" t="s">
        <v>63</v>
      </c>
      <c r="Q298" s="27" t="s">
        <v>224</v>
      </c>
    </row>
    <row r="299" spans="1:17" ht="26.4" hidden="1" x14ac:dyDescent="0.3">
      <c r="A299" s="71" t="str">
        <f>Tabelle1[[#This Row],[Feature
Number]]</f>
        <v>F0558</v>
      </c>
      <c r="B299" s="27" t="s">
        <v>199</v>
      </c>
      <c r="C299" s="27" t="s">
        <v>200</v>
      </c>
      <c r="D299" s="43" t="s">
        <v>702</v>
      </c>
      <c r="E299" s="28" t="s">
        <v>703</v>
      </c>
      <c r="F299" s="29" t="s">
        <v>704</v>
      </c>
      <c r="G299" s="31" t="s">
        <v>73</v>
      </c>
      <c r="H299" s="29"/>
      <c r="I299" s="29"/>
      <c r="J299" s="27"/>
      <c r="K299" s="29" t="s">
        <v>28</v>
      </c>
      <c r="L299" s="29" t="s">
        <v>28</v>
      </c>
      <c r="M299" s="29" t="s">
        <v>28</v>
      </c>
      <c r="O299" s="12" t="s">
        <v>28</v>
      </c>
      <c r="P299" s="72" t="s">
        <v>318</v>
      </c>
      <c r="Q299" s="72" t="s">
        <v>433</v>
      </c>
    </row>
    <row r="300" spans="1:17" ht="52.8" hidden="1" x14ac:dyDescent="0.3">
      <c r="A300" s="71" t="str">
        <f>Tabelle1[[#This Row],[Feature
Number]]</f>
        <v>F0276</v>
      </c>
      <c r="B300" s="27" t="s">
        <v>199</v>
      </c>
      <c r="C300" s="27" t="s">
        <v>200</v>
      </c>
      <c r="D300" s="43" t="s">
        <v>482</v>
      </c>
      <c r="E300" s="28" t="s">
        <v>483</v>
      </c>
      <c r="F300" s="29" t="s">
        <v>484</v>
      </c>
      <c r="G300" s="31" t="s">
        <v>73</v>
      </c>
      <c r="H300" s="29"/>
      <c r="I300" s="29"/>
      <c r="J300" s="27"/>
      <c r="K300" s="29" t="s">
        <v>28</v>
      </c>
      <c r="L300" s="29" t="s">
        <v>28</v>
      </c>
      <c r="M300" s="29" t="s">
        <v>28</v>
      </c>
      <c r="O300" s="12" t="s">
        <v>28</v>
      </c>
      <c r="P300" s="27" t="s">
        <v>266</v>
      </c>
      <c r="Q300" s="27" t="s">
        <v>276</v>
      </c>
    </row>
    <row r="301" spans="1:17" ht="39.6" hidden="1" x14ac:dyDescent="0.3">
      <c r="A301" s="71" t="str">
        <f>Tabelle1[[#This Row],[Feature
Number]]</f>
        <v>F0473</v>
      </c>
      <c r="B301" s="27" t="s">
        <v>199</v>
      </c>
      <c r="C301" s="27" t="s">
        <v>200</v>
      </c>
      <c r="D301" s="43" t="s">
        <v>652</v>
      </c>
      <c r="E301" s="28" t="s">
        <v>653</v>
      </c>
      <c r="F301" s="48" t="s">
        <v>654</v>
      </c>
      <c r="G301" s="53" t="s">
        <v>50</v>
      </c>
      <c r="H301" s="29"/>
      <c r="I301" s="29"/>
      <c r="J301" s="27"/>
      <c r="K301" s="29" t="s">
        <v>28</v>
      </c>
      <c r="L301" s="29" t="s">
        <v>28</v>
      </c>
      <c r="M301" s="29" t="s">
        <v>28</v>
      </c>
      <c r="O301" s="12" t="s">
        <v>28</v>
      </c>
      <c r="P301" s="27" t="s">
        <v>266</v>
      </c>
      <c r="Q301" s="27" t="s">
        <v>276</v>
      </c>
    </row>
    <row r="302" spans="1:17" ht="39.6" hidden="1" x14ac:dyDescent="0.3">
      <c r="A302" s="71" t="str">
        <f>Tabelle1[[#This Row],[Feature
Number]]</f>
        <v>F0395</v>
      </c>
      <c r="B302" s="27" t="s">
        <v>199</v>
      </c>
      <c r="C302" s="27" t="s">
        <v>200</v>
      </c>
      <c r="D302" s="43" t="s">
        <v>592</v>
      </c>
      <c r="E302" s="28" t="s">
        <v>593</v>
      </c>
      <c r="F302" s="48" t="s">
        <v>594</v>
      </c>
      <c r="G302" s="53" t="s">
        <v>50</v>
      </c>
      <c r="H302" s="29"/>
      <c r="I302" s="29"/>
      <c r="J302" s="27"/>
      <c r="K302" s="29" t="s">
        <v>28</v>
      </c>
      <c r="L302" s="29" t="s">
        <v>28</v>
      </c>
      <c r="M302" s="29" t="s">
        <v>28</v>
      </c>
      <c r="O302" s="12" t="s">
        <v>28</v>
      </c>
      <c r="P302" s="27" t="s">
        <v>266</v>
      </c>
      <c r="Q302" s="27" t="s">
        <v>276</v>
      </c>
    </row>
    <row r="303" spans="1:17" ht="26.4" hidden="1" x14ac:dyDescent="0.3">
      <c r="A303" s="71" t="str">
        <f>Tabelle1[[#This Row],[Feature
Number]]</f>
        <v>F0526</v>
      </c>
      <c r="B303" s="27" t="s">
        <v>199</v>
      </c>
      <c r="C303" s="27" t="s">
        <v>200</v>
      </c>
      <c r="D303" s="43" t="s">
        <v>681</v>
      </c>
      <c r="E303" s="28" t="s">
        <v>682</v>
      </c>
      <c r="F303" s="48" t="s">
        <v>683</v>
      </c>
      <c r="G303" s="53" t="s">
        <v>73</v>
      </c>
      <c r="H303" s="29"/>
      <c r="I303" s="29"/>
      <c r="J303" s="27"/>
      <c r="K303" s="29" t="s">
        <v>28</v>
      </c>
      <c r="L303" s="29" t="s">
        <v>28</v>
      </c>
      <c r="M303" s="29" t="s">
        <v>28</v>
      </c>
      <c r="O303" s="12" t="s">
        <v>28</v>
      </c>
      <c r="P303" s="27" t="s">
        <v>63</v>
      </c>
      <c r="Q303" s="27" t="s">
        <v>64</v>
      </c>
    </row>
    <row r="304" spans="1:17" ht="184.8" hidden="1" x14ac:dyDescent="0.3">
      <c r="A304" s="71" t="str">
        <f>Tabelle1[[#This Row],[Feature
Number]]</f>
        <v>F0475</v>
      </c>
      <c r="B304" s="27" t="s">
        <v>199</v>
      </c>
      <c r="C304" s="27" t="s">
        <v>200</v>
      </c>
      <c r="D304" s="43" t="s">
        <v>658</v>
      </c>
      <c r="E304" s="28" t="s">
        <v>659</v>
      </c>
      <c r="F304" s="48" t="s">
        <v>660</v>
      </c>
      <c r="G304" s="53" t="s">
        <v>661</v>
      </c>
      <c r="H304" s="29"/>
      <c r="I304" s="29"/>
      <c r="J304" s="27"/>
      <c r="K304" s="29" t="s">
        <v>28</v>
      </c>
      <c r="L304" s="29" t="s">
        <v>28</v>
      </c>
      <c r="M304" s="29" t="s">
        <v>28</v>
      </c>
      <c r="O304" s="12" t="s">
        <v>28</v>
      </c>
      <c r="P304" s="27" t="s">
        <v>63</v>
      </c>
      <c r="Q304" s="27" t="s">
        <v>64</v>
      </c>
    </row>
    <row r="305" spans="1:17" hidden="1" x14ac:dyDescent="0.3">
      <c r="A305" s="71" t="str">
        <f>Tabelle1[[#This Row],[Feature
Number]]</f>
        <v>F1018</v>
      </c>
      <c r="B305" s="27" t="s">
        <v>199</v>
      </c>
      <c r="C305" s="27" t="s">
        <v>200</v>
      </c>
      <c r="D305" s="43" t="s">
        <v>1125</v>
      </c>
      <c r="E305" s="28" t="s">
        <v>1126</v>
      </c>
      <c r="F305" s="49" t="s">
        <v>1127</v>
      </c>
      <c r="G305" s="57" t="s">
        <v>73</v>
      </c>
      <c r="H305" s="29"/>
      <c r="I305" s="29"/>
      <c r="J305" s="27"/>
      <c r="K305" s="29" t="s">
        <v>28</v>
      </c>
      <c r="L305" s="29" t="s">
        <v>28</v>
      </c>
      <c r="M305" s="29" t="s">
        <v>28</v>
      </c>
      <c r="O305" s="12" t="s">
        <v>28</v>
      </c>
      <c r="P305" s="27" t="s">
        <v>63</v>
      </c>
      <c r="Q305" s="27" t="s">
        <v>64</v>
      </c>
    </row>
    <row r="306" spans="1:17" ht="26.4" hidden="1" x14ac:dyDescent="0.3">
      <c r="A306" s="71" t="str">
        <f>Tabelle1[[#This Row],[Feature
Number]]</f>
        <v>F0352</v>
      </c>
      <c r="B306" s="27" t="s">
        <v>199</v>
      </c>
      <c r="C306" s="27" t="s">
        <v>200</v>
      </c>
      <c r="D306" s="43" t="s">
        <v>550</v>
      </c>
      <c r="E306" s="28" t="s">
        <v>551</v>
      </c>
      <c r="F306" s="48" t="s">
        <v>552</v>
      </c>
      <c r="G306" s="55" t="s">
        <v>73</v>
      </c>
      <c r="H306" s="29"/>
      <c r="I306" s="29"/>
      <c r="J306" s="27"/>
      <c r="K306" s="29" t="s">
        <v>28</v>
      </c>
      <c r="L306" s="29" t="s">
        <v>28</v>
      </c>
      <c r="M306" s="29" t="s">
        <v>28</v>
      </c>
      <c r="O306" s="12" t="s">
        <v>28</v>
      </c>
      <c r="P306" s="27" t="s">
        <v>63</v>
      </c>
      <c r="Q306" s="27" t="s">
        <v>64</v>
      </c>
    </row>
    <row r="307" spans="1:17" ht="26.4" hidden="1" x14ac:dyDescent="0.3">
      <c r="A307" s="71" t="str">
        <f>Tabelle1[[#This Row],[Feature
Number]]</f>
        <v>F0996</v>
      </c>
      <c r="B307" s="27" t="s">
        <v>199</v>
      </c>
      <c r="C307" s="27" t="s">
        <v>200</v>
      </c>
      <c r="D307" s="43" t="s">
        <v>972</v>
      </c>
      <c r="E307" s="28" t="s">
        <v>973</v>
      </c>
      <c r="F307" s="29" t="s">
        <v>974</v>
      </c>
      <c r="G307" s="31" t="s">
        <v>73</v>
      </c>
      <c r="H307" s="29"/>
      <c r="I307" s="29"/>
      <c r="J307" s="27"/>
      <c r="K307" s="29" t="s">
        <v>28</v>
      </c>
      <c r="L307" s="29" t="s">
        <v>28</v>
      </c>
      <c r="M307" s="29" t="s">
        <v>28</v>
      </c>
      <c r="O307" s="12" t="s">
        <v>28</v>
      </c>
      <c r="P307" s="27" t="s">
        <v>318</v>
      </c>
      <c r="Q307" s="27" t="s">
        <v>764</v>
      </c>
    </row>
    <row r="308" spans="1:17" ht="26.4" hidden="1" x14ac:dyDescent="0.3">
      <c r="A308" s="71" t="str">
        <f>Tabelle1[[#This Row],[Feature
Number]]</f>
        <v>F0324</v>
      </c>
      <c r="B308" s="27" t="s">
        <v>199</v>
      </c>
      <c r="C308" s="27" t="s">
        <v>510</v>
      </c>
      <c r="D308" s="43" t="s">
        <v>511</v>
      </c>
      <c r="E308" s="28" t="s">
        <v>512</v>
      </c>
      <c r="F308" s="29" t="s">
        <v>513</v>
      </c>
      <c r="G308" s="31" t="s">
        <v>73</v>
      </c>
      <c r="H308" s="29"/>
      <c r="I308" s="29"/>
      <c r="J308" s="27"/>
      <c r="K308" s="29" t="s">
        <v>28</v>
      </c>
      <c r="L308" s="29" t="s">
        <v>28</v>
      </c>
      <c r="M308" s="29" t="s">
        <v>28</v>
      </c>
      <c r="O308" s="12" t="s">
        <v>28</v>
      </c>
      <c r="P308" s="27" t="s">
        <v>199</v>
      </c>
      <c r="Q308" s="27" t="s">
        <v>485</v>
      </c>
    </row>
    <row r="309" spans="1:17" ht="26.4" hidden="1" x14ac:dyDescent="0.3">
      <c r="A309" s="71" t="str">
        <f>Tabelle1[[#This Row],[Feature
Number]]</f>
        <v>F0265</v>
      </c>
      <c r="B309" s="27" t="s">
        <v>199</v>
      </c>
      <c r="C309" s="27" t="s">
        <v>468</v>
      </c>
      <c r="D309" s="43" t="s">
        <v>469</v>
      </c>
      <c r="E309" s="28" t="s">
        <v>470</v>
      </c>
      <c r="F309" s="29" t="s">
        <v>471</v>
      </c>
      <c r="G309" s="31" t="s">
        <v>73</v>
      </c>
      <c r="H309" s="29"/>
      <c r="I309" s="29"/>
      <c r="J309" s="27"/>
      <c r="K309" s="29" t="s">
        <v>28</v>
      </c>
      <c r="L309" s="29" t="s">
        <v>28</v>
      </c>
      <c r="M309" s="29" t="s">
        <v>28</v>
      </c>
      <c r="O309" s="12" t="s">
        <v>28</v>
      </c>
      <c r="P309" s="27" t="s">
        <v>29</v>
      </c>
      <c r="Q309" s="27" t="s">
        <v>69</v>
      </c>
    </row>
    <row r="310" spans="1:17" ht="26.4" hidden="1" x14ac:dyDescent="0.3">
      <c r="A310" s="71" t="str">
        <f>Tabelle1[[#This Row],[Feature
Number]]</f>
        <v>F1027</v>
      </c>
      <c r="B310" s="27" t="s">
        <v>199</v>
      </c>
      <c r="C310" s="27" t="s">
        <v>485</v>
      </c>
      <c r="D310" s="43" t="s">
        <v>1137</v>
      </c>
      <c r="E310" s="28" t="s">
        <v>1138</v>
      </c>
      <c r="F310" s="29" t="s">
        <v>1139</v>
      </c>
      <c r="G310" s="31" t="s">
        <v>488</v>
      </c>
      <c r="H310" s="29"/>
      <c r="I310" s="29"/>
      <c r="J310" s="27"/>
      <c r="K310" s="29" t="s">
        <v>28</v>
      </c>
      <c r="L310" s="29" t="s">
        <v>28</v>
      </c>
      <c r="M310" s="29" t="s">
        <v>28</v>
      </c>
      <c r="O310" s="12" t="s">
        <v>28</v>
      </c>
      <c r="P310" s="27" t="s">
        <v>199</v>
      </c>
      <c r="Q310" s="27" t="s">
        <v>485</v>
      </c>
    </row>
    <row r="311" spans="1:17" ht="171.6" hidden="1" x14ac:dyDescent="0.3">
      <c r="A311" s="71" t="str">
        <f>Tabelle1[[#This Row],[Feature
Number]]</f>
        <v>F0986</v>
      </c>
      <c r="B311" s="27" t="s">
        <v>199</v>
      </c>
      <c r="C311" s="27" t="s">
        <v>485</v>
      </c>
      <c r="D311" s="43" t="s">
        <v>965</v>
      </c>
      <c r="E311" s="28" t="s">
        <v>966</v>
      </c>
      <c r="F311" s="29" t="s">
        <v>967</v>
      </c>
      <c r="G311" s="31" t="s">
        <v>968</v>
      </c>
      <c r="H311" s="29"/>
      <c r="I311" s="29"/>
      <c r="J311" s="27"/>
      <c r="K311" s="29"/>
      <c r="L311" s="29"/>
      <c r="M311" s="29" t="s">
        <v>28</v>
      </c>
      <c r="O311" s="12" t="s">
        <v>28</v>
      </c>
      <c r="P311" s="27" t="s">
        <v>199</v>
      </c>
      <c r="Q311" s="27" t="s">
        <v>485</v>
      </c>
    </row>
    <row r="312" spans="1:17" ht="184.8" hidden="1" x14ac:dyDescent="0.3">
      <c r="A312" s="71" t="str">
        <f>Tabelle1[[#This Row],[Feature
Number]]</f>
        <v>F0684</v>
      </c>
      <c r="B312" s="27" t="s">
        <v>199</v>
      </c>
      <c r="C312" s="27" t="s">
        <v>485</v>
      </c>
      <c r="D312" s="43" t="s">
        <v>815</v>
      </c>
      <c r="E312" s="28" t="s">
        <v>816</v>
      </c>
      <c r="F312" s="29" t="s">
        <v>817</v>
      </c>
      <c r="G312" s="31" t="s">
        <v>814</v>
      </c>
      <c r="H312" s="29"/>
      <c r="I312" s="29"/>
      <c r="J312" s="27"/>
      <c r="K312" s="29"/>
      <c r="L312" s="29" t="s">
        <v>28</v>
      </c>
      <c r="M312" s="29" t="s">
        <v>28</v>
      </c>
      <c r="O312" s="12" t="s">
        <v>28</v>
      </c>
      <c r="P312" s="27" t="s">
        <v>199</v>
      </c>
      <c r="Q312" s="27" t="s">
        <v>485</v>
      </c>
    </row>
    <row r="313" spans="1:17" ht="184.8" hidden="1" x14ac:dyDescent="0.3">
      <c r="A313" s="71" t="str">
        <f>Tabelle1[[#This Row],[Feature
Number]]</f>
        <v>F0683</v>
      </c>
      <c r="B313" s="27" t="s">
        <v>199</v>
      </c>
      <c r="C313" s="27" t="s">
        <v>485</v>
      </c>
      <c r="D313" s="43" t="s">
        <v>812</v>
      </c>
      <c r="E313" s="28" t="s">
        <v>813</v>
      </c>
      <c r="F313" s="29" t="s">
        <v>814</v>
      </c>
      <c r="G313" s="31" t="s">
        <v>633</v>
      </c>
      <c r="H313" s="29"/>
      <c r="I313" s="29"/>
      <c r="J313" s="27"/>
      <c r="K313" s="29"/>
      <c r="L313" s="29" t="s">
        <v>28</v>
      </c>
      <c r="M313" s="29" t="s">
        <v>28</v>
      </c>
      <c r="O313" s="12" t="s">
        <v>28</v>
      </c>
      <c r="P313" s="27" t="s">
        <v>199</v>
      </c>
      <c r="Q313" s="27" t="s">
        <v>485</v>
      </c>
    </row>
    <row r="314" spans="1:17" ht="132" hidden="1" x14ac:dyDescent="0.3">
      <c r="A314" s="71" t="str">
        <f>Tabelle1[[#This Row],[Feature
Number]]</f>
        <v>F0441</v>
      </c>
      <c r="B314" s="27" t="s">
        <v>199</v>
      </c>
      <c r="C314" s="27" t="s">
        <v>485</v>
      </c>
      <c r="D314" s="43" t="s">
        <v>631</v>
      </c>
      <c r="E314" s="28" t="s">
        <v>632</v>
      </c>
      <c r="F314" s="29" t="s">
        <v>633</v>
      </c>
      <c r="G314" s="31" t="s">
        <v>630</v>
      </c>
      <c r="H314" s="29"/>
      <c r="I314" s="29"/>
      <c r="J314" s="27"/>
      <c r="K314" s="29" t="s">
        <v>28</v>
      </c>
      <c r="L314" s="29" t="s">
        <v>28</v>
      </c>
      <c r="M314" s="29" t="s">
        <v>28</v>
      </c>
      <c r="O314" s="12" t="s">
        <v>28</v>
      </c>
      <c r="P314" s="27" t="s">
        <v>199</v>
      </c>
      <c r="Q314" s="27" t="s">
        <v>485</v>
      </c>
    </row>
    <row r="315" spans="1:17" ht="132" hidden="1" x14ac:dyDescent="0.3">
      <c r="A315" s="71" t="str">
        <f>Tabelle1[[#This Row],[Feature
Number]]</f>
        <v>F0440</v>
      </c>
      <c r="B315" s="27" t="s">
        <v>199</v>
      </c>
      <c r="C315" s="27" t="s">
        <v>485</v>
      </c>
      <c r="D315" s="43" t="s">
        <v>628</v>
      </c>
      <c r="E315" s="28" t="s">
        <v>629</v>
      </c>
      <c r="F315" s="29" t="s">
        <v>630</v>
      </c>
      <c r="G315" s="31" t="s">
        <v>488</v>
      </c>
      <c r="H315" s="29"/>
      <c r="I315" s="29"/>
      <c r="J315" s="27"/>
      <c r="K315" s="29" t="s">
        <v>28</v>
      </c>
      <c r="L315" s="29" t="s">
        <v>28</v>
      </c>
      <c r="M315" s="29" t="s">
        <v>28</v>
      </c>
      <c r="O315" s="12" t="s">
        <v>28</v>
      </c>
      <c r="P315" s="27" t="s">
        <v>199</v>
      </c>
      <c r="Q315" s="27" t="s">
        <v>485</v>
      </c>
    </row>
    <row r="316" spans="1:17" ht="118.8" hidden="1" x14ac:dyDescent="0.3">
      <c r="A316" s="71" t="str">
        <f>Tabelle1[[#This Row],[Feature
Number]]</f>
        <v>F0277</v>
      </c>
      <c r="B316" s="27" t="s">
        <v>199</v>
      </c>
      <c r="C316" s="27" t="s">
        <v>485</v>
      </c>
      <c r="D316" s="43" t="s">
        <v>486</v>
      </c>
      <c r="E316" s="28" t="s">
        <v>487</v>
      </c>
      <c r="F316" s="29" t="s">
        <v>488</v>
      </c>
      <c r="G316" s="31" t="s">
        <v>458</v>
      </c>
      <c r="H316" s="29"/>
      <c r="I316" s="29"/>
      <c r="J316" s="27"/>
      <c r="K316" s="29" t="s">
        <v>28</v>
      </c>
      <c r="L316" s="29" t="s">
        <v>28</v>
      </c>
      <c r="M316" s="29" t="s">
        <v>28</v>
      </c>
      <c r="O316" s="12" t="s">
        <v>28</v>
      </c>
      <c r="P316" s="27" t="s">
        <v>199</v>
      </c>
      <c r="Q316" s="27" t="s">
        <v>485</v>
      </c>
    </row>
    <row r="317" spans="1:17" ht="264" hidden="1" x14ac:dyDescent="0.3">
      <c r="A317" s="71" t="str">
        <f>Tabelle1[[#This Row],[Feature
Number]]</f>
        <v>F0458</v>
      </c>
      <c r="B317" s="27" t="s">
        <v>199</v>
      </c>
      <c r="C317" s="27" t="s">
        <v>485</v>
      </c>
      <c r="D317" s="43" t="s">
        <v>637</v>
      </c>
      <c r="E317" s="28" t="s">
        <v>638</v>
      </c>
      <c r="F317" s="29" t="s">
        <v>639</v>
      </c>
      <c r="G317" s="31" t="s">
        <v>458</v>
      </c>
      <c r="H317" s="29"/>
      <c r="I317" s="29"/>
      <c r="J317" s="27"/>
      <c r="K317" s="29" t="s">
        <v>28</v>
      </c>
      <c r="L317" s="29" t="s">
        <v>28</v>
      </c>
      <c r="M317" s="29" t="s">
        <v>28</v>
      </c>
      <c r="O317" s="12" t="s">
        <v>28</v>
      </c>
      <c r="P317" s="27" t="s">
        <v>199</v>
      </c>
      <c r="Q317" s="27" t="s">
        <v>485</v>
      </c>
    </row>
    <row r="318" spans="1:17" ht="52.8" hidden="1" x14ac:dyDescent="0.3">
      <c r="A318" s="71" t="str">
        <f>Tabelle1[[#This Row],[Feature
Number]]</f>
        <v>F1080</v>
      </c>
      <c r="B318" s="27" t="s">
        <v>199</v>
      </c>
      <c r="C318" s="27" t="s">
        <v>485</v>
      </c>
      <c r="D318" s="43" t="s">
        <v>1152</v>
      </c>
      <c r="E318" s="28" t="s">
        <v>1153</v>
      </c>
      <c r="F318" s="49" t="s">
        <v>1154</v>
      </c>
      <c r="G318" s="53" t="s">
        <v>817</v>
      </c>
      <c r="H318" s="29"/>
      <c r="I318" s="29"/>
      <c r="J318" s="27"/>
      <c r="K318" s="29" t="s">
        <v>28</v>
      </c>
      <c r="L318" s="29" t="s">
        <v>28</v>
      </c>
      <c r="M318" s="29" t="s">
        <v>28</v>
      </c>
      <c r="O318" s="12" t="s">
        <v>28</v>
      </c>
      <c r="P318" s="27" t="s">
        <v>199</v>
      </c>
      <c r="Q318" s="27" t="s">
        <v>485</v>
      </c>
    </row>
    <row r="319" spans="1:17" ht="52.8" hidden="1" x14ac:dyDescent="0.3">
      <c r="A319" s="71" t="str">
        <f>Tabelle1[[#This Row],[Feature
Number]]</f>
        <v>F1024</v>
      </c>
      <c r="B319" s="27" t="s">
        <v>199</v>
      </c>
      <c r="C319" s="27" t="s">
        <v>485</v>
      </c>
      <c r="D319" s="43" t="s">
        <v>1128</v>
      </c>
      <c r="E319" s="28" t="s">
        <v>1129</v>
      </c>
      <c r="F319" s="29" t="s">
        <v>1130</v>
      </c>
      <c r="G319" s="31" t="s">
        <v>488</v>
      </c>
      <c r="H319" s="29"/>
      <c r="I319" s="29" t="s">
        <v>28</v>
      </c>
      <c r="J319" s="27"/>
      <c r="K319" s="29" t="s">
        <v>28</v>
      </c>
      <c r="L319" s="29" t="s">
        <v>28</v>
      </c>
      <c r="M319" s="29" t="s">
        <v>28</v>
      </c>
      <c r="O319" s="12" t="s">
        <v>28</v>
      </c>
      <c r="P319" s="27" t="s">
        <v>318</v>
      </c>
      <c r="Q319" s="27" t="s">
        <v>319</v>
      </c>
    </row>
    <row r="320" spans="1:17" ht="66" hidden="1" x14ac:dyDescent="0.3">
      <c r="A320" s="71" t="str">
        <f>Tabelle1[[#This Row],[Feature
Number]]</f>
        <v>F1028</v>
      </c>
      <c r="B320" s="27" t="s">
        <v>199</v>
      </c>
      <c r="C320" s="27" t="s">
        <v>200</v>
      </c>
      <c r="D320" s="43" t="s">
        <v>1140</v>
      </c>
      <c r="E320" s="28" t="s">
        <v>1141</v>
      </c>
      <c r="F320" s="29" t="s">
        <v>481</v>
      </c>
      <c r="G320" s="31" t="s">
        <v>73</v>
      </c>
      <c r="H320" s="29"/>
      <c r="I320" s="29"/>
      <c r="J320" s="27" t="s">
        <v>1142</v>
      </c>
      <c r="K320" s="29" t="s">
        <v>28</v>
      </c>
      <c r="L320" s="29" t="s">
        <v>28</v>
      </c>
      <c r="M320" s="29" t="s">
        <v>28</v>
      </c>
      <c r="O320" s="12" t="s">
        <v>28</v>
      </c>
      <c r="P320" s="27" t="s">
        <v>318</v>
      </c>
      <c r="Q320" s="27" t="s">
        <v>319</v>
      </c>
    </row>
    <row r="321" spans="1:17" ht="158.4" hidden="1" x14ac:dyDescent="0.3">
      <c r="A321" s="71" t="str">
        <f>Tabelle1[[#This Row],[Feature
Number]]</f>
        <v>F0691</v>
      </c>
      <c r="B321" s="27" t="s">
        <v>199</v>
      </c>
      <c r="C321" s="27" t="s">
        <v>200</v>
      </c>
      <c r="D321" s="43" t="s">
        <v>822</v>
      </c>
      <c r="E321" s="28" t="s">
        <v>823</v>
      </c>
      <c r="F321" s="29" t="s">
        <v>824</v>
      </c>
      <c r="G321" s="31" t="s">
        <v>481</v>
      </c>
      <c r="H321" s="29"/>
      <c r="I321" s="29"/>
      <c r="J321" s="27"/>
      <c r="K321" s="29" t="s">
        <v>28</v>
      </c>
      <c r="L321" s="29" t="s">
        <v>28</v>
      </c>
      <c r="M321" s="29" t="s">
        <v>28</v>
      </c>
      <c r="O321" s="12" t="s">
        <v>28</v>
      </c>
      <c r="P321" s="27" t="s">
        <v>29</v>
      </c>
      <c r="Q321" s="27" t="s">
        <v>82</v>
      </c>
    </row>
    <row r="322" spans="1:17" ht="39.6" hidden="1" x14ac:dyDescent="0.3">
      <c r="A322" s="71" t="str">
        <f>Tabelle1[[#This Row],[Feature
Number]]</f>
        <v>F0692</v>
      </c>
      <c r="B322" s="27" t="s">
        <v>199</v>
      </c>
      <c r="C322" s="27" t="s">
        <v>200</v>
      </c>
      <c r="D322" s="43" t="s">
        <v>825</v>
      </c>
      <c r="E322" s="28" t="s">
        <v>826</v>
      </c>
      <c r="F322" s="29" t="s">
        <v>827</v>
      </c>
      <c r="G322" s="31" t="s">
        <v>481</v>
      </c>
      <c r="H322" s="29"/>
      <c r="I322" s="29"/>
      <c r="J322" s="27"/>
      <c r="K322" s="29" t="s">
        <v>28</v>
      </c>
      <c r="L322" s="29" t="s">
        <v>28</v>
      </c>
      <c r="M322" s="29" t="s">
        <v>28</v>
      </c>
      <c r="O322" s="12" t="s">
        <v>28</v>
      </c>
      <c r="P322" s="38" t="s">
        <v>29</v>
      </c>
      <c r="Q322" s="38" t="s">
        <v>82</v>
      </c>
    </row>
    <row r="323" spans="1:17" ht="79.2" hidden="1" x14ac:dyDescent="0.3">
      <c r="A323" s="71" t="str">
        <f>Tabelle1[[#This Row],[Feature
Number]]</f>
        <v>F0687</v>
      </c>
      <c r="B323" s="27" t="s">
        <v>199</v>
      </c>
      <c r="C323" s="27" t="s">
        <v>200</v>
      </c>
      <c r="D323" s="43" t="s">
        <v>818</v>
      </c>
      <c r="E323" s="28" t="s">
        <v>819</v>
      </c>
      <c r="F323" s="29" t="s">
        <v>820</v>
      </c>
      <c r="G323" s="31" t="s">
        <v>821</v>
      </c>
      <c r="H323" s="29"/>
      <c r="I323" s="29"/>
      <c r="J323" s="27"/>
      <c r="K323" s="29" t="s">
        <v>28</v>
      </c>
      <c r="L323" s="29" t="s">
        <v>28</v>
      </c>
      <c r="M323" s="29" t="s">
        <v>28</v>
      </c>
      <c r="O323" s="12" t="s">
        <v>28</v>
      </c>
      <c r="P323" s="27" t="s">
        <v>29</v>
      </c>
      <c r="Q323" s="27" t="s">
        <v>82</v>
      </c>
    </row>
    <row r="324" spans="1:17" ht="39.6" hidden="1" x14ac:dyDescent="0.3">
      <c r="A324" s="71" t="str">
        <f>Tabelle1[[#This Row],[Feature
Number]]</f>
        <v>F0693</v>
      </c>
      <c r="B324" s="27" t="s">
        <v>199</v>
      </c>
      <c r="C324" s="27" t="s">
        <v>200</v>
      </c>
      <c r="D324" s="43" t="s">
        <v>828</v>
      </c>
      <c r="E324" s="28" t="s">
        <v>829</v>
      </c>
      <c r="F324" s="29" t="s">
        <v>830</v>
      </c>
      <c r="G324" s="31" t="s">
        <v>481</v>
      </c>
      <c r="H324" s="29"/>
      <c r="I324" s="29"/>
      <c r="J324" s="27"/>
      <c r="K324" s="29" t="s">
        <v>28</v>
      </c>
      <c r="L324" s="29" t="s">
        <v>28</v>
      </c>
      <c r="M324" s="29" t="s">
        <v>28</v>
      </c>
      <c r="O324" s="12" t="s">
        <v>28</v>
      </c>
      <c r="P324" s="27" t="s">
        <v>29</v>
      </c>
      <c r="Q324" s="27" t="s">
        <v>82</v>
      </c>
    </row>
    <row r="325" spans="1:17" hidden="1" x14ac:dyDescent="0.3">
      <c r="A325" s="71" t="str">
        <f>Tabelle1[[#This Row],[Feature
Number]]</f>
        <v>F0275</v>
      </c>
      <c r="B325" s="27" t="s">
        <v>199</v>
      </c>
      <c r="C325" s="27" t="s">
        <v>200</v>
      </c>
      <c r="D325" s="43" t="s">
        <v>478</v>
      </c>
      <c r="E325" s="28" t="s">
        <v>479</v>
      </c>
      <c r="F325" s="29" t="s">
        <v>480</v>
      </c>
      <c r="G325" s="31" t="s">
        <v>481</v>
      </c>
      <c r="H325" s="29"/>
      <c r="I325" s="29"/>
      <c r="J325" s="27"/>
      <c r="K325" s="29" t="s">
        <v>28</v>
      </c>
      <c r="L325" s="29" t="s">
        <v>28</v>
      </c>
      <c r="M325" s="29" t="s">
        <v>28</v>
      </c>
      <c r="O325" s="12" t="s">
        <v>28</v>
      </c>
      <c r="P325" s="27" t="s">
        <v>29</v>
      </c>
      <c r="Q325" s="27" t="s">
        <v>82</v>
      </c>
    </row>
    <row r="326" spans="1:17" ht="145.19999999999999" hidden="1" x14ac:dyDescent="0.3">
      <c r="A326" s="71" t="str">
        <f>Tabelle1[[#This Row],[Feature
Number]]</f>
        <v>F1026</v>
      </c>
      <c r="B326" s="27" t="s">
        <v>199</v>
      </c>
      <c r="C326" s="27" t="s">
        <v>200</v>
      </c>
      <c r="D326" s="43" t="s">
        <v>1134</v>
      </c>
      <c r="E326" s="28" t="s">
        <v>1135</v>
      </c>
      <c r="F326" s="29" t="s">
        <v>1136</v>
      </c>
      <c r="G326" s="31" t="s">
        <v>481</v>
      </c>
      <c r="H326" s="29"/>
      <c r="I326" s="29"/>
      <c r="J326" s="27"/>
      <c r="K326" s="29" t="s">
        <v>28</v>
      </c>
      <c r="L326" s="29" t="s">
        <v>28</v>
      </c>
      <c r="M326" s="29" t="s">
        <v>28</v>
      </c>
      <c r="O326" s="12" t="s">
        <v>28</v>
      </c>
      <c r="P326" s="69" t="s">
        <v>29</v>
      </c>
      <c r="Q326" s="69" t="s">
        <v>82</v>
      </c>
    </row>
    <row r="327" spans="1:17" ht="79.2" hidden="1" x14ac:dyDescent="0.3">
      <c r="A327" s="71" t="str">
        <f>Tabelle1[[#This Row],[Feature
Number]]</f>
        <v>F0393</v>
      </c>
      <c r="B327" s="27" t="s">
        <v>57</v>
      </c>
      <c r="C327" s="27" t="s">
        <v>349</v>
      </c>
      <c r="D327" s="43" t="s">
        <v>588</v>
      </c>
      <c r="E327" s="28" t="s">
        <v>589</v>
      </c>
      <c r="F327" s="29" t="s">
        <v>590</v>
      </c>
      <c r="G327" s="31" t="s">
        <v>73</v>
      </c>
      <c r="H327" s="29"/>
      <c r="I327" s="29"/>
      <c r="J327" s="28" t="s">
        <v>591</v>
      </c>
      <c r="K327" s="29" t="s">
        <v>28</v>
      </c>
      <c r="L327" s="29" t="s">
        <v>28</v>
      </c>
      <c r="M327" s="29" t="s">
        <v>28</v>
      </c>
      <c r="O327" s="12" t="s">
        <v>28</v>
      </c>
      <c r="P327" s="27" t="s">
        <v>29</v>
      </c>
      <c r="Q327" s="27" t="s">
        <v>82</v>
      </c>
    </row>
    <row r="328" spans="1:17" s="33" customFormat="1" ht="26.4" hidden="1" x14ac:dyDescent="0.3">
      <c r="A328" s="71" t="str">
        <f>Tabelle1[[#This Row],[Feature
Number]]</f>
        <v>F0x70</v>
      </c>
      <c r="B328" s="27" t="s">
        <v>57</v>
      </c>
      <c r="C328" s="27" t="s">
        <v>349</v>
      </c>
      <c r="D328" s="45" t="s">
        <v>8444</v>
      </c>
      <c r="E328" s="40" t="s">
        <v>8445</v>
      </c>
      <c r="F328" s="42" t="s">
        <v>8441</v>
      </c>
      <c r="G328" s="59" t="s">
        <v>73</v>
      </c>
      <c r="H328" s="42"/>
      <c r="I328" s="42"/>
      <c r="J328" s="40"/>
      <c r="K328" s="42" t="s">
        <v>28</v>
      </c>
      <c r="L328" s="42" t="s">
        <v>73</v>
      </c>
      <c r="M328" s="42" t="s">
        <v>73</v>
      </c>
      <c r="N328" s="12"/>
      <c r="O328" s="68" t="s">
        <v>28</v>
      </c>
      <c r="P328" s="27" t="s">
        <v>29</v>
      </c>
      <c r="Q328" s="27" t="s">
        <v>82</v>
      </c>
    </row>
    <row r="329" spans="1:17" s="33" customFormat="1" ht="26.4" hidden="1" x14ac:dyDescent="0.3">
      <c r="A329" s="71" t="str">
        <f>Tabelle1[[#This Row],[Feature
Number]]</f>
        <v>F0x71</v>
      </c>
      <c r="B329" s="39" t="s">
        <v>57</v>
      </c>
      <c r="C329" s="39" t="s">
        <v>349</v>
      </c>
      <c r="D329" s="45" t="s">
        <v>8446</v>
      </c>
      <c r="E329" s="40" t="s">
        <v>8449</v>
      </c>
      <c r="F329" s="42" t="s">
        <v>8442</v>
      </c>
      <c r="G329" s="135"/>
      <c r="H329" s="177"/>
      <c r="I329" s="177"/>
      <c r="J329" s="179"/>
      <c r="K329" s="177" t="s">
        <v>73</v>
      </c>
      <c r="L329" s="177" t="s">
        <v>28</v>
      </c>
      <c r="M329" s="177" t="s">
        <v>73</v>
      </c>
      <c r="N329" s="12"/>
      <c r="O329" s="68" t="s">
        <v>28</v>
      </c>
      <c r="P329" s="70" t="s">
        <v>280</v>
      </c>
      <c r="Q329" s="70" t="s">
        <v>337</v>
      </c>
    </row>
    <row r="330" spans="1:17" s="33" customFormat="1" ht="26.4" hidden="1" x14ac:dyDescent="0.3">
      <c r="A330" s="71" t="str">
        <f>Tabelle1[[#This Row],[Feature
Number]]</f>
        <v>F0x72</v>
      </c>
      <c r="B330" s="39" t="s">
        <v>57</v>
      </c>
      <c r="C330" s="39" t="s">
        <v>349</v>
      </c>
      <c r="D330" s="45" t="s">
        <v>8447</v>
      </c>
      <c r="E330" s="40" t="s">
        <v>8448</v>
      </c>
      <c r="F330" s="42" t="s">
        <v>8443</v>
      </c>
      <c r="G330" s="135"/>
      <c r="H330" s="177"/>
      <c r="I330" s="177"/>
      <c r="J330" s="179"/>
      <c r="K330" s="177" t="s">
        <v>73</v>
      </c>
      <c r="L330" s="177" t="s">
        <v>73</v>
      </c>
      <c r="M330" s="177" t="s">
        <v>28</v>
      </c>
      <c r="N330" s="12"/>
      <c r="O330" s="68" t="s">
        <v>28</v>
      </c>
      <c r="P330" s="39" t="s">
        <v>29</v>
      </c>
      <c r="Q330" s="39" t="s">
        <v>153</v>
      </c>
    </row>
    <row r="331" spans="1:17" s="33" customFormat="1" ht="39.6" hidden="1" x14ac:dyDescent="0.3">
      <c r="A331" s="71" t="str">
        <f>Tabelle1[[#This Row],[Feature
Number]]</f>
        <v>F0615</v>
      </c>
      <c r="B331" s="39" t="s">
        <v>57</v>
      </c>
      <c r="C331" s="39" t="s">
        <v>349</v>
      </c>
      <c r="D331" s="45" t="s">
        <v>742</v>
      </c>
      <c r="E331" s="40" t="s">
        <v>743</v>
      </c>
      <c r="F331" s="42" t="s">
        <v>353</v>
      </c>
      <c r="G331" s="59" t="s">
        <v>590</v>
      </c>
      <c r="H331" s="42"/>
      <c r="I331" s="42"/>
      <c r="J331" s="39"/>
      <c r="K331" s="42" t="s">
        <v>28</v>
      </c>
      <c r="L331" s="42" t="s">
        <v>28</v>
      </c>
      <c r="M331" s="42" t="s">
        <v>28</v>
      </c>
      <c r="N331" s="12"/>
      <c r="O331" s="68" t="s">
        <v>28</v>
      </c>
      <c r="P331" s="70" t="s">
        <v>256</v>
      </c>
      <c r="Q331" s="70" t="s">
        <v>532</v>
      </c>
    </row>
    <row r="332" spans="1:17" s="33" customFormat="1" ht="52.8" hidden="1" x14ac:dyDescent="0.3">
      <c r="A332" s="71" t="str">
        <f>Tabelle1[[#This Row],[Feature
Number]]</f>
        <v>F0553</v>
      </c>
      <c r="B332" s="39" t="s">
        <v>57</v>
      </c>
      <c r="C332" s="39" t="s">
        <v>349</v>
      </c>
      <c r="D332" s="45" t="s">
        <v>700</v>
      </c>
      <c r="E332" s="40" t="s">
        <v>701</v>
      </c>
      <c r="F332" s="42" t="s">
        <v>454</v>
      </c>
      <c r="G332" s="59" t="s">
        <v>590</v>
      </c>
      <c r="H332" s="42"/>
      <c r="I332" s="42"/>
      <c r="J332" s="39"/>
      <c r="K332" s="42" t="s">
        <v>28</v>
      </c>
      <c r="L332" s="42" t="s">
        <v>28</v>
      </c>
      <c r="M332" s="42" t="s">
        <v>28</v>
      </c>
      <c r="N332" s="12"/>
      <c r="O332" s="68" t="s">
        <v>28</v>
      </c>
      <c r="P332" s="39" t="s">
        <v>256</v>
      </c>
      <c r="Q332" s="39" t="s">
        <v>532</v>
      </c>
    </row>
    <row r="333" spans="1:17" s="33" customFormat="1" ht="39.6" hidden="1" x14ac:dyDescent="0.3">
      <c r="A333" s="71" t="str">
        <f>Tabelle1[[#This Row],[Feature
Number]]</f>
        <v>F0189</v>
      </c>
      <c r="B333" s="39" t="s">
        <v>57</v>
      </c>
      <c r="C333" s="39" t="s">
        <v>349</v>
      </c>
      <c r="D333" s="45" t="s">
        <v>350</v>
      </c>
      <c r="E333" s="40" t="s">
        <v>351</v>
      </c>
      <c r="F333" s="42" t="s">
        <v>352</v>
      </c>
      <c r="G333" s="59" t="s">
        <v>353</v>
      </c>
      <c r="H333" s="42"/>
      <c r="I333" s="42"/>
      <c r="J333" s="39"/>
      <c r="K333" s="42" t="s">
        <v>28</v>
      </c>
      <c r="L333" s="42" t="s">
        <v>28</v>
      </c>
      <c r="M333" s="42" t="s">
        <v>28</v>
      </c>
      <c r="N333" s="12"/>
      <c r="O333" s="68" t="s">
        <v>28</v>
      </c>
      <c r="P333" s="39" t="s">
        <v>256</v>
      </c>
      <c r="Q333" s="39" t="s">
        <v>532</v>
      </c>
    </row>
    <row r="334" spans="1:17" s="33" customFormat="1" ht="52.8" hidden="1" x14ac:dyDescent="0.3">
      <c r="A334" s="71" t="str">
        <f>Tabelle1[[#This Row],[Feature
Number]]</f>
        <v>F0459</v>
      </c>
      <c r="B334" s="39" t="s">
        <v>57</v>
      </c>
      <c r="C334" s="39" t="s">
        <v>349</v>
      </c>
      <c r="D334" s="45" t="s">
        <v>640</v>
      </c>
      <c r="E334" s="40" t="s">
        <v>641</v>
      </c>
      <c r="F334" s="42" t="s">
        <v>642</v>
      </c>
      <c r="G334" s="59" t="s">
        <v>454</v>
      </c>
      <c r="H334" s="42"/>
      <c r="I334" s="42"/>
      <c r="J334" s="39"/>
      <c r="K334" s="42" t="s">
        <v>28</v>
      </c>
      <c r="L334" s="42" t="s">
        <v>28</v>
      </c>
      <c r="M334" s="42" t="s">
        <v>28</v>
      </c>
      <c r="N334" s="12"/>
      <c r="O334" s="68" t="s">
        <v>28</v>
      </c>
      <c r="P334" s="39" t="s">
        <v>318</v>
      </c>
      <c r="Q334" s="39" t="s">
        <v>362</v>
      </c>
    </row>
    <row r="335" spans="1:17" s="33" customFormat="1" ht="52.8" hidden="1" x14ac:dyDescent="0.3">
      <c r="A335" s="71" t="str">
        <f>Tabelle1[[#This Row],[Feature
Number]]</f>
        <v>F0889</v>
      </c>
      <c r="B335" s="39" t="s">
        <v>57</v>
      </c>
      <c r="C335" s="39" t="s">
        <v>349</v>
      </c>
      <c r="D335" s="45" t="s">
        <v>908</v>
      </c>
      <c r="E335" s="40" t="s">
        <v>909</v>
      </c>
      <c r="F335" s="42" t="s">
        <v>910</v>
      </c>
      <c r="G335" s="59" t="s">
        <v>353</v>
      </c>
      <c r="H335" s="42"/>
      <c r="I335" s="42"/>
      <c r="J335" s="39"/>
      <c r="K335" s="42"/>
      <c r="L335" s="42"/>
      <c r="M335" s="42" t="s">
        <v>28</v>
      </c>
      <c r="N335" s="12"/>
      <c r="O335" s="68" t="s">
        <v>28</v>
      </c>
      <c r="P335" s="39" t="s">
        <v>256</v>
      </c>
      <c r="Q335" s="39" t="s">
        <v>532</v>
      </c>
    </row>
    <row r="336" spans="1:17" s="33" customFormat="1" ht="66" hidden="1" x14ac:dyDescent="0.3">
      <c r="A336" s="71" t="str">
        <f>Tabelle1[[#This Row],[Feature
Number]]</f>
        <v>F0x60</v>
      </c>
      <c r="B336" s="39" t="s">
        <v>57</v>
      </c>
      <c r="C336" s="39" t="s">
        <v>58</v>
      </c>
      <c r="D336" s="45" t="s">
        <v>1677</v>
      </c>
      <c r="E336" s="40" t="s">
        <v>2091</v>
      </c>
      <c r="F336" s="42" t="s">
        <v>2090</v>
      </c>
      <c r="G336" s="59"/>
      <c r="H336" s="42"/>
      <c r="I336" s="42"/>
      <c r="J336" s="39"/>
      <c r="K336" s="42"/>
      <c r="L336" s="42" t="s">
        <v>28</v>
      </c>
      <c r="M336" s="42" t="s">
        <v>28</v>
      </c>
      <c r="N336" s="12"/>
      <c r="O336" s="68" t="s">
        <v>28</v>
      </c>
      <c r="P336" s="39" t="s">
        <v>22</v>
      </c>
      <c r="Q336" s="39" t="s">
        <v>132</v>
      </c>
    </row>
    <row r="337" spans="1:17" s="33" customFormat="1" ht="26.4" hidden="1" x14ac:dyDescent="0.3">
      <c r="A337" s="71" t="str">
        <f>Tabelle1[[#This Row],[Feature
Number]]</f>
        <v>F0x22</v>
      </c>
      <c r="B337" s="44" t="s">
        <v>57</v>
      </c>
      <c r="C337" s="44" t="s">
        <v>58</v>
      </c>
      <c r="D337" s="45" t="s">
        <v>1003</v>
      </c>
      <c r="E337" s="44" t="s">
        <v>1000</v>
      </c>
      <c r="F337" s="46" t="s">
        <v>1004</v>
      </c>
      <c r="G337" s="60" t="s">
        <v>1002</v>
      </c>
      <c r="H337" s="46"/>
      <c r="I337" s="46"/>
      <c r="J337" s="46"/>
      <c r="K337" s="46"/>
      <c r="L337" s="46"/>
      <c r="M337" s="46" t="s">
        <v>28</v>
      </c>
      <c r="N337" s="12"/>
      <c r="O337" s="68" t="s">
        <v>28</v>
      </c>
      <c r="P337" s="39" t="s">
        <v>22</v>
      </c>
      <c r="Q337" s="39" t="s">
        <v>132</v>
      </c>
    </row>
    <row r="338" spans="1:17" s="33" customFormat="1" ht="26.4" hidden="1" x14ac:dyDescent="0.3">
      <c r="A338" s="71" t="str">
        <f>Tabelle1[[#This Row],[Feature
Number]]</f>
        <v>F0x21</v>
      </c>
      <c r="B338" s="44" t="s">
        <v>57</v>
      </c>
      <c r="C338" s="44" t="s">
        <v>58</v>
      </c>
      <c r="D338" s="45" t="s">
        <v>999</v>
      </c>
      <c r="E338" s="44" t="s">
        <v>1000</v>
      </c>
      <c r="F338" s="46" t="s">
        <v>1001</v>
      </c>
      <c r="G338" s="60" t="s">
        <v>1002</v>
      </c>
      <c r="H338" s="46"/>
      <c r="I338" s="46"/>
      <c r="J338" s="46"/>
      <c r="K338" s="46"/>
      <c r="L338" s="46"/>
      <c r="M338" s="46" t="s">
        <v>28</v>
      </c>
      <c r="N338" s="12"/>
      <c r="O338" s="68" t="s">
        <v>28</v>
      </c>
      <c r="P338" s="39" t="s">
        <v>199</v>
      </c>
      <c r="Q338" s="39" t="s">
        <v>200</v>
      </c>
    </row>
    <row r="339" spans="1:17" s="33" customFormat="1" ht="26.4" hidden="1" x14ac:dyDescent="0.3">
      <c r="A339" s="71" t="str">
        <f>Tabelle1[[#This Row],[Feature
Number]]</f>
        <v>F0x23</v>
      </c>
      <c r="B339" s="44" t="s">
        <v>57</v>
      </c>
      <c r="C339" s="44" t="s">
        <v>58</v>
      </c>
      <c r="D339" s="45" t="s">
        <v>1005</v>
      </c>
      <c r="E339" s="44" t="s">
        <v>1000</v>
      </c>
      <c r="F339" s="46" t="s">
        <v>1002</v>
      </c>
      <c r="G339" s="60" t="s">
        <v>73</v>
      </c>
      <c r="H339" s="46"/>
      <c r="I339" s="46"/>
      <c r="J339" s="46"/>
      <c r="K339" s="46"/>
      <c r="L339" s="46"/>
      <c r="M339" s="46" t="s">
        <v>28</v>
      </c>
      <c r="N339" s="12"/>
      <c r="O339" s="68" t="s">
        <v>28</v>
      </c>
      <c r="P339" s="39" t="s">
        <v>199</v>
      </c>
      <c r="Q339" s="39" t="s">
        <v>200</v>
      </c>
    </row>
    <row r="340" spans="1:17" s="33" customFormat="1" ht="39.6" hidden="1" x14ac:dyDescent="0.3">
      <c r="A340" s="71" t="str">
        <f>Tabelle1[[#This Row],[Feature
Number]]</f>
        <v>F1340</v>
      </c>
      <c r="B340" s="39" t="s">
        <v>57</v>
      </c>
      <c r="C340" s="39" t="s">
        <v>349</v>
      </c>
      <c r="D340" s="45" t="s">
        <v>1181</v>
      </c>
      <c r="E340" s="40" t="s">
        <v>1182</v>
      </c>
      <c r="F340" s="42" t="s">
        <v>1183</v>
      </c>
      <c r="G340" s="59" t="s">
        <v>353</v>
      </c>
      <c r="H340" s="42"/>
      <c r="I340" s="42"/>
      <c r="J340" s="39" t="s">
        <v>248</v>
      </c>
      <c r="K340" s="42" t="s">
        <v>28</v>
      </c>
      <c r="L340" s="42" t="s">
        <v>28</v>
      </c>
      <c r="M340" s="42" t="s">
        <v>28</v>
      </c>
      <c r="N340" s="12"/>
      <c r="O340" s="68" t="s">
        <v>28</v>
      </c>
      <c r="P340" s="39" t="s">
        <v>199</v>
      </c>
      <c r="Q340" s="39" t="s">
        <v>200</v>
      </c>
    </row>
    <row r="341" spans="1:17" s="33" customFormat="1" ht="52.8" hidden="1" x14ac:dyDescent="0.3">
      <c r="A341" s="71" t="str">
        <f>Tabelle1[[#This Row],[Feature
Number]]</f>
        <v>F0257</v>
      </c>
      <c r="B341" s="39" t="s">
        <v>57</v>
      </c>
      <c r="C341" s="39" t="s">
        <v>349</v>
      </c>
      <c r="D341" s="45" t="s">
        <v>451</v>
      </c>
      <c r="E341" s="40" t="s">
        <v>452</v>
      </c>
      <c r="F341" s="42" t="s">
        <v>453</v>
      </c>
      <c r="G341" s="59" t="s">
        <v>454</v>
      </c>
      <c r="H341" s="42"/>
      <c r="I341" s="42"/>
      <c r="J341" s="39"/>
      <c r="K341" s="42" t="s">
        <v>28</v>
      </c>
      <c r="L341" s="42" t="s">
        <v>28</v>
      </c>
      <c r="M341" s="42" t="s">
        <v>28</v>
      </c>
      <c r="N341" s="12"/>
      <c r="O341" s="68" t="s">
        <v>28</v>
      </c>
      <c r="P341" s="39" t="s">
        <v>199</v>
      </c>
      <c r="Q341" s="39" t="s">
        <v>200</v>
      </c>
    </row>
    <row r="342" spans="1:17" s="33" customFormat="1" ht="52.8" hidden="1" x14ac:dyDescent="0.3">
      <c r="A342" s="71" t="str">
        <f>Tabelle1[[#This Row],[Feature
Number]]</f>
        <v>F0233</v>
      </c>
      <c r="B342" s="39" t="s">
        <v>57</v>
      </c>
      <c r="C342" s="39" t="s">
        <v>58</v>
      </c>
      <c r="D342" s="45" t="s">
        <v>412</v>
      </c>
      <c r="E342" s="40" t="s">
        <v>413</v>
      </c>
      <c r="F342" s="42" t="s">
        <v>414</v>
      </c>
      <c r="G342" s="59" t="s">
        <v>243</v>
      </c>
      <c r="H342" s="42"/>
      <c r="I342" s="42"/>
      <c r="J342" s="39"/>
      <c r="K342" s="42" t="s">
        <v>28</v>
      </c>
      <c r="L342" s="42" t="s">
        <v>28</v>
      </c>
      <c r="M342" s="42" t="s">
        <v>28</v>
      </c>
      <c r="N342" s="12"/>
      <c r="O342" s="68" t="s">
        <v>28</v>
      </c>
      <c r="P342" s="39" t="s">
        <v>199</v>
      </c>
      <c r="Q342" s="39" t="s">
        <v>200</v>
      </c>
    </row>
    <row r="343" spans="1:17" s="33" customFormat="1" ht="39.6" hidden="1" x14ac:dyDescent="0.3">
      <c r="A343" s="71" t="str">
        <f>Tabelle1[[#This Row],[Feature
Number]]</f>
        <v>F0721</v>
      </c>
      <c r="B343" s="39" t="s">
        <v>57</v>
      </c>
      <c r="C343" s="39" t="s">
        <v>58</v>
      </c>
      <c r="D343" s="45" t="s">
        <v>839</v>
      </c>
      <c r="E343" s="40" t="s">
        <v>840</v>
      </c>
      <c r="F343" s="42" t="s">
        <v>841</v>
      </c>
      <c r="G343" s="59" t="s">
        <v>842</v>
      </c>
      <c r="H343" s="42"/>
      <c r="I343" s="42"/>
      <c r="J343" s="39"/>
      <c r="K343" s="42"/>
      <c r="L343" s="42"/>
      <c r="M343" s="42" t="s">
        <v>28</v>
      </c>
      <c r="N343" s="12"/>
      <c r="O343" s="68" t="s">
        <v>28</v>
      </c>
      <c r="P343" s="39" t="s">
        <v>199</v>
      </c>
      <c r="Q343" s="39" t="s">
        <v>200</v>
      </c>
    </row>
    <row r="344" spans="1:17" s="33" customFormat="1" ht="26.4" hidden="1" x14ac:dyDescent="0.3">
      <c r="A344" s="71" t="str">
        <f>Tabelle1[[#This Row],[Feature
Number]]</f>
        <v>F0722</v>
      </c>
      <c r="B344" s="39" t="s">
        <v>57</v>
      </c>
      <c r="C344" s="39" t="s">
        <v>58</v>
      </c>
      <c r="D344" s="43" t="s">
        <v>843</v>
      </c>
      <c r="E344" s="40" t="s">
        <v>844</v>
      </c>
      <c r="F344" s="42" t="s">
        <v>842</v>
      </c>
      <c r="G344" s="59" t="s">
        <v>61</v>
      </c>
      <c r="H344" s="42"/>
      <c r="I344" s="42"/>
      <c r="J344" s="39"/>
      <c r="K344" s="42" t="s">
        <v>28</v>
      </c>
      <c r="L344" s="42" t="s">
        <v>28</v>
      </c>
      <c r="M344" s="42" t="s">
        <v>28</v>
      </c>
      <c r="N344" s="12"/>
      <c r="O344" s="68" t="s">
        <v>28</v>
      </c>
      <c r="P344" s="39" t="s">
        <v>199</v>
      </c>
      <c r="Q344" s="39" t="s">
        <v>200</v>
      </c>
    </row>
    <row r="345" spans="1:17" s="33" customFormat="1" ht="66" hidden="1" x14ac:dyDescent="0.3">
      <c r="A345" s="71" t="str">
        <f>Tabelle1[[#This Row],[Feature
Number]]</f>
        <v>F0x19</v>
      </c>
      <c r="B345" s="44" t="s">
        <v>57</v>
      </c>
      <c r="C345" s="44" t="s">
        <v>58</v>
      </c>
      <c r="D345" s="43" t="s">
        <v>993</v>
      </c>
      <c r="E345" s="44" t="s">
        <v>994</v>
      </c>
      <c r="F345" s="46" t="s">
        <v>995</v>
      </c>
      <c r="G345" s="60" t="s">
        <v>73</v>
      </c>
      <c r="H345" s="46"/>
      <c r="I345" s="46"/>
      <c r="J345" s="46"/>
      <c r="K345" s="46"/>
      <c r="L345" s="46" t="s">
        <v>28</v>
      </c>
      <c r="M345" s="46" t="s">
        <v>28</v>
      </c>
      <c r="N345" s="12"/>
      <c r="O345" s="68" t="s">
        <v>28</v>
      </c>
      <c r="P345" s="70" t="s">
        <v>251</v>
      </c>
      <c r="Q345" s="70" t="s">
        <v>1006</v>
      </c>
    </row>
    <row r="346" spans="1:17" s="33" customFormat="1" ht="26.4" hidden="1" x14ac:dyDescent="0.3">
      <c r="A346" s="71" t="str">
        <f>Tabelle1[[#This Row],[Feature
Number]]</f>
        <v>F0483</v>
      </c>
      <c r="B346" s="44" t="s">
        <v>57</v>
      </c>
      <c r="C346" s="44" t="s">
        <v>58</v>
      </c>
      <c r="D346" s="43" t="s">
        <v>662</v>
      </c>
      <c r="E346" s="44" t="s">
        <v>663</v>
      </c>
      <c r="F346" s="41" t="s">
        <v>664</v>
      </c>
      <c r="G346" s="53" t="s">
        <v>73</v>
      </c>
      <c r="H346" s="46"/>
      <c r="I346" s="178" t="s">
        <v>665</v>
      </c>
      <c r="J346" s="46"/>
      <c r="K346" s="46" t="s">
        <v>28</v>
      </c>
      <c r="L346" s="46"/>
      <c r="M346" s="46"/>
      <c r="N346" s="12"/>
      <c r="O346" s="68" t="s">
        <v>28</v>
      </c>
      <c r="P346" s="39" t="s">
        <v>266</v>
      </c>
      <c r="Q346" s="39" t="s">
        <v>294</v>
      </c>
    </row>
    <row r="347" spans="1:17" s="33" customFormat="1" ht="39.6" hidden="1" x14ac:dyDescent="0.3">
      <c r="A347" s="71" t="str">
        <f>Tabelle1[[#This Row],[Feature
Number]]</f>
        <v>F0x20</v>
      </c>
      <c r="B347" s="44" t="s">
        <v>57</v>
      </c>
      <c r="C347" s="44" t="s">
        <v>58</v>
      </c>
      <c r="D347" s="43" t="s">
        <v>996</v>
      </c>
      <c r="E347" s="44" t="s">
        <v>997</v>
      </c>
      <c r="F347" s="46" t="s">
        <v>998</v>
      </c>
      <c r="G347" s="60" t="s">
        <v>73</v>
      </c>
      <c r="H347" s="46"/>
      <c r="I347" s="46"/>
      <c r="J347" s="46"/>
      <c r="K347" s="46"/>
      <c r="L347" s="46" t="s">
        <v>28</v>
      </c>
      <c r="M347" s="46" t="s">
        <v>28</v>
      </c>
      <c r="N347" s="12"/>
      <c r="O347" s="68" t="s">
        <v>28</v>
      </c>
      <c r="P347" s="70" t="s">
        <v>251</v>
      </c>
      <c r="Q347" s="70" t="s">
        <v>1006</v>
      </c>
    </row>
    <row r="348" spans="1:17" s="33" customFormat="1" ht="26.4" hidden="1" x14ac:dyDescent="0.3">
      <c r="A348" s="71" t="str">
        <f>Tabelle1[[#This Row],[Feature
Number]]</f>
        <v>F0016</v>
      </c>
      <c r="B348" s="39" t="s">
        <v>57</v>
      </c>
      <c r="C348" s="39" t="s">
        <v>58</v>
      </c>
      <c r="D348" s="43" t="s">
        <v>59</v>
      </c>
      <c r="E348" s="40" t="s">
        <v>60</v>
      </c>
      <c r="F348" s="42" t="s">
        <v>61</v>
      </c>
      <c r="G348" s="59" t="s">
        <v>62</v>
      </c>
      <c r="H348" s="42"/>
      <c r="I348" s="42"/>
      <c r="J348" s="39"/>
      <c r="K348" s="42" t="s">
        <v>28</v>
      </c>
      <c r="L348" s="42" t="s">
        <v>28</v>
      </c>
      <c r="M348" s="42" t="s">
        <v>28</v>
      </c>
      <c r="N348" s="12"/>
      <c r="O348" s="68" t="s">
        <v>28</v>
      </c>
      <c r="P348" s="70" t="s">
        <v>256</v>
      </c>
      <c r="Q348" s="70" t="s">
        <v>257</v>
      </c>
    </row>
    <row r="349" spans="1:17" s="33" customFormat="1" ht="39.6" hidden="1" x14ac:dyDescent="0.3">
      <c r="A349" s="71" t="str">
        <f>Tabelle1[[#This Row],[Feature
Number]]</f>
        <v>F0x17</v>
      </c>
      <c r="B349" s="44" t="s">
        <v>57</v>
      </c>
      <c r="C349" s="44" t="s">
        <v>58</v>
      </c>
      <c r="D349" s="43" t="s">
        <v>991</v>
      </c>
      <c r="E349" s="44" t="s">
        <v>992</v>
      </c>
      <c r="F349" s="46" t="s">
        <v>62</v>
      </c>
      <c r="G349" s="60" t="s">
        <v>417</v>
      </c>
      <c r="H349" s="46"/>
      <c r="I349" s="46"/>
      <c r="J349" s="46"/>
      <c r="K349" s="46" t="s">
        <v>28</v>
      </c>
      <c r="L349" s="46" t="s">
        <v>28</v>
      </c>
      <c r="M349" s="46" t="s">
        <v>28</v>
      </c>
      <c r="N349" s="12"/>
      <c r="O349" s="68" t="s">
        <v>28</v>
      </c>
      <c r="P349" s="39" t="s">
        <v>280</v>
      </c>
      <c r="Q349" s="39" t="s">
        <v>505</v>
      </c>
    </row>
    <row r="350" spans="1:17" s="33" customFormat="1" ht="92.4" hidden="1" x14ac:dyDescent="0.3">
      <c r="A350" s="71" t="str">
        <f>Tabelle1[[#This Row],[Feature
Number]]</f>
        <v>F0627</v>
      </c>
      <c r="B350" s="39" t="s">
        <v>57</v>
      </c>
      <c r="C350" s="39" t="s">
        <v>58</v>
      </c>
      <c r="D350" s="45" t="s">
        <v>759</v>
      </c>
      <c r="E350" s="40" t="s">
        <v>760</v>
      </c>
      <c r="F350" s="42" t="s">
        <v>244</v>
      </c>
      <c r="G350" s="59" t="s">
        <v>664</v>
      </c>
      <c r="H350" s="42"/>
      <c r="I350" s="42"/>
      <c r="J350" s="39"/>
      <c r="K350" s="42" t="s">
        <v>28</v>
      </c>
      <c r="L350" s="42" t="s">
        <v>28</v>
      </c>
      <c r="M350" s="42" t="s">
        <v>28</v>
      </c>
      <c r="N350" s="12"/>
      <c r="O350" s="68" t="s">
        <v>28</v>
      </c>
      <c r="P350" s="39" t="s">
        <v>280</v>
      </c>
      <c r="Q350" s="39" t="s">
        <v>505</v>
      </c>
    </row>
    <row r="351" spans="1:17" ht="79.2" hidden="1" x14ac:dyDescent="0.3">
      <c r="A351" s="71" t="str">
        <f>Tabelle1[[#This Row],[Feature
Number]]</f>
        <v>F0116</v>
      </c>
      <c r="B351" s="27" t="s">
        <v>57</v>
      </c>
      <c r="C351" s="27" t="s">
        <v>58</v>
      </c>
      <c r="D351" s="43" t="s">
        <v>241</v>
      </c>
      <c r="E351" s="28" t="s">
        <v>242</v>
      </c>
      <c r="F351" s="29" t="s">
        <v>243</v>
      </c>
      <c r="G351" s="31" t="s">
        <v>244</v>
      </c>
      <c r="H351" s="29"/>
      <c r="I351" s="29"/>
      <c r="J351" s="27"/>
      <c r="K351" s="29" t="s">
        <v>28</v>
      </c>
      <c r="L351" s="29" t="s">
        <v>28</v>
      </c>
      <c r="M351" s="29" t="s">
        <v>28</v>
      </c>
      <c r="P351" s="27" t="s">
        <v>29</v>
      </c>
      <c r="Q351" s="27" t="s">
        <v>69</v>
      </c>
    </row>
    <row r="352" spans="1:17" hidden="1" x14ac:dyDescent="0.3">
      <c r="A352" s="71" t="str">
        <f>Tabelle1[[#This Row],[Feature
Number]]</f>
        <v>F0234</v>
      </c>
      <c r="B352" s="27" t="s">
        <v>57</v>
      </c>
      <c r="C352" s="27" t="s">
        <v>58</v>
      </c>
      <c r="D352" s="43" t="s">
        <v>415</v>
      </c>
      <c r="E352" s="28" t="s">
        <v>416</v>
      </c>
      <c r="F352" s="29" t="s">
        <v>417</v>
      </c>
      <c r="G352" s="31" t="s">
        <v>414</v>
      </c>
      <c r="H352" s="29"/>
      <c r="I352" s="29"/>
      <c r="J352" s="27"/>
      <c r="K352" s="29" t="s">
        <v>28</v>
      </c>
      <c r="L352" s="29" t="s">
        <v>28</v>
      </c>
      <c r="M352" s="29" t="s">
        <v>28</v>
      </c>
      <c r="P352" s="27" t="s">
        <v>29</v>
      </c>
      <c r="Q352" s="27" t="s">
        <v>69</v>
      </c>
    </row>
    <row r="353" spans="1:17" ht="52.8" hidden="1" x14ac:dyDescent="0.3">
      <c r="A353" s="71" t="str">
        <f>Tabelle1[[#This Row],[Feature
Number]]</f>
        <v>F0906</v>
      </c>
      <c r="B353" s="27" t="s">
        <v>57</v>
      </c>
      <c r="C353" s="27" t="s">
        <v>58</v>
      </c>
      <c r="D353" s="43" t="s">
        <v>927</v>
      </c>
      <c r="E353" s="28" t="s">
        <v>928</v>
      </c>
      <c r="F353" s="29" t="s">
        <v>929</v>
      </c>
      <c r="G353" s="31" t="s">
        <v>73</v>
      </c>
      <c r="H353" s="29"/>
      <c r="I353" s="29"/>
      <c r="J353" s="27"/>
      <c r="K353" s="29"/>
      <c r="L353" s="29" t="s">
        <v>28</v>
      </c>
      <c r="M353" s="29" t="s">
        <v>28</v>
      </c>
      <c r="P353" s="27" t="s">
        <v>318</v>
      </c>
      <c r="Q353" s="27" t="s">
        <v>362</v>
      </c>
    </row>
    <row r="354" spans="1:17" ht="39.6" hidden="1" x14ac:dyDescent="0.3">
      <c r="A354" s="71" t="str">
        <f>Tabelle1[[#This Row],[Feature
Number]]</f>
        <v>F0353</v>
      </c>
      <c r="B354" s="27" t="s">
        <v>57</v>
      </c>
      <c r="C354" s="27" t="s">
        <v>58</v>
      </c>
      <c r="D354" s="28" t="s">
        <v>553</v>
      </c>
      <c r="E354" s="28" t="s">
        <v>554</v>
      </c>
      <c r="F354" s="29" t="s">
        <v>555</v>
      </c>
      <c r="G354" s="31" t="s">
        <v>73</v>
      </c>
      <c r="H354" s="29"/>
      <c r="I354" s="29"/>
      <c r="J354" s="27"/>
      <c r="K354" s="29"/>
      <c r="L354" s="29"/>
      <c r="M354" s="29" t="s">
        <v>28</v>
      </c>
      <c r="P354" s="27" t="s">
        <v>280</v>
      </c>
      <c r="Q354" s="27" t="s">
        <v>505</v>
      </c>
    </row>
    <row r="355" spans="1:17" ht="79.2" hidden="1" x14ac:dyDescent="0.3">
      <c r="A355" s="71" t="str">
        <f>Tabelle1[[#This Row],[Feature
Number]]</f>
        <v>F0559</v>
      </c>
      <c r="B355" s="27" t="s">
        <v>318</v>
      </c>
      <c r="C355" s="27" t="s">
        <v>362</v>
      </c>
      <c r="D355" s="28" t="s">
        <v>705</v>
      </c>
      <c r="E355" s="28" t="s">
        <v>706</v>
      </c>
      <c r="F355" s="29" t="s">
        <v>341</v>
      </c>
      <c r="G355" s="31" t="s">
        <v>284</v>
      </c>
      <c r="H355" s="29"/>
      <c r="I355" s="29"/>
      <c r="J355" s="27"/>
      <c r="K355" s="29" t="s">
        <v>28</v>
      </c>
      <c r="L355" s="29" t="s">
        <v>28</v>
      </c>
      <c r="M355" s="29" t="s">
        <v>28</v>
      </c>
      <c r="P355" s="27" t="s">
        <v>280</v>
      </c>
      <c r="Q355" s="27" t="s">
        <v>505</v>
      </c>
    </row>
    <row r="356" spans="1:17" ht="79.2" hidden="1" x14ac:dyDescent="0.3">
      <c r="A356" s="71" t="str">
        <f>Tabelle1[[#This Row],[Feature
Number]]</f>
        <v>F0630</v>
      </c>
      <c r="B356" s="27" t="s">
        <v>318</v>
      </c>
      <c r="C356" s="27" t="s">
        <v>764</v>
      </c>
      <c r="D356" s="28" t="s">
        <v>765</v>
      </c>
      <c r="E356" s="28" t="s">
        <v>766</v>
      </c>
      <c r="F356" s="29" t="s">
        <v>767</v>
      </c>
      <c r="G356" s="31" t="s">
        <v>73</v>
      </c>
      <c r="H356" s="29"/>
      <c r="I356" s="29"/>
      <c r="J356" s="27"/>
      <c r="K356" s="29" t="s">
        <v>28</v>
      </c>
      <c r="L356" s="29" t="s">
        <v>28</v>
      </c>
      <c r="M356" s="29" t="s">
        <v>28</v>
      </c>
      <c r="P356" s="27" t="s">
        <v>77</v>
      </c>
      <c r="Q356" s="27" t="s">
        <v>124</v>
      </c>
    </row>
    <row r="357" spans="1:17" ht="132" hidden="1" x14ac:dyDescent="0.3">
      <c r="A357" s="71" t="str">
        <f>Tabelle1[[#This Row],[Feature
Number]]</f>
        <v>F0640</v>
      </c>
      <c r="B357" s="27" t="s">
        <v>318</v>
      </c>
      <c r="C357" s="27" t="s">
        <v>764</v>
      </c>
      <c r="D357" s="28" t="s">
        <v>771</v>
      </c>
      <c r="E357" s="28" t="s">
        <v>772</v>
      </c>
      <c r="F357" s="48" t="s">
        <v>773</v>
      </c>
      <c r="G357" s="53" t="s">
        <v>767</v>
      </c>
      <c r="H357" s="29"/>
      <c r="I357" s="29" t="s">
        <v>28</v>
      </c>
      <c r="J357" s="27"/>
      <c r="K357" s="29" t="s">
        <v>28</v>
      </c>
      <c r="L357" s="29" t="s">
        <v>28</v>
      </c>
      <c r="M357" s="29" t="s">
        <v>28</v>
      </c>
      <c r="P357" s="47" t="s">
        <v>77</v>
      </c>
      <c r="Q357" s="47" t="s">
        <v>124</v>
      </c>
    </row>
    <row r="358" spans="1:17" ht="39.6" hidden="1" x14ac:dyDescent="0.3">
      <c r="A358" s="71" t="str">
        <f>Tabelle1[[#This Row],[Feature
Number]]</f>
        <v>F2024</v>
      </c>
      <c r="B358" s="39" t="s">
        <v>318</v>
      </c>
      <c r="C358" s="39" t="s">
        <v>764</v>
      </c>
      <c r="D358" s="45" t="s">
        <v>1246</v>
      </c>
      <c r="E358" s="40" t="s">
        <v>1247</v>
      </c>
      <c r="F358" s="42" t="s">
        <v>1248</v>
      </c>
      <c r="G358" s="59" t="s">
        <v>767</v>
      </c>
      <c r="H358" s="42"/>
      <c r="I358" s="42" t="s">
        <v>28</v>
      </c>
      <c r="J358" s="39"/>
      <c r="K358" s="42" t="s">
        <v>28</v>
      </c>
      <c r="L358" s="42" t="s">
        <v>28</v>
      </c>
      <c r="M358" s="42" t="s">
        <v>28</v>
      </c>
      <c r="P358" s="39" t="s">
        <v>77</v>
      </c>
      <c r="Q358" s="39" t="s">
        <v>124</v>
      </c>
    </row>
    <row r="359" spans="1:17" ht="52.8" hidden="1" x14ac:dyDescent="0.3">
      <c r="A359" s="71" t="str">
        <f>Tabelle1[[#This Row],[Feature
Number]]</f>
        <v>F0311</v>
      </c>
      <c r="B359" s="27" t="s">
        <v>318</v>
      </c>
      <c r="C359" s="27" t="s">
        <v>443</v>
      </c>
      <c r="D359" s="28" t="s">
        <v>498</v>
      </c>
      <c r="E359" s="28" t="s">
        <v>499</v>
      </c>
      <c r="F359" s="29" t="s">
        <v>500</v>
      </c>
      <c r="G359" s="31" t="s">
        <v>365</v>
      </c>
      <c r="H359" s="29"/>
      <c r="I359" s="29" t="s">
        <v>28</v>
      </c>
      <c r="J359" s="27"/>
      <c r="K359" s="29" t="s">
        <v>28</v>
      </c>
      <c r="L359" s="29" t="s">
        <v>28</v>
      </c>
      <c r="M359" s="29" t="s">
        <v>28</v>
      </c>
      <c r="P359" s="47" t="s">
        <v>77</v>
      </c>
      <c r="Q359" s="47" t="s">
        <v>124</v>
      </c>
    </row>
    <row r="360" spans="1:17" hidden="1" x14ac:dyDescent="0.3">
      <c r="A360" s="71" t="str">
        <f>Tabelle1[[#This Row],[Feature
Number]]</f>
        <v>F0164</v>
      </c>
      <c r="B360" s="27" t="s">
        <v>318</v>
      </c>
      <c r="C360" s="27" t="s">
        <v>319</v>
      </c>
      <c r="D360" s="28" t="s">
        <v>320</v>
      </c>
      <c r="E360" s="28" t="s">
        <v>321</v>
      </c>
      <c r="F360" s="29" t="s">
        <v>322</v>
      </c>
      <c r="G360" s="31" t="s">
        <v>323</v>
      </c>
      <c r="H360" s="29"/>
      <c r="I360" s="29"/>
      <c r="J360" s="27"/>
      <c r="K360" s="29" t="s">
        <v>28</v>
      </c>
      <c r="L360" s="29" t="s">
        <v>28</v>
      </c>
      <c r="M360" s="29" t="s">
        <v>28</v>
      </c>
      <c r="P360" s="47" t="s">
        <v>251</v>
      </c>
      <c r="Q360" s="47" t="s">
        <v>1006</v>
      </c>
    </row>
    <row r="361" spans="1:17" ht="26.4" hidden="1" x14ac:dyDescent="0.3">
      <c r="A361" s="71" t="str">
        <f>Tabelle1[[#This Row],[Feature
Number]]</f>
        <v>F0792</v>
      </c>
      <c r="B361" s="27" t="s">
        <v>318</v>
      </c>
      <c r="C361" s="27" t="s">
        <v>882</v>
      </c>
      <c r="D361" s="28" t="s">
        <v>883</v>
      </c>
      <c r="E361" s="28" t="s">
        <v>884</v>
      </c>
      <c r="F361" s="29" t="s">
        <v>885</v>
      </c>
      <c r="G361" s="31" t="s">
        <v>73</v>
      </c>
      <c r="H361" s="29"/>
      <c r="I361" s="29" t="s">
        <v>28</v>
      </c>
      <c r="J361" s="27"/>
      <c r="K361" s="29" t="s">
        <v>28</v>
      </c>
      <c r="L361" s="29" t="s">
        <v>28</v>
      </c>
      <c r="M361" s="29" t="s">
        <v>28</v>
      </c>
      <c r="P361" s="38" t="s">
        <v>22</v>
      </c>
      <c r="Q361" s="38" t="s">
        <v>40</v>
      </c>
    </row>
    <row r="362" spans="1:17" ht="105.6" hidden="1" x14ac:dyDescent="0.3">
      <c r="A362" s="71" t="str">
        <f>Tabelle1[[#This Row],[Feature
Number]]</f>
        <v>F0219</v>
      </c>
      <c r="B362" s="27" t="s">
        <v>318</v>
      </c>
      <c r="C362" s="27" t="s">
        <v>371</v>
      </c>
      <c r="D362" s="28" t="s">
        <v>372</v>
      </c>
      <c r="E362" s="28" t="s">
        <v>373</v>
      </c>
      <c r="F362" s="29" t="s">
        <v>374</v>
      </c>
      <c r="G362" s="31" t="s">
        <v>73</v>
      </c>
      <c r="H362" s="29"/>
      <c r="I362" s="29"/>
      <c r="J362" s="27"/>
      <c r="K362" s="29" t="s">
        <v>28</v>
      </c>
      <c r="L362" s="29" t="s">
        <v>28</v>
      </c>
      <c r="M362" s="29" t="s">
        <v>28</v>
      </c>
      <c r="P362" s="27" t="s">
        <v>22</v>
      </c>
      <c r="Q362" s="27" t="s">
        <v>40</v>
      </c>
    </row>
    <row r="363" spans="1:17" hidden="1" x14ac:dyDescent="0.3">
      <c r="A363" s="71" t="str">
        <f>Tabelle1[[#This Row],[Feature
Number]]</f>
        <v>F0618</v>
      </c>
      <c r="B363" s="27" t="s">
        <v>318</v>
      </c>
      <c r="C363" s="27" t="s">
        <v>319</v>
      </c>
      <c r="D363" s="28" t="s">
        <v>744</v>
      </c>
      <c r="E363" s="28" t="s">
        <v>745</v>
      </c>
      <c r="F363" s="29" t="s">
        <v>746</v>
      </c>
      <c r="G363" s="31" t="s">
        <v>323</v>
      </c>
      <c r="H363" s="29"/>
      <c r="I363" s="29"/>
      <c r="J363" s="27"/>
      <c r="K363" s="29" t="s">
        <v>28</v>
      </c>
      <c r="L363" s="29" t="s">
        <v>28</v>
      </c>
      <c r="M363" s="29" t="s">
        <v>28</v>
      </c>
      <c r="P363" s="27" t="s">
        <v>22</v>
      </c>
      <c r="Q363" s="27" t="s">
        <v>40</v>
      </c>
    </row>
    <row r="364" spans="1:17" ht="39.6" hidden="1" x14ac:dyDescent="0.3">
      <c r="A364" s="71" t="str">
        <f>Tabelle1[[#This Row],[Feature
Number]]</f>
        <v>F0205</v>
      </c>
      <c r="B364" s="27" t="s">
        <v>318</v>
      </c>
      <c r="C364" s="27" t="s">
        <v>362</v>
      </c>
      <c r="D364" s="28" t="s">
        <v>363</v>
      </c>
      <c r="E364" s="28" t="s">
        <v>364</v>
      </c>
      <c r="F364" s="29" t="s">
        <v>365</v>
      </c>
      <c r="G364" s="31" t="s">
        <v>284</v>
      </c>
      <c r="H364" s="29"/>
      <c r="I364" s="29"/>
      <c r="J364" s="27"/>
      <c r="K364" s="29" t="s">
        <v>28</v>
      </c>
      <c r="L364" s="29" t="s">
        <v>28</v>
      </c>
      <c r="M364" s="29" t="s">
        <v>28</v>
      </c>
      <c r="P364" s="27" t="s">
        <v>22</v>
      </c>
      <c r="Q364" s="27" t="s">
        <v>40</v>
      </c>
    </row>
    <row r="365" spans="1:17" ht="52.8" hidden="1" x14ac:dyDescent="0.3">
      <c r="A365" s="71" t="str">
        <f>Tabelle1[[#This Row],[Feature
Number]]</f>
        <v>F2016</v>
      </c>
      <c r="B365" s="27" t="s">
        <v>318</v>
      </c>
      <c r="C365" s="27" t="s">
        <v>433</v>
      </c>
      <c r="D365" s="28" t="s">
        <v>1231</v>
      </c>
      <c r="E365" s="28" t="s">
        <v>1232</v>
      </c>
      <c r="F365" s="29" t="s">
        <v>336</v>
      </c>
      <c r="G365" s="31" t="s">
        <v>73</v>
      </c>
      <c r="H365" s="29"/>
      <c r="I365" s="29"/>
      <c r="J365" s="27"/>
      <c r="K365" s="29" t="s">
        <v>28</v>
      </c>
      <c r="L365" s="29" t="s">
        <v>28</v>
      </c>
      <c r="M365" s="29" t="s">
        <v>28</v>
      </c>
      <c r="P365" s="27" t="s">
        <v>22</v>
      </c>
      <c r="Q365" s="27" t="s">
        <v>40</v>
      </c>
    </row>
    <row r="366" spans="1:17" ht="39.6" hidden="1" x14ac:dyDescent="0.3">
      <c r="A366" s="71" t="str">
        <f>Tabelle1[[#This Row],[Feature
Number]]</f>
        <v>F2015</v>
      </c>
      <c r="B366" s="27" t="s">
        <v>318</v>
      </c>
      <c r="C366" s="27" t="s">
        <v>433</v>
      </c>
      <c r="D366" s="28" t="s">
        <v>1228</v>
      </c>
      <c r="E366" s="28" t="s">
        <v>1229</v>
      </c>
      <c r="F366" s="29" t="s">
        <v>1230</v>
      </c>
      <c r="G366" s="31" t="s">
        <v>68</v>
      </c>
      <c r="H366" s="29"/>
      <c r="I366" s="29" t="s">
        <v>28</v>
      </c>
      <c r="J366" s="27"/>
      <c r="K366" s="29" t="s">
        <v>28</v>
      </c>
      <c r="L366" s="29" t="s">
        <v>28</v>
      </c>
      <c r="M366" s="29" t="s">
        <v>28</v>
      </c>
      <c r="P366" s="27" t="s">
        <v>22</v>
      </c>
      <c r="Q366" s="27" t="s">
        <v>40</v>
      </c>
    </row>
    <row r="367" spans="1:17" ht="52.8" hidden="1" x14ac:dyDescent="0.3">
      <c r="A367" s="71" t="str">
        <f>Tabelle1[[#This Row],[Feature
Number]]</f>
        <v>F0248</v>
      </c>
      <c r="B367" s="27" t="s">
        <v>318</v>
      </c>
      <c r="C367" s="27" t="s">
        <v>433</v>
      </c>
      <c r="D367" s="43" t="s">
        <v>434</v>
      </c>
      <c r="E367" s="28" t="s">
        <v>435</v>
      </c>
      <c r="F367" s="29" t="s">
        <v>436</v>
      </c>
      <c r="G367" s="31" t="s">
        <v>73</v>
      </c>
      <c r="H367" s="29"/>
      <c r="I367" s="29"/>
      <c r="J367" s="27"/>
      <c r="K367" s="29" t="s">
        <v>28</v>
      </c>
      <c r="L367" s="29" t="s">
        <v>28</v>
      </c>
      <c r="M367" s="29" t="s">
        <v>28</v>
      </c>
      <c r="P367" s="27" t="s">
        <v>22</v>
      </c>
      <c r="Q367" s="27" t="s">
        <v>40</v>
      </c>
    </row>
    <row r="368" spans="1:17" ht="52.8" hidden="1" x14ac:dyDescent="0.3">
      <c r="A368" s="71" t="str">
        <f>Tabelle1[[#This Row],[Feature
Number]]</f>
        <v>F0898</v>
      </c>
      <c r="B368" s="27" t="s">
        <v>318</v>
      </c>
      <c r="C368" s="27" t="s">
        <v>371</v>
      </c>
      <c r="D368" s="28" t="s">
        <v>918</v>
      </c>
      <c r="E368" s="28" t="s">
        <v>919</v>
      </c>
      <c r="F368" s="29" t="s">
        <v>920</v>
      </c>
      <c r="G368" s="31" t="s">
        <v>710</v>
      </c>
      <c r="H368" s="29"/>
      <c r="I368" s="29"/>
      <c r="J368" s="27"/>
      <c r="K368" s="29" t="s">
        <v>28</v>
      </c>
      <c r="L368" s="29" t="s">
        <v>28</v>
      </c>
      <c r="M368" s="29" t="s">
        <v>28</v>
      </c>
      <c r="P368" s="27" t="s">
        <v>22</v>
      </c>
      <c r="Q368" s="27" t="s">
        <v>40</v>
      </c>
    </row>
    <row r="369" spans="1:17" ht="92.4" hidden="1" x14ac:dyDescent="0.3">
      <c r="A369" s="71" t="str">
        <f>Tabelle1[[#This Row],[Feature
Number]]</f>
        <v>F1106</v>
      </c>
      <c r="B369" s="27" t="s">
        <v>318</v>
      </c>
      <c r="C369" s="27" t="s">
        <v>371</v>
      </c>
      <c r="D369" s="28" t="s">
        <v>1160</v>
      </c>
      <c r="E369" s="28" t="s">
        <v>1161</v>
      </c>
      <c r="F369" s="29" t="s">
        <v>710</v>
      </c>
      <c r="G369" s="31" t="s">
        <v>73</v>
      </c>
      <c r="H369" s="29"/>
      <c r="I369" s="29"/>
      <c r="J369" s="27"/>
      <c r="K369" s="29" t="s">
        <v>28</v>
      </c>
      <c r="L369" s="29" t="s">
        <v>28</v>
      </c>
      <c r="M369" s="29" t="s">
        <v>28</v>
      </c>
      <c r="P369" s="38" t="s">
        <v>22</v>
      </c>
      <c r="Q369" s="38" t="s">
        <v>40</v>
      </c>
    </row>
    <row r="370" spans="1:17" ht="52.8" hidden="1" x14ac:dyDescent="0.3">
      <c r="A370" s="71" t="str">
        <f>Tabelle1[[#This Row],[Feature
Number]]</f>
        <v>F0560</v>
      </c>
      <c r="B370" s="27" t="s">
        <v>318</v>
      </c>
      <c r="C370" s="27" t="s">
        <v>371</v>
      </c>
      <c r="D370" s="28" t="s">
        <v>707</v>
      </c>
      <c r="E370" s="28" t="s">
        <v>708</v>
      </c>
      <c r="F370" s="29" t="s">
        <v>709</v>
      </c>
      <c r="G370" s="31" t="s">
        <v>710</v>
      </c>
      <c r="H370" s="29"/>
      <c r="I370" s="29"/>
      <c r="J370" s="27"/>
      <c r="K370" s="29" t="s">
        <v>28</v>
      </c>
      <c r="L370" s="29" t="s">
        <v>28</v>
      </c>
      <c r="M370" s="29" t="s">
        <v>28</v>
      </c>
      <c r="P370" s="38" t="s">
        <v>22</v>
      </c>
      <c r="Q370" s="38" t="s">
        <v>40</v>
      </c>
    </row>
    <row r="371" spans="1:17" hidden="1" x14ac:dyDescent="0.3">
      <c r="A371" s="71" t="str">
        <f>Tabelle1[[#This Row],[Feature
Number]]</f>
        <v>F0548</v>
      </c>
      <c r="B371" s="27" t="s">
        <v>318</v>
      </c>
      <c r="C371" s="27" t="s">
        <v>319</v>
      </c>
      <c r="D371" s="28" t="s">
        <v>697</v>
      </c>
      <c r="E371" s="28" t="s">
        <v>698</v>
      </c>
      <c r="F371" s="29" t="s">
        <v>699</v>
      </c>
      <c r="G371" s="31" t="s">
        <v>513</v>
      </c>
      <c r="H371" s="29"/>
      <c r="I371" s="29"/>
      <c r="J371" s="27"/>
      <c r="K371" s="29" t="s">
        <v>28</v>
      </c>
      <c r="L371" s="29" t="s">
        <v>28</v>
      </c>
      <c r="M371" s="29" t="s">
        <v>28</v>
      </c>
      <c r="P371" s="27" t="s">
        <v>22</v>
      </c>
      <c r="Q371" s="27" t="s">
        <v>35</v>
      </c>
    </row>
    <row r="372" spans="1:17" ht="39.6" hidden="1" x14ac:dyDescent="0.3">
      <c r="A372" s="71" t="str">
        <f>Tabelle1[[#This Row],[Feature
Number]]</f>
        <v>F0486</v>
      </c>
      <c r="B372" s="27" t="s">
        <v>318</v>
      </c>
      <c r="C372" s="28" t="s">
        <v>319</v>
      </c>
      <c r="D372" s="32" t="s">
        <v>668</v>
      </c>
      <c r="E372" s="32" t="s">
        <v>669</v>
      </c>
      <c r="F372" s="29" t="s">
        <v>670</v>
      </c>
      <c r="G372" s="31" t="s">
        <v>73</v>
      </c>
      <c r="H372" s="29"/>
      <c r="I372" s="29"/>
      <c r="J372" s="27" t="s">
        <v>248</v>
      </c>
      <c r="K372" s="29" t="s">
        <v>28</v>
      </c>
      <c r="L372" s="29" t="s">
        <v>28</v>
      </c>
      <c r="M372" s="29" t="s">
        <v>28</v>
      </c>
      <c r="P372" s="27" t="s">
        <v>22</v>
      </c>
      <c r="Q372" s="27" t="s">
        <v>40</v>
      </c>
    </row>
    <row r="373" spans="1:17" ht="26.4" hidden="1" x14ac:dyDescent="0.3">
      <c r="A373" s="71" t="str">
        <f>Tabelle1[[#This Row],[Feature
Number]]</f>
        <v>F0484</v>
      </c>
      <c r="B373" s="39" t="s">
        <v>318</v>
      </c>
      <c r="C373" s="39" t="s">
        <v>319</v>
      </c>
      <c r="D373" s="40" t="s">
        <v>666</v>
      </c>
      <c r="E373" s="40" t="s">
        <v>667</v>
      </c>
      <c r="F373" s="42" t="s">
        <v>323</v>
      </c>
      <c r="G373" s="59" t="s">
        <v>73</v>
      </c>
      <c r="H373" s="42"/>
      <c r="I373" s="42"/>
      <c r="J373" s="39"/>
      <c r="K373" s="42" t="s">
        <v>28</v>
      </c>
      <c r="L373" s="42" t="s">
        <v>28</v>
      </c>
      <c r="M373" s="42" t="s">
        <v>28</v>
      </c>
      <c r="P373" s="39" t="s">
        <v>22</v>
      </c>
      <c r="Q373" s="39" t="s">
        <v>40</v>
      </c>
    </row>
    <row r="374" spans="1:17" ht="66" hidden="1" x14ac:dyDescent="0.3">
      <c r="A374" s="71" t="str">
        <f>Tabelle1[[#This Row],[Feature
Number]]</f>
        <v>F0972</v>
      </c>
      <c r="B374" s="27" t="s">
        <v>318</v>
      </c>
      <c r="C374" s="27" t="s">
        <v>433</v>
      </c>
      <c r="D374" s="28" t="s">
        <v>955</v>
      </c>
      <c r="E374" s="28" t="s">
        <v>956</v>
      </c>
      <c r="F374" s="29" t="s">
        <v>957</v>
      </c>
      <c r="G374" s="31" t="s">
        <v>73</v>
      </c>
      <c r="H374" s="29"/>
      <c r="I374" s="29"/>
      <c r="J374" s="27" t="s">
        <v>248</v>
      </c>
      <c r="K374" s="29"/>
      <c r="L374" s="29"/>
      <c r="M374" s="29" t="s">
        <v>958</v>
      </c>
      <c r="P374" s="27" t="s">
        <v>22</v>
      </c>
      <c r="Q374" s="27" t="s">
        <v>40</v>
      </c>
    </row>
    <row r="375" spans="1:17" ht="39.6" hidden="1" x14ac:dyDescent="0.3">
      <c r="A375" s="71" t="str">
        <f>Tabelle1[[#This Row],[Feature
Number]]</f>
        <v>F0970</v>
      </c>
      <c r="B375" s="27" t="s">
        <v>318</v>
      </c>
      <c r="C375" s="27" t="s">
        <v>433</v>
      </c>
      <c r="D375" s="28" t="s">
        <v>952</v>
      </c>
      <c r="E375" s="28" t="s">
        <v>953</v>
      </c>
      <c r="F375" s="29" t="s">
        <v>954</v>
      </c>
      <c r="G375" s="31" t="s">
        <v>73</v>
      </c>
      <c r="H375" s="29"/>
      <c r="I375" s="29"/>
      <c r="J375" s="27" t="s">
        <v>248</v>
      </c>
      <c r="K375" s="29"/>
      <c r="L375" s="29"/>
      <c r="M375" s="29" t="s">
        <v>28</v>
      </c>
      <c r="P375" s="27" t="s">
        <v>22</v>
      </c>
      <c r="Q375" s="27" t="s">
        <v>40</v>
      </c>
    </row>
    <row r="376" spans="1:17" ht="52.8" hidden="1" x14ac:dyDescent="0.3">
      <c r="A376" s="71" t="str">
        <f>Tabelle1[[#This Row],[Feature
Number]]</f>
        <v>F0973</v>
      </c>
      <c r="B376" s="27" t="s">
        <v>318</v>
      </c>
      <c r="C376" s="27" t="s">
        <v>433</v>
      </c>
      <c r="D376" s="28" t="s">
        <v>959</v>
      </c>
      <c r="E376" s="28" t="s">
        <v>960</v>
      </c>
      <c r="F376" s="29" t="s">
        <v>961</v>
      </c>
      <c r="G376" s="31" t="s">
        <v>73</v>
      </c>
      <c r="H376" s="29"/>
      <c r="I376" s="29"/>
      <c r="J376" s="27" t="s">
        <v>248</v>
      </c>
      <c r="K376" s="29"/>
      <c r="L376" s="29" t="s">
        <v>28</v>
      </c>
      <c r="M376" s="29"/>
      <c r="P376" s="27" t="s">
        <v>22</v>
      </c>
      <c r="Q376" s="27" t="s">
        <v>40</v>
      </c>
    </row>
    <row r="377" spans="1:17" ht="39.6" hidden="1" x14ac:dyDescent="0.3">
      <c r="A377" s="71" t="str">
        <f>Tabelle1[[#This Row],[Feature
Number]]</f>
        <v>F2012</v>
      </c>
      <c r="B377" s="27" t="s">
        <v>318</v>
      </c>
      <c r="C377" s="27" t="s">
        <v>433</v>
      </c>
      <c r="D377" s="28" t="s">
        <v>1226</v>
      </c>
      <c r="E377" s="28" t="s">
        <v>1227</v>
      </c>
      <c r="F377" s="29" t="s">
        <v>68</v>
      </c>
      <c r="G377" s="31" t="s">
        <v>73</v>
      </c>
      <c r="H377" s="29"/>
      <c r="I377" s="29"/>
      <c r="J377" s="27"/>
      <c r="K377" s="29" t="s">
        <v>28</v>
      </c>
      <c r="L377" s="29" t="s">
        <v>28</v>
      </c>
      <c r="M377" s="29"/>
      <c r="P377" s="27" t="s">
        <v>266</v>
      </c>
      <c r="Q377" s="27" t="s">
        <v>267</v>
      </c>
    </row>
    <row r="378" spans="1:17" ht="39.6" hidden="1" x14ac:dyDescent="0.3">
      <c r="A378" s="71" t="str">
        <f>Tabelle1[[#This Row],[Feature
Number]]</f>
        <v>F0629</v>
      </c>
      <c r="B378" s="39" t="s">
        <v>318</v>
      </c>
      <c r="C378" s="39" t="s">
        <v>443</v>
      </c>
      <c r="D378" s="40" t="s">
        <v>761</v>
      </c>
      <c r="E378" s="40" t="s">
        <v>762</v>
      </c>
      <c r="F378" s="42" t="s">
        <v>763</v>
      </c>
      <c r="G378" s="59" t="s">
        <v>481</v>
      </c>
      <c r="H378" s="42"/>
      <c r="I378" s="42"/>
      <c r="J378" s="39"/>
      <c r="K378" s="42" t="s">
        <v>28</v>
      </c>
      <c r="L378" s="42" t="s">
        <v>28</v>
      </c>
      <c r="M378" s="42" t="s">
        <v>28</v>
      </c>
      <c r="P378" s="39" t="s">
        <v>22</v>
      </c>
      <c r="Q378" s="39" t="s">
        <v>23</v>
      </c>
    </row>
    <row r="379" spans="1:17" ht="79.2" hidden="1" x14ac:dyDescent="0.3">
      <c r="A379" s="71" t="str">
        <f>Tabelle1[[#This Row],[Feature
Number]]</f>
        <v>F0310</v>
      </c>
      <c r="B379" s="27" t="s">
        <v>318</v>
      </c>
      <c r="C379" s="27" t="s">
        <v>443</v>
      </c>
      <c r="D379" s="28" t="s">
        <v>495</v>
      </c>
      <c r="E379" s="28" t="s">
        <v>496</v>
      </c>
      <c r="F379" s="29" t="s">
        <v>497</v>
      </c>
      <c r="G379" s="31" t="s">
        <v>449</v>
      </c>
      <c r="H379" s="29"/>
      <c r="I379" s="29"/>
      <c r="J379" s="27"/>
      <c r="K379" s="29"/>
      <c r="L379" s="29"/>
      <c r="M379" s="29" t="s">
        <v>28</v>
      </c>
      <c r="P379" s="27" t="s">
        <v>22</v>
      </c>
      <c r="Q379" s="27" t="s">
        <v>132</v>
      </c>
    </row>
    <row r="380" spans="1:17" ht="39.6" hidden="1" x14ac:dyDescent="0.3">
      <c r="A380" s="71" t="str">
        <f>Tabelle1[[#This Row],[Feature
Number]]</f>
        <v>F0252</v>
      </c>
      <c r="B380" s="39" t="s">
        <v>318</v>
      </c>
      <c r="C380" s="39" t="s">
        <v>443</v>
      </c>
      <c r="D380" s="40" t="s">
        <v>444</v>
      </c>
      <c r="E380" s="40" t="s">
        <v>445</v>
      </c>
      <c r="F380" s="42" t="s">
        <v>446</v>
      </c>
      <c r="G380" s="59" t="s">
        <v>73</v>
      </c>
      <c r="H380" s="42"/>
      <c r="I380" s="42"/>
      <c r="J380" s="39"/>
      <c r="K380" s="42" t="s">
        <v>28</v>
      </c>
      <c r="L380" s="42" t="s">
        <v>28</v>
      </c>
      <c r="M380" s="42" t="s">
        <v>28</v>
      </c>
      <c r="P380" s="44" t="s">
        <v>251</v>
      </c>
      <c r="Q380" s="44" t="s">
        <v>311</v>
      </c>
    </row>
    <row r="381" spans="1:17" ht="26.4" hidden="1" x14ac:dyDescent="0.3">
      <c r="A381" s="71" t="str">
        <f>Tabelle1[[#This Row],[Feature
Number]]</f>
        <v>F0253</v>
      </c>
      <c r="B381" s="39" t="s">
        <v>318</v>
      </c>
      <c r="C381" s="39" t="s">
        <v>443</v>
      </c>
      <c r="D381" s="40" t="s">
        <v>447</v>
      </c>
      <c r="E381" s="40" t="s">
        <v>448</v>
      </c>
      <c r="F381" s="42" t="s">
        <v>449</v>
      </c>
      <c r="G381" s="59" t="s">
        <v>450</v>
      </c>
      <c r="H381" s="42"/>
      <c r="I381" s="42"/>
      <c r="J381" s="39"/>
      <c r="K381" s="42" t="s">
        <v>28</v>
      </c>
      <c r="L381" s="42" t="s">
        <v>28</v>
      </c>
      <c r="M381" s="42" t="s">
        <v>28</v>
      </c>
      <c r="P381" s="44" t="s">
        <v>251</v>
      </c>
      <c r="Q381" s="44" t="s">
        <v>311</v>
      </c>
    </row>
    <row r="382" spans="1:17" ht="26.4" hidden="1" x14ac:dyDescent="0.3">
      <c r="A382" s="71" t="str">
        <f>Tabelle1[[#This Row],[Feature
Number]]</f>
        <v>F0x53</v>
      </c>
      <c r="B382" s="172" t="s">
        <v>318</v>
      </c>
      <c r="C382" s="172" t="s">
        <v>433</v>
      </c>
      <c r="D382" s="173" t="s">
        <v>1096</v>
      </c>
      <c r="E382" s="173" t="s">
        <v>1097</v>
      </c>
      <c r="F382" s="174" t="s">
        <v>1098</v>
      </c>
      <c r="G382" s="176" t="s">
        <v>73</v>
      </c>
      <c r="H382" s="174"/>
      <c r="I382" s="174"/>
      <c r="J382" s="172"/>
      <c r="K382" s="180" t="s">
        <v>28</v>
      </c>
      <c r="L382" s="180" t="s">
        <v>28</v>
      </c>
      <c r="M382" s="180" t="s">
        <v>28</v>
      </c>
      <c r="P382" s="44" t="s">
        <v>251</v>
      </c>
      <c r="Q382" s="44" t="s">
        <v>311</v>
      </c>
    </row>
    <row r="383" spans="1:17" ht="26.4" hidden="1" x14ac:dyDescent="0.3">
      <c r="A383" s="71" t="str">
        <f>Tabelle1[[#This Row],[Feature
Number]]</f>
        <v>F1114</v>
      </c>
      <c r="B383" s="27" t="s">
        <v>318</v>
      </c>
      <c r="C383" s="27" t="s">
        <v>764</v>
      </c>
      <c r="D383" s="28" t="s">
        <v>1162</v>
      </c>
      <c r="E383" s="28" t="s">
        <v>1163</v>
      </c>
      <c r="F383" s="49" t="s">
        <v>1164</v>
      </c>
      <c r="G383" s="53" t="s">
        <v>767</v>
      </c>
      <c r="H383" s="29"/>
      <c r="I383" s="29"/>
      <c r="J383" s="27"/>
      <c r="K383" s="29" t="s">
        <v>28</v>
      </c>
      <c r="L383" s="29" t="s">
        <v>28</v>
      </c>
      <c r="M383" s="29" t="s">
        <v>28</v>
      </c>
      <c r="P383" s="27" t="s">
        <v>266</v>
      </c>
      <c r="Q383" s="27" t="s">
        <v>1196</v>
      </c>
    </row>
    <row r="384" spans="1:17" ht="66" hidden="1" x14ac:dyDescent="0.3">
      <c r="A384" s="71" t="e">
        <v>#VALUE!</v>
      </c>
      <c r="B384" s="27" t="s">
        <v>318</v>
      </c>
      <c r="C384" s="27" t="s">
        <v>319</v>
      </c>
      <c r="D384" s="28" t="s">
        <v>426</v>
      </c>
      <c r="E384" s="28" t="s">
        <v>427</v>
      </c>
      <c r="F384" s="29" t="s">
        <v>428</v>
      </c>
      <c r="G384" s="59" t="s">
        <v>323</v>
      </c>
      <c r="H384" s="29"/>
      <c r="I384" s="29"/>
      <c r="J384" s="27"/>
      <c r="K384" s="29"/>
      <c r="L384" s="29" t="s">
        <v>28</v>
      </c>
      <c r="M384" s="29" t="s">
        <v>28</v>
      </c>
      <c r="O384" s="12" t="s">
        <v>28</v>
      </c>
      <c r="P384" s="39" t="s">
        <v>29</v>
      </c>
      <c r="Q384" s="39" t="s">
        <v>30</v>
      </c>
    </row>
    <row r="385" spans="1:17" hidden="1" x14ac:dyDescent="0.3">
      <c r="A385" s="71" t="str">
        <f>Tabelle1[[#This Row],[Feature
Number]]</f>
        <v>F0251</v>
      </c>
      <c r="B385" s="39" t="s">
        <v>318</v>
      </c>
      <c r="C385" s="39" t="s">
        <v>319</v>
      </c>
      <c r="D385" s="40" t="s">
        <v>440</v>
      </c>
      <c r="E385" s="40" t="s">
        <v>441</v>
      </c>
      <c r="F385" s="42" t="s">
        <v>442</v>
      </c>
      <c r="G385" s="59" t="s">
        <v>323</v>
      </c>
      <c r="H385" s="42"/>
      <c r="I385" s="42"/>
      <c r="J385" s="39"/>
      <c r="K385" s="42" t="s">
        <v>28</v>
      </c>
      <c r="L385" s="42" t="s">
        <v>28</v>
      </c>
      <c r="M385" s="42" t="s">
        <v>28</v>
      </c>
      <c r="P385" s="39" t="s">
        <v>266</v>
      </c>
      <c r="Q385" s="39" t="s">
        <v>1196</v>
      </c>
    </row>
    <row r="386" spans="1:17" ht="277.2" hidden="1" x14ac:dyDescent="0.3">
      <c r="A386" s="71"/>
      <c r="B386" s="27" t="s">
        <v>318</v>
      </c>
      <c r="C386" s="27" t="s">
        <v>362</v>
      </c>
      <c r="D386" s="28" t="s">
        <v>715</v>
      </c>
      <c r="E386" s="28" t="s">
        <v>716</v>
      </c>
      <c r="F386" s="29" t="s">
        <v>717</v>
      </c>
      <c r="G386" s="59" t="s">
        <v>73</v>
      </c>
      <c r="H386" s="29"/>
      <c r="I386" s="29"/>
      <c r="J386" s="27"/>
      <c r="K386" s="29" t="s">
        <v>28</v>
      </c>
      <c r="L386" s="29" t="s">
        <v>28</v>
      </c>
      <c r="M386" s="29" t="s">
        <v>28</v>
      </c>
      <c r="P386" s="39"/>
      <c r="Q386" s="39"/>
    </row>
    <row r="387" spans="1:17" ht="39.6" hidden="1" x14ac:dyDescent="0.3">
      <c r="A387" s="71" t="str">
        <f>Tabelle1[[#This Row],[Feature
Number]]</f>
        <v>F0509</v>
      </c>
      <c r="B387" s="27" t="s">
        <v>318</v>
      </c>
      <c r="C387" s="27" t="s">
        <v>362</v>
      </c>
      <c r="D387" s="28" t="s">
        <v>678</v>
      </c>
      <c r="E387" s="28" t="s">
        <v>679</v>
      </c>
      <c r="F387" s="48" t="s">
        <v>680</v>
      </c>
      <c r="G387" s="53" t="s">
        <v>467</v>
      </c>
      <c r="H387" s="29"/>
      <c r="I387" s="29"/>
      <c r="J387" s="27"/>
      <c r="K387" s="29" t="s">
        <v>28</v>
      </c>
      <c r="L387" s="29" t="s">
        <v>28</v>
      </c>
      <c r="M387" s="29" t="s">
        <v>28</v>
      </c>
      <c r="P387" s="27" t="s">
        <v>256</v>
      </c>
      <c r="Q387" s="27" t="s">
        <v>532</v>
      </c>
    </row>
    <row r="394" spans="1:17" x14ac:dyDescent="0.3">
      <c r="E394" s="19" t="s">
        <v>1251</v>
      </c>
    </row>
  </sheetData>
  <mergeCells count="1">
    <mergeCell ref="K4:M5"/>
  </mergeCells>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890"/>
  <sheetViews>
    <sheetView tabSelected="1" zoomScale="70" zoomScaleNormal="70" workbookViewId="0">
      <pane ySplit="9" topLeftCell="A214" activePane="bottomLeft" state="frozen"/>
      <selection pane="bottomLeft" activeCell="A10" sqref="A10"/>
    </sheetView>
  </sheetViews>
  <sheetFormatPr baseColWidth="10" defaultColWidth="11" defaultRowHeight="18" customHeight="1" x14ac:dyDescent="0.25"/>
  <cols>
    <col min="1" max="1" width="7.5" style="85" bestFit="1" customWidth="1"/>
    <col min="2" max="2" width="10.69921875" style="80" customWidth="1"/>
    <col min="3" max="3" width="12.19921875" style="80" customWidth="1"/>
    <col min="4" max="4" width="9" style="83" customWidth="1"/>
    <col min="5" max="5" width="37" style="84" customWidth="1"/>
    <col min="6" max="6" width="4.8984375" style="82" customWidth="1"/>
    <col min="7" max="7" width="9.8984375" style="80" customWidth="1"/>
    <col min="8" max="8" width="14.69921875" style="80" customWidth="1"/>
    <col min="9" max="9" width="30.8984375" style="80" customWidth="1"/>
    <col min="10" max="10" width="8.59765625" style="80" customWidth="1"/>
    <col min="11" max="11" width="12.09765625" style="80" customWidth="1"/>
    <col min="12" max="12" width="39" style="80" customWidth="1"/>
    <col min="13" max="13" width="51.19921875" style="80" customWidth="1"/>
    <col min="14" max="14" width="10.3984375" style="80" customWidth="1"/>
    <col min="15" max="15" width="9.69921875" style="83" customWidth="1"/>
    <col min="16" max="16" width="8" style="83" customWidth="1"/>
    <col min="17" max="17" width="6.5" style="81" customWidth="1"/>
    <col min="18" max="18" width="13.19921875" style="81" customWidth="1"/>
    <col min="19" max="19" width="16.5" style="81" customWidth="1"/>
    <col min="20" max="20" width="9.09765625" style="81" customWidth="1"/>
    <col min="21" max="21" width="11.59765625" style="83" customWidth="1"/>
    <col min="22" max="24" width="11.59765625" style="80" customWidth="1"/>
    <col min="25" max="27" width="11.59765625" style="81" customWidth="1"/>
    <col min="28" max="16384" width="11" style="80"/>
  </cols>
  <sheetData>
    <row r="1" spans="1:27" ht="69" customHeight="1" thickBot="1" x14ac:dyDescent="0.3">
      <c r="A1" s="117" t="s">
        <v>0</v>
      </c>
      <c r="B1" s="88"/>
      <c r="C1" s="88"/>
      <c r="D1" s="108"/>
      <c r="E1" s="86"/>
      <c r="F1" s="87"/>
      <c r="G1" s="88"/>
      <c r="H1" s="88"/>
      <c r="I1" s="88"/>
      <c r="J1" s="89"/>
      <c r="K1" s="89"/>
      <c r="L1" s="89"/>
      <c r="M1" s="89"/>
      <c r="N1" s="89"/>
      <c r="O1" s="90"/>
      <c r="P1" s="91"/>
      <c r="Q1" s="88"/>
      <c r="R1" s="88"/>
      <c r="S1" s="89"/>
      <c r="T1" s="89"/>
      <c r="U1" s="90"/>
      <c r="V1" s="89"/>
      <c r="W1" s="89"/>
      <c r="X1" s="89"/>
      <c r="Y1" s="89"/>
      <c r="Z1" s="89"/>
      <c r="AA1" s="89"/>
    </row>
    <row r="2" spans="1:27" ht="18" customHeight="1" x14ac:dyDescent="0.25">
      <c r="A2" s="189">
        <f>'Revision Record'!A2</f>
        <v>45985</v>
      </c>
      <c r="B2" s="189"/>
      <c r="D2" s="106"/>
      <c r="E2" s="105"/>
      <c r="F2" s="85"/>
      <c r="P2" s="82"/>
    </row>
    <row r="3" spans="1:27" ht="18" customHeight="1" x14ac:dyDescent="0.25">
      <c r="D3" s="109"/>
      <c r="E3" s="92"/>
      <c r="F3" s="85"/>
      <c r="P3" s="82"/>
      <c r="Q3" s="80"/>
      <c r="R3" s="80"/>
      <c r="U3" s="185" t="s">
        <v>8328</v>
      </c>
      <c r="V3" s="101"/>
      <c r="W3" s="102" t="s">
        <v>8316</v>
      </c>
      <c r="X3" s="111" t="s">
        <v>9792</v>
      </c>
      <c r="Y3" s="102"/>
      <c r="Z3" s="102" t="s">
        <v>2120</v>
      </c>
      <c r="AA3" s="113">
        <f>COUNTA(Q:Q)/COUNT(A:A)</f>
        <v>0.60342417889587696</v>
      </c>
    </row>
    <row r="4" spans="1:27" ht="18" customHeight="1" x14ac:dyDescent="0.25">
      <c r="D4" s="109"/>
      <c r="E4" s="92"/>
      <c r="F4" s="85"/>
      <c r="P4" s="82"/>
      <c r="R4" s="80"/>
      <c r="U4" s="186"/>
      <c r="V4" s="103"/>
      <c r="W4" s="104"/>
      <c r="X4" s="112"/>
      <c r="Y4" s="104"/>
      <c r="Z4" s="104" t="s">
        <v>8253</v>
      </c>
      <c r="AA4" s="114">
        <f>COUNTA(P:P)/COUNT(A:A)</f>
        <v>0.91299790356394128</v>
      </c>
    </row>
    <row r="5" spans="1:27" ht="18" customHeight="1" x14ac:dyDescent="0.25">
      <c r="D5" s="109"/>
      <c r="E5" s="92"/>
      <c r="F5" s="85"/>
      <c r="P5" s="82"/>
    </row>
    <row r="6" spans="1:27" ht="18" customHeight="1" x14ac:dyDescent="0.25">
      <c r="A6" s="136" t="s">
        <v>1254</v>
      </c>
      <c r="B6" s="181" t="s">
        <v>1252</v>
      </c>
      <c r="C6" s="182"/>
      <c r="D6" s="182"/>
      <c r="E6" s="182"/>
      <c r="F6" s="183"/>
      <c r="G6" s="194" t="s">
        <v>8329</v>
      </c>
      <c r="H6" s="195"/>
      <c r="I6" s="194" t="s">
        <v>1257</v>
      </c>
      <c r="J6" s="202"/>
      <c r="K6" s="202"/>
      <c r="L6" s="202"/>
      <c r="M6" s="202"/>
      <c r="N6" s="202"/>
      <c r="O6" s="202"/>
      <c r="P6" s="202"/>
      <c r="Q6" s="202"/>
      <c r="R6" s="202"/>
      <c r="S6" s="202"/>
      <c r="T6" s="195"/>
      <c r="U6" s="199" t="s">
        <v>8337</v>
      </c>
      <c r="V6" s="200"/>
      <c r="W6" s="201"/>
      <c r="X6" s="190" t="s">
        <v>9497</v>
      </c>
      <c r="Y6" s="191"/>
      <c r="Z6" s="191"/>
      <c r="AA6" s="191"/>
    </row>
    <row r="7" spans="1:27" ht="18" customHeight="1" x14ac:dyDescent="0.25">
      <c r="A7" s="136" t="s">
        <v>1251</v>
      </c>
      <c r="B7" s="99" t="s">
        <v>12</v>
      </c>
      <c r="C7" s="93" t="s">
        <v>1255</v>
      </c>
      <c r="D7" s="95" t="s">
        <v>1258</v>
      </c>
      <c r="E7" s="96" t="s">
        <v>1259</v>
      </c>
      <c r="F7" s="98" t="s">
        <v>1253</v>
      </c>
      <c r="G7" s="93" t="s">
        <v>12</v>
      </c>
      <c r="H7" s="93" t="s">
        <v>1255</v>
      </c>
      <c r="I7" s="93" t="s">
        <v>1256</v>
      </c>
      <c r="J7" s="94" t="s">
        <v>8330</v>
      </c>
      <c r="K7" s="110" t="s">
        <v>8331</v>
      </c>
      <c r="L7" s="137" t="s">
        <v>3</v>
      </c>
      <c r="M7" s="98" t="s">
        <v>9757</v>
      </c>
      <c r="N7" s="93" t="s">
        <v>1261</v>
      </c>
      <c r="O7" s="93" t="s">
        <v>1262</v>
      </c>
      <c r="P7" s="137" t="s">
        <v>2150</v>
      </c>
      <c r="Q7" s="196" t="s">
        <v>2111</v>
      </c>
      <c r="R7" s="197"/>
      <c r="S7" s="197"/>
      <c r="T7" s="198"/>
      <c r="U7" s="192" t="s">
        <v>2104</v>
      </c>
      <c r="V7" s="193"/>
      <c r="W7" s="193"/>
      <c r="X7" s="95" t="s">
        <v>8338</v>
      </c>
      <c r="Y7" s="95" t="s">
        <v>8339</v>
      </c>
      <c r="Z7" s="95" t="s">
        <v>8339</v>
      </c>
      <c r="AA7" s="100" t="s">
        <v>8338</v>
      </c>
    </row>
    <row r="8" spans="1:27" ht="18" customHeight="1" x14ac:dyDescent="0.25">
      <c r="A8" s="136"/>
      <c r="B8" s="99"/>
      <c r="C8" s="93"/>
      <c r="D8" s="93"/>
      <c r="E8" s="107"/>
      <c r="F8" s="98" t="s">
        <v>1260</v>
      </c>
      <c r="G8" s="93"/>
      <c r="H8" s="93"/>
      <c r="I8" s="93"/>
      <c r="J8" s="93"/>
      <c r="K8" s="93"/>
      <c r="L8" s="137"/>
      <c r="M8" s="93"/>
      <c r="N8" s="93"/>
      <c r="O8" s="93"/>
      <c r="P8" s="137"/>
      <c r="Q8" s="116" t="s">
        <v>2113</v>
      </c>
      <c r="R8" s="116" t="s">
        <v>2114</v>
      </c>
      <c r="S8" s="116" t="s">
        <v>3</v>
      </c>
      <c r="T8" s="116" t="s">
        <v>2128</v>
      </c>
      <c r="U8" s="146" t="s">
        <v>2101</v>
      </c>
      <c r="V8" s="146" t="s">
        <v>2102</v>
      </c>
      <c r="W8" s="145" t="s">
        <v>2103</v>
      </c>
      <c r="X8" s="93" t="s">
        <v>8324</v>
      </c>
      <c r="Y8" s="93" t="s">
        <v>8324</v>
      </c>
      <c r="Z8" s="93" t="s">
        <v>8325</v>
      </c>
      <c r="AA8" s="94" t="s">
        <v>8325</v>
      </c>
    </row>
    <row r="9" spans="1:27" s="97" customFormat="1" ht="14.4" x14ac:dyDescent="0.25">
      <c r="A9" s="139" t="str">
        <f>A6</f>
        <v>Index</v>
      </c>
      <c r="B9" s="138" t="str">
        <f t="shared" ref="B9:H9" si="0">B7</f>
        <v>Domain</v>
      </c>
      <c r="C9" s="138" t="str">
        <f t="shared" si="0"/>
        <v>Sub-Domain</v>
      </c>
      <c r="D9" s="138" t="str">
        <f t="shared" si="0"/>
        <v>Feature ID</v>
      </c>
      <c r="E9" s="138" t="str">
        <f t="shared" si="0"/>
        <v>Feature Name</v>
      </c>
      <c r="F9" s="138" t="str">
        <f>F7</f>
        <v>ASIL</v>
      </c>
      <c r="G9" s="138" t="str">
        <f t="shared" si="0"/>
        <v>Domain</v>
      </c>
      <c r="H9" s="138" t="str">
        <f t="shared" si="0"/>
        <v>Sub-Domain</v>
      </c>
      <c r="I9" s="138" t="str">
        <f>I7</f>
        <v>Function</v>
      </c>
      <c r="J9" s="138" t="str">
        <f>J7</f>
        <v>Variant</v>
      </c>
      <c r="K9" s="138" t="str">
        <f>K7</f>
        <v>Type</v>
      </c>
      <c r="L9" s="140" t="s">
        <v>3</v>
      </c>
      <c r="M9" s="138" t="str">
        <f>M7</f>
        <v>Description + Function</v>
      </c>
      <c r="N9" s="138" t="str">
        <f>N7</f>
        <v>Data Rate</v>
      </c>
      <c r="O9" s="138" t="str">
        <f>O7</f>
        <v>FIT-Rate</v>
      </c>
      <c r="P9" s="140" t="str">
        <f>P7</f>
        <v>Coordinate</v>
      </c>
      <c r="Q9" s="75" t="s">
        <v>2113</v>
      </c>
      <c r="R9" s="75" t="s">
        <v>2114</v>
      </c>
      <c r="S9" s="75" t="s">
        <v>3</v>
      </c>
      <c r="T9" s="75" t="s">
        <v>2128</v>
      </c>
      <c r="U9" s="143" t="str">
        <f>U8</f>
        <v>Low</v>
      </c>
      <c r="V9" s="143" t="str">
        <f>V8</f>
        <v>Mid</v>
      </c>
      <c r="W9" s="147" t="str">
        <f>W8</f>
        <v>High</v>
      </c>
      <c r="X9" s="115" t="s">
        <v>8327</v>
      </c>
      <c r="Y9" s="115" t="s">
        <v>8326</v>
      </c>
      <c r="Z9" s="115" t="s">
        <v>8327</v>
      </c>
      <c r="AA9" s="141" t="s">
        <v>8326</v>
      </c>
    </row>
    <row r="10" spans="1:27" ht="18" customHeight="1" x14ac:dyDescent="0.25">
      <c r="A10" s="159">
        <v>1</v>
      </c>
      <c r="B10" s="157" t="s">
        <v>280</v>
      </c>
      <c r="C10" s="157" t="s">
        <v>328</v>
      </c>
      <c r="D10" s="159" t="s">
        <v>331</v>
      </c>
      <c r="E10" s="157" t="s">
        <v>329</v>
      </c>
      <c r="F10" s="157" t="s">
        <v>1264</v>
      </c>
      <c r="G10" s="157" t="s">
        <v>1265</v>
      </c>
      <c r="H10" s="157" t="s">
        <v>1266</v>
      </c>
      <c r="I10" s="157" t="s">
        <v>1267</v>
      </c>
      <c r="J10" s="157" t="s">
        <v>1268</v>
      </c>
      <c r="K10" s="157" t="s">
        <v>1269</v>
      </c>
      <c r="L10" s="157" t="s">
        <v>1270</v>
      </c>
      <c r="M10" s="157" t="str">
        <f t="shared" ref="M10:M73" si="1">CONCATENATE(L10," - ",I10)</f>
        <v>USB Outlet - Personal Device Charging and Connecting</v>
      </c>
      <c r="N10" s="157"/>
      <c r="O10" s="157"/>
      <c r="P10" s="159" t="s">
        <v>5741</v>
      </c>
      <c r="Q10" s="157" t="s">
        <v>2115</v>
      </c>
      <c r="R10" s="157" t="s">
        <v>8688</v>
      </c>
      <c r="S10" s="157" t="s">
        <v>8689</v>
      </c>
      <c r="T10" s="157"/>
      <c r="U10" s="159" t="s">
        <v>2138</v>
      </c>
      <c r="V10" s="159" t="s">
        <v>2138</v>
      </c>
      <c r="W10" s="159" t="s">
        <v>2138</v>
      </c>
      <c r="X10" s="160">
        <v>1</v>
      </c>
      <c r="Y10" s="160">
        <v>1</v>
      </c>
      <c r="Z10" s="160">
        <v>1</v>
      </c>
      <c r="AA10" s="160">
        <v>1</v>
      </c>
    </row>
    <row r="11" spans="1:27" ht="18" customHeight="1" x14ac:dyDescent="0.25">
      <c r="A11" s="159">
        <v>1</v>
      </c>
      <c r="B11" s="157" t="s">
        <v>280</v>
      </c>
      <c r="C11" s="157" t="s">
        <v>328</v>
      </c>
      <c r="D11" s="159" t="s">
        <v>857</v>
      </c>
      <c r="E11" s="157" t="s">
        <v>855</v>
      </c>
      <c r="F11" s="157" t="s">
        <v>1264</v>
      </c>
      <c r="G11" s="157" t="s">
        <v>1265</v>
      </c>
      <c r="H11" s="157" t="s">
        <v>1266</v>
      </c>
      <c r="I11" s="157" t="s">
        <v>1267</v>
      </c>
      <c r="J11" s="157" t="s">
        <v>1268</v>
      </c>
      <c r="K11" s="157" t="s">
        <v>1269</v>
      </c>
      <c r="L11" s="157" t="s">
        <v>1270</v>
      </c>
      <c r="M11" s="157" t="str">
        <f t="shared" si="1"/>
        <v>USB Outlet - Personal Device Charging and Connecting</v>
      </c>
      <c r="N11" s="157"/>
      <c r="O11" s="157"/>
      <c r="P11" s="159" t="s">
        <v>5741</v>
      </c>
      <c r="Q11" s="157" t="s">
        <v>2115</v>
      </c>
      <c r="R11" s="157" t="s">
        <v>8688</v>
      </c>
      <c r="S11" s="157" t="s">
        <v>8689</v>
      </c>
      <c r="T11" s="157"/>
      <c r="U11" s="159" t="s">
        <v>2138</v>
      </c>
      <c r="V11" s="159" t="s">
        <v>2138</v>
      </c>
      <c r="W11" s="159" t="s">
        <v>2138</v>
      </c>
      <c r="X11" s="160">
        <v>1</v>
      </c>
      <c r="Y11" s="160">
        <v>1</v>
      </c>
      <c r="Z11" s="160">
        <v>1</v>
      </c>
      <c r="AA11" s="160">
        <v>1</v>
      </c>
    </row>
    <row r="12" spans="1:27" ht="18" customHeight="1" x14ac:dyDescent="0.25">
      <c r="A12" s="159">
        <v>1</v>
      </c>
      <c r="B12" s="157" t="s">
        <v>280</v>
      </c>
      <c r="C12" s="157" t="s">
        <v>505</v>
      </c>
      <c r="D12" s="159" t="s">
        <v>508</v>
      </c>
      <c r="E12" s="157" t="s">
        <v>506</v>
      </c>
      <c r="F12" s="157" t="s">
        <v>1264</v>
      </c>
      <c r="G12" s="157" t="s">
        <v>1265</v>
      </c>
      <c r="H12" s="157" t="s">
        <v>1266</v>
      </c>
      <c r="I12" s="157" t="s">
        <v>1267</v>
      </c>
      <c r="J12" s="157" t="s">
        <v>1268</v>
      </c>
      <c r="K12" s="157" t="s">
        <v>1269</v>
      </c>
      <c r="L12" s="157" t="s">
        <v>1270</v>
      </c>
      <c r="M12" s="157" t="str">
        <f t="shared" si="1"/>
        <v>USB Outlet - Personal Device Charging and Connecting</v>
      </c>
      <c r="N12" s="157"/>
      <c r="O12" s="157"/>
      <c r="P12" s="159" t="s">
        <v>5741</v>
      </c>
      <c r="Q12" s="157" t="s">
        <v>2115</v>
      </c>
      <c r="R12" s="157" t="s">
        <v>8688</v>
      </c>
      <c r="S12" s="157" t="s">
        <v>8689</v>
      </c>
      <c r="T12" s="157"/>
      <c r="U12" s="159" t="s">
        <v>2138</v>
      </c>
      <c r="V12" s="159" t="s">
        <v>2138</v>
      </c>
      <c r="W12" s="159" t="s">
        <v>2138</v>
      </c>
      <c r="X12" s="160">
        <v>1</v>
      </c>
      <c r="Y12" s="160">
        <v>1</v>
      </c>
      <c r="Z12" s="160">
        <v>1</v>
      </c>
      <c r="AA12" s="160">
        <v>1</v>
      </c>
    </row>
    <row r="13" spans="1:27" ht="18" customHeight="1" x14ac:dyDescent="0.25">
      <c r="A13" s="159">
        <v>1</v>
      </c>
      <c r="B13" s="157" t="s">
        <v>280</v>
      </c>
      <c r="C13" s="157" t="s">
        <v>505</v>
      </c>
      <c r="D13" s="159" t="s">
        <v>713</v>
      </c>
      <c r="E13" s="157" t="s">
        <v>711</v>
      </c>
      <c r="F13" s="157" t="s">
        <v>1264</v>
      </c>
      <c r="G13" s="157" t="s">
        <v>1265</v>
      </c>
      <c r="H13" s="157" t="s">
        <v>1266</v>
      </c>
      <c r="I13" s="157" t="s">
        <v>1267</v>
      </c>
      <c r="J13" s="157" t="s">
        <v>1268</v>
      </c>
      <c r="K13" s="157" t="s">
        <v>1269</v>
      </c>
      <c r="L13" s="157" t="s">
        <v>1270</v>
      </c>
      <c r="M13" s="157" t="str">
        <f t="shared" si="1"/>
        <v>USB Outlet - Personal Device Charging and Connecting</v>
      </c>
      <c r="N13" s="157"/>
      <c r="O13" s="157"/>
      <c r="P13" s="159" t="s">
        <v>5741</v>
      </c>
      <c r="Q13" s="157" t="s">
        <v>2115</v>
      </c>
      <c r="R13" s="157" t="s">
        <v>8688</v>
      </c>
      <c r="S13" s="157" t="s">
        <v>8689</v>
      </c>
      <c r="T13" s="157"/>
      <c r="U13" s="159" t="s">
        <v>2138</v>
      </c>
      <c r="V13" s="159" t="s">
        <v>2138</v>
      </c>
      <c r="W13" s="159" t="s">
        <v>2138</v>
      </c>
      <c r="X13" s="160">
        <v>1</v>
      </c>
      <c r="Y13" s="160">
        <v>1</v>
      </c>
      <c r="Z13" s="160">
        <v>1</v>
      </c>
      <c r="AA13" s="160">
        <v>1</v>
      </c>
    </row>
    <row r="14" spans="1:27" ht="18" customHeight="1" x14ac:dyDescent="0.25">
      <c r="A14" s="159">
        <v>1</v>
      </c>
      <c r="B14" s="157" t="s">
        <v>318</v>
      </c>
      <c r="C14" s="157" t="s">
        <v>319</v>
      </c>
      <c r="D14" s="159" t="s">
        <v>442</v>
      </c>
      <c r="E14" s="157" t="s">
        <v>440</v>
      </c>
      <c r="F14" s="157" t="s">
        <v>1264</v>
      </c>
      <c r="G14" s="157" t="s">
        <v>1265</v>
      </c>
      <c r="H14" s="157" t="s">
        <v>1266</v>
      </c>
      <c r="I14" s="157" t="s">
        <v>1267</v>
      </c>
      <c r="J14" s="157" t="s">
        <v>1268</v>
      </c>
      <c r="K14" s="157" t="s">
        <v>1269</v>
      </c>
      <c r="L14" s="157" t="s">
        <v>1270</v>
      </c>
      <c r="M14" s="157" t="str">
        <f t="shared" si="1"/>
        <v>USB Outlet - Personal Device Charging and Connecting</v>
      </c>
      <c r="N14" s="157"/>
      <c r="O14" s="157"/>
      <c r="P14" s="159" t="s">
        <v>5741</v>
      </c>
      <c r="Q14" s="157" t="s">
        <v>2115</v>
      </c>
      <c r="R14" s="157" t="s">
        <v>8688</v>
      </c>
      <c r="S14" s="157" t="s">
        <v>8689</v>
      </c>
      <c r="T14" s="157"/>
      <c r="U14" s="159" t="s">
        <v>2138</v>
      </c>
      <c r="V14" s="159" t="s">
        <v>2138</v>
      </c>
      <c r="W14" s="159" t="s">
        <v>2138</v>
      </c>
      <c r="X14" s="160">
        <v>1</v>
      </c>
      <c r="Y14" s="160">
        <v>1</v>
      </c>
      <c r="Z14" s="160">
        <v>1</v>
      </c>
      <c r="AA14" s="160">
        <v>1</v>
      </c>
    </row>
    <row r="15" spans="1:27" ht="18" customHeight="1" x14ac:dyDescent="0.25">
      <c r="A15" s="159">
        <v>8</v>
      </c>
      <c r="B15" s="157" t="s">
        <v>280</v>
      </c>
      <c r="C15" s="157" t="s">
        <v>505</v>
      </c>
      <c r="D15" s="159" t="s">
        <v>713</v>
      </c>
      <c r="E15" s="157" t="s">
        <v>711</v>
      </c>
      <c r="F15" s="157" t="s">
        <v>1264</v>
      </c>
      <c r="G15" s="157" t="s">
        <v>1265</v>
      </c>
      <c r="H15" s="157" t="s">
        <v>1271</v>
      </c>
      <c r="I15" s="157" t="s">
        <v>1272</v>
      </c>
      <c r="J15" s="157" t="s">
        <v>1273</v>
      </c>
      <c r="K15" s="157" t="s">
        <v>1269</v>
      </c>
      <c r="L15" s="157" t="s">
        <v>9498</v>
      </c>
      <c r="M15" s="157" t="str">
        <f t="shared" si="1"/>
        <v>Bluetooth Transceiver - Internal Wireless Digital Data</v>
      </c>
      <c r="N15" s="157"/>
      <c r="O15" s="157"/>
      <c r="P15" s="159" t="s">
        <v>5742</v>
      </c>
      <c r="Q15" s="157"/>
      <c r="R15" s="157"/>
      <c r="S15" s="157"/>
      <c r="T15" s="157"/>
      <c r="U15" s="159" t="s">
        <v>2138</v>
      </c>
      <c r="V15" s="159" t="s">
        <v>2138</v>
      </c>
      <c r="W15" s="159" t="s">
        <v>2138</v>
      </c>
      <c r="X15" s="160">
        <v>1</v>
      </c>
      <c r="Y15" s="160">
        <v>1</v>
      </c>
      <c r="Z15" s="160">
        <v>1</v>
      </c>
      <c r="AA15" s="160">
        <v>1</v>
      </c>
    </row>
    <row r="16" spans="1:27" ht="18" customHeight="1" x14ac:dyDescent="0.25">
      <c r="A16" s="159">
        <v>9</v>
      </c>
      <c r="B16" s="157" t="s">
        <v>318</v>
      </c>
      <c r="C16" s="157" t="s">
        <v>319</v>
      </c>
      <c r="D16" s="159" t="s">
        <v>428</v>
      </c>
      <c r="E16" s="157" t="s">
        <v>426</v>
      </c>
      <c r="F16" s="157" t="s">
        <v>1275</v>
      </c>
      <c r="G16" s="157" t="s">
        <v>1265</v>
      </c>
      <c r="H16" s="157" t="s">
        <v>1271</v>
      </c>
      <c r="I16" s="157" t="s">
        <v>9496</v>
      </c>
      <c r="J16" s="157" t="s">
        <v>1276</v>
      </c>
      <c r="K16" s="157" t="s">
        <v>1269</v>
      </c>
      <c r="L16" s="157" t="s">
        <v>8310</v>
      </c>
      <c r="M16" s="157" t="str">
        <f t="shared" si="1"/>
        <v>Charger for Mobile Devices - Telephone Connection</v>
      </c>
      <c r="N16" s="157"/>
      <c r="O16" s="157"/>
      <c r="P16" s="159" t="s">
        <v>5742</v>
      </c>
      <c r="Q16" s="157" t="s">
        <v>2115</v>
      </c>
      <c r="R16" s="157" t="s">
        <v>8239</v>
      </c>
      <c r="S16" s="157" t="s">
        <v>8604</v>
      </c>
      <c r="T16" s="157"/>
      <c r="U16" s="159" t="s">
        <v>2129</v>
      </c>
      <c r="V16" s="159" t="s">
        <v>2138</v>
      </c>
      <c r="W16" s="159" t="s">
        <v>2138</v>
      </c>
      <c r="X16" s="160">
        <v>1</v>
      </c>
      <c r="Y16" s="160">
        <v>1</v>
      </c>
      <c r="Z16" s="160">
        <v>1</v>
      </c>
      <c r="AA16" s="160">
        <v>1</v>
      </c>
    </row>
    <row r="17" spans="1:27" ht="18" customHeight="1" x14ac:dyDescent="0.25">
      <c r="A17" s="159">
        <v>30</v>
      </c>
      <c r="B17" s="157" t="s">
        <v>29</v>
      </c>
      <c r="C17" s="157" t="s">
        <v>386</v>
      </c>
      <c r="D17" s="159" t="s">
        <v>389</v>
      </c>
      <c r="E17" s="157" t="s">
        <v>387</v>
      </c>
      <c r="F17" s="157"/>
      <c r="G17" s="157" t="s">
        <v>1278</v>
      </c>
      <c r="H17" s="157" t="s">
        <v>1279</v>
      </c>
      <c r="I17" s="157" t="s">
        <v>9541</v>
      </c>
      <c r="J17" s="157" t="s">
        <v>1280</v>
      </c>
      <c r="K17" s="157" t="s">
        <v>1281</v>
      </c>
      <c r="L17" s="157" t="s">
        <v>1282</v>
      </c>
      <c r="M17" s="157" t="str">
        <f t="shared" si="1"/>
        <v>User Selector - Power Window Command Driver Door</v>
      </c>
      <c r="N17" s="157"/>
      <c r="O17" s="157"/>
      <c r="P17" s="159" t="s">
        <v>7939</v>
      </c>
      <c r="Q17" s="157" t="s">
        <v>2115</v>
      </c>
      <c r="R17" s="157" t="s">
        <v>8427</v>
      </c>
      <c r="S17" s="157" t="s">
        <v>8605</v>
      </c>
      <c r="T17" s="157"/>
      <c r="U17" s="159" t="s">
        <v>2138</v>
      </c>
      <c r="V17" s="159" t="s">
        <v>2138</v>
      </c>
      <c r="W17" s="159" t="s">
        <v>2138</v>
      </c>
      <c r="X17" s="160">
        <v>0</v>
      </c>
      <c r="Y17" s="160">
        <v>0</v>
      </c>
      <c r="Z17" s="160">
        <v>1</v>
      </c>
      <c r="AA17" s="160">
        <v>1</v>
      </c>
    </row>
    <row r="18" spans="1:27" ht="18" customHeight="1" x14ac:dyDescent="0.25">
      <c r="A18" s="159">
        <v>30</v>
      </c>
      <c r="B18" s="157" t="s">
        <v>29</v>
      </c>
      <c r="C18" s="157" t="s">
        <v>386</v>
      </c>
      <c r="D18" s="159" t="s">
        <v>390</v>
      </c>
      <c r="E18" s="157" t="s">
        <v>1249</v>
      </c>
      <c r="F18" s="157"/>
      <c r="G18" s="157" t="s">
        <v>1278</v>
      </c>
      <c r="H18" s="157" t="s">
        <v>1279</v>
      </c>
      <c r="I18" s="157" t="s">
        <v>9541</v>
      </c>
      <c r="J18" s="157" t="s">
        <v>1280</v>
      </c>
      <c r="K18" s="157" t="s">
        <v>1281</v>
      </c>
      <c r="L18" s="157" t="s">
        <v>1282</v>
      </c>
      <c r="M18" s="157" t="str">
        <f t="shared" si="1"/>
        <v>User Selector - Power Window Command Driver Door</v>
      </c>
      <c r="N18" s="157"/>
      <c r="O18" s="157"/>
      <c r="P18" s="159" t="s">
        <v>7939</v>
      </c>
      <c r="Q18" s="157" t="s">
        <v>2115</v>
      </c>
      <c r="R18" s="157" t="s">
        <v>8427</v>
      </c>
      <c r="S18" s="157" t="s">
        <v>8605</v>
      </c>
      <c r="T18" s="157"/>
      <c r="U18" s="159" t="s">
        <v>2138</v>
      </c>
      <c r="V18" s="159" t="s">
        <v>2138</v>
      </c>
      <c r="W18" s="159" t="s">
        <v>2138</v>
      </c>
      <c r="X18" s="160">
        <v>0</v>
      </c>
      <c r="Y18" s="160">
        <v>0</v>
      </c>
      <c r="Z18" s="160">
        <v>1</v>
      </c>
      <c r="AA18" s="160">
        <v>1</v>
      </c>
    </row>
    <row r="19" spans="1:27" ht="18" customHeight="1" x14ac:dyDescent="0.25">
      <c r="A19" s="159">
        <v>33</v>
      </c>
      <c r="B19" s="157" t="s">
        <v>77</v>
      </c>
      <c r="C19" s="157" t="s">
        <v>124</v>
      </c>
      <c r="D19" s="159" t="s">
        <v>676</v>
      </c>
      <c r="E19" s="157" t="s">
        <v>674</v>
      </c>
      <c r="F19" s="157" t="s">
        <v>1264</v>
      </c>
      <c r="G19" s="157" t="s">
        <v>1278</v>
      </c>
      <c r="H19" s="157" t="s">
        <v>1283</v>
      </c>
      <c r="I19" s="157" t="s">
        <v>1284</v>
      </c>
      <c r="J19" s="157" t="s">
        <v>1285</v>
      </c>
      <c r="K19" s="157" t="s">
        <v>1269</v>
      </c>
      <c r="L19" s="157" t="s">
        <v>1286</v>
      </c>
      <c r="M19" s="157" t="str">
        <f t="shared" si="1"/>
        <v>LED Lamp - Door Pocket Illumination FL</v>
      </c>
      <c r="N19" s="157"/>
      <c r="O19" s="157"/>
      <c r="P19" s="159" t="s">
        <v>7936</v>
      </c>
      <c r="Q19" s="157" t="s">
        <v>2115</v>
      </c>
      <c r="R19" s="157" t="s">
        <v>8436</v>
      </c>
      <c r="S19" s="157" t="s">
        <v>8606</v>
      </c>
      <c r="T19" s="157"/>
      <c r="U19" s="159" t="s">
        <v>2129</v>
      </c>
      <c r="V19" s="159" t="s">
        <v>2138</v>
      </c>
      <c r="W19" s="159" t="s">
        <v>2138</v>
      </c>
      <c r="X19" s="160">
        <v>0.05</v>
      </c>
      <c r="Y19" s="160">
        <v>0.05</v>
      </c>
      <c r="Z19" s="160">
        <v>1</v>
      </c>
      <c r="AA19" s="160">
        <v>1</v>
      </c>
    </row>
    <row r="20" spans="1:27" ht="18" customHeight="1" x14ac:dyDescent="0.25">
      <c r="A20" s="159">
        <v>34</v>
      </c>
      <c r="B20" s="157" t="s">
        <v>29</v>
      </c>
      <c r="C20" s="157" t="s">
        <v>30</v>
      </c>
      <c r="D20" s="159" t="s">
        <v>863</v>
      </c>
      <c r="E20" s="157" t="s">
        <v>861</v>
      </c>
      <c r="F20" s="157" t="s">
        <v>1264</v>
      </c>
      <c r="G20" s="157" t="s">
        <v>1278</v>
      </c>
      <c r="H20" s="157" t="s">
        <v>1287</v>
      </c>
      <c r="I20" s="157" t="s">
        <v>1288</v>
      </c>
      <c r="J20" s="157" t="s">
        <v>1289</v>
      </c>
      <c r="K20" s="157" t="s">
        <v>1269</v>
      </c>
      <c r="L20" s="157" t="s">
        <v>8432</v>
      </c>
      <c r="M20" s="157" t="str">
        <f t="shared" si="1"/>
        <v>LED Lamp in Door Trim Bottom FL - Puddle Illumination</v>
      </c>
      <c r="N20" s="157"/>
      <c r="O20" s="157"/>
      <c r="P20" s="159" t="s">
        <v>8059</v>
      </c>
      <c r="Q20" s="157" t="s">
        <v>2115</v>
      </c>
      <c r="R20" s="157" t="s">
        <v>8649</v>
      </c>
      <c r="S20" s="157" t="s">
        <v>8650</v>
      </c>
      <c r="T20" s="157"/>
      <c r="U20" s="159" t="s">
        <v>2129</v>
      </c>
      <c r="V20" s="159" t="s">
        <v>2129</v>
      </c>
      <c r="W20" s="159" t="s">
        <v>2138</v>
      </c>
      <c r="X20" s="160">
        <v>0</v>
      </c>
      <c r="Y20" s="160">
        <v>0</v>
      </c>
      <c r="Z20" s="160">
        <v>0</v>
      </c>
      <c r="AA20" s="160">
        <v>0</v>
      </c>
    </row>
    <row r="21" spans="1:27" ht="18" customHeight="1" x14ac:dyDescent="0.25">
      <c r="A21" s="159">
        <v>35</v>
      </c>
      <c r="B21" s="157" t="s">
        <v>29</v>
      </c>
      <c r="C21" s="157" t="s">
        <v>386</v>
      </c>
      <c r="D21" s="159" t="s">
        <v>389</v>
      </c>
      <c r="E21" s="157" t="s">
        <v>387</v>
      </c>
      <c r="F21" s="157" t="s">
        <v>1277</v>
      </c>
      <c r="G21" s="157" t="s">
        <v>1278</v>
      </c>
      <c r="H21" s="157" t="s">
        <v>1279</v>
      </c>
      <c r="I21" s="157" t="s">
        <v>1290</v>
      </c>
      <c r="J21" s="157" t="s">
        <v>1280</v>
      </c>
      <c r="K21" s="157" t="s">
        <v>1269</v>
      </c>
      <c r="L21" s="157" t="s">
        <v>1291</v>
      </c>
      <c r="M21" s="157" t="str">
        <f t="shared" si="1"/>
        <v>Window Motor - Power Window Driver</v>
      </c>
      <c r="N21" s="157"/>
      <c r="O21" s="157"/>
      <c r="P21" s="159" t="s">
        <v>7934</v>
      </c>
      <c r="Q21" s="157" t="s">
        <v>2115</v>
      </c>
      <c r="R21" s="157" t="s">
        <v>8425</v>
      </c>
      <c r="S21" s="157" t="s">
        <v>8607</v>
      </c>
      <c r="T21" s="157"/>
      <c r="U21" s="159" t="s">
        <v>2138</v>
      </c>
      <c r="V21" s="159" t="s">
        <v>2138</v>
      </c>
      <c r="W21" s="159" t="s">
        <v>2138</v>
      </c>
      <c r="X21" s="160">
        <f>4*10/(20*60)</f>
        <v>3.3333333333333333E-2</v>
      </c>
      <c r="Y21" s="160">
        <f t="shared" ref="Y21:AA22" si="2">1*10/(20*60)</f>
        <v>8.3333333333333332E-3</v>
      </c>
      <c r="Z21" s="160">
        <f t="shared" si="2"/>
        <v>8.3333333333333332E-3</v>
      </c>
      <c r="AA21" s="160">
        <f t="shared" si="2"/>
        <v>8.3333333333333332E-3</v>
      </c>
    </row>
    <row r="22" spans="1:27" ht="18" customHeight="1" x14ac:dyDescent="0.25">
      <c r="A22" s="159">
        <v>35</v>
      </c>
      <c r="B22" s="157" t="s">
        <v>29</v>
      </c>
      <c r="C22" s="157" t="s">
        <v>386</v>
      </c>
      <c r="D22" s="159" t="s">
        <v>390</v>
      </c>
      <c r="E22" s="157" t="s">
        <v>1249</v>
      </c>
      <c r="F22" s="157" t="s">
        <v>1264</v>
      </c>
      <c r="G22" s="157" t="s">
        <v>1278</v>
      </c>
      <c r="H22" s="157" t="s">
        <v>1279</v>
      </c>
      <c r="I22" s="157" t="s">
        <v>1290</v>
      </c>
      <c r="J22" s="157" t="s">
        <v>1280</v>
      </c>
      <c r="K22" s="157" t="s">
        <v>1269</v>
      </c>
      <c r="L22" s="157" t="s">
        <v>1291</v>
      </c>
      <c r="M22" s="157" t="str">
        <f t="shared" si="1"/>
        <v>Window Motor - Power Window Driver</v>
      </c>
      <c r="N22" s="157"/>
      <c r="O22" s="157"/>
      <c r="P22" s="159" t="s">
        <v>7934</v>
      </c>
      <c r="Q22" s="157" t="s">
        <v>2115</v>
      </c>
      <c r="R22" s="157" t="s">
        <v>8425</v>
      </c>
      <c r="S22" s="157" t="s">
        <v>8607</v>
      </c>
      <c r="T22" s="157"/>
      <c r="U22" s="159" t="s">
        <v>2138</v>
      </c>
      <c r="V22" s="159" t="s">
        <v>2138</v>
      </c>
      <c r="W22" s="159" t="s">
        <v>2138</v>
      </c>
      <c r="X22" s="160">
        <f>4*10/(20*60)</f>
        <v>3.3333333333333333E-2</v>
      </c>
      <c r="Y22" s="160">
        <f t="shared" si="2"/>
        <v>8.3333333333333332E-3</v>
      </c>
      <c r="Z22" s="160">
        <f t="shared" si="2"/>
        <v>8.3333333333333332E-3</v>
      </c>
      <c r="AA22" s="160">
        <f t="shared" si="2"/>
        <v>8.3333333333333332E-3</v>
      </c>
    </row>
    <row r="23" spans="1:27" ht="18" customHeight="1" x14ac:dyDescent="0.25">
      <c r="A23" s="159">
        <v>36</v>
      </c>
      <c r="B23" s="157" t="s">
        <v>29</v>
      </c>
      <c r="C23" s="157" t="s">
        <v>113</v>
      </c>
      <c r="D23" s="159" t="s">
        <v>92</v>
      </c>
      <c r="E23" s="157" t="s">
        <v>90</v>
      </c>
      <c r="F23" s="157" t="s">
        <v>1264</v>
      </c>
      <c r="G23" s="157" t="s">
        <v>1278</v>
      </c>
      <c r="H23" s="157" t="s">
        <v>1292</v>
      </c>
      <c r="I23" s="157" t="s">
        <v>8249</v>
      </c>
      <c r="J23" s="157" t="s">
        <v>8245</v>
      </c>
      <c r="K23" s="157" t="s">
        <v>1269</v>
      </c>
      <c r="L23" s="157" t="s">
        <v>8248</v>
      </c>
      <c r="M23" s="157" t="str">
        <f t="shared" si="1"/>
        <v>Outer Rear View Mirror Assembly Left - Foldable Mirror Left</v>
      </c>
      <c r="N23" s="164"/>
      <c r="O23" s="165"/>
      <c r="P23" s="159" t="s">
        <v>8050</v>
      </c>
      <c r="Q23" s="157"/>
      <c r="R23" s="157"/>
      <c r="S23" s="157"/>
      <c r="T23" s="157"/>
      <c r="U23" s="159" t="s">
        <v>2129</v>
      </c>
      <c r="V23" s="159" t="s">
        <v>2138</v>
      </c>
      <c r="W23" s="159" t="s">
        <v>2138</v>
      </c>
      <c r="X23" s="160">
        <v>0</v>
      </c>
      <c r="Y23" s="160">
        <v>0</v>
      </c>
      <c r="Z23" s="160">
        <v>0</v>
      </c>
      <c r="AA23" s="160">
        <v>0</v>
      </c>
    </row>
    <row r="24" spans="1:27" ht="18" customHeight="1" x14ac:dyDescent="0.25">
      <c r="A24" s="159">
        <v>36</v>
      </c>
      <c r="B24" s="157" t="s">
        <v>29</v>
      </c>
      <c r="C24" s="157" t="s">
        <v>113</v>
      </c>
      <c r="D24" s="159" t="s">
        <v>116</v>
      </c>
      <c r="E24" s="157" t="s">
        <v>114</v>
      </c>
      <c r="F24" s="157" t="s">
        <v>1264</v>
      </c>
      <c r="G24" s="157" t="s">
        <v>1278</v>
      </c>
      <c r="H24" s="157" t="s">
        <v>1292</v>
      </c>
      <c r="I24" s="157" t="s">
        <v>9779</v>
      </c>
      <c r="J24" s="157" t="s">
        <v>8245</v>
      </c>
      <c r="K24" s="157" t="s">
        <v>1269</v>
      </c>
      <c r="L24" s="157" t="s">
        <v>8248</v>
      </c>
      <c r="M24" s="157" t="str">
        <f t="shared" si="1"/>
        <v>Outer Rear View Mirror Assembly Left - Mirror Positioning Left</v>
      </c>
      <c r="N24" s="164"/>
      <c r="O24" s="165"/>
      <c r="P24" s="159" t="s">
        <v>8050</v>
      </c>
      <c r="Q24" s="157"/>
      <c r="R24" s="157"/>
      <c r="S24" s="157"/>
      <c r="T24" s="157"/>
      <c r="U24" s="159" t="s">
        <v>2138</v>
      </c>
      <c r="V24" s="159" t="s">
        <v>2138</v>
      </c>
      <c r="W24" s="159" t="s">
        <v>2138</v>
      </c>
      <c r="X24" s="160">
        <v>0.1</v>
      </c>
      <c r="Y24" s="160">
        <v>0.1</v>
      </c>
      <c r="Z24" s="160">
        <v>0.1</v>
      </c>
      <c r="AA24" s="160">
        <v>0.1</v>
      </c>
    </row>
    <row r="25" spans="1:27" ht="18" customHeight="1" x14ac:dyDescent="0.25">
      <c r="A25" s="159">
        <v>36</v>
      </c>
      <c r="B25" s="157" t="s">
        <v>29</v>
      </c>
      <c r="C25" s="157" t="s">
        <v>113</v>
      </c>
      <c r="D25" s="159" t="s">
        <v>119</v>
      </c>
      <c r="E25" s="157" t="s">
        <v>117</v>
      </c>
      <c r="F25" s="157" t="s">
        <v>1264</v>
      </c>
      <c r="G25" s="157" t="s">
        <v>1278</v>
      </c>
      <c r="H25" s="157" t="s">
        <v>1292</v>
      </c>
      <c r="I25" s="157" t="s">
        <v>8249</v>
      </c>
      <c r="J25" s="157" t="s">
        <v>8245</v>
      </c>
      <c r="K25" s="157" t="s">
        <v>1269</v>
      </c>
      <c r="L25" s="157" t="s">
        <v>8248</v>
      </c>
      <c r="M25" s="157" t="str">
        <f t="shared" si="1"/>
        <v>Outer Rear View Mirror Assembly Left - Foldable Mirror Left</v>
      </c>
      <c r="N25" s="164"/>
      <c r="O25" s="165"/>
      <c r="P25" s="159" t="s">
        <v>8050</v>
      </c>
      <c r="Q25" s="157"/>
      <c r="R25" s="157"/>
      <c r="S25" s="157"/>
      <c r="T25" s="157"/>
      <c r="U25" s="159" t="s">
        <v>2129</v>
      </c>
      <c r="V25" s="159" t="s">
        <v>2138</v>
      </c>
      <c r="W25" s="159" t="s">
        <v>2138</v>
      </c>
      <c r="X25" s="160">
        <v>0</v>
      </c>
      <c r="Y25" s="160">
        <v>0</v>
      </c>
      <c r="Z25" s="160">
        <v>0</v>
      </c>
      <c r="AA25" s="160">
        <v>0</v>
      </c>
    </row>
    <row r="26" spans="1:27" ht="18" customHeight="1" x14ac:dyDescent="0.25">
      <c r="A26" s="159">
        <v>36</v>
      </c>
      <c r="B26" s="157" t="s">
        <v>29</v>
      </c>
      <c r="C26" s="157" t="s">
        <v>30</v>
      </c>
      <c r="D26" s="159" t="s">
        <v>96</v>
      </c>
      <c r="E26" s="157" t="s">
        <v>402</v>
      </c>
      <c r="F26" s="157" t="s">
        <v>1275</v>
      </c>
      <c r="G26" s="157" t="s">
        <v>1278</v>
      </c>
      <c r="H26" s="157" t="s">
        <v>1292</v>
      </c>
      <c r="I26" s="157" t="s">
        <v>9781</v>
      </c>
      <c r="J26" s="157" t="s">
        <v>8245</v>
      </c>
      <c r="K26" s="157" t="s">
        <v>1269</v>
      </c>
      <c r="L26" s="157" t="s">
        <v>8248</v>
      </c>
      <c r="M26" s="157" t="str">
        <f t="shared" si="1"/>
        <v>Outer Rear View Mirror Assembly Left - Side Turn Signal Left</v>
      </c>
      <c r="N26" s="164"/>
      <c r="O26" s="165"/>
      <c r="P26" s="159" t="s">
        <v>8050</v>
      </c>
      <c r="Q26" s="157"/>
      <c r="R26" s="157"/>
      <c r="S26" s="157"/>
      <c r="T26" s="157"/>
      <c r="U26" s="159" t="s">
        <v>2138</v>
      </c>
      <c r="V26" s="159" t="s">
        <v>2138</v>
      </c>
      <c r="W26" s="159" t="s">
        <v>2138</v>
      </c>
      <c r="X26" s="160">
        <v>0.3</v>
      </c>
      <c r="Y26" s="160">
        <v>0.1</v>
      </c>
      <c r="Z26" s="160">
        <v>0.3</v>
      </c>
      <c r="AA26" s="160">
        <v>0.1</v>
      </c>
    </row>
    <row r="27" spans="1:27" ht="18" customHeight="1" x14ac:dyDescent="0.25">
      <c r="A27" s="159">
        <v>36</v>
      </c>
      <c r="B27" s="157" t="s">
        <v>29</v>
      </c>
      <c r="C27" s="157" t="s">
        <v>30</v>
      </c>
      <c r="D27" s="165" t="s">
        <v>866</v>
      </c>
      <c r="E27" s="164" t="s">
        <v>8246</v>
      </c>
      <c r="F27" s="157" t="s">
        <v>1264</v>
      </c>
      <c r="G27" s="157" t="s">
        <v>1278</v>
      </c>
      <c r="H27" s="157" t="s">
        <v>1292</v>
      </c>
      <c r="I27" s="157" t="s">
        <v>9783</v>
      </c>
      <c r="J27" s="157" t="s">
        <v>8245</v>
      </c>
      <c r="K27" s="157" t="s">
        <v>1269</v>
      </c>
      <c r="L27" s="157" t="s">
        <v>8248</v>
      </c>
      <c r="M27" s="157" t="str">
        <f t="shared" si="1"/>
        <v>Outer Rear View Mirror Assembly Left - Puddle Illumination/Projection Left</v>
      </c>
      <c r="N27" s="164"/>
      <c r="O27" s="165"/>
      <c r="P27" s="159" t="s">
        <v>8050</v>
      </c>
      <c r="Q27" s="157"/>
      <c r="R27" s="157"/>
      <c r="S27" s="157"/>
      <c r="T27" s="157"/>
      <c r="U27" s="159" t="s">
        <v>2129</v>
      </c>
      <c r="V27" s="159" t="s">
        <v>2138</v>
      </c>
      <c r="W27" s="159" t="s">
        <v>2129</v>
      </c>
      <c r="X27" s="160">
        <v>0</v>
      </c>
      <c r="Y27" s="160">
        <v>0</v>
      </c>
      <c r="Z27" s="160">
        <v>0</v>
      </c>
      <c r="AA27" s="160">
        <v>0</v>
      </c>
    </row>
    <row r="28" spans="1:27" ht="18" customHeight="1" x14ac:dyDescent="0.25">
      <c r="A28" s="159">
        <v>36</v>
      </c>
      <c r="B28" s="157" t="s">
        <v>29</v>
      </c>
      <c r="C28" s="157" t="s">
        <v>120</v>
      </c>
      <c r="D28" s="159" t="s">
        <v>123</v>
      </c>
      <c r="E28" s="157" t="s">
        <v>121</v>
      </c>
      <c r="F28" s="157" t="s">
        <v>1264</v>
      </c>
      <c r="G28" s="157" t="s">
        <v>1278</v>
      </c>
      <c r="H28" s="157" t="s">
        <v>1292</v>
      </c>
      <c r="I28" s="157" t="s">
        <v>9787</v>
      </c>
      <c r="J28" s="157" t="s">
        <v>8245</v>
      </c>
      <c r="K28" s="157" t="s">
        <v>1269</v>
      </c>
      <c r="L28" s="157" t="s">
        <v>8248</v>
      </c>
      <c r="M28" s="157" t="str">
        <f t="shared" si="1"/>
        <v>Outer Rear View Mirror Assembly Left - Mirror Heating Left</v>
      </c>
      <c r="N28" s="164"/>
      <c r="O28" s="165"/>
      <c r="P28" s="159" t="s">
        <v>8050</v>
      </c>
      <c r="Q28" s="157"/>
      <c r="R28" s="157"/>
      <c r="S28" s="157"/>
      <c r="T28" s="157"/>
      <c r="U28" s="159" t="s">
        <v>2129</v>
      </c>
      <c r="V28" s="159" t="s">
        <v>2138</v>
      </c>
      <c r="W28" s="159" t="s">
        <v>2138</v>
      </c>
      <c r="X28" s="160">
        <v>0</v>
      </c>
      <c r="Y28" s="160">
        <f>5/20</f>
        <v>0.25</v>
      </c>
      <c r="Z28" s="160">
        <f>5/20</f>
        <v>0.25</v>
      </c>
      <c r="AA28" s="160">
        <v>0</v>
      </c>
    </row>
    <row r="29" spans="1:27" ht="18" customHeight="1" x14ac:dyDescent="0.25">
      <c r="A29" s="159">
        <v>36</v>
      </c>
      <c r="B29" s="157" t="s">
        <v>77</v>
      </c>
      <c r="C29" s="157" t="s">
        <v>78</v>
      </c>
      <c r="D29" s="159" t="s">
        <v>109</v>
      </c>
      <c r="E29" s="157" t="s">
        <v>107</v>
      </c>
      <c r="F29" s="157" t="s">
        <v>1264</v>
      </c>
      <c r="G29" s="157" t="s">
        <v>1278</v>
      </c>
      <c r="H29" s="157" t="s">
        <v>1292</v>
      </c>
      <c r="I29" s="157" t="s">
        <v>9785</v>
      </c>
      <c r="J29" s="157" t="s">
        <v>8245</v>
      </c>
      <c r="K29" s="157" t="s">
        <v>1269</v>
      </c>
      <c r="L29" s="157" t="s">
        <v>8248</v>
      </c>
      <c r="M29" s="157" t="str">
        <f t="shared" si="1"/>
        <v>Outer Rear View Mirror Assembly Left - Mirror Dimming Left</v>
      </c>
      <c r="N29" s="164"/>
      <c r="O29" s="165"/>
      <c r="P29" s="159" t="s">
        <v>8050</v>
      </c>
      <c r="Q29" s="157"/>
      <c r="R29" s="157"/>
      <c r="S29" s="157"/>
      <c r="T29" s="157"/>
      <c r="U29" s="159" t="s">
        <v>2129</v>
      </c>
      <c r="V29" s="159" t="s">
        <v>2129</v>
      </c>
      <c r="W29" s="159" t="s">
        <v>2138</v>
      </c>
      <c r="X29" s="160">
        <v>0</v>
      </c>
      <c r="Y29" s="160">
        <v>0</v>
      </c>
      <c r="Z29" s="160">
        <v>0.5</v>
      </c>
      <c r="AA29" s="160">
        <v>0.5</v>
      </c>
    </row>
    <row r="30" spans="1:27" ht="18" customHeight="1" x14ac:dyDescent="0.25">
      <c r="A30" s="159">
        <v>36</v>
      </c>
      <c r="B30" s="157" t="s">
        <v>266</v>
      </c>
      <c r="C30" s="157" t="s">
        <v>276</v>
      </c>
      <c r="D30" s="159" t="s">
        <v>303</v>
      </c>
      <c r="E30" s="157" t="s">
        <v>301</v>
      </c>
      <c r="F30" s="159"/>
      <c r="G30" s="157" t="s">
        <v>1278</v>
      </c>
      <c r="H30" s="157" t="s">
        <v>1292</v>
      </c>
      <c r="I30" s="157" t="s">
        <v>9777</v>
      </c>
      <c r="J30" s="157" t="s">
        <v>8245</v>
      </c>
      <c r="K30" s="157" t="s">
        <v>1269</v>
      </c>
      <c r="L30" s="157" t="s">
        <v>8248</v>
      </c>
      <c r="M30" s="157" t="str">
        <f t="shared" si="1"/>
        <v>Outer Rear View Mirror Assembly Left - Blind Spot Warning Left</v>
      </c>
      <c r="N30" s="164"/>
      <c r="O30" s="165"/>
      <c r="P30" s="159" t="s">
        <v>8050</v>
      </c>
      <c r="Q30" s="157"/>
      <c r="R30" s="157"/>
      <c r="S30" s="157"/>
      <c r="T30" s="157"/>
      <c r="U30" s="159" t="s">
        <v>2129</v>
      </c>
      <c r="V30" s="159" t="s">
        <v>2138</v>
      </c>
      <c r="W30" s="159" t="s">
        <v>2138</v>
      </c>
      <c r="X30" s="160">
        <v>0.05</v>
      </c>
      <c r="Y30" s="160">
        <v>0.05</v>
      </c>
      <c r="Z30" s="160">
        <v>0.05</v>
      </c>
      <c r="AA30" s="160">
        <v>0.05</v>
      </c>
    </row>
    <row r="31" spans="1:27" ht="18" customHeight="1" x14ac:dyDescent="0.25">
      <c r="A31" s="159">
        <v>36</v>
      </c>
      <c r="B31" s="157" t="s">
        <v>266</v>
      </c>
      <c r="C31" s="157" t="s">
        <v>276</v>
      </c>
      <c r="D31" s="159" t="s">
        <v>1177</v>
      </c>
      <c r="E31" s="157" t="s">
        <v>1175</v>
      </c>
      <c r="F31" s="159"/>
      <c r="G31" s="157" t="s">
        <v>1278</v>
      </c>
      <c r="H31" s="157" t="s">
        <v>1292</v>
      </c>
      <c r="I31" s="157" t="s">
        <v>9777</v>
      </c>
      <c r="J31" s="157" t="s">
        <v>8245</v>
      </c>
      <c r="K31" s="157" t="s">
        <v>1269</v>
      </c>
      <c r="L31" s="157" t="s">
        <v>8248</v>
      </c>
      <c r="M31" s="157" t="str">
        <f t="shared" si="1"/>
        <v>Outer Rear View Mirror Assembly Left - Blind Spot Warning Left</v>
      </c>
      <c r="N31" s="164"/>
      <c r="O31" s="165"/>
      <c r="P31" s="159" t="s">
        <v>8050</v>
      </c>
      <c r="Q31" s="157"/>
      <c r="R31" s="157"/>
      <c r="S31" s="157"/>
      <c r="T31" s="157"/>
      <c r="U31" s="159" t="s">
        <v>2129</v>
      </c>
      <c r="V31" s="159" t="s">
        <v>2138</v>
      </c>
      <c r="W31" s="159" t="s">
        <v>2138</v>
      </c>
      <c r="X31" s="160">
        <v>0.05</v>
      </c>
      <c r="Y31" s="160">
        <v>0.05</v>
      </c>
      <c r="Z31" s="160">
        <v>0.05</v>
      </c>
      <c r="AA31" s="160">
        <v>0.05</v>
      </c>
    </row>
    <row r="32" spans="1:27" ht="18" customHeight="1" x14ac:dyDescent="0.25">
      <c r="A32" s="159">
        <v>36</v>
      </c>
      <c r="B32" s="157" t="s">
        <v>266</v>
      </c>
      <c r="C32" s="157" t="s">
        <v>276</v>
      </c>
      <c r="D32" s="159" t="s">
        <v>304</v>
      </c>
      <c r="E32" s="157" t="s">
        <v>1239</v>
      </c>
      <c r="F32" s="159"/>
      <c r="G32" s="157" t="s">
        <v>1278</v>
      </c>
      <c r="H32" s="157" t="s">
        <v>1292</v>
      </c>
      <c r="I32" s="157" t="s">
        <v>9777</v>
      </c>
      <c r="J32" s="157" t="s">
        <v>8245</v>
      </c>
      <c r="K32" s="157" t="s">
        <v>1269</v>
      </c>
      <c r="L32" s="157" t="s">
        <v>8248</v>
      </c>
      <c r="M32" s="157" t="str">
        <f t="shared" si="1"/>
        <v>Outer Rear View Mirror Assembly Left - Blind Spot Warning Left</v>
      </c>
      <c r="N32" s="164"/>
      <c r="O32" s="165"/>
      <c r="P32" s="159" t="s">
        <v>8050</v>
      </c>
      <c r="Q32" s="157"/>
      <c r="R32" s="157"/>
      <c r="S32" s="157"/>
      <c r="T32" s="157"/>
      <c r="U32" s="159" t="s">
        <v>2129</v>
      </c>
      <c r="V32" s="159" t="s">
        <v>2138</v>
      </c>
      <c r="W32" s="159" t="s">
        <v>2138</v>
      </c>
      <c r="X32" s="160">
        <v>0.05</v>
      </c>
      <c r="Y32" s="160">
        <v>0.05</v>
      </c>
      <c r="Z32" s="160">
        <v>0.05</v>
      </c>
      <c r="AA32" s="160">
        <v>0.05</v>
      </c>
    </row>
    <row r="33" spans="1:27" ht="18" customHeight="1" x14ac:dyDescent="0.25">
      <c r="A33" s="159">
        <v>37</v>
      </c>
      <c r="B33" s="157" t="s">
        <v>29</v>
      </c>
      <c r="C33" s="157" t="s">
        <v>82</v>
      </c>
      <c r="D33" s="159" t="s">
        <v>92</v>
      </c>
      <c r="E33" s="157" t="s">
        <v>90</v>
      </c>
      <c r="F33" s="157" t="s">
        <v>1264</v>
      </c>
      <c r="G33" s="157" t="s">
        <v>1278</v>
      </c>
      <c r="H33" s="157" t="s">
        <v>1294</v>
      </c>
      <c r="I33" s="157" t="s">
        <v>1295</v>
      </c>
      <c r="J33" s="157" t="s">
        <v>1296</v>
      </c>
      <c r="K33" s="157" t="s">
        <v>1269</v>
      </c>
      <c r="L33" s="157" t="s">
        <v>1297</v>
      </c>
      <c r="M33" s="157" t="str">
        <f t="shared" si="1"/>
        <v>Stepper Motor FL - Door Opening and Closing Latch</v>
      </c>
      <c r="N33" s="157"/>
      <c r="O33" s="157"/>
      <c r="P33" s="159" t="s">
        <v>8071</v>
      </c>
      <c r="Q33" s="157" t="s">
        <v>2115</v>
      </c>
      <c r="R33" s="157" t="s">
        <v>8425</v>
      </c>
      <c r="S33" s="157" t="s">
        <v>8607</v>
      </c>
      <c r="T33" s="157"/>
      <c r="U33" s="159" t="s">
        <v>2129</v>
      </c>
      <c r="V33" s="159" t="s">
        <v>2129</v>
      </c>
      <c r="W33" s="159" t="s">
        <v>2138</v>
      </c>
      <c r="X33" s="160">
        <f t="shared" ref="X33:AA35" si="3">2/(20*60*60)</f>
        <v>2.7777777777777779E-5</v>
      </c>
      <c r="Y33" s="160">
        <f t="shared" si="3"/>
        <v>2.7777777777777779E-5</v>
      </c>
      <c r="Z33" s="160">
        <f t="shared" si="3"/>
        <v>2.7777777777777779E-5</v>
      </c>
      <c r="AA33" s="160">
        <f t="shared" si="3"/>
        <v>2.7777777777777779E-5</v>
      </c>
    </row>
    <row r="34" spans="1:27" ht="18" customHeight="1" x14ac:dyDescent="0.25">
      <c r="A34" s="159">
        <v>37</v>
      </c>
      <c r="B34" s="157" t="s">
        <v>29</v>
      </c>
      <c r="C34" s="157" t="s">
        <v>30</v>
      </c>
      <c r="D34" s="159" t="s">
        <v>148</v>
      </c>
      <c r="E34" s="157" t="s">
        <v>146</v>
      </c>
      <c r="F34" s="157" t="s">
        <v>1264</v>
      </c>
      <c r="G34" s="157" t="s">
        <v>1278</v>
      </c>
      <c r="H34" s="157" t="s">
        <v>1294</v>
      </c>
      <c r="I34" s="157" t="s">
        <v>1295</v>
      </c>
      <c r="J34" s="157" t="s">
        <v>1296</v>
      </c>
      <c r="K34" s="157" t="s">
        <v>1269</v>
      </c>
      <c r="L34" s="157" t="s">
        <v>1297</v>
      </c>
      <c r="M34" s="157" t="str">
        <f t="shared" si="1"/>
        <v>Stepper Motor FL - Door Opening and Closing Latch</v>
      </c>
      <c r="N34" s="157"/>
      <c r="O34" s="157"/>
      <c r="P34" s="159" t="s">
        <v>8071</v>
      </c>
      <c r="Q34" s="157" t="s">
        <v>2115</v>
      </c>
      <c r="R34" s="157" t="s">
        <v>8425</v>
      </c>
      <c r="S34" s="157" t="s">
        <v>8607</v>
      </c>
      <c r="T34" s="157"/>
      <c r="U34" s="159" t="s">
        <v>2129</v>
      </c>
      <c r="V34" s="159" t="s">
        <v>2129</v>
      </c>
      <c r="W34" s="159" t="s">
        <v>2138</v>
      </c>
      <c r="X34" s="160">
        <f t="shared" si="3"/>
        <v>2.7777777777777779E-5</v>
      </c>
      <c r="Y34" s="160">
        <f t="shared" si="3"/>
        <v>2.7777777777777779E-5</v>
      </c>
      <c r="Z34" s="160">
        <f t="shared" si="3"/>
        <v>2.7777777777777779E-5</v>
      </c>
      <c r="AA34" s="160">
        <f t="shared" si="3"/>
        <v>2.7777777777777779E-5</v>
      </c>
    </row>
    <row r="35" spans="1:27" ht="18" customHeight="1" x14ac:dyDescent="0.25">
      <c r="A35" s="159">
        <v>37</v>
      </c>
      <c r="B35" s="157" t="s">
        <v>29</v>
      </c>
      <c r="C35" s="157" t="s">
        <v>30</v>
      </c>
      <c r="D35" s="159" t="s">
        <v>1113</v>
      </c>
      <c r="E35" s="157" t="s">
        <v>1111</v>
      </c>
      <c r="F35" s="157"/>
      <c r="G35" s="157" t="s">
        <v>1278</v>
      </c>
      <c r="H35" s="157" t="s">
        <v>1294</v>
      </c>
      <c r="I35" s="157" t="s">
        <v>1295</v>
      </c>
      <c r="J35" s="157" t="s">
        <v>1296</v>
      </c>
      <c r="K35" s="157" t="s">
        <v>1269</v>
      </c>
      <c r="L35" s="157" t="s">
        <v>1297</v>
      </c>
      <c r="M35" s="157" t="str">
        <f t="shared" si="1"/>
        <v>Stepper Motor FL - Door Opening and Closing Latch</v>
      </c>
      <c r="N35" s="157"/>
      <c r="O35" s="157"/>
      <c r="P35" s="159" t="s">
        <v>8071</v>
      </c>
      <c r="Q35" s="157" t="s">
        <v>2115</v>
      </c>
      <c r="R35" s="157" t="s">
        <v>8425</v>
      </c>
      <c r="S35" s="157" t="s">
        <v>8607</v>
      </c>
      <c r="T35" s="157"/>
      <c r="U35" s="159" t="s">
        <v>2129</v>
      </c>
      <c r="V35" s="159" t="s">
        <v>2129</v>
      </c>
      <c r="W35" s="159" t="s">
        <v>2138</v>
      </c>
      <c r="X35" s="160">
        <f t="shared" si="3"/>
        <v>2.7777777777777779E-5</v>
      </c>
      <c r="Y35" s="160">
        <f t="shared" si="3"/>
        <v>2.7777777777777779E-5</v>
      </c>
      <c r="Z35" s="160">
        <f t="shared" si="3"/>
        <v>2.7777777777777779E-5</v>
      </c>
      <c r="AA35" s="160">
        <f t="shared" si="3"/>
        <v>2.7777777777777779E-5</v>
      </c>
    </row>
    <row r="36" spans="1:27" ht="18" customHeight="1" x14ac:dyDescent="0.25">
      <c r="A36" s="159">
        <v>38</v>
      </c>
      <c r="B36" s="157" t="s">
        <v>29</v>
      </c>
      <c r="C36" s="157" t="s">
        <v>30</v>
      </c>
      <c r="D36" s="159" t="s">
        <v>863</v>
      </c>
      <c r="E36" s="157" t="s">
        <v>861</v>
      </c>
      <c r="F36" s="157" t="s">
        <v>1264</v>
      </c>
      <c r="G36" s="157" t="s">
        <v>1278</v>
      </c>
      <c r="H36" s="157" t="s">
        <v>1287</v>
      </c>
      <c r="I36" s="157" t="s">
        <v>1288</v>
      </c>
      <c r="J36" s="157" t="s">
        <v>1289</v>
      </c>
      <c r="K36" s="157" t="s">
        <v>1269</v>
      </c>
      <c r="L36" s="157" t="s">
        <v>8433</v>
      </c>
      <c r="M36" s="157" t="str">
        <f t="shared" si="1"/>
        <v>LED Lamp in Door Trim Bottom FR - Puddle Illumination</v>
      </c>
      <c r="N36" s="157"/>
      <c r="O36" s="157"/>
      <c r="P36" s="159" t="s">
        <v>3701</v>
      </c>
      <c r="Q36" s="157" t="s">
        <v>2115</v>
      </c>
      <c r="R36" s="157" t="s">
        <v>8649</v>
      </c>
      <c r="S36" s="157" t="s">
        <v>8650</v>
      </c>
      <c r="T36" s="157"/>
      <c r="U36" s="159" t="s">
        <v>2129</v>
      </c>
      <c r="V36" s="159" t="s">
        <v>2129</v>
      </c>
      <c r="W36" s="159" t="s">
        <v>2138</v>
      </c>
      <c r="X36" s="160">
        <v>0</v>
      </c>
      <c r="Y36" s="160">
        <v>0</v>
      </c>
      <c r="Z36" s="160">
        <v>0</v>
      </c>
      <c r="AA36" s="160">
        <v>0</v>
      </c>
    </row>
    <row r="37" spans="1:27" ht="18" customHeight="1" x14ac:dyDescent="0.25">
      <c r="A37" s="159">
        <v>39</v>
      </c>
      <c r="B37" s="157" t="s">
        <v>29</v>
      </c>
      <c r="C37" s="157" t="s">
        <v>30</v>
      </c>
      <c r="D37" s="159" t="s">
        <v>863</v>
      </c>
      <c r="E37" s="157" t="s">
        <v>861</v>
      </c>
      <c r="F37" s="157" t="s">
        <v>1264</v>
      </c>
      <c r="G37" s="157" t="s">
        <v>1278</v>
      </c>
      <c r="H37" s="157" t="s">
        <v>1287</v>
      </c>
      <c r="I37" s="157" t="s">
        <v>1288</v>
      </c>
      <c r="J37" s="157" t="s">
        <v>1289</v>
      </c>
      <c r="K37" s="157" t="s">
        <v>1269</v>
      </c>
      <c r="L37" s="157" t="s">
        <v>8434</v>
      </c>
      <c r="M37" s="157" t="str">
        <f t="shared" si="1"/>
        <v>LED Lamp in Door Trim Bottom RL - Puddle Illumination</v>
      </c>
      <c r="N37" s="157"/>
      <c r="O37" s="157"/>
      <c r="P37" s="159" t="s">
        <v>7969</v>
      </c>
      <c r="Q37" s="157" t="s">
        <v>2115</v>
      </c>
      <c r="R37" s="157" t="s">
        <v>8649</v>
      </c>
      <c r="S37" s="157" t="s">
        <v>8650</v>
      </c>
      <c r="T37" s="157"/>
      <c r="U37" s="159" t="s">
        <v>2129</v>
      </c>
      <c r="V37" s="159" t="s">
        <v>2129</v>
      </c>
      <c r="W37" s="159" t="s">
        <v>2138</v>
      </c>
      <c r="X37" s="160">
        <v>0</v>
      </c>
      <c r="Y37" s="160">
        <v>0</v>
      </c>
      <c r="Z37" s="160">
        <v>0</v>
      </c>
      <c r="AA37" s="160">
        <v>0</v>
      </c>
    </row>
    <row r="38" spans="1:27" ht="18" customHeight="1" x14ac:dyDescent="0.25">
      <c r="A38" s="159">
        <v>40</v>
      </c>
      <c r="B38" s="157" t="s">
        <v>29</v>
      </c>
      <c r="C38" s="157" t="s">
        <v>30</v>
      </c>
      <c r="D38" s="159" t="s">
        <v>863</v>
      </c>
      <c r="E38" s="157" t="s">
        <v>861</v>
      </c>
      <c r="F38" s="157" t="s">
        <v>1264</v>
      </c>
      <c r="G38" s="157" t="s">
        <v>1278</v>
      </c>
      <c r="H38" s="157" t="s">
        <v>1287</v>
      </c>
      <c r="I38" s="157" t="s">
        <v>1288</v>
      </c>
      <c r="J38" s="157" t="s">
        <v>1289</v>
      </c>
      <c r="K38" s="157" t="s">
        <v>1269</v>
      </c>
      <c r="L38" s="157" t="s">
        <v>8435</v>
      </c>
      <c r="M38" s="157" t="str">
        <f t="shared" si="1"/>
        <v>LED Lamp in Door Trim Bottom RR - Puddle Illumination</v>
      </c>
      <c r="N38" s="157"/>
      <c r="O38" s="157"/>
      <c r="P38" s="159" t="s">
        <v>3821</v>
      </c>
      <c r="Q38" s="157" t="s">
        <v>2115</v>
      </c>
      <c r="R38" s="157" t="s">
        <v>8649</v>
      </c>
      <c r="S38" s="157" t="s">
        <v>8650</v>
      </c>
      <c r="T38" s="157"/>
      <c r="U38" s="159" t="s">
        <v>2129</v>
      </c>
      <c r="V38" s="159" t="s">
        <v>2129</v>
      </c>
      <c r="W38" s="159" t="s">
        <v>2138</v>
      </c>
      <c r="X38" s="160">
        <v>0</v>
      </c>
      <c r="Y38" s="160">
        <v>0</v>
      </c>
      <c r="Z38" s="160">
        <v>0</v>
      </c>
      <c r="AA38" s="160">
        <v>0</v>
      </c>
    </row>
    <row r="39" spans="1:27" ht="18" customHeight="1" x14ac:dyDescent="0.25">
      <c r="A39" s="159">
        <v>42</v>
      </c>
      <c r="B39" s="157" t="s">
        <v>22</v>
      </c>
      <c r="C39" s="157" t="s">
        <v>40</v>
      </c>
      <c r="D39" s="159" t="s">
        <v>53</v>
      </c>
      <c r="E39" s="157" t="s">
        <v>51</v>
      </c>
      <c r="F39" s="157" t="s">
        <v>1298</v>
      </c>
      <c r="G39" s="157" t="s">
        <v>1299</v>
      </c>
      <c r="H39" s="157" t="s">
        <v>1300</v>
      </c>
      <c r="I39" s="157" t="s">
        <v>1300</v>
      </c>
      <c r="J39" s="157" t="s">
        <v>1301</v>
      </c>
      <c r="K39" s="157" t="s">
        <v>1302</v>
      </c>
      <c r="L39" s="157" t="s">
        <v>1303</v>
      </c>
      <c r="M39" s="157" t="str">
        <f t="shared" si="1"/>
        <v>Seat Airbag 1st Row R Outboard - Airbag</v>
      </c>
      <c r="N39" s="157"/>
      <c r="O39" s="157"/>
      <c r="P39" s="159" t="s">
        <v>4085</v>
      </c>
      <c r="Q39" s="157" t="s">
        <v>2115</v>
      </c>
      <c r="R39" s="157" t="s">
        <v>2118</v>
      </c>
      <c r="S39" s="157" t="s">
        <v>2119</v>
      </c>
      <c r="T39" s="157"/>
      <c r="U39" s="159" t="s">
        <v>2129</v>
      </c>
      <c r="V39" s="159" t="s">
        <v>2129</v>
      </c>
      <c r="W39" s="159" t="s">
        <v>2138</v>
      </c>
      <c r="X39" s="160">
        <v>0</v>
      </c>
      <c r="Y39" s="160">
        <v>0</v>
      </c>
      <c r="Z39" s="160">
        <v>0</v>
      </c>
      <c r="AA39" s="160">
        <v>0</v>
      </c>
    </row>
    <row r="40" spans="1:27" ht="18" customHeight="1" x14ac:dyDescent="0.25">
      <c r="A40" s="159">
        <v>45</v>
      </c>
      <c r="B40" s="157" t="s">
        <v>77</v>
      </c>
      <c r="C40" s="157" t="s">
        <v>128</v>
      </c>
      <c r="D40" s="159" t="s">
        <v>131</v>
      </c>
      <c r="E40" s="157" t="s">
        <v>129</v>
      </c>
      <c r="F40" s="157" t="s">
        <v>1264</v>
      </c>
      <c r="G40" s="157" t="s">
        <v>1278</v>
      </c>
      <c r="H40" s="157" t="s">
        <v>1304</v>
      </c>
      <c r="I40" s="157" t="s">
        <v>1305</v>
      </c>
      <c r="J40" s="157" t="s">
        <v>1306</v>
      </c>
      <c r="K40" s="157" t="s">
        <v>1269</v>
      </c>
      <c r="L40" s="157" t="s">
        <v>1307</v>
      </c>
      <c r="M40" s="157" t="str">
        <f t="shared" si="1"/>
        <v>Seat Heater FL - Heating Seat Pan Driver</v>
      </c>
      <c r="N40" s="157"/>
      <c r="O40" s="157"/>
      <c r="P40" s="159" t="s">
        <v>7446</v>
      </c>
      <c r="Q40" s="157" t="s">
        <v>2115</v>
      </c>
      <c r="R40" s="157" t="s">
        <v>8652</v>
      </c>
      <c r="S40" s="157" t="s">
        <v>8653</v>
      </c>
      <c r="T40" s="157"/>
      <c r="U40" s="159" t="s">
        <v>2129</v>
      </c>
      <c r="V40" s="159" t="s">
        <v>2138</v>
      </c>
      <c r="W40" s="159" t="s">
        <v>2138</v>
      </c>
      <c r="X40" s="160">
        <v>0</v>
      </c>
      <c r="Y40" s="160">
        <f>0.75*5/20+0.5*5/20+0.25*5/20</f>
        <v>0.375</v>
      </c>
      <c r="Z40" s="160">
        <f>0.75*5/20+0.5*5/20+0.25*5/20</f>
        <v>0.375</v>
      </c>
      <c r="AA40" s="160">
        <v>0</v>
      </c>
    </row>
    <row r="41" spans="1:27" ht="18" customHeight="1" x14ac:dyDescent="0.25">
      <c r="A41" s="159">
        <v>48</v>
      </c>
      <c r="B41" s="157" t="s">
        <v>77</v>
      </c>
      <c r="C41" s="157" t="s">
        <v>136</v>
      </c>
      <c r="D41" s="159" t="s">
        <v>1057</v>
      </c>
      <c r="E41" s="157" t="s">
        <v>1055</v>
      </c>
      <c r="F41" s="157" t="s">
        <v>1264</v>
      </c>
      <c r="G41" s="157" t="s">
        <v>1278</v>
      </c>
      <c r="H41" s="157" t="s">
        <v>1308</v>
      </c>
      <c r="I41" s="157" t="s">
        <v>1309</v>
      </c>
      <c r="J41" s="157" t="s">
        <v>1310</v>
      </c>
      <c r="K41" s="157" t="s">
        <v>1269</v>
      </c>
      <c r="L41" s="157" t="s">
        <v>8658</v>
      </c>
      <c r="M41" s="157" t="str">
        <f t="shared" si="1"/>
        <v>Valve - Driver Seat - Lumbar Massage</v>
      </c>
      <c r="N41" s="157"/>
      <c r="O41" s="157"/>
      <c r="P41" s="159" t="s">
        <v>7190</v>
      </c>
      <c r="Q41" s="74" t="s">
        <v>2115</v>
      </c>
      <c r="R41" s="74" t="s">
        <v>8660</v>
      </c>
      <c r="S41" s="74" t="s">
        <v>8621</v>
      </c>
      <c r="T41" s="157"/>
      <c r="U41" s="159" t="s">
        <v>2129</v>
      </c>
      <c r="V41" s="159" t="s">
        <v>2129</v>
      </c>
      <c r="W41" s="159" t="s">
        <v>2138</v>
      </c>
      <c r="X41" s="160">
        <f>2/20</f>
        <v>0.1</v>
      </c>
      <c r="Y41" s="160">
        <f>5/20</f>
        <v>0.25</v>
      </c>
      <c r="Z41" s="160">
        <f>2/20</f>
        <v>0.1</v>
      </c>
      <c r="AA41" s="160">
        <f>5/20</f>
        <v>0.25</v>
      </c>
    </row>
    <row r="42" spans="1:27" ht="18" customHeight="1" x14ac:dyDescent="0.25">
      <c r="A42" s="159">
        <v>49</v>
      </c>
      <c r="B42" s="157" t="s">
        <v>77</v>
      </c>
      <c r="C42" s="157" t="s">
        <v>136</v>
      </c>
      <c r="D42" s="159" t="s">
        <v>1057</v>
      </c>
      <c r="E42" s="157" t="s">
        <v>1055</v>
      </c>
      <c r="F42" s="157" t="s">
        <v>1264</v>
      </c>
      <c r="G42" s="157" t="s">
        <v>1278</v>
      </c>
      <c r="H42" s="157" t="s">
        <v>1308</v>
      </c>
      <c r="I42" s="157" t="s">
        <v>1309</v>
      </c>
      <c r="J42" s="157" t="s">
        <v>1310</v>
      </c>
      <c r="K42" s="157" t="s">
        <v>1269</v>
      </c>
      <c r="L42" s="157" t="s">
        <v>9657</v>
      </c>
      <c r="M42" s="157" t="str">
        <f t="shared" si="1"/>
        <v>Air Pump - Driver Seat - Lumbar Massage</v>
      </c>
      <c r="N42" s="157"/>
      <c r="O42" s="157"/>
      <c r="P42" s="159" t="s">
        <v>7190</v>
      </c>
      <c r="Q42" s="74" t="s">
        <v>2115</v>
      </c>
      <c r="R42" s="74" t="s">
        <v>2125</v>
      </c>
      <c r="S42" s="74" t="s">
        <v>8631</v>
      </c>
      <c r="T42" s="157"/>
      <c r="U42" s="159" t="s">
        <v>2129</v>
      </c>
      <c r="V42" s="159" t="s">
        <v>2129</v>
      </c>
      <c r="W42" s="159" t="s">
        <v>2138</v>
      </c>
      <c r="X42" s="160">
        <f>2/20</f>
        <v>0.1</v>
      </c>
      <c r="Y42" s="160">
        <f>5/20</f>
        <v>0.25</v>
      </c>
      <c r="Z42" s="160">
        <f>2/20</f>
        <v>0.1</v>
      </c>
      <c r="AA42" s="160">
        <f>5/20</f>
        <v>0.25</v>
      </c>
    </row>
    <row r="43" spans="1:27" ht="18" customHeight="1" x14ac:dyDescent="0.25">
      <c r="A43" s="159">
        <v>52</v>
      </c>
      <c r="B43" s="157" t="s">
        <v>22</v>
      </c>
      <c r="C43" s="157" t="s">
        <v>132</v>
      </c>
      <c r="D43" s="159" t="s">
        <v>913</v>
      </c>
      <c r="E43" s="157" t="s">
        <v>911</v>
      </c>
      <c r="F43" s="157" t="s">
        <v>1264</v>
      </c>
      <c r="G43" s="157" t="s">
        <v>1299</v>
      </c>
      <c r="H43" s="157" t="s">
        <v>1300</v>
      </c>
      <c r="I43" s="157" t="s">
        <v>1311</v>
      </c>
      <c r="J43" s="157" t="s">
        <v>8574</v>
      </c>
      <c r="K43" s="157" t="s">
        <v>1312</v>
      </c>
      <c r="L43" s="157" t="s">
        <v>1313</v>
      </c>
      <c r="M43" s="157" t="str">
        <f t="shared" si="1"/>
        <v>Seat Belt Sensor 1st Row R - Seat Belt</v>
      </c>
      <c r="N43" s="157"/>
      <c r="O43" s="157"/>
      <c r="P43" s="159" t="s">
        <v>5673</v>
      </c>
      <c r="Q43" s="157" t="s">
        <v>2115</v>
      </c>
      <c r="R43" s="157" t="s">
        <v>2142</v>
      </c>
      <c r="S43" s="157" t="s">
        <v>8608</v>
      </c>
      <c r="T43" s="157" t="s">
        <v>2129</v>
      </c>
      <c r="U43" s="159" t="s">
        <v>2129</v>
      </c>
      <c r="V43" s="159" t="s">
        <v>2129</v>
      </c>
      <c r="W43" s="159" t="s">
        <v>2129</v>
      </c>
      <c r="X43" s="160">
        <v>1</v>
      </c>
      <c r="Y43" s="160">
        <v>1</v>
      </c>
      <c r="Z43" s="160">
        <v>1</v>
      </c>
      <c r="AA43" s="160">
        <v>1</v>
      </c>
    </row>
    <row r="44" spans="1:27" ht="18" customHeight="1" x14ac:dyDescent="0.25">
      <c r="A44" s="159">
        <v>53</v>
      </c>
      <c r="B44" s="157" t="s">
        <v>22</v>
      </c>
      <c r="C44" s="157" t="s">
        <v>35</v>
      </c>
      <c r="D44" s="159" t="s">
        <v>188</v>
      </c>
      <c r="E44" s="157" t="s">
        <v>186</v>
      </c>
      <c r="F44" s="157" t="s">
        <v>1277</v>
      </c>
      <c r="G44" s="157" t="s">
        <v>1299</v>
      </c>
      <c r="H44" s="157" t="s">
        <v>1300</v>
      </c>
      <c r="I44" s="157" t="s">
        <v>1314</v>
      </c>
      <c r="J44" s="157"/>
      <c r="K44" s="157" t="s">
        <v>1312</v>
      </c>
      <c r="L44" s="157" t="s">
        <v>1314</v>
      </c>
      <c r="M44" s="157" t="str">
        <f t="shared" si="1"/>
        <v>Seat Occupancy Classification - Seat Occupancy Classification</v>
      </c>
      <c r="N44" s="157"/>
      <c r="O44" s="157"/>
      <c r="P44" s="159" t="s">
        <v>4930</v>
      </c>
      <c r="Q44" s="157" t="s">
        <v>2115</v>
      </c>
      <c r="R44" s="157" t="s">
        <v>8577</v>
      </c>
      <c r="S44" s="157" t="s">
        <v>8606</v>
      </c>
      <c r="T44" s="157" t="s">
        <v>2129</v>
      </c>
      <c r="U44" s="159" t="s">
        <v>2129</v>
      </c>
      <c r="V44" s="159" t="s">
        <v>2129</v>
      </c>
      <c r="W44" s="159" t="s">
        <v>2138</v>
      </c>
      <c r="X44" s="160">
        <v>1</v>
      </c>
      <c r="Y44" s="160">
        <v>1</v>
      </c>
      <c r="Z44" s="160">
        <v>1</v>
      </c>
      <c r="AA44" s="160">
        <v>1</v>
      </c>
    </row>
    <row r="45" spans="1:27" ht="18" customHeight="1" x14ac:dyDescent="0.25">
      <c r="A45" s="159">
        <v>65</v>
      </c>
      <c r="B45" s="157" t="s">
        <v>22</v>
      </c>
      <c r="C45" s="157" t="s">
        <v>35</v>
      </c>
      <c r="D45" s="159" t="s">
        <v>188</v>
      </c>
      <c r="E45" s="157" t="s">
        <v>186</v>
      </c>
      <c r="F45" s="157" t="s">
        <v>1277</v>
      </c>
      <c r="G45" s="157" t="s">
        <v>1299</v>
      </c>
      <c r="H45" s="157" t="s">
        <v>1300</v>
      </c>
      <c r="I45" s="157" t="s">
        <v>1315</v>
      </c>
      <c r="J45" s="157"/>
      <c r="K45" s="157" t="s">
        <v>1312</v>
      </c>
      <c r="L45" s="157" t="s">
        <v>8578</v>
      </c>
      <c r="M45" s="157" t="str">
        <f t="shared" si="1"/>
        <v>Seat Occupancy Detection 1st Row L - Seat Occupancy Detection</v>
      </c>
      <c r="N45" s="157"/>
      <c r="O45" s="157"/>
      <c r="P45" s="159" t="s">
        <v>6611</v>
      </c>
      <c r="Q45" s="157" t="s">
        <v>2115</v>
      </c>
      <c r="R45" s="157" t="s">
        <v>2142</v>
      </c>
      <c r="S45" s="157" t="s">
        <v>8608</v>
      </c>
      <c r="T45" s="157" t="s">
        <v>2129</v>
      </c>
      <c r="U45" s="159" t="s">
        <v>2138</v>
      </c>
      <c r="V45" s="159" t="s">
        <v>2138</v>
      </c>
      <c r="W45" s="159" t="s">
        <v>2138</v>
      </c>
      <c r="X45" s="160">
        <v>1</v>
      </c>
      <c r="Y45" s="160">
        <v>1</v>
      </c>
      <c r="Z45" s="160">
        <v>1</v>
      </c>
      <c r="AA45" s="160">
        <v>1</v>
      </c>
    </row>
    <row r="46" spans="1:27" ht="18" customHeight="1" x14ac:dyDescent="0.25">
      <c r="A46" s="159">
        <v>66</v>
      </c>
      <c r="B46" s="157" t="s">
        <v>22</v>
      </c>
      <c r="C46" s="157" t="s">
        <v>35</v>
      </c>
      <c r="D46" s="159" t="s">
        <v>188</v>
      </c>
      <c r="E46" s="157" t="s">
        <v>186</v>
      </c>
      <c r="F46" s="157" t="s">
        <v>1277</v>
      </c>
      <c r="G46" s="157" t="s">
        <v>1299</v>
      </c>
      <c r="H46" s="157" t="s">
        <v>1300</v>
      </c>
      <c r="I46" s="157" t="s">
        <v>1315</v>
      </c>
      <c r="J46" s="157"/>
      <c r="K46" s="157" t="s">
        <v>1312</v>
      </c>
      <c r="L46" s="157" t="s">
        <v>8579</v>
      </c>
      <c r="M46" s="157" t="str">
        <f t="shared" si="1"/>
        <v>Seat Occupancy Detection 1st Row R - Seat Occupancy Detection</v>
      </c>
      <c r="N46" s="157"/>
      <c r="O46" s="157"/>
      <c r="P46" s="159" t="s">
        <v>4930</v>
      </c>
      <c r="Q46" s="157" t="s">
        <v>2115</v>
      </c>
      <c r="R46" s="157" t="s">
        <v>2142</v>
      </c>
      <c r="S46" s="157" t="s">
        <v>8608</v>
      </c>
      <c r="T46" s="157" t="s">
        <v>2129</v>
      </c>
      <c r="U46" s="159" t="s">
        <v>2138</v>
      </c>
      <c r="V46" s="159" t="s">
        <v>2138</v>
      </c>
      <c r="W46" s="159" t="s">
        <v>2129</v>
      </c>
      <c r="X46" s="160">
        <v>1</v>
      </c>
      <c r="Y46" s="160">
        <v>1</v>
      </c>
      <c r="Z46" s="160">
        <v>1</v>
      </c>
      <c r="AA46" s="160">
        <v>1</v>
      </c>
    </row>
    <row r="47" spans="1:27" ht="18" customHeight="1" x14ac:dyDescent="0.25">
      <c r="A47" s="159">
        <v>80</v>
      </c>
      <c r="B47" s="157" t="s">
        <v>29</v>
      </c>
      <c r="C47" s="157" t="s">
        <v>69</v>
      </c>
      <c r="D47" s="159" t="s">
        <v>945</v>
      </c>
      <c r="E47" s="157" t="s">
        <v>943</v>
      </c>
      <c r="F47" s="157"/>
      <c r="G47" s="157" t="s">
        <v>1321</v>
      </c>
      <c r="H47" s="157" t="s">
        <v>1322</v>
      </c>
      <c r="I47" s="157" t="s">
        <v>1323</v>
      </c>
      <c r="J47" s="157" t="s">
        <v>1324</v>
      </c>
      <c r="K47" s="157" t="s">
        <v>1269</v>
      </c>
      <c r="L47" s="157" t="s">
        <v>1383</v>
      </c>
      <c r="M47" s="157" t="str">
        <f t="shared" si="1"/>
        <v>Onboard Charger - Computing</v>
      </c>
      <c r="N47" s="157"/>
      <c r="O47" s="157"/>
      <c r="P47" s="159" t="s">
        <v>7614</v>
      </c>
      <c r="Q47" s="157"/>
      <c r="R47" s="157"/>
      <c r="S47" s="157"/>
      <c r="T47" s="157"/>
      <c r="U47" s="159" t="s">
        <v>2129</v>
      </c>
      <c r="V47" s="159" t="s">
        <v>2129</v>
      </c>
      <c r="W47" s="159" t="s">
        <v>2129</v>
      </c>
      <c r="X47" s="160"/>
      <c r="Y47" s="160"/>
      <c r="Z47" s="160"/>
      <c r="AA47" s="160"/>
    </row>
    <row r="48" spans="1:27" ht="18" customHeight="1" x14ac:dyDescent="0.25">
      <c r="A48" s="159">
        <v>80</v>
      </c>
      <c r="B48" s="157" t="s">
        <v>199</v>
      </c>
      <c r="C48" s="157" t="s">
        <v>485</v>
      </c>
      <c r="D48" s="159" t="s">
        <v>488</v>
      </c>
      <c r="E48" s="157" t="s">
        <v>1319</v>
      </c>
      <c r="F48" s="157" t="s">
        <v>1320</v>
      </c>
      <c r="G48" s="157" t="s">
        <v>1321</v>
      </c>
      <c r="H48" s="157" t="s">
        <v>1322</v>
      </c>
      <c r="I48" s="157" t="s">
        <v>1323</v>
      </c>
      <c r="J48" s="157" t="s">
        <v>1324</v>
      </c>
      <c r="K48" s="157" t="s">
        <v>1269</v>
      </c>
      <c r="L48" s="157" t="s">
        <v>1383</v>
      </c>
      <c r="M48" s="157" t="str">
        <f t="shared" si="1"/>
        <v>Onboard Charger - Computing</v>
      </c>
      <c r="N48" s="157"/>
      <c r="O48" s="157"/>
      <c r="P48" s="159" t="s">
        <v>7614</v>
      </c>
      <c r="Q48" s="157"/>
      <c r="R48" s="157"/>
      <c r="S48" s="157"/>
      <c r="T48" s="157"/>
      <c r="U48" s="159" t="s">
        <v>2129</v>
      </c>
      <c r="V48" s="159" t="s">
        <v>2129</v>
      </c>
      <c r="W48" s="159" t="s">
        <v>2129</v>
      </c>
      <c r="X48" s="160"/>
      <c r="Y48" s="160"/>
      <c r="Z48" s="160"/>
      <c r="AA48" s="160"/>
    </row>
    <row r="49" spans="1:27" ht="18" customHeight="1" x14ac:dyDescent="0.25">
      <c r="A49" s="159">
        <v>80</v>
      </c>
      <c r="B49" s="157" t="s">
        <v>199</v>
      </c>
      <c r="C49" s="157" t="s">
        <v>485</v>
      </c>
      <c r="D49" s="159" t="s">
        <v>630</v>
      </c>
      <c r="E49" s="157" t="s">
        <v>628</v>
      </c>
      <c r="F49" s="157"/>
      <c r="G49" s="157" t="s">
        <v>1321</v>
      </c>
      <c r="H49" s="157" t="s">
        <v>1322</v>
      </c>
      <c r="I49" s="157" t="s">
        <v>1323</v>
      </c>
      <c r="J49" s="157" t="s">
        <v>1324</v>
      </c>
      <c r="K49" s="157" t="s">
        <v>1269</v>
      </c>
      <c r="L49" s="157" t="s">
        <v>1383</v>
      </c>
      <c r="M49" s="157" t="str">
        <f t="shared" si="1"/>
        <v>Onboard Charger - Computing</v>
      </c>
      <c r="N49" s="157"/>
      <c r="O49" s="157"/>
      <c r="P49" s="159" t="s">
        <v>7614</v>
      </c>
      <c r="Q49" s="157"/>
      <c r="R49" s="157"/>
      <c r="S49" s="157"/>
      <c r="T49" s="157"/>
      <c r="U49" s="159" t="s">
        <v>2129</v>
      </c>
      <c r="V49" s="159" t="s">
        <v>2129</v>
      </c>
      <c r="W49" s="159" t="s">
        <v>2129</v>
      </c>
      <c r="X49" s="160"/>
      <c r="Y49" s="160"/>
      <c r="Z49" s="160"/>
      <c r="AA49" s="160"/>
    </row>
    <row r="50" spans="1:27" ht="18" customHeight="1" x14ac:dyDescent="0.25">
      <c r="A50" s="159">
        <v>80</v>
      </c>
      <c r="B50" s="157" t="s">
        <v>199</v>
      </c>
      <c r="C50" s="157" t="s">
        <v>485</v>
      </c>
      <c r="D50" s="159" t="s">
        <v>633</v>
      </c>
      <c r="E50" s="157" t="s">
        <v>1325</v>
      </c>
      <c r="F50" s="157"/>
      <c r="G50" s="157" t="s">
        <v>1321</v>
      </c>
      <c r="H50" s="157" t="s">
        <v>1322</v>
      </c>
      <c r="I50" s="157" t="s">
        <v>1323</v>
      </c>
      <c r="J50" s="157" t="s">
        <v>1324</v>
      </c>
      <c r="K50" s="157" t="s">
        <v>1269</v>
      </c>
      <c r="L50" s="157" t="s">
        <v>1383</v>
      </c>
      <c r="M50" s="157" t="str">
        <f t="shared" si="1"/>
        <v>Onboard Charger - Computing</v>
      </c>
      <c r="N50" s="157"/>
      <c r="O50" s="157"/>
      <c r="P50" s="159" t="s">
        <v>7614</v>
      </c>
      <c r="Q50" s="157"/>
      <c r="R50" s="157"/>
      <c r="S50" s="157"/>
      <c r="T50" s="157"/>
      <c r="U50" s="159" t="s">
        <v>2129</v>
      </c>
      <c r="V50" s="159" t="s">
        <v>2129</v>
      </c>
      <c r="W50" s="159" t="s">
        <v>2129</v>
      </c>
      <c r="X50" s="160"/>
      <c r="Y50" s="160"/>
      <c r="Z50" s="160"/>
      <c r="AA50" s="160"/>
    </row>
    <row r="51" spans="1:27" ht="18" customHeight="1" x14ac:dyDescent="0.25">
      <c r="A51" s="159">
        <v>80</v>
      </c>
      <c r="B51" s="157" t="s">
        <v>199</v>
      </c>
      <c r="C51" s="157" t="s">
        <v>485</v>
      </c>
      <c r="D51" s="159" t="s">
        <v>814</v>
      </c>
      <c r="E51" s="157" t="s">
        <v>812</v>
      </c>
      <c r="F51" s="157"/>
      <c r="G51" s="157" t="s">
        <v>1321</v>
      </c>
      <c r="H51" s="157" t="s">
        <v>1322</v>
      </c>
      <c r="I51" s="157" t="s">
        <v>1323</v>
      </c>
      <c r="J51" s="157" t="s">
        <v>1324</v>
      </c>
      <c r="K51" s="157" t="s">
        <v>1269</v>
      </c>
      <c r="L51" s="157" t="s">
        <v>1383</v>
      </c>
      <c r="M51" s="157" t="str">
        <f t="shared" si="1"/>
        <v>Onboard Charger - Computing</v>
      </c>
      <c r="N51" s="157"/>
      <c r="O51" s="157"/>
      <c r="P51" s="159" t="s">
        <v>7614</v>
      </c>
      <c r="Q51" s="157"/>
      <c r="R51" s="157"/>
      <c r="S51" s="157"/>
      <c r="T51" s="157"/>
      <c r="U51" s="159" t="s">
        <v>2129</v>
      </c>
      <c r="V51" s="159" t="s">
        <v>2129</v>
      </c>
      <c r="W51" s="159" t="s">
        <v>2129</v>
      </c>
      <c r="X51" s="160"/>
      <c r="Y51" s="160"/>
      <c r="Z51" s="160"/>
      <c r="AA51" s="160"/>
    </row>
    <row r="52" spans="1:27" ht="18" customHeight="1" x14ac:dyDescent="0.25">
      <c r="A52" s="159">
        <v>80</v>
      </c>
      <c r="B52" s="157" t="s">
        <v>199</v>
      </c>
      <c r="C52" s="157" t="s">
        <v>485</v>
      </c>
      <c r="D52" s="159" t="s">
        <v>817</v>
      </c>
      <c r="E52" s="157" t="s">
        <v>815</v>
      </c>
      <c r="F52" s="157"/>
      <c r="G52" s="157" t="s">
        <v>1321</v>
      </c>
      <c r="H52" s="157" t="s">
        <v>1322</v>
      </c>
      <c r="I52" s="157" t="s">
        <v>1323</v>
      </c>
      <c r="J52" s="157" t="s">
        <v>1324</v>
      </c>
      <c r="K52" s="157" t="s">
        <v>1269</v>
      </c>
      <c r="L52" s="157" t="s">
        <v>1383</v>
      </c>
      <c r="M52" s="157" t="str">
        <f t="shared" si="1"/>
        <v>Onboard Charger - Computing</v>
      </c>
      <c r="N52" s="157"/>
      <c r="O52" s="157"/>
      <c r="P52" s="159" t="s">
        <v>7614</v>
      </c>
      <c r="Q52" s="157"/>
      <c r="R52" s="157"/>
      <c r="S52" s="157"/>
      <c r="T52" s="157"/>
      <c r="U52" s="159" t="s">
        <v>2129</v>
      </c>
      <c r="V52" s="159" t="s">
        <v>2129</v>
      </c>
      <c r="W52" s="159" t="s">
        <v>2129</v>
      </c>
      <c r="X52" s="160"/>
      <c r="Y52" s="160"/>
      <c r="Z52" s="160"/>
      <c r="AA52" s="160"/>
    </row>
    <row r="53" spans="1:27" ht="18" customHeight="1" x14ac:dyDescent="0.25">
      <c r="A53" s="159">
        <v>80</v>
      </c>
      <c r="B53" s="157" t="s">
        <v>199</v>
      </c>
      <c r="C53" s="157" t="s">
        <v>485</v>
      </c>
      <c r="D53" s="159" t="s">
        <v>967</v>
      </c>
      <c r="E53" s="157" t="s">
        <v>965</v>
      </c>
      <c r="F53" s="157"/>
      <c r="G53" s="157" t="s">
        <v>1321</v>
      </c>
      <c r="H53" s="157" t="s">
        <v>1322</v>
      </c>
      <c r="I53" s="157" t="s">
        <v>1323</v>
      </c>
      <c r="J53" s="157" t="s">
        <v>1324</v>
      </c>
      <c r="K53" s="157" t="s">
        <v>1269</v>
      </c>
      <c r="L53" s="157" t="s">
        <v>1383</v>
      </c>
      <c r="M53" s="157" t="str">
        <f t="shared" si="1"/>
        <v>Onboard Charger - Computing</v>
      </c>
      <c r="N53" s="157"/>
      <c r="O53" s="157"/>
      <c r="P53" s="159" t="s">
        <v>7614</v>
      </c>
      <c r="Q53" s="157"/>
      <c r="R53" s="157"/>
      <c r="S53" s="157"/>
      <c r="T53" s="157"/>
      <c r="U53" s="159" t="s">
        <v>2129</v>
      </c>
      <c r="V53" s="159" t="s">
        <v>2129</v>
      </c>
      <c r="W53" s="159" t="s">
        <v>2129</v>
      </c>
      <c r="X53" s="160"/>
      <c r="Y53" s="160"/>
      <c r="Z53" s="160"/>
      <c r="AA53" s="160"/>
    </row>
    <row r="54" spans="1:27" ht="18" customHeight="1" x14ac:dyDescent="0.25">
      <c r="A54" s="159">
        <v>81</v>
      </c>
      <c r="B54" s="157" t="s">
        <v>256</v>
      </c>
      <c r="C54" s="157" t="s">
        <v>532</v>
      </c>
      <c r="D54" s="159" t="s">
        <v>1063</v>
      </c>
      <c r="E54" s="157" t="s">
        <v>1061</v>
      </c>
      <c r="F54" s="157" t="s">
        <v>1010</v>
      </c>
      <c r="G54" s="157" t="s">
        <v>1299</v>
      </c>
      <c r="H54" s="157" t="s">
        <v>1326</v>
      </c>
      <c r="I54" s="157" t="s">
        <v>1327</v>
      </c>
      <c r="J54" s="157" t="s">
        <v>1328</v>
      </c>
      <c r="K54" s="157" t="s">
        <v>1312</v>
      </c>
      <c r="L54" s="157" t="s">
        <v>2055</v>
      </c>
      <c r="M54" s="157" t="str">
        <f t="shared" si="1"/>
        <v>Wear Sensor Front Left - Pad Warning</v>
      </c>
      <c r="N54" s="157"/>
      <c r="O54" s="157"/>
      <c r="P54" s="159" t="s">
        <v>7538</v>
      </c>
      <c r="Q54" s="157" t="s">
        <v>2115</v>
      </c>
      <c r="R54" s="157" t="s">
        <v>2130</v>
      </c>
      <c r="S54" s="157" t="s">
        <v>8609</v>
      </c>
      <c r="T54" s="157" t="s">
        <v>2129</v>
      </c>
      <c r="U54" s="159" t="s">
        <v>2129</v>
      </c>
      <c r="V54" s="159" t="s">
        <v>2129</v>
      </c>
      <c r="W54" s="159" t="s">
        <v>2138</v>
      </c>
      <c r="X54" s="160">
        <v>1</v>
      </c>
      <c r="Y54" s="160">
        <v>1</v>
      </c>
      <c r="Z54" s="160">
        <v>1</v>
      </c>
      <c r="AA54" s="160">
        <v>1</v>
      </c>
    </row>
    <row r="55" spans="1:27" ht="18" customHeight="1" x14ac:dyDescent="0.25">
      <c r="A55" s="159">
        <v>83</v>
      </c>
      <c r="B55" s="157" t="s">
        <v>251</v>
      </c>
      <c r="C55" s="157" t="s">
        <v>311</v>
      </c>
      <c r="D55" s="159" t="s">
        <v>980</v>
      </c>
      <c r="E55" s="157" t="s">
        <v>978</v>
      </c>
      <c r="F55" s="157"/>
      <c r="G55" s="157" t="s">
        <v>1321</v>
      </c>
      <c r="H55" s="157" t="s">
        <v>1330</v>
      </c>
      <c r="I55" s="157" t="s">
        <v>1331</v>
      </c>
      <c r="J55" s="157" t="s">
        <v>1324</v>
      </c>
      <c r="K55" s="157" t="s">
        <v>1312</v>
      </c>
      <c r="L55" s="157" t="s">
        <v>1332</v>
      </c>
      <c r="M55" s="157" t="str">
        <f t="shared" si="1"/>
        <v>Accelerator Pedal - Vehicle Acceleration and Deceleration</v>
      </c>
      <c r="N55" s="157"/>
      <c r="O55" s="157"/>
      <c r="P55" s="159" t="s">
        <v>6293</v>
      </c>
      <c r="Q55" s="157" t="s">
        <v>2115</v>
      </c>
      <c r="R55" s="157" t="s">
        <v>2126</v>
      </c>
      <c r="S55" s="157" t="s">
        <v>8564</v>
      </c>
      <c r="T55" s="157"/>
      <c r="U55" s="159" t="s">
        <v>2138</v>
      </c>
      <c r="V55" s="159" t="s">
        <v>2138</v>
      </c>
      <c r="W55" s="159" t="s">
        <v>2138</v>
      </c>
      <c r="X55" s="160">
        <v>1</v>
      </c>
      <c r="Y55" s="160">
        <v>1</v>
      </c>
      <c r="Z55" s="160">
        <v>1</v>
      </c>
      <c r="AA55" s="160">
        <v>1</v>
      </c>
    </row>
    <row r="56" spans="1:27" ht="18" customHeight="1" x14ac:dyDescent="0.25">
      <c r="A56" s="159">
        <v>83</v>
      </c>
      <c r="B56" s="157" t="s">
        <v>251</v>
      </c>
      <c r="C56" s="157" t="s">
        <v>366</v>
      </c>
      <c r="D56" s="159" t="s">
        <v>808</v>
      </c>
      <c r="E56" s="157" t="s">
        <v>806</v>
      </c>
      <c r="F56" s="157" t="s">
        <v>1320</v>
      </c>
      <c r="G56" s="157" t="s">
        <v>1321</v>
      </c>
      <c r="H56" s="157" t="s">
        <v>1330</v>
      </c>
      <c r="I56" s="157" t="s">
        <v>1331</v>
      </c>
      <c r="J56" s="157" t="s">
        <v>1324</v>
      </c>
      <c r="K56" s="157" t="s">
        <v>1312</v>
      </c>
      <c r="L56" s="157" t="s">
        <v>1332</v>
      </c>
      <c r="M56" s="157" t="str">
        <f t="shared" si="1"/>
        <v>Accelerator Pedal - Vehicle Acceleration and Deceleration</v>
      </c>
      <c r="N56" s="157"/>
      <c r="O56" s="157"/>
      <c r="P56" s="159" t="s">
        <v>6293</v>
      </c>
      <c r="Q56" s="157" t="s">
        <v>2115</v>
      </c>
      <c r="R56" s="157" t="s">
        <v>2126</v>
      </c>
      <c r="S56" s="157" t="s">
        <v>8564</v>
      </c>
      <c r="T56" s="157"/>
      <c r="U56" s="159" t="s">
        <v>2138</v>
      </c>
      <c r="V56" s="159" t="s">
        <v>2138</v>
      </c>
      <c r="W56" s="159" t="s">
        <v>2138</v>
      </c>
      <c r="X56" s="160">
        <v>1</v>
      </c>
      <c r="Y56" s="160">
        <v>1</v>
      </c>
      <c r="Z56" s="160">
        <v>1</v>
      </c>
      <c r="AA56" s="160">
        <v>1</v>
      </c>
    </row>
    <row r="57" spans="1:27" ht="18" customHeight="1" x14ac:dyDescent="0.25">
      <c r="A57" s="159">
        <v>83</v>
      </c>
      <c r="B57" s="157" t="s">
        <v>266</v>
      </c>
      <c r="C57" s="157" t="s">
        <v>1196</v>
      </c>
      <c r="D57" s="159" t="s">
        <v>1203</v>
      </c>
      <c r="E57" s="157" t="s">
        <v>1201</v>
      </c>
      <c r="F57" s="157"/>
      <c r="G57" s="157" t="s">
        <v>1321</v>
      </c>
      <c r="H57" s="157" t="s">
        <v>1330</v>
      </c>
      <c r="I57" s="157" t="s">
        <v>1331</v>
      </c>
      <c r="J57" s="157" t="s">
        <v>1324</v>
      </c>
      <c r="K57" s="157" t="s">
        <v>1312</v>
      </c>
      <c r="L57" s="157" t="s">
        <v>1332</v>
      </c>
      <c r="M57" s="157" t="str">
        <f t="shared" si="1"/>
        <v>Accelerator Pedal - Vehicle Acceleration and Deceleration</v>
      </c>
      <c r="N57" s="157"/>
      <c r="O57" s="157"/>
      <c r="P57" s="159" t="s">
        <v>6293</v>
      </c>
      <c r="Q57" s="157" t="s">
        <v>2115</v>
      </c>
      <c r="R57" s="157" t="s">
        <v>2126</v>
      </c>
      <c r="S57" s="157" t="s">
        <v>8564</v>
      </c>
      <c r="T57" s="157"/>
      <c r="U57" s="159" t="s">
        <v>2129</v>
      </c>
      <c r="V57" s="159" t="s">
        <v>2138</v>
      </c>
      <c r="W57" s="159" t="s">
        <v>2138</v>
      </c>
      <c r="X57" s="160">
        <v>1</v>
      </c>
      <c r="Y57" s="160">
        <v>1</v>
      </c>
      <c r="Z57" s="160">
        <v>1</v>
      </c>
      <c r="AA57" s="160">
        <v>1</v>
      </c>
    </row>
    <row r="58" spans="1:27" ht="18" customHeight="1" x14ac:dyDescent="0.25">
      <c r="A58" s="159">
        <v>88</v>
      </c>
      <c r="B58" s="157" t="s">
        <v>22</v>
      </c>
      <c r="C58" s="157" t="s">
        <v>132</v>
      </c>
      <c r="D58" s="159" t="s">
        <v>142</v>
      </c>
      <c r="E58" s="157" t="s">
        <v>140</v>
      </c>
      <c r="F58" s="157" t="s">
        <v>1298</v>
      </c>
      <c r="G58" s="157" t="s">
        <v>1299</v>
      </c>
      <c r="H58" s="157" t="s">
        <v>1300</v>
      </c>
      <c r="I58" s="157" t="s">
        <v>1333</v>
      </c>
      <c r="J58" s="157" t="s">
        <v>1285</v>
      </c>
      <c r="K58" s="157" t="s">
        <v>1302</v>
      </c>
      <c r="L58" s="157" t="s">
        <v>1334</v>
      </c>
      <c r="M58" s="157" t="str">
        <f t="shared" si="1"/>
        <v>Retractor 1st Row L 1 - Pretensioner - Pretensioner Retractor</v>
      </c>
      <c r="N58" s="157"/>
      <c r="O58" s="157"/>
      <c r="P58" s="159" t="s">
        <v>7713</v>
      </c>
      <c r="Q58" s="157"/>
      <c r="R58" s="157"/>
      <c r="S58" s="157"/>
      <c r="T58" s="157"/>
      <c r="U58" s="159" t="s">
        <v>2129</v>
      </c>
      <c r="V58" s="159" t="s">
        <v>2138</v>
      </c>
      <c r="W58" s="159" t="s">
        <v>2138</v>
      </c>
      <c r="X58" s="160">
        <v>0</v>
      </c>
      <c r="Y58" s="160">
        <v>0</v>
      </c>
      <c r="Z58" s="160">
        <v>0</v>
      </c>
      <c r="AA58" s="160">
        <v>0</v>
      </c>
    </row>
    <row r="59" spans="1:27" ht="18" customHeight="1" x14ac:dyDescent="0.25">
      <c r="A59" s="159">
        <v>89</v>
      </c>
      <c r="B59" s="157" t="s">
        <v>22</v>
      </c>
      <c r="C59" s="157" t="s">
        <v>132</v>
      </c>
      <c r="D59" s="159" t="s">
        <v>893</v>
      </c>
      <c r="E59" s="157" t="s">
        <v>892</v>
      </c>
      <c r="F59" s="157" t="s">
        <v>1264</v>
      </c>
      <c r="G59" s="157" t="s">
        <v>1299</v>
      </c>
      <c r="H59" s="157" t="s">
        <v>1300</v>
      </c>
      <c r="I59" s="157" t="s">
        <v>1335</v>
      </c>
      <c r="J59" s="157" t="s">
        <v>1285</v>
      </c>
      <c r="K59" s="157" t="s">
        <v>1302</v>
      </c>
      <c r="L59" s="157" t="s">
        <v>1336</v>
      </c>
      <c r="M59" s="157" t="str">
        <f t="shared" si="1"/>
        <v>Retractor 2nd Row L - Retractor</v>
      </c>
      <c r="N59" s="157"/>
      <c r="O59" s="157"/>
      <c r="P59" s="159" t="s">
        <v>7735</v>
      </c>
      <c r="Q59" s="157"/>
      <c r="R59" s="157"/>
      <c r="S59" s="157"/>
      <c r="T59" s="157"/>
      <c r="U59" s="159" t="s">
        <v>2129</v>
      </c>
      <c r="V59" s="159" t="s">
        <v>2138</v>
      </c>
      <c r="W59" s="159" t="s">
        <v>2138</v>
      </c>
      <c r="X59" s="160">
        <v>0</v>
      </c>
      <c r="Y59" s="160">
        <v>0</v>
      </c>
      <c r="Z59" s="160">
        <v>0</v>
      </c>
      <c r="AA59" s="160">
        <v>0</v>
      </c>
    </row>
    <row r="60" spans="1:27" ht="18" customHeight="1" x14ac:dyDescent="0.25">
      <c r="A60" s="159">
        <v>90</v>
      </c>
      <c r="B60" s="157" t="s">
        <v>22</v>
      </c>
      <c r="C60" s="157" t="s">
        <v>132</v>
      </c>
      <c r="D60" s="159" t="s">
        <v>142</v>
      </c>
      <c r="E60" s="157" t="s">
        <v>140</v>
      </c>
      <c r="F60" s="157" t="s">
        <v>1298</v>
      </c>
      <c r="G60" s="157" t="s">
        <v>1299</v>
      </c>
      <c r="H60" s="157" t="s">
        <v>1300</v>
      </c>
      <c r="I60" s="157" t="s">
        <v>1337</v>
      </c>
      <c r="J60" s="157" t="s">
        <v>1285</v>
      </c>
      <c r="K60" s="157" t="s">
        <v>1302</v>
      </c>
      <c r="L60" s="157" t="s">
        <v>1338</v>
      </c>
      <c r="M60" s="157" t="str">
        <f t="shared" si="1"/>
        <v>Retractor 1st Row L 2 - Load Limiter - Retractor Load Limiter</v>
      </c>
      <c r="N60" s="157"/>
      <c r="O60" s="157"/>
      <c r="P60" s="159" t="s">
        <v>5857</v>
      </c>
      <c r="Q60" s="157"/>
      <c r="R60" s="157"/>
      <c r="S60" s="157"/>
      <c r="T60" s="157"/>
      <c r="U60" s="159" t="s">
        <v>2129</v>
      </c>
      <c r="V60" s="159" t="s">
        <v>2129</v>
      </c>
      <c r="W60" s="159" t="s">
        <v>2138</v>
      </c>
      <c r="X60" s="160">
        <v>0</v>
      </c>
      <c r="Y60" s="160">
        <v>0</v>
      </c>
      <c r="Z60" s="160">
        <v>0</v>
      </c>
      <c r="AA60" s="160">
        <v>0</v>
      </c>
    </row>
    <row r="61" spans="1:27" ht="18" customHeight="1" x14ac:dyDescent="0.25">
      <c r="A61" s="166">
        <v>92</v>
      </c>
      <c r="B61" s="157" t="s">
        <v>29</v>
      </c>
      <c r="C61" s="157" t="s">
        <v>30</v>
      </c>
      <c r="D61" s="159" t="s">
        <v>33</v>
      </c>
      <c r="E61" s="157" t="s">
        <v>31</v>
      </c>
      <c r="F61" s="157" t="s">
        <v>1275</v>
      </c>
      <c r="G61" s="157" t="s">
        <v>1536</v>
      </c>
      <c r="H61" s="157" t="s">
        <v>1287</v>
      </c>
      <c r="I61" s="157" t="s">
        <v>1339</v>
      </c>
      <c r="J61" s="157" t="s">
        <v>1455</v>
      </c>
      <c r="K61" s="157" t="s">
        <v>1269</v>
      </c>
      <c r="L61" s="157" t="s">
        <v>8477</v>
      </c>
      <c r="M61" s="157" t="str">
        <f t="shared" si="1"/>
        <v>Taillamp Assy' LED Left - Body - Rear Lamps L</v>
      </c>
      <c r="N61" s="164"/>
      <c r="O61" s="165"/>
      <c r="P61" s="159" t="s">
        <v>7510</v>
      </c>
      <c r="Q61" s="157"/>
      <c r="R61" s="157"/>
      <c r="S61" s="157"/>
      <c r="T61" s="157"/>
      <c r="U61" s="159" t="s">
        <v>2129</v>
      </c>
      <c r="V61" s="159" t="s">
        <v>2138</v>
      </c>
      <c r="W61" s="159" t="s">
        <v>2129</v>
      </c>
      <c r="X61" s="160">
        <v>0.35</v>
      </c>
      <c r="Y61" s="160">
        <v>0.16</v>
      </c>
      <c r="Z61" s="160">
        <v>0.56999999999999995</v>
      </c>
      <c r="AA61" s="160">
        <v>0.35</v>
      </c>
    </row>
    <row r="62" spans="1:27" ht="18" customHeight="1" x14ac:dyDescent="0.25">
      <c r="A62" s="166">
        <v>92</v>
      </c>
      <c r="B62" s="157" t="s">
        <v>29</v>
      </c>
      <c r="C62" s="157" t="s">
        <v>30</v>
      </c>
      <c r="D62" s="159" t="s">
        <v>95</v>
      </c>
      <c r="E62" s="157" t="s">
        <v>93</v>
      </c>
      <c r="F62" s="157" t="s">
        <v>1275</v>
      </c>
      <c r="G62" s="157" t="s">
        <v>1536</v>
      </c>
      <c r="H62" s="157" t="s">
        <v>1287</v>
      </c>
      <c r="I62" s="157" t="s">
        <v>1339</v>
      </c>
      <c r="J62" s="157" t="s">
        <v>1455</v>
      </c>
      <c r="K62" s="157" t="s">
        <v>1269</v>
      </c>
      <c r="L62" s="157" t="s">
        <v>8477</v>
      </c>
      <c r="M62" s="157" t="str">
        <f t="shared" si="1"/>
        <v>Taillamp Assy' LED Left - Body - Rear Lamps L</v>
      </c>
      <c r="N62" s="164"/>
      <c r="O62" s="165"/>
      <c r="P62" s="159" t="s">
        <v>7510</v>
      </c>
      <c r="Q62" s="157"/>
      <c r="R62" s="157"/>
      <c r="S62" s="157"/>
      <c r="T62" s="157"/>
      <c r="U62" s="159" t="s">
        <v>2129</v>
      </c>
      <c r="V62" s="159" t="s">
        <v>2138</v>
      </c>
      <c r="W62" s="159" t="s">
        <v>2129</v>
      </c>
      <c r="X62" s="160">
        <v>0.35</v>
      </c>
      <c r="Y62" s="160">
        <v>0.16</v>
      </c>
      <c r="Z62" s="160">
        <v>0.56999999999999995</v>
      </c>
      <c r="AA62" s="160">
        <v>0.35</v>
      </c>
    </row>
    <row r="63" spans="1:27" ht="18" customHeight="1" x14ac:dyDescent="0.25">
      <c r="A63" s="166">
        <v>92</v>
      </c>
      <c r="B63" s="157" t="s">
        <v>29</v>
      </c>
      <c r="C63" s="157" t="s">
        <v>30</v>
      </c>
      <c r="D63" s="159" t="s">
        <v>233</v>
      </c>
      <c r="E63" s="157" t="s">
        <v>231</v>
      </c>
      <c r="F63" s="157" t="s">
        <v>1264</v>
      </c>
      <c r="G63" s="157" t="s">
        <v>1536</v>
      </c>
      <c r="H63" s="157" t="s">
        <v>1287</v>
      </c>
      <c r="I63" s="157" t="s">
        <v>1339</v>
      </c>
      <c r="J63" s="157" t="s">
        <v>1455</v>
      </c>
      <c r="K63" s="157" t="s">
        <v>1269</v>
      </c>
      <c r="L63" s="157" t="s">
        <v>8477</v>
      </c>
      <c r="M63" s="157" t="str">
        <f t="shared" si="1"/>
        <v>Taillamp Assy' LED Left - Body - Rear Lamps L</v>
      </c>
      <c r="N63" s="164"/>
      <c r="O63" s="165"/>
      <c r="P63" s="159" t="s">
        <v>7510</v>
      </c>
      <c r="Q63" s="157"/>
      <c r="R63" s="157"/>
      <c r="S63" s="157"/>
      <c r="T63" s="157"/>
      <c r="U63" s="159" t="s">
        <v>2129</v>
      </c>
      <c r="V63" s="159" t="s">
        <v>2138</v>
      </c>
      <c r="W63" s="159" t="s">
        <v>2129</v>
      </c>
      <c r="X63" s="160">
        <v>0.35</v>
      </c>
      <c r="Y63" s="160">
        <v>0.16</v>
      </c>
      <c r="Z63" s="160">
        <v>0.56999999999999995</v>
      </c>
      <c r="AA63" s="160">
        <v>0.35</v>
      </c>
    </row>
    <row r="64" spans="1:27" ht="18" customHeight="1" x14ac:dyDescent="0.25">
      <c r="A64" s="166">
        <v>92</v>
      </c>
      <c r="B64" s="157" t="s">
        <v>29</v>
      </c>
      <c r="C64" s="157" t="s">
        <v>30</v>
      </c>
      <c r="D64" s="159" t="s">
        <v>377</v>
      </c>
      <c r="E64" s="157" t="s">
        <v>375</v>
      </c>
      <c r="F64" s="157" t="s">
        <v>1264</v>
      </c>
      <c r="G64" s="157" t="s">
        <v>1536</v>
      </c>
      <c r="H64" s="157" t="s">
        <v>1287</v>
      </c>
      <c r="I64" s="157" t="s">
        <v>1339</v>
      </c>
      <c r="J64" s="157" t="s">
        <v>1455</v>
      </c>
      <c r="K64" s="157" t="s">
        <v>1269</v>
      </c>
      <c r="L64" s="157" t="s">
        <v>8477</v>
      </c>
      <c r="M64" s="157" t="str">
        <f t="shared" si="1"/>
        <v>Taillamp Assy' LED Left - Body - Rear Lamps L</v>
      </c>
      <c r="N64" s="164"/>
      <c r="O64" s="165"/>
      <c r="P64" s="159" t="s">
        <v>7510</v>
      </c>
      <c r="Q64" s="157"/>
      <c r="R64" s="157"/>
      <c r="S64" s="157"/>
      <c r="T64" s="157"/>
      <c r="U64" s="159" t="s">
        <v>2129</v>
      </c>
      <c r="V64" s="159" t="s">
        <v>2138</v>
      </c>
      <c r="W64" s="159" t="s">
        <v>2129</v>
      </c>
      <c r="X64" s="160">
        <v>0.35</v>
      </c>
      <c r="Y64" s="160">
        <v>0.16</v>
      </c>
      <c r="Z64" s="160">
        <v>0.56999999999999995</v>
      </c>
      <c r="AA64" s="160">
        <v>0.35</v>
      </c>
    </row>
    <row r="65" spans="1:27" ht="18" customHeight="1" x14ac:dyDescent="0.25">
      <c r="A65" s="166">
        <v>92</v>
      </c>
      <c r="B65" s="157" t="s">
        <v>29</v>
      </c>
      <c r="C65" s="157" t="s">
        <v>30</v>
      </c>
      <c r="D65" s="159" t="s">
        <v>380</v>
      </c>
      <c r="E65" s="157" t="s">
        <v>378</v>
      </c>
      <c r="F65" s="157" t="s">
        <v>1264</v>
      </c>
      <c r="G65" s="157" t="s">
        <v>1536</v>
      </c>
      <c r="H65" s="157" t="s">
        <v>1287</v>
      </c>
      <c r="I65" s="157" t="s">
        <v>1339</v>
      </c>
      <c r="J65" s="157" t="s">
        <v>1455</v>
      </c>
      <c r="K65" s="157" t="s">
        <v>1269</v>
      </c>
      <c r="L65" s="157" t="s">
        <v>8477</v>
      </c>
      <c r="M65" s="157" t="str">
        <f t="shared" si="1"/>
        <v>Taillamp Assy' LED Left - Body - Rear Lamps L</v>
      </c>
      <c r="N65" s="164"/>
      <c r="O65" s="165"/>
      <c r="P65" s="159" t="s">
        <v>7510</v>
      </c>
      <c r="Q65" s="157"/>
      <c r="R65" s="157"/>
      <c r="S65" s="157"/>
      <c r="T65" s="157"/>
      <c r="U65" s="159" t="s">
        <v>2129</v>
      </c>
      <c r="V65" s="159" t="s">
        <v>2138</v>
      </c>
      <c r="W65" s="159" t="s">
        <v>2129</v>
      </c>
      <c r="X65" s="160">
        <v>0.35</v>
      </c>
      <c r="Y65" s="160">
        <v>0.16</v>
      </c>
      <c r="Z65" s="160">
        <v>0.56999999999999995</v>
      </c>
      <c r="AA65" s="160">
        <v>0.35</v>
      </c>
    </row>
    <row r="66" spans="1:27" ht="18" customHeight="1" x14ac:dyDescent="0.25">
      <c r="A66" s="166">
        <v>92</v>
      </c>
      <c r="B66" s="157" t="s">
        <v>29</v>
      </c>
      <c r="C66" s="157" t="s">
        <v>30</v>
      </c>
      <c r="D66" s="159" t="s">
        <v>398</v>
      </c>
      <c r="E66" s="157" t="s">
        <v>396</v>
      </c>
      <c r="F66" s="157" t="s">
        <v>1264</v>
      </c>
      <c r="G66" s="157" t="s">
        <v>1536</v>
      </c>
      <c r="H66" s="157" t="s">
        <v>1287</v>
      </c>
      <c r="I66" s="157" t="s">
        <v>1339</v>
      </c>
      <c r="J66" s="157" t="s">
        <v>1455</v>
      </c>
      <c r="K66" s="157" t="s">
        <v>1269</v>
      </c>
      <c r="L66" s="157" t="s">
        <v>8477</v>
      </c>
      <c r="M66" s="157" t="str">
        <f t="shared" si="1"/>
        <v>Taillamp Assy' LED Left - Body - Rear Lamps L</v>
      </c>
      <c r="N66" s="164"/>
      <c r="O66" s="165"/>
      <c r="P66" s="159" t="s">
        <v>7510</v>
      </c>
      <c r="Q66" s="157"/>
      <c r="R66" s="157"/>
      <c r="S66" s="157"/>
      <c r="T66" s="157"/>
      <c r="U66" s="159" t="s">
        <v>2129</v>
      </c>
      <c r="V66" s="159" t="s">
        <v>2138</v>
      </c>
      <c r="W66" s="159" t="s">
        <v>2129</v>
      </c>
      <c r="X66" s="160">
        <v>0.35</v>
      </c>
      <c r="Y66" s="160">
        <v>0.16</v>
      </c>
      <c r="Z66" s="160">
        <v>0.56999999999999995</v>
      </c>
      <c r="AA66" s="160">
        <v>0.35</v>
      </c>
    </row>
    <row r="67" spans="1:27" ht="18" customHeight="1" x14ac:dyDescent="0.25">
      <c r="A67" s="166">
        <v>92</v>
      </c>
      <c r="B67" s="157" t="s">
        <v>29</v>
      </c>
      <c r="C67" s="157" t="s">
        <v>30</v>
      </c>
      <c r="D67" s="159" t="s">
        <v>401</v>
      </c>
      <c r="E67" s="157" t="s">
        <v>399</v>
      </c>
      <c r="F67" s="157" t="s">
        <v>1275</v>
      </c>
      <c r="G67" s="157" t="s">
        <v>1536</v>
      </c>
      <c r="H67" s="157" t="s">
        <v>1287</v>
      </c>
      <c r="I67" s="157" t="s">
        <v>1339</v>
      </c>
      <c r="J67" s="157" t="s">
        <v>1455</v>
      </c>
      <c r="K67" s="157" t="s">
        <v>1269</v>
      </c>
      <c r="L67" s="157" t="s">
        <v>8477</v>
      </c>
      <c r="M67" s="157" t="str">
        <f t="shared" si="1"/>
        <v>Taillamp Assy' LED Left - Body - Rear Lamps L</v>
      </c>
      <c r="N67" s="164"/>
      <c r="O67" s="165"/>
      <c r="P67" s="159" t="s">
        <v>7510</v>
      </c>
      <c r="Q67" s="157"/>
      <c r="R67" s="157"/>
      <c r="S67" s="157"/>
      <c r="T67" s="157"/>
      <c r="U67" s="159" t="s">
        <v>2129</v>
      </c>
      <c r="V67" s="159" t="s">
        <v>2138</v>
      </c>
      <c r="W67" s="159" t="s">
        <v>2129</v>
      </c>
      <c r="X67" s="160">
        <v>0.35</v>
      </c>
      <c r="Y67" s="160">
        <v>0.16</v>
      </c>
      <c r="Z67" s="160">
        <v>0.56999999999999995</v>
      </c>
      <c r="AA67" s="160">
        <v>0.35</v>
      </c>
    </row>
    <row r="68" spans="1:27" ht="18" customHeight="1" x14ac:dyDescent="0.25">
      <c r="A68" s="166">
        <v>92</v>
      </c>
      <c r="B68" s="157" t="s">
        <v>29</v>
      </c>
      <c r="C68" s="157" t="s">
        <v>30</v>
      </c>
      <c r="D68" s="159" t="s">
        <v>96</v>
      </c>
      <c r="E68" s="157" t="s">
        <v>402</v>
      </c>
      <c r="F68" s="157" t="s">
        <v>1275</v>
      </c>
      <c r="G68" s="157" t="s">
        <v>1536</v>
      </c>
      <c r="H68" s="157" t="s">
        <v>1287</v>
      </c>
      <c r="I68" s="157" t="s">
        <v>1339</v>
      </c>
      <c r="J68" s="157" t="s">
        <v>1455</v>
      </c>
      <c r="K68" s="157" t="s">
        <v>1269</v>
      </c>
      <c r="L68" s="157" t="s">
        <v>8477</v>
      </c>
      <c r="M68" s="157" t="str">
        <f t="shared" si="1"/>
        <v>Taillamp Assy' LED Left - Body - Rear Lamps L</v>
      </c>
      <c r="N68" s="164"/>
      <c r="O68" s="165"/>
      <c r="P68" s="159" t="s">
        <v>7510</v>
      </c>
      <c r="Q68" s="157"/>
      <c r="R68" s="157"/>
      <c r="S68" s="157"/>
      <c r="T68" s="157"/>
      <c r="U68" s="159" t="s">
        <v>2129</v>
      </c>
      <c r="V68" s="159" t="s">
        <v>2138</v>
      </c>
      <c r="W68" s="159" t="s">
        <v>2129</v>
      </c>
      <c r="X68" s="160">
        <v>0.35</v>
      </c>
      <c r="Y68" s="160">
        <v>0.16</v>
      </c>
      <c r="Z68" s="160">
        <v>0.56999999999999995</v>
      </c>
      <c r="AA68" s="160">
        <v>0.35</v>
      </c>
    </row>
    <row r="69" spans="1:27" ht="18" customHeight="1" x14ac:dyDescent="0.25">
      <c r="A69" s="166">
        <v>92</v>
      </c>
      <c r="B69" s="157" t="s">
        <v>29</v>
      </c>
      <c r="C69" s="157" t="s">
        <v>30</v>
      </c>
      <c r="D69" s="159" t="s">
        <v>34</v>
      </c>
      <c r="E69" s="157" t="s">
        <v>404</v>
      </c>
      <c r="F69" s="157" t="s">
        <v>1275</v>
      </c>
      <c r="G69" s="157" t="s">
        <v>1536</v>
      </c>
      <c r="H69" s="157" t="s">
        <v>1287</v>
      </c>
      <c r="I69" s="157" t="s">
        <v>1339</v>
      </c>
      <c r="J69" s="157" t="s">
        <v>1455</v>
      </c>
      <c r="K69" s="157" t="s">
        <v>1269</v>
      </c>
      <c r="L69" s="157" t="s">
        <v>8477</v>
      </c>
      <c r="M69" s="157" t="str">
        <f t="shared" si="1"/>
        <v>Taillamp Assy' LED Left - Body - Rear Lamps L</v>
      </c>
      <c r="N69" s="164"/>
      <c r="O69" s="165"/>
      <c r="P69" s="159" t="s">
        <v>7510</v>
      </c>
      <c r="Q69" s="157"/>
      <c r="R69" s="157"/>
      <c r="S69" s="157"/>
      <c r="T69" s="157"/>
      <c r="U69" s="159" t="s">
        <v>2129</v>
      </c>
      <c r="V69" s="159" t="s">
        <v>2138</v>
      </c>
      <c r="W69" s="159" t="s">
        <v>2129</v>
      </c>
      <c r="X69" s="160">
        <v>0.35</v>
      </c>
      <c r="Y69" s="160">
        <v>0.16</v>
      </c>
      <c r="Z69" s="160">
        <v>0.56999999999999995</v>
      </c>
      <c r="AA69" s="160">
        <v>0.35</v>
      </c>
    </row>
    <row r="70" spans="1:27" ht="18" customHeight="1" x14ac:dyDescent="0.25">
      <c r="A70" s="166">
        <v>92</v>
      </c>
      <c r="B70" s="157" t="s">
        <v>29</v>
      </c>
      <c r="C70" s="157" t="s">
        <v>30</v>
      </c>
      <c r="D70" s="159" t="s">
        <v>408</v>
      </c>
      <c r="E70" s="157" t="s">
        <v>406</v>
      </c>
      <c r="F70" s="157" t="s">
        <v>1264</v>
      </c>
      <c r="G70" s="157" t="s">
        <v>1536</v>
      </c>
      <c r="H70" s="157" t="s">
        <v>1287</v>
      </c>
      <c r="I70" s="157" t="s">
        <v>1339</v>
      </c>
      <c r="J70" s="157" t="s">
        <v>1455</v>
      </c>
      <c r="K70" s="157" t="s">
        <v>1269</v>
      </c>
      <c r="L70" s="157" t="s">
        <v>8477</v>
      </c>
      <c r="M70" s="157" t="str">
        <f t="shared" si="1"/>
        <v>Taillamp Assy' LED Left - Body - Rear Lamps L</v>
      </c>
      <c r="N70" s="164"/>
      <c r="O70" s="165"/>
      <c r="P70" s="159" t="s">
        <v>7510</v>
      </c>
      <c r="Q70" s="157"/>
      <c r="R70" s="157"/>
      <c r="S70" s="157"/>
      <c r="T70" s="157"/>
      <c r="U70" s="159" t="s">
        <v>2129</v>
      </c>
      <c r="V70" s="159" t="s">
        <v>2138</v>
      </c>
      <c r="W70" s="159" t="s">
        <v>2129</v>
      </c>
      <c r="X70" s="160">
        <v>0.35</v>
      </c>
      <c r="Y70" s="160">
        <v>0.16</v>
      </c>
      <c r="Z70" s="160">
        <v>0.56999999999999995</v>
      </c>
      <c r="AA70" s="160">
        <v>0.35</v>
      </c>
    </row>
    <row r="71" spans="1:27" ht="18" customHeight="1" x14ac:dyDescent="0.25">
      <c r="A71" s="166">
        <v>92</v>
      </c>
      <c r="B71" s="157" t="s">
        <v>251</v>
      </c>
      <c r="C71" s="157" t="s">
        <v>366</v>
      </c>
      <c r="D71" s="159" t="s">
        <v>494</v>
      </c>
      <c r="E71" s="157" t="s">
        <v>492</v>
      </c>
      <c r="F71" s="157" t="s">
        <v>1275</v>
      </c>
      <c r="G71" s="157" t="s">
        <v>1536</v>
      </c>
      <c r="H71" s="157" t="s">
        <v>1287</v>
      </c>
      <c r="I71" s="157" t="s">
        <v>1339</v>
      </c>
      <c r="J71" s="157" t="s">
        <v>1455</v>
      </c>
      <c r="K71" s="157" t="s">
        <v>1269</v>
      </c>
      <c r="L71" s="157" t="s">
        <v>8477</v>
      </c>
      <c r="M71" s="157" t="str">
        <f t="shared" si="1"/>
        <v>Taillamp Assy' LED Left - Body - Rear Lamps L</v>
      </c>
      <c r="N71" s="164"/>
      <c r="O71" s="165"/>
      <c r="P71" s="159" t="s">
        <v>7510</v>
      </c>
      <c r="Q71" s="157"/>
      <c r="R71" s="157"/>
      <c r="S71" s="157"/>
      <c r="T71" s="157"/>
      <c r="U71" s="159" t="s">
        <v>2129</v>
      </c>
      <c r="V71" s="159" t="s">
        <v>2138</v>
      </c>
      <c r="W71" s="159" t="s">
        <v>2129</v>
      </c>
      <c r="X71" s="160">
        <v>0.35</v>
      </c>
      <c r="Y71" s="160">
        <v>0.16</v>
      </c>
      <c r="Z71" s="160">
        <v>0.56999999999999995</v>
      </c>
      <c r="AA71" s="160">
        <v>0.35</v>
      </c>
    </row>
    <row r="72" spans="1:27" ht="18" customHeight="1" x14ac:dyDescent="0.25">
      <c r="A72" s="159">
        <v>93</v>
      </c>
      <c r="B72" s="157" t="s">
        <v>29</v>
      </c>
      <c r="C72" s="157" t="s">
        <v>82</v>
      </c>
      <c r="D72" s="159" t="s">
        <v>854</v>
      </c>
      <c r="E72" s="157" t="s">
        <v>1114</v>
      </c>
      <c r="F72" s="157"/>
      <c r="G72" s="157" t="s">
        <v>1278</v>
      </c>
      <c r="H72" s="157" t="s">
        <v>1294</v>
      </c>
      <c r="I72" s="157" t="s">
        <v>1341</v>
      </c>
      <c r="J72" s="157" t="s">
        <v>1296</v>
      </c>
      <c r="K72" s="157" t="s">
        <v>1269</v>
      </c>
      <c r="L72" s="157" t="s">
        <v>1342</v>
      </c>
      <c r="M72" s="157" t="str">
        <f t="shared" si="1"/>
        <v>Stepper Motor - Fuel Tank / Charge Port Cap Opening and Closing Latch</v>
      </c>
      <c r="N72" s="157"/>
      <c r="O72" s="157"/>
      <c r="P72" s="165" t="s">
        <v>7617</v>
      </c>
      <c r="Q72" s="157"/>
      <c r="R72" s="157"/>
      <c r="S72" s="157"/>
      <c r="T72" s="157"/>
      <c r="U72" s="159" t="s">
        <v>2138</v>
      </c>
      <c r="V72" s="159" t="s">
        <v>2129</v>
      </c>
      <c r="W72" s="159" t="s">
        <v>2129</v>
      </c>
      <c r="X72" s="160">
        <f t="shared" ref="X72:AA74" si="4">2/(20*60*60)</f>
        <v>2.7777777777777779E-5</v>
      </c>
      <c r="Y72" s="160">
        <f t="shared" si="4"/>
        <v>2.7777777777777779E-5</v>
      </c>
      <c r="Z72" s="160">
        <f t="shared" si="4"/>
        <v>2.7777777777777779E-5</v>
      </c>
      <c r="AA72" s="160">
        <f t="shared" si="4"/>
        <v>2.7777777777777779E-5</v>
      </c>
    </row>
    <row r="73" spans="1:27" ht="18" customHeight="1" x14ac:dyDescent="0.25">
      <c r="A73" s="159">
        <v>94</v>
      </c>
      <c r="B73" s="157" t="s">
        <v>29</v>
      </c>
      <c r="C73" s="157" t="s">
        <v>82</v>
      </c>
      <c r="D73" s="159" t="s">
        <v>854</v>
      </c>
      <c r="E73" s="157" t="s">
        <v>1114</v>
      </c>
      <c r="F73" s="157"/>
      <c r="G73" s="157" t="s">
        <v>1278</v>
      </c>
      <c r="H73" s="157" t="s">
        <v>1294</v>
      </c>
      <c r="I73" s="157" t="s">
        <v>1341</v>
      </c>
      <c r="J73" s="157" t="s">
        <v>1296</v>
      </c>
      <c r="K73" s="157" t="s">
        <v>1269</v>
      </c>
      <c r="L73" s="157" t="s">
        <v>1342</v>
      </c>
      <c r="M73" s="157" t="str">
        <f t="shared" si="1"/>
        <v>Stepper Motor - Fuel Tank / Charge Port Cap Opening and Closing Latch</v>
      </c>
      <c r="N73" s="157"/>
      <c r="O73" s="157"/>
      <c r="P73" s="165" t="s">
        <v>7617</v>
      </c>
      <c r="Q73" s="157"/>
      <c r="R73" s="157"/>
      <c r="S73" s="157"/>
      <c r="T73" s="157"/>
      <c r="U73" s="159" t="s">
        <v>2129</v>
      </c>
      <c r="V73" s="159" t="s">
        <v>2138</v>
      </c>
      <c r="W73" s="159" t="s">
        <v>2129</v>
      </c>
      <c r="X73" s="160">
        <f t="shared" si="4"/>
        <v>2.7777777777777779E-5</v>
      </c>
      <c r="Y73" s="160">
        <f t="shared" si="4"/>
        <v>2.7777777777777779E-5</v>
      </c>
      <c r="Z73" s="160">
        <f t="shared" si="4"/>
        <v>2.7777777777777779E-5</v>
      </c>
      <c r="AA73" s="160">
        <f t="shared" si="4"/>
        <v>2.7777777777777779E-5</v>
      </c>
    </row>
    <row r="74" spans="1:27" ht="18" customHeight="1" x14ac:dyDescent="0.25">
      <c r="A74" s="159">
        <v>94</v>
      </c>
      <c r="B74" s="157" t="s">
        <v>29</v>
      </c>
      <c r="C74" s="157" t="s">
        <v>30</v>
      </c>
      <c r="D74" s="159" t="s">
        <v>869</v>
      </c>
      <c r="E74" s="157" t="s">
        <v>867</v>
      </c>
      <c r="F74" s="157" t="s">
        <v>1264</v>
      </c>
      <c r="G74" s="157" t="s">
        <v>1278</v>
      </c>
      <c r="H74" s="157" t="s">
        <v>1294</v>
      </c>
      <c r="I74" s="157" t="s">
        <v>1341</v>
      </c>
      <c r="J74" s="157" t="s">
        <v>1296</v>
      </c>
      <c r="K74" s="157" t="s">
        <v>1269</v>
      </c>
      <c r="L74" s="157" t="s">
        <v>1342</v>
      </c>
      <c r="M74" s="157" t="str">
        <f t="shared" ref="M74:M137" si="5">CONCATENATE(L74," - ",I74)</f>
        <v>Stepper Motor - Fuel Tank / Charge Port Cap Opening and Closing Latch</v>
      </c>
      <c r="N74" s="157"/>
      <c r="O74" s="157"/>
      <c r="P74" s="165" t="s">
        <v>7617</v>
      </c>
      <c r="Q74" s="157"/>
      <c r="R74" s="157"/>
      <c r="S74" s="157"/>
      <c r="T74" s="157"/>
      <c r="U74" s="159" t="s">
        <v>2129</v>
      </c>
      <c r="V74" s="159" t="s">
        <v>2138</v>
      </c>
      <c r="W74" s="159" t="s">
        <v>2129</v>
      </c>
      <c r="X74" s="160">
        <f t="shared" si="4"/>
        <v>2.7777777777777779E-5</v>
      </c>
      <c r="Y74" s="160">
        <f t="shared" si="4"/>
        <v>2.7777777777777779E-5</v>
      </c>
      <c r="Z74" s="160">
        <f t="shared" si="4"/>
        <v>2.7777777777777779E-5</v>
      </c>
      <c r="AA74" s="160">
        <f t="shared" si="4"/>
        <v>2.7777777777777779E-5</v>
      </c>
    </row>
    <row r="75" spans="1:27" ht="18" customHeight="1" x14ac:dyDescent="0.25">
      <c r="A75" s="166">
        <v>95</v>
      </c>
      <c r="B75" s="157" t="s">
        <v>29</v>
      </c>
      <c r="C75" s="157" t="s">
        <v>69</v>
      </c>
      <c r="D75" s="159" t="s">
        <v>945</v>
      </c>
      <c r="E75" s="157" t="s">
        <v>943</v>
      </c>
      <c r="F75" s="159"/>
      <c r="G75" s="157" t="s">
        <v>1321</v>
      </c>
      <c r="H75" s="157" t="s">
        <v>1322</v>
      </c>
      <c r="I75" s="157" t="s">
        <v>8559</v>
      </c>
      <c r="J75" s="157" t="s">
        <v>1324</v>
      </c>
      <c r="K75" s="157" t="s">
        <v>1269</v>
      </c>
      <c r="L75" s="157" t="s">
        <v>8558</v>
      </c>
      <c r="M75" s="157" t="str">
        <f t="shared" si="5"/>
        <v>Charge Port Inlet - Vehicle Charging</v>
      </c>
      <c r="N75" s="164"/>
      <c r="O75" s="165"/>
      <c r="P75" s="165" t="s">
        <v>7618</v>
      </c>
      <c r="Q75" s="157"/>
      <c r="R75" s="157"/>
      <c r="S75" s="157"/>
      <c r="T75" s="157"/>
      <c r="U75" s="159" t="s">
        <v>2129</v>
      </c>
      <c r="V75" s="159" t="s">
        <v>2129</v>
      </c>
      <c r="W75" s="159" t="s">
        <v>2138</v>
      </c>
      <c r="X75" s="160">
        <v>1</v>
      </c>
      <c r="Y75" s="160">
        <v>1</v>
      </c>
      <c r="Z75" s="160">
        <v>1</v>
      </c>
      <c r="AA75" s="160">
        <v>1</v>
      </c>
    </row>
    <row r="76" spans="1:27" ht="18" customHeight="1" x14ac:dyDescent="0.25">
      <c r="A76" s="166">
        <v>95</v>
      </c>
      <c r="B76" s="157" t="s">
        <v>199</v>
      </c>
      <c r="C76" s="157" t="s">
        <v>485</v>
      </c>
      <c r="D76" s="159" t="s">
        <v>488</v>
      </c>
      <c r="E76" s="157" t="s">
        <v>1319</v>
      </c>
      <c r="F76" s="157" t="s">
        <v>1320</v>
      </c>
      <c r="G76" s="157" t="s">
        <v>1321</v>
      </c>
      <c r="H76" s="157" t="s">
        <v>1322</v>
      </c>
      <c r="I76" s="157" t="s">
        <v>8559</v>
      </c>
      <c r="J76" s="157" t="s">
        <v>1324</v>
      </c>
      <c r="K76" s="157" t="s">
        <v>1269</v>
      </c>
      <c r="L76" s="157" t="s">
        <v>8558</v>
      </c>
      <c r="M76" s="157" t="str">
        <f t="shared" si="5"/>
        <v>Charge Port Inlet - Vehicle Charging</v>
      </c>
      <c r="N76" s="164"/>
      <c r="O76" s="165"/>
      <c r="P76" s="165" t="s">
        <v>7618</v>
      </c>
      <c r="Q76" s="157"/>
      <c r="R76" s="157"/>
      <c r="S76" s="157"/>
      <c r="T76" s="157"/>
      <c r="U76" s="159" t="s">
        <v>2129</v>
      </c>
      <c r="V76" s="159" t="s">
        <v>2129</v>
      </c>
      <c r="W76" s="159" t="s">
        <v>2138</v>
      </c>
      <c r="X76" s="160">
        <v>1</v>
      </c>
      <c r="Y76" s="160">
        <v>1</v>
      </c>
      <c r="Z76" s="160">
        <v>1</v>
      </c>
      <c r="AA76" s="160">
        <v>1</v>
      </c>
    </row>
    <row r="77" spans="1:27" ht="18" customHeight="1" x14ac:dyDescent="0.25">
      <c r="A77" s="166">
        <v>95</v>
      </c>
      <c r="B77" s="157" t="s">
        <v>199</v>
      </c>
      <c r="C77" s="157" t="s">
        <v>485</v>
      </c>
      <c r="D77" s="159" t="s">
        <v>630</v>
      </c>
      <c r="E77" s="157" t="s">
        <v>628</v>
      </c>
      <c r="F77" s="157"/>
      <c r="G77" s="157" t="s">
        <v>1321</v>
      </c>
      <c r="H77" s="157" t="s">
        <v>1322</v>
      </c>
      <c r="I77" s="157" t="s">
        <v>8559</v>
      </c>
      <c r="J77" s="157" t="s">
        <v>1324</v>
      </c>
      <c r="K77" s="157" t="s">
        <v>1269</v>
      </c>
      <c r="L77" s="157" t="s">
        <v>8558</v>
      </c>
      <c r="M77" s="157" t="str">
        <f t="shared" si="5"/>
        <v>Charge Port Inlet - Vehicle Charging</v>
      </c>
      <c r="N77" s="164"/>
      <c r="O77" s="165"/>
      <c r="P77" s="165" t="s">
        <v>7618</v>
      </c>
      <c r="Q77" s="157"/>
      <c r="R77" s="157"/>
      <c r="S77" s="157"/>
      <c r="T77" s="157"/>
      <c r="U77" s="159" t="s">
        <v>2129</v>
      </c>
      <c r="V77" s="159" t="s">
        <v>2129</v>
      </c>
      <c r="W77" s="159" t="s">
        <v>2138</v>
      </c>
      <c r="X77" s="160">
        <v>1</v>
      </c>
      <c r="Y77" s="160">
        <v>1</v>
      </c>
      <c r="Z77" s="160">
        <v>1</v>
      </c>
      <c r="AA77" s="160">
        <v>1</v>
      </c>
    </row>
    <row r="78" spans="1:27" ht="18" customHeight="1" x14ac:dyDescent="0.25">
      <c r="A78" s="166">
        <v>95</v>
      </c>
      <c r="B78" s="157" t="s">
        <v>199</v>
      </c>
      <c r="C78" s="157" t="s">
        <v>485</v>
      </c>
      <c r="D78" s="159" t="s">
        <v>633</v>
      </c>
      <c r="E78" s="157" t="s">
        <v>1325</v>
      </c>
      <c r="F78" s="159"/>
      <c r="G78" s="157" t="s">
        <v>1321</v>
      </c>
      <c r="H78" s="157" t="s">
        <v>1322</v>
      </c>
      <c r="I78" s="157" t="s">
        <v>8559</v>
      </c>
      <c r="J78" s="157" t="s">
        <v>1324</v>
      </c>
      <c r="K78" s="157" t="s">
        <v>1269</v>
      </c>
      <c r="L78" s="157" t="s">
        <v>8558</v>
      </c>
      <c r="M78" s="157" t="str">
        <f t="shared" si="5"/>
        <v>Charge Port Inlet - Vehicle Charging</v>
      </c>
      <c r="N78" s="164"/>
      <c r="O78" s="165"/>
      <c r="P78" s="165" t="s">
        <v>7618</v>
      </c>
      <c r="Q78" s="157"/>
      <c r="R78" s="157"/>
      <c r="S78" s="157"/>
      <c r="T78" s="157"/>
      <c r="U78" s="159" t="s">
        <v>2129</v>
      </c>
      <c r="V78" s="159" t="s">
        <v>2129</v>
      </c>
      <c r="W78" s="159" t="s">
        <v>2138</v>
      </c>
      <c r="X78" s="160">
        <v>1</v>
      </c>
      <c r="Y78" s="160">
        <v>1</v>
      </c>
      <c r="Z78" s="160">
        <v>1</v>
      </c>
      <c r="AA78" s="160">
        <v>1</v>
      </c>
    </row>
    <row r="79" spans="1:27" ht="18" customHeight="1" x14ac:dyDescent="0.25">
      <c r="A79" s="166">
        <v>95</v>
      </c>
      <c r="B79" s="157" t="s">
        <v>199</v>
      </c>
      <c r="C79" s="157" t="s">
        <v>485</v>
      </c>
      <c r="D79" s="159" t="s">
        <v>814</v>
      </c>
      <c r="E79" s="157" t="s">
        <v>812</v>
      </c>
      <c r="F79" s="157"/>
      <c r="G79" s="157" t="s">
        <v>1321</v>
      </c>
      <c r="H79" s="157" t="s">
        <v>1322</v>
      </c>
      <c r="I79" s="157" t="s">
        <v>8559</v>
      </c>
      <c r="J79" s="157" t="s">
        <v>1324</v>
      </c>
      <c r="K79" s="157" t="s">
        <v>1269</v>
      </c>
      <c r="L79" s="157" t="s">
        <v>8558</v>
      </c>
      <c r="M79" s="157" t="str">
        <f t="shared" si="5"/>
        <v>Charge Port Inlet - Vehicle Charging</v>
      </c>
      <c r="N79" s="164"/>
      <c r="O79" s="165"/>
      <c r="P79" s="165" t="s">
        <v>7618</v>
      </c>
      <c r="Q79" s="157"/>
      <c r="R79" s="157"/>
      <c r="S79" s="157"/>
      <c r="T79" s="157"/>
      <c r="U79" s="159" t="s">
        <v>2129</v>
      </c>
      <c r="V79" s="159" t="s">
        <v>2129</v>
      </c>
      <c r="W79" s="159" t="s">
        <v>2138</v>
      </c>
      <c r="X79" s="160">
        <v>1</v>
      </c>
      <c r="Y79" s="160">
        <v>1</v>
      </c>
      <c r="Z79" s="160">
        <v>1</v>
      </c>
      <c r="AA79" s="160">
        <v>1</v>
      </c>
    </row>
    <row r="80" spans="1:27" ht="18" customHeight="1" x14ac:dyDescent="0.25">
      <c r="A80" s="166">
        <v>95</v>
      </c>
      <c r="B80" s="157" t="s">
        <v>199</v>
      </c>
      <c r="C80" s="157" t="s">
        <v>485</v>
      </c>
      <c r="D80" s="159" t="s">
        <v>817</v>
      </c>
      <c r="E80" s="157" t="s">
        <v>815</v>
      </c>
      <c r="F80" s="157"/>
      <c r="G80" s="157" t="s">
        <v>1321</v>
      </c>
      <c r="H80" s="157" t="s">
        <v>1322</v>
      </c>
      <c r="I80" s="157" t="s">
        <v>8559</v>
      </c>
      <c r="J80" s="157" t="s">
        <v>1324</v>
      </c>
      <c r="K80" s="157" t="s">
        <v>1269</v>
      </c>
      <c r="L80" s="157" t="s">
        <v>8558</v>
      </c>
      <c r="M80" s="157" t="str">
        <f t="shared" si="5"/>
        <v>Charge Port Inlet - Vehicle Charging</v>
      </c>
      <c r="N80" s="164"/>
      <c r="O80" s="165"/>
      <c r="P80" s="165" t="s">
        <v>7618</v>
      </c>
      <c r="Q80" s="157"/>
      <c r="R80" s="157"/>
      <c r="S80" s="157"/>
      <c r="T80" s="157"/>
      <c r="U80" s="159" t="s">
        <v>2129</v>
      </c>
      <c r="V80" s="159" t="s">
        <v>2129</v>
      </c>
      <c r="W80" s="159" t="s">
        <v>2138</v>
      </c>
      <c r="X80" s="160">
        <v>1</v>
      </c>
      <c r="Y80" s="160">
        <v>1</v>
      </c>
      <c r="Z80" s="160">
        <v>1</v>
      </c>
      <c r="AA80" s="160">
        <v>1</v>
      </c>
    </row>
    <row r="81" spans="1:27" ht="18" customHeight="1" x14ac:dyDescent="0.25">
      <c r="A81" s="166">
        <v>95</v>
      </c>
      <c r="B81" s="157" t="s">
        <v>199</v>
      </c>
      <c r="C81" s="157" t="s">
        <v>485</v>
      </c>
      <c r="D81" s="159" t="s">
        <v>967</v>
      </c>
      <c r="E81" s="157" t="s">
        <v>965</v>
      </c>
      <c r="F81" s="157"/>
      <c r="G81" s="157" t="s">
        <v>1321</v>
      </c>
      <c r="H81" s="157" t="s">
        <v>1322</v>
      </c>
      <c r="I81" s="157" t="s">
        <v>8559</v>
      </c>
      <c r="J81" s="157" t="s">
        <v>1324</v>
      </c>
      <c r="K81" s="157" t="s">
        <v>1269</v>
      </c>
      <c r="L81" s="157" t="s">
        <v>8558</v>
      </c>
      <c r="M81" s="157" t="str">
        <f t="shared" si="5"/>
        <v>Charge Port Inlet - Vehicle Charging</v>
      </c>
      <c r="N81" s="164"/>
      <c r="O81" s="165"/>
      <c r="P81" s="165" t="s">
        <v>7618</v>
      </c>
      <c r="Q81" s="157"/>
      <c r="R81" s="157"/>
      <c r="S81" s="157"/>
      <c r="T81" s="157"/>
      <c r="U81" s="159" t="s">
        <v>2129</v>
      </c>
      <c r="V81" s="159" t="s">
        <v>2129</v>
      </c>
      <c r="W81" s="159" t="s">
        <v>2138</v>
      </c>
      <c r="X81" s="160">
        <v>1</v>
      </c>
      <c r="Y81" s="160">
        <v>1</v>
      </c>
      <c r="Z81" s="160">
        <v>1</v>
      </c>
      <c r="AA81" s="160">
        <v>1</v>
      </c>
    </row>
    <row r="82" spans="1:27" ht="18" customHeight="1" x14ac:dyDescent="0.25">
      <c r="A82" s="159">
        <v>96</v>
      </c>
      <c r="B82" s="157" t="s">
        <v>29</v>
      </c>
      <c r="C82" s="157" t="s">
        <v>82</v>
      </c>
      <c r="D82" s="159" t="s">
        <v>230</v>
      </c>
      <c r="E82" s="157" t="s">
        <v>228</v>
      </c>
      <c r="F82" s="157" t="s">
        <v>1275</v>
      </c>
      <c r="G82" s="157" t="s">
        <v>1278</v>
      </c>
      <c r="H82" s="157" t="s">
        <v>1294</v>
      </c>
      <c r="I82" s="157" t="s">
        <v>8692</v>
      </c>
      <c r="J82" s="157" t="s">
        <v>1343</v>
      </c>
      <c r="K82" s="157" t="s">
        <v>1269</v>
      </c>
      <c r="L82" s="157" t="s">
        <v>8693</v>
      </c>
      <c r="M82" s="157" t="str">
        <f t="shared" si="5"/>
        <v>Stepper Motor Left - Tailgate Opening and Closing</v>
      </c>
      <c r="N82" s="157"/>
      <c r="O82" s="157"/>
      <c r="P82" s="159" t="s">
        <v>7129</v>
      </c>
      <c r="Q82" s="74" t="s">
        <v>2115</v>
      </c>
      <c r="R82" s="74" t="s">
        <v>8427</v>
      </c>
      <c r="S82" s="74" t="s">
        <v>8691</v>
      </c>
      <c r="T82" s="157"/>
      <c r="U82" s="159" t="s">
        <v>2129</v>
      </c>
      <c r="V82" s="159" t="s">
        <v>2138</v>
      </c>
      <c r="W82" s="159" t="s">
        <v>2138</v>
      </c>
      <c r="X82" s="160">
        <f>1*10/(20*60)</f>
        <v>8.3333333333333332E-3</v>
      </c>
      <c r="Y82" s="160">
        <f>1*10/(20*60)</f>
        <v>8.3333333333333332E-3</v>
      </c>
      <c r="Z82" s="160">
        <f>1*10/(20*60)</f>
        <v>8.3333333333333332E-3</v>
      </c>
      <c r="AA82" s="160">
        <f>1*10/(20*60)</f>
        <v>8.3333333333333332E-3</v>
      </c>
    </row>
    <row r="83" spans="1:27" ht="18" customHeight="1" x14ac:dyDescent="0.25">
      <c r="A83" s="159">
        <v>97</v>
      </c>
      <c r="B83" s="157" t="s">
        <v>29</v>
      </c>
      <c r="C83" s="157" t="s">
        <v>69</v>
      </c>
      <c r="D83" s="159" t="s">
        <v>169</v>
      </c>
      <c r="E83" s="157" t="s">
        <v>170</v>
      </c>
      <c r="F83" s="157" t="s">
        <v>1277</v>
      </c>
      <c r="G83" s="157" t="s">
        <v>1278</v>
      </c>
      <c r="H83" s="157" t="s">
        <v>1344</v>
      </c>
      <c r="I83" s="157" t="s">
        <v>1345</v>
      </c>
      <c r="J83" s="157" t="s">
        <v>1346</v>
      </c>
      <c r="K83" s="157" t="s">
        <v>1269</v>
      </c>
      <c r="L83" s="157" t="s">
        <v>8707</v>
      </c>
      <c r="M83" s="157" t="str">
        <f t="shared" si="5"/>
        <v>Near Field Communication Interface Device - Center Console Receiving</v>
      </c>
      <c r="N83" s="157"/>
      <c r="O83" s="157"/>
      <c r="P83" s="159" t="s">
        <v>5742</v>
      </c>
      <c r="Q83" s="157"/>
      <c r="R83" s="157"/>
      <c r="S83" s="157"/>
      <c r="T83" s="157"/>
      <c r="U83" s="159" t="s">
        <v>2129</v>
      </c>
      <c r="V83" s="159" t="s">
        <v>2129</v>
      </c>
      <c r="W83" s="159" t="s">
        <v>2129</v>
      </c>
      <c r="X83" s="160"/>
      <c r="Y83" s="160"/>
      <c r="Z83" s="160"/>
      <c r="AA83" s="160"/>
    </row>
    <row r="84" spans="1:27" ht="18" customHeight="1" x14ac:dyDescent="0.25">
      <c r="A84" s="159">
        <v>98</v>
      </c>
      <c r="B84" s="157" t="s">
        <v>29</v>
      </c>
      <c r="C84" s="157" t="s">
        <v>82</v>
      </c>
      <c r="D84" s="159" t="s">
        <v>230</v>
      </c>
      <c r="E84" s="157" t="s">
        <v>228</v>
      </c>
      <c r="F84" s="157" t="s">
        <v>1275</v>
      </c>
      <c r="G84" s="157" t="s">
        <v>1278</v>
      </c>
      <c r="H84" s="157" t="s">
        <v>1294</v>
      </c>
      <c r="I84" s="157" t="s">
        <v>8692</v>
      </c>
      <c r="J84" s="157" t="s">
        <v>1343</v>
      </c>
      <c r="K84" s="157" t="s">
        <v>1269</v>
      </c>
      <c r="L84" s="157" t="s">
        <v>8694</v>
      </c>
      <c r="M84" s="157" t="str">
        <f t="shared" si="5"/>
        <v>Stepper Motor Right - Tailgate Opening and Closing</v>
      </c>
      <c r="N84" s="157"/>
      <c r="O84" s="157"/>
      <c r="P84" s="159" t="s">
        <v>4491</v>
      </c>
      <c r="Q84" s="74" t="s">
        <v>2115</v>
      </c>
      <c r="R84" s="74" t="s">
        <v>8427</v>
      </c>
      <c r="S84" s="74" t="s">
        <v>8691</v>
      </c>
      <c r="T84" s="157"/>
      <c r="U84" s="159" t="s">
        <v>2129</v>
      </c>
      <c r="V84" s="159" t="s">
        <v>2138</v>
      </c>
      <c r="W84" s="159" t="s">
        <v>2138</v>
      </c>
      <c r="X84" s="160">
        <f>1*10/(20*60)</f>
        <v>8.3333333333333332E-3</v>
      </c>
      <c r="Y84" s="160">
        <f>1*10/(20*60)</f>
        <v>8.3333333333333332E-3</v>
      </c>
      <c r="Z84" s="160">
        <f>1*10/(20*60)</f>
        <v>8.3333333333333332E-3</v>
      </c>
      <c r="AA84" s="160">
        <f>1*10/(20*60)</f>
        <v>8.3333333333333332E-3</v>
      </c>
    </row>
    <row r="85" spans="1:27" ht="18" customHeight="1" x14ac:dyDescent="0.25">
      <c r="A85" s="159">
        <v>99</v>
      </c>
      <c r="B85" s="157" t="s">
        <v>77</v>
      </c>
      <c r="C85" s="157" t="s">
        <v>136</v>
      </c>
      <c r="D85" s="159" t="s">
        <v>977</v>
      </c>
      <c r="E85" s="157" t="s">
        <v>975</v>
      </c>
      <c r="F85" s="157"/>
      <c r="G85" s="157" t="s">
        <v>1278</v>
      </c>
      <c r="H85" s="157" t="s">
        <v>1347</v>
      </c>
      <c r="I85" s="157" t="s">
        <v>1348</v>
      </c>
      <c r="J85" s="157" t="s">
        <v>1310</v>
      </c>
      <c r="K85" s="157" t="s">
        <v>1281</v>
      </c>
      <c r="L85" s="157" t="s">
        <v>1282</v>
      </c>
      <c r="M85" s="157" t="str">
        <f t="shared" si="5"/>
        <v>User Selector - Seat Release 2nd Row Left</v>
      </c>
      <c r="N85" s="157"/>
      <c r="O85" s="157"/>
      <c r="P85" s="159" t="s">
        <v>5862</v>
      </c>
      <c r="Q85" s="74" t="s">
        <v>2115</v>
      </c>
      <c r="R85" s="74" t="s">
        <v>2141</v>
      </c>
      <c r="S85" s="74" t="s">
        <v>8608</v>
      </c>
      <c r="T85" s="157"/>
      <c r="U85" s="159" t="s">
        <v>2129</v>
      </c>
      <c r="V85" s="159" t="s">
        <v>2129</v>
      </c>
      <c r="W85" s="159" t="s">
        <v>2138</v>
      </c>
      <c r="X85" s="160">
        <v>0</v>
      </c>
      <c r="Y85" s="160">
        <v>0</v>
      </c>
      <c r="Z85" s="160">
        <v>0</v>
      </c>
      <c r="AA85" s="160">
        <v>0</v>
      </c>
    </row>
    <row r="86" spans="1:27" ht="18" customHeight="1" x14ac:dyDescent="0.25">
      <c r="A86" s="159">
        <v>101</v>
      </c>
      <c r="B86" s="164" t="s">
        <v>266</v>
      </c>
      <c r="C86" s="164" t="s">
        <v>276</v>
      </c>
      <c r="D86" s="159" t="s">
        <v>734</v>
      </c>
      <c r="E86" s="164" t="s">
        <v>732</v>
      </c>
      <c r="F86" s="159"/>
      <c r="G86" s="157" t="s">
        <v>1349</v>
      </c>
      <c r="H86" s="157" t="s">
        <v>1350</v>
      </c>
      <c r="I86" s="157" t="s">
        <v>1351</v>
      </c>
      <c r="J86" s="157" t="s">
        <v>8296</v>
      </c>
      <c r="K86" s="157" t="s">
        <v>1352</v>
      </c>
      <c r="L86" s="157" t="s">
        <v>1353</v>
      </c>
      <c r="M86" s="157" t="str">
        <f t="shared" si="5"/>
        <v>Camera LH B Pillar - Forward View Left</v>
      </c>
      <c r="N86" s="157"/>
      <c r="O86" s="157"/>
      <c r="P86" s="159" t="s">
        <v>7587</v>
      </c>
      <c r="Q86" s="157" t="s">
        <v>2115</v>
      </c>
      <c r="R86" s="157" t="s">
        <v>9533</v>
      </c>
      <c r="S86" s="157" t="s">
        <v>9534</v>
      </c>
      <c r="T86" s="157"/>
      <c r="U86" s="159" t="s">
        <v>2129</v>
      </c>
      <c r="V86" s="159" t="s">
        <v>2138</v>
      </c>
      <c r="W86" s="159" t="s">
        <v>2129</v>
      </c>
      <c r="X86" s="160">
        <v>1</v>
      </c>
      <c r="Y86" s="160">
        <v>1</v>
      </c>
      <c r="Z86" s="160">
        <v>1</v>
      </c>
      <c r="AA86" s="160">
        <v>1</v>
      </c>
    </row>
    <row r="87" spans="1:27" ht="18" customHeight="1" x14ac:dyDescent="0.25">
      <c r="A87" s="159">
        <v>101</v>
      </c>
      <c r="B87" s="164" t="s">
        <v>266</v>
      </c>
      <c r="C87" s="164" t="s">
        <v>294</v>
      </c>
      <c r="D87" s="159" t="s">
        <v>297</v>
      </c>
      <c r="E87" s="164" t="s">
        <v>295</v>
      </c>
      <c r="F87" s="159"/>
      <c r="G87" s="157" t="s">
        <v>1349</v>
      </c>
      <c r="H87" s="157" t="s">
        <v>1350</v>
      </c>
      <c r="I87" s="157" t="s">
        <v>1351</v>
      </c>
      <c r="J87" s="157" t="s">
        <v>8296</v>
      </c>
      <c r="K87" s="157" t="s">
        <v>1352</v>
      </c>
      <c r="L87" s="157" t="s">
        <v>1353</v>
      </c>
      <c r="M87" s="157" t="str">
        <f t="shared" si="5"/>
        <v>Camera LH B Pillar - Forward View Left</v>
      </c>
      <c r="N87" s="157"/>
      <c r="O87" s="157"/>
      <c r="P87" s="159" t="s">
        <v>7587</v>
      </c>
      <c r="Q87" s="157" t="s">
        <v>2115</v>
      </c>
      <c r="R87" s="157" t="s">
        <v>9533</v>
      </c>
      <c r="S87" s="157" t="s">
        <v>9534</v>
      </c>
      <c r="T87" s="157"/>
      <c r="U87" s="159" t="s">
        <v>2129</v>
      </c>
      <c r="V87" s="159" t="s">
        <v>2138</v>
      </c>
      <c r="W87" s="159" t="s">
        <v>2129</v>
      </c>
      <c r="X87" s="160">
        <v>1</v>
      </c>
      <c r="Y87" s="160">
        <v>1</v>
      </c>
      <c r="Z87" s="160">
        <v>1</v>
      </c>
      <c r="AA87" s="160">
        <v>1</v>
      </c>
    </row>
    <row r="88" spans="1:27" ht="18" customHeight="1" x14ac:dyDescent="0.25">
      <c r="A88" s="159">
        <v>101</v>
      </c>
      <c r="B88" s="164" t="s">
        <v>266</v>
      </c>
      <c r="C88" s="164" t="s">
        <v>294</v>
      </c>
      <c r="D88" s="159" t="s">
        <v>298</v>
      </c>
      <c r="E88" s="164" t="s">
        <v>299</v>
      </c>
      <c r="F88" s="159"/>
      <c r="G88" s="157" t="s">
        <v>1349</v>
      </c>
      <c r="H88" s="157" t="s">
        <v>1350</v>
      </c>
      <c r="I88" s="157" t="s">
        <v>1351</v>
      </c>
      <c r="J88" s="157" t="s">
        <v>8296</v>
      </c>
      <c r="K88" s="157" t="s">
        <v>1352</v>
      </c>
      <c r="L88" s="157" t="s">
        <v>1353</v>
      </c>
      <c r="M88" s="157" t="str">
        <f t="shared" si="5"/>
        <v>Camera LH B Pillar - Forward View Left</v>
      </c>
      <c r="N88" s="157"/>
      <c r="O88" s="157"/>
      <c r="P88" s="159" t="s">
        <v>7587</v>
      </c>
      <c r="Q88" s="157" t="s">
        <v>2115</v>
      </c>
      <c r="R88" s="157" t="s">
        <v>9533</v>
      </c>
      <c r="S88" s="157" t="s">
        <v>9534</v>
      </c>
      <c r="T88" s="157"/>
      <c r="U88" s="159" t="s">
        <v>2129</v>
      </c>
      <c r="V88" s="159" t="s">
        <v>2138</v>
      </c>
      <c r="W88" s="159" t="s">
        <v>2129</v>
      </c>
      <c r="X88" s="160">
        <v>1</v>
      </c>
      <c r="Y88" s="160">
        <v>1</v>
      </c>
      <c r="Z88" s="160">
        <v>1</v>
      </c>
      <c r="AA88" s="160">
        <v>1</v>
      </c>
    </row>
    <row r="89" spans="1:27" ht="18" customHeight="1" x14ac:dyDescent="0.25">
      <c r="A89" s="159">
        <v>101</v>
      </c>
      <c r="B89" s="164" t="s">
        <v>266</v>
      </c>
      <c r="C89" s="164" t="s">
        <v>294</v>
      </c>
      <c r="D89" s="159" t="s">
        <v>503</v>
      </c>
      <c r="E89" s="164" t="s">
        <v>501</v>
      </c>
      <c r="F89" s="159"/>
      <c r="G89" s="157" t="s">
        <v>1349</v>
      </c>
      <c r="H89" s="157" t="s">
        <v>1350</v>
      </c>
      <c r="I89" s="157" t="s">
        <v>1351</v>
      </c>
      <c r="J89" s="157" t="s">
        <v>8296</v>
      </c>
      <c r="K89" s="157" t="s">
        <v>1352</v>
      </c>
      <c r="L89" s="157" t="s">
        <v>1353</v>
      </c>
      <c r="M89" s="157" t="str">
        <f t="shared" si="5"/>
        <v>Camera LH B Pillar - Forward View Left</v>
      </c>
      <c r="N89" s="157"/>
      <c r="O89" s="157"/>
      <c r="P89" s="159" t="s">
        <v>7587</v>
      </c>
      <c r="Q89" s="157" t="s">
        <v>2115</v>
      </c>
      <c r="R89" s="157" t="s">
        <v>9533</v>
      </c>
      <c r="S89" s="157" t="s">
        <v>9534</v>
      </c>
      <c r="T89" s="157"/>
      <c r="U89" s="159" t="s">
        <v>2129</v>
      </c>
      <c r="V89" s="159" t="s">
        <v>2138</v>
      </c>
      <c r="W89" s="159" t="s">
        <v>2129</v>
      </c>
      <c r="X89" s="160">
        <v>1</v>
      </c>
      <c r="Y89" s="160">
        <v>1</v>
      </c>
      <c r="Z89" s="160">
        <v>1</v>
      </c>
      <c r="AA89" s="160">
        <v>1</v>
      </c>
    </row>
    <row r="90" spans="1:27" ht="18" customHeight="1" x14ac:dyDescent="0.25">
      <c r="A90" s="159">
        <v>101</v>
      </c>
      <c r="B90" s="164" t="s">
        <v>266</v>
      </c>
      <c r="C90" s="164" t="s">
        <v>294</v>
      </c>
      <c r="D90" s="159" t="s">
        <v>692</v>
      </c>
      <c r="E90" s="164" t="s">
        <v>690</v>
      </c>
      <c r="F90" s="159"/>
      <c r="G90" s="157" t="s">
        <v>1349</v>
      </c>
      <c r="H90" s="157" t="s">
        <v>1350</v>
      </c>
      <c r="I90" s="157" t="s">
        <v>1351</v>
      </c>
      <c r="J90" s="157" t="s">
        <v>8296</v>
      </c>
      <c r="K90" s="157" t="s">
        <v>1352</v>
      </c>
      <c r="L90" s="157" t="s">
        <v>1353</v>
      </c>
      <c r="M90" s="157" t="str">
        <f t="shared" si="5"/>
        <v>Camera LH B Pillar - Forward View Left</v>
      </c>
      <c r="N90" s="157"/>
      <c r="O90" s="157"/>
      <c r="P90" s="159" t="s">
        <v>7587</v>
      </c>
      <c r="Q90" s="157" t="s">
        <v>2115</v>
      </c>
      <c r="R90" s="157" t="s">
        <v>9533</v>
      </c>
      <c r="S90" s="157" t="s">
        <v>9534</v>
      </c>
      <c r="T90" s="157"/>
      <c r="U90" s="159" t="s">
        <v>2129</v>
      </c>
      <c r="V90" s="159" t="s">
        <v>2138</v>
      </c>
      <c r="W90" s="159" t="s">
        <v>2129</v>
      </c>
      <c r="X90" s="160">
        <v>1</v>
      </c>
      <c r="Y90" s="160">
        <v>1</v>
      </c>
      <c r="Z90" s="160">
        <v>1</v>
      </c>
      <c r="AA90" s="160">
        <v>1</v>
      </c>
    </row>
    <row r="91" spans="1:27" ht="18" customHeight="1" x14ac:dyDescent="0.25">
      <c r="A91" s="159">
        <v>101</v>
      </c>
      <c r="B91" s="164" t="s">
        <v>266</v>
      </c>
      <c r="C91" s="164" t="s">
        <v>294</v>
      </c>
      <c r="D91" s="159" t="s">
        <v>1177</v>
      </c>
      <c r="E91" s="164" t="s">
        <v>1175</v>
      </c>
      <c r="F91" s="159"/>
      <c r="G91" s="157" t="s">
        <v>1349</v>
      </c>
      <c r="H91" s="157" t="s">
        <v>1350</v>
      </c>
      <c r="I91" s="157" t="s">
        <v>1351</v>
      </c>
      <c r="J91" s="157" t="s">
        <v>8296</v>
      </c>
      <c r="K91" s="157" t="s">
        <v>1352</v>
      </c>
      <c r="L91" s="157" t="s">
        <v>1353</v>
      </c>
      <c r="M91" s="157" t="str">
        <f t="shared" si="5"/>
        <v>Camera LH B Pillar - Forward View Left</v>
      </c>
      <c r="N91" s="157"/>
      <c r="O91" s="157"/>
      <c r="P91" s="159" t="s">
        <v>7587</v>
      </c>
      <c r="Q91" s="157" t="s">
        <v>2115</v>
      </c>
      <c r="R91" s="157" t="s">
        <v>9533</v>
      </c>
      <c r="S91" s="157" t="s">
        <v>9534</v>
      </c>
      <c r="T91" s="157"/>
      <c r="U91" s="159" t="s">
        <v>2129</v>
      </c>
      <c r="V91" s="159" t="s">
        <v>2138</v>
      </c>
      <c r="W91" s="159" t="s">
        <v>2129</v>
      </c>
      <c r="X91" s="160">
        <v>1</v>
      </c>
      <c r="Y91" s="160">
        <v>1</v>
      </c>
      <c r="Z91" s="160">
        <v>1</v>
      </c>
      <c r="AA91" s="160">
        <v>1</v>
      </c>
    </row>
    <row r="92" spans="1:27" ht="18" customHeight="1" x14ac:dyDescent="0.25">
      <c r="A92" s="159">
        <v>101</v>
      </c>
      <c r="B92" s="164" t="s">
        <v>266</v>
      </c>
      <c r="C92" s="164" t="s">
        <v>294</v>
      </c>
      <c r="D92" s="159" t="s">
        <v>1178</v>
      </c>
      <c r="E92" s="164" t="s">
        <v>1179</v>
      </c>
      <c r="F92" s="159"/>
      <c r="G92" s="157" t="s">
        <v>1349</v>
      </c>
      <c r="H92" s="157" t="s">
        <v>1350</v>
      </c>
      <c r="I92" s="157" t="s">
        <v>1351</v>
      </c>
      <c r="J92" s="157" t="s">
        <v>8296</v>
      </c>
      <c r="K92" s="157" t="s">
        <v>1352</v>
      </c>
      <c r="L92" s="157" t="s">
        <v>1353</v>
      </c>
      <c r="M92" s="157" t="str">
        <f t="shared" si="5"/>
        <v>Camera LH B Pillar - Forward View Left</v>
      </c>
      <c r="N92" s="157"/>
      <c r="O92" s="157"/>
      <c r="P92" s="159" t="s">
        <v>7587</v>
      </c>
      <c r="Q92" s="157" t="s">
        <v>2115</v>
      </c>
      <c r="R92" s="157" t="s">
        <v>9533</v>
      </c>
      <c r="S92" s="157" t="s">
        <v>9534</v>
      </c>
      <c r="T92" s="157"/>
      <c r="U92" s="159" t="s">
        <v>2129</v>
      </c>
      <c r="V92" s="159" t="s">
        <v>2138</v>
      </c>
      <c r="W92" s="159" t="s">
        <v>2129</v>
      </c>
      <c r="X92" s="160">
        <v>1</v>
      </c>
      <c r="Y92" s="160">
        <v>1</v>
      </c>
      <c r="Z92" s="160">
        <v>1</v>
      </c>
      <c r="AA92" s="160">
        <v>1</v>
      </c>
    </row>
    <row r="93" spans="1:27" ht="18" customHeight="1" x14ac:dyDescent="0.25">
      <c r="A93" s="159">
        <v>101</v>
      </c>
      <c r="B93" s="164" t="s">
        <v>266</v>
      </c>
      <c r="C93" s="164" t="s">
        <v>294</v>
      </c>
      <c r="D93" s="159" t="s">
        <v>1207</v>
      </c>
      <c r="E93" s="164" t="s">
        <v>1205</v>
      </c>
      <c r="F93" s="159"/>
      <c r="G93" s="157" t="s">
        <v>1349</v>
      </c>
      <c r="H93" s="157" t="s">
        <v>1350</v>
      </c>
      <c r="I93" s="157" t="s">
        <v>1351</v>
      </c>
      <c r="J93" s="157" t="s">
        <v>8296</v>
      </c>
      <c r="K93" s="157" t="s">
        <v>1352</v>
      </c>
      <c r="L93" s="157" t="s">
        <v>1353</v>
      </c>
      <c r="M93" s="157" t="str">
        <f t="shared" si="5"/>
        <v>Camera LH B Pillar - Forward View Left</v>
      </c>
      <c r="N93" s="157"/>
      <c r="O93" s="157"/>
      <c r="P93" s="159" t="s">
        <v>7587</v>
      </c>
      <c r="Q93" s="157" t="s">
        <v>2115</v>
      </c>
      <c r="R93" s="157" t="s">
        <v>9533</v>
      </c>
      <c r="S93" s="157" t="s">
        <v>9534</v>
      </c>
      <c r="T93" s="157"/>
      <c r="U93" s="159" t="s">
        <v>2129</v>
      </c>
      <c r="V93" s="159" t="s">
        <v>2138</v>
      </c>
      <c r="W93" s="159" t="s">
        <v>2129</v>
      </c>
      <c r="X93" s="160">
        <v>1</v>
      </c>
      <c r="Y93" s="160">
        <v>1</v>
      </c>
      <c r="Z93" s="160">
        <v>1</v>
      </c>
      <c r="AA93" s="160">
        <v>1</v>
      </c>
    </row>
    <row r="94" spans="1:27" ht="18" customHeight="1" x14ac:dyDescent="0.25">
      <c r="A94" s="159">
        <v>101</v>
      </c>
      <c r="B94" s="164" t="s">
        <v>266</v>
      </c>
      <c r="C94" s="164" t="s">
        <v>514</v>
      </c>
      <c r="D94" s="159" t="s">
        <v>517</v>
      </c>
      <c r="E94" s="164" t="s">
        <v>515</v>
      </c>
      <c r="F94" s="159"/>
      <c r="G94" s="157" t="s">
        <v>1349</v>
      </c>
      <c r="H94" s="157" t="s">
        <v>1350</v>
      </c>
      <c r="I94" s="157" t="s">
        <v>1351</v>
      </c>
      <c r="J94" s="157" t="s">
        <v>8296</v>
      </c>
      <c r="K94" s="157" t="s">
        <v>1352</v>
      </c>
      <c r="L94" s="157" t="s">
        <v>1353</v>
      </c>
      <c r="M94" s="157" t="str">
        <f t="shared" si="5"/>
        <v>Camera LH B Pillar - Forward View Left</v>
      </c>
      <c r="N94" s="157"/>
      <c r="O94" s="157"/>
      <c r="P94" s="159" t="s">
        <v>7587</v>
      </c>
      <c r="Q94" s="157" t="s">
        <v>2115</v>
      </c>
      <c r="R94" s="157" t="s">
        <v>9533</v>
      </c>
      <c r="S94" s="157" t="s">
        <v>9534</v>
      </c>
      <c r="T94" s="157"/>
      <c r="U94" s="159" t="s">
        <v>2129</v>
      </c>
      <c r="V94" s="159" t="s">
        <v>2138</v>
      </c>
      <c r="W94" s="159" t="s">
        <v>2129</v>
      </c>
      <c r="X94" s="160">
        <v>1</v>
      </c>
      <c r="Y94" s="160">
        <v>1</v>
      </c>
      <c r="Z94" s="160">
        <v>1</v>
      </c>
      <c r="AA94" s="160">
        <v>1</v>
      </c>
    </row>
    <row r="95" spans="1:27" ht="18" customHeight="1" x14ac:dyDescent="0.25">
      <c r="A95" s="159">
        <v>101</v>
      </c>
      <c r="B95" s="164" t="s">
        <v>266</v>
      </c>
      <c r="C95" s="164" t="s">
        <v>514</v>
      </c>
      <c r="D95" s="159" t="s">
        <v>793</v>
      </c>
      <c r="E95" s="164" t="s">
        <v>791</v>
      </c>
      <c r="F95" s="159"/>
      <c r="G95" s="157" t="s">
        <v>1349</v>
      </c>
      <c r="H95" s="157" t="s">
        <v>1350</v>
      </c>
      <c r="I95" s="157" t="s">
        <v>1351</v>
      </c>
      <c r="J95" s="157" t="s">
        <v>8296</v>
      </c>
      <c r="K95" s="157" t="s">
        <v>1352</v>
      </c>
      <c r="L95" s="157" t="s">
        <v>1353</v>
      </c>
      <c r="M95" s="157" t="str">
        <f t="shared" si="5"/>
        <v>Camera LH B Pillar - Forward View Left</v>
      </c>
      <c r="N95" s="157"/>
      <c r="O95" s="157"/>
      <c r="P95" s="159" t="s">
        <v>7587</v>
      </c>
      <c r="Q95" s="157" t="s">
        <v>2115</v>
      </c>
      <c r="R95" s="157" t="s">
        <v>9533</v>
      </c>
      <c r="S95" s="157" t="s">
        <v>9534</v>
      </c>
      <c r="T95" s="157"/>
      <c r="U95" s="159" t="s">
        <v>2129</v>
      </c>
      <c r="V95" s="159" t="s">
        <v>2138</v>
      </c>
      <c r="W95" s="159" t="s">
        <v>2129</v>
      </c>
      <c r="X95" s="160">
        <v>1</v>
      </c>
      <c r="Y95" s="160">
        <v>1</v>
      </c>
      <c r="Z95" s="160">
        <v>1</v>
      </c>
      <c r="AA95" s="160">
        <v>1</v>
      </c>
    </row>
    <row r="96" spans="1:27" ht="18" customHeight="1" x14ac:dyDescent="0.25">
      <c r="A96" s="159">
        <v>101</v>
      </c>
      <c r="B96" s="164" t="s">
        <v>266</v>
      </c>
      <c r="C96" s="164" t="s">
        <v>514</v>
      </c>
      <c r="D96" s="159" t="s">
        <v>731</v>
      </c>
      <c r="E96" s="164" t="s">
        <v>795</v>
      </c>
      <c r="F96" s="159"/>
      <c r="G96" s="157" t="s">
        <v>1349</v>
      </c>
      <c r="H96" s="157" t="s">
        <v>1350</v>
      </c>
      <c r="I96" s="157" t="s">
        <v>1351</v>
      </c>
      <c r="J96" s="157" t="s">
        <v>8296</v>
      </c>
      <c r="K96" s="157" t="s">
        <v>1352</v>
      </c>
      <c r="L96" s="157" t="s">
        <v>1353</v>
      </c>
      <c r="M96" s="157" t="str">
        <f t="shared" si="5"/>
        <v>Camera LH B Pillar - Forward View Left</v>
      </c>
      <c r="N96" s="157"/>
      <c r="O96" s="157"/>
      <c r="P96" s="159" t="s">
        <v>7587</v>
      </c>
      <c r="Q96" s="157" t="s">
        <v>2115</v>
      </c>
      <c r="R96" s="157" t="s">
        <v>9533</v>
      </c>
      <c r="S96" s="157" t="s">
        <v>9534</v>
      </c>
      <c r="T96" s="157"/>
      <c r="U96" s="159" t="s">
        <v>2129</v>
      </c>
      <c r="V96" s="159" t="s">
        <v>2138</v>
      </c>
      <c r="W96" s="159" t="s">
        <v>2129</v>
      </c>
      <c r="X96" s="160">
        <v>1</v>
      </c>
      <c r="Y96" s="160">
        <v>1</v>
      </c>
      <c r="Z96" s="160">
        <v>1</v>
      </c>
      <c r="AA96" s="160">
        <v>1</v>
      </c>
    </row>
    <row r="97" spans="1:27" ht="18" customHeight="1" x14ac:dyDescent="0.25">
      <c r="A97" s="159">
        <v>101</v>
      </c>
      <c r="B97" s="164" t="s">
        <v>266</v>
      </c>
      <c r="C97" s="164" t="s">
        <v>514</v>
      </c>
      <c r="D97" s="159" t="s">
        <v>1170</v>
      </c>
      <c r="E97" s="164" t="s">
        <v>1168</v>
      </c>
      <c r="F97" s="159"/>
      <c r="G97" s="157" t="s">
        <v>1349</v>
      </c>
      <c r="H97" s="157" t="s">
        <v>1350</v>
      </c>
      <c r="I97" s="157" t="s">
        <v>1351</v>
      </c>
      <c r="J97" s="157" t="s">
        <v>8296</v>
      </c>
      <c r="K97" s="157" t="s">
        <v>1352</v>
      </c>
      <c r="L97" s="157" t="s">
        <v>1353</v>
      </c>
      <c r="M97" s="157" t="str">
        <f t="shared" si="5"/>
        <v>Camera LH B Pillar - Forward View Left</v>
      </c>
      <c r="N97" s="157"/>
      <c r="O97" s="157"/>
      <c r="P97" s="159" t="s">
        <v>7587</v>
      </c>
      <c r="Q97" s="157" t="s">
        <v>2115</v>
      </c>
      <c r="R97" s="157" t="s">
        <v>9533</v>
      </c>
      <c r="S97" s="157" t="s">
        <v>9534</v>
      </c>
      <c r="T97" s="157"/>
      <c r="U97" s="159" t="s">
        <v>2129</v>
      </c>
      <c r="V97" s="159" t="s">
        <v>2138</v>
      </c>
      <c r="W97" s="159" t="s">
        <v>2129</v>
      </c>
      <c r="X97" s="160">
        <v>1</v>
      </c>
      <c r="Y97" s="160">
        <v>1</v>
      </c>
      <c r="Z97" s="160">
        <v>1</v>
      </c>
      <c r="AA97" s="160">
        <v>1</v>
      </c>
    </row>
    <row r="98" spans="1:27" ht="18" customHeight="1" x14ac:dyDescent="0.25">
      <c r="A98" s="159">
        <v>101</v>
      </c>
      <c r="B98" s="164" t="s">
        <v>266</v>
      </c>
      <c r="C98" s="164" t="s">
        <v>514</v>
      </c>
      <c r="D98" s="159" t="s">
        <v>1171</v>
      </c>
      <c r="E98" s="164" t="s">
        <v>1223</v>
      </c>
      <c r="F98" s="159"/>
      <c r="G98" s="157" t="s">
        <v>1349</v>
      </c>
      <c r="H98" s="157" t="s">
        <v>1350</v>
      </c>
      <c r="I98" s="157" t="s">
        <v>1351</v>
      </c>
      <c r="J98" s="157" t="s">
        <v>8296</v>
      </c>
      <c r="K98" s="157" t="s">
        <v>1352</v>
      </c>
      <c r="L98" s="157" t="s">
        <v>1353</v>
      </c>
      <c r="M98" s="157" t="str">
        <f t="shared" si="5"/>
        <v>Camera LH B Pillar - Forward View Left</v>
      </c>
      <c r="N98" s="157"/>
      <c r="O98" s="157"/>
      <c r="P98" s="159" t="s">
        <v>7587</v>
      </c>
      <c r="Q98" s="157" t="s">
        <v>2115</v>
      </c>
      <c r="R98" s="157" t="s">
        <v>9533</v>
      </c>
      <c r="S98" s="157" t="s">
        <v>9534</v>
      </c>
      <c r="T98" s="157"/>
      <c r="U98" s="159" t="s">
        <v>2129</v>
      </c>
      <c r="V98" s="159" t="s">
        <v>2138</v>
      </c>
      <c r="W98" s="159" t="s">
        <v>2129</v>
      </c>
      <c r="X98" s="160">
        <v>1</v>
      </c>
      <c r="Y98" s="160">
        <v>1</v>
      </c>
      <c r="Z98" s="160">
        <v>1</v>
      </c>
      <c r="AA98" s="160">
        <v>1</v>
      </c>
    </row>
    <row r="99" spans="1:27" ht="18" customHeight="1" x14ac:dyDescent="0.25">
      <c r="A99" s="159">
        <v>101</v>
      </c>
      <c r="B99" s="164" t="s">
        <v>266</v>
      </c>
      <c r="C99" s="164" t="s">
        <v>519</v>
      </c>
      <c r="D99" s="159" t="s">
        <v>522</v>
      </c>
      <c r="E99" s="164" t="s">
        <v>520</v>
      </c>
      <c r="F99" s="159"/>
      <c r="G99" s="157" t="s">
        <v>1349</v>
      </c>
      <c r="H99" s="157" t="s">
        <v>1350</v>
      </c>
      <c r="I99" s="157" t="s">
        <v>1351</v>
      </c>
      <c r="J99" s="157" t="s">
        <v>8296</v>
      </c>
      <c r="K99" s="157" t="s">
        <v>1352</v>
      </c>
      <c r="L99" s="157" t="s">
        <v>1353</v>
      </c>
      <c r="M99" s="157" t="str">
        <f t="shared" si="5"/>
        <v>Camera LH B Pillar - Forward View Left</v>
      </c>
      <c r="N99" s="157"/>
      <c r="O99" s="157"/>
      <c r="P99" s="159" t="s">
        <v>7587</v>
      </c>
      <c r="Q99" s="157" t="s">
        <v>2115</v>
      </c>
      <c r="R99" s="157" t="s">
        <v>9533</v>
      </c>
      <c r="S99" s="157" t="s">
        <v>9534</v>
      </c>
      <c r="T99" s="157"/>
      <c r="U99" s="159" t="s">
        <v>2129</v>
      </c>
      <c r="V99" s="159" t="s">
        <v>2138</v>
      </c>
      <c r="W99" s="159" t="s">
        <v>2129</v>
      </c>
      <c r="X99" s="160">
        <v>1</v>
      </c>
      <c r="Y99" s="160">
        <v>1</v>
      </c>
      <c r="Z99" s="160">
        <v>1</v>
      </c>
      <c r="AA99" s="160">
        <v>1</v>
      </c>
    </row>
    <row r="100" spans="1:27" ht="18" customHeight="1" x14ac:dyDescent="0.25">
      <c r="A100" s="159">
        <v>101</v>
      </c>
      <c r="B100" s="164" t="s">
        <v>266</v>
      </c>
      <c r="C100" s="164" t="s">
        <v>519</v>
      </c>
      <c r="D100" s="159" t="s">
        <v>935</v>
      </c>
      <c r="E100" s="164" t="s">
        <v>933</v>
      </c>
      <c r="F100" s="159"/>
      <c r="G100" s="157" t="s">
        <v>1349</v>
      </c>
      <c r="H100" s="157" t="s">
        <v>1350</v>
      </c>
      <c r="I100" s="157" t="s">
        <v>1351</v>
      </c>
      <c r="J100" s="157" t="s">
        <v>8296</v>
      </c>
      <c r="K100" s="157" t="s">
        <v>1352</v>
      </c>
      <c r="L100" s="157" t="s">
        <v>1353</v>
      </c>
      <c r="M100" s="157" t="str">
        <f t="shared" si="5"/>
        <v>Camera LH B Pillar - Forward View Left</v>
      </c>
      <c r="N100" s="157"/>
      <c r="O100" s="157"/>
      <c r="P100" s="159" t="s">
        <v>7587</v>
      </c>
      <c r="Q100" s="157" t="s">
        <v>2115</v>
      </c>
      <c r="R100" s="157" t="s">
        <v>9533</v>
      </c>
      <c r="S100" s="157" t="s">
        <v>9534</v>
      </c>
      <c r="T100" s="157"/>
      <c r="U100" s="159" t="s">
        <v>2129</v>
      </c>
      <c r="V100" s="159" t="s">
        <v>2138</v>
      </c>
      <c r="W100" s="159" t="s">
        <v>2129</v>
      </c>
      <c r="X100" s="160">
        <v>1</v>
      </c>
      <c r="Y100" s="160">
        <v>1</v>
      </c>
      <c r="Z100" s="160">
        <v>1</v>
      </c>
      <c r="AA100" s="160">
        <v>1</v>
      </c>
    </row>
    <row r="101" spans="1:27" ht="18" customHeight="1" x14ac:dyDescent="0.25">
      <c r="A101" s="159">
        <v>101</v>
      </c>
      <c r="B101" s="164" t="s">
        <v>266</v>
      </c>
      <c r="C101" s="164" t="s">
        <v>519</v>
      </c>
      <c r="D101" s="159" t="s">
        <v>1151</v>
      </c>
      <c r="E101" s="164" t="s">
        <v>1149</v>
      </c>
      <c r="F101" s="159"/>
      <c r="G101" s="157" t="s">
        <v>1349</v>
      </c>
      <c r="H101" s="157" t="s">
        <v>1350</v>
      </c>
      <c r="I101" s="157" t="s">
        <v>1351</v>
      </c>
      <c r="J101" s="157" t="s">
        <v>8296</v>
      </c>
      <c r="K101" s="157" t="s">
        <v>1352</v>
      </c>
      <c r="L101" s="157" t="s">
        <v>1353</v>
      </c>
      <c r="M101" s="157" t="str">
        <f t="shared" si="5"/>
        <v>Camera LH B Pillar - Forward View Left</v>
      </c>
      <c r="N101" s="157"/>
      <c r="O101" s="157"/>
      <c r="P101" s="159" t="s">
        <v>7587</v>
      </c>
      <c r="Q101" s="157" t="s">
        <v>2115</v>
      </c>
      <c r="R101" s="157" t="s">
        <v>9533</v>
      </c>
      <c r="S101" s="157" t="s">
        <v>9534</v>
      </c>
      <c r="T101" s="157"/>
      <c r="U101" s="159" t="s">
        <v>2129</v>
      </c>
      <c r="V101" s="159" t="s">
        <v>2138</v>
      </c>
      <c r="W101" s="159" t="s">
        <v>2129</v>
      </c>
      <c r="X101" s="160">
        <v>1</v>
      </c>
      <c r="Y101" s="160">
        <v>1</v>
      </c>
      <c r="Z101" s="160">
        <v>1</v>
      </c>
      <c r="AA101" s="160">
        <v>1</v>
      </c>
    </row>
    <row r="102" spans="1:27" ht="18" customHeight="1" x14ac:dyDescent="0.25">
      <c r="A102" s="159">
        <v>110</v>
      </c>
      <c r="B102" s="157" t="s">
        <v>29</v>
      </c>
      <c r="C102" s="157" t="s">
        <v>82</v>
      </c>
      <c r="D102" s="159" t="s">
        <v>230</v>
      </c>
      <c r="E102" s="157" t="s">
        <v>228</v>
      </c>
      <c r="F102" s="157" t="s">
        <v>1275</v>
      </c>
      <c r="G102" s="157" t="s">
        <v>1278</v>
      </c>
      <c r="H102" s="157" t="s">
        <v>1294</v>
      </c>
      <c r="I102" s="157" t="s">
        <v>8695</v>
      </c>
      <c r="J102" s="157" t="s">
        <v>1343</v>
      </c>
      <c r="K102" s="157" t="s">
        <v>1269</v>
      </c>
      <c r="L102" s="157" t="s">
        <v>8696</v>
      </c>
      <c r="M102" s="157" t="str">
        <f t="shared" si="5"/>
        <v>Stepper Motor Cover - Luggage Compartment Covering</v>
      </c>
      <c r="N102" s="157"/>
      <c r="O102" s="157"/>
      <c r="P102" s="159" t="s">
        <v>4214</v>
      </c>
      <c r="Q102" s="74" t="s">
        <v>2115</v>
      </c>
      <c r="R102" s="74" t="s">
        <v>2140</v>
      </c>
      <c r="S102" s="74" t="s">
        <v>8645</v>
      </c>
      <c r="T102" s="157"/>
      <c r="U102" s="159" t="s">
        <v>2129</v>
      </c>
      <c r="V102" s="159" t="s">
        <v>2129</v>
      </c>
      <c r="W102" s="159" t="s">
        <v>2138</v>
      </c>
      <c r="X102" s="160">
        <f>1*10/(20*60)</f>
        <v>8.3333333333333332E-3</v>
      </c>
      <c r="Y102" s="160">
        <f>1*10/(20*60)</f>
        <v>8.3333333333333332E-3</v>
      </c>
      <c r="Z102" s="160">
        <f>1*10/(20*60)</f>
        <v>8.3333333333333332E-3</v>
      </c>
      <c r="AA102" s="160">
        <f>1*10/(20*60)</f>
        <v>8.3333333333333332E-3</v>
      </c>
    </row>
    <row r="103" spans="1:27" ht="18" customHeight="1" x14ac:dyDescent="0.25">
      <c r="A103" s="159">
        <v>111</v>
      </c>
      <c r="B103" s="157" t="s">
        <v>29</v>
      </c>
      <c r="C103" s="157" t="s">
        <v>82</v>
      </c>
      <c r="D103" s="159" t="s">
        <v>230</v>
      </c>
      <c r="E103" s="157" t="s">
        <v>228</v>
      </c>
      <c r="F103" s="157" t="s">
        <v>1275</v>
      </c>
      <c r="G103" s="157" t="s">
        <v>1278</v>
      </c>
      <c r="H103" s="157" t="s">
        <v>1294</v>
      </c>
      <c r="I103" s="157" t="s">
        <v>8702</v>
      </c>
      <c r="J103" s="157" t="s">
        <v>1343</v>
      </c>
      <c r="K103" s="157" t="s">
        <v>1281</v>
      </c>
      <c r="L103" s="157" t="s">
        <v>1282</v>
      </c>
      <c r="M103" s="157" t="str">
        <f t="shared" si="5"/>
        <v>User Selector - Tailgate Opening and Closing Internal Command (Panel)</v>
      </c>
      <c r="N103" s="157"/>
      <c r="O103" s="157"/>
      <c r="P103" s="159" t="s">
        <v>5925</v>
      </c>
      <c r="Q103" s="74" t="s">
        <v>2115</v>
      </c>
      <c r="R103" s="74" t="s">
        <v>8577</v>
      </c>
      <c r="S103" s="74" t="s">
        <v>8606</v>
      </c>
      <c r="T103" s="157"/>
      <c r="U103" s="159" t="s">
        <v>2129</v>
      </c>
      <c r="V103" s="159" t="s">
        <v>2138</v>
      </c>
      <c r="W103" s="159" t="s">
        <v>2138</v>
      </c>
      <c r="X103" s="160">
        <f t="shared" ref="X103:AA104" si="6">1*2/(20*60)</f>
        <v>1.6666666666666668E-3</v>
      </c>
      <c r="Y103" s="160">
        <f t="shared" si="6"/>
        <v>1.6666666666666668E-3</v>
      </c>
      <c r="Z103" s="160">
        <f t="shared" si="6"/>
        <v>1.6666666666666668E-3</v>
      </c>
      <c r="AA103" s="160">
        <f t="shared" si="6"/>
        <v>1.6666666666666668E-3</v>
      </c>
    </row>
    <row r="104" spans="1:27" ht="18" customHeight="1" x14ac:dyDescent="0.25">
      <c r="A104" s="159">
        <v>111</v>
      </c>
      <c r="B104" s="157" t="s">
        <v>29</v>
      </c>
      <c r="C104" s="157" t="s">
        <v>82</v>
      </c>
      <c r="D104" s="159" t="s">
        <v>1110</v>
      </c>
      <c r="E104" s="157" t="s">
        <v>1108</v>
      </c>
      <c r="F104" s="157"/>
      <c r="G104" s="157" t="s">
        <v>1278</v>
      </c>
      <c r="H104" s="157" t="s">
        <v>1294</v>
      </c>
      <c r="I104" s="157" t="s">
        <v>8702</v>
      </c>
      <c r="J104" s="157" t="s">
        <v>1343</v>
      </c>
      <c r="K104" s="157" t="s">
        <v>1281</v>
      </c>
      <c r="L104" s="157" t="s">
        <v>1282</v>
      </c>
      <c r="M104" s="157" t="str">
        <f t="shared" si="5"/>
        <v>User Selector - Tailgate Opening and Closing Internal Command (Panel)</v>
      </c>
      <c r="N104" s="157"/>
      <c r="O104" s="157"/>
      <c r="P104" s="159" t="s">
        <v>5925</v>
      </c>
      <c r="Q104" s="74" t="s">
        <v>2115</v>
      </c>
      <c r="R104" s="74" t="s">
        <v>8577</v>
      </c>
      <c r="S104" s="74" t="s">
        <v>8606</v>
      </c>
      <c r="T104" s="157"/>
      <c r="U104" s="159" t="s">
        <v>2129</v>
      </c>
      <c r="V104" s="159" t="s">
        <v>2138</v>
      </c>
      <c r="W104" s="159" t="s">
        <v>2138</v>
      </c>
      <c r="X104" s="160">
        <f t="shared" si="6"/>
        <v>1.6666666666666668E-3</v>
      </c>
      <c r="Y104" s="160">
        <f t="shared" si="6"/>
        <v>1.6666666666666668E-3</v>
      </c>
      <c r="Z104" s="160">
        <f t="shared" si="6"/>
        <v>1.6666666666666668E-3</v>
      </c>
      <c r="AA104" s="160">
        <f t="shared" si="6"/>
        <v>1.6666666666666668E-3</v>
      </c>
    </row>
    <row r="105" spans="1:27" ht="18" customHeight="1" x14ac:dyDescent="0.25">
      <c r="A105" s="159">
        <v>120</v>
      </c>
      <c r="B105" s="157" t="s">
        <v>29</v>
      </c>
      <c r="C105" s="157" t="s">
        <v>69</v>
      </c>
      <c r="D105" s="159" t="s">
        <v>169</v>
      </c>
      <c r="E105" s="157" t="s">
        <v>170</v>
      </c>
      <c r="F105" s="157" t="s">
        <v>1277</v>
      </c>
      <c r="G105" s="157" t="s">
        <v>1278</v>
      </c>
      <c r="H105" s="157" t="s">
        <v>1344</v>
      </c>
      <c r="I105" s="157" t="s">
        <v>1345</v>
      </c>
      <c r="J105" s="157" t="s">
        <v>1346</v>
      </c>
      <c r="K105" s="157" t="s">
        <v>1409</v>
      </c>
      <c r="L105" s="157" t="s">
        <v>8708</v>
      </c>
      <c r="M105" s="157" t="str">
        <f t="shared" si="5"/>
        <v>Near Field Communication Center Console Antenna - Center Console Receiving</v>
      </c>
      <c r="N105" s="157"/>
      <c r="O105" s="157"/>
      <c r="P105" s="159" t="s">
        <v>5742</v>
      </c>
      <c r="Q105" s="157"/>
      <c r="R105" s="157"/>
      <c r="S105" s="157"/>
      <c r="T105" s="157"/>
      <c r="U105" s="159" t="s">
        <v>2129</v>
      </c>
      <c r="V105" s="159" t="s">
        <v>2129</v>
      </c>
      <c r="W105" s="159" t="s">
        <v>2129</v>
      </c>
      <c r="X105" s="160"/>
      <c r="Y105" s="160"/>
      <c r="Z105" s="160"/>
      <c r="AA105" s="160"/>
    </row>
    <row r="106" spans="1:27" ht="18" customHeight="1" x14ac:dyDescent="0.25">
      <c r="A106" s="159">
        <v>124</v>
      </c>
      <c r="B106" s="157" t="s">
        <v>29</v>
      </c>
      <c r="C106" s="157" t="s">
        <v>82</v>
      </c>
      <c r="D106" s="159" t="s">
        <v>92</v>
      </c>
      <c r="E106" s="157" t="s">
        <v>90</v>
      </c>
      <c r="F106" s="157" t="s">
        <v>1264</v>
      </c>
      <c r="G106" s="157" t="s">
        <v>1278</v>
      </c>
      <c r="H106" s="157" t="s">
        <v>1344</v>
      </c>
      <c r="I106" s="157" t="s">
        <v>8717</v>
      </c>
      <c r="J106" s="157" t="s">
        <v>8277</v>
      </c>
      <c r="K106" s="157" t="s">
        <v>1409</v>
      </c>
      <c r="L106" s="157" t="s">
        <v>8718</v>
      </c>
      <c r="M106" s="157" t="str">
        <f t="shared" si="5"/>
        <v>Near Field Communication Antenna - Driver Door - Key Recognition</v>
      </c>
      <c r="N106" s="157"/>
      <c r="O106" s="157"/>
      <c r="P106" s="159" t="s">
        <v>8181</v>
      </c>
      <c r="Q106" s="157" t="s">
        <v>2115</v>
      </c>
      <c r="R106" s="157" t="s">
        <v>8259</v>
      </c>
      <c r="S106" s="157" t="s">
        <v>8614</v>
      </c>
      <c r="T106" s="157"/>
      <c r="U106" s="159" t="s">
        <v>2129</v>
      </c>
      <c r="V106" s="159" t="s">
        <v>2138</v>
      </c>
      <c r="W106" s="159" t="s">
        <v>2129</v>
      </c>
      <c r="X106" s="160">
        <v>0</v>
      </c>
      <c r="Y106" s="160">
        <v>0</v>
      </c>
      <c r="Z106" s="160">
        <v>0</v>
      </c>
      <c r="AA106" s="160">
        <v>0</v>
      </c>
    </row>
    <row r="107" spans="1:27" ht="18" customHeight="1" x14ac:dyDescent="0.25">
      <c r="A107" s="159">
        <v>125</v>
      </c>
      <c r="B107" s="157" t="s">
        <v>29</v>
      </c>
      <c r="C107" s="157" t="s">
        <v>82</v>
      </c>
      <c r="D107" s="159" t="s">
        <v>92</v>
      </c>
      <c r="E107" s="157" t="s">
        <v>90</v>
      </c>
      <c r="F107" s="157" t="s">
        <v>1264</v>
      </c>
      <c r="G107" s="157" t="s">
        <v>1278</v>
      </c>
      <c r="H107" s="157" t="s">
        <v>1344</v>
      </c>
      <c r="I107" s="157" t="s">
        <v>8717</v>
      </c>
      <c r="J107" s="157" t="s">
        <v>8277</v>
      </c>
      <c r="K107" s="157" t="s">
        <v>1409</v>
      </c>
      <c r="L107" s="157" t="s">
        <v>8719</v>
      </c>
      <c r="M107" s="157" t="str">
        <f t="shared" si="5"/>
        <v>Near Field Communication Antenna - Passenger Door - Key Recognition</v>
      </c>
      <c r="N107" s="157"/>
      <c r="O107" s="157"/>
      <c r="P107" s="159" t="s">
        <v>3620</v>
      </c>
      <c r="Q107" s="157" t="s">
        <v>2115</v>
      </c>
      <c r="R107" s="157" t="s">
        <v>8259</v>
      </c>
      <c r="S107" s="157" t="s">
        <v>8614</v>
      </c>
      <c r="T107" s="157"/>
      <c r="U107" s="159" t="s">
        <v>2129</v>
      </c>
      <c r="V107" s="159" t="s">
        <v>2138</v>
      </c>
      <c r="W107" s="159" t="s">
        <v>2129</v>
      </c>
      <c r="X107" s="160">
        <v>0</v>
      </c>
      <c r="Y107" s="160">
        <v>0</v>
      </c>
      <c r="Z107" s="160">
        <v>0</v>
      </c>
      <c r="AA107" s="160">
        <v>0</v>
      </c>
    </row>
    <row r="108" spans="1:27" ht="18" customHeight="1" x14ac:dyDescent="0.25">
      <c r="A108" s="159">
        <v>126</v>
      </c>
      <c r="B108" s="157" t="s">
        <v>29</v>
      </c>
      <c r="C108" s="157" t="s">
        <v>82</v>
      </c>
      <c r="D108" s="159" t="s">
        <v>92</v>
      </c>
      <c r="E108" s="157" t="s">
        <v>90</v>
      </c>
      <c r="F108" s="157" t="s">
        <v>1264</v>
      </c>
      <c r="G108" s="157" t="s">
        <v>1278</v>
      </c>
      <c r="H108" s="157" t="s">
        <v>1344</v>
      </c>
      <c r="I108" s="157" t="s">
        <v>8720</v>
      </c>
      <c r="J108" s="157" t="s">
        <v>8277</v>
      </c>
      <c r="K108" s="157" t="s">
        <v>1312</v>
      </c>
      <c r="L108" s="157" t="s">
        <v>8718</v>
      </c>
      <c r="M108" s="157" t="str">
        <f t="shared" si="5"/>
        <v>Near Field Communication Antenna - Driver Door - User Hand Detection</v>
      </c>
      <c r="N108" s="157"/>
      <c r="O108" s="157"/>
      <c r="P108" s="159" t="s">
        <v>8181</v>
      </c>
      <c r="Q108" s="157" t="s">
        <v>2115</v>
      </c>
      <c r="R108" s="157" t="s">
        <v>8259</v>
      </c>
      <c r="S108" s="157" t="s">
        <v>8614</v>
      </c>
      <c r="T108" s="157"/>
      <c r="U108" s="159" t="s">
        <v>2129</v>
      </c>
      <c r="V108" s="159" t="s">
        <v>2138</v>
      </c>
      <c r="W108" s="159" t="s">
        <v>2129</v>
      </c>
      <c r="X108" s="160">
        <v>0</v>
      </c>
      <c r="Y108" s="160">
        <v>0</v>
      </c>
      <c r="Z108" s="160">
        <v>0</v>
      </c>
      <c r="AA108" s="160">
        <v>0</v>
      </c>
    </row>
    <row r="109" spans="1:27" ht="18" customHeight="1" x14ac:dyDescent="0.25">
      <c r="A109" s="159">
        <v>127</v>
      </c>
      <c r="B109" s="157" t="s">
        <v>29</v>
      </c>
      <c r="C109" s="157" t="s">
        <v>82</v>
      </c>
      <c r="D109" s="159" t="s">
        <v>92</v>
      </c>
      <c r="E109" s="157" t="s">
        <v>90</v>
      </c>
      <c r="F109" s="157" t="s">
        <v>1264</v>
      </c>
      <c r="G109" s="157" t="s">
        <v>1278</v>
      </c>
      <c r="H109" s="157" t="s">
        <v>1344</v>
      </c>
      <c r="I109" s="157" t="s">
        <v>8720</v>
      </c>
      <c r="J109" s="157" t="s">
        <v>8277</v>
      </c>
      <c r="K109" s="157" t="s">
        <v>1312</v>
      </c>
      <c r="L109" s="157" t="s">
        <v>8719</v>
      </c>
      <c r="M109" s="157" t="str">
        <f t="shared" si="5"/>
        <v>Near Field Communication Antenna - Passenger Door - User Hand Detection</v>
      </c>
      <c r="N109" s="157"/>
      <c r="O109" s="157"/>
      <c r="P109" s="159" t="s">
        <v>3620</v>
      </c>
      <c r="Q109" s="157" t="s">
        <v>2115</v>
      </c>
      <c r="R109" s="157" t="s">
        <v>8259</v>
      </c>
      <c r="S109" s="157" t="s">
        <v>8614</v>
      </c>
      <c r="T109" s="157"/>
      <c r="U109" s="159" t="s">
        <v>2129</v>
      </c>
      <c r="V109" s="159" t="s">
        <v>2138</v>
      </c>
      <c r="W109" s="159" t="s">
        <v>2129</v>
      </c>
      <c r="X109" s="160">
        <v>0</v>
      </c>
      <c r="Y109" s="160">
        <v>0</v>
      </c>
      <c r="Z109" s="160">
        <v>0</v>
      </c>
      <c r="AA109" s="160">
        <v>0</v>
      </c>
    </row>
    <row r="110" spans="1:27" ht="18" customHeight="1" x14ac:dyDescent="0.25">
      <c r="A110" s="159">
        <v>153</v>
      </c>
      <c r="B110" s="157" t="s">
        <v>77</v>
      </c>
      <c r="C110" s="157" t="s">
        <v>1064</v>
      </c>
      <c r="D110" s="159" t="s">
        <v>1067</v>
      </c>
      <c r="E110" s="157" t="s">
        <v>1065</v>
      </c>
      <c r="F110" s="161" t="s">
        <v>73</v>
      </c>
      <c r="G110" s="157" t="s">
        <v>1278</v>
      </c>
      <c r="H110" s="157" t="s">
        <v>1364</v>
      </c>
      <c r="I110" s="157" t="s">
        <v>9651</v>
      </c>
      <c r="J110" s="157" t="s">
        <v>1366</v>
      </c>
      <c r="K110" s="157" t="s">
        <v>1269</v>
      </c>
      <c r="L110" s="157" t="s">
        <v>1342</v>
      </c>
      <c r="M110" s="157" t="str">
        <f t="shared" si="5"/>
        <v>Stepper Motor - Steering Column Movement Horizontal</v>
      </c>
      <c r="N110" s="157"/>
      <c r="O110" s="157"/>
      <c r="P110" s="159" t="s">
        <v>6775</v>
      </c>
      <c r="Q110" s="157"/>
      <c r="R110" s="157"/>
      <c r="S110" s="157"/>
      <c r="T110" s="157"/>
      <c r="U110" s="159" t="s">
        <v>2129</v>
      </c>
      <c r="V110" s="159" t="s">
        <v>2129</v>
      </c>
      <c r="W110" s="159" t="s">
        <v>2138</v>
      </c>
      <c r="X110" s="160">
        <v>0</v>
      </c>
      <c r="Y110" s="160">
        <v>0</v>
      </c>
      <c r="Z110" s="160">
        <v>0</v>
      </c>
      <c r="AA110" s="160">
        <v>0</v>
      </c>
    </row>
    <row r="111" spans="1:27" ht="18" customHeight="1" x14ac:dyDescent="0.25">
      <c r="A111" s="159">
        <v>154</v>
      </c>
      <c r="B111" s="157" t="s">
        <v>77</v>
      </c>
      <c r="C111" s="157" t="s">
        <v>1064</v>
      </c>
      <c r="D111" s="159" t="s">
        <v>1067</v>
      </c>
      <c r="E111" s="157" t="s">
        <v>1065</v>
      </c>
      <c r="F111" s="161" t="s">
        <v>73</v>
      </c>
      <c r="G111" s="157" t="s">
        <v>1278</v>
      </c>
      <c r="H111" s="157" t="s">
        <v>1364</v>
      </c>
      <c r="I111" s="157" t="s">
        <v>9652</v>
      </c>
      <c r="J111" s="157" t="s">
        <v>1366</v>
      </c>
      <c r="K111" s="157" t="s">
        <v>1269</v>
      </c>
      <c r="L111" s="157" t="s">
        <v>1342</v>
      </c>
      <c r="M111" s="157" t="str">
        <f t="shared" si="5"/>
        <v>Stepper Motor - Steering Column Movement Vertical</v>
      </c>
      <c r="N111" s="157"/>
      <c r="O111" s="157"/>
      <c r="P111" s="159" t="s">
        <v>6775</v>
      </c>
      <c r="Q111" s="157"/>
      <c r="R111" s="157"/>
      <c r="S111" s="157"/>
      <c r="T111" s="157"/>
      <c r="U111" s="159" t="s">
        <v>2129</v>
      </c>
      <c r="V111" s="159" t="s">
        <v>2129</v>
      </c>
      <c r="W111" s="159" t="s">
        <v>2138</v>
      </c>
      <c r="X111" s="160">
        <v>0</v>
      </c>
      <c r="Y111" s="160">
        <v>0</v>
      </c>
      <c r="Z111" s="160">
        <v>0</v>
      </c>
      <c r="AA111" s="160">
        <v>0</v>
      </c>
    </row>
    <row r="112" spans="1:27" ht="18" customHeight="1" x14ac:dyDescent="0.25">
      <c r="A112" s="159">
        <v>155</v>
      </c>
      <c r="B112" s="157" t="s">
        <v>77</v>
      </c>
      <c r="C112" s="157" t="s">
        <v>1068</v>
      </c>
      <c r="D112" s="159" t="s">
        <v>1071</v>
      </c>
      <c r="E112" s="157" t="s">
        <v>1069</v>
      </c>
      <c r="F112" s="161" t="s">
        <v>73</v>
      </c>
      <c r="G112" s="157" t="s">
        <v>1278</v>
      </c>
      <c r="H112" s="157" t="s">
        <v>1294</v>
      </c>
      <c r="I112" s="157" t="s">
        <v>1367</v>
      </c>
      <c r="J112" s="157" t="s">
        <v>1278</v>
      </c>
      <c r="K112" s="157" t="s">
        <v>1269</v>
      </c>
      <c r="L112" s="157" t="s">
        <v>1342</v>
      </c>
      <c r="M112" s="157" t="str">
        <f t="shared" si="5"/>
        <v>Stepper Motor - Glove Box Openning</v>
      </c>
      <c r="N112" s="157"/>
      <c r="O112" s="157"/>
      <c r="P112" s="159" t="s">
        <v>4248</v>
      </c>
      <c r="Q112" s="157" t="s">
        <v>2115</v>
      </c>
      <c r="R112" s="157" t="s">
        <v>8281</v>
      </c>
      <c r="S112" s="157" t="s">
        <v>8610</v>
      </c>
      <c r="T112" s="157"/>
      <c r="U112" s="159" t="s">
        <v>2129</v>
      </c>
      <c r="V112" s="159" t="s">
        <v>2129</v>
      </c>
      <c r="W112" s="159" t="s">
        <v>2138</v>
      </c>
      <c r="X112" s="160">
        <f>2*10/(20*60)</f>
        <v>1.6666666666666666E-2</v>
      </c>
      <c r="Y112" s="160">
        <f>2*10/(20*60)</f>
        <v>1.6666666666666666E-2</v>
      </c>
      <c r="Z112" s="160">
        <f>2*10/(20*60)</f>
        <v>1.6666666666666666E-2</v>
      </c>
      <c r="AA112" s="160">
        <f>2*10/(20*60)</f>
        <v>1.6666666666666666E-2</v>
      </c>
    </row>
    <row r="113" spans="1:27" ht="18" customHeight="1" x14ac:dyDescent="0.25">
      <c r="A113" s="159">
        <v>156</v>
      </c>
      <c r="B113" s="157" t="s">
        <v>77</v>
      </c>
      <c r="C113" s="157" t="s">
        <v>149</v>
      </c>
      <c r="D113" s="159" t="s">
        <v>152</v>
      </c>
      <c r="E113" s="157" t="s">
        <v>150</v>
      </c>
      <c r="F113" s="157" t="s">
        <v>1264</v>
      </c>
      <c r="G113" s="157" t="s">
        <v>1278</v>
      </c>
      <c r="H113" s="157" t="s">
        <v>1283</v>
      </c>
      <c r="I113" s="157" t="s">
        <v>1368</v>
      </c>
      <c r="J113" s="157" t="s">
        <v>1285</v>
      </c>
      <c r="K113" s="157" t="s">
        <v>1281</v>
      </c>
      <c r="L113" s="157" t="s">
        <v>1369</v>
      </c>
      <c r="M113" s="157" t="str">
        <f t="shared" si="5"/>
        <v>Ajar Switch - Glove Box illumination</v>
      </c>
      <c r="N113" s="157"/>
      <c r="O113" s="157"/>
      <c r="P113" s="159" t="s">
        <v>4248</v>
      </c>
      <c r="Q113" s="157" t="s">
        <v>2115</v>
      </c>
      <c r="R113" s="157" t="s">
        <v>2124</v>
      </c>
      <c r="S113" s="157" t="s">
        <v>8608</v>
      </c>
      <c r="T113" s="157"/>
      <c r="U113" s="159" t="s">
        <v>2138</v>
      </c>
      <c r="V113" s="159" t="s">
        <v>2138</v>
      </c>
      <c r="W113" s="159" t="s">
        <v>2138</v>
      </c>
      <c r="X113" s="160">
        <v>0.05</v>
      </c>
      <c r="Y113" s="160">
        <v>0</v>
      </c>
      <c r="Z113" s="160">
        <v>0.05</v>
      </c>
      <c r="AA113" s="160">
        <v>0</v>
      </c>
    </row>
    <row r="114" spans="1:27" ht="18" customHeight="1" x14ac:dyDescent="0.25">
      <c r="A114" s="159">
        <v>157</v>
      </c>
      <c r="B114" s="157" t="s">
        <v>77</v>
      </c>
      <c r="C114" s="157" t="s">
        <v>149</v>
      </c>
      <c r="D114" s="159" t="s">
        <v>152</v>
      </c>
      <c r="E114" s="157" t="s">
        <v>150</v>
      </c>
      <c r="F114" s="157" t="s">
        <v>1264</v>
      </c>
      <c r="G114" s="157" t="s">
        <v>1278</v>
      </c>
      <c r="H114" s="157" t="s">
        <v>1283</v>
      </c>
      <c r="I114" s="157" t="s">
        <v>1368</v>
      </c>
      <c r="J114" s="157" t="s">
        <v>1285</v>
      </c>
      <c r="K114" s="157" t="s">
        <v>1269</v>
      </c>
      <c r="L114" s="157" t="s">
        <v>1286</v>
      </c>
      <c r="M114" s="157" t="str">
        <f t="shared" si="5"/>
        <v>LED Lamp - Glove Box illumination</v>
      </c>
      <c r="N114" s="157"/>
      <c r="O114" s="157"/>
      <c r="P114" s="159" t="s">
        <v>4248</v>
      </c>
      <c r="Q114" s="157" t="s">
        <v>2115</v>
      </c>
      <c r="R114" s="157" t="s">
        <v>8566</v>
      </c>
      <c r="S114" s="157" t="s">
        <v>8611</v>
      </c>
      <c r="T114" s="157"/>
      <c r="U114" s="159" t="s">
        <v>2138</v>
      </c>
      <c r="V114" s="159" t="s">
        <v>2138</v>
      </c>
      <c r="W114" s="159" t="s">
        <v>2138</v>
      </c>
      <c r="X114" s="160">
        <v>0.05</v>
      </c>
      <c r="Y114" s="160">
        <v>0</v>
      </c>
      <c r="Z114" s="160">
        <v>0.05</v>
      </c>
      <c r="AA114" s="160">
        <v>0</v>
      </c>
    </row>
    <row r="115" spans="1:27" ht="18" customHeight="1" x14ac:dyDescent="0.25">
      <c r="A115" s="159">
        <v>160</v>
      </c>
      <c r="B115" s="157" t="s">
        <v>22</v>
      </c>
      <c r="C115" s="157" t="s">
        <v>40</v>
      </c>
      <c r="D115" s="159" t="s">
        <v>988</v>
      </c>
      <c r="E115" s="157" t="s">
        <v>986</v>
      </c>
      <c r="F115" s="157" t="s">
        <v>1298</v>
      </c>
      <c r="G115" s="157" t="s">
        <v>1299</v>
      </c>
      <c r="H115" s="157" t="s">
        <v>1300</v>
      </c>
      <c r="I115" s="157" t="s">
        <v>1300</v>
      </c>
      <c r="J115" s="157" t="s">
        <v>1370</v>
      </c>
      <c r="K115" s="157" t="s">
        <v>1302</v>
      </c>
      <c r="L115" s="157" t="s">
        <v>1371</v>
      </c>
      <c r="M115" s="157" t="str">
        <f t="shared" si="5"/>
        <v>Knee Airbag Passenger - Airbag</v>
      </c>
      <c r="N115" s="157"/>
      <c r="O115" s="157"/>
      <c r="P115" s="159" t="s">
        <v>4808</v>
      </c>
      <c r="Q115" s="157" t="s">
        <v>2115</v>
      </c>
      <c r="R115" s="157" t="s">
        <v>2118</v>
      </c>
      <c r="S115" s="157" t="s">
        <v>2119</v>
      </c>
      <c r="T115" s="157"/>
      <c r="U115" s="159" t="s">
        <v>2129</v>
      </c>
      <c r="V115" s="159" t="s">
        <v>2129</v>
      </c>
      <c r="W115" s="159" t="s">
        <v>2138</v>
      </c>
      <c r="X115" s="160">
        <v>0</v>
      </c>
      <c r="Y115" s="160">
        <v>0</v>
      </c>
      <c r="Z115" s="160">
        <v>0</v>
      </c>
      <c r="AA115" s="160">
        <v>0</v>
      </c>
    </row>
    <row r="116" spans="1:27" ht="18" customHeight="1" x14ac:dyDescent="0.25">
      <c r="A116" s="159">
        <v>161</v>
      </c>
      <c r="B116" s="157" t="s">
        <v>77</v>
      </c>
      <c r="C116" s="157" t="s">
        <v>124</v>
      </c>
      <c r="D116" s="159" t="s">
        <v>127</v>
      </c>
      <c r="E116" s="157" t="s">
        <v>125</v>
      </c>
      <c r="F116" s="157" t="s">
        <v>1264</v>
      </c>
      <c r="G116" s="157" t="s">
        <v>1278</v>
      </c>
      <c r="H116" s="157" t="s">
        <v>1283</v>
      </c>
      <c r="I116" s="157" t="s">
        <v>1372</v>
      </c>
      <c r="J116" s="157" t="s">
        <v>1373</v>
      </c>
      <c r="K116" s="157" t="s">
        <v>1269</v>
      </c>
      <c r="L116" s="157" t="s">
        <v>1286</v>
      </c>
      <c r="M116" s="157" t="str">
        <f t="shared" si="5"/>
        <v>LED Lamp - Footwell Illumination FL</v>
      </c>
      <c r="N116" s="157"/>
      <c r="O116" s="157"/>
      <c r="P116" s="159" t="s">
        <v>7430</v>
      </c>
      <c r="Q116" s="157" t="s">
        <v>2115</v>
      </c>
      <c r="R116" s="157" t="s">
        <v>8436</v>
      </c>
      <c r="S116" s="157" t="s">
        <v>8606</v>
      </c>
      <c r="T116" s="157"/>
      <c r="U116" s="159" t="s">
        <v>2129</v>
      </c>
      <c r="V116" s="159" t="s">
        <v>2138</v>
      </c>
      <c r="W116" s="159" t="s">
        <v>2138</v>
      </c>
      <c r="X116" s="160">
        <v>0</v>
      </c>
      <c r="Y116" s="160">
        <v>0</v>
      </c>
      <c r="Z116" s="160">
        <v>0.5</v>
      </c>
      <c r="AA116" s="160">
        <v>0.5</v>
      </c>
    </row>
    <row r="117" spans="1:27" ht="18" customHeight="1" x14ac:dyDescent="0.25">
      <c r="A117" s="159">
        <v>162</v>
      </c>
      <c r="B117" s="157" t="s">
        <v>77</v>
      </c>
      <c r="C117" s="157" t="s">
        <v>124</v>
      </c>
      <c r="D117" s="159" t="s">
        <v>127</v>
      </c>
      <c r="E117" s="157" t="s">
        <v>125</v>
      </c>
      <c r="F117" s="157" t="s">
        <v>1264</v>
      </c>
      <c r="G117" s="157" t="s">
        <v>1278</v>
      </c>
      <c r="H117" s="157" t="s">
        <v>1283</v>
      </c>
      <c r="I117" s="157" t="s">
        <v>1374</v>
      </c>
      <c r="J117" s="157" t="s">
        <v>1373</v>
      </c>
      <c r="K117" s="157" t="s">
        <v>1269</v>
      </c>
      <c r="L117" s="157" t="s">
        <v>1286</v>
      </c>
      <c r="M117" s="157" t="str">
        <f t="shared" si="5"/>
        <v>LED Lamp - Footwell Illumination FR</v>
      </c>
      <c r="N117" s="157"/>
      <c r="O117" s="157"/>
      <c r="P117" s="159" t="s">
        <v>4153</v>
      </c>
      <c r="Q117" s="157" t="s">
        <v>2115</v>
      </c>
      <c r="R117" s="157" t="s">
        <v>8436</v>
      </c>
      <c r="S117" s="157" t="s">
        <v>8606</v>
      </c>
      <c r="T117" s="157"/>
      <c r="U117" s="159" t="s">
        <v>2129</v>
      </c>
      <c r="V117" s="159" t="s">
        <v>2138</v>
      </c>
      <c r="W117" s="159" t="s">
        <v>2138</v>
      </c>
      <c r="X117" s="160">
        <v>0</v>
      </c>
      <c r="Y117" s="160">
        <v>0</v>
      </c>
      <c r="Z117" s="160">
        <v>0.5</v>
      </c>
      <c r="AA117" s="160">
        <v>0.5</v>
      </c>
    </row>
    <row r="118" spans="1:27" ht="18" customHeight="1" x14ac:dyDescent="0.25">
      <c r="A118" s="159">
        <v>175</v>
      </c>
      <c r="B118" s="157" t="s">
        <v>280</v>
      </c>
      <c r="C118" s="157" t="s">
        <v>1241</v>
      </c>
      <c r="D118" s="159" t="s">
        <v>1244</v>
      </c>
      <c r="E118" s="157" t="s">
        <v>1242</v>
      </c>
      <c r="F118" s="157"/>
      <c r="G118" s="157" t="s">
        <v>1265</v>
      </c>
      <c r="H118" s="157" t="s">
        <v>1375</v>
      </c>
      <c r="I118" s="157" t="s">
        <v>1376</v>
      </c>
      <c r="J118" s="157" t="s">
        <v>1285</v>
      </c>
      <c r="K118" s="157" t="s">
        <v>1269</v>
      </c>
      <c r="L118" s="157" t="s">
        <v>1377</v>
      </c>
      <c r="M118" s="157" t="str">
        <f t="shared" si="5"/>
        <v>Touch Screen Monitor - User Interaction</v>
      </c>
      <c r="N118" s="157"/>
      <c r="O118" s="157"/>
      <c r="P118" s="159" t="s">
        <v>5646</v>
      </c>
      <c r="Q118" s="157"/>
      <c r="R118" s="157"/>
      <c r="S118" s="157"/>
      <c r="T118" s="157"/>
      <c r="U118" s="159" t="s">
        <v>2138</v>
      </c>
      <c r="V118" s="159" t="s">
        <v>2138</v>
      </c>
      <c r="W118" s="159" t="s">
        <v>2138</v>
      </c>
      <c r="X118" s="160">
        <v>1</v>
      </c>
      <c r="Y118" s="160">
        <v>1</v>
      </c>
      <c r="Z118" s="160">
        <v>1</v>
      </c>
      <c r="AA118" s="160">
        <v>1</v>
      </c>
    </row>
    <row r="119" spans="1:27" ht="18" customHeight="1" x14ac:dyDescent="0.25">
      <c r="A119" s="159">
        <v>175</v>
      </c>
      <c r="B119" s="157" t="s">
        <v>280</v>
      </c>
      <c r="C119" s="157" t="s">
        <v>505</v>
      </c>
      <c r="D119" s="159" t="s">
        <v>508</v>
      </c>
      <c r="E119" s="157" t="s">
        <v>506</v>
      </c>
      <c r="F119" s="157" t="s">
        <v>1264</v>
      </c>
      <c r="G119" s="157" t="s">
        <v>1265</v>
      </c>
      <c r="H119" s="157" t="s">
        <v>1375</v>
      </c>
      <c r="I119" s="157" t="s">
        <v>1376</v>
      </c>
      <c r="J119" s="157" t="s">
        <v>1285</v>
      </c>
      <c r="K119" s="157" t="s">
        <v>1269</v>
      </c>
      <c r="L119" s="157" t="s">
        <v>1377</v>
      </c>
      <c r="M119" s="157" t="str">
        <f t="shared" si="5"/>
        <v>Touch Screen Monitor - User Interaction</v>
      </c>
      <c r="N119" s="157"/>
      <c r="O119" s="157"/>
      <c r="P119" s="159" t="s">
        <v>5646</v>
      </c>
      <c r="Q119" s="157"/>
      <c r="R119" s="157"/>
      <c r="S119" s="157"/>
      <c r="T119" s="157"/>
      <c r="U119" s="159" t="s">
        <v>2138</v>
      </c>
      <c r="V119" s="159" t="s">
        <v>2138</v>
      </c>
      <c r="W119" s="159" t="s">
        <v>2138</v>
      </c>
      <c r="X119" s="160">
        <v>1</v>
      </c>
      <c r="Y119" s="160">
        <v>1</v>
      </c>
      <c r="Z119" s="160">
        <v>1</v>
      </c>
      <c r="AA119" s="160">
        <v>1</v>
      </c>
    </row>
    <row r="120" spans="1:27" ht="18" customHeight="1" x14ac:dyDescent="0.25">
      <c r="A120" s="159">
        <v>175</v>
      </c>
      <c r="B120" s="157" t="s">
        <v>280</v>
      </c>
      <c r="C120" s="157" t="s">
        <v>505</v>
      </c>
      <c r="D120" s="159" t="s">
        <v>713</v>
      </c>
      <c r="E120" s="157" t="s">
        <v>711</v>
      </c>
      <c r="F120" s="157" t="s">
        <v>1264</v>
      </c>
      <c r="G120" s="157" t="s">
        <v>1265</v>
      </c>
      <c r="H120" s="157" t="s">
        <v>1375</v>
      </c>
      <c r="I120" s="157" t="s">
        <v>1376</v>
      </c>
      <c r="J120" s="157" t="s">
        <v>1285</v>
      </c>
      <c r="K120" s="157" t="s">
        <v>1269</v>
      </c>
      <c r="L120" s="157" t="s">
        <v>1377</v>
      </c>
      <c r="M120" s="157" t="str">
        <f t="shared" si="5"/>
        <v>Touch Screen Monitor - User Interaction</v>
      </c>
      <c r="N120" s="157"/>
      <c r="O120" s="157"/>
      <c r="P120" s="159" t="s">
        <v>5646</v>
      </c>
      <c r="Q120" s="157"/>
      <c r="R120" s="157"/>
      <c r="S120" s="157"/>
      <c r="T120" s="157"/>
      <c r="U120" s="159" t="s">
        <v>2138</v>
      </c>
      <c r="V120" s="159" t="s">
        <v>2138</v>
      </c>
      <c r="W120" s="159" t="s">
        <v>2138</v>
      </c>
      <c r="X120" s="160">
        <v>1</v>
      </c>
      <c r="Y120" s="160">
        <v>1</v>
      </c>
      <c r="Z120" s="160">
        <v>1</v>
      </c>
      <c r="AA120" s="160">
        <v>1</v>
      </c>
    </row>
    <row r="121" spans="1:27" ht="18" customHeight="1" x14ac:dyDescent="0.25">
      <c r="A121" s="159">
        <v>175</v>
      </c>
      <c r="B121" s="157" t="s">
        <v>318</v>
      </c>
      <c r="C121" s="157" t="s">
        <v>433</v>
      </c>
      <c r="D121" s="159" t="s">
        <v>954</v>
      </c>
      <c r="E121" s="157" t="s">
        <v>952</v>
      </c>
      <c r="F121" s="157" t="s">
        <v>1264</v>
      </c>
      <c r="G121" s="157" t="s">
        <v>1265</v>
      </c>
      <c r="H121" s="157" t="s">
        <v>1375</v>
      </c>
      <c r="I121" s="157" t="s">
        <v>1376</v>
      </c>
      <c r="J121" s="157" t="s">
        <v>1285</v>
      </c>
      <c r="K121" s="157" t="s">
        <v>1269</v>
      </c>
      <c r="L121" s="157" t="s">
        <v>1377</v>
      </c>
      <c r="M121" s="157" t="str">
        <f t="shared" si="5"/>
        <v>Touch Screen Monitor - User Interaction</v>
      </c>
      <c r="N121" s="157"/>
      <c r="O121" s="157"/>
      <c r="P121" s="159" t="s">
        <v>5646</v>
      </c>
      <c r="Q121" s="157"/>
      <c r="R121" s="157"/>
      <c r="S121" s="157"/>
      <c r="T121" s="157"/>
      <c r="U121" s="159" t="s">
        <v>2129</v>
      </c>
      <c r="V121" s="159" t="s">
        <v>2129</v>
      </c>
      <c r="W121" s="159" t="s">
        <v>2138</v>
      </c>
      <c r="X121" s="160">
        <v>1</v>
      </c>
      <c r="Y121" s="160">
        <v>1</v>
      </c>
      <c r="Z121" s="160">
        <v>1</v>
      </c>
      <c r="AA121" s="160">
        <v>1</v>
      </c>
    </row>
    <row r="122" spans="1:27" ht="18" customHeight="1" x14ac:dyDescent="0.25">
      <c r="A122" s="159">
        <v>175</v>
      </c>
      <c r="B122" s="157" t="s">
        <v>318</v>
      </c>
      <c r="C122" s="157" t="s">
        <v>433</v>
      </c>
      <c r="D122" s="159" t="s">
        <v>957</v>
      </c>
      <c r="E122" s="157" t="s">
        <v>955</v>
      </c>
      <c r="F122" s="157"/>
      <c r="G122" s="157" t="s">
        <v>1265</v>
      </c>
      <c r="H122" s="157" t="s">
        <v>1375</v>
      </c>
      <c r="I122" s="157" t="s">
        <v>1376</v>
      </c>
      <c r="J122" s="157" t="s">
        <v>1285</v>
      </c>
      <c r="K122" s="157" t="s">
        <v>1269</v>
      </c>
      <c r="L122" s="157" t="s">
        <v>1377</v>
      </c>
      <c r="M122" s="157" t="str">
        <f t="shared" si="5"/>
        <v>Touch Screen Monitor - User Interaction</v>
      </c>
      <c r="N122" s="157"/>
      <c r="O122" s="157"/>
      <c r="P122" s="159" t="s">
        <v>5646</v>
      </c>
      <c r="Q122" s="157"/>
      <c r="R122" s="157"/>
      <c r="S122" s="157"/>
      <c r="T122" s="157"/>
      <c r="U122" s="159" t="s">
        <v>2129</v>
      </c>
      <c r="V122" s="159" t="s">
        <v>2129</v>
      </c>
      <c r="W122" s="159" t="s">
        <v>2138</v>
      </c>
      <c r="X122" s="160">
        <v>1</v>
      </c>
      <c r="Y122" s="160">
        <v>1</v>
      </c>
      <c r="Z122" s="160">
        <v>1</v>
      </c>
      <c r="AA122" s="160">
        <v>1</v>
      </c>
    </row>
    <row r="123" spans="1:27" ht="18" customHeight="1" x14ac:dyDescent="0.25">
      <c r="A123" s="159">
        <v>175</v>
      </c>
      <c r="B123" s="157" t="s">
        <v>318</v>
      </c>
      <c r="C123" s="157" t="s">
        <v>433</v>
      </c>
      <c r="D123" s="159" t="s">
        <v>961</v>
      </c>
      <c r="E123" s="157" t="s">
        <v>959</v>
      </c>
      <c r="F123" s="157" t="s">
        <v>1264</v>
      </c>
      <c r="G123" s="157" t="s">
        <v>1265</v>
      </c>
      <c r="H123" s="157" t="s">
        <v>1375</v>
      </c>
      <c r="I123" s="157" t="s">
        <v>1376</v>
      </c>
      <c r="J123" s="157" t="s">
        <v>1285</v>
      </c>
      <c r="K123" s="157" t="s">
        <v>1269</v>
      </c>
      <c r="L123" s="157" t="s">
        <v>1377</v>
      </c>
      <c r="M123" s="157" t="str">
        <f t="shared" si="5"/>
        <v>Touch Screen Monitor - User Interaction</v>
      </c>
      <c r="N123" s="157"/>
      <c r="O123" s="157"/>
      <c r="P123" s="159" t="s">
        <v>5646</v>
      </c>
      <c r="Q123" s="157"/>
      <c r="R123" s="157"/>
      <c r="S123" s="157"/>
      <c r="T123" s="157"/>
      <c r="U123" s="159" t="s">
        <v>2129</v>
      </c>
      <c r="V123" s="159" t="s">
        <v>2129</v>
      </c>
      <c r="W123" s="159" t="s">
        <v>2138</v>
      </c>
      <c r="X123" s="160">
        <v>1</v>
      </c>
      <c r="Y123" s="160">
        <v>1</v>
      </c>
      <c r="Z123" s="160">
        <v>1</v>
      </c>
      <c r="AA123" s="160">
        <v>1</v>
      </c>
    </row>
    <row r="124" spans="1:27" ht="18" customHeight="1" x14ac:dyDescent="0.25">
      <c r="A124" s="159">
        <v>175</v>
      </c>
      <c r="B124" s="157" t="s">
        <v>318</v>
      </c>
      <c r="C124" s="157" t="s">
        <v>433</v>
      </c>
      <c r="D124" s="159" t="s">
        <v>68</v>
      </c>
      <c r="E124" s="157" t="s">
        <v>1226</v>
      </c>
      <c r="F124" s="157" t="s">
        <v>1264</v>
      </c>
      <c r="G124" s="157" t="s">
        <v>1265</v>
      </c>
      <c r="H124" s="157" t="s">
        <v>1375</v>
      </c>
      <c r="I124" s="157" t="s">
        <v>1376</v>
      </c>
      <c r="J124" s="157" t="s">
        <v>1285</v>
      </c>
      <c r="K124" s="157" t="s">
        <v>1269</v>
      </c>
      <c r="L124" s="157" t="s">
        <v>1377</v>
      </c>
      <c r="M124" s="157" t="str">
        <f t="shared" si="5"/>
        <v>Touch Screen Monitor - User Interaction</v>
      </c>
      <c r="N124" s="157"/>
      <c r="O124" s="157"/>
      <c r="P124" s="159" t="s">
        <v>5646</v>
      </c>
      <c r="Q124" s="157"/>
      <c r="R124" s="157"/>
      <c r="S124" s="157"/>
      <c r="T124" s="157"/>
      <c r="U124" s="159" t="s">
        <v>2138</v>
      </c>
      <c r="V124" s="159" t="s">
        <v>2138</v>
      </c>
      <c r="W124" s="159" t="s">
        <v>2138</v>
      </c>
      <c r="X124" s="160">
        <v>1</v>
      </c>
      <c r="Y124" s="160">
        <v>1</v>
      </c>
      <c r="Z124" s="160">
        <v>1</v>
      </c>
      <c r="AA124" s="160">
        <v>1</v>
      </c>
    </row>
    <row r="125" spans="1:27" ht="18" customHeight="1" x14ac:dyDescent="0.25">
      <c r="A125" s="159">
        <v>209</v>
      </c>
      <c r="B125" s="157" t="s">
        <v>63</v>
      </c>
      <c r="C125" s="157" t="s">
        <v>64</v>
      </c>
      <c r="D125" s="159" t="s">
        <v>326</v>
      </c>
      <c r="E125" s="157" t="s">
        <v>324</v>
      </c>
      <c r="F125" s="157" t="s">
        <v>1381</v>
      </c>
      <c r="G125" s="157" t="s">
        <v>1321</v>
      </c>
      <c r="H125" s="157" t="s">
        <v>1382</v>
      </c>
      <c r="I125" s="157" t="s">
        <v>1433</v>
      </c>
      <c r="J125" s="157" t="s">
        <v>1324</v>
      </c>
      <c r="K125" s="157" t="s">
        <v>1269</v>
      </c>
      <c r="L125" s="157" t="s">
        <v>1383</v>
      </c>
      <c r="M125" s="157" t="str">
        <f t="shared" si="5"/>
        <v>Onboard Charger - Power Convertion</v>
      </c>
      <c r="N125" s="157"/>
      <c r="O125" s="157"/>
      <c r="P125" s="159" t="s">
        <v>7621</v>
      </c>
      <c r="Q125" s="157"/>
      <c r="R125" s="157"/>
      <c r="S125" s="157"/>
      <c r="T125" s="157"/>
      <c r="U125" s="159" t="s">
        <v>2129</v>
      </c>
      <c r="V125" s="159" t="s">
        <v>2129</v>
      </c>
      <c r="W125" s="159" t="s">
        <v>2138</v>
      </c>
      <c r="X125" s="160">
        <v>0</v>
      </c>
      <c r="Y125" s="160">
        <v>0</v>
      </c>
      <c r="Z125" s="160">
        <v>0</v>
      </c>
      <c r="AA125" s="160">
        <v>0</v>
      </c>
    </row>
    <row r="126" spans="1:27" ht="18" customHeight="1" x14ac:dyDescent="0.25">
      <c r="A126" s="159">
        <v>209</v>
      </c>
      <c r="B126" s="157" t="s">
        <v>63</v>
      </c>
      <c r="C126" s="157" t="s">
        <v>64</v>
      </c>
      <c r="D126" s="159" t="s">
        <v>645</v>
      </c>
      <c r="E126" s="157" t="s">
        <v>643</v>
      </c>
      <c r="F126" s="157" t="s">
        <v>1275</v>
      </c>
      <c r="G126" s="157" t="s">
        <v>1321</v>
      </c>
      <c r="H126" s="157" t="s">
        <v>1382</v>
      </c>
      <c r="I126" s="157" t="s">
        <v>1433</v>
      </c>
      <c r="J126" s="157" t="s">
        <v>1324</v>
      </c>
      <c r="K126" s="157" t="s">
        <v>1269</v>
      </c>
      <c r="L126" s="157" t="s">
        <v>1383</v>
      </c>
      <c r="M126" s="157" t="str">
        <f t="shared" si="5"/>
        <v>Onboard Charger - Power Convertion</v>
      </c>
      <c r="N126" s="157"/>
      <c r="O126" s="157"/>
      <c r="P126" s="159" t="s">
        <v>7621</v>
      </c>
      <c r="Q126" s="157"/>
      <c r="R126" s="157"/>
      <c r="S126" s="157"/>
      <c r="T126" s="157"/>
      <c r="U126" s="159" t="s">
        <v>2129</v>
      </c>
      <c r="V126" s="159" t="s">
        <v>2129</v>
      </c>
      <c r="W126" s="159" t="s">
        <v>2138</v>
      </c>
      <c r="X126" s="160">
        <v>0</v>
      </c>
      <c r="Y126" s="160">
        <v>0</v>
      </c>
      <c r="Z126" s="160">
        <v>0</v>
      </c>
      <c r="AA126" s="160">
        <v>0</v>
      </c>
    </row>
    <row r="127" spans="1:27" ht="18" customHeight="1" x14ac:dyDescent="0.25">
      <c r="A127" s="159">
        <v>209</v>
      </c>
      <c r="B127" s="157" t="s">
        <v>63</v>
      </c>
      <c r="C127" s="157" t="s">
        <v>64</v>
      </c>
      <c r="D127" s="159" t="s">
        <v>755</v>
      </c>
      <c r="E127" s="157" t="s">
        <v>753</v>
      </c>
      <c r="F127" s="157"/>
      <c r="G127" s="157" t="s">
        <v>1321</v>
      </c>
      <c r="H127" s="157" t="s">
        <v>1382</v>
      </c>
      <c r="I127" s="157" t="s">
        <v>1433</v>
      </c>
      <c r="J127" s="157" t="s">
        <v>1324</v>
      </c>
      <c r="K127" s="157" t="s">
        <v>1269</v>
      </c>
      <c r="L127" s="157" t="s">
        <v>1383</v>
      </c>
      <c r="M127" s="157" t="str">
        <f t="shared" si="5"/>
        <v>Onboard Charger - Power Convertion</v>
      </c>
      <c r="N127" s="157"/>
      <c r="O127" s="157"/>
      <c r="P127" s="159" t="s">
        <v>7621</v>
      </c>
      <c r="Q127" s="157"/>
      <c r="R127" s="157"/>
      <c r="S127" s="157"/>
      <c r="T127" s="157"/>
      <c r="U127" s="159" t="s">
        <v>2129</v>
      </c>
      <c r="V127" s="159" t="s">
        <v>2129</v>
      </c>
      <c r="W127" s="159" t="s">
        <v>2138</v>
      </c>
      <c r="X127" s="160">
        <v>0</v>
      </c>
      <c r="Y127" s="160">
        <v>0</v>
      </c>
      <c r="Z127" s="160">
        <v>0</v>
      </c>
      <c r="AA127" s="160">
        <v>0</v>
      </c>
    </row>
    <row r="128" spans="1:27" ht="18" customHeight="1" x14ac:dyDescent="0.25">
      <c r="A128" s="159">
        <v>209</v>
      </c>
      <c r="B128" s="157" t="s">
        <v>63</v>
      </c>
      <c r="C128" s="157" t="s">
        <v>64</v>
      </c>
      <c r="D128" s="159" t="s">
        <v>758</v>
      </c>
      <c r="E128" s="157" t="s">
        <v>756</v>
      </c>
      <c r="F128" s="157" t="s">
        <v>1277</v>
      </c>
      <c r="G128" s="157" t="s">
        <v>1321</v>
      </c>
      <c r="H128" s="157" t="s">
        <v>1382</v>
      </c>
      <c r="I128" s="157" t="s">
        <v>1433</v>
      </c>
      <c r="J128" s="157" t="s">
        <v>1324</v>
      </c>
      <c r="K128" s="157" t="s">
        <v>1269</v>
      </c>
      <c r="L128" s="157" t="s">
        <v>1383</v>
      </c>
      <c r="M128" s="157" t="str">
        <f t="shared" si="5"/>
        <v>Onboard Charger - Power Convertion</v>
      </c>
      <c r="N128" s="157"/>
      <c r="O128" s="157"/>
      <c r="P128" s="159" t="s">
        <v>7621</v>
      </c>
      <c r="Q128" s="157"/>
      <c r="R128" s="157"/>
      <c r="S128" s="157"/>
      <c r="T128" s="157"/>
      <c r="U128" s="159" t="s">
        <v>2129</v>
      </c>
      <c r="V128" s="159" t="s">
        <v>2129</v>
      </c>
      <c r="W128" s="159" t="s">
        <v>2138</v>
      </c>
      <c r="X128" s="160">
        <v>0</v>
      </c>
      <c r="Y128" s="160">
        <v>0</v>
      </c>
      <c r="Z128" s="160">
        <v>0</v>
      </c>
      <c r="AA128" s="160">
        <v>0</v>
      </c>
    </row>
    <row r="129" spans="1:27" ht="18" customHeight="1" x14ac:dyDescent="0.25">
      <c r="A129" s="159">
        <v>209</v>
      </c>
      <c r="B129" s="157" t="s">
        <v>199</v>
      </c>
      <c r="C129" s="157" t="s">
        <v>468</v>
      </c>
      <c r="D129" s="159" t="s">
        <v>471</v>
      </c>
      <c r="E129" s="157" t="s">
        <v>469</v>
      </c>
      <c r="F129" s="157" t="s">
        <v>1264</v>
      </c>
      <c r="G129" s="157" t="s">
        <v>1321</v>
      </c>
      <c r="H129" s="157" t="s">
        <v>1382</v>
      </c>
      <c r="I129" s="157" t="s">
        <v>1433</v>
      </c>
      <c r="J129" s="157" t="s">
        <v>1324</v>
      </c>
      <c r="K129" s="157" t="s">
        <v>1269</v>
      </c>
      <c r="L129" s="157" t="s">
        <v>1383</v>
      </c>
      <c r="M129" s="157" t="str">
        <f t="shared" si="5"/>
        <v>Onboard Charger - Power Convertion</v>
      </c>
      <c r="N129" s="157"/>
      <c r="O129" s="157"/>
      <c r="P129" s="159" t="s">
        <v>7621</v>
      </c>
      <c r="Q129" s="157"/>
      <c r="R129" s="157"/>
      <c r="S129" s="157"/>
      <c r="T129" s="157"/>
      <c r="U129" s="159" t="s">
        <v>2129</v>
      </c>
      <c r="V129" s="159" t="s">
        <v>2129</v>
      </c>
      <c r="W129" s="159" t="s">
        <v>2138</v>
      </c>
      <c r="X129" s="160">
        <v>0</v>
      </c>
      <c r="Y129" s="160">
        <v>0</v>
      </c>
      <c r="Z129" s="160">
        <v>0</v>
      </c>
      <c r="AA129" s="160">
        <v>0</v>
      </c>
    </row>
    <row r="130" spans="1:27" ht="18" customHeight="1" x14ac:dyDescent="0.25">
      <c r="A130" s="159">
        <v>209</v>
      </c>
      <c r="B130" s="157" t="s">
        <v>199</v>
      </c>
      <c r="C130" s="157" t="s">
        <v>485</v>
      </c>
      <c r="D130" s="159" t="s">
        <v>630</v>
      </c>
      <c r="E130" s="157" t="s">
        <v>628</v>
      </c>
      <c r="F130" s="157"/>
      <c r="G130" s="157" t="s">
        <v>1321</v>
      </c>
      <c r="H130" s="157" t="s">
        <v>1382</v>
      </c>
      <c r="I130" s="157" t="s">
        <v>1433</v>
      </c>
      <c r="J130" s="157" t="s">
        <v>1324</v>
      </c>
      <c r="K130" s="157" t="s">
        <v>1269</v>
      </c>
      <c r="L130" s="157" t="s">
        <v>1383</v>
      </c>
      <c r="M130" s="157" t="str">
        <f t="shared" si="5"/>
        <v>Onboard Charger - Power Convertion</v>
      </c>
      <c r="N130" s="157"/>
      <c r="O130" s="157"/>
      <c r="P130" s="159" t="s">
        <v>7621</v>
      </c>
      <c r="Q130" s="157"/>
      <c r="R130" s="157"/>
      <c r="S130" s="157"/>
      <c r="T130" s="157"/>
      <c r="U130" s="159" t="s">
        <v>2129</v>
      </c>
      <c r="V130" s="159" t="s">
        <v>2129</v>
      </c>
      <c r="W130" s="159" t="s">
        <v>2138</v>
      </c>
      <c r="X130" s="160">
        <v>0</v>
      </c>
      <c r="Y130" s="160">
        <v>0</v>
      </c>
      <c r="Z130" s="160">
        <v>0</v>
      </c>
      <c r="AA130" s="160">
        <v>0</v>
      </c>
    </row>
    <row r="131" spans="1:27" ht="18" customHeight="1" x14ac:dyDescent="0.25">
      <c r="A131" s="159">
        <v>209</v>
      </c>
      <c r="B131" s="157" t="s">
        <v>199</v>
      </c>
      <c r="C131" s="157" t="s">
        <v>485</v>
      </c>
      <c r="D131" s="159" t="s">
        <v>639</v>
      </c>
      <c r="E131" s="157" t="s">
        <v>637</v>
      </c>
      <c r="F131" s="157"/>
      <c r="G131" s="157" t="s">
        <v>1321</v>
      </c>
      <c r="H131" s="157" t="s">
        <v>1382</v>
      </c>
      <c r="I131" s="157" t="s">
        <v>1433</v>
      </c>
      <c r="J131" s="157" t="s">
        <v>1324</v>
      </c>
      <c r="K131" s="157" t="s">
        <v>1269</v>
      </c>
      <c r="L131" s="157" t="s">
        <v>1383</v>
      </c>
      <c r="M131" s="157" t="str">
        <f t="shared" si="5"/>
        <v>Onboard Charger - Power Convertion</v>
      </c>
      <c r="N131" s="157"/>
      <c r="O131" s="157"/>
      <c r="P131" s="159" t="s">
        <v>7621</v>
      </c>
      <c r="Q131" s="157"/>
      <c r="R131" s="157"/>
      <c r="S131" s="157"/>
      <c r="T131" s="157"/>
      <c r="U131" s="159" t="s">
        <v>2129</v>
      </c>
      <c r="V131" s="159" t="s">
        <v>2129</v>
      </c>
      <c r="W131" s="159" t="s">
        <v>2138</v>
      </c>
      <c r="X131" s="160">
        <v>0</v>
      </c>
      <c r="Y131" s="160">
        <v>0</v>
      </c>
      <c r="Z131" s="160">
        <v>0</v>
      </c>
      <c r="AA131" s="160">
        <v>0</v>
      </c>
    </row>
    <row r="132" spans="1:27" ht="18" customHeight="1" x14ac:dyDescent="0.25">
      <c r="A132" s="159">
        <v>209</v>
      </c>
      <c r="B132" s="157" t="s">
        <v>199</v>
      </c>
      <c r="C132" s="157" t="s">
        <v>485</v>
      </c>
      <c r="D132" s="159" t="s">
        <v>814</v>
      </c>
      <c r="E132" s="157" t="s">
        <v>812</v>
      </c>
      <c r="F132" s="157"/>
      <c r="G132" s="157" t="s">
        <v>1321</v>
      </c>
      <c r="H132" s="157" t="s">
        <v>1382</v>
      </c>
      <c r="I132" s="157" t="s">
        <v>1433</v>
      </c>
      <c r="J132" s="157" t="s">
        <v>1324</v>
      </c>
      <c r="K132" s="157" t="s">
        <v>1269</v>
      </c>
      <c r="L132" s="157" t="s">
        <v>1383</v>
      </c>
      <c r="M132" s="157" t="str">
        <f t="shared" si="5"/>
        <v>Onboard Charger - Power Convertion</v>
      </c>
      <c r="N132" s="157"/>
      <c r="O132" s="157"/>
      <c r="P132" s="159" t="s">
        <v>7621</v>
      </c>
      <c r="Q132" s="157"/>
      <c r="R132" s="157"/>
      <c r="S132" s="157"/>
      <c r="T132" s="157"/>
      <c r="U132" s="159" t="s">
        <v>2129</v>
      </c>
      <c r="V132" s="159" t="s">
        <v>2129</v>
      </c>
      <c r="W132" s="159" t="s">
        <v>2138</v>
      </c>
      <c r="X132" s="160">
        <v>0</v>
      </c>
      <c r="Y132" s="160">
        <v>0</v>
      </c>
      <c r="Z132" s="160">
        <v>0</v>
      </c>
      <c r="AA132" s="160">
        <v>0</v>
      </c>
    </row>
    <row r="133" spans="1:27" ht="18" customHeight="1" x14ac:dyDescent="0.25">
      <c r="A133" s="159">
        <v>209</v>
      </c>
      <c r="B133" s="157" t="s">
        <v>199</v>
      </c>
      <c r="C133" s="157" t="s">
        <v>485</v>
      </c>
      <c r="D133" s="159" t="s">
        <v>817</v>
      </c>
      <c r="E133" s="157" t="s">
        <v>815</v>
      </c>
      <c r="F133" s="157"/>
      <c r="G133" s="157" t="s">
        <v>1321</v>
      </c>
      <c r="H133" s="157" t="s">
        <v>1382</v>
      </c>
      <c r="I133" s="157" t="s">
        <v>1433</v>
      </c>
      <c r="J133" s="157" t="s">
        <v>1324</v>
      </c>
      <c r="K133" s="157" t="s">
        <v>1269</v>
      </c>
      <c r="L133" s="157" t="s">
        <v>1383</v>
      </c>
      <c r="M133" s="157" t="str">
        <f t="shared" si="5"/>
        <v>Onboard Charger - Power Convertion</v>
      </c>
      <c r="N133" s="157"/>
      <c r="O133" s="157"/>
      <c r="P133" s="159" t="s">
        <v>7621</v>
      </c>
      <c r="Q133" s="157"/>
      <c r="R133" s="157"/>
      <c r="S133" s="157"/>
      <c r="T133" s="157"/>
      <c r="U133" s="159" t="s">
        <v>2129</v>
      </c>
      <c r="V133" s="159" t="s">
        <v>2129</v>
      </c>
      <c r="W133" s="159" t="s">
        <v>2138</v>
      </c>
      <c r="X133" s="160">
        <v>0</v>
      </c>
      <c r="Y133" s="160">
        <v>0</v>
      </c>
      <c r="Z133" s="160">
        <v>0</v>
      </c>
      <c r="AA133" s="160">
        <v>0</v>
      </c>
    </row>
    <row r="134" spans="1:27" ht="18" customHeight="1" x14ac:dyDescent="0.25">
      <c r="A134" s="159">
        <v>209</v>
      </c>
      <c r="B134" s="157" t="s">
        <v>199</v>
      </c>
      <c r="C134" s="157" t="s">
        <v>485</v>
      </c>
      <c r="D134" s="159" t="s">
        <v>942</v>
      </c>
      <c r="E134" s="157" t="s">
        <v>940</v>
      </c>
      <c r="F134" s="157" t="s">
        <v>1264</v>
      </c>
      <c r="G134" s="157" t="s">
        <v>1321</v>
      </c>
      <c r="H134" s="157" t="s">
        <v>1382</v>
      </c>
      <c r="I134" s="157" t="s">
        <v>1433</v>
      </c>
      <c r="J134" s="157" t="s">
        <v>1324</v>
      </c>
      <c r="K134" s="157" t="s">
        <v>1269</v>
      </c>
      <c r="L134" s="157" t="s">
        <v>1383</v>
      </c>
      <c r="M134" s="157" t="str">
        <f t="shared" si="5"/>
        <v>Onboard Charger - Power Convertion</v>
      </c>
      <c r="N134" s="157"/>
      <c r="O134" s="157"/>
      <c r="P134" s="159" t="s">
        <v>7621</v>
      </c>
      <c r="Q134" s="157"/>
      <c r="R134" s="157"/>
      <c r="S134" s="157"/>
      <c r="T134" s="157"/>
      <c r="U134" s="159" t="s">
        <v>2129</v>
      </c>
      <c r="V134" s="159" t="s">
        <v>2129</v>
      </c>
      <c r="W134" s="159" t="s">
        <v>2138</v>
      </c>
      <c r="X134" s="160">
        <v>0</v>
      </c>
      <c r="Y134" s="160">
        <v>0</v>
      </c>
      <c r="Z134" s="160">
        <v>0</v>
      </c>
      <c r="AA134" s="160">
        <v>0</v>
      </c>
    </row>
    <row r="135" spans="1:27" ht="18" customHeight="1" x14ac:dyDescent="0.25">
      <c r="A135" s="159">
        <v>209</v>
      </c>
      <c r="B135" s="157" t="s">
        <v>199</v>
      </c>
      <c r="C135" s="157" t="s">
        <v>485</v>
      </c>
      <c r="D135" s="159" t="s">
        <v>967</v>
      </c>
      <c r="E135" s="157" t="s">
        <v>965</v>
      </c>
      <c r="F135" s="157"/>
      <c r="G135" s="157" t="s">
        <v>1321</v>
      </c>
      <c r="H135" s="157" t="s">
        <v>1382</v>
      </c>
      <c r="I135" s="157" t="s">
        <v>1433</v>
      </c>
      <c r="J135" s="157" t="s">
        <v>1324</v>
      </c>
      <c r="K135" s="157" t="s">
        <v>1269</v>
      </c>
      <c r="L135" s="157" t="s">
        <v>1383</v>
      </c>
      <c r="M135" s="157" t="str">
        <f t="shared" si="5"/>
        <v>Onboard Charger - Power Convertion</v>
      </c>
      <c r="N135" s="157"/>
      <c r="O135" s="157"/>
      <c r="P135" s="159" t="s">
        <v>7621</v>
      </c>
      <c r="Q135" s="157"/>
      <c r="R135" s="157"/>
      <c r="S135" s="157"/>
      <c r="T135" s="157"/>
      <c r="U135" s="159" t="s">
        <v>2129</v>
      </c>
      <c r="V135" s="159" t="s">
        <v>2129</v>
      </c>
      <c r="W135" s="159" t="s">
        <v>2138</v>
      </c>
      <c r="X135" s="160">
        <v>0</v>
      </c>
      <c r="Y135" s="160">
        <v>0</v>
      </c>
      <c r="Z135" s="160">
        <v>0</v>
      </c>
      <c r="AA135" s="160">
        <v>0</v>
      </c>
    </row>
    <row r="136" spans="1:27" ht="18" customHeight="1" x14ac:dyDescent="0.25">
      <c r="A136" s="159">
        <v>209</v>
      </c>
      <c r="B136" s="157" t="s">
        <v>199</v>
      </c>
      <c r="C136" s="157" t="s">
        <v>485</v>
      </c>
      <c r="D136" s="159" t="s">
        <v>1130</v>
      </c>
      <c r="E136" s="157" t="s">
        <v>1128</v>
      </c>
      <c r="F136" s="157"/>
      <c r="G136" s="157" t="s">
        <v>1321</v>
      </c>
      <c r="H136" s="157" t="s">
        <v>1382</v>
      </c>
      <c r="I136" s="157" t="s">
        <v>1433</v>
      </c>
      <c r="J136" s="157" t="s">
        <v>1324</v>
      </c>
      <c r="K136" s="157" t="s">
        <v>1269</v>
      </c>
      <c r="L136" s="157" t="s">
        <v>1383</v>
      </c>
      <c r="M136" s="157" t="str">
        <f t="shared" si="5"/>
        <v>Onboard Charger - Power Convertion</v>
      </c>
      <c r="N136" s="157"/>
      <c r="O136" s="157"/>
      <c r="P136" s="159" t="s">
        <v>7621</v>
      </c>
      <c r="Q136" s="157"/>
      <c r="R136" s="157"/>
      <c r="S136" s="157"/>
      <c r="T136" s="157"/>
      <c r="U136" s="159" t="s">
        <v>2129</v>
      </c>
      <c r="V136" s="159" t="s">
        <v>2129</v>
      </c>
      <c r="W136" s="159" t="s">
        <v>2138</v>
      </c>
      <c r="X136" s="160">
        <v>0</v>
      </c>
      <c r="Y136" s="160">
        <v>0</v>
      </c>
      <c r="Z136" s="160">
        <v>0</v>
      </c>
      <c r="AA136" s="160">
        <v>0</v>
      </c>
    </row>
    <row r="137" spans="1:27" ht="18" customHeight="1" x14ac:dyDescent="0.25">
      <c r="A137" s="159">
        <v>209</v>
      </c>
      <c r="B137" s="157" t="s">
        <v>199</v>
      </c>
      <c r="C137" s="157" t="s">
        <v>485</v>
      </c>
      <c r="D137" s="159" t="s">
        <v>1139</v>
      </c>
      <c r="E137" s="157" t="s">
        <v>1137</v>
      </c>
      <c r="F137" s="157"/>
      <c r="G137" s="157" t="s">
        <v>1321</v>
      </c>
      <c r="H137" s="157" t="s">
        <v>1382</v>
      </c>
      <c r="I137" s="157" t="s">
        <v>1433</v>
      </c>
      <c r="J137" s="157" t="s">
        <v>1324</v>
      </c>
      <c r="K137" s="157" t="s">
        <v>1269</v>
      </c>
      <c r="L137" s="157" t="s">
        <v>1383</v>
      </c>
      <c r="M137" s="157" t="str">
        <f t="shared" si="5"/>
        <v>Onboard Charger - Power Convertion</v>
      </c>
      <c r="N137" s="157"/>
      <c r="O137" s="157"/>
      <c r="P137" s="159" t="s">
        <v>7621</v>
      </c>
      <c r="Q137" s="157"/>
      <c r="R137" s="157"/>
      <c r="S137" s="157"/>
      <c r="T137" s="157"/>
      <c r="U137" s="159" t="s">
        <v>2129</v>
      </c>
      <c r="V137" s="159" t="s">
        <v>2129</v>
      </c>
      <c r="W137" s="159" t="s">
        <v>2138</v>
      </c>
      <c r="X137" s="160">
        <v>0</v>
      </c>
      <c r="Y137" s="160">
        <v>0</v>
      </c>
      <c r="Z137" s="160">
        <v>0</v>
      </c>
      <c r="AA137" s="160">
        <v>0</v>
      </c>
    </row>
    <row r="138" spans="1:27" ht="18" customHeight="1" x14ac:dyDescent="0.25">
      <c r="A138" s="159">
        <v>209</v>
      </c>
      <c r="B138" s="157" t="s">
        <v>199</v>
      </c>
      <c r="C138" s="157" t="s">
        <v>485</v>
      </c>
      <c r="D138" s="159" t="s">
        <v>1154</v>
      </c>
      <c r="E138" s="157" t="s">
        <v>1152</v>
      </c>
      <c r="F138" s="157"/>
      <c r="G138" s="157" t="s">
        <v>1321</v>
      </c>
      <c r="H138" s="157" t="s">
        <v>1382</v>
      </c>
      <c r="I138" s="157" t="s">
        <v>1433</v>
      </c>
      <c r="J138" s="157" t="s">
        <v>1324</v>
      </c>
      <c r="K138" s="157" t="s">
        <v>1269</v>
      </c>
      <c r="L138" s="157" t="s">
        <v>1383</v>
      </c>
      <c r="M138" s="157" t="str">
        <f t="shared" ref="M138:M201" si="7">CONCATENATE(L138," - ",I138)</f>
        <v>Onboard Charger - Power Convertion</v>
      </c>
      <c r="N138" s="157"/>
      <c r="O138" s="157"/>
      <c r="P138" s="159" t="s">
        <v>7621</v>
      </c>
      <c r="Q138" s="157"/>
      <c r="R138" s="157"/>
      <c r="S138" s="157"/>
      <c r="T138" s="157"/>
      <c r="U138" s="159" t="s">
        <v>2129</v>
      </c>
      <c r="V138" s="159" t="s">
        <v>2129</v>
      </c>
      <c r="W138" s="159" t="s">
        <v>2138</v>
      </c>
      <c r="X138" s="160">
        <v>0</v>
      </c>
      <c r="Y138" s="160">
        <v>0</v>
      </c>
      <c r="Z138" s="160">
        <v>0</v>
      </c>
      <c r="AA138" s="160">
        <v>0</v>
      </c>
    </row>
    <row r="139" spans="1:27" ht="18" customHeight="1" x14ac:dyDescent="0.25">
      <c r="A139" s="159">
        <v>209</v>
      </c>
      <c r="B139" s="157" t="s">
        <v>199</v>
      </c>
      <c r="C139" s="157" t="s">
        <v>455</v>
      </c>
      <c r="D139" s="159" t="s">
        <v>458</v>
      </c>
      <c r="E139" s="157" t="s">
        <v>456</v>
      </c>
      <c r="F139" s="157" t="s">
        <v>1320</v>
      </c>
      <c r="G139" s="157" t="s">
        <v>1321</v>
      </c>
      <c r="H139" s="157" t="s">
        <v>1382</v>
      </c>
      <c r="I139" s="157" t="s">
        <v>1433</v>
      </c>
      <c r="J139" s="157" t="s">
        <v>1324</v>
      </c>
      <c r="K139" s="157" t="s">
        <v>1269</v>
      </c>
      <c r="L139" s="157" t="s">
        <v>1383</v>
      </c>
      <c r="M139" s="157" t="str">
        <f t="shared" si="7"/>
        <v>Onboard Charger - Power Convertion</v>
      </c>
      <c r="N139" s="157"/>
      <c r="O139" s="157"/>
      <c r="P139" s="159" t="s">
        <v>7621</v>
      </c>
      <c r="Q139" s="157"/>
      <c r="R139" s="157"/>
      <c r="S139" s="157"/>
      <c r="T139" s="157"/>
      <c r="U139" s="159" t="s">
        <v>2129</v>
      </c>
      <c r="V139" s="159" t="s">
        <v>2129</v>
      </c>
      <c r="W139" s="159" t="s">
        <v>2138</v>
      </c>
      <c r="X139" s="160">
        <v>0</v>
      </c>
      <c r="Y139" s="160">
        <v>0</v>
      </c>
      <c r="Z139" s="160">
        <v>0</v>
      </c>
      <c r="AA139" s="160">
        <v>0</v>
      </c>
    </row>
    <row r="140" spans="1:27" ht="18" customHeight="1" x14ac:dyDescent="0.25">
      <c r="A140" s="159">
        <v>209</v>
      </c>
      <c r="B140" s="157" t="s">
        <v>199</v>
      </c>
      <c r="C140" s="157" t="s">
        <v>455</v>
      </c>
      <c r="D140" s="159" t="s">
        <v>811</v>
      </c>
      <c r="E140" s="157" t="s">
        <v>809</v>
      </c>
      <c r="F140" s="157" t="s">
        <v>1320</v>
      </c>
      <c r="G140" s="157" t="s">
        <v>1321</v>
      </c>
      <c r="H140" s="157" t="s">
        <v>1382</v>
      </c>
      <c r="I140" s="157" t="s">
        <v>1433</v>
      </c>
      <c r="J140" s="157" t="s">
        <v>1324</v>
      </c>
      <c r="K140" s="157" t="s">
        <v>1269</v>
      </c>
      <c r="L140" s="157" t="s">
        <v>1383</v>
      </c>
      <c r="M140" s="157" t="str">
        <f t="shared" si="7"/>
        <v>Onboard Charger - Power Convertion</v>
      </c>
      <c r="N140" s="157"/>
      <c r="O140" s="157"/>
      <c r="P140" s="159" t="s">
        <v>7621</v>
      </c>
      <c r="Q140" s="157"/>
      <c r="R140" s="157"/>
      <c r="S140" s="157"/>
      <c r="T140" s="157"/>
      <c r="U140" s="159" t="s">
        <v>2129</v>
      </c>
      <c r="V140" s="159" t="s">
        <v>2129</v>
      </c>
      <c r="W140" s="159" t="s">
        <v>2138</v>
      </c>
      <c r="X140" s="160">
        <v>0</v>
      </c>
      <c r="Y140" s="160">
        <v>0</v>
      </c>
      <c r="Z140" s="160">
        <v>0</v>
      </c>
      <c r="AA140" s="160">
        <v>0</v>
      </c>
    </row>
    <row r="141" spans="1:27" ht="18" customHeight="1" x14ac:dyDescent="0.25">
      <c r="A141" s="159">
        <v>209</v>
      </c>
      <c r="B141" s="157" t="s">
        <v>318</v>
      </c>
      <c r="C141" s="157" t="s">
        <v>764</v>
      </c>
      <c r="D141" s="159" t="s">
        <v>773</v>
      </c>
      <c r="E141" s="157" t="s">
        <v>771</v>
      </c>
      <c r="F141" s="157" t="s">
        <v>1010</v>
      </c>
      <c r="G141" s="157" t="s">
        <v>1321</v>
      </c>
      <c r="H141" s="157" t="s">
        <v>1382</v>
      </c>
      <c r="I141" s="157" t="s">
        <v>1433</v>
      </c>
      <c r="J141" s="157" t="s">
        <v>1324</v>
      </c>
      <c r="K141" s="157" t="s">
        <v>1269</v>
      </c>
      <c r="L141" s="157" t="s">
        <v>1383</v>
      </c>
      <c r="M141" s="157" t="str">
        <f t="shared" si="7"/>
        <v>Onboard Charger - Power Convertion</v>
      </c>
      <c r="N141" s="157"/>
      <c r="O141" s="157"/>
      <c r="P141" s="159" t="s">
        <v>7621</v>
      </c>
      <c r="Q141" s="157"/>
      <c r="R141" s="157"/>
      <c r="S141" s="157"/>
      <c r="T141" s="157"/>
      <c r="U141" s="159" t="s">
        <v>2129</v>
      </c>
      <c r="V141" s="159" t="s">
        <v>2129</v>
      </c>
      <c r="W141" s="159" t="s">
        <v>2138</v>
      </c>
      <c r="X141" s="160">
        <v>0</v>
      </c>
      <c r="Y141" s="160">
        <v>0</v>
      </c>
      <c r="Z141" s="160">
        <v>0</v>
      </c>
      <c r="AA141" s="160">
        <v>0</v>
      </c>
    </row>
    <row r="142" spans="1:27" ht="18" customHeight="1" x14ac:dyDescent="0.25">
      <c r="A142" s="159">
        <v>209</v>
      </c>
      <c r="B142" s="157"/>
      <c r="C142" s="157"/>
      <c r="D142" s="159" t="s">
        <v>488</v>
      </c>
      <c r="E142" s="157" t="s">
        <v>1319</v>
      </c>
      <c r="F142" s="157" t="s">
        <v>1320</v>
      </c>
      <c r="G142" s="157" t="s">
        <v>1321</v>
      </c>
      <c r="H142" s="157" t="s">
        <v>1382</v>
      </c>
      <c r="I142" s="157" t="s">
        <v>1433</v>
      </c>
      <c r="J142" s="157" t="s">
        <v>1324</v>
      </c>
      <c r="K142" s="157" t="s">
        <v>1269</v>
      </c>
      <c r="L142" s="157" t="s">
        <v>1383</v>
      </c>
      <c r="M142" s="157" t="str">
        <f t="shared" si="7"/>
        <v>Onboard Charger - Power Convertion</v>
      </c>
      <c r="N142" s="157"/>
      <c r="O142" s="157"/>
      <c r="P142" s="159" t="s">
        <v>7621</v>
      </c>
      <c r="Q142" s="157"/>
      <c r="R142" s="157"/>
      <c r="S142" s="157"/>
      <c r="T142" s="157"/>
      <c r="U142" s="159" t="s">
        <v>2129</v>
      </c>
      <c r="V142" s="159" t="s">
        <v>2129</v>
      </c>
      <c r="W142" s="159" t="s">
        <v>2138</v>
      </c>
      <c r="X142" s="160">
        <v>0</v>
      </c>
      <c r="Y142" s="160">
        <v>0</v>
      </c>
      <c r="Z142" s="160">
        <v>0</v>
      </c>
      <c r="AA142" s="160">
        <v>0</v>
      </c>
    </row>
    <row r="143" spans="1:27" ht="18" customHeight="1" x14ac:dyDescent="0.25">
      <c r="A143" s="159">
        <v>209</v>
      </c>
      <c r="B143" s="157"/>
      <c r="C143" s="157"/>
      <c r="D143" s="159" t="s">
        <v>633</v>
      </c>
      <c r="E143" s="157" t="s">
        <v>1325</v>
      </c>
      <c r="F143" s="157"/>
      <c r="G143" s="157" t="s">
        <v>1321</v>
      </c>
      <c r="H143" s="157" t="s">
        <v>1382</v>
      </c>
      <c r="I143" s="157" t="s">
        <v>1433</v>
      </c>
      <c r="J143" s="157" t="s">
        <v>1324</v>
      </c>
      <c r="K143" s="157" t="s">
        <v>1269</v>
      </c>
      <c r="L143" s="157" t="s">
        <v>1383</v>
      </c>
      <c r="M143" s="157" t="str">
        <f t="shared" si="7"/>
        <v>Onboard Charger - Power Convertion</v>
      </c>
      <c r="N143" s="157"/>
      <c r="O143" s="157"/>
      <c r="P143" s="159" t="s">
        <v>7621</v>
      </c>
      <c r="Q143" s="157"/>
      <c r="R143" s="157"/>
      <c r="S143" s="157"/>
      <c r="T143" s="157"/>
      <c r="U143" s="159" t="s">
        <v>2129</v>
      </c>
      <c r="V143" s="159" t="s">
        <v>2129</v>
      </c>
      <c r="W143" s="159" t="s">
        <v>2138</v>
      </c>
      <c r="X143" s="160">
        <v>0</v>
      </c>
      <c r="Y143" s="160">
        <v>0</v>
      </c>
      <c r="Z143" s="160">
        <v>0</v>
      </c>
      <c r="AA143" s="160">
        <v>0</v>
      </c>
    </row>
    <row r="144" spans="1:27" ht="18" customHeight="1" x14ac:dyDescent="0.25">
      <c r="A144" s="159">
        <v>210</v>
      </c>
      <c r="B144" s="157" t="s">
        <v>199</v>
      </c>
      <c r="C144" s="157" t="s">
        <v>200</v>
      </c>
      <c r="D144" s="159" t="s">
        <v>480</v>
      </c>
      <c r="E144" s="157" t="s">
        <v>478</v>
      </c>
      <c r="F144" s="157" t="s">
        <v>1277</v>
      </c>
      <c r="G144" s="157" t="s">
        <v>1321</v>
      </c>
      <c r="H144" s="157" t="s">
        <v>1382</v>
      </c>
      <c r="I144" s="157" t="s">
        <v>1384</v>
      </c>
      <c r="J144" s="157" t="s">
        <v>1324</v>
      </c>
      <c r="K144" s="157" t="s">
        <v>1312</v>
      </c>
      <c r="L144" s="157" t="s">
        <v>1385</v>
      </c>
      <c r="M144" s="157" t="str">
        <f t="shared" si="7"/>
        <v>Monitoring - Operation Management - Computing</v>
      </c>
      <c r="N144" s="157"/>
      <c r="O144" s="157"/>
      <c r="P144" s="159"/>
      <c r="Q144" s="157"/>
      <c r="R144" s="157"/>
      <c r="S144" s="157"/>
      <c r="T144" s="157"/>
      <c r="U144" s="159"/>
      <c r="V144" s="159"/>
      <c r="W144" s="159"/>
      <c r="X144" s="160"/>
      <c r="Y144" s="160"/>
      <c r="Z144" s="160"/>
      <c r="AA144" s="160"/>
    </row>
    <row r="145" spans="1:27" ht="18" customHeight="1" x14ac:dyDescent="0.25">
      <c r="A145" s="159">
        <v>210</v>
      </c>
      <c r="B145" s="157" t="s">
        <v>199</v>
      </c>
      <c r="C145" s="157" t="s">
        <v>200</v>
      </c>
      <c r="D145" s="159" t="s">
        <v>484</v>
      </c>
      <c r="E145" s="157" t="s">
        <v>482</v>
      </c>
      <c r="F145" s="157" t="s">
        <v>1277</v>
      </c>
      <c r="G145" s="157" t="s">
        <v>1321</v>
      </c>
      <c r="H145" s="157" t="s">
        <v>1382</v>
      </c>
      <c r="I145" s="157" t="s">
        <v>1384</v>
      </c>
      <c r="J145" s="157" t="s">
        <v>1324</v>
      </c>
      <c r="K145" s="157" t="s">
        <v>1312</v>
      </c>
      <c r="L145" s="157" t="s">
        <v>1385</v>
      </c>
      <c r="M145" s="157" t="str">
        <f t="shared" si="7"/>
        <v>Monitoring - Operation Management - Computing</v>
      </c>
      <c r="N145" s="157"/>
      <c r="O145" s="157"/>
      <c r="P145" s="159"/>
      <c r="Q145" s="157"/>
      <c r="R145" s="157"/>
      <c r="S145" s="157"/>
      <c r="T145" s="157"/>
      <c r="U145" s="159"/>
      <c r="V145" s="159"/>
      <c r="W145" s="159"/>
      <c r="X145" s="160"/>
      <c r="Y145" s="160"/>
      <c r="Z145" s="160"/>
      <c r="AA145" s="160"/>
    </row>
    <row r="146" spans="1:27" ht="18" customHeight="1" x14ac:dyDescent="0.25">
      <c r="A146" s="159">
        <v>214</v>
      </c>
      <c r="B146" s="157" t="s">
        <v>57</v>
      </c>
      <c r="C146" s="157" t="s">
        <v>349</v>
      </c>
      <c r="D146" s="159" t="s">
        <v>352</v>
      </c>
      <c r="E146" s="157" t="s">
        <v>350</v>
      </c>
      <c r="F146" s="157"/>
      <c r="G146" s="157" t="s">
        <v>1321</v>
      </c>
      <c r="H146" s="157" t="s">
        <v>2022</v>
      </c>
      <c r="I146" s="157" t="s">
        <v>1387</v>
      </c>
      <c r="J146" s="157" t="s">
        <v>1324</v>
      </c>
      <c r="K146" s="157" t="s">
        <v>1312</v>
      </c>
      <c r="L146" s="157" t="s">
        <v>1388</v>
      </c>
      <c r="M146" s="157" t="str">
        <f t="shared" si="7"/>
        <v>Coolant Temperature - Battery Intake - Coolant Temperature</v>
      </c>
      <c r="N146" s="157"/>
      <c r="O146" s="157"/>
      <c r="P146" s="159" t="s">
        <v>2232</v>
      </c>
      <c r="Q146" s="157"/>
      <c r="R146" s="157"/>
      <c r="S146" s="157"/>
      <c r="T146" s="157"/>
      <c r="U146" s="159" t="s">
        <v>2129</v>
      </c>
      <c r="V146" s="159" t="s">
        <v>2129</v>
      </c>
      <c r="W146" s="159" t="s">
        <v>2138</v>
      </c>
      <c r="X146" s="160">
        <v>1</v>
      </c>
      <c r="Y146" s="160">
        <v>1</v>
      </c>
      <c r="Z146" s="160">
        <v>1</v>
      </c>
      <c r="AA146" s="160">
        <v>1</v>
      </c>
    </row>
    <row r="147" spans="1:27" ht="18" customHeight="1" x14ac:dyDescent="0.25">
      <c r="A147" s="159">
        <v>214</v>
      </c>
      <c r="B147" s="157" t="s">
        <v>57</v>
      </c>
      <c r="C147" s="157" t="s">
        <v>349</v>
      </c>
      <c r="D147" s="159" t="s">
        <v>453</v>
      </c>
      <c r="E147" s="157" t="s">
        <v>451</v>
      </c>
      <c r="F147" s="157"/>
      <c r="G147" s="157" t="s">
        <v>1321</v>
      </c>
      <c r="H147" s="157" t="s">
        <v>2022</v>
      </c>
      <c r="I147" s="157" t="s">
        <v>1387</v>
      </c>
      <c r="J147" s="157" t="s">
        <v>1324</v>
      </c>
      <c r="K147" s="157" t="s">
        <v>1312</v>
      </c>
      <c r="L147" s="157" t="s">
        <v>1388</v>
      </c>
      <c r="M147" s="157" t="str">
        <f t="shared" si="7"/>
        <v>Coolant Temperature - Battery Intake - Coolant Temperature</v>
      </c>
      <c r="N147" s="157"/>
      <c r="O147" s="157"/>
      <c r="P147" s="159" t="s">
        <v>2232</v>
      </c>
      <c r="Q147" s="157"/>
      <c r="R147" s="157"/>
      <c r="S147" s="157"/>
      <c r="T147" s="157"/>
      <c r="U147" s="159" t="s">
        <v>2129</v>
      </c>
      <c r="V147" s="159" t="s">
        <v>2129</v>
      </c>
      <c r="W147" s="159" t="s">
        <v>2138</v>
      </c>
      <c r="X147" s="160">
        <v>1</v>
      </c>
      <c r="Y147" s="160">
        <v>1</v>
      </c>
      <c r="Z147" s="160">
        <v>1</v>
      </c>
      <c r="AA147" s="160">
        <v>1</v>
      </c>
    </row>
    <row r="148" spans="1:27" ht="18" customHeight="1" x14ac:dyDescent="0.25">
      <c r="A148" s="159">
        <v>214</v>
      </c>
      <c r="B148" s="157" t="s">
        <v>57</v>
      </c>
      <c r="C148" s="157" t="s">
        <v>349</v>
      </c>
      <c r="D148" s="159" t="s">
        <v>590</v>
      </c>
      <c r="E148" s="157" t="s">
        <v>588</v>
      </c>
      <c r="F148" s="157"/>
      <c r="G148" s="157" t="s">
        <v>1321</v>
      </c>
      <c r="H148" s="157" t="s">
        <v>2022</v>
      </c>
      <c r="I148" s="157" t="s">
        <v>1387</v>
      </c>
      <c r="J148" s="157" t="s">
        <v>1324</v>
      </c>
      <c r="K148" s="157" t="s">
        <v>1312</v>
      </c>
      <c r="L148" s="157" t="s">
        <v>1388</v>
      </c>
      <c r="M148" s="157" t="str">
        <f t="shared" si="7"/>
        <v>Coolant Temperature - Battery Intake - Coolant Temperature</v>
      </c>
      <c r="N148" s="157"/>
      <c r="O148" s="157"/>
      <c r="P148" s="159" t="s">
        <v>2232</v>
      </c>
      <c r="Q148" s="157"/>
      <c r="R148" s="157"/>
      <c r="S148" s="157"/>
      <c r="T148" s="157"/>
      <c r="U148" s="159" t="s">
        <v>2129</v>
      </c>
      <c r="V148" s="159" t="s">
        <v>2129</v>
      </c>
      <c r="W148" s="159" t="s">
        <v>2138</v>
      </c>
      <c r="X148" s="160">
        <v>1</v>
      </c>
      <c r="Y148" s="160">
        <v>1</v>
      </c>
      <c r="Z148" s="160">
        <v>1</v>
      </c>
      <c r="AA148" s="160">
        <v>1</v>
      </c>
    </row>
    <row r="149" spans="1:27" ht="18" customHeight="1" x14ac:dyDescent="0.25">
      <c r="A149" s="159">
        <v>214</v>
      </c>
      <c r="B149" s="157" t="s">
        <v>57</v>
      </c>
      <c r="C149" s="157" t="s">
        <v>349</v>
      </c>
      <c r="D149" s="159" t="s">
        <v>642</v>
      </c>
      <c r="E149" s="157" t="s">
        <v>640</v>
      </c>
      <c r="F149" s="157"/>
      <c r="G149" s="157" t="s">
        <v>1321</v>
      </c>
      <c r="H149" s="157" t="s">
        <v>2022</v>
      </c>
      <c r="I149" s="157" t="s">
        <v>1387</v>
      </c>
      <c r="J149" s="157" t="s">
        <v>1324</v>
      </c>
      <c r="K149" s="157" t="s">
        <v>1312</v>
      </c>
      <c r="L149" s="157" t="s">
        <v>1388</v>
      </c>
      <c r="M149" s="157" t="str">
        <f t="shared" si="7"/>
        <v>Coolant Temperature - Battery Intake - Coolant Temperature</v>
      </c>
      <c r="N149" s="157"/>
      <c r="O149" s="157"/>
      <c r="P149" s="159" t="s">
        <v>2232</v>
      </c>
      <c r="Q149" s="157"/>
      <c r="R149" s="157"/>
      <c r="S149" s="157"/>
      <c r="T149" s="157"/>
      <c r="U149" s="159" t="s">
        <v>2129</v>
      </c>
      <c r="V149" s="159" t="s">
        <v>2129</v>
      </c>
      <c r="W149" s="159" t="s">
        <v>2138</v>
      </c>
      <c r="X149" s="160">
        <v>1</v>
      </c>
      <c r="Y149" s="160">
        <v>1</v>
      </c>
      <c r="Z149" s="160">
        <v>1</v>
      </c>
      <c r="AA149" s="160">
        <v>1</v>
      </c>
    </row>
    <row r="150" spans="1:27" ht="18" customHeight="1" x14ac:dyDescent="0.25">
      <c r="A150" s="159">
        <v>214</v>
      </c>
      <c r="B150" s="157" t="s">
        <v>57</v>
      </c>
      <c r="C150" s="157" t="s">
        <v>349</v>
      </c>
      <c r="D150" s="159" t="s">
        <v>454</v>
      </c>
      <c r="E150" s="157" t="s">
        <v>700</v>
      </c>
      <c r="F150" s="157"/>
      <c r="G150" s="157" t="s">
        <v>1321</v>
      </c>
      <c r="H150" s="157" t="s">
        <v>2022</v>
      </c>
      <c r="I150" s="157" t="s">
        <v>1387</v>
      </c>
      <c r="J150" s="157" t="s">
        <v>1324</v>
      </c>
      <c r="K150" s="157" t="s">
        <v>1312</v>
      </c>
      <c r="L150" s="157" t="s">
        <v>1388</v>
      </c>
      <c r="M150" s="157" t="str">
        <f t="shared" si="7"/>
        <v>Coolant Temperature - Battery Intake - Coolant Temperature</v>
      </c>
      <c r="N150" s="157"/>
      <c r="O150" s="157"/>
      <c r="P150" s="159" t="s">
        <v>2232</v>
      </c>
      <c r="Q150" s="157"/>
      <c r="R150" s="157"/>
      <c r="S150" s="157"/>
      <c r="T150" s="157"/>
      <c r="U150" s="159" t="s">
        <v>2129</v>
      </c>
      <c r="V150" s="159" t="s">
        <v>2129</v>
      </c>
      <c r="W150" s="159" t="s">
        <v>2138</v>
      </c>
      <c r="X150" s="160">
        <v>1</v>
      </c>
      <c r="Y150" s="160">
        <v>1</v>
      </c>
      <c r="Z150" s="160">
        <v>1</v>
      </c>
      <c r="AA150" s="160">
        <v>1</v>
      </c>
    </row>
    <row r="151" spans="1:27" ht="18" customHeight="1" x14ac:dyDescent="0.25">
      <c r="A151" s="159">
        <v>214</v>
      </c>
      <c r="B151" s="157" t="s">
        <v>57</v>
      </c>
      <c r="C151" s="157" t="s">
        <v>349</v>
      </c>
      <c r="D151" s="159" t="s">
        <v>353</v>
      </c>
      <c r="E151" s="157" t="s">
        <v>742</v>
      </c>
      <c r="F151" s="157"/>
      <c r="G151" s="157" t="s">
        <v>1321</v>
      </c>
      <c r="H151" s="157" t="s">
        <v>2022</v>
      </c>
      <c r="I151" s="157" t="s">
        <v>1387</v>
      </c>
      <c r="J151" s="157" t="s">
        <v>1324</v>
      </c>
      <c r="K151" s="157" t="s">
        <v>1312</v>
      </c>
      <c r="L151" s="157" t="s">
        <v>1388</v>
      </c>
      <c r="M151" s="157" t="str">
        <f t="shared" si="7"/>
        <v>Coolant Temperature - Battery Intake - Coolant Temperature</v>
      </c>
      <c r="N151" s="157"/>
      <c r="O151" s="157"/>
      <c r="P151" s="159" t="s">
        <v>2232</v>
      </c>
      <c r="Q151" s="157"/>
      <c r="R151" s="157"/>
      <c r="S151" s="157"/>
      <c r="T151" s="157"/>
      <c r="U151" s="159" t="s">
        <v>2129</v>
      </c>
      <c r="V151" s="159" t="s">
        <v>2129</v>
      </c>
      <c r="W151" s="159" t="s">
        <v>2138</v>
      </c>
      <c r="X151" s="160">
        <v>1</v>
      </c>
      <c r="Y151" s="160">
        <v>1</v>
      </c>
      <c r="Z151" s="160">
        <v>1</v>
      </c>
      <c r="AA151" s="160">
        <v>1</v>
      </c>
    </row>
    <row r="152" spans="1:27" ht="18" customHeight="1" x14ac:dyDescent="0.25">
      <c r="A152" s="159">
        <v>214</v>
      </c>
      <c r="B152" s="157" t="s">
        <v>57</v>
      </c>
      <c r="C152" s="157" t="s">
        <v>349</v>
      </c>
      <c r="D152" s="159" t="s">
        <v>1183</v>
      </c>
      <c r="E152" s="157" t="s">
        <v>1181</v>
      </c>
      <c r="F152" s="157"/>
      <c r="G152" s="157" t="s">
        <v>1321</v>
      </c>
      <c r="H152" s="157" t="s">
        <v>2022</v>
      </c>
      <c r="I152" s="157" t="s">
        <v>1387</v>
      </c>
      <c r="J152" s="157" t="s">
        <v>1324</v>
      </c>
      <c r="K152" s="157" t="s">
        <v>1312</v>
      </c>
      <c r="L152" s="157" t="s">
        <v>1388</v>
      </c>
      <c r="M152" s="157" t="str">
        <f t="shared" si="7"/>
        <v>Coolant Temperature - Battery Intake - Coolant Temperature</v>
      </c>
      <c r="N152" s="157"/>
      <c r="O152" s="157"/>
      <c r="P152" s="159" t="s">
        <v>2232</v>
      </c>
      <c r="Q152" s="157"/>
      <c r="R152" s="157"/>
      <c r="S152" s="157"/>
      <c r="T152" s="157"/>
      <c r="U152" s="159" t="s">
        <v>2129</v>
      </c>
      <c r="V152" s="159" t="s">
        <v>2129</v>
      </c>
      <c r="W152" s="159" t="s">
        <v>2138</v>
      </c>
      <c r="X152" s="160">
        <v>1</v>
      </c>
      <c r="Y152" s="160">
        <v>1</v>
      </c>
      <c r="Z152" s="160">
        <v>1</v>
      </c>
      <c r="AA152" s="160">
        <v>1</v>
      </c>
    </row>
    <row r="153" spans="1:27" ht="18" customHeight="1" x14ac:dyDescent="0.25">
      <c r="A153" s="159">
        <v>215</v>
      </c>
      <c r="B153" s="157" t="s">
        <v>57</v>
      </c>
      <c r="C153" s="157" t="s">
        <v>349</v>
      </c>
      <c r="D153" s="159" t="s">
        <v>352</v>
      </c>
      <c r="E153" s="157" t="s">
        <v>350</v>
      </c>
      <c r="F153" s="157"/>
      <c r="G153" s="157" t="s">
        <v>1321</v>
      </c>
      <c r="H153" s="157" t="s">
        <v>2022</v>
      </c>
      <c r="I153" s="157" t="s">
        <v>1387</v>
      </c>
      <c r="J153" s="157" t="s">
        <v>1324</v>
      </c>
      <c r="K153" s="157" t="s">
        <v>1312</v>
      </c>
      <c r="L153" s="157" t="s">
        <v>1389</v>
      </c>
      <c r="M153" s="157" t="str">
        <f t="shared" si="7"/>
        <v>Coolant Temperature - Battery Outlet - Coolant Temperature</v>
      </c>
      <c r="N153" s="157"/>
      <c r="O153" s="157"/>
      <c r="P153" s="159" t="s">
        <v>6962</v>
      </c>
      <c r="Q153" s="157"/>
      <c r="R153" s="157"/>
      <c r="S153" s="157"/>
      <c r="T153" s="157"/>
      <c r="U153" s="159" t="s">
        <v>2129</v>
      </c>
      <c r="V153" s="159" t="s">
        <v>2129</v>
      </c>
      <c r="W153" s="159" t="s">
        <v>2138</v>
      </c>
      <c r="X153" s="160">
        <v>1</v>
      </c>
      <c r="Y153" s="160">
        <v>1</v>
      </c>
      <c r="Z153" s="160">
        <v>1</v>
      </c>
      <c r="AA153" s="160">
        <v>1</v>
      </c>
    </row>
    <row r="154" spans="1:27" ht="18" customHeight="1" x14ac:dyDescent="0.25">
      <c r="A154" s="159">
        <v>215</v>
      </c>
      <c r="B154" s="157" t="s">
        <v>57</v>
      </c>
      <c r="C154" s="157" t="s">
        <v>349</v>
      </c>
      <c r="D154" s="159" t="s">
        <v>453</v>
      </c>
      <c r="E154" s="157" t="s">
        <v>451</v>
      </c>
      <c r="F154" s="157"/>
      <c r="G154" s="157" t="s">
        <v>1321</v>
      </c>
      <c r="H154" s="157" t="s">
        <v>2022</v>
      </c>
      <c r="I154" s="157" t="s">
        <v>1387</v>
      </c>
      <c r="J154" s="157" t="s">
        <v>1324</v>
      </c>
      <c r="K154" s="157" t="s">
        <v>1312</v>
      </c>
      <c r="L154" s="157" t="s">
        <v>1389</v>
      </c>
      <c r="M154" s="157" t="str">
        <f t="shared" si="7"/>
        <v>Coolant Temperature - Battery Outlet - Coolant Temperature</v>
      </c>
      <c r="N154" s="157"/>
      <c r="O154" s="157"/>
      <c r="P154" s="159" t="s">
        <v>6962</v>
      </c>
      <c r="Q154" s="157"/>
      <c r="R154" s="157"/>
      <c r="S154" s="157"/>
      <c r="T154" s="157"/>
      <c r="U154" s="159" t="s">
        <v>2129</v>
      </c>
      <c r="V154" s="159" t="s">
        <v>2129</v>
      </c>
      <c r="W154" s="159" t="s">
        <v>2138</v>
      </c>
      <c r="X154" s="160">
        <v>1</v>
      </c>
      <c r="Y154" s="160">
        <v>1</v>
      </c>
      <c r="Z154" s="160">
        <v>1</v>
      </c>
      <c r="AA154" s="160">
        <v>1</v>
      </c>
    </row>
    <row r="155" spans="1:27" ht="18" customHeight="1" x14ac:dyDescent="0.25">
      <c r="A155" s="159">
        <v>215</v>
      </c>
      <c r="B155" s="157" t="s">
        <v>57</v>
      </c>
      <c r="C155" s="157" t="s">
        <v>349</v>
      </c>
      <c r="D155" s="159" t="s">
        <v>590</v>
      </c>
      <c r="E155" s="157" t="s">
        <v>588</v>
      </c>
      <c r="F155" s="157"/>
      <c r="G155" s="157" t="s">
        <v>1321</v>
      </c>
      <c r="H155" s="157" t="s">
        <v>2022</v>
      </c>
      <c r="I155" s="157" t="s">
        <v>1387</v>
      </c>
      <c r="J155" s="157" t="s">
        <v>1324</v>
      </c>
      <c r="K155" s="157" t="s">
        <v>1312</v>
      </c>
      <c r="L155" s="157" t="s">
        <v>1389</v>
      </c>
      <c r="M155" s="157" t="str">
        <f t="shared" si="7"/>
        <v>Coolant Temperature - Battery Outlet - Coolant Temperature</v>
      </c>
      <c r="N155" s="157"/>
      <c r="O155" s="157"/>
      <c r="P155" s="159" t="s">
        <v>6962</v>
      </c>
      <c r="Q155" s="157"/>
      <c r="R155" s="157"/>
      <c r="S155" s="157"/>
      <c r="T155" s="157"/>
      <c r="U155" s="159" t="s">
        <v>2129</v>
      </c>
      <c r="V155" s="159" t="s">
        <v>2129</v>
      </c>
      <c r="W155" s="159" t="s">
        <v>2138</v>
      </c>
      <c r="X155" s="160">
        <v>1</v>
      </c>
      <c r="Y155" s="160">
        <v>1</v>
      </c>
      <c r="Z155" s="160">
        <v>1</v>
      </c>
      <c r="AA155" s="160">
        <v>1</v>
      </c>
    </row>
    <row r="156" spans="1:27" ht="18" customHeight="1" x14ac:dyDescent="0.25">
      <c r="A156" s="159">
        <v>215</v>
      </c>
      <c r="B156" s="157" t="s">
        <v>57</v>
      </c>
      <c r="C156" s="157" t="s">
        <v>349</v>
      </c>
      <c r="D156" s="159" t="s">
        <v>642</v>
      </c>
      <c r="E156" s="157" t="s">
        <v>640</v>
      </c>
      <c r="F156" s="157"/>
      <c r="G156" s="157" t="s">
        <v>1321</v>
      </c>
      <c r="H156" s="157" t="s">
        <v>2022</v>
      </c>
      <c r="I156" s="157" t="s">
        <v>1387</v>
      </c>
      <c r="J156" s="157" t="s">
        <v>1324</v>
      </c>
      <c r="K156" s="157" t="s">
        <v>1312</v>
      </c>
      <c r="L156" s="157" t="s">
        <v>1389</v>
      </c>
      <c r="M156" s="157" t="str">
        <f t="shared" si="7"/>
        <v>Coolant Temperature - Battery Outlet - Coolant Temperature</v>
      </c>
      <c r="N156" s="157"/>
      <c r="O156" s="157"/>
      <c r="P156" s="159" t="s">
        <v>6962</v>
      </c>
      <c r="Q156" s="157"/>
      <c r="R156" s="157"/>
      <c r="S156" s="157"/>
      <c r="T156" s="157"/>
      <c r="U156" s="159" t="s">
        <v>2129</v>
      </c>
      <c r="V156" s="159" t="s">
        <v>2129</v>
      </c>
      <c r="W156" s="159" t="s">
        <v>2138</v>
      </c>
      <c r="X156" s="160">
        <v>1</v>
      </c>
      <c r="Y156" s="160">
        <v>1</v>
      </c>
      <c r="Z156" s="160">
        <v>1</v>
      </c>
      <c r="AA156" s="160">
        <v>1</v>
      </c>
    </row>
    <row r="157" spans="1:27" ht="18" customHeight="1" x14ac:dyDescent="0.25">
      <c r="A157" s="159">
        <v>215</v>
      </c>
      <c r="B157" s="157" t="s">
        <v>57</v>
      </c>
      <c r="C157" s="157" t="s">
        <v>349</v>
      </c>
      <c r="D157" s="159" t="s">
        <v>454</v>
      </c>
      <c r="E157" s="157" t="s">
        <v>700</v>
      </c>
      <c r="F157" s="157"/>
      <c r="G157" s="157" t="s">
        <v>1321</v>
      </c>
      <c r="H157" s="157" t="s">
        <v>2022</v>
      </c>
      <c r="I157" s="157" t="s">
        <v>1387</v>
      </c>
      <c r="J157" s="157" t="s">
        <v>1324</v>
      </c>
      <c r="K157" s="157" t="s">
        <v>1312</v>
      </c>
      <c r="L157" s="157" t="s">
        <v>1389</v>
      </c>
      <c r="M157" s="157" t="str">
        <f t="shared" si="7"/>
        <v>Coolant Temperature - Battery Outlet - Coolant Temperature</v>
      </c>
      <c r="N157" s="157"/>
      <c r="O157" s="157"/>
      <c r="P157" s="159" t="s">
        <v>6962</v>
      </c>
      <c r="Q157" s="157"/>
      <c r="R157" s="157"/>
      <c r="S157" s="157"/>
      <c r="T157" s="157"/>
      <c r="U157" s="159" t="s">
        <v>2129</v>
      </c>
      <c r="V157" s="159" t="s">
        <v>2129</v>
      </c>
      <c r="W157" s="159" t="s">
        <v>2138</v>
      </c>
      <c r="X157" s="160">
        <v>1</v>
      </c>
      <c r="Y157" s="160">
        <v>1</v>
      </c>
      <c r="Z157" s="160">
        <v>1</v>
      </c>
      <c r="AA157" s="160">
        <v>1</v>
      </c>
    </row>
    <row r="158" spans="1:27" ht="18" customHeight="1" x14ac:dyDescent="0.25">
      <c r="A158" s="159">
        <v>215</v>
      </c>
      <c r="B158" s="157" t="s">
        <v>57</v>
      </c>
      <c r="C158" s="157" t="s">
        <v>349</v>
      </c>
      <c r="D158" s="159" t="s">
        <v>353</v>
      </c>
      <c r="E158" s="157" t="s">
        <v>742</v>
      </c>
      <c r="F158" s="157"/>
      <c r="G158" s="157" t="s">
        <v>1321</v>
      </c>
      <c r="H158" s="157" t="s">
        <v>2022</v>
      </c>
      <c r="I158" s="157" t="s">
        <v>1387</v>
      </c>
      <c r="J158" s="157" t="s">
        <v>1324</v>
      </c>
      <c r="K158" s="157" t="s">
        <v>1312</v>
      </c>
      <c r="L158" s="157" t="s">
        <v>1389</v>
      </c>
      <c r="M158" s="157" t="str">
        <f t="shared" si="7"/>
        <v>Coolant Temperature - Battery Outlet - Coolant Temperature</v>
      </c>
      <c r="N158" s="157"/>
      <c r="O158" s="157"/>
      <c r="P158" s="159" t="s">
        <v>6962</v>
      </c>
      <c r="Q158" s="157"/>
      <c r="R158" s="157"/>
      <c r="S158" s="157"/>
      <c r="T158" s="157"/>
      <c r="U158" s="159" t="s">
        <v>2129</v>
      </c>
      <c r="V158" s="159" t="s">
        <v>2129</v>
      </c>
      <c r="W158" s="159" t="s">
        <v>2138</v>
      </c>
      <c r="X158" s="160">
        <v>1</v>
      </c>
      <c r="Y158" s="160">
        <v>1</v>
      </c>
      <c r="Z158" s="160">
        <v>1</v>
      </c>
      <c r="AA158" s="160">
        <v>1</v>
      </c>
    </row>
    <row r="159" spans="1:27" ht="18" customHeight="1" x14ac:dyDescent="0.25">
      <c r="A159" s="159">
        <v>215</v>
      </c>
      <c r="B159" s="157" t="s">
        <v>57</v>
      </c>
      <c r="C159" s="157" t="s">
        <v>349</v>
      </c>
      <c r="D159" s="159" t="s">
        <v>1183</v>
      </c>
      <c r="E159" s="157" t="s">
        <v>1181</v>
      </c>
      <c r="F159" s="157"/>
      <c r="G159" s="157" t="s">
        <v>1321</v>
      </c>
      <c r="H159" s="157" t="s">
        <v>2022</v>
      </c>
      <c r="I159" s="157" t="s">
        <v>1387</v>
      </c>
      <c r="J159" s="157" t="s">
        <v>1324</v>
      </c>
      <c r="K159" s="157" t="s">
        <v>1312</v>
      </c>
      <c r="L159" s="157" t="s">
        <v>1389</v>
      </c>
      <c r="M159" s="157" t="str">
        <f t="shared" si="7"/>
        <v>Coolant Temperature - Battery Outlet - Coolant Temperature</v>
      </c>
      <c r="N159" s="157"/>
      <c r="O159" s="157"/>
      <c r="P159" s="159" t="s">
        <v>6962</v>
      </c>
      <c r="Q159" s="157"/>
      <c r="R159" s="157"/>
      <c r="S159" s="157"/>
      <c r="T159" s="157"/>
      <c r="U159" s="159" t="s">
        <v>2129</v>
      </c>
      <c r="V159" s="159" t="s">
        <v>2129</v>
      </c>
      <c r="W159" s="159" t="s">
        <v>2138</v>
      </c>
      <c r="X159" s="160">
        <v>1</v>
      </c>
      <c r="Y159" s="160">
        <v>1</v>
      </c>
      <c r="Z159" s="160">
        <v>1</v>
      </c>
      <c r="AA159" s="160">
        <v>1</v>
      </c>
    </row>
    <row r="160" spans="1:27" ht="18" customHeight="1" x14ac:dyDescent="0.25">
      <c r="A160" s="159">
        <v>216</v>
      </c>
      <c r="B160" s="157" t="s">
        <v>63</v>
      </c>
      <c r="C160" s="157" t="s">
        <v>64</v>
      </c>
      <c r="D160" s="159" t="s">
        <v>326</v>
      </c>
      <c r="E160" s="157" t="s">
        <v>324</v>
      </c>
      <c r="F160" s="157" t="s">
        <v>1381</v>
      </c>
      <c r="G160" s="157" t="s">
        <v>1321</v>
      </c>
      <c r="H160" s="157" t="s">
        <v>1382</v>
      </c>
      <c r="I160" s="157" t="s">
        <v>1390</v>
      </c>
      <c r="J160" s="157" t="s">
        <v>1324</v>
      </c>
      <c r="K160" s="157" t="s">
        <v>1312</v>
      </c>
      <c r="L160" s="157" t="s">
        <v>1391</v>
      </c>
      <c r="M160" s="157" t="str">
        <f t="shared" si="7"/>
        <v>Shunt - Battery Discharge Monitoring</v>
      </c>
      <c r="N160" s="157"/>
      <c r="O160" s="157"/>
      <c r="P160" s="159" t="s">
        <v>6734</v>
      </c>
      <c r="Q160" s="157"/>
      <c r="R160" s="157"/>
      <c r="S160" s="157"/>
      <c r="T160" s="157"/>
      <c r="U160" s="159" t="s">
        <v>2129</v>
      </c>
      <c r="V160" s="159" t="s">
        <v>2129</v>
      </c>
      <c r="W160" s="159" t="s">
        <v>2138</v>
      </c>
      <c r="X160" s="160">
        <v>1</v>
      </c>
      <c r="Y160" s="160">
        <v>1</v>
      </c>
      <c r="Z160" s="160">
        <v>1</v>
      </c>
      <c r="AA160" s="160">
        <v>1</v>
      </c>
    </row>
    <row r="161" spans="1:27" ht="18" customHeight="1" x14ac:dyDescent="0.25">
      <c r="A161" s="159">
        <v>216</v>
      </c>
      <c r="B161" s="157" t="s">
        <v>63</v>
      </c>
      <c r="C161" s="157" t="s">
        <v>64</v>
      </c>
      <c r="D161" s="159" t="s">
        <v>645</v>
      </c>
      <c r="E161" s="157" t="s">
        <v>643</v>
      </c>
      <c r="F161" s="157" t="s">
        <v>1275</v>
      </c>
      <c r="G161" s="157" t="s">
        <v>1321</v>
      </c>
      <c r="H161" s="157" t="s">
        <v>1382</v>
      </c>
      <c r="I161" s="157" t="s">
        <v>1390</v>
      </c>
      <c r="J161" s="157" t="s">
        <v>1324</v>
      </c>
      <c r="K161" s="157" t="s">
        <v>1312</v>
      </c>
      <c r="L161" s="157" t="s">
        <v>1391</v>
      </c>
      <c r="M161" s="157" t="str">
        <f t="shared" si="7"/>
        <v>Shunt - Battery Discharge Monitoring</v>
      </c>
      <c r="N161" s="157"/>
      <c r="O161" s="157"/>
      <c r="P161" s="159" t="s">
        <v>6734</v>
      </c>
      <c r="Q161" s="157"/>
      <c r="R161" s="157"/>
      <c r="S161" s="157"/>
      <c r="T161" s="157"/>
      <c r="U161" s="159" t="s">
        <v>2129</v>
      </c>
      <c r="V161" s="159" t="s">
        <v>2129</v>
      </c>
      <c r="W161" s="159" t="s">
        <v>2138</v>
      </c>
      <c r="X161" s="160">
        <v>1</v>
      </c>
      <c r="Y161" s="160">
        <v>1</v>
      </c>
      <c r="Z161" s="160">
        <v>1</v>
      </c>
      <c r="AA161" s="160">
        <v>1</v>
      </c>
    </row>
    <row r="162" spans="1:27" ht="18" customHeight="1" x14ac:dyDescent="0.25">
      <c r="A162" s="159">
        <v>216</v>
      </c>
      <c r="B162" s="157" t="s">
        <v>63</v>
      </c>
      <c r="C162" s="157" t="s">
        <v>64</v>
      </c>
      <c r="D162" s="159" t="s">
        <v>758</v>
      </c>
      <c r="E162" s="157" t="s">
        <v>756</v>
      </c>
      <c r="F162" s="157" t="s">
        <v>1277</v>
      </c>
      <c r="G162" s="157" t="s">
        <v>1321</v>
      </c>
      <c r="H162" s="157" t="s">
        <v>1382</v>
      </c>
      <c r="I162" s="157" t="s">
        <v>1390</v>
      </c>
      <c r="J162" s="157" t="s">
        <v>1324</v>
      </c>
      <c r="K162" s="157" t="s">
        <v>1312</v>
      </c>
      <c r="L162" s="157" t="s">
        <v>1391</v>
      </c>
      <c r="M162" s="157" t="str">
        <f t="shared" si="7"/>
        <v>Shunt - Battery Discharge Monitoring</v>
      </c>
      <c r="N162" s="157"/>
      <c r="O162" s="157"/>
      <c r="P162" s="159" t="s">
        <v>6734</v>
      </c>
      <c r="Q162" s="157"/>
      <c r="R162" s="157"/>
      <c r="S162" s="157"/>
      <c r="T162" s="157"/>
      <c r="U162" s="159" t="s">
        <v>2129</v>
      </c>
      <c r="V162" s="159" t="s">
        <v>2129</v>
      </c>
      <c r="W162" s="159" t="s">
        <v>2138</v>
      </c>
      <c r="X162" s="160">
        <v>1</v>
      </c>
      <c r="Y162" s="160">
        <v>1</v>
      </c>
      <c r="Z162" s="160">
        <v>1</v>
      </c>
      <c r="AA162" s="160">
        <v>1</v>
      </c>
    </row>
    <row r="163" spans="1:27" ht="18" customHeight="1" x14ac:dyDescent="0.25">
      <c r="A163" s="159">
        <v>216</v>
      </c>
      <c r="B163" s="157" t="s">
        <v>63</v>
      </c>
      <c r="C163" s="157" t="s">
        <v>64</v>
      </c>
      <c r="D163" s="159" t="s">
        <v>770</v>
      </c>
      <c r="E163" s="157" t="s">
        <v>768</v>
      </c>
      <c r="F163" s="157" t="s">
        <v>1275</v>
      </c>
      <c r="G163" s="157" t="s">
        <v>1321</v>
      </c>
      <c r="H163" s="157" t="s">
        <v>1382</v>
      </c>
      <c r="I163" s="157" t="s">
        <v>1390</v>
      </c>
      <c r="J163" s="157" t="s">
        <v>1324</v>
      </c>
      <c r="K163" s="157" t="s">
        <v>1312</v>
      </c>
      <c r="L163" s="157" t="s">
        <v>1391</v>
      </c>
      <c r="M163" s="157" t="str">
        <f t="shared" si="7"/>
        <v>Shunt - Battery Discharge Monitoring</v>
      </c>
      <c r="N163" s="157"/>
      <c r="O163" s="157"/>
      <c r="P163" s="159" t="s">
        <v>6734</v>
      </c>
      <c r="Q163" s="157"/>
      <c r="R163" s="157"/>
      <c r="S163" s="157"/>
      <c r="T163" s="157"/>
      <c r="U163" s="159" t="s">
        <v>2129</v>
      </c>
      <c r="V163" s="159" t="s">
        <v>2129</v>
      </c>
      <c r="W163" s="159" t="s">
        <v>2138</v>
      </c>
      <c r="X163" s="160">
        <v>1</v>
      </c>
      <c r="Y163" s="160">
        <v>1</v>
      </c>
      <c r="Z163" s="160">
        <v>1</v>
      </c>
      <c r="AA163" s="160">
        <v>1</v>
      </c>
    </row>
    <row r="164" spans="1:27" ht="18" customHeight="1" x14ac:dyDescent="0.25">
      <c r="A164" s="159">
        <v>216</v>
      </c>
      <c r="B164" s="157" t="s">
        <v>63</v>
      </c>
      <c r="C164" s="157" t="s">
        <v>64</v>
      </c>
      <c r="D164" s="159" t="s">
        <v>872</v>
      </c>
      <c r="E164" s="157" t="s">
        <v>870</v>
      </c>
      <c r="F164" s="157" t="s">
        <v>1381</v>
      </c>
      <c r="G164" s="157" t="s">
        <v>1321</v>
      </c>
      <c r="H164" s="157" t="s">
        <v>1382</v>
      </c>
      <c r="I164" s="157" t="s">
        <v>1390</v>
      </c>
      <c r="J164" s="157" t="s">
        <v>1324</v>
      </c>
      <c r="K164" s="157" t="s">
        <v>1312</v>
      </c>
      <c r="L164" s="157" t="s">
        <v>1391</v>
      </c>
      <c r="M164" s="157" t="str">
        <f t="shared" si="7"/>
        <v>Shunt - Battery Discharge Monitoring</v>
      </c>
      <c r="N164" s="157"/>
      <c r="O164" s="157"/>
      <c r="P164" s="159" t="s">
        <v>6734</v>
      </c>
      <c r="Q164" s="157"/>
      <c r="R164" s="157"/>
      <c r="S164" s="157"/>
      <c r="T164" s="157"/>
      <c r="U164" s="159" t="s">
        <v>2129</v>
      </c>
      <c r="V164" s="159" t="s">
        <v>2129</v>
      </c>
      <c r="W164" s="159" t="s">
        <v>2138</v>
      </c>
      <c r="X164" s="160">
        <v>1</v>
      </c>
      <c r="Y164" s="160">
        <v>1</v>
      </c>
      <c r="Z164" s="160">
        <v>1</v>
      </c>
      <c r="AA164" s="160">
        <v>1</v>
      </c>
    </row>
    <row r="165" spans="1:27" ht="18" customHeight="1" x14ac:dyDescent="0.25">
      <c r="A165" s="159">
        <v>216</v>
      </c>
      <c r="B165" s="157" t="s">
        <v>199</v>
      </c>
      <c r="C165" s="157" t="s">
        <v>200</v>
      </c>
      <c r="D165" s="159" t="s">
        <v>203</v>
      </c>
      <c r="E165" s="157" t="s">
        <v>201</v>
      </c>
      <c r="F165" s="157" t="s">
        <v>1277</v>
      </c>
      <c r="G165" s="157" t="s">
        <v>1321</v>
      </c>
      <c r="H165" s="157" t="s">
        <v>1382</v>
      </c>
      <c r="I165" s="157" t="s">
        <v>1390</v>
      </c>
      <c r="J165" s="157" t="s">
        <v>1324</v>
      </c>
      <c r="K165" s="157" t="s">
        <v>1312</v>
      </c>
      <c r="L165" s="157" t="s">
        <v>1391</v>
      </c>
      <c r="M165" s="157" t="str">
        <f t="shared" si="7"/>
        <v>Shunt - Battery Discharge Monitoring</v>
      </c>
      <c r="N165" s="157"/>
      <c r="O165" s="157"/>
      <c r="P165" s="159" t="s">
        <v>6734</v>
      </c>
      <c r="Q165" s="157"/>
      <c r="R165" s="157"/>
      <c r="S165" s="157"/>
      <c r="T165" s="157"/>
      <c r="U165" s="159" t="s">
        <v>2129</v>
      </c>
      <c r="V165" s="159" t="s">
        <v>2129</v>
      </c>
      <c r="W165" s="159" t="s">
        <v>2138</v>
      </c>
      <c r="X165" s="160">
        <v>1</v>
      </c>
      <c r="Y165" s="160">
        <v>1</v>
      </c>
      <c r="Z165" s="160">
        <v>1</v>
      </c>
      <c r="AA165" s="160">
        <v>1</v>
      </c>
    </row>
    <row r="166" spans="1:27" ht="18" customHeight="1" x14ac:dyDescent="0.25">
      <c r="A166" s="159">
        <v>216</v>
      </c>
      <c r="B166" s="157" t="s">
        <v>199</v>
      </c>
      <c r="C166" s="157" t="s">
        <v>200</v>
      </c>
      <c r="D166" s="159" t="s">
        <v>480</v>
      </c>
      <c r="E166" s="157" t="s">
        <v>478</v>
      </c>
      <c r="F166" s="157" t="s">
        <v>1277</v>
      </c>
      <c r="G166" s="157" t="s">
        <v>1321</v>
      </c>
      <c r="H166" s="157" t="s">
        <v>1382</v>
      </c>
      <c r="I166" s="157" t="s">
        <v>1390</v>
      </c>
      <c r="J166" s="157" t="s">
        <v>1324</v>
      </c>
      <c r="K166" s="157" t="s">
        <v>1312</v>
      </c>
      <c r="L166" s="157" t="s">
        <v>1391</v>
      </c>
      <c r="M166" s="157" t="str">
        <f t="shared" si="7"/>
        <v>Shunt - Battery Discharge Monitoring</v>
      </c>
      <c r="N166" s="157"/>
      <c r="O166" s="157"/>
      <c r="P166" s="159" t="s">
        <v>6734</v>
      </c>
      <c r="Q166" s="157"/>
      <c r="R166" s="157"/>
      <c r="S166" s="157"/>
      <c r="T166" s="157"/>
      <c r="U166" s="159" t="s">
        <v>2129</v>
      </c>
      <c r="V166" s="159" t="s">
        <v>2129</v>
      </c>
      <c r="W166" s="159" t="s">
        <v>2138</v>
      </c>
      <c r="X166" s="160">
        <v>1</v>
      </c>
      <c r="Y166" s="160">
        <v>1</v>
      </c>
      <c r="Z166" s="160">
        <v>1</v>
      </c>
      <c r="AA166" s="160">
        <v>1</v>
      </c>
    </row>
    <row r="167" spans="1:27" ht="18" customHeight="1" x14ac:dyDescent="0.25">
      <c r="A167" s="159">
        <v>216</v>
      </c>
      <c r="B167" s="157" t="s">
        <v>199</v>
      </c>
      <c r="C167" s="157" t="s">
        <v>200</v>
      </c>
      <c r="D167" s="159" t="s">
        <v>484</v>
      </c>
      <c r="E167" s="157" t="s">
        <v>482</v>
      </c>
      <c r="F167" s="157" t="s">
        <v>1277</v>
      </c>
      <c r="G167" s="157" t="s">
        <v>1321</v>
      </c>
      <c r="H167" s="157" t="s">
        <v>1382</v>
      </c>
      <c r="I167" s="157" t="s">
        <v>1390</v>
      </c>
      <c r="J167" s="157" t="s">
        <v>1324</v>
      </c>
      <c r="K167" s="157" t="s">
        <v>1312</v>
      </c>
      <c r="L167" s="157" t="s">
        <v>1391</v>
      </c>
      <c r="M167" s="157" t="str">
        <f t="shared" si="7"/>
        <v>Shunt - Battery Discharge Monitoring</v>
      </c>
      <c r="N167" s="157"/>
      <c r="O167" s="157"/>
      <c r="P167" s="159" t="s">
        <v>6734</v>
      </c>
      <c r="Q167" s="157"/>
      <c r="R167" s="157"/>
      <c r="S167" s="157"/>
      <c r="T167" s="157"/>
      <c r="U167" s="159" t="s">
        <v>2129</v>
      </c>
      <c r="V167" s="159" t="s">
        <v>2129</v>
      </c>
      <c r="W167" s="159" t="s">
        <v>2138</v>
      </c>
      <c r="X167" s="160">
        <v>1</v>
      </c>
      <c r="Y167" s="160">
        <v>1</v>
      </c>
      <c r="Z167" s="160">
        <v>1</v>
      </c>
      <c r="AA167" s="160">
        <v>1</v>
      </c>
    </row>
    <row r="168" spans="1:27" ht="18" customHeight="1" x14ac:dyDescent="0.25">
      <c r="A168" s="159">
        <v>216</v>
      </c>
      <c r="B168" s="157" t="s">
        <v>199</v>
      </c>
      <c r="C168" s="157" t="s">
        <v>200</v>
      </c>
      <c r="D168" s="159" t="s">
        <v>820</v>
      </c>
      <c r="E168" s="157" t="s">
        <v>818</v>
      </c>
      <c r="F168" s="157" t="s">
        <v>1264</v>
      </c>
      <c r="G168" s="157" t="s">
        <v>1321</v>
      </c>
      <c r="H168" s="157" t="s">
        <v>1382</v>
      </c>
      <c r="I168" s="157" t="s">
        <v>1390</v>
      </c>
      <c r="J168" s="157" t="s">
        <v>1324</v>
      </c>
      <c r="K168" s="157" t="s">
        <v>1312</v>
      </c>
      <c r="L168" s="157" t="s">
        <v>1391</v>
      </c>
      <c r="M168" s="157" t="str">
        <f t="shared" si="7"/>
        <v>Shunt - Battery Discharge Monitoring</v>
      </c>
      <c r="N168" s="157"/>
      <c r="O168" s="157"/>
      <c r="P168" s="159" t="s">
        <v>6734</v>
      </c>
      <c r="Q168" s="157"/>
      <c r="R168" s="157"/>
      <c r="S168" s="157"/>
      <c r="T168" s="157"/>
      <c r="U168" s="159" t="s">
        <v>2129</v>
      </c>
      <c r="V168" s="159" t="s">
        <v>2129</v>
      </c>
      <c r="W168" s="159" t="s">
        <v>2138</v>
      </c>
      <c r="X168" s="160">
        <v>1</v>
      </c>
      <c r="Y168" s="160">
        <v>1</v>
      </c>
      <c r="Z168" s="160">
        <v>1</v>
      </c>
      <c r="AA168" s="160">
        <v>1</v>
      </c>
    </row>
    <row r="169" spans="1:27" ht="18" customHeight="1" x14ac:dyDescent="0.25">
      <c r="A169" s="159">
        <v>216</v>
      </c>
      <c r="B169" s="157" t="s">
        <v>199</v>
      </c>
      <c r="C169" s="157" t="s">
        <v>200</v>
      </c>
      <c r="D169" s="159" t="s">
        <v>824</v>
      </c>
      <c r="E169" s="157" t="s">
        <v>822</v>
      </c>
      <c r="F169" s="157" t="s">
        <v>1277</v>
      </c>
      <c r="G169" s="157" t="s">
        <v>1321</v>
      </c>
      <c r="H169" s="157" t="s">
        <v>1382</v>
      </c>
      <c r="I169" s="157" t="s">
        <v>1390</v>
      </c>
      <c r="J169" s="157" t="s">
        <v>1324</v>
      </c>
      <c r="K169" s="157" t="s">
        <v>1312</v>
      </c>
      <c r="L169" s="157" t="s">
        <v>1391</v>
      </c>
      <c r="M169" s="157" t="str">
        <f t="shared" si="7"/>
        <v>Shunt - Battery Discharge Monitoring</v>
      </c>
      <c r="N169" s="157"/>
      <c r="O169" s="157"/>
      <c r="P169" s="159" t="s">
        <v>6734</v>
      </c>
      <c r="Q169" s="157"/>
      <c r="R169" s="157"/>
      <c r="S169" s="157"/>
      <c r="T169" s="157"/>
      <c r="U169" s="159" t="s">
        <v>2129</v>
      </c>
      <c r="V169" s="159" t="s">
        <v>2129</v>
      </c>
      <c r="W169" s="159" t="s">
        <v>2138</v>
      </c>
      <c r="X169" s="160">
        <v>1</v>
      </c>
      <c r="Y169" s="160">
        <v>1</v>
      </c>
      <c r="Z169" s="160">
        <v>1</v>
      </c>
      <c r="AA169" s="160">
        <v>1</v>
      </c>
    </row>
    <row r="170" spans="1:27" ht="18" customHeight="1" x14ac:dyDescent="0.25">
      <c r="A170" s="159">
        <v>216</v>
      </c>
      <c r="B170" s="157" t="s">
        <v>199</v>
      </c>
      <c r="C170" s="157" t="s">
        <v>200</v>
      </c>
      <c r="D170" s="159" t="s">
        <v>827</v>
      </c>
      <c r="E170" s="157" t="s">
        <v>825</v>
      </c>
      <c r="F170" s="157" t="s">
        <v>1264</v>
      </c>
      <c r="G170" s="157" t="s">
        <v>1321</v>
      </c>
      <c r="H170" s="157" t="s">
        <v>1382</v>
      </c>
      <c r="I170" s="157" t="s">
        <v>1390</v>
      </c>
      <c r="J170" s="157" t="s">
        <v>1324</v>
      </c>
      <c r="K170" s="157" t="s">
        <v>1312</v>
      </c>
      <c r="L170" s="157" t="s">
        <v>1391</v>
      </c>
      <c r="M170" s="157" t="str">
        <f t="shared" si="7"/>
        <v>Shunt - Battery Discharge Monitoring</v>
      </c>
      <c r="N170" s="157"/>
      <c r="O170" s="157"/>
      <c r="P170" s="159" t="s">
        <v>6734</v>
      </c>
      <c r="Q170" s="157"/>
      <c r="R170" s="157"/>
      <c r="S170" s="157"/>
      <c r="T170" s="157"/>
      <c r="U170" s="159" t="s">
        <v>2129</v>
      </c>
      <c r="V170" s="159" t="s">
        <v>2129</v>
      </c>
      <c r="W170" s="159" t="s">
        <v>2138</v>
      </c>
      <c r="X170" s="160">
        <v>1</v>
      </c>
      <c r="Y170" s="160">
        <v>1</v>
      </c>
      <c r="Z170" s="160">
        <v>1</v>
      </c>
      <c r="AA170" s="160">
        <v>1</v>
      </c>
    </row>
    <row r="171" spans="1:27" ht="18" customHeight="1" x14ac:dyDescent="0.25">
      <c r="A171" s="159">
        <v>216</v>
      </c>
      <c r="B171" s="157" t="s">
        <v>199</v>
      </c>
      <c r="C171" s="157" t="s">
        <v>200</v>
      </c>
      <c r="D171" s="159" t="s">
        <v>481</v>
      </c>
      <c r="E171" s="157" t="s">
        <v>1140</v>
      </c>
      <c r="F171" s="157" t="s">
        <v>1277</v>
      </c>
      <c r="G171" s="157" t="s">
        <v>1321</v>
      </c>
      <c r="H171" s="157" t="s">
        <v>1382</v>
      </c>
      <c r="I171" s="157" t="s">
        <v>1390</v>
      </c>
      <c r="J171" s="157" t="s">
        <v>1324</v>
      </c>
      <c r="K171" s="157" t="s">
        <v>1312</v>
      </c>
      <c r="L171" s="157" t="s">
        <v>1391</v>
      </c>
      <c r="M171" s="157" t="str">
        <f t="shared" si="7"/>
        <v>Shunt - Battery Discharge Monitoring</v>
      </c>
      <c r="N171" s="157"/>
      <c r="O171" s="157"/>
      <c r="P171" s="159" t="s">
        <v>6734</v>
      </c>
      <c r="Q171" s="157"/>
      <c r="R171" s="157"/>
      <c r="S171" s="157"/>
      <c r="T171" s="157"/>
      <c r="U171" s="159" t="s">
        <v>2129</v>
      </c>
      <c r="V171" s="159" t="s">
        <v>2129</v>
      </c>
      <c r="W171" s="159" t="s">
        <v>2138</v>
      </c>
      <c r="X171" s="160">
        <v>1</v>
      </c>
      <c r="Y171" s="160">
        <v>1</v>
      </c>
      <c r="Z171" s="160">
        <v>1</v>
      </c>
      <c r="AA171" s="160">
        <v>1</v>
      </c>
    </row>
    <row r="172" spans="1:27" ht="18" customHeight="1" x14ac:dyDescent="0.25">
      <c r="A172" s="159">
        <v>216</v>
      </c>
      <c r="B172" s="157" t="s">
        <v>199</v>
      </c>
      <c r="C172" s="157" t="s">
        <v>485</v>
      </c>
      <c r="D172" s="159" t="s">
        <v>639</v>
      </c>
      <c r="E172" s="157" t="s">
        <v>637</v>
      </c>
      <c r="F172" s="157"/>
      <c r="G172" s="157" t="s">
        <v>1321</v>
      </c>
      <c r="H172" s="157" t="s">
        <v>1382</v>
      </c>
      <c r="I172" s="157" t="s">
        <v>1390</v>
      </c>
      <c r="J172" s="157" t="s">
        <v>1324</v>
      </c>
      <c r="K172" s="157" t="s">
        <v>1312</v>
      </c>
      <c r="L172" s="157" t="s">
        <v>1391</v>
      </c>
      <c r="M172" s="157" t="str">
        <f t="shared" si="7"/>
        <v>Shunt - Battery Discharge Monitoring</v>
      </c>
      <c r="N172" s="157"/>
      <c r="O172" s="157"/>
      <c r="P172" s="159" t="s">
        <v>6734</v>
      </c>
      <c r="Q172" s="157"/>
      <c r="R172" s="157"/>
      <c r="S172" s="157"/>
      <c r="T172" s="157"/>
      <c r="U172" s="159" t="s">
        <v>2129</v>
      </c>
      <c r="V172" s="159" t="s">
        <v>2129</v>
      </c>
      <c r="W172" s="159" t="s">
        <v>2138</v>
      </c>
      <c r="X172" s="160">
        <v>1</v>
      </c>
      <c r="Y172" s="160">
        <v>1</v>
      </c>
      <c r="Z172" s="160">
        <v>1</v>
      </c>
      <c r="AA172" s="160">
        <v>1</v>
      </c>
    </row>
    <row r="173" spans="1:27" ht="18" customHeight="1" x14ac:dyDescent="0.25">
      <c r="A173" s="159">
        <v>217</v>
      </c>
      <c r="B173" s="157" t="s">
        <v>22</v>
      </c>
      <c r="C173" s="157" t="s">
        <v>103</v>
      </c>
      <c r="D173" s="159" t="s">
        <v>50</v>
      </c>
      <c r="E173" s="157" t="s">
        <v>858</v>
      </c>
      <c r="F173" s="157"/>
      <c r="G173" s="157" t="s">
        <v>1299</v>
      </c>
      <c r="H173" s="157" t="s">
        <v>1300</v>
      </c>
      <c r="I173" s="157" t="s">
        <v>9618</v>
      </c>
      <c r="J173" s="157" t="s">
        <v>1285</v>
      </c>
      <c r="K173" s="157" t="s">
        <v>1302</v>
      </c>
      <c r="L173" s="157" t="s">
        <v>1393</v>
      </c>
      <c r="M173" s="157" t="str">
        <f t="shared" si="7"/>
        <v>Pyro-Fuse - LV Battery Shut-Off</v>
      </c>
      <c r="N173" s="157"/>
      <c r="O173" s="157"/>
      <c r="P173" s="159" t="s">
        <v>4130</v>
      </c>
      <c r="Q173" s="157"/>
      <c r="R173" s="157"/>
      <c r="S173" s="157"/>
      <c r="T173" s="157"/>
      <c r="U173" s="159" t="s">
        <v>2129</v>
      </c>
      <c r="V173" s="159" t="s">
        <v>2138</v>
      </c>
      <c r="W173" s="159" t="s">
        <v>2138</v>
      </c>
      <c r="X173" s="160">
        <v>0</v>
      </c>
      <c r="Y173" s="160">
        <v>0</v>
      </c>
      <c r="Z173" s="160">
        <v>0</v>
      </c>
      <c r="AA173" s="160">
        <v>0</v>
      </c>
    </row>
    <row r="174" spans="1:27" ht="18" customHeight="1" x14ac:dyDescent="0.25">
      <c r="A174" s="159">
        <v>218</v>
      </c>
      <c r="B174" s="157" t="s">
        <v>63</v>
      </c>
      <c r="C174" s="157" t="s">
        <v>64</v>
      </c>
      <c r="D174" s="159" t="s">
        <v>326</v>
      </c>
      <c r="E174" s="157" t="s">
        <v>324</v>
      </c>
      <c r="F174" s="157" t="s">
        <v>1381</v>
      </c>
      <c r="G174" s="157" t="s">
        <v>1321</v>
      </c>
      <c r="H174" s="157" t="s">
        <v>1382</v>
      </c>
      <c r="I174" s="157" t="s">
        <v>1394</v>
      </c>
      <c r="J174" s="157" t="s">
        <v>1324</v>
      </c>
      <c r="K174" s="157" t="s">
        <v>1269</v>
      </c>
      <c r="L174" s="157" t="s">
        <v>1395</v>
      </c>
      <c r="M174" s="157" t="str">
        <f t="shared" si="7"/>
        <v>Cells Balancing Boards - Cells Balancing Monitor</v>
      </c>
      <c r="N174" s="157"/>
      <c r="O174" s="157"/>
      <c r="P174" s="159"/>
      <c r="Q174" s="157"/>
      <c r="R174" s="157"/>
      <c r="S174" s="157"/>
      <c r="T174" s="157"/>
      <c r="U174" s="159"/>
      <c r="V174" s="159"/>
      <c r="W174" s="159"/>
      <c r="X174" s="160"/>
      <c r="Y174" s="160"/>
      <c r="Z174" s="160"/>
      <c r="AA174" s="160"/>
    </row>
    <row r="175" spans="1:27" ht="18" customHeight="1" x14ac:dyDescent="0.25">
      <c r="A175" s="159">
        <v>218</v>
      </c>
      <c r="B175" s="157" t="s">
        <v>63</v>
      </c>
      <c r="C175" s="157" t="s">
        <v>64</v>
      </c>
      <c r="D175" s="159" t="s">
        <v>645</v>
      </c>
      <c r="E175" s="157" t="s">
        <v>643</v>
      </c>
      <c r="F175" s="157" t="s">
        <v>1275</v>
      </c>
      <c r="G175" s="157" t="s">
        <v>1321</v>
      </c>
      <c r="H175" s="157" t="s">
        <v>1382</v>
      </c>
      <c r="I175" s="157" t="s">
        <v>1394</v>
      </c>
      <c r="J175" s="157" t="s">
        <v>1324</v>
      </c>
      <c r="K175" s="157" t="s">
        <v>1269</v>
      </c>
      <c r="L175" s="157" t="s">
        <v>1395</v>
      </c>
      <c r="M175" s="157" t="str">
        <f t="shared" si="7"/>
        <v>Cells Balancing Boards - Cells Balancing Monitor</v>
      </c>
      <c r="N175" s="157"/>
      <c r="O175" s="157"/>
      <c r="P175" s="159"/>
      <c r="Q175" s="157"/>
      <c r="R175" s="157"/>
      <c r="S175" s="157"/>
      <c r="T175" s="157"/>
      <c r="U175" s="159"/>
      <c r="V175" s="159"/>
      <c r="W175" s="159"/>
      <c r="X175" s="160"/>
      <c r="Y175" s="160"/>
      <c r="Z175" s="160"/>
      <c r="AA175" s="160"/>
    </row>
    <row r="176" spans="1:27" ht="18" customHeight="1" x14ac:dyDescent="0.25">
      <c r="A176" s="159">
        <v>218</v>
      </c>
      <c r="B176" s="157" t="s">
        <v>63</v>
      </c>
      <c r="C176" s="157" t="s">
        <v>64</v>
      </c>
      <c r="D176" s="159" t="s">
        <v>755</v>
      </c>
      <c r="E176" s="157" t="s">
        <v>753</v>
      </c>
      <c r="F176" s="157"/>
      <c r="G176" s="157" t="s">
        <v>1321</v>
      </c>
      <c r="H176" s="157" t="s">
        <v>1382</v>
      </c>
      <c r="I176" s="157" t="s">
        <v>1394</v>
      </c>
      <c r="J176" s="157" t="s">
        <v>1324</v>
      </c>
      <c r="K176" s="157" t="s">
        <v>1269</v>
      </c>
      <c r="L176" s="157" t="s">
        <v>1395</v>
      </c>
      <c r="M176" s="157" t="str">
        <f t="shared" si="7"/>
        <v>Cells Balancing Boards - Cells Balancing Monitor</v>
      </c>
      <c r="N176" s="157"/>
      <c r="O176" s="157"/>
      <c r="P176" s="159"/>
      <c r="Q176" s="157"/>
      <c r="R176" s="157"/>
      <c r="S176" s="157"/>
      <c r="T176" s="157"/>
      <c r="U176" s="159"/>
      <c r="V176" s="159"/>
      <c r="W176" s="159"/>
      <c r="X176" s="160"/>
      <c r="Y176" s="160"/>
      <c r="Z176" s="160"/>
      <c r="AA176" s="160"/>
    </row>
    <row r="177" spans="1:27" ht="18" customHeight="1" x14ac:dyDescent="0.25">
      <c r="A177" s="159">
        <v>218</v>
      </c>
      <c r="B177" s="157" t="s">
        <v>63</v>
      </c>
      <c r="C177" s="157" t="s">
        <v>64</v>
      </c>
      <c r="D177" s="159" t="s">
        <v>758</v>
      </c>
      <c r="E177" s="157" t="s">
        <v>756</v>
      </c>
      <c r="F177" s="157" t="s">
        <v>1277</v>
      </c>
      <c r="G177" s="157" t="s">
        <v>1321</v>
      </c>
      <c r="H177" s="157" t="s">
        <v>1382</v>
      </c>
      <c r="I177" s="157" t="s">
        <v>1394</v>
      </c>
      <c r="J177" s="157" t="s">
        <v>1324</v>
      </c>
      <c r="K177" s="157" t="s">
        <v>1269</v>
      </c>
      <c r="L177" s="157" t="s">
        <v>1395</v>
      </c>
      <c r="M177" s="157" t="str">
        <f t="shared" si="7"/>
        <v>Cells Balancing Boards - Cells Balancing Monitor</v>
      </c>
      <c r="N177" s="157"/>
      <c r="O177" s="157"/>
      <c r="P177" s="159"/>
      <c r="Q177" s="157"/>
      <c r="R177" s="157"/>
      <c r="S177" s="157"/>
      <c r="T177" s="157"/>
      <c r="U177" s="159"/>
      <c r="V177" s="159"/>
      <c r="W177" s="159"/>
      <c r="X177" s="160"/>
      <c r="Y177" s="160"/>
      <c r="Z177" s="160"/>
      <c r="AA177" s="160"/>
    </row>
    <row r="178" spans="1:27" ht="18" customHeight="1" x14ac:dyDescent="0.25">
      <c r="A178" s="159">
        <v>218</v>
      </c>
      <c r="B178" s="157" t="s">
        <v>63</v>
      </c>
      <c r="C178" s="157" t="s">
        <v>64</v>
      </c>
      <c r="D178" s="159" t="s">
        <v>770</v>
      </c>
      <c r="E178" s="157" t="s">
        <v>768</v>
      </c>
      <c r="F178" s="157" t="s">
        <v>1275</v>
      </c>
      <c r="G178" s="157" t="s">
        <v>1321</v>
      </c>
      <c r="H178" s="157" t="s">
        <v>1382</v>
      </c>
      <c r="I178" s="157" t="s">
        <v>1394</v>
      </c>
      <c r="J178" s="157" t="s">
        <v>1324</v>
      </c>
      <c r="K178" s="157" t="s">
        <v>1269</v>
      </c>
      <c r="L178" s="157" t="s">
        <v>1395</v>
      </c>
      <c r="M178" s="157" t="str">
        <f t="shared" si="7"/>
        <v>Cells Balancing Boards - Cells Balancing Monitor</v>
      </c>
      <c r="N178" s="157"/>
      <c r="O178" s="157"/>
      <c r="P178" s="159"/>
      <c r="Q178" s="157"/>
      <c r="R178" s="157"/>
      <c r="S178" s="157"/>
      <c r="T178" s="157"/>
      <c r="U178" s="159"/>
      <c r="V178" s="159"/>
      <c r="W178" s="159"/>
      <c r="X178" s="160"/>
      <c r="Y178" s="160"/>
      <c r="Z178" s="160"/>
      <c r="AA178" s="160"/>
    </row>
    <row r="179" spans="1:27" ht="18" customHeight="1" x14ac:dyDescent="0.25">
      <c r="A179" s="159">
        <v>218</v>
      </c>
      <c r="B179" s="157" t="s">
        <v>63</v>
      </c>
      <c r="C179" s="157" t="s">
        <v>64</v>
      </c>
      <c r="D179" s="159" t="s">
        <v>872</v>
      </c>
      <c r="E179" s="157" t="s">
        <v>870</v>
      </c>
      <c r="F179" s="157" t="s">
        <v>1381</v>
      </c>
      <c r="G179" s="157" t="s">
        <v>1321</v>
      </c>
      <c r="H179" s="157" t="s">
        <v>1382</v>
      </c>
      <c r="I179" s="157" t="s">
        <v>1394</v>
      </c>
      <c r="J179" s="157" t="s">
        <v>1324</v>
      </c>
      <c r="K179" s="157" t="s">
        <v>1269</v>
      </c>
      <c r="L179" s="157" t="s">
        <v>1395</v>
      </c>
      <c r="M179" s="157" t="str">
        <f t="shared" si="7"/>
        <v>Cells Balancing Boards - Cells Balancing Monitor</v>
      </c>
      <c r="N179" s="157"/>
      <c r="O179" s="157"/>
      <c r="P179" s="159"/>
      <c r="Q179" s="157"/>
      <c r="R179" s="157"/>
      <c r="S179" s="157"/>
      <c r="T179" s="157"/>
      <c r="U179" s="159"/>
      <c r="V179" s="159"/>
      <c r="W179" s="159"/>
      <c r="X179" s="160"/>
      <c r="Y179" s="160"/>
      <c r="Z179" s="160"/>
      <c r="AA179" s="160"/>
    </row>
    <row r="180" spans="1:27" ht="18" customHeight="1" x14ac:dyDescent="0.25">
      <c r="A180" s="159">
        <v>218</v>
      </c>
      <c r="B180" s="157" t="s">
        <v>199</v>
      </c>
      <c r="C180" s="157" t="s">
        <v>200</v>
      </c>
      <c r="D180" s="159" t="s">
        <v>203</v>
      </c>
      <c r="E180" s="157" t="s">
        <v>201</v>
      </c>
      <c r="F180" s="157" t="s">
        <v>1277</v>
      </c>
      <c r="G180" s="157" t="s">
        <v>1321</v>
      </c>
      <c r="H180" s="157" t="s">
        <v>1382</v>
      </c>
      <c r="I180" s="157" t="s">
        <v>1394</v>
      </c>
      <c r="J180" s="157" t="s">
        <v>1324</v>
      </c>
      <c r="K180" s="157" t="s">
        <v>1269</v>
      </c>
      <c r="L180" s="157" t="s">
        <v>1395</v>
      </c>
      <c r="M180" s="157" t="str">
        <f t="shared" si="7"/>
        <v>Cells Balancing Boards - Cells Balancing Monitor</v>
      </c>
      <c r="N180" s="157"/>
      <c r="O180" s="157"/>
      <c r="P180" s="159"/>
      <c r="Q180" s="157"/>
      <c r="R180" s="157"/>
      <c r="S180" s="157"/>
      <c r="T180" s="157"/>
      <c r="U180" s="159"/>
      <c r="V180" s="159"/>
      <c r="W180" s="159"/>
      <c r="X180" s="160"/>
      <c r="Y180" s="160"/>
      <c r="Z180" s="160"/>
      <c r="AA180" s="160"/>
    </row>
    <row r="181" spans="1:27" ht="18" customHeight="1" x14ac:dyDescent="0.25">
      <c r="A181" s="159">
        <v>218</v>
      </c>
      <c r="B181" s="157" t="s">
        <v>199</v>
      </c>
      <c r="C181" s="157" t="s">
        <v>200</v>
      </c>
      <c r="D181" s="159" t="s">
        <v>480</v>
      </c>
      <c r="E181" s="157" t="s">
        <v>478</v>
      </c>
      <c r="F181" s="157" t="s">
        <v>1277</v>
      </c>
      <c r="G181" s="157" t="s">
        <v>1321</v>
      </c>
      <c r="H181" s="157" t="s">
        <v>1382</v>
      </c>
      <c r="I181" s="157" t="s">
        <v>1394</v>
      </c>
      <c r="J181" s="157" t="s">
        <v>1324</v>
      </c>
      <c r="K181" s="157" t="s">
        <v>1269</v>
      </c>
      <c r="L181" s="157" t="s">
        <v>1395</v>
      </c>
      <c r="M181" s="157" t="str">
        <f t="shared" si="7"/>
        <v>Cells Balancing Boards - Cells Balancing Monitor</v>
      </c>
      <c r="N181" s="157"/>
      <c r="O181" s="157"/>
      <c r="P181" s="159"/>
      <c r="Q181" s="157"/>
      <c r="R181" s="157"/>
      <c r="S181" s="157"/>
      <c r="T181" s="157"/>
      <c r="U181" s="159"/>
      <c r="V181" s="159"/>
      <c r="W181" s="159"/>
      <c r="X181" s="160"/>
      <c r="Y181" s="160"/>
      <c r="Z181" s="160"/>
      <c r="AA181" s="160"/>
    </row>
    <row r="182" spans="1:27" ht="18" customHeight="1" x14ac:dyDescent="0.25">
      <c r="A182" s="159">
        <v>218</v>
      </c>
      <c r="B182" s="157" t="s">
        <v>199</v>
      </c>
      <c r="C182" s="157" t="s">
        <v>200</v>
      </c>
      <c r="D182" s="159" t="s">
        <v>484</v>
      </c>
      <c r="E182" s="157" t="s">
        <v>482</v>
      </c>
      <c r="F182" s="157" t="s">
        <v>1277</v>
      </c>
      <c r="G182" s="157" t="s">
        <v>1321</v>
      </c>
      <c r="H182" s="157" t="s">
        <v>1382</v>
      </c>
      <c r="I182" s="157" t="s">
        <v>1394</v>
      </c>
      <c r="J182" s="157" t="s">
        <v>1324</v>
      </c>
      <c r="K182" s="157" t="s">
        <v>1269</v>
      </c>
      <c r="L182" s="157" t="s">
        <v>1395</v>
      </c>
      <c r="M182" s="157" t="str">
        <f t="shared" si="7"/>
        <v>Cells Balancing Boards - Cells Balancing Monitor</v>
      </c>
      <c r="N182" s="157"/>
      <c r="O182" s="157"/>
      <c r="P182" s="159"/>
      <c r="Q182" s="157"/>
      <c r="R182" s="157"/>
      <c r="S182" s="157"/>
      <c r="T182" s="157"/>
      <c r="U182" s="159"/>
      <c r="V182" s="159"/>
      <c r="W182" s="159"/>
      <c r="X182" s="160"/>
      <c r="Y182" s="160"/>
      <c r="Z182" s="160"/>
      <c r="AA182" s="160"/>
    </row>
    <row r="183" spans="1:27" ht="18" customHeight="1" x14ac:dyDescent="0.25">
      <c r="A183" s="159">
        <v>218</v>
      </c>
      <c r="B183" s="157" t="s">
        <v>199</v>
      </c>
      <c r="C183" s="157" t="s">
        <v>200</v>
      </c>
      <c r="D183" s="159" t="s">
        <v>660</v>
      </c>
      <c r="E183" s="157" t="s">
        <v>658</v>
      </c>
      <c r="F183" s="157" t="s">
        <v>1277</v>
      </c>
      <c r="G183" s="157" t="s">
        <v>1321</v>
      </c>
      <c r="H183" s="157" t="s">
        <v>1382</v>
      </c>
      <c r="I183" s="157" t="s">
        <v>1394</v>
      </c>
      <c r="J183" s="157" t="s">
        <v>1324</v>
      </c>
      <c r="K183" s="157" t="s">
        <v>1269</v>
      </c>
      <c r="L183" s="157" t="s">
        <v>1395</v>
      </c>
      <c r="M183" s="157" t="str">
        <f t="shared" si="7"/>
        <v>Cells Balancing Boards - Cells Balancing Monitor</v>
      </c>
      <c r="N183" s="157"/>
      <c r="O183" s="157"/>
      <c r="P183" s="159"/>
      <c r="Q183" s="157"/>
      <c r="R183" s="157"/>
      <c r="S183" s="157"/>
      <c r="T183" s="157"/>
      <c r="U183" s="159"/>
      <c r="V183" s="159"/>
      <c r="W183" s="159"/>
      <c r="X183" s="160"/>
      <c r="Y183" s="160"/>
      <c r="Z183" s="160"/>
      <c r="AA183" s="160"/>
    </row>
    <row r="184" spans="1:27" ht="18" customHeight="1" x14ac:dyDescent="0.25">
      <c r="A184" s="159">
        <v>218</v>
      </c>
      <c r="B184" s="157" t="s">
        <v>199</v>
      </c>
      <c r="C184" s="157" t="s">
        <v>200</v>
      </c>
      <c r="D184" s="159" t="s">
        <v>683</v>
      </c>
      <c r="E184" s="157" t="s">
        <v>681</v>
      </c>
      <c r="F184" s="157" t="s">
        <v>1264</v>
      </c>
      <c r="G184" s="157" t="s">
        <v>1321</v>
      </c>
      <c r="H184" s="157" t="s">
        <v>1382</v>
      </c>
      <c r="I184" s="157" t="s">
        <v>1394</v>
      </c>
      <c r="J184" s="157" t="s">
        <v>1324</v>
      </c>
      <c r="K184" s="157" t="s">
        <v>1269</v>
      </c>
      <c r="L184" s="157" t="s">
        <v>1395</v>
      </c>
      <c r="M184" s="157" t="str">
        <f t="shared" si="7"/>
        <v>Cells Balancing Boards - Cells Balancing Monitor</v>
      </c>
      <c r="N184" s="157"/>
      <c r="O184" s="157"/>
      <c r="P184" s="159"/>
      <c r="Q184" s="157"/>
      <c r="R184" s="157"/>
      <c r="S184" s="157"/>
      <c r="T184" s="157"/>
      <c r="U184" s="159"/>
      <c r="V184" s="159"/>
      <c r="W184" s="159"/>
      <c r="X184" s="160"/>
      <c r="Y184" s="160"/>
      <c r="Z184" s="160"/>
      <c r="AA184" s="160"/>
    </row>
    <row r="185" spans="1:27" ht="18" customHeight="1" x14ac:dyDescent="0.25">
      <c r="A185" s="159">
        <v>218</v>
      </c>
      <c r="B185" s="157" t="s">
        <v>199</v>
      </c>
      <c r="C185" s="157" t="s">
        <v>200</v>
      </c>
      <c r="D185" s="159" t="s">
        <v>704</v>
      </c>
      <c r="E185" s="157" t="s">
        <v>702</v>
      </c>
      <c r="F185" s="157" t="s">
        <v>1277</v>
      </c>
      <c r="G185" s="157" t="s">
        <v>1321</v>
      </c>
      <c r="H185" s="157" t="s">
        <v>1382</v>
      </c>
      <c r="I185" s="157" t="s">
        <v>1394</v>
      </c>
      <c r="J185" s="157" t="s">
        <v>1324</v>
      </c>
      <c r="K185" s="157" t="s">
        <v>1269</v>
      </c>
      <c r="L185" s="157" t="s">
        <v>1395</v>
      </c>
      <c r="M185" s="157" t="str">
        <f t="shared" si="7"/>
        <v>Cells Balancing Boards - Cells Balancing Monitor</v>
      </c>
      <c r="N185" s="157"/>
      <c r="O185" s="157"/>
      <c r="P185" s="159"/>
      <c r="Q185" s="157"/>
      <c r="R185" s="157"/>
      <c r="S185" s="157"/>
      <c r="T185" s="157"/>
      <c r="U185" s="159"/>
      <c r="V185" s="159"/>
      <c r="W185" s="159"/>
      <c r="X185" s="160"/>
      <c r="Y185" s="160"/>
      <c r="Z185" s="160"/>
      <c r="AA185" s="160"/>
    </row>
    <row r="186" spans="1:27" ht="18" customHeight="1" x14ac:dyDescent="0.25">
      <c r="A186" s="159">
        <v>218</v>
      </c>
      <c r="B186" s="157" t="s">
        <v>199</v>
      </c>
      <c r="C186" s="157" t="s">
        <v>200</v>
      </c>
      <c r="D186" s="159" t="s">
        <v>820</v>
      </c>
      <c r="E186" s="157" t="s">
        <v>818</v>
      </c>
      <c r="F186" s="157" t="s">
        <v>1264</v>
      </c>
      <c r="G186" s="157" t="s">
        <v>1321</v>
      </c>
      <c r="H186" s="157" t="s">
        <v>1382</v>
      </c>
      <c r="I186" s="157" t="s">
        <v>1394</v>
      </c>
      <c r="J186" s="157" t="s">
        <v>1324</v>
      </c>
      <c r="K186" s="157" t="s">
        <v>1269</v>
      </c>
      <c r="L186" s="157" t="s">
        <v>1395</v>
      </c>
      <c r="M186" s="157" t="str">
        <f t="shared" si="7"/>
        <v>Cells Balancing Boards - Cells Balancing Monitor</v>
      </c>
      <c r="N186" s="157"/>
      <c r="O186" s="157"/>
      <c r="P186" s="159"/>
      <c r="Q186" s="157"/>
      <c r="R186" s="157"/>
      <c r="S186" s="157"/>
      <c r="T186" s="157"/>
      <c r="U186" s="159"/>
      <c r="V186" s="159"/>
      <c r="W186" s="159"/>
      <c r="X186" s="160"/>
      <c r="Y186" s="160"/>
      <c r="Z186" s="160"/>
      <c r="AA186" s="160"/>
    </row>
    <row r="187" spans="1:27" ht="18" customHeight="1" x14ac:dyDescent="0.25">
      <c r="A187" s="159">
        <v>218</v>
      </c>
      <c r="B187" s="157" t="s">
        <v>199</v>
      </c>
      <c r="C187" s="157" t="s">
        <v>200</v>
      </c>
      <c r="D187" s="159" t="s">
        <v>824</v>
      </c>
      <c r="E187" s="157" t="s">
        <v>822</v>
      </c>
      <c r="F187" s="157" t="s">
        <v>1277</v>
      </c>
      <c r="G187" s="157" t="s">
        <v>1321</v>
      </c>
      <c r="H187" s="157" t="s">
        <v>1382</v>
      </c>
      <c r="I187" s="157" t="s">
        <v>1394</v>
      </c>
      <c r="J187" s="157" t="s">
        <v>1324</v>
      </c>
      <c r="K187" s="157" t="s">
        <v>1269</v>
      </c>
      <c r="L187" s="157" t="s">
        <v>1395</v>
      </c>
      <c r="M187" s="157" t="str">
        <f t="shared" si="7"/>
        <v>Cells Balancing Boards - Cells Balancing Monitor</v>
      </c>
      <c r="N187" s="157"/>
      <c r="O187" s="157"/>
      <c r="P187" s="159"/>
      <c r="Q187" s="157"/>
      <c r="R187" s="157"/>
      <c r="S187" s="157"/>
      <c r="T187" s="157"/>
      <c r="U187" s="159"/>
      <c r="V187" s="159"/>
      <c r="W187" s="159"/>
      <c r="X187" s="160"/>
      <c r="Y187" s="160"/>
      <c r="Z187" s="160"/>
      <c r="AA187" s="160"/>
    </row>
    <row r="188" spans="1:27" ht="18" customHeight="1" x14ac:dyDescent="0.25">
      <c r="A188" s="159">
        <v>218</v>
      </c>
      <c r="B188" s="157" t="s">
        <v>199</v>
      </c>
      <c r="C188" s="157" t="s">
        <v>200</v>
      </c>
      <c r="D188" s="159" t="s">
        <v>827</v>
      </c>
      <c r="E188" s="157" t="s">
        <v>825</v>
      </c>
      <c r="F188" s="157" t="s">
        <v>1264</v>
      </c>
      <c r="G188" s="157" t="s">
        <v>1321</v>
      </c>
      <c r="H188" s="157" t="s">
        <v>1382</v>
      </c>
      <c r="I188" s="157" t="s">
        <v>1394</v>
      </c>
      <c r="J188" s="157" t="s">
        <v>1324</v>
      </c>
      <c r="K188" s="157" t="s">
        <v>1269</v>
      </c>
      <c r="L188" s="157" t="s">
        <v>1395</v>
      </c>
      <c r="M188" s="157" t="str">
        <f t="shared" si="7"/>
        <v>Cells Balancing Boards - Cells Balancing Monitor</v>
      </c>
      <c r="N188" s="157"/>
      <c r="O188" s="157"/>
      <c r="P188" s="159"/>
      <c r="Q188" s="157"/>
      <c r="R188" s="157"/>
      <c r="S188" s="157"/>
      <c r="T188" s="157"/>
      <c r="U188" s="159"/>
      <c r="V188" s="159"/>
      <c r="W188" s="159"/>
      <c r="X188" s="160"/>
      <c r="Y188" s="160"/>
      <c r="Z188" s="160"/>
      <c r="AA188" s="160"/>
    </row>
    <row r="189" spans="1:27" ht="18" customHeight="1" x14ac:dyDescent="0.25">
      <c r="A189" s="159">
        <v>218</v>
      </c>
      <c r="B189" s="157" t="s">
        <v>199</v>
      </c>
      <c r="C189" s="157" t="s">
        <v>200</v>
      </c>
      <c r="D189" s="159" t="s">
        <v>1136</v>
      </c>
      <c r="E189" s="157" t="s">
        <v>1134</v>
      </c>
      <c r="F189" s="157" t="s">
        <v>1277</v>
      </c>
      <c r="G189" s="157" t="s">
        <v>1321</v>
      </c>
      <c r="H189" s="157" t="s">
        <v>1382</v>
      </c>
      <c r="I189" s="157" t="s">
        <v>1394</v>
      </c>
      <c r="J189" s="157" t="s">
        <v>1324</v>
      </c>
      <c r="K189" s="157" t="s">
        <v>1269</v>
      </c>
      <c r="L189" s="157" t="s">
        <v>1395</v>
      </c>
      <c r="M189" s="157" t="str">
        <f t="shared" si="7"/>
        <v>Cells Balancing Boards - Cells Balancing Monitor</v>
      </c>
      <c r="N189" s="157"/>
      <c r="O189" s="157"/>
      <c r="P189" s="159"/>
      <c r="Q189" s="157"/>
      <c r="R189" s="157"/>
      <c r="S189" s="157"/>
      <c r="T189" s="157"/>
      <c r="U189" s="159"/>
      <c r="V189" s="159"/>
      <c r="W189" s="159"/>
      <c r="X189" s="160"/>
      <c r="Y189" s="160"/>
      <c r="Z189" s="160"/>
      <c r="AA189" s="160"/>
    </row>
    <row r="190" spans="1:27" ht="18" customHeight="1" x14ac:dyDescent="0.25">
      <c r="A190" s="159">
        <v>218</v>
      </c>
      <c r="B190" s="157" t="s">
        <v>199</v>
      </c>
      <c r="C190" s="157" t="s">
        <v>200</v>
      </c>
      <c r="D190" s="159" t="s">
        <v>481</v>
      </c>
      <c r="E190" s="157" t="s">
        <v>1140</v>
      </c>
      <c r="F190" s="157" t="s">
        <v>1277</v>
      </c>
      <c r="G190" s="157" t="s">
        <v>1321</v>
      </c>
      <c r="H190" s="157" t="s">
        <v>1382</v>
      </c>
      <c r="I190" s="157" t="s">
        <v>1394</v>
      </c>
      <c r="J190" s="157" t="s">
        <v>1324</v>
      </c>
      <c r="K190" s="157" t="s">
        <v>1269</v>
      </c>
      <c r="L190" s="157" t="s">
        <v>1395</v>
      </c>
      <c r="M190" s="157" t="str">
        <f t="shared" si="7"/>
        <v>Cells Balancing Boards - Cells Balancing Monitor</v>
      </c>
      <c r="N190" s="157"/>
      <c r="O190" s="157"/>
      <c r="P190" s="159"/>
      <c r="Q190" s="157"/>
      <c r="R190" s="157"/>
      <c r="S190" s="157"/>
      <c r="T190" s="157"/>
      <c r="U190" s="159"/>
      <c r="V190" s="159"/>
      <c r="W190" s="159"/>
      <c r="X190" s="160"/>
      <c r="Y190" s="160"/>
      <c r="Z190" s="160"/>
      <c r="AA190" s="160"/>
    </row>
    <row r="191" spans="1:27" ht="18" customHeight="1" x14ac:dyDescent="0.25">
      <c r="A191" s="159">
        <v>218</v>
      </c>
      <c r="B191" s="157" t="s">
        <v>199</v>
      </c>
      <c r="C191" s="157" t="s">
        <v>468</v>
      </c>
      <c r="D191" s="159" t="s">
        <v>471</v>
      </c>
      <c r="E191" s="157" t="s">
        <v>469</v>
      </c>
      <c r="F191" s="157" t="s">
        <v>1264</v>
      </c>
      <c r="G191" s="157" t="s">
        <v>1321</v>
      </c>
      <c r="H191" s="157" t="s">
        <v>1382</v>
      </c>
      <c r="I191" s="157" t="s">
        <v>1394</v>
      </c>
      <c r="J191" s="157" t="s">
        <v>1324</v>
      </c>
      <c r="K191" s="157" t="s">
        <v>1269</v>
      </c>
      <c r="L191" s="157" t="s">
        <v>1395</v>
      </c>
      <c r="M191" s="157" t="str">
        <f t="shared" si="7"/>
        <v>Cells Balancing Boards - Cells Balancing Monitor</v>
      </c>
      <c r="N191" s="157"/>
      <c r="O191" s="157"/>
      <c r="P191" s="159"/>
      <c r="Q191" s="157"/>
      <c r="R191" s="157"/>
      <c r="S191" s="157"/>
      <c r="T191" s="157"/>
      <c r="U191" s="159"/>
      <c r="V191" s="159"/>
      <c r="W191" s="159"/>
      <c r="X191" s="160"/>
      <c r="Y191" s="160"/>
      <c r="Z191" s="160"/>
      <c r="AA191" s="160"/>
    </row>
    <row r="192" spans="1:27" ht="18" customHeight="1" x14ac:dyDescent="0.25">
      <c r="A192" s="159">
        <v>218</v>
      </c>
      <c r="B192" s="157" t="s">
        <v>199</v>
      </c>
      <c r="C192" s="157" t="s">
        <v>485</v>
      </c>
      <c r="D192" s="159" t="s">
        <v>630</v>
      </c>
      <c r="E192" s="157" t="s">
        <v>628</v>
      </c>
      <c r="F192" s="157"/>
      <c r="G192" s="157" t="s">
        <v>1321</v>
      </c>
      <c r="H192" s="157" t="s">
        <v>1382</v>
      </c>
      <c r="I192" s="157" t="s">
        <v>1394</v>
      </c>
      <c r="J192" s="157" t="s">
        <v>1324</v>
      </c>
      <c r="K192" s="157" t="s">
        <v>1269</v>
      </c>
      <c r="L192" s="157" t="s">
        <v>1395</v>
      </c>
      <c r="M192" s="157" t="str">
        <f t="shared" si="7"/>
        <v>Cells Balancing Boards - Cells Balancing Monitor</v>
      </c>
      <c r="N192" s="157"/>
      <c r="O192" s="157"/>
      <c r="P192" s="159"/>
      <c r="Q192" s="157"/>
      <c r="R192" s="157"/>
      <c r="S192" s="157"/>
      <c r="T192" s="157"/>
      <c r="U192" s="159"/>
      <c r="V192" s="159"/>
      <c r="W192" s="159"/>
      <c r="X192" s="160"/>
      <c r="Y192" s="160"/>
      <c r="Z192" s="160"/>
      <c r="AA192" s="160"/>
    </row>
    <row r="193" spans="1:27" ht="18" customHeight="1" x14ac:dyDescent="0.25">
      <c r="A193" s="159">
        <v>218</v>
      </c>
      <c r="B193" s="157" t="s">
        <v>199</v>
      </c>
      <c r="C193" s="157" t="s">
        <v>485</v>
      </c>
      <c r="D193" s="159" t="s">
        <v>639</v>
      </c>
      <c r="E193" s="157" t="s">
        <v>637</v>
      </c>
      <c r="F193" s="157"/>
      <c r="G193" s="157" t="s">
        <v>1321</v>
      </c>
      <c r="H193" s="157" t="s">
        <v>1382</v>
      </c>
      <c r="I193" s="157" t="s">
        <v>1394</v>
      </c>
      <c r="J193" s="157" t="s">
        <v>1324</v>
      </c>
      <c r="K193" s="157" t="s">
        <v>1269</v>
      </c>
      <c r="L193" s="157" t="s">
        <v>1395</v>
      </c>
      <c r="M193" s="157" t="str">
        <f t="shared" si="7"/>
        <v>Cells Balancing Boards - Cells Balancing Monitor</v>
      </c>
      <c r="N193" s="157"/>
      <c r="O193" s="157"/>
      <c r="P193" s="159"/>
      <c r="Q193" s="157"/>
      <c r="R193" s="157"/>
      <c r="S193" s="157"/>
      <c r="T193" s="157"/>
      <c r="U193" s="159"/>
      <c r="V193" s="159"/>
      <c r="W193" s="159"/>
      <c r="X193" s="160"/>
      <c r="Y193" s="160"/>
      <c r="Z193" s="160"/>
      <c r="AA193" s="160"/>
    </row>
    <row r="194" spans="1:27" ht="18" customHeight="1" x14ac:dyDescent="0.25">
      <c r="A194" s="159">
        <v>218</v>
      </c>
      <c r="B194" s="157" t="s">
        <v>199</v>
      </c>
      <c r="C194" s="157" t="s">
        <v>485</v>
      </c>
      <c r="D194" s="159" t="s">
        <v>814</v>
      </c>
      <c r="E194" s="157" t="s">
        <v>812</v>
      </c>
      <c r="F194" s="157"/>
      <c r="G194" s="157" t="s">
        <v>1321</v>
      </c>
      <c r="H194" s="157" t="s">
        <v>1382</v>
      </c>
      <c r="I194" s="157" t="s">
        <v>1394</v>
      </c>
      <c r="J194" s="157" t="s">
        <v>1324</v>
      </c>
      <c r="K194" s="157" t="s">
        <v>1269</v>
      </c>
      <c r="L194" s="157" t="s">
        <v>1395</v>
      </c>
      <c r="M194" s="157" t="str">
        <f t="shared" si="7"/>
        <v>Cells Balancing Boards - Cells Balancing Monitor</v>
      </c>
      <c r="N194" s="157"/>
      <c r="O194" s="157"/>
      <c r="P194" s="159"/>
      <c r="Q194" s="157"/>
      <c r="R194" s="157"/>
      <c r="S194" s="157"/>
      <c r="T194" s="157"/>
      <c r="U194" s="159"/>
      <c r="V194" s="159"/>
      <c r="W194" s="159"/>
      <c r="X194" s="160"/>
      <c r="Y194" s="160"/>
      <c r="Z194" s="160"/>
      <c r="AA194" s="160"/>
    </row>
    <row r="195" spans="1:27" ht="18" customHeight="1" x14ac:dyDescent="0.25">
      <c r="A195" s="159">
        <v>218</v>
      </c>
      <c r="B195" s="157" t="s">
        <v>199</v>
      </c>
      <c r="C195" s="157" t="s">
        <v>485</v>
      </c>
      <c r="D195" s="159" t="s">
        <v>817</v>
      </c>
      <c r="E195" s="157" t="s">
        <v>815</v>
      </c>
      <c r="F195" s="157"/>
      <c r="G195" s="157" t="s">
        <v>1321</v>
      </c>
      <c r="H195" s="157" t="s">
        <v>1382</v>
      </c>
      <c r="I195" s="157" t="s">
        <v>1394</v>
      </c>
      <c r="J195" s="157" t="s">
        <v>1324</v>
      </c>
      <c r="K195" s="157" t="s">
        <v>1269</v>
      </c>
      <c r="L195" s="157" t="s">
        <v>1395</v>
      </c>
      <c r="M195" s="157" t="str">
        <f t="shared" si="7"/>
        <v>Cells Balancing Boards - Cells Balancing Monitor</v>
      </c>
      <c r="N195" s="157"/>
      <c r="O195" s="157"/>
      <c r="P195" s="159"/>
      <c r="Q195" s="157"/>
      <c r="R195" s="157"/>
      <c r="S195" s="157"/>
      <c r="T195" s="157"/>
      <c r="U195" s="159"/>
      <c r="V195" s="159"/>
      <c r="W195" s="159"/>
      <c r="X195" s="160"/>
      <c r="Y195" s="160"/>
      <c r="Z195" s="160"/>
      <c r="AA195" s="160"/>
    </row>
    <row r="196" spans="1:27" ht="18" customHeight="1" x14ac:dyDescent="0.25">
      <c r="A196" s="159">
        <v>218</v>
      </c>
      <c r="B196" s="157" t="s">
        <v>199</v>
      </c>
      <c r="C196" s="157" t="s">
        <v>485</v>
      </c>
      <c r="D196" s="159" t="s">
        <v>967</v>
      </c>
      <c r="E196" s="157" t="s">
        <v>965</v>
      </c>
      <c r="F196" s="157"/>
      <c r="G196" s="157" t="s">
        <v>1321</v>
      </c>
      <c r="H196" s="157" t="s">
        <v>1382</v>
      </c>
      <c r="I196" s="157" t="s">
        <v>1394</v>
      </c>
      <c r="J196" s="157" t="s">
        <v>1324</v>
      </c>
      <c r="K196" s="157" t="s">
        <v>1269</v>
      </c>
      <c r="L196" s="157" t="s">
        <v>1395</v>
      </c>
      <c r="M196" s="157" t="str">
        <f t="shared" si="7"/>
        <v>Cells Balancing Boards - Cells Balancing Monitor</v>
      </c>
      <c r="N196" s="157"/>
      <c r="O196" s="157"/>
      <c r="P196" s="159"/>
      <c r="Q196" s="157"/>
      <c r="R196" s="157"/>
      <c r="S196" s="157"/>
      <c r="T196" s="157"/>
      <c r="U196" s="159"/>
      <c r="V196" s="159"/>
      <c r="W196" s="159"/>
      <c r="X196" s="160"/>
      <c r="Y196" s="160"/>
      <c r="Z196" s="160"/>
      <c r="AA196" s="160"/>
    </row>
    <row r="197" spans="1:27" ht="18" customHeight="1" x14ac:dyDescent="0.25">
      <c r="A197" s="159">
        <v>218</v>
      </c>
      <c r="B197" s="157" t="s">
        <v>199</v>
      </c>
      <c r="C197" s="157" t="s">
        <v>485</v>
      </c>
      <c r="D197" s="159" t="s">
        <v>1130</v>
      </c>
      <c r="E197" s="157" t="s">
        <v>1128</v>
      </c>
      <c r="F197" s="157"/>
      <c r="G197" s="157" t="s">
        <v>1321</v>
      </c>
      <c r="H197" s="157" t="s">
        <v>1382</v>
      </c>
      <c r="I197" s="157" t="s">
        <v>1394</v>
      </c>
      <c r="J197" s="157" t="s">
        <v>1324</v>
      </c>
      <c r="K197" s="157" t="s">
        <v>1269</v>
      </c>
      <c r="L197" s="157" t="s">
        <v>1395</v>
      </c>
      <c r="M197" s="157" t="str">
        <f t="shared" si="7"/>
        <v>Cells Balancing Boards - Cells Balancing Monitor</v>
      </c>
      <c r="N197" s="157"/>
      <c r="O197" s="157"/>
      <c r="P197" s="159"/>
      <c r="Q197" s="157"/>
      <c r="R197" s="157"/>
      <c r="S197" s="157"/>
      <c r="T197" s="157"/>
      <c r="U197" s="159"/>
      <c r="V197" s="159"/>
      <c r="W197" s="159"/>
      <c r="X197" s="160"/>
      <c r="Y197" s="160"/>
      <c r="Z197" s="160"/>
      <c r="AA197" s="160"/>
    </row>
    <row r="198" spans="1:27" ht="18" customHeight="1" x14ac:dyDescent="0.25">
      <c r="A198" s="159">
        <v>218</v>
      </c>
      <c r="B198" s="157" t="s">
        <v>199</v>
      </c>
      <c r="C198" s="157" t="s">
        <v>485</v>
      </c>
      <c r="D198" s="159" t="s">
        <v>1154</v>
      </c>
      <c r="E198" s="157" t="s">
        <v>1152</v>
      </c>
      <c r="F198" s="157"/>
      <c r="G198" s="157" t="s">
        <v>1321</v>
      </c>
      <c r="H198" s="157" t="s">
        <v>1382</v>
      </c>
      <c r="I198" s="157" t="s">
        <v>1394</v>
      </c>
      <c r="J198" s="157" t="s">
        <v>1324</v>
      </c>
      <c r="K198" s="157" t="s">
        <v>1269</v>
      </c>
      <c r="L198" s="157" t="s">
        <v>1395</v>
      </c>
      <c r="M198" s="157" t="str">
        <f t="shared" si="7"/>
        <v>Cells Balancing Boards - Cells Balancing Monitor</v>
      </c>
      <c r="N198" s="157"/>
      <c r="O198" s="157"/>
      <c r="P198" s="159"/>
      <c r="Q198" s="157"/>
      <c r="R198" s="157"/>
      <c r="S198" s="157"/>
      <c r="T198" s="157"/>
      <c r="U198" s="159"/>
      <c r="V198" s="159"/>
      <c r="W198" s="159"/>
      <c r="X198" s="160"/>
      <c r="Y198" s="160"/>
      <c r="Z198" s="160"/>
      <c r="AA198" s="160"/>
    </row>
    <row r="199" spans="1:27" ht="18" customHeight="1" x14ac:dyDescent="0.25">
      <c r="A199" s="159">
        <v>218</v>
      </c>
      <c r="B199" s="157"/>
      <c r="C199" s="157"/>
      <c r="D199" s="159" t="s">
        <v>488</v>
      </c>
      <c r="E199" s="157" t="s">
        <v>1319</v>
      </c>
      <c r="F199" s="157" t="s">
        <v>1320</v>
      </c>
      <c r="G199" s="157" t="s">
        <v>1321</v>
      </c>
      <c r="H199" s="157" t="s">
        <v>1382</v>
      </c>
      <c r="I199" s="157" t="s">
        <v>1394</v>
      </c>
      <c r="J199" s="157" t="s">
        <v>1324</v>
      </c>
      <c r="K199" s="157" t="s">
        <v>1269</v>
      </c>
      <c r="L199" s="157" t="s">
        <v>1395</v>
      </c>
      <c r="M199" s="157" t="str">
        <f t="shared" si="7"/>
        <v>Cells Balancing Boards - Cells Balancing Monitor</v>
      </c>
      <c r="N199" s="157"/>
      <c r="O199" s="157"/>
      <c r="P199" s="159"/>
      <c r="Q199" s="157"/>
      <c r="R199" s="157"/>
      <c r="S199" s="157"/>
      <c r="T199" s="157"/>
      <c r="U199" s="159"/>
      <c r="V199" s="159"/>
      <c r="W199" s="159"/>
      <c r="X199" s="160"/>
      <c r="Y199" s="160"/>
      <c r="Z199" s="160"/>
      <c r="AA199" s="160"/>
    </row>
    <row r="200" spans="1:27" ht="18" customHeight="1" x14ac:dyDescent="0.25">
      <c r="A200" s="159">
        <v>218</v>
      </c>
      <c r="B200" s="157"/>
      <c r="C200" s="157"/>
      <c r="D200" s="159" t="s">
        <v>633</v>
      </c>
      <c r="E200" s="157" t="s">
        <v>1325</v>
      </c>
      <c r="F200" s="157"/>
      <c r="G200" s="157" t="s">
        <v>1321</v>
      </c>
      <c r="H200" s="157" t="s">
        <v>1382</v>
      </c>
      <c r="I200" s="157" t="s">
        <v>1394</v>
      </c>
      <c r="J200" s="157" t="s">
        <v>1324</v>
      </c>
      <c r="K200" s="157" t="s">
        <v>1269</v>
      </c>
      <c r="L200" s="157" t="s">
        <v>1395</v>
      </c>
      <c r="M200" s="157" t="str">
        <f t="shared" si="7"/>
        <v>Cells Balancing Boards - Cells Balancing Monitor</v>
      </c>
      <c r="N200" s="157"/>
      <c r="O200" s="157"/>
      <c r="P200" s="159"/>
      <c r="Q200" s="157"/>
      <c r="R200" s="157"/>
      <c r="S200" s="157"/>
      <c r="T200" s="157"/>
      <c r="U200" s="159"/>
      <c r="V200" s="159"/>
      <c r="W200" s="159"/>
      <c r="X200" s="160"/>
      <c r="Y200" s="160"/>
      <c r="Z200" s="160"/>
      <c r="AA200" s="160"/>
    </row>
    <row r="201" spans="1:27" ht="18" customHeight="1" x14ac:dyDescent="0.25">
      <c r="A201" s="159">
        <v>220</v>
      </c>
      <c r="B201" s="157" t="s">
        <v>22</v>
      </c>
      <c r="C201" s="157" t="s">
        <v>103</v>
      </c>
      <c r="D201" s="159" t="s">
        <v>776</v>
      </c>
      <c r="E201" s="157" t="s">
        <v>774</v>
      </c>
      <c r="F201" s="157"/>
      <c r="G201" s="157" t="s">
        <v>1321</v>
      </c>
      <c r="H201" s="157" t="s">
        <v>1382</v>
      </c>
      <c r="I201" s="157" t="s">
        <v>1396</v>
      </c>
      <c r="J201" s="157" t="s">
        <v>1324</v>
      </c>
      <c r="K201" s="157" t="s">
        <v>1269</v>
      </c>
      <c r="L201" s="157" t="s">
        <v>1397</v>
      </c>
      <c r="M201" s="157" t="str">
        <f t="shared" si="7"/>
        <v>Contactor Switch - Positive - Safety Switch-Off Positive</v>
      </c>
      <c r="N201" s="157"/>
      <c r="O201" s="157"/>
      <c r="P201" s="159"/>
      <c r="Q201" s="157"/>
      <c r="R201" s="157"/>
      <c r="S201" s="157"/>
      <c r="T201" s="157"/>
      <c r="U201" s="159"/>
      <c r="V201" s="159"/>
      <c r="W201" s="159"/>
      <c r="X201" s="160"/>
      <c r="Y201" s="160"/>
      <c r="Z201" s="160"/>
      <c r="AA201" s="160"/>
    </row>
    <row r="202" spans="1:27" ht="18" customHeight="1" x14ac:dyDescent="0.25">
      <c r="A202" s="159">
        <v>220</v>
      </c>
      <c r="B202" s="157" t="s">
        <v>199</v>
      </c>
      <c r="C202" s="157" t="s">
        <v>200</v>
      </c>
      <c r="D202" s="159" t="s">
        <v>480</v>
      </c>
      <c r="E202" s="157" t="s">
        <v>478</v>
      </c>
      <c r="F202" s="157" t="s">
        <v>1277</v>
      </c>
      <c r="G202" s="157" t="s">
        <v>1321</v>
      </c>
      <c r="H202" s="157" t="s">
        <v>1382</v>
      </c>
      <c r="I202" s="157" t="s">
        <v>1396</v>
      </c>
      <c r="J202" s="157" t="s">
        <v>1324</v>
      </c>
      <c r="K202" s="157" t="s">
        <v>1269</v>
      </c>
      <c r="L202" s="157" t="s">
        <v>1397</v>
      </c>
      <c r="M202" s="157" t="str">
        <f t="shared" ref="M202:M265" si="8">CONCATENATE(L202," - ",I202)</f>
        <v>Contactor Switch - Positive - Safety Switch-Off Positive</v>
      </c>
      <c r="N202" s="157"/>
      <c r="O202" s="157"/>
      <c r="P202" s="159"/>
      <c r="Q202" s="157"/>
      <c r="R202" s="157"/>
      <c r="S202" s="157"/>
      <c r="T202" s="157"/>
      <c r="U202" s="159"/>
      <c r="V202" s="159"/>
      <c r="W202" s="159"/>
      <c r="X202" s="160"/>
      <c r="Y202" s="160"/>
      <c r="Z202" s="160"/>
      <c r="AA202" s="160"/>
    </row>
    <row r="203" spans="1:27" ht="18" customHeight="1" x14ac:dyDescent="0.25">
      <c r="A203" s="159">
        <v>220</v>
      </c>
      <c r="B203" s="157" t="s">
        <v>199</v>
      </c>
      <c r="C203" s="157" t="s">
        <v>200</v>
      </c>
      <c r="D203" s="159" t="s">
        <v>594</v>
      </c>
      <c r="E203" s="157" t="s">
        <v>592</v>
      </c>
      <c r="F203" s="157" t="s">
        <v>1277</v>
      </c>
      <c r="G203" s="157" t="s">
        <v>1321</v>
      </c>
      <c r="H203" s="157" t="s">
        <v>1382</v>
      </c>
      <c r="I203" s="157" t="s">
        <v>1396</v>
      </c>
      <c r="J203" s="157" t="s">
        <v>1324</v>
      </c>
      <c r="K203" s="157" t="s">
        <v>1269</v>
      </c>
      <c r="L203" s="157" t="s">
        <v>1397</v>
      </c>
      <c r="M203" s="157" t="str">
        <f t="shared" si="8"/>
        <v>Contactor Switch - Positive - Safety Switch-Off Positive</v>
      </c>
      <c r="N203" s="157"/>
      <c r="O203" s="157"/>
      <c r="P203" s="159"/>
      <c r="Q203" s="157"/>
      <c r="R203" s="157"/>
      <c r="S203" s="157"/>
      <c r="T203" s="157"/>
      <c r="U203" s="159"/>
      <c r="V203" s="159"/>
      <c r="W203" s="159"/>
      <c r="X203" s="160"/>
      <c r="Y203" s="160"/>
      <c r="Z203" s="160"/>
      <c r="AA203" s="160"/>
    </row>
    <row r="204" spans="1:27" ht="18" customHeight="1" x14ac:dyDescent="0.25">
      <c r="A204" s="159">
        <v>220</v>
      </c>
      <c r="B204" s="157" t="s">
        <v>199</v>
      </c>
      <c r="C204" s="157" t="s">
        <v>200</v>
      </c>
      <c r="D204" s="159" t="s">
        <v>654</v>
      </c>
      <c r="E204" s="157" t="s">
        <v>652</v>
      </c>
      <c r="F204" s="157" t="s">
        <v>1277</v>
      </c>
      <c r="G204" s="157" t="s">
        <v>1321</v>
      </c>
      <c r="H204" s="157" t="s">
        <v>1382</v>
      </c>
      <c r="I204" s="157" t="s">
        <v>1396</v>
      </c>
      <c r="J204" s="157" t="s">
        <v>1324</v>
      </c>
      <c r="K204" s="157" t="s">
        <v>1269</v>
      </c>
      <c r="L204" s="157" t="s">
        <v>1397</v>
      </c>
      <c r="M204" s="157" t="str">
        <f t="shared" si="8"/>
        <v>Contactor Switch - Positive - Safety Switch-Off Positive</v>
      </c>
      <c r="N204" s="157"/>
      <c r="O204" s="157"/>
      <c r="P204" s="159"/>
      <c r="Q204" s="157"/>
      <c r="R204" s="157"/>
      <c r="S204" s="157"/>
      <c r="T204" s="157"/>
      <c r="U204" s="159"/>
      <c r="V204" s="159"/>
      <c r="W204" s="159"/>
      <c r="X204" s="160"/>
      <c r="Y204" s="160"/>
      <c r="Z204" s="160"/>
      <c r="AA204" s="160"/>
    </row>
    <row r="205" spans="1:27" ht="18" customHeight="1" x14ac:dyDescent="0.25">
      <c r="A205" s="159">
        <v>220</v>
      </c>
      <c r="B205" s="157" t="s">
        <v>199</v>
      </c>
      <c r="C205" s="157" t="s">
        <v>200</v>
      </c>
      <c r="D205" s="159" t="s">
        <v>657</v>
      </c>
      <c r="E205" s="157" t="s">
        <v>655</v>
      </c>
      <c r="F205" s="157" t="s">
        <v>1277</v>
      </c>
      <c r="G205" s="157" t="s">
        <v>1321</v>
      </c>
      <c r="H205" s="157" t="s">
        <v>1382</v>
      </c>
      <c r="I205" s="157" t="s">
        <v>1396</v>
      </c>
      <c r="J205" s="157" t="s">
        <v>1324</v>
      </c>
      <c r="K205" s="157" t="s">
        <v>1269</v>
      </c>
      <c r="L205" s="157" t="s">
        <v>1397</v>
      </c>
      <c r="M205" s="157" t="str">
        <f t="shared" si="8"/>
        <v>Contactor Switch - Positive - Safety Switch-Off Positive</v>
      </c>
      <c r="N205" s="157"/>
      <c r="O205" s="157"/>
      <c r="P205" s="159"/>
      <c r="Q205" s="157"/>
      <c r="R205" s="157"/>
      <c r="S205" s="157"/>
      <c r="T205" s="157"/>
      <c r="U205" s="159"/>
      <c r="V205" s="159"/>
      <c r="W205" s="159"/>
      <c r="X205" s="160"/>
      <c r="Y205" s="160"/>
      <c r="Z205" s="160"/>
      <c r="AA205" s="160"/>
    </row>
    <row r="206" spans="1:27" ht="18" customHeight="1" x14ac:dyDescent="0.25">
      <c r="A206" s="159">
        <v>220</v>
      </c>
      <c r="B206" s="157" t="s">
        <v>199</v>
      </c>
      <c r="C206" s="157" t="s">
        <v>200</v>
      </c>
      <c r="D206" s="159" t="s">
        <v>974</v>
      </c>
      <c r="E206" s="157" t="s">
        <v>972</v>
      </c>
      <c r="F206" s="157" t="s">
        <v>1264</v>
      </c>
      <c r="G206" s="157" t="s">
        <v>1321</v>
      </c>
      <c r="H206" s="157" t="s">
        <v>1382</v>
      </c>
      <c r="I206" s="157" t="s">
        <v>1396</v>
      </c>
      <c r="J206" s="157" t="s">
        <v>1324</v>
      </c>
      <c r="K206" s="157" t="s">
        <v>1269</v>
      </c>
      <c r="L206" s="157" t="s">
        <v>1397</v>
      </c>
      <c r="M206" s="157" t="str">
        <f t="shared" si="8"/>
        <v>Contactor Switch - Positive - Safety Switch-Off Positive</v>
      </c>
      <c r="N206" s="157"/>
      <c r="O206" s="157"/>
      <c r="P206" s="159"/>
      <c r="Q206" s="157"/>
      <c r="R206" s="157"/>
      <c r="S206" s="157"/>
      <c r="T206" s="157"/>
      <c r="U206" s="159"/>
      <c r="V206" s="159"/>
      <c r="W206" s="159"/>
      <c r="X206" s="160"/>
      <c r="Y206" s="160"/>
      <c r="Z206" s="160"/>
      <c r="AA206" s="160"/>
    </row>
    <row r="207" spans="1:27" ht="18" customHeight="1" x14ac:dyDescent="0.25">
      <c r="A207" s="159">
        <v>220</v>
      </c>
      <c r="B207" s="157" t="s">
        <v>199</v>
      </c>
      <c r="C207" s="157" t="s">
        <v>468</v>
      </c>
      <c r="D207" s="159" t="s">
        <v>471</v>
      </c>
      <c r="E207" s="157" t="s">
        <v>469</v>
      </c>
      <c r="F207" s="157" t="s">
        <v>1264</v>
      </c>
      <c r="G207" s="157" t="s">
        <v>1321</v>
      </c>
      <c r="H207" s="157" t="s">
        <v>1382</v>
      </c>
      <c r="I207" s="157" t="s">
        <v>1396</v>
      </c>
      <c r="J207" s="157" t="s">
        <v>1324</v>
      </c>
      <c r="K207" s="157" t="s">
        <v>1269</v>
      </c>
      <c r="L207" s="157" t="s">
        <v>1397</v>
      </c>
      <c r="M207" s="157" t="str">
        <f t="shared" si="8"/>
        <v>Contactor Switch - Positive - Safety Switch-Off Positive</v>
      </c>
      <c r="N207" s="157"/>
      <c r="O207" s="157"/>
      <c r="P207" s="159"/>
      <c r="Q207" s="157"/>
      <c r="R207" s="157"/>
      <c r="S207" s="157"/>
      <c r="T207" s="157"/>
      <c r="U207" s="159"/>
      <c r="V207" s="159"/>
      <c r="W207" s="159"/>
      <c r="X207" s="160"/>
      <c r="Y207" s="160"/>
      <c r="Z207" s="160"/>
      <c r="AA207" s="160"/>
    </row>
    <row r="208" spans="1:27" ht="18" customHeight="1" x14ac:dyDescent="0.25">
      <c r="A208" s="159">
        <v>222</v>
      </c>
      <c r="B208" s="157" t="s">
        <v>22</v>
      </c>
      <c r="C208" s="157" t="s">
        <v>103</v>
      </c>
      <c r="D208" s="159" t="s">
        <v>776</v>
      </c>
      <c r="E208" s="157" t="s">
        <v>774</v>
      </c>
      <c r="F208" s="157"/>
      <c r="G208" s="157" t="s">
        <v>1321</v>
      </c>
      <c r="H208" s="157" t="s">
        <v>1382</v>
      </c>
      <c r="I208" s="157" t="s">
        <v>1398</v>
      </c>
      <c r="J208" s="157" t="s">
        <v>1324</v>
      </c>
      <c r="K208" s="157" t="s">
        <v>1269</v>
      </c>
      <c r="L208" s="157" t="s">
        <v>1399</v>
      </c>
      <c r="M208" s="157" t="str">
        <f t="shared" si="8"/>
        <v>Contactor Switch - Negative - Safety Switch-Off Negative</v>
      </c>
      <c r="N208" s="157"/>
      <c r="O208" s="157"/>
      <c r="P208" s="159"/>
      <c r="Q208" s="157"/>
      <c r="R208" s="157"/>
      <c r="S208" s="157"/>
      <c r="T208" s="157"/>
      <c r="U208" s="159"/>
      <c r="V208" s="159"/>
      <c r="W208" s="159"/>
      <c r="X208" s="160"/>
      <c r="Y208" s="160"/>
      <c r="Z208" s="160"/>
      <c r="AA208" s="160"/>
    </row>
    <row r="209" spans="1:27" ht="18" customHeight="1" x14ac:dyDescent="0.25">
      <c r="A209" s="159">
        <v>222</v>
      </c>
      <c r="B209" s="157" t="s">
        <v>199</v>
      </c>
      <c r="C209" s="157" t="s">
        <v>200</v>
      </c>
      <c r="D209" s="159" t="s">
        <v>480</v>
      </c>
      <c r="E209" s="157" t="s">
        <v>478</v>
      </c>
      <c r="F209" s="157" t="s">
        <v>1277</v>
      </c>
      <c r="G209" s="157" t="s">
        <v>1321</v>
      </c>
      <c r="H209" s="157" t="s">
        <v>1382</v>
      </c>
      <c r="I209" s="157" t="s">
        <v>1398</v>
      </c>
      <c r="J209" s="157" t="s">
        <v>1324</v>
      </c>
      <c r="K209" s="157" t="s">
        <v>1269</v>
      </c>
      <c r="L209" s="157" t="s">
        <v>1399</v>
      </c>
      <c r="M209" s="157" t="str">
        <f t="shared" si="8"/>
        <v>Contactor Switch - Negative - Safety Switch-Off Negative</v>
      </c>
      <c r="N209" s="157"/>
      <c r="O209" s="157"/>
      <c r="P209" s="159"/>
      <c r="Q209" s="157"/>
      <c r="R209" s="157"/>
      <c r="S209" s="157"/>
      <c r="T209" s="157"/>
      <c r="U209" s="159"/>
      <c r="V209" s="159"/>
      <c r="W209" s="159"/>
      <c r="X209" s="160"/>
      <c r="Y209" s="160"/>
      <c r="Z209" s="160"/>
      <c r="AA209" s="160"/>
    </row>
    <row r="210" spans="1:27" ht="18" customHeight="1" x14ac:dyDescent="0.25">
      <c r="A210" s="159">
        <v>222</v>
      </c>
      <c r="B210" s="157" t="s">
        <v>199</v>
      </c>
      <c r="C210" s="157" t="s">
        <v>200</v>
      </c>
      <c r="D210" s="159" t="s">
        <v>594</v>
      </c>
      <c r="E210" s="157" t="s">
        <v>592</v>
      </c>
      <c r="F210" s="157" t="s">
        <v>1277</v>
      </c>
      <c r="G210" s="157" t="s">
        <v>1321</v>
      </c>
      <c r="H210" s="157" t="s">
        <v>1382</v>
      </c>
      <c r="I210" s="157" t="s">
        <v>1398</v>
      </c>
      <c r="J210" s="157" t="s">
        <v>1324</v>
      </c>
      <c r="K210" s="157" t="s">
        <v>1269</v>
      </c>
      <c r="L210" s="157" t="s">
        <v>1399</v>
      </c>
      <c r="M210" s="157" t="str">
        <f t="shared" si="8"/>
        <v>Contactor Switch - Negative - Safety Switch-Off Negative</v>
      </c>
      <c r="N210" s="157"/>
      <c r="O210" s="157"/>
      <c r="P210" s="159"/>
      <c r="Q210" s="157"/>
      <c r="R210" s="157"/>
      <c r="S210" s="157"/>
      <c r="T210" s="157"/>
      <c r="U210" s="159"/>
      <c r="V210" s="159"/>
      <c r="W210" s="159"/>
      <c r="X210" s="160"/>
      <c r="Y210" s="160"/>
      <c r="Z210" s="160"/>
      <c r="AA210" s="160"/>
    </row>
    <row r="211" spans="1:27" ht="18" customHeight="1" x14ac:dyDescent="0.25">
      <c r="A211" s="159">
        <v>222</v>
      </c>
      <c r="B211" s="157" t="s">
        <v>199</v>
      </c>
      <c r="C211" s="157" t="s">
        <v>200</v>
      </c>
      <c r="D211" s="159" t="s">
        <v>654</v>
      </c>
      <c r="E211" s="157" t="s">
        <v>652</v>
      </c>
      <c r="F211" s="157" t="s">
        <v>1277</v>
      </c>
      <c r="G211" s="157" t="s">
        <v>1321</v>
      </c>
      <c r="H211" s="157" t="s">
        <v>1382</v>
      </c>
      <c r="I211" s="157" t="s">
        <v>1398</v>
      </c>
      <c r="J211" s="157" t="s">
        <v>1324</v>
      </c>
      <c r="K211" s="157" t="s">
        <v>1269</v>
      </c>
      <c r="L211" s="157" t="s">
        <v>1399</v>
      </c>
      <c r="M211" s="157" t="str">
        <f t="shared" si="8"/>
        <v>Contactor Switch - Negative - Safety Switch-Off Negative</v>
      </c>
      <c r="N211" s="157"/>
      <c r="O211" s="157"/>
      <c r="P211" s="159"/>
      <c r="Q211" s="157"/>
      <c r="R211" s="157"/>
      <c r="S211" s="157"/>
      <c r="T211" s="157"/>
      <c r="U211" s="159"/>
      <c r="V211" s="159"/>
      <c r="W211" s="159"/>
      <c r="X211" s="160"/>
      <c r="Y211" s="160"/>
      <c r="Z211" s="160"/>
      <c r="AA211" s="160"/>
    </row>
    <row r="212" spans="1:27" ht="18" customHeight="1" x14ac:dyDescent="0.25">
      <c r="A212" s="159">
        <v>222</v>
      </c>
      <c r="B212" s="157" t="s">
        <v>199</v>
      </c>
      <c r="C212" s="157" t="s">
        <v>200</v>
      </c>
      <c r="D212" s="159" t="s">
        <v>657</v>
      </c>
      <c r="E212" s="157" t="s">
        <v>655</v>
      </c>
      <c r="F212" s="157" t="s">
        <v>1277</v>
      </c>
      <c r="G212" s="157" t="s">
        <v>1321</v>
      </c>
      <c r="H212" s="157" t="s">
        <v>1382</v>
      </c>
      <c r="I212" s="157" t="s">
        <v>1398</v>
      </c>
      <c r="J212" s="157" t="s">
        <v>1324</v>
      </c>
      <c r="K212" s="157" t="s">
        <v>1269</v>
      </c>
      <c r="L212" s="157" t="s">
        <v>1399</v>
      </c>
      <c r="M212" s="157" t="str">
        <f t="shared" si="8"/>
        <v>Contactor Switch - Negative - Safety Switch-Off Negative</v>
      </c>
      <c r="N212" s="157"/>
      <c r="O212" s="157"/>
      <c r="P212" s="159"/>
      <c r="Q212" s="157"/>
      <c r="R212" s="157"/>
      <c r="S212" s="157"/>
      <c r="T212" s="157"/>
      <c r="U212" s="159"/>
      <c r="V212" s="159"/>
      <c r="W212" s="159"/>
      <c r="X212" s="160"/>
      <c r="Y212" s="160"/>
      <c r="Z212" s="160"/>
      <c r="AA212" s="160"/>
    </row>
    <row r="213" spans="1:27" ht="18" customHeight="1" x14ac:dyDescent="0.25">
      <c r="A213" s="159">
        <v>222</v>
      </c>
      <c r="B213" s="157" t="s">
        <v>199</v>
      </c>
      <c r="C213" s="157" t="s">
        <v>200</v>
      </c>
      <c r="D213" s="159" t="s">
        <v>974</v>
      </c>
      <c r="E213" s="157" t="s">
        <v>972</v>
      </c>
      <c r="F213" s="157" t="s">
        <v>1264</v>
      </c>
      <c r="G213" s="157" t="s">
        <v>1321</v>
      </c>
      <c r="H213" s="157" t="s">
        <v>1382</v>
      </c>
      <c r="I213" s="157" t="s">
        <v>1398</v>
      </c>
      <c r="J213" s="157" t="s">
        <v>1324</v>
      </c>
      <c r="K213" s="157" t="s">
        <v>1269</v>
      </c>
      <c r="L213" s="157" t="s">
        <v>1399</v>
      </c>
      <c r="M213" s="157" t="str">
        <f t="shared" si="8"/>
        <v>Contactor Switch - Negative - Safety Switch-Off Negative</v>
      </c>
      <c r="N213" s="157"/>
      <c r="O213" s="157"/>
      <c r="P213" s="159"/>
      <c r="Q213" s="157"/>
      <c r="R213" s="157"/>
      <c r="S213" s="157"/>
      <c r="T213" s="157"/>
      <c r="U213" s="159"/>
      <c r="V213" s="159"/>
      <c r="W213" s="159"/>
      <c r="X213" s="160"/>
      <c r="Y213" s="160"/>
      <c r="Z213" s="160"/>
      <c r="AA213" s="160"/>
    </row>
    <row r="214" spans="1:27" ht="18" customHeight="1" x14ac:dyDescent="0.25">
      <c r="A214" s="159">
        <v>222</v>
      </c>
      <c r="B214" s="157" t="s">
        <v>199</v>
      </c>
      <c r="C214" s="157" t="s">
        <v>468</v>
      </c>
      <c r="D214" s="159" t="s">
        <v>471</v>
      </c>
      <c r="E214" s="157" t="s">
        <v>469</v>
      </c>
      <c r="F214" s="157" t="s">
        <v>1264</v>
      </c>
      <c r="G214" s="157" t="s">
        <v>1321</v>
      </c>
      <c r="H214" s="157" t="s">
        <v>1382</v>
      </c>
      <c r="I214" s="157" t="s">
        <v>1398</v>
      </c>
      <c r="J214" s="157" t="s">
        <v>1324</v>
      </c>
      <c r="K214" s="157" t="s">
        <v>1269</v>
      </c>
      <c r="L214" s="157" t="s">
        <v>1399</v>
      </c>
      <c r="M214" s="157" t="str">
        <f t="shared" si="8"/>
        <v>Contactor Switch - Negative - Safety Switch-Off Negative</v>
      </c>
      <c r="N214" s="157"/>
      <c r="O214" s="157"/>
      <c r="P214" s="159"/>
      <c r="Q214" s="157"/>
      <c r="R214" s="157"/>
      <c r="S214" s="157"/>
      <c r="T214" s="157"/>
      <c r="U214" s="159"/>
      <c r="V214" s="159"/>
      <c r="W214" s="159"/>
      <c r="X214" s="160"/>
      <c r="Y214" s="160"/>
      <c r="Z214" s="160"/>
      <c r="AA214" s="160"/>
    </row>
    <row r="215" spans="1:27" ht="18" customHeight="1" x14ac:dyDescent="0.25">
      <c r="A215" s="159">
        <v>224</v>
      </c>
      <c r="B215" s="157" t="s">
        <v>63</v>
      </c>
      <c r="C215" s="157" t="s">
        <v>64</v>
      </c>
      <c r="D215" s="159" t="s">
        <v>326</v>
      </c>
      <c r="E215" s="157" t="s">
        <v>324</v>
      </c>
      <c r="F215" s="157" t="s">
        <v>1381</v>
      </c>
      <c r="G215" s="157" t="s">
        <v>1321</v>
      </c>
      <c r="H215" s="157" t="s">
        <v>1322</v>
      </c>
      <c r="I215" s="157" t="s">
        <v>1128</v>
      </c>
      <c r="J215" s="157" t="s">
        <v>1324</v>
      </c>
      <c r="K215" s="157" t="s">
        <v>1274</v>
      </c>
      <c r="L215" s="157" t="s">
        <v>1400</v>
      </c>
      <c r="M215" s="157" t="str">
        <f t="shared" si="8"/>
        <v>Fast Charging Control Unit - Charging Management</v>
      </c>
      <c r="N215" s="157"/>
      <c r="O215" s="157"/>
      <c r="P215" s="159"/>
      <c r="Q215" s="157"/>
      <c r="R215" s="157"/>
      <c r="S215" s="157"/>
      <c r="T215" s="157"/>
      <c r="U215" s="159"/>
      <c r="V215" s="159"/>
      <c r="W215" s="159"/>
      <c r="X215" s="160"/>
      <c r="Y215" s="160"/>
      <c r="Z215" s="160"/>
      <c r="AA215" s="160"/>
    </row>
    <row r="216" spans="1:27" ht="18" customHeight="1" x14ac:dyDescent="0.25">
      <c r="A216" s="159">
        <v>224</v>
      </c>
      <c r="B216" s="157" t="s">
        <v>63</v>
      </c>
      <c r="C216" s="157" t="s">
        <v>64</v>
      </c>
      <c r="D216" s="159" t="s">
        <v>755</v>
      </c>
      <c r="E216" s="157" t="s">
        <v>753</v>
      </c>
      <c r="F216" s="157"/>
      <c r="G216" s="157" t="s">
        <v>1321</v>
      </c>
      <c r="H216" s="157" t="s">
        <v>1322</v>
      </c>
      <c r="I216" s="157" t="s">
        <v>1128</v>
      </c>
      <c r="J216" s="157" t="s">
        <v>1324</v>
      </c>
      <c r="K216" s="157" t="s">
        <v>1274</v>
      </c>
      <c r="L216" s="157" t="s">
        <v>1400</v>
      </c>
      <c r="M216" s="157" t="str">
        <f t="shared" si="8"/>
        <v>Fast Charging Control Unit - Charging Management</v>
      </c>
      <c r="N216" s="157"/>
      <c r="O216" s="157"/>
      <c r="P216" s="159"/>
      <c r="Q216" s="157"/>
      <c r="R216" s="157"/>
      <c r="S216" s="157"/>
      <c r="T216" s="157"/>
      <c r="U216" s="159"/>
      <c r="V216" s="159"/>
      <c r="W216" s="159"/>
      <c r="X216" s="160"/>
      <c r="Y216" s="160"/>
      <c r="Z216" s="160"/>
      <c r="AA216" s="160"/>
    </row>
    <row r="217" spans="1:27" ht="18" customHeight="1" x14ac:dyDescent="0.25">
      <c r="A217" s="159">
        <v>224</v>
      </c>
      <c r="B217" s="157" t="s">
        <v>63</v>
      </c>
      <c r="C217" s="157" t="s">
        <v>64</v>
      </c>
      <c r="D217" s="159" t="s">
        <v>758</v>
      </c>
      <c r="E217" s="157" t="s">
        <v>756</v>
      </c>
      <c r="F217" s="157" t="s">
        <v>1277</v>
      </c>
      <c r="G217" s="157" t="s">
        <v>1321</v>
      </c>
      <c r="H217" s="157" t="s">
        <v>1322</v>
      </c>
      <c r="I217" s="157" t="s">
        <v>1128</v>
      </c>
      <c r="J217" s="157" t="s">
        <v>1324</v>
      </c>
      <c r="K217" s="157" t="s">
        <v>1274</v>
      </c>
      <c r="L217" s="157" t="s">
        <v>1400</v>
      </c>
      <c r="M217" s="157" t="str">
        <f t="shared" si="8"/>
        <v>Fast Charging Control Unit - Charging Management</v>
      </c>
      <c r="N217" s="157"/>
      <c r="O217" s="157"/>
      <c r="P217" s="159"/>
      <c r="Q217" s="157"/>
      <c r="R217" s="157"/>
      <c r="S217" s="157"/>
      <c r="T217" s="157"/>
      <c r="U217" s="159"/>
      <c r="V217" s="159"/>
      <c r="W217" s="159"/>
      <c r="X217" s="160"/>
      <c r="Y217" s="160"/>
      <c r="Z217" s="160"/>
      <c r="AA217" s="160"/>
    </row>
    <row r="218" spans="1:27" ht="18" customHeight="1" x14ac:dyDescent="0.25">
      <c r="A218" s="159">
        <v>224</v>
      </c>
      <c r="B218" s="157" t="s">
        <v>199</v>
      </c>
      <c r="C218" s="157" t="s">
        <v>485</v>
      </c>
      <c r="D218" s="159" t="s">
        <v>488</v>
      </c>
      <c r="E218" s="157" t="s">
        <v>1319</v>
      </c>
      <c r="F218" s="157" t="s">
        <v>1320</v>
      </c>
      <c r="G218" s="157" t="s">
        <v>1321</v>
      </c>
      <c r="H218" s="157" t="s">
        <v>1322</v>
      </c>
      <c r="I218" s="157" t="s">
        <v>1128</v>
      </c>
      <c r="J218" s="157" t="s">
        <v>1324</v>
      </c>
      <c r="K218" s="157" t="s">
        <v>1274</v>
      </c>
      <c r="L218" s="157" t="s">
        <v>1400</v>
      </c>
      <c r="M218" s="157" t="str">
        <f t="shared" si="8"/>
        <v>Fast Charging Control Unit - Charging Management</v>
      </c>
      <c r="N218" s="157"/>
      <c r="O218" s="157"/>
      <c r="P218" s="159"/>
      <c r="Q218" s="157"/>
      <c r="R218" s="157"/>
      <c r="S218" s="157"/>
      <c r="T218" s="157"/>
      <c r="U218" s="159"/>
      <c r="V218" s="159"/>
      <c r="W218" s="159"/>
      <c r="X218" s="160"/>
      <c r="Y218" s="160"/>
      <c r="Z218" s="160"/>
      <c r="AA218" s="160"/>
    </row>
    <row r="219" spans="1:27" ht="18" customHeight="1" x14ac:dyDescent="0.25">
      <c r="A219" s="159">
        <v>224</v>
      </c>
      <c r="B219" s="157" t="s">
        <v>199</v>
      </c>
      <c r="C219" s="157" t="s">
        <v>485</v>
      </c>
      <c r="D219" s="159" t="s">
        <v>630</v>
      </c>
      <c r="E219" s="157" t="s">
        <v>628</v>
      </c>
      <c r="F219" s="157"/>
      <c r="G219" s="157" t="s">
        <v>1321</v>
      </c>
      <c r="H219" s="157" t="s">
        <v>1322</v>
      </c>
      <c r="I219" s="157" t="s">
        <v>1128</v>
      </c>
      <c r="J219" s="157" t="s">
        <v>1324</v>
      </c>
      <c r="K219" s="157" t="s">
        <v>1274</v>
      </c>
      <c r="L219" s="157" t="s">
        <v>1400</v>
      </c>
      <c r="M219" s="157" t="str">
        <f t="shared" si="8"/>
        <v>Fast Charging Control Unit - Charging Management</v>
      </c>
      <c r="N219" s="157"/>
      <c r="O219" s="157"/>
      <c r="P219" s="159"/>
      <c r="Q219" s="157"/>
      <c r="R219" s="157"/>
      <c r="S219" s="157"/>
      <c r="T219" s="157"/>
      <c r="U219" s="159"/>
      <c r="V219" s="159"/>
      <c r="W219" s="159"/>
      <c r="X219" s="160"/>
      <c r="Y219" s="160"/>
      <c r="Z219" s="160"/>
      <c r="AA219" s="160"/>
    </row>
    <row r="220" spans="1:27" ht="18" customHeight="1" x14ac:dyDescent="0.25">
      <c r="A220" s="159">
        <v>224</v>
      </c>
      <c r="B220" s="157" t="s">
        <v>199</v>
      </c>
      <c r="C220" s="157" t="s">
        <v>485</v>
      </c>
      <c r="D220" s="159" t="s">
        <v>633</v>
      </c>
      <c r="E220" s="157" t="s">
        <v>1325</v>
      </c>
      <c r="F220" s="157"/>
      <c r="G220" s="157" t="s">
        <v>1321</v>
      </c>
      <c r="H220" s="157" t="s">
        <v>1322</v>
      </c>
      <c r="I220" s="157" t="s">
        <v>1128</v>
      </c>
      <c r="J220" s="157" t="s">
        <v>1324</v>
      </c>
      <c r="K220" s="157" t="s">
        <v>1274</v>
      </c>
      <c r="L220" s="157" t="s">
        <v>1400</v>
      </c>
      <c r="M220" s="157" t="str">
        <f t="shared" si="8"/>
        <v>Fast Charging Control Unit - Charging Management</v>
      </c>
      <c r="N220" s="157"/>
      <c r="O220" s="157"/>
      <c r="P220" s="159"/>
      <c r="Q220" s="157"/>
      <c r="R220" s="157"/>
      <c r="S220" s="157"/>
      <c r="T220" s="157"/>
      <c r="U220" s="159"/>
      <c r="V220" s="159"/>
      <c r="W220" s="159"/>
      <c r="X220" s="160"/>
      <c r="Y220" s="160"/>
      <c r="Z220" s="160"/>
      <c r="AA220" s="160"/>
    </row>
    <row r="221" spans="1:27" ht="18" customHeight="1" x14ac:dyDescent="0.25">
      <c r="A221" s="159">
        <v>224</v>
      </c>
      <c r="B221" s="157" t="s">
        <v>199</v>
      </c>
      <c r="C221" s="157" t="s">
        <v>485</v>
      </c>
      <c r="D221" s="159" t="s">
        <v>639</v>
      </c>
      <c r="E221" s="157" t="s">
        <v>637</v>
      </c>
      <c r="F221" s="157"/>
      <c r="G221" s="157" t="s">
        <v>1321</v>
      </c>
      <c r="H221" s="157" t="s">
        <v>1322</v>
      </c>
      <c r="I221" s="157" t="s">
        <v>1128</v>
      </c>
      <c r="J221" s="157" t="s">
        <v>1324</v>
      </c>
      <c r="K221" s="157" t="s">
        <v>1274</v>
      </c>
      <c r="L221" s="157" t="s">
        <v>1400</v>
      </c>
      <c r="M221" s="157" t="str">
        <f t="shared" si="8"/>
        <v>Fast Charging Control Unit - Charging Management</v>
      </c>
      <c r="N221" s="157"/>
      <c r="O221" s="157"/>
      <c r="P221" s="159"/>
      <c r="Q221" s="157"/>
      <c r="R221" s="157"/>
      <c r="S221" s="157"/>
      <c r="T221" s="157"/>
      <c r="U221" s="159"/>
      <c r="V221" s="159"/>
      <c r="W221" s="159"/>
      <c r="X221" s="160"/>
      <c r="Y221" s="160"/>
      <c r="Z221" s="160"/>
      <c r="AA221" s="160"/>
    </row>
    <row r="222" spans="1:27" ht="18" customHeight="1" x14ac:dyDescent="0.25">
      <c r="A222" s="159">
        <v>224</v>
      </c>
      <c r="B222" s="157" t="s">
        <v>199</v>
      </c>
      <c r="C222" s="157" t="s">
        <v>485</v>
      </c>
      <c r="D222" s="159" t="s">
        <v>814</v>
      </c>
      <c r="E222" s="157" t="s">
        <v>812</v>
      </c>
      <c r="F222" s="157"/>
      <c r="G222" s="157" t="s">
        <v>1321</v>
      </c>
      <c r="H222" s="157" t="s">
        <v>1322</v>
      </c>
      <c r="I222" s="157" t="s">
        <v>1128</v>
      </c>
      <c r="J222" s="157" t="s">
        <v>1324</v>
      </c>
      <c r="K222" s="157" t="s">
        <v>1274</v>
      </c>
      <c r="L222" s="157" t="s">
        <v>1400</v>
      </c>
      <c r="M222" s="157" t="str">
        <f t="shared" si="8"/>
        <v>Fast Charging Control Unit - Charging Management</v>
      </c>
      <c r="N222" s="157"/>
      <c r="O222" s="157"/>
      <c r="P222" s="159"/>
      <c r="Q222" s="157"/>
      <c r="R222" s="157"/>
      <c r="S222" s="157"/>
      <c r="T222" s="157"/>
      <c r="U222" s="159"/>
      <c r="V222" s="159"/>
      <c r="W222" s="159"/>
      <c r="X222" s="160"/>
      <c r="Y222" s="160"/>
      <c r="Z222" s="160"/>
      <c r="AA222" s="160"/>
    </row>
    <row r="223" spans="1:27" ht="18" customHeight="1" x14ac:dyDescent="0.25">
      <c r="A223" s="159">
        <v>224</v>
      </c>
      <c r="B223" s="157" t="s">
        <v>199</v>
      </c>
      <c r="C223" s="157" t="s">
        <v>485</v>
      </c>
      <c r="D223" s="159" t="s">
        <v>817</v>
      </c>
      <c r="E223" s="157" t="s">
        <v>815</v>
      </c>
      <c r="F223" s="157"/>
      <c r="G223" s="157" t="s">
        <v>1321</v>
      </c>
      <c r="H223" s="157" t="s">
        <v>1322</v>
      </c>
      <c r="I223" s="157" t="s">
        <v>1128</v>
      </c>
      <c r="J223" s="157" t="s">
        <v>1324</v>
      </c>
      <c r="K223" s="157" t="s">
        <v>1274</v>
      </c>
      <c r="L223" s="157" t="s">
        <v>1400</v>
      </c>
      <c r="M223" s="157" t="str">
        <f t="shared" si="8"/>
        <v>Fast Charging Control Unit - Charging Management</v>
      </c>
      <c r="N223" s="157"/>
      <c r="O223" s="157"/>
      <c r="P223" s="159"/>
      <c r="Q223" s="157"/>
      <c r="R223" s="157"/>
      <c r="S223" s="157"/>
      <c r="T223" s="157"/>
      <c r="U223" s="159"/>
      <c r="V223" s="159"/>
      <c r="W223" s="159"/>
      <c r="X223" s="160"/>
      <c r="Y223" s="160"/>
      <c r="Z223" s="160"/>
      <c r="AA223" s="160"/>
    </row>
    <row r="224" spans="1:27" ht="18" customHeight="1" x14ac:dyDescent="0.25">
      <c r="A224" s="159">
        <v>224</v>
      </c>
      <c r="B224" s="157" t="s">
        <v>199</v>
      </c>
      <c r="C224" s="157" t="s">
        <v>485</v>
      </c>
      <c r="D224" s="159" t="s">
        <v>942</v>
      </c>
      <c r="E224" s="157" t="s">
        <v>940</v>
      </c>
      <c r="F224" s="157" t="s">
        <v>1264</v>
      </c>
      <c r="G224" s="157" t="s">
        <v>1321</v>
      </c>
      <c r="H224" s="157" t="s">
        <v>1322</v>
      </c>
      <c r="I224" s="157" t="s">
        <v>1128</v>
      </c>
      <c r="J224" s="157" t="s">
        <v>1324</v>
      </c>
      <c r="K224" s="157" t="s">
        <v>1274</v>
      </c>
      <c r="L224" s="157" t="s">
        <v>1400</v>
      </c>
      <c r="M224" s="157" t="str">
        <f t="shared" si="8"/>
        <v>Fast Charging Control Unit - Charging Management</v>
      </c>
      <c r="N224" s="157"/>
      <c r="O224" s="157"/>
      <c r="P224" s="159"/>
      <c r="Q224" s="157"/>
      <c r="R224" s="157"/>
      <c r="S224" s="157"/>
      <c r="T224" s="157"/>
      <c r="U224" s="159"/>
      <c r="V224" s="159"/>
      <c r="W224" s="159"/>
      <c r="X224" s="160"/>
      <c r="Y224" s="160"/>
      <c r="Z224" s="160"/>
      <c r="AA224" s="160"/>
    </row>
    <row r="225" spans="1:27" ht="18" customHeight="1" x14ac:dyDescent="0.25">
      <c r="A225" s="159">
        <v>224</v>
      </c>
      <c r="B225" s="157" t="s">
        <v>199</v>
      </c>
      <c r="C225" s="157" t="s">
        <v>485</v>
      </c>
      <c r="D225" s="159" t="s">
        <v>967</v>
      </c>
      <c r="E225" s="157" t="s">
        <v>965</v>
      </c>
      <c r="F225" s="157"/>
      <c r="G225" s="157" t="s">
        <v>1321</v>
      </c>
      <c r="H225" s="157" t="s">
        <v>1322</v>
      </c>
      <c r="I225" s="157" t="s">
        <v>1128</v>
      </c>
      <c r="J225" s="157" t="s">
        <v>1324</v>
      </c>
      <c r="K225" s="157" t="s">
        <v>1274</v>
      </c>
      <c r="L225" s="157" t="s">
        <v>1400</v>
      </c>
      <c r="M225" s="157" t="str">
        <f t="shared" si="8"/>
        <v>Fast Charging Control Unit - Charging Management</v>
      </c>
      <c r="N225" s="157"/>
      <c r="O225" s="157"/>
      <c r="P225" s="159"/>
      <c r="Q225" s="157"/>
      <c r="R225" s="157"/>
      <c r="S225" s="157"/>
      <c r="T225" s="157"/>
      <c r="U225" s="159"/>
      <c r="V225" s="159"/>
      <c r="W225" s="159"/>
      <c r="X225" s="160"/>
      <c r="Y225" s="160"/>
      <c r="Z225" s="160"/>
      <c r="AA225" s="160"/>
    </row>
    <row r="226" spans="1:27" ht="18" customHeight="1" x14ac:dyDescent="0.25">
      <c r="A226" s="159">
        <v>224</v>
      </c>
      <c r="B226" s="157" t="s">
        <v>199</v>
      </c>
      <c r="C226" s="157" t="s">
        <v>485</v>
      </c>
      <c r="D226" s="159" t="s">
        <v>1130</v>
      </c>
      <c r="E226" s="157" t="s">
        <v>1128</v>
      </c>
      <c r="F226" s="157"/>
      <c r="G226" s="157" t="s">
        <v>1321</v>
      </c>
      <c r="H226" s="157" t="s">
        <v>1322</v>
      </c>
      <c r="I226" s="157" t="s">
        <v>1128</v>
      </c>
      <c r="J226" s="157" t="s">
        <v>1324</v>
      </c>
      <c r="K226" s="157" t="s">
        <v>1274</v>
      </c>
      <c r="L226" s="157" t="s">
        <v>1400</v>
      </c>
      <c r="M226" s="157" t="str">
        <f t="shared" si="8"/>
        <v>Fast Charging Control Unit - Charging Management</v>
      </c>
      <c r="N226" s="157"/>
      <c r="O226" s="157"/>
      <c r="P226" s="159"/>
      <c r="Q226" s="157"/>
      <c r="R226" s="157"/>
      <c r="S226" s="157"/>
      <c r="T226" s="157"/>
      <c r="U226" s="159"/>
      <c r="V226" s="159"/>
      <c r="W226" s="159"/>
      <c r="X226" s="160"/>
      <c r="Y226" s="160"/>
      <c r="Z226" s="160"/>
      <c r="AA226" s="160"/>
    </row>
    <row r="227" spans="1:27" ht="18" customHeight="1" x14ac:dyDescent="0.25">
      <c r="A227" s="159">
        <v>224</v>
      </c>
      <c r="B227" s="157" t="s">
        <v>199</v>
      </c>
      <c r="C227" s="157" t="s">
        <v>485</v>
      </c>
      <c r="D227" s="159" t="s">
        <v>1139</v>
      </c>
      <c r="E227" s="157" t="s">
        <v>1137</v>
      </c>
      <c r="F227" s="157"/>
      <c r="G227" s="157" t="s">
        <v>1321</v>
      </c>
      <c r="H227" s="157" t="s">
        <v>1322</v>
      </c>
      <c r="I227" s="157" t="s">
        <v>1128</v>
      </c>
      <c r="J227" s="157" t="s">
        <v>1324</v>
      </c>
      <c r="K227" s="157" t="s">
        <v>1274</v>
      </c>
      <c r="L227" s="157" t="s">
        <v>1400</v>
      </c>
      <c r="M227" s="157" t="str">
        <f t="shared" si="8"/>
        <v>Fast Charging Control Unit - Charging Management</v>
      </c>
      <c r="N227" s="157"/>
      <c r="O227" s="157"/>
      <c r="P227" s="159"/>
      <c r="Q227" s="157"/>
      <c r="R227" s="157"/>
      <c r="S227" s="157"/>
      <c r="T227" s="157"/>
      <c r="U227" s="159"/>
      <c r="V227" s="159"/>
      <c r="W227" s="159"/>
      <c r="X227" s="160"/>
      <c r="Y227" s="160"/>
      <c r="Z227" s="160"/>
      <c r="AA227" s="160"/>
    </row>
    <row r="228" spans="1:27" ht="18" customHeight="1" x14ac:dyDescent="0.25">
      <c r="A228" s="159">
        <v>224</v>
      </c>
      <c r="B228" s="157" t="s">
        <v>199</v>
      </c>
      <c r="C228" s="157" t="s">
        <v>485</v>
      </c>
      <c r="D228" s="159" t="s">
        <v>1154</v>
      </c>
      <c r="E228" s="157" t="s">
        <v>1152</v>
      </c>
      <c r="F228" s="157"/>
      <c r="G228" s="157" t="s">
        <v>1321</v>
      </c>
      <c r="H228" s="157" t="s">
        <v>1322</v>
      </c>
      <c r="I228" s="157" t="s">
        <v>1128</v>
      </c>
      <c r="J228" s="157" t="s">
        <v>1324</v>
      </c>
      <c r="K228" s="157" t="s">
        <v>1274</v>
      </c>
      <c r="L228" s="157" t="s">
        <v>1400</v>
      </c>
      <c r="M228" s="157" t="str">
        <f t="shared" si="8"/>
        <v>Fast Charging Control Unit - Charging Management</v>
      </c>
      <c r="N228" s="157"/>
      <c r="O228" s="157"/>
      <c r="P228" s="159"/>
      <c r="Q228" s="157"/>
      <c r="R228" s="157"/>
      <c r="S228" s="157"/>
      <c r="T228" s="157"/>
      <c r="U228" s="159"/>
      <c r="V228" s="159"/>
      <c r="W228" s="159"/>
      <c r="X228" s="160"/>
      <c r="Y228" s="160"/>
      <c r="Z228" s="160"/>
      <c r="AA228" s="160"/>
    </row>
    <row r="229" spans="1:27" ht="18" customHeight="1" x14ac:dyDescent="0.25">
      <c r="A229" s="159">
        <v>224</v>
      </c>
      <c r="B229" s="157" t="s">
        <v>318</v>
      </c>
      <c r="C229" s="157" t="s">
        <v>764</v>
      </c>
      <c r="D229" s="159" t="s">
        <v>773</v>
      </c>
      <c r="E229" s="157" t="s">
        <v>771</v>
      </c>
      <c r="F229" s="157" t="s">
        <v>1010</v>
      </c>
      <c r="G229" s="157" t="s">
        <v>1321</v>
      </c>
      <c r="H229" s="157" t="s">
        <v>1322</v>
      </c>
      <c r="I229" s="157" t="s">
        <v>1128</v>
      </c>
      <c r="J229" s="157" t="s">
        <v>1324</v>
      </c>
      <c r="K229" s="157" t="s">
        <v>1274</v>
      </c>
      <c r="L229" s="157" t="s">
        <v>1400</v>
      </c>
      <c r="M229" s="157" t="str">
        <f t="shared" si="8"/>
        <v>Fast Charging Control Unit - Charging Management</v>
      </c>
      <c r="N229" s="157"/>
      <c r="O229" s="157"/>
      <c r="P229" s="159"/>
      <c r="Q229" s="157"/>
      <c r="R229" s="157"/>
      <c r="S229" s="157"/>
      <c r="T229" s="157"/>
      <c r="U229" s="159"/>
      <c r="V229" s="159"/>
      <c r="W229" s="159"/>
      <c r="X229" s="160"/>
      <c r="Y229" s="160"/>
      <c r="Z229" s="160"/>
      <c r="AA229" s="160"/>
    </row>
    <row r="230" spans="1:27" ht="18" customHeight="1" x14ac:dyDescent="0.25">
      <c r="A230" s="159">
        <v>225</v>
      </c>
      <c r="B230" s="157" t="s">
        <v>63</v>
      </c>
      <c r="C230" s="157" t="s">
        <v>64</v>
      </c>
      <c r="D230" s="159" t="s">
        <v>326</v>
      </c>
      <c r="E230" s="157" t="s">
        <v>324</v>
      </c>
      <c r="F230" s="157" t="s">
        <v>1381</v>
      </c>
      <c r="G230" s="157" t="s">
        <v>1321</v>
      </c>
      <c r="H230" s="157" t="s">
        <v>1382</v>
      </c>
      <c r="I230" s="157" t="s">
        <v>1384</v>
      </c>
      <c r="J230" s="157" t="s">
        <v>1324</v>
      </c>
      <c r="K230" s="157" t="s">
        <v>1274</v>
      </c>
      <c r="L230" s="157" t="s">
        <v>1401</v>
      </c>
      <c r="M230" s="157" t="str">
        <f t="shared" si="8"/>
        <v>High Voltage Control Unit - Operation Management - Computing</v>
      </c>
      <c r="N230" s="157"/>
      <c r="O230" s="157"/>
      <c r="P230" s="159"/>
      <c r="Q230" s="157"/>
      <c r="R230" s="157"/>
      <c r="S230" s="157"/>
      <c r="T230" s="157"/>
      <c r="U230" s="159"/>
      <c r="V230" s="159"/>
      <c r="W230" s="159"/>
      <c r="X230" s="160"/>
      <c r="Y230" s="160"/>
      <c r="Z230" s="160"/>
      <c r="AA230" s="160"/>
    </row>
    <row r="231" spans="1:27" ht="18" customHeight="1" x14ac:dyDescent="0.25">
      <c r="A231" s="159">
        <v>225</v>
      </c>
      <c r="B231" s="157" t="s">
        <v>63</v>
      </c>
      <c r="C231" s="157" t="s">
        <v>64</v>
      </c>
      <c r="D231" s="159" t="s">
        <v>645</v>
      </c>
      <c r="E231" s="157" t="s">
        <v>643</v>
      </c>
      <c r="F231" s="157" t="s">
        <v>1275</v>
      </c>
      <c r="G231" s="157" t="s">
        <v>1321</v>
      </c>
      <c r="H231" s="157" t="s">
        <v>1382</v>
      </c>
      <c r="I231" s="157" t="s">
        <v>1384</v>
      </c>
      <c r="J231" s="157" t="s">
        <v>1324</v>
      </c>
      <c r="K231" s="157" t="s">
        <v>1274</v>
      </c>
      <c r="L231" s="157" t="s">
        <v>1401</v>
      </c>
      <c r="M231" s="157" t="str">
        <f t="shared" si="8"/>
        <v>High Voltage Control Unit - Operation Management - Computing</v>
      </c>
      <c r="N231" s="157"/>
      <c r="O231" s="157"/>
      <c r="P231" s="159"/>
      <c r="Q231" s="157"/>
      <c r="R231" s="157"/>
      <c r="S231" s="157"/>
      <c r="T231" s="157"/>
      <c r="U231" s="159"/>
      <c r="V231" s="159"/>
      <c r="W231" s="159"/>
      <c r="X231" s="160"/>
      <c r="Y231" s="160"/>
      <c r="Z231" s="160"/>
      <c r="AA231" s="160"/>
    </row>
    <row r="232" spans="1:27" ht="18" customHeight="1" x14ac:dyDescent="0.25">
      <c r="A232" s="159">
        <v>225</v>
      </c>
      <c r="B232" s="157" t="s">
        <v>63</v>
      </c>
      <c r="C232" s="157" t="s">
        <v>64</v>
      </c>
      <c r="D232" s="159" t="s">
        <v>755</v>
      </c>
      <c r="E232" s="157" t="s">
        <v>753</v>
      </c>
      <c r="F232" s="157"/>
      <c r="G232" s="157" t="s">
        <v>1321</v>
      </c>
      <c r="H232" s="157" t="s">
        <v>1382</v>
      </c>
      <c r="I232" s="157" t="s">
        <v>1384</v>
      </c>
      <c r="J232" s="157" t="s">
        <v>1324</v>
      </c>
      <c r="K232" s="157" t="s">
        <v>1274</v>
      </c>
      <c r="L232" s="157" t="s">
        <v>1401</v>
      </c>
      <c r="M232" s="157" t="str">
        <f t="shared" si="8"/>
        <v>High Voltage Control Unit - Operation Management - Computing</v>
      </c>
      <c r="N232" s="157"/>
      <c r="O232" s="157"/>
      <c r="P232" s="159"/>
      <c r="Q232" s="157"/>
      <c r="R232" s="157"/>
      <c r="S232" s="157"/>
      <c r="T232" s="157"/>
      <c r="U232" s="159"/>
      <c r="V232" s="159"/>
      <c r="W232" s="159"/>
      <c r="X232" s="160"/>
      <c r="Y232" s="160"/>
      <c r="Z232" s="160"/>
      <c r="AA232" s="160"/>
    </row>
    <row r="233" spans="1:27" ht="18" customHeight="1" x14ac:dyDescent="0.25">
      <c r="A233" s="159">
        <v>225</v>
      </c>
      <c r="B233" s="157" t="s">
        <v>63</v>
      </c>
      <c r="C233" s="157" t="s">
        <v>64</v>
      </c>
      <c r="D233" s="159" t="s">
        <v>758</v>
      </c>
      <c r="E233" s="157" t="s">
        <v>756</v>
      </c>
      <c r="F233" s="157" t="s">
        <v>1277</v>
      </c>
      <c r="G233" s="157" t="s">
        <v>1321</v>
      </c>
      <c r="H233" s="157" t="s">
        <v>1382</v>
      </c>
      <c r="I233" s="157" t="s">
        <v>1384</v>
      </c>
      <c r="J233" s="157" t="s">
        <v>1324</v>
      </c>
      <c r="K233" s="157" t="s">
        <v>1274</v>
      </c>
      <c r="L233" s="157" t="s">
        <v>1401</v>
      </c>
      <c r="M233" s="157" t="str">
        <f t="shared" si="8"/>
        <v>High Voltage Control Unit - Operation Management - Computing</v>
      </c>
      <c r="N233" s="157"/>
      <c r="O233" s="157"/>
      <c r="P233" s="159"/>
      <c r="Q233" s="157"/>
      <c r="R233" s="157"/>
      <c r="S233" s="157"/>
      <c r="T233" s="157"/>
      <c r="U233" s="159"/>
      <c r="V233" s="159"/>
      <c r="W233" s="159"/>
      <c r="X233" s="160"/>
      <c r="Y233" s="160"/>
      <c r="Z233" s="160"/>
      <c r="AA233" s="160"/>
    </row>
    <row r="234" spans="1:27" ht="18" customHeight="1" x14ac:dyDescent="0.25">
      <c r="A234" s="159">
        <v>225</v>
      </c>
      <c r="B234" s="157" t="s">
        <v>63</v>
      </c>
      <c r="C234" s="157" t="s">
        <v>64</v>
      </c>
      <c r="D234" s="159" t="s">
        <v>770</v>
      </c>
      <c r="E234" s="157" t="s">
        <v>768</v>
      </c>
      <c r="F234" s="157" t="s">
        <v>1275</v>
      </c>
      <c r="G234" s="157" t="s">
        <v>1321</v>
      </c>
      <c r="H234" s="157" t="s">
        <v>1382</v>
      </c>
      <c r="I234" s="157" t="s">
        <v>1384</v>
      </c>
      <c r="J234" s="157" t="s">
        <v>1324</v>
      </c>
      <c r="K234" s="157" t="s">
        <v>1274</v>
      </c>
      <c r="L234" s="157" t="s">
        <v>1401</v>
      </c>
      <c r="M234" s="157" t="str">
        <f t="shared" si="8"/>
        <v>High Voltage Control Unit - Operation Management - Computing</v>
      </c>
      <c r="N234" s="157"/>
      <c r="O234" s="157"/>
      <c r="P234" s="159"/>
      <c r="Q234" s="157"/>
      <c r="R234" s="157"/>
      <c r="S234" s="157"/>
      <c r="T234" s="157"/>
      <c r="U234" s="159"/>
      <c r="V234" s="159"/>
      <c r="W234" s="159"/>
      <c r="X234" s="160"/>
      <c r="Y234" s="160"/>
      <c r="Z234" s="160"/>
      <c r="AA234" s="160"/>
    </row>
    <row r="235" spans="1:27" ht="18" customHeight="1" x14ac:dyDescent="0.25">
      <c r="A235" s="159">
        <v>225</v>
      </c>
      <c r="B235" s="157" t="s">
        <v>63</v>
      </c>
      <c r="C235" s="157" t="s">
        <v>64</v>
      </c>
      <c r="D235" s="159" t="s">
        <v>872</v>
      </c>
      <c r="E235" s="157" t="s">
        <v>870</v>
      </c>
      <c r="F235" s="157" t="s">
        <v>1381</v>
      </c>
      <c r="G235" s="157" t="s">
        <v>1321</v>
      </c>
      <c r="H235" s="157" t="s">
        <v>1382</v>
      </c>
      <c r="I235" s="157" t="s">
        <v>1384</v>
      </c>
      <c r="J235" s="157" t="s">
        <v>1324</v>
      </c>
      <c r="K235" s="157" t="s">
        <v>1274</v>
      </c>
      <c r="L235" s="157" t="s">
        <v>1401</v>
      </c>
      <c r="M235" s="157" t="str">
        <f t="shared" si="8"/>
        <v>High Voltage Control Unit - Operation Management - Computing</v>
      </c>
      <c r="N235" s="157"/>
      <c r="O235" s="157"/>
      <c r="P235" s="159"/>
      <c r="Q235" s="157"/>
      <c r="R235" s="157"/>
      <c r="S235" s="157"/>
      <c r="T235" s="157"/>
      <c r="U235" s="159"/>
      <c r="V235" s="159"/>
      <c r="W235" s="159"/>
      <c r="X235" s="160"/>
      <c r="Y235" s="160"/>
      <c r="Z235" s="160"/>
      <c r="AA235" s="160"/>
    </row>
    <row r="236" spans="1:27" ht="18" customHeight="1" x14ac:dyDescent="0.25">
      <c r="A236" s="159">
        <v>225</v>
      </c>
      <c r="B236" s="157" t="s">
        <v>22</v>
      </c>
      <c r="C236" s="157" t="s">
        <v>103</v>
      </c>
      <c r="D236" s="159" t="s">
        <v>776</v>
      </c>
      <c r="E236" s="157" t="s">
        <v>774</v>
      </c>
      <c r="F236" s="157"/>
      <c r="G236" s="157" t="s">
        <v>1321</v>
      </c>
      <c r="H236" s="157" t="s">
        <v>1382</v>
      </c>
      <c r="I236" s="157" t="s">
        <v>1384</v>
      </c>
      <c r="J236" s="157" t="s">
        <v>1324</v>
      </c>
      <c r="K236" s="157" t="s">
        <v>1274</v>
      </c>
      <c r="L236" s="157" t="s">
        <v>1401</v>
      </c>
      <c r="M236" s="157" t="str">
        <f t="shared" si="8"/>
        <v>High Voltage Control Unit - Operation Management - Computing</v>
      </c>
      <c r="N236" s="157"/>
      <c r="O236" s="157"/>
      <c r="P236" s="159"/>
      <c r="Q236" s="157"/>
      <c r="R236" s="157"/>
      <c r="S236" s="157"/>
      <c r="T236" s="157"/>
      <c r="U236" s="159"/>
      <c r="V236" s="159"/>
      <c r="W236" s="159"/>
      <c r="X236" s="160"/>
      <c r="Y236" s="160"/>
      <c r="Z236" s="160"/>
      <c r="AA236" s="160"/>
    </row>
    <row r="237" spans="1:27" ht="18" customHeight="1" x14ac:dyDescent="0.25">
      <c r="A237" s="159">
        <v>225</v>
      </c>
      <c r="B237" s="157" t="s">
        <v>199</v>
      </c>
      <c r="C237" s="157" t="s">
        <v>200</v>
      </c>
      <c r="D237" s="159" t="s">
        <v>203</v>
      </c>
      <c r="E237" s="157" t="s">
        <v>201</v>
      </c>
      <c r="F237" s="157" t="s">
        <v>1277</v>
      </c>
      <c r="G237" s="157" t="s">
        <v>1321</v>
      </c>
      <c r="H237" s="157" t="s">
        <v>1382</v>
      </c>
      <c r="I237" s="157" t="s">
        <v>1384</v>
      </c>
      <c r="J237" s="157" t="s">
        <v>1324</v>
      </c>
      <c r="K237" s="157" t="s">
        <v>1274</v>
      </c>
      <c r="L237" s="157" t="s">
        <v>1401</v>
      </c>
      <c r="M237" s="157" t="str">
        <f t="shared" si="8"/>
        <v>High Voltage Control Unit - Operation Management - Computing</v>
      </c>
      <c r="N237" s="157"/>
      <c r="O237" s="157"/>
      <c r="P237" s="159"/>
      <c r="Q237" s="157"/>
      <c r="R237" s="157"/>
      <c r="S237" s="157"/>
      <c r="T237" s="157"/>
      <c r="U237" s="159"/>
      <c r="V237" s="159"/>
      <c r="W237" s="159"/>
      <c r="X237" s="160"/>
      <c r="Y237" s="160"/>
      <c r="Z237" s="160"/>
      <c r="AA237" s="160"/>
    </row>
    <row r="238" spans="1:27" ht="18" customHeight="1" x14ac:dyDescent="0.25">
      <c r="A238" s="159">
        <v>225</v>
      </c>
      <c r="B238" s="157" t="s">
        <v>199</v>
      </c>
      <c r="C238" s="157" t="s">
        <v>200</v>
      </c>
      <c r="D238" s="159" t="s">
        <v>480</v>
      </c>
      <c r="E238" s="157" t="s">
        <v>478</v>
      </c>
      <c r="F238" s="157" t="s">
        <v>1277</v>
      </c>
      <c r="G238" s="157" t="s">
        <v>1321</v>
      </c>
      <c r="H238" s="157" t="s">
        <v>1382</v>
      </c>
      <c r="I238" s="157" t="s">
        <v>1384</v>
      </c>
      <c r="J238" s="157" t="s">
        <v>1324</v>
      </c>
      <c r="K238" s="157" t="s">
        <v>1274</v>
      </c>
      <c r="L238" s="157" t="s">
        <v>1401</v>
      </c>
      <c r="M238" s="157" t="str">
        <f t="shared" si="8"/>
        <v>High Voltage Control Unit - Operation Management - Computing</v>
      </c>
      <c r="N238" s="157"/>
      <c r="O238" s="157"/>
      <c r="P238" s="159"/>
      <c r="Q238" s="157"/>
      <c r="R238" s="157"/>
      <c r="S238" s="157"/>
      <c r="T238" s="157"/>
      <c r="U238" s="159"/>
      <c r="V238" s="159"/>
      <c r="W238" s="159"/>
      <c r="X238" s="160"/>
      <c r="Y238" s="160"/>
      <c r="Z238" s="160"/>
      <c r="AA238" s="160"/>
    </row>
    <row r="239" spans="1:27" ht="18" customHeight="1" x14ac:dyDescent="0.25">
      <c r="A239" s="159">
        <v>225</v>
      </c>
      <c r="B239" s="157" t="s">
        <v>199</v>
      </c>
      <c r="C239" s="157" t="s">
        <v>200</v>
      </c>
      <c r="D239" s="159" t="s">
        <v>484</v>
      </c>
      <c r="E239" s="157" t="s">
        <v>482</v>
      </c>
      <c r="F239" s="157" t="s">
        <v>1277</v>
      </c>
      <c r="G239" s="157" t="s">
        <v>1321</v>
      </c>
      <c r="H239" s="157" t="s">
        <v>1382</v>
      </c>
      <c r="I239" s="157" t="s">
        <v>1384</v>
      </c>
      <c r="J239" s="157" t="s">
        <v>1324</v>
      </c>
      <c r="K239" s="157" t="s">
        <v>1274</v>
      </c>
      <c r="L239" s="157" t="s">
        <v>1401</v>
      </c>
      <c r="M239" s="157" t="str">
        <f t="shared" si="8"/>
        <v>High Voltage Control Unit - Operation Management - Computing</v>
      </c>
      <c r="N239" s="157"/>
      <c r="O239" s="157"/>
      <c r="P239" s="159"/>
      <c r="Q239" s="157"/>
      <c r="R239" s="157"/>
      <c r="S239" s="157"/>
      <c r="T239" s="157"/>
      <c r="U239" s="159"/>
      <c r="V239" s="159"/>
      <c r="W239" s="159"/>
      <c r="X239" s="160"/>
      <c r="Y239" s="160"/>
      <c r="Z239" s="160"/>
      <c r="AA239" s="160"/>
    </row>
    <row r="240" spans="1:27" ht="18" customHeight="1" x14ac:dyDescent="0.25">
      <c r="A240" s="159">
        <v>225</v>
      </c>
      <c r="B240" s="157" t="s">
        <v>199</v>
      </c>
      <c r="C240" s="157" t="s">
        <v>200</v>
      </c>
      <c r="D240" s="159" t="s">
        <v>594</v>
      </c>
      <c r="E240" s="157" t="s">
        <v>592</v>
      </c>
      <c r="F240" s="157" t="s">
        <v>1277</v>
      </c>
      <c r="G240" s="157" t="s">
        <v>1321</v>
      </c>
      <c r="H240" s="157" t="s">
        <v>1382</v>
      </c>
      <c r="I240" s="157" t="s">
        <v>1384</v>
      </c>
      <c r="J240" s="157" t="s">
        <v>1324</v>
      </c>
      <c r="K240" s="157" t="s">
        <v>1274</v>
      </c>
      <c r="L240" s="157" t="s">
        <v>1401</v>
      </c>
      <c r="M240" s="157" t="str">
        <f t="shared" si="8"/>
        <v>High Voltage Control Unit - Operation Management - Computing</v>
      </c>
      <c r="N240" s="157"/>
      <c r="O240" s="157"/>
      <c r="P240" s="159"/>
      <c r="Q240" s="157"/>
      <c r="R240" s="157"/>
      <c r="S240" s="157"/>
      <c r="T240" s="157"/>
      <c r="U240" s="159"/>
      <c r="V240" s="159"/>
      <c r="W240" s="159"/>
      <c r="X240" s="160"/>
      <c r="Y240" s="160"/>
      <c r="Z240" s="160"/>
      <c r="AA240" s="160"/>
    </row>
    <row r="241" spans="1:27" ht="18" customHeight="1" x14ac:dyDescent="0.25">
      <c r="A241" s="159">
        <v>225</v>
      </c>
      <c r="B241" s="157" t="s">
        <v>199</v>
      </c>
      <c r="C241" s="157" t="s">
        <v>200</v>
      </c>
      <c r="D241" s="159" t="s">
        <v>654</v>
      </c>
      <c r="E241" s="157" t="s">
        <v>652</v>
      </c>
      <c r="F241" s="157" t="s">
        <v>1277</v>
      </c>
      <c r="G241" s="157" t="s">
        <v>1321</v>
      </c>
      <c r="H241" s="157" t="s">
        <v>1382</v>
      </c>
      <c r="I241" s="157" t="s">
        <v>1384</v>
      </c>
      <c r="J241" s="157" t="s">
        <v>1324</v>
      </c>
      <c r="K241" s="157" t="s">
        <v>1274</v>
      </c>
      <c r="L241" s="157" t="s">
        <v>1401</v>
      </c>
      <c r="M241" s="157" t="str">
        <f t="shared" si="8"/>
        <v>High Voltage Control Unit - Operation Management - Computing</v>
      </c>
      <c r="N241" s="157"/>
      <c r="O241" s="157"/>
      <c r="P241" s="159"/>
      <c r="Q241" s="157"/>
      <c r="R241" s="157"/>
      <c r="S241" s="157"/>
      <c r="T241" s="157"/>
      <c r="U241" s="159"/>
      <c r="V241" s="159"/>
      <c r="W241" s="159"/>
      <c r="X241" s="160"/>
      <c r="Y241" s="160"/>
      <c r="Z241" s="160"/>
      <c r="AA241" s="160"/>
    </row>
    <row r="242" spans="1:27" ht="18" customHeight="1" x14ac:dyDescent="0.25">
      <c r="A242" s="159">
        <v>225</v>
      </c>
      <c r="B242" s="157" t="s">
        <v>199</v>
      </c>
      <c r="C242" s="157" t="s">
        <v>200</v>
      </c>
      <c r="D242" s="159" t="s">
        <v>657</v>
      </c>
      <c r="E242" s="157" t="s">
        <v>655</v>
      </c>
      <c r="F242" s="157" t="s">
        <v>1277</v>
      </c>
      <c r="G242" s="157" t="s">
        <v>1321</v>
      </c>
      <c r="H242" s="157" t="s">
        <v>1382</v>
      </c>
      <c r="I242" s="157" t="s">
        <v>1384</v>
      </c>
      <c r="J242" s="157" t="s">
        <v>1324</v>
      </c>
      <c r="K242" s="157" t="s">
        <v>1274</v>
      </c>
      <c r="L242" s="157" t="s">
        <v>1401</v>
      </c>
      <c r="M242" s="157" t="str">
        <f t="shared" si="8"/>
        <v>High Voltage Control Unit - Operation Management - Computing</v>
      </c>
      <c r="N242" s="157"/>
      <c r="O242" s="157"/>
      <c r="P242" s="159"/>
      <c r="Q242" s="157"/>
      <c r="R242" s="157"/>
      <c r="S242" s="157"/>
      <c r="T242" s="157"/>
      <c r="U242" s="159"/>
      <c r="V242" s="159"/>
      <c r="W242" s="159"/>
      <c r="X242" s="160"/>
      <c r="Y242" s="160"/>
      <c r="Z242" s="160"/>
      <c r="AA242" s="160"/>
    </row>
    <row r="243" spans="1:27" ht="18" customHeight="1" x14ac:dyDescent="0.25">
      <c r="A243" s="159">
        <v>225</v>
      </c>
      <c r="B243" s="157" t="s">
        <v>199</v>
      </c>
      <c r="C243" s="157" t="s">
        <v>200</v>
      </c>
      <c r="D243" s="159" t="s">
        <v>660</v>
      </c>
      <c r="E243" s="157" t="s">
        <v>658</v>
      </c>
      <c r="F243" s="157" t="s">
        <v>1277</v>
      </c>
      <c r="G243" s="157" t="s">
        <v>1321</v>
      </c>
      <c r="H243" s="157" t="s">
        <v>1382</v>
      </c>
      <c r="I243" s="157" t="s">
        <v>1384</v>
      </c>
      <c r="J243" s="157" t="s">
        <v>1324</v>
      </c>
      <c r="K243" s="157" t="s">
        <v>1274</v>
      </c>
      <c r="L243" s="157" t="s">
        <v>1401</v>
      </c>
      <c r="M243" s="157" t="str">
        <f t="shared" si="8"/>
        <v>High Voltage Control Unit - Operation Management - Computing</v>
      </c>
      <c r="N243" s="157"/>
      <c r="O243" s="157"/>
      <c r="P243" s="159"/>
      <c r="Q243" s="157"/>
      <c r="R243" s="157"/>
      <c r="S243" s="157"/>
      <c r="T243" s="157"/>
      <c r="U243" s="159"/>
      <c r="V243" s="159"/>
      <c r="W243" s="159"/>
      <c r="X243" s="160"/>
      <c r="Y243" s="160"/>
      <c r="Z243" s="160"/>
      <c r="AA243" s="160"/>
    </row>
    <row r="244" spans="1:27" ht="18" customHeight="1" x14ac:dyDescent="0.25">
      <c r="A244" s="159">
        <v>225</v>
      </c>
      <c r="B244" s="157" t="s">
        <v>199</v>
      </c>
      <c r="C244" s="157" t="s">
        <v>200</v>
      </c>
      <c r="D244" s="159" t="s">
        <v>683</v>
      </c>
      <c r="E244" s="157" t="s">
        <v>681</v>
      </c>
      <c r="F244" s="157" t="s">
        <v>1264</v>
      </c>
      <c r="G244" s="157" t="s">
        <v>1321</v>
      </c>
      <c r="H244" s="157" t="s">
        <v>1382</v>
      </c>
      <c r="I244" s="157" t="s">
        <v>1384</v>
      </c>
      <c r="J244" s="157" t="s">
        <v>1324</v>
      </c>
      <c r="K244" s="157" t="s">
        <v>1274</v>
      </c>
      <c r="L244" s="157" t="s">
        <v>1401</v>
      </c>
      <c r="M244" s="157" t="str">
        <f t="shared" si="8"/>
        <v>High Voltage Control Unit - Operation Management - Computing</v>
      </c>
      <c r="N244" s="157"/>
      <c r="O244" s="157"/>
      <c r="P244" s="159"/>
      <c r="Q244" s="157"/>
      <c r="R244" s="157"/>
      <c r="S244" s="157"/>
      <c r="T244" s="157"/>
      <c r="U244" s="159"/>
      <c r="V244" s="159"/>
      <c r="W244" s="159"/>
      <c r="X244" s="160"/>
      <c r="Y244" s="160"/>
      <c r="Z244" s="160"/>
      <c r="AA244" s="160"/>
    </row>
    <row r="245" spans="1:27" ht="18" customHeight="1" x14ac:dyDescent="0.25">
      <c r="A245" s="159">
        <v>225</v>
      </c>
      <c r="B245" s="157" t="s">
        <v>199</v>
      </c>
      <c r="C245" s="157" t="s">
        <v>200</v>
      </c>
      <c r="D245" s="159" t="s">
        <v>704</v>
      </c>
      <c r="E245" s="157" t="s">
        <v>702</v>
      </c>
      <c r="F245" s="157" t="s">
        <v>1277</v>
      </c>
      <c r="G245" s="157" t="s">
        <v>1321</v>
      </c>
      <c r="H245" s="157" t="s">
        <v>1382</v>
      </c>
      <c r="I245" s="157" t="s">
        <v>1384</v>
      </c>
      <c r="J245" s="157" t="s">
        <v>1324</v>
      </c>
      <c r="K245" s="157" t="s">
        <v>1274</v>
      </c>
      <c r="L245" s="157" t="s">
        <v>1401</v>
      </c>
      <c r="M245" s="157" t="str">
        <f t="shared" si="8"/>
        <v>High Voltage Control Unit - Operation Management - Computing</v>
      </c>
      <c r="N245" s="157"/>
      <c r="O245" s="157"/>
      <c r="P245" s="159"/>
      <c r="Q245" s="157"/>
      <c r="R245" s="157"/>
      <c r="S245" s="157"/>
      <c r="T245" s="157"/>
      <c r="U245" s="159"/>
      <c r="V245" s="159"/>
      <c r="W245" s="159"/>
      <c r="X245" s="160"/>
      <c r="Y245" s="160"/>
      <c r="Z245" s="160"/>
      <c r="AA245" s="160"/>
    </row>
    <row r="246" spans="1:27" ht="18" customHeight="1" x14ac:dyDescent="0.25">
      <c r="A246" s="159">
        <v>225</v>
      </c>
      <c r="B246" s="157" t="s">
        <v>199</v>
      </c>
      <c r="C246" s="157" t="s">
        <v>200</v>
      </c>
      <c r="D246" s="159" t="s">
        <v>820</v>
      </c>
      <c r="E246" s="157" t="s">
        <v>818</v>
      </c>
      <c r="F246" s="157" t="s">
        <v>1264</v>
      </c>
      <c r="G246" s="157" t="s">
        <v>1321</v>
      </c>
      <c r="H246" s="157" t="s">
        <v>1382</v>
      </c>
      <c r="I246" s="157" t="s">
        <v>1384</v>
      </c>
      <c r="J246" s="157" t="s">
        <v>1324</v>
      </c>
      <c r="K246" s="157" t="s">
        <v>1274</v>
      </c>
      <c r="L246" s="157" t="s">
        <v>1401</v>
      </c>
      <c r="M246" s="157" t="str">
        <f t="shared" si="8"/>
        <v>High Voltage Control Unit - Operation Management - Computing</v>
      </c>
      <c r="N246" s="157"/>
      <c r="O246" s="157"/>
      <c r="P246" s="159"/>
      <c r="Q246" s="157"/>
      <c r="R246" s="157"/>
      <c r="S246" s="157"/>
      <c r="T246" s="157"/>
      <c r="U246" s="159"/>
      <c r="V246" s="159"/>
      <c r="W246" s="159"/>
      <c r="X246" s="160"/>
      <c r="Y246" s="160"/>
      <c r="Z246" s="160"/>
      <c r="AA246" s="160"/>
    </row>
    <row r="247" spans="1:27" ht="18" customHeight="1" x14ac:dyDescent="0.25">
      <c r="A247" s="159">
        <v>225</v>
      </c>
      <c r="B247" s="157" t="s">
        <v>199</v>
      </c>
      <c r="C247" s="157" t="s">
        <v>200</v>
      </c>
      <c r="D247" s="159" t="s">
        <v>824</v>
      </c>
      <c r="E247" s="157" t="s">
        <v>822</v>
      </c>
      <c r="F247" s="157" t="s">
        <v>1277</v>
      </c>
      <c r="G247" s="157" t="s">
        <v>1321</v>
      </c>
      <c r="H247" s="157" t="s">
        <v>1382</v>
      </c>
      <c r="I247" s="157" t="s">
        <v>1384</v>
      </c>
      <c r="J247" s="157" t="s">
        <v>1324</v>
      </c>
      <c r="K247" s="157" t="s">
        <v>1274</v>
      </c>
      <c r="L247" s="157" t="s">
        <v>1401</v>
      </c>
      <c r="M247" s="157" t="str">
        <f t="shared" si="8"/>
        <v>High Voltage Control Unit - Operation Management - Computing</v>
      </c>
      <c r="N247" s="157"/>
      <c r="O247" s="157"/>
      <c r="P247" s="159"/>
      <c r="Q247" s="157"/>
      <c r="R247" s="157"/>
      <c r="S247" s="157"/>
      <c r="T247" s="157"/>
      <c r="U247" s="159"/>
      <c r="V247" s="159"/>
      <c r="W247" s="159"/>
      <c r="X247" s="160"/>
      <c r="Y247" s="160"/>
      <c r="Z247" s="160"/>
      <c r="AA247" s="160"/>
    </row>
    <row r="248" spans="1:27" ht="18" customHeight="1" x14ac:dyDescent="0.25">
      <c r="A248" s="159">
        <v>225</v>
      </c>
      <c r="B248" s="157" t="s">
        <v>199</v>
      </c>
      <c r="C248" s="157" t="s">
        <v>200</v>
      </c>
      <c r="D248" s="159" t="s">
        <v>827</v>
      </c>
      <c r="E248" s="157" t="s">
        <v>825</v>
      </c>
      <c r="F248" s="157" t="s">
        <v>1264</v>
      </c>
      <c r="G248" s="157" t="s">
        <v>1321</v>
      </c>
      <c r="H248" s="157" t="s">
        <v>1382</v>
      </c>
      <c r="I248" s="157" t="s">
        <v>1384</v>
      </c>
      <c r="J248" s="157" t="s">
        <v>1324</v>
      </c>
      <c r="K248" s="157" t="s">
        <v>1274</v>
      </c>
      <c r="L248" s="157" t="s">
        <v>1401</v>
      </c>
      <c r="M248" s="157" t="str">
        <f t="shared" si="8"/>
        <v>High Voltage Control Unit - Operation Management - Computing</v>
      </c>
      <c r="N248" s="157"/>
      <c r="O248" s="157"/>
      <c r="P248" s="159"/>
      <c r="Q248" s="157"/>
      <c r="R248" s="157"/>
      <c r="S248" s="157"/>
      <c r="T248" s="157"/>
      <c r="U248" s="159"/>
      <c r="V248" s="159"/>
      <c r="W248" s="159"/>
      <c r="X248" s="160"/>
      <c r="Y248" s="160"/>
      <c r="Z248" s="160"/>
      <c r="AA248" s="160"/>
    </row>
    <row r="249" spans="1:27" ht="18" customHeight="1" x14ac:dyDescent="0.25">
      <c r="A249" s="159">
        <v>225</v>
      </c>
      <c r="B249" s="157" t="s">
        <v>199</v>
      </c>
      <c r="C249" s="157" t="s">
        <v>200</v>
      </c>
      <c r="D249" s="159" t="s">
        <v>830</v>
      </c>
      <c r="E249" s="157" t="s">
        <v>828</v>
      </c>
      <c r="F249" s="157"/>
      <c r="G249" s="157" t="s">
        <v>1321</v>
      </c>
      <c r="H249" s="157" t="s">
        <v>1382</v>
      </c>
      <c r="I249" s="157" t="s">
        <v>1384</v>
      </c>
      <c r="J249" s="157" t="s">
        <v>1324</v>
      </c>
      <c r="K249" s="157" t="s">
        <v>1274</v>
      </c>
      <c r="L249" s="157" t="s">
        <v>1401</v>
      </c>
      <c r="M249" s="157" t="str">
        <f t="shared" si="8"/>
        <v>High Voltage Control Unit - Operation Management - Computing</v>
      </c>
      <c r="N249" s="157"/>
      <c r="O249" s="157"/>
      <c r="P249" s="159"/>
      <c r="Q249" s="157"/>
      <c r="R249" s="157"/>
      <c r="S249" s="157"/>
      <c r="T249" s="157"/>
      <c r="U249" s="159"/>
      <c r="V249" s="159"/>
      <c r="W249" s="159"/>
      <c r="X249" s="160"/>
      <c r="Y249" s="160"/>
      <c r="Z249" s="160"/>
      <c r="AA249" s="160"/>
    </row>
    <row r="250" spans="1:27" ht="18" customHeight="1" x14ac:dyDescent="0.25">
      <c r="A250" s="159">
        <v>225</v>
      </c>
      <c r="B250" s="157" t="s">
        <v>199</v>
      </c>
      <c r="C250" s="157" t="s">
        <v>200</v>
      </c>
      <c r="D250" s="159" t="s">
        <v>974</v>
      </c>
      <c r="E250" s="157" t="s">
        <v>972</v>
      </c>
      <c r="F250" s="157" t="s">
        <v>1264</v>
      </c>
      <c r="G250" s="157" t="s">
        <v>1321</v>
      </c>
      <c r="H250" s="157" t="s">
        <v>1382</v>
      </c>
      <c r="I250" s="157" t="s">
        <v>1384</v>
      </c>
      <c r="J250" s="157" t="s">
        <v>1324</v>
      </c>
      <c r="K250" s="157" t="s">
        <v>1274</v>
      </c>
      <c r="L250" s="157" t="s">
        <v>1401</v>
      </c>
      <c r="M250" s="157" t="str">
        <f t="shared" si="8"/>
        <v>High Voltage Control Unit - Operation Management - Computing</v>
      </c>
      <c r="N250" s="157"/>
      <c r="O250" s="157"/>
      <c r="P250" s="159"/>
      <c r="Q250" s="157"/>
      <c r="R250" s="157"/>
      <c r="S250" s="157"/>
      <c r="T250" s="157"/>
      <c r="U250" s="159"/>
      <c r="V250" s="159"/>
      <c r="W250" s="159"/>
      <c r="X250" s="160"/>
      <c r="Y250" s="160"/>
      <c r="Z250" s="160"/>
      <c r="AA250" s="160"/>
    </row>
    <row r="251" spans="1:27" ht="18" customHeight="1" x14ac:dyDescent="0.25">
      <c r="A251" s="159">
        <v>225</v>
      </c>
      <c r="B251" s="157" t="s">
        <v>199</v>
      </c>
      <c r="C251" s="157" t="s">
        <v>200</v>
      </c>
      <c r="D251" s="159" t="s">
        <v>1136</v>
      </c>
      <c r="E251" s="157" t="s">
        <v>1134</v>
      </c>
      <c r="F251" s="157" t="s">
        <v>1277</v>
      </c>
      <c r="G251" s="157" t="s">
        <v>1321</v>
      </c>
      <c r="H251" s="157" t="s">
        <v>1382</v>
      </c>
      <c r="I251" s="157" t="s">
        <v>1384</v>
      </c>
      <c r="J251" s="157" t="s">
        <v>1324</v>
      </c>
      <c r="K251" s="157" t="s">
        <v>1274</v>
      </c>
      <c r="L251" s="157" t="s">
        <v>1401</v>
      </c>
      <c r="M251" s="157" t="str">
        <f t="shared" si="8"/>
        <v>High Voltage Control Unit - Operation Management - Computing</v>
      </c>
      <c r="N251" s="157"/>
      <c r="O251" s="157"/>
      <c r="P251" s="159"/>
      <c r="Q251" s="157"/>
      <c r="R251" s="157"/>
      <c r="S251" s="157"/>
      <c r="T251" s="157"/>
      <c r="U251" s="159"/>
      <c r="V251" s="159"/>
      <c r="W251" s="159"/>
      <c r="X251" s="160"/>
      <c r="Y251" s="160"/>
      <c r="Z251" s="160"/>
      <c r="AA251" s="160"/>
    </row>
    <row r="252" spans="1:27" ht="18" customHeight="1" x14ac:dyDescent="0.25">
      <c r="A252" s="159">
        <v>225</v>
      </c>
      <c r="B252" s="157" t="s">
        <v>199</v>
      </c>
      <c r="C252" s="157" t="s">
        <v>200</v>
      </c>
      <c r="D252" s="159" t="s">
        <v>481</v>
      </c>
      <c r="E252" s="157" t="s">
        <v>1140</v>
      </c>
      <c r="F252" s="157" t="s">
        <v>1277</v>
      </c>
      <c r="G252" s="157" t="s">
        <v>1321</v>
      </c>
      <c r="H252" s="157" t="s">
        <v>1382</v>
      </c>
      <c r="I252" s="157" t="s">
        <v>1384</v>
      </c>
      <c r="J252" s="157" t="s">
        <v>1324</v>
      </c>
      <c r="K252" s="157" t="s">
        <v>1274</v>
      </c>
      <c r="L252" s="157" t="s">
        <v>1401</v>
      </c>
      <c r="M252" s="157" t="str">
        <f t="shared" si="8"/>
        <v>High Voltage Control Unit - Operation Management - Computing</v>
      </c>
      <c r="N252" s="157"/>
      <c r="O252" s="157"/>
      <c r="P252" s="159"/>
      <c r="Q252" s="157"/>
      <c r="R252" s="157"/>
      <c r="S252" s="157"/>
      <c r="T252" s="157"/>
      <c r="U252" s="159"/>
      <c r="V252" s="159"/>
      <c r="W252" s="159"/>
      <c r="X252" s="160"/>
      <c r="Y252" s="160"/>
      <c r="Z252" s="160"/>
      <c r="AA252" s="160"/>
    </row>
    <row r="253" spans="1:27" ht="18" customHeight="1" x14ac:dyDescent="0.25">
      <c r="A253" s="159">
        <v>225</v>
      </c>
      <c r="B253" s="157" t="s">
        <v>318</v>
      </c>
      <c r="C253" s="157" t="s">
        <v>764</v>
      </c>
      <c r="D253" s="159" t="s">
        <v>773</v>
      </c>
      <c r="E253" s="157" t="s">
        <v>771</v>
      </c>
      <c r="F253" s="157" t="s">
        <v>1010</v>
      </c>
      <c r="G253" s="157" t="s">
        <v>1321</v>
      </c>
      <c r="H253" s="157" t="s">
        <v>1382</v>
      </c>
      <c r="I253" s="157" t="s">
        <v>1384</v>
      </c>
      <c r="J253" s="157" t="s">
        <v>1324</v>
      </c>
      <c r="K253" s="157" t="s">
        <v>1274</v>
      </c>
      <c r="L253" s="157" t="s">
        <v>1401</v>
      </c>
      <c r="M253" s="157" t="str">
        <f t="shared" si="8"/>
        <v>High Voltage Control Unit - Operation Management - Computing</v>
      </c>
      <c r="N253" s="157"/>
      <c r="O253" s="157"/>
      <c r="P253" s="159"/>
      <c r="Q253" s="157"/>
      <c r="R253" s="157"/>
      <c r="S253" s="157"/>
      <c r="T253" s="157"/>
      <c r="U253" s="159"/>
      <c r="V253" s="159"/>
      <c r="W253" s="159"/>
      <c r="X253" s="160"/>
      <c r="Y253" s="160"/>
      <c r="Z253" s="160"/>
      <c r="AA253" s="160"/>
    </row>
    <row r="254" spans="1:27" ht="18" customHeight="1" x14ac:dyDescent="0.25">
      <c r="A254" s="159">
        <v>242</v>
      </c>
      <c r="B254" s="157" t="s">
        <v>63</v>
      </c>
      <c r="C254" s="157" t="s">
        <v>64</v>
      </c>
      <c r="D254" s="159" t="s">
        <v>326</v>
      </c>
      <c r="E254" s="157" t="s">
        <v>324</v>
      </c>
      <c r="F254" s="157" t="s">
        <v>1381</v>
      </c>
      <c r="G254" s="157" t="s">
        <v>1321</v>
      </c>
      <c r="H254" s="157" t="s">
        <v>1382</v>
      </c>
      <c r="I254" s="157" t="s">
        <v>1384</v>
      </c>
      <c r="J254" s="157" t="s">
        <v>1324</v>
      </c>
      <c r="K254" s="157" t="s">
        <v>1274</v>
      </c>
      <c r="L254" s="157" t="s">
        <v>1402</v>
      </c>
      <c r="M254" s="157" t="str">
        <f t="shared" si="8"/>
        <v>BMS Control Unit - Operation Management - Computing</v>
      </c>
      <c r="N254" s="157"/>
      <c r="O254" s="157"/>
      <c r="P254" s="159"/>
      <c r="Q254" s="157"/>
      <c r="R254" s="157"/>
      <c r="S254" s="157"/>
      <c r="T254" s="157"/>
      <c r="U254" s="159"/>
      <c r="V254" s="159"/>
      <c r="W254" s="159"/>
      <c r="X254" s="160"/>
      <c r="Y254" s="160"/>
      <c r="Z254" s="160"/>
      <c r="AA254" s="160"/>
    </row>
    <row r="255" spans="1:27" ht="18" customHeight="1" x14ac:dyDescent="0.25">
      <c r="A255" s="159">
        <v>242</v>
      </c>
      <c r="B255" s="157" t="s">
        <v>63</v>
      </c>
      <c r="C255" s="157" t="s">
        <v>64</v>
      </c>
      <c r="D255" s="159" t="s">
        <v>645</v>
      </c>
      <c r="E255" s="157" t="s">
        <v>643</v>
      </c>
      <c r="F255" s="157" t="s">
        <v>1275</v>
      </c>
      <c r="G255" s="157" t="s">
        <v>1321</v>
      </c>
      <c r="H255" s="157" t="s">
        <v>1382</v>
      </c>
      <c r="I255" s="157" t="s">
        <v>1384</v>
      </c>
      <c r="J255" s="157" t="s">
        <v>1324</v>
      </c>
      <c r="K255" s="157" t="s">
        <v>1274</v>
      </c>
      <c r="L255" s="157" t="s">
        <v>1402</v>
      </c>
      <c r="M255" s="157" t="str">
        <f t="shared" si="8"/>
        <v>BMS Control Unit - Operation Management - Computing</v>
      </c>
      <c r="N255" s="157"/>
      <c r="O255" s="157"/>
      <c r="P255" s="159"/>
      <c r="Q255" s="157"/>
      <c r="R255" s="157"/>
      <c r="S255" s="157"/>
      <c r="T255" s="157"/>
      <c r="U255" s="159"/>
      <c r="V255" s="159"/>
      <c r="W255" s="159"/>
      <c r="X255" s="160"/>
      <c r="Y255" s="160"/>
      <c r="Z255" s="160"/>
      <c r="AA255" s="160"/>
    </row>
    <row r="256" spans="1:27" ht="18" customHeight="1" x14ac:dyDescent="0.25">
      <c r="A256" s="159">
        <v>242</v>
      </c>
      <c r="B256" s="157" t="s">
        <v>63</v>
      </c>
      <c r="C256" s="157" t="s">
        <v>64</v>
      </c>
      <c r="D256" s="159" t="s">
        <v>755</v>
      </c>
      <c r="E256" s="157" t="s">
        <v>753</v>
      </c>
      <c r="F256" s="157"/>
      <c r="G256" s="157" t="s">
        <v>1321</v>
      </c>
      <c r="H256" s="157" t="s">
        <v>1382</v>
      </c>
      <c r="I256" s="157" t="s">
        <v>1384</v>
      </c>
      <c r="J256" s="157" t="s">
        <v>1324</v>
      </c>
      <c r="K256" s="157" t="s">
        <v>1274</v>
      </c>
      <c r="L256" s="157" t="s">
        <v>1402</v>
      </c>
      <c r="M256" s="157" t="str">
        <f t="shared" si="8"/>
        <v>BMS Control Unit - Operation Management - Computing</v>
      </c>
      <c r="N256" s="157"/>
      <c r="O256" s="157"/>
      <c r="P256" s="159"/>
      <c r="Q256" s="157"/>
      <c r="R256" s="157"/>
      <c r="S256" s="157"/>
      <c r="T256" s="157"/>
      <c r="U256" s="159"/>
      <c r="V256" s="159"/>
      <c r="W256" s="159"/>
      <c r="X256" s="160"/>
      <c r="Y256" s="160"/>
      <c r="Z256" s="160"/>
      <c r="AA256" s="160"/>
    </row>
    <row r="257" spans="1:27" ht="18" customHeight="1" x14ac:dyDescent="0.25">
      <c r="A257" s="159">
        <v>242</v>
      </c>
      <c r="B257" s="157" t="s">
        <v>63</v>
      </c>
      <c r="C257" s="157" t="s">
        <v>64</v>
      </c>
      <c r="D257" s="159" t="s">
        <v>758</v>
      </c>
      <c r="E257" s="157" t="s">
        <v>756</v>
      </c>
      <c r="F257" s="157" t="s">
        <v>1277</v>
      </c>
      <c r="G257" s="157" t="s">
        <v>1321</v>
      </c>
      <c r="H257" s="157" t="s">
        <v>1382</v>
      </c>
      <c r="I257" s="157" t="s">
        <v>1384</v>
      </c>
      <c r="J257" s="157" t="s">
        <v>1324</v>
      </c>
      <c r="K257" s="157" t="s">
        <v>1274</v>
      </c>
      <c r="L257" s="157" t="s">
        <v>1402</v>
      </c>
      <c r="M257" s="157" t="str">
        <f t="shared" si="8"/>
        <v>BMS Control Unit - Operation Management - Computing</v>
      </c>
      <c r="N257" s="157"/>
      <c r="O257" s="157"/>
      <c r="P257" s="159"/>
      <c r="Q257" s="157"/>
      <c r="R257" s="157"/>
      <c r="S257" s="157"/>
      <c r="T257" s="157"/>
      <c r="U257" s="159"/>
      <c r="V257" s="159"/>
      <c r="W257" s="159"/>
      <c r="X257" s="160"/>
      <c r="Y257" s="160"/>
      <c r="Z257" s="160"/>
      <c r="AA257" s="160"/>
    </row>
    <row r="258" spans="1:27" ht="18" customHeight="1" x14ac:dyDescent="0.25">
      <c r="A258" s="159">
        <v>242</v>
      </c>
      <c r="B258" s="157" t="s">
        <v>63</v>
      </c>
      <c r="C258" s="157" t="s">
        <v>64</v>
      </c>
      <c r="D258" s="159" t="s">
        <v>770</v>
      </c>
      <c r="E258" s="157" t="s">
        <v>768</v>
      </c>
      <c r="F258" s="157" t="s">
        <v>1275</v>
      </c>
      <c r="G258" s="157" t="s">
        <v>1321</v>
      </c>
      <c r="H258" s="157" t="s">
        <v>1382</v>
      </c>
      <c r="I258" s="157" t="s">
        <v>1384</v>
      </c>
      <c r="J258" s="157" t="s">
        <v>1324</v>
      </c>
      <c r="K258" s="157" t="s">
        <v>1274</v>
      </c>
      <c r="L258" s="157" t="s">
        <v>1402</v>
      </c>
      <c r="M258" s="157" t="str">
        <f t="shared" si="8"/>
        <v>BMS Control Unit - Operation Management - Computing</v>
      </c>
      <c r="N258" s="157"/>
      <c r="O258" s="157"/>
      <c r="P258" s="159"/>
      <c r="Q258" s="157"/>
      <c r="R258" s="157"/>
      <c r="S258" s="157"/>
      <c r="T258" s="157"/>
      <c r="U258" s="159"/>
      <c r="V258" s="159"/>
      <c r="W258" s="159"/>
      <c r="X258" s="160"/>
      <c r="Y258" s="160"/>
      <c r="Z258" s="160"/>
      <c r="AA258" s="160"/>
    </row>
    <row r="259" spans="1:27" ht="18" customHeight="1" x14ac:dyDescent="0.25">
      <c r="A259" s="159">
        <v>242</v>
      </c>
      <c r="B259" s="157" t="s">
        <v>63</v>
      </c>
      <c r="C259" s="157" t="s">
        <v>64</v>
      </c>
      <c r="D259" s="159" t="s">
        <v>872</v>
      </c>
      <c r="E259" s="157" t="s">
        <v>870</v>
      </c>
      <c r="F259" s="157" t="s">
        <v>1381</v>
      </c>
      <c r="G259" s="157" t="s">
        <v>1321</v>
      </c>
      <c r="H259" s="157" t="s">
        <v>1382</v>
      </c>
      <c r="I259" s="157" t="s">
        <v>1384</v>
      </c>
      <c r="J259" s="157" t="s">
        <v>1324</v>
      </c>
      <c r="K259" s="157" t="s">
        <v>1274</v>
      </c>
      <c r="L259" s="157" t="s">
        <v>1402</v>
      </c>
      <c r="M259" s="157" t="str">
        <f t="shared" si="8"/>
        <v>BMS Control Unit - Operation Management - Computing</v>
      </c>
      <c r="N259" s="157"/>
      <c r="O259" s="157"/>
      <c r="P259" s="159"/>
      <c r="Q259" s="157"/>
      <c r="R259" s="157"/>
      <c r="S259" s="157"/>
      <c r="T259" s="157"/>
      <c r="U259" s="159"/>
      <c r="V259" s="159"/>
      <c r="W259" s="159"/>
      <c r="X259" s="160"/>
      <c r="Y259" s="160"/>
      <c r="Z259" s="160"/>
      <c r="AA259" s="160"/>
    </row>
    <row r="260" spans="1:27" ht="18" customHeight="1" x14ac:dyDescent="0.25">
      <c r="A260" s="159">
        <v>242</v>
      </c>
      <c r="B260" s="157" t="s">
        <v>22</v>
      </c>
      <c r="C260" s="157" t="s">
        <v>103</v>
      </c>
      <c r="D260" s="159" t="s">
        <v>776</v>
      </c>
      <c r="E260" s="157" t="s">
        <v>774</v>
      </c>
      <c r="F260" s="157"/>
      <c r="G260" s="157" t="s">
        <v>1321</v>
      </c>
      <c r="H260" s="157" t="s">
        <v>1382</v>
      </c>
      <c r="I260" s="157" t="s">
        <v>1384</v>
      </c>
      <c r="J260" s="157" t="s">
        <v>1324</v>
      </c>
      <c r="K260" s="157" t="s">
        <v>1274</v>
      </c>
      <c r="L260" s="157" t="s">
        <v>1402</v>
      </c>
      <c r="M260" s="157" t="str">
        <f t="shared" si="8"/>
        <v>BMS Control Unit - Operation Management - Computing</v>
      </c>
      <c r="N260" s="157"/>
      <c r="O260" s="157"/>
      <c r="P260" s="159"/>
      <c r="Q260" s="157"/>
      <c r="R260" s="157"/>
      <c r="S260" s="157"/>
      <c r="T260" s="157"/>
      <c r="U260" s="159"/>
      <c r="V260" s="159"/>
      <c r="W260" s="159"/>
      <c r="X260" s="160"/>
      <c r="Y260" s="160"/>
      <c r="Z260" s="160"/>
      <c r="AA260" s="160"/>
    </row>
    <row r="261" spans="1:27" ht="18" customHeight="1" x14ac:dyDescent="0.25">
      <c r="A261" s="159">
        <v>242</v>
      </c>
      <c r="B261" s="157" t="s">
        <v>199</v>
      </c>
      <c r="C261" s="157" t="s">
        <v>200</v>
      </c>
      <c r="D261" s="159" t="s">
        <v>203</v>
      </c>
      <c r="E261" s="157" t="s">
        <v>201</v>
      </c>
      <c r="F261" s="157" t="s">
        <v>1277</v>
      </c>
      <c r="G261" s="157" t="s">
        <v>1321</v>
      </c>
      <c r="H261" s="157" t="s">
        <v>1382</v>
      </c>
      <c r="I261" s="157" t="s">
        <v>1384</v>
      </c>
      <c r="J261" s="157" t="s">
        <v>1324</v>
      </c>
      <c r="K261" s="157" t="s">
        <v>1274</v>
      </c>
      <c r="L261" s="157" t="s">
        <v>1402</v>
      </c>
      <c r="M261" s="157" t="str">
        <f t="shared" si="8"/>
        <v>BMS Control Unit - Operation Management - Computing</v>
      </c>
      <c r="N261" s="157"/>
      <c r="O261" s="157"/>
      <c r="P261" s="159"/>
      <c r="Q261" s="157"/>
      <c r="R261" s="157"/>
      <c r="S261" s="157"/>
      <c r="T261" s="157"/>
      <c r="U261" s="159"/>
      <c r="V261" s="159"/>
      <c r="W261" s="159"/>
      <c r="X261" s="160"/>
      <c r="Y261" s="160"/>
      <c r="Z261" s="160"/>
      <c r="AA261" s="160"/>
    </row>
    <row r="262" spans="1:27" ht="18" customHeight="1" x14ac:dyDescent="0.25">
      <c r="A262" s="159">
        <v>242</v>
      </c>
      <c r="B262" s="157" t="s">
        <v>199</v>
      </c>
      <c r="C262" s="157" t="s">
        <v>200</v>
      </c>
      <c r="D262" s="159" t="s">
        <v>480</v>
      </c>
      <c r="E262" s="157" t="s">
        <v>478</v>
      </c>
      <c r="F262" s="157" t="s">
        <v>1277</v>
      </c>
      <c r="G262" s="157" t="s">
        <v>1321</v>
      </c>
      <c r="H262" s="157" t="s">
        <v>1382</v>
      </c>
      <c r="I262" s="157" t="s">
        <v>1384</v>
      </c>
      <c r="J262" s="157" t="s">
        <v>1324</v>
      </c>
      <c r="K262" s="157" t="s">
        <v>1274</v>
      </c>
      <c r="L262" s="157" t="s">
        <v>1402</v>
      </c>
      <c r="M262" s="157" t="str">
        <f t="shared" si="8"/>
        <v>BMS Control Unit - Operation Management - Computing</v>
      </c>
      <c r="N262" s="157"/>
      <c r="O262" s="157"/>
      <c r="P262" s="159"/>
      <c r="Q262" s="157"/>
      <c r="R262" s="157"/>
      <c r="S262" s="157"/>
      <c r="T262" s="157"/>
      <c r="U262" s="159"/>
      <c r="V262" s="159"/>
      <c r="W262" s="159"/>
      <c r="X262" s="160"/>
      <c r="Y262" s="160"/>
      <c r="Z262" s="160"/>
      <c r="AA262" s="160"/>
    </row>
    <row r="263" spans="1:27" ht="18" customHeight="1" x14ac:dyDescent="0.25">
      <c r="A263" s="159">
        <v>242</v>
      </c>
      <c r="B263" s="157" t="s">
        <v>199</v>
      </c>
      <c r="C263" s="157" t="s">
        <v>200</v>
      </c>
      <c r="D263" s="159" t="s">
        <v>484</v>
      </c>
      <c r="E263" s="157" t="s">
        <v>482</v>
      </c>
      <c r="F263" s="157" t="s">
        <v>1277</v>
      </c>
      <c r="G263" s="157" t="s">
        <v>1321</v>
      </c>
      <c r="H263" s="157" t="s">
        <v>1382</v>
      </c>
      <c r="I263" s="157" t="s">
        <v>1384</v>
      </c>
      <c r="J263" s="157" t="s">
        <v>1324</v>
      </c>
      <c r="K263" s="157" t="s">
        <v>1274</v>
      </c>
      <c r="L263" s="157" t="s">
        <v>1402</v>
      </c>
      <c r="M263" s="157" t="str">
        <f t="shared" si="8"/>
        <v>BMS Control Unit - Operation Management - Computing</v>
      </c>
      <c r="N263" s="157"/>
      <c r="O263" s="157"/>
      <c r="P263" s="159"/>
      <c r="Q263" s="157"/>
      <c r="R263" s="157"/>
      <c r="S263" s="157"/>
      <c r="T263" s="157"/>
      <c r="U263" s="159"/>
      <c r="V263" s="159"/>
      <c r="W263" s="159"/>
      <c r="X263" s="160"/>
      <c r="Y263" s="160"/>
      <c r="Z263" s="160"/>
      <c r="AA263" s="160"/>
    </row>
    <row r="264" spans="1:27" ht="18" customHeight="1" x14ac:dyDescent="0.25">
      <c r="A264" s="159">
        <v>242</v>
      </c>
      <c r="B264" s="157" t="s">
        <v>199</v>
      </c>
      <c r="C264" s="157" t="s">
        <v>200</v>
      </c>
      <c r="D264" s="159" t="s">
        <v>552</v>
      </c>
      <c r="E264" s="157" t="s">
        <v>550</v>
      </c>
      <c r="F264" s="157" t="s">
        <v>1277</v>
      </c>
      <c r="G264" s="157" t="s">
        <v>1321</v>
      </c>
      <c r="H264" s="157" t="s">
        <v>1382</v>
      </c>
      <c r="I264" s="157" t="s">
        <v>1384</v>
      </c>
      <c r="J264" s="157" t="s">
        <v>1324</v>
      </c>
      <c r="K264" s="157" t="s">
        <v>1274</v>
      </c>
      <c r="L264" s="157" t="s">
        <v>1402</v>
      </c>
      <c r="M264" s="157" t="str">
        <f t="shared" si="8"/>
        <v>BMS Control Unit - Operation Management - Computing</v>
      </c>
      <c r="N264" s="157"/>
      <c r="O264" s="157"/>
      <c r="P264" s="159"/>
      <c r="Q264" s="157"/>
      <c r="R264" s="157"/>
      <c r="S264" s="157"/>
      <c r="T264" s="157"/>
      <c r="U264" s="159"/>
      <c r="V264" s="159"/>
      <c r="W264" s="159"/>
      <c r="X264" s="160"/>
      <c r="Y264" s="160"/>
      <c r="Z264" s="160"/>
      <c r="AA264" s="160"/>
    </row>
    <row r="265" spans="1:27" ht="18" customHeight="1" x14ac:dyDescent="0.25">
      <c r="A265" s="159">
        <v>242</v>
      </c>
      <c r="B265" s="157" t="s">
        <v>199</v>
      </c>
      <c r="C265" s="157" t="s">
        <v>200</v>
      </c>
      <c r="D265" s="159" t="s">
        <v>594</v>
      </c>
      <c r="E265" s="157" t="s">
        <v>592</v>
      </c>
      <c r="F265" s="157" t="s">
        <v>1277</v>
      </c>
      <c r="G265" s="157" t="s">
        <v>1321</v>
      </c>
      <c r="H265" s="157" t="s">
        <v>1382</v>
      </c>
      <c r="I265" s="157" t="s">
        <v>1384</v>
      </c>
      <c r="J265" s="157" t="s">
        <v>1324</v>
      </c>
      <c r="K265" s="157" t="s">
        <v>1274</v>
      </c>
      <c r="L265" s="157" t="s">
        <v>1402</v>
      </c>
      <c r="M265" s="157" t="str">
        <f t="shared" si="8"/>
        <v>BMS Control Unit - Operation Management - Computing</v>
      </c>
      <c r="N265" s="157"/>
      <c r="O265" s="157"/>
      <c r="P265" s="159"/>
      <c r="Q265" s="157"/>
      <c r="R265" s="157"/>
      <c r="S265" s="157"/>
      <c r="T265" s="157"/>
      <c r="U265" s="159"/>
      <c r="V265" s="159"/>
      <c r="W265" s="159"/>
      <c r="X265" s="160"/>
      <c r="Y265" s="160"/>
      <c r="Z265" s="160"/>
      <c r="AA265" s="160"/>
    </row>
    <row r="266" spans="1:27" ht="18" customHeight="1" x14ac:dyDescent="0.25">
      <c r="A266" s="159">
        <v>242</v>
      </c>
      <c r="B266" s="157" t="s">
        <v>199</v>
      </c>
      <c r="C266" s="157" t="s">
        <v>200</v>
      </c>
      <c r="D266" s="159" t="s">
        <v>654</v>
      </c>
      <c r="E266" s="157" t="s">
        <v>652</v>
      </c>
      <c r="F266" s="157" t="s">
        <v>1277</v>
      </c>
      <c r="G266" s="157" t="s">
        <v>1321</v>
      </c>
      <c r="H266" s="157" t="s">
        <v>1382</v>
      </c>
      <c r="I266" s="157" t="s">
        <v>1384</v>
      </c>
      <c r="J266" s="157" t="s">
        <v>1324</v>
      </c>
      <c r="K266" s="157" t="s">
        <v>1274</v>
      </c>
      <c r="L266" s="157" t="s">
        <v>1402</v>
      </c>
      <c r="M266" s="157" t="str">
        <f t="shared" ref="M266:M329" si="9">CONCATENATE(L266," - ",I266)</f>
        <v>BMS Control Unit - Operation Management - Computing</v>
      </c>
      <c r="N266" s="157"/>
      <c r="O266" s="157"/>
      <c r="P266" s="159"/>
      <c r="Q266" s="157"/>
      <c r="R266" s="157"/>
      <c r="S266" s="157"/>
      <c r="T266" s="157"/>
      <c r="U266" s="159"/>
      <c r="V266" s="159"/>
      <c r="W266" s="159"/>
      <c r="X266" s="160"/>
      <c r="Y266" s="160"/>
      <c r="Z266" s="160"/>
      <c r="AA266" s="160"/>
    </row>
    <row r="267" spans="1:27" ht="18" customHeight="1" x14ac:dyDescent="0.25">
      <c r="A267" s="159">
        <v>242</v>
      </c>
      <c r="B267" s="157" t="s">
        <v>199</v>
      </c>
      <c r="C267" s="157" t="s">
        <v>200</v>
      </c>
      <c r="D267" s="159" t="s">
        <v>657</v>
      </c>
      <c r="E267" s="157" t="s">
        <v>655</v>
      </c>
      <c r="F267" s="157" t="s">
        <v>1277</v>
      </c>
      <c r="G267" s="157" t="s">
        <v>1321</v>
      </c>
      <c r="H267" s="157" t="s">
        <v>1382</v>
      </c>
      <c r="I267" s="157" t="s">
        <v>1384</v>
      </c>
      <c r="J267" s="157" t="s">
        <v>1324</v>
      </c>
      <c r="K267" s="157" t="s">
        <v>1274</v>
      </c>
      <c r="L267" s="157" t="s">
        <v>1402</v>
      </c>
      <c r="M267" s="157" t="str">
        <f t="shared" si="9"/>
        <v>BMS Control Unit - Operation Management - Computing</v>
      </c>
      <c r="N267" s="157"/>
      <c r="O267" s="157"/>
      <c r="P267" s="159"/>
      <c r="Q267" s="157"/>
      <c r="R267" s="157"/>
      <c r="S267" s="157"/>
      <c r="T267" s="157"/>
      <c r="U267" s="159"/>
      <c r="V267" s="159"/>
      <c r="W267" s="159"/>
      <c r="X267" s="160"/>
      <c r="Y267" s="160"/>
      <c r="Z267" s="160"/>
      <c r="AA267" s="160"/>
    </row>
    <row r="268" spans="1:27" ht="18" customHeight="1" x14ac:dyDescent="0.25">
      <c r="A268" s="159">
        <v>242</v>
      </c>
      <c r="B268" s="157" t="s">
        <v>199</v>
      </c>
      <c r="C268" s="157" t="s">
        <v>200</v>
      </c>
      <c r="D268" s="159" t="s">
        <v>660</v>
      </c>
      <c r="E268" s="157" t="s">
        <v>658</v>
      </c>
      <c r="F268" s="157" t="s">
        <v>1277</v>
      </c>
      <c r="G268" s="157" t="s">
        <v>1321</v>
      </c>
      <c r="H268" s="157" t="s">
        <v>1382</v>
      </c>
      <c r="I268" s="157" t="s">
        <v>1384</v>
      </c>
      <c r="J268" s="157" t="s">
        <v>1324</v>
      </c>
      <c r="K268" s="157" t="s">
        <v>1274</v>
      </c>
      <c r="L268" s="157" t="s">
        <v>1402</v>
      </c>
      <c r="M268" s="157" t="str">
        <f t="shared" si="9"/>
        <v>BMS Control Unit - Operation Management - Computing</v>
      </c>
      <c r="N268" s="157"/>
      <c r="O268" s="157"/>
      <c r="P268" s="159"/>
      <c r="Q268" s="157"/>
      <c r="R268" s="157"/>
      <c r="S268" s="157"/>
      <c r="T268" s="157"/>
      <c r="U268" s="159"/>
      <c r="V268" s="159"/>
      <c r="W268" s="159"/>
      <c r="X268" s="160"/>
      <c r="Y268" s="160"/>
      <c r="Z268" s="160"/>
      <c r="AA268" s="160"/>
    </row>
    <row r="269" spans="1:27" ht="18" customHeight="1" x14ac:dyDescent="0.25">
      <c r="A269" s="159">
        <v>242</v>
      </c>
      <c r="B269" s="157" t="s">
        <v>199</v>
      </c>
      <c r="C269" s="157" t="s">
        <v>200</v>
      </c>
      <c r="D269" s="159" t="s">
        <v>683</v>
      </c>
      <c r="E269" s="157" t="s">
        <v>681</v>
      </c>
      <c r="F269" s="157" t="s">
        <v>1264</v>
      </c>
      <c r="G269" s="157" t="s">
        <v>1321</v>
      </c>
      <c r="H269" s="157" t="s">
        <v>1382</v>
      </c>
      <c r="I269" s="157" t="s">
        <v>1384</v>
      </c>
      <c r="J269" s="157" t="s">
        <v>1324</v>
      </c>
      <c r="K269" s="157" t="s">
        <v>1274</v>
      </c>
      <c r="L269" s="157" t="s">
        <v>1402</v>
      </c>
      <c r="M269" s="157" t="str">
        <f t="shared" si="9"/>
        <v>BMS Control Unit - Operation Management - Computing</v>
      </c>
      <c r="N269" s="157"/>
      <c r="O269" s="157"/>
      <c r="P269" s="159"/>
      <c r="Q269" s="157"/>
      <c r="R269" s="157"/>
      <c r="S269" s="157"/>
      <c r="T269" s="157"/>
      <c r="U269" s="159"/>
      <c r="V269" s="159"/>
      <c r="W269" s="159"/>
      <c r="X269" s="160"/>
      <c r="Y269" s="160"/>
      <c r="Z269" s="160"/>
      <c r="AA269" s="160"/>
    </row>
    <row r="270" spans="1:27" ht="18" customHeight="1" x14ac:dyDescent="0.25">
      <c r="A270" s="159">
        <v>242</v>
      </c>
      <c r="B270" s="157" t="s">
        <v>199</v>
      </c>
      <c r="C270" s="157" t="s">
        <v>200</v>
      </c>
      <c r="D270" s="159" t="s">
        <v>704</v>
      </c>
      <c r="E270" s="157" t="s">
        <v>702</v>
      </c>
      <c r="F270" s="157" t="s">
        <v>1277</v>
      </c>
      <c r="G270" s="157" t="s">
        <v>1321</v>
      </c>
      <c r="H270" s="157" t="s">
        <v>1382</v>
      </c>
      <c r="I270" s="157" t="s">
        <v>1384</v>
      </c>
      <c r="J270" s="157" t="s">
        <v>1324</v>
      </c>
      <c r="K270" s="157" t="s">
        <v>1274</v>
      </c>
      <c r="L270" s="157" t="s">
        <v>1402</v>
      </c>
      <c r="M270" s="157" t="str">
        <f t="shared" si="9"/>
        <v>BMS Control Unit - Operation Management - Computing</v>
      </c>
      <c r="N270" s="157"/>
      <c r="O270" s="157"/>
      <c r="P270" s="159"/>
      <c r="Q270" s="157"/>
      <c r="R270" s="157"/>
      <c r="S270" s="157"/>
      <c r="T270" s="157"/>
      <c r="U270" s="159"/>
      <c r="V270" s="159"/>
      <c r="W270" s="159"/>
      <c r="X270" s="160"/>
      <c r="Y270" s="160"/>
      <c r="Z270" s="160"/>
      <c r="AA270" s="160"/>
    </row>
    <row r="271" spans="1:27" ht="18" customHeight="1" x14ac:dyDescent="0.25">
      <c r="A271" s="159">
        <v>242</v>
      </c>
      <c r="B271" s="157" t="s">
        <v>199</v>
      </c>
      <c r="C271" s="157" t="s">
        <v>200</v>
      </c>
      <c r="D271" s="159" t="s">
        <v>820</v>
      </c>
      <c r="E271" s="157" t="s">
        <v>818</v>
      </c>
      <c r="F271" s="157" t="s">
        <v>1264</v>
      </c>
      <c r="G271" s="157" t="s">
        <v>1321</v>
      </c>
      <c r="H271" s="157" t="s">
        <v>1382</v>
      </c>
      <c r="I271" s="157" t="s">
        <v>1384</v>
      </c>
      <c r="J271" s="157" t="s">
        <v>1324</v>
      </c>
      <c r="K271" s="157" t="s">
        <v>1274</v>
      </c>
      <c r="L271" s="157" t="s">
        <v>1402</v>
      </c>
      <c r="M271" s="157" t="str">
        <f t="shared" si="9"/>
        <v>BMS Control Unit - Operation Management - Computing</v>
      </c>
      <c r="N271" s="157"/>
      <c r="O271" s="157"/>
      <c r="P271" s="159"/>
      <c r="Q271" s="157"/>
      <c r="R271" s="157"/>
      <c r="S271" s="157"/>
      <c r="T271" s="157"/>
      <c r="U271" s="159"/>
      <c r="V271" s="159"/>
      <c r="W271" s="159"/>
      <c r="X271" s="160"/>
      <c r="Y271" s="160"/>
      <c r="Z271" s="160"/>
      <c r="AA271" s="160"/>
    </row>
    <row r="272" spans="1:27" ht="18" customHeight="1" x14ac:dyDescent="0.25">
      <c r="A272" s="159">
        <v>242</v>
      </c>
      <c r="B272" s="157" t="s">
        <v>199</v>
      </c>
      <c r="C272" s="157" t="s">
        <v>200</v>
      </c>
      <c r="D272" s="159" t="s">
        <v>824</v>
      </c>
      <c r="E272" s="157" t="s">
        <v>822</v>
      </c>
      <c r="F272" s="157" t="s">
        <v>1277</v>
      </c>
      <c r="G272" s="157" t="s">
        <v>1321</v>
      </c>
      <c r="H272" s="157" t="s">
        <v>1382</v>
      </c>
      <c r="I272" s="157" t="s">
        <v>1384</v>
      </c>
      <c r="J272" s="157" t="s">
        <v>1324</v>
      </c>
      <c r="K272" s="157" t="s">
        <v>1274</v>
      </c>
      <c r="L272" s="157" t="s">
        <v>1402</v>
      </c>
      <c r="M272" s="157" t="str">
        <f t="shared" si="9"/>
        <v>BMS Control Unit - Operation Management - Computing</v>
      </c>
      <c r="N272" s="157"/>
      <c r="O272" s="157"/>
      <c r="P272" s="159"/>
      <c r="Q272" s="157"/>
      <c r="R272" s="157"/>
      <c r="S272" s="157"/>
      <c r="T272" s="157"/>
      <c r="U272" s="159"/>
      <c r="V272" s="159"/>
      <c r="W272" s="159"/>
      <c r="X272" s="160"/>
      <c r="Y272" s="160"/>
      <c r="Z272" s="160"/>
      <c r="AA272" s="160"/>
    </row>
    <row r="273" spans="1:27" ht="18" customHeight="1" x14ac:dyDescent="0.25">
      <c r="A273" s="159">
        <v>242</v>
      </c>
      <c r="B273" s="157" t="s">
        <v>199</v>
      </c>
      <c r="C273" s="157" t="s">
        <v>200</v>
      </c>
      <c r="D273" s="159" t="s">
        <v>827</v>
      </c>
      <c r="E273" s="157" t="s">
        <v>825</v>
      </c>
      <c r="F273" s="157" t="s">
        <v>1264</v>
      </c>
      <c r="G273" s="157" t="s">
        <v>1321</v>
      </c>
      <c r="H273" s="157" t="s">
        <v>1382</v>
      </c>
      <c r="I273" s="157" t="s">
        <v>1384</v>
      </c>
      <c r="J273" s="157" t="s">
        <v>1324</v>
      </c>
      <c r="K273" s="157" t="s">
        <v>1274</v>
      </c>
      <c r="L273" s="157" t="s">
        <v>1402</v>
      </c>
      <c r="M273" s="157" t="str">
        <f t="shared" si="9"/>
        <v>BMS Control Unit - Operation Management - Computing</v>
      </c>
      <c r="N273" s="157"/>
      <c r="O273" s="157"/>
      <c r="P273" s="159"/>
      <c r="Q273" s="157"/>
      <c r="R273" s="157"/>
      <c r="S273" s="157"/>
      <c r="T273" s="157"/>
      <c r="U273" s="159"/>
      <c r="V273" s="159"/>
      <c r="W273" s="159"/>
      <c r="X273" s="160"/>
      <c r="Y273" s="160"/>
      <c r="Z273" s="160"/>
      <c r="AA273" s="160"/>
    </row>
    <row r="274" spans="1:27" ht="18" customHeight="1" x14ac:dyDescent="0.25">
      <c r="A274" s="159">
        <v>242</v>
      </c>
      <c r="B274" s="157" t="s">
        <v>199</v>
      </c>
      <c r="C274" s="157" t="s">
        <v>200</v>
      </c>
      <c r="D274" s="159" t="s">
        <v>830</v>
      </c>
      <c r="E274" s="157" t="s">
        <v>828</v>
      </c>
      <c r="F274" s="157"/>
      <c r="G274" s="157" t="s">
        <v>1321</v>
      </c>
      <c r="H274" s="157" t="s">
        <v>1382</v>
      </c>
      <c r="I274" s="157" t="s">
        <v>1384</v>
      </c>
      <c r="J274" s="157" t="s">
        <v>1324</v>
      </c>
      <c r="K274" s="157" t="s">
        <v>1274</v>
      </c>
      <c r="L274" s="157" t="s">
        <v>1402</v>
      </c>
      <c r="M274" s="157" t="str">
        <f t="shared" si="9"/>
        <v>BMS Control Unit - Operation Management - Computing</v>
      </c>
      <c r="N274" s="157"/>
      <c r="O274" s="157"/>
      <c r="P274" s="159"/>
      <c r="Q274" s="157"/>
      <c r="R274" s="157"/>
      <c r="S274" s="157"/>
      <c r="T274" s="157"/>
      <c r="U274" s="159"/>
      <c r="V274" s="159"/>
      <c r="W274" s="159"/>
      <c r="X274" s="160"/>
      <c r="Y274" s="160"/>
      <c r="Z274" s="160"/>
      <c r="AA274" s="160"/>
    </row>
    <row r="275" spans="1:27" ht="18" customHeight="1" x14ac:dyDescent="0.25">
      <c r="A275" s="159">
        <v>242</v>
      </c>
      <c r="B275" s="157" t="s">
        <v>199</v>
      </c>
      <c r="C275" s="157" t="s">
        <v>200</v>
      </c>
      <c r="D275" s="159" t="s">
        <v>974</v>
      </c>
      <c r="E275" s="157" t="s">
        <v>972</v>
      </c>
      <c r="F275" s="157" t="s">
        <v>1264</v>
      </c>
      <c r="G275" s="157" t="s">
        <v>1321</v>
      </c>
      <c r="H275" s="157" t="s">
        <v>1382</v>
      </c>
      <c r="I275" s="157" t="s">
        <v>1384</v>
      </c>
      <c r="J275" s="157" t="s">
        <v>1324</v>
      </c>
      <c r="K275" s="157" t="s">
        <v>1274</v>
      </c>
      <c r="L275" s="157" t="s">
        <v>1402</v>
      </c>
      <c r="M275" s="157" t="str">
        <f t="shared" si="9"/>
        <v>BMS Control Unit - Operation Management - Computing</v>
      </c>
      <c r="N275" s="157"/>
      <c r="O275" s="157"/>
      <c r="P275" s="159"/>
      <c r="Q275" s="157"/>
      <c r="R275" s="157"/>
      <c r="S275" s="157"/>
      <c r="T275" s="157"/>
      <c r="U275" s="159"/>
      <c r="V275" s="159"/>
      <c r="W275" s="159"/>
      <c r="X275" s="160"/>
      <c r="Y275" s="160"/>
      <c r="Z275" s="160"/>
      <c r="AA275" s="160"/>
    </row>
    <row r="276" spans="1:27" ht="18" customHeight="1" x14ac:dyDescent="0.25">
      <c r="A276" s="159">
        <v>242</v>
      </c>
      <c r="B276" s="157" t="s">
        <v>199</v>
      </c>
      <c r="C276" s="157" t="s">
        <v>200</v>
      </c>
      <c r="D276" s="159" t="s">
        <v>1136</v>
      </c>
      <c r="E276" s="157" t="s">
        <v>1134</v>
      </c>
      <c r="F276" s="157" t="s">
        <v>1277</v>
      </c>
      <c r="G276" s="157" t="s">
        <v>1321</v>
      </c>
      <c r="H276" s="157" t="s">
        <v>1382</v>
      </c>
      <c r="I276" s="157" t="s">
        <v>1384</v>
      </c>
      <c r="J276" s="157" t="s">
        <v>1324</v>
      </c>
      <c r="K276" s="157" t="s">
        <v>1274</v>
      </c>
      <c r="L276" s="157" t="s">
        <v>1402</v>
      </c>
      <c r="M276" s="157" t="str">
        <f t="shared" si="9"/>
        <v>BMS Control Unit - Operation Management - Computing</v>
      </c>
      <c r="N276" s="157"/>
      <c r="O276" s="157"/>
      <c r="P276" s="159"/>
      <c r="Q276" s="157"/>
      <c r="R276" s="157"/>
      <c r="S276" s="157"/>
      <c r="T276" s="157"/>
      <c r="U276" s="159"/>
      <c r="V276" s="159"/>
      <c r="W276" s="159"/>
      <c r="X276" s="160"/>
      <c r="Y276" s="160"/>
      <c r="Z276" s="160"/>
      <c r="AA276" s="160"/>
    </row>
    <row r="277" spans="1:27" ht="18" customHeight="1" x14ac:dyDescent="0.25">
      <c r="A277" s="159">
        <v>242</v>
      </c>
      <c r="B277" s="157" t="s">
        <v>199</v>
      </c>
      <c r="C277" s="157" t="s">
        <v>200</v>
      </c>
      <c r="D277" s="159" t="s">
        <v>481</v>
      </c>
      <c r="E277" s="157" t="s">
        <v>1140</v>
      </c>
      <c r="F277" s="157" t="s">
        <v>1277</v>
      </c>
      <c r="G277" s="157" t="s">
        <v>1321</v>
      </c>
      <c r="H277" s="157" t="s">
        <v>1382</v>
      </c>
      <c r="I277" s="157" t="s">
        <v>1384</v>
      </c>
      <c r="J277" s="157" t="s">
        <v>1324</v>
      </c>
      <c r="K277" s="157" t="s">
        <v>1274</v>
      </c>
      <c r="L277" s="157" t="s">
        <v>1402</v>
      </c>
      <c r="M277" s="157" t="str">
        <f t="shared" si="9"/>
        <v>BMS Control Unit - Operation Management - Computing</v>
      </c>
      <c r="N277" s="157"/>
      <c r="O277" s="157"/>
      <c r="P277" s="159"/>
      <c r="Q277" s="157"/>
      <c r="R277" s="157"/>
      <c r="S277" s="157"/>
      <c r="T277" s="157"/>
      <c r="U277" s="159"/>
      <c r="V277" s="159"/>
      <c r="W277" s="159"/>
      <c r="X277" s="160"/>
      <c r="Y277" s="160"/>
      <c r="Z277" s="160"/>
      <c r="AA277" s="160"/>
    </row>
    <row r="278" spans="1:27" ht="18" customHeight="1" x14ac:dyDescent="0.25">
      <c r="A278" s="159">
        <v>242</v>
      </c>
      <c r="B278" s="157" t="s">
        <v>199</v>
      </c>
      <c r="C278" s="157" t="s">
        <v>510</v>
      </c>
      <c r="D278" s="159" t="s">
        <v>513</v>
      </c>
      <c r="E278" s="157" t="s">
        <v>511</v>
      </c>
      <c r="F278" s="157"/>
      <c r="G278" s="157" t="s">
        <v>1321</v>
      </c>
      <c r="H278" s="157" t="s">
        <v>1382</v>
      </c>
      <c r="I278" s="157" t="s">
        <v>1384</v>
      </c>
      <c r="J278" s="157" t="s">
        <v>1324</v>
      </c>
      <c r="K278" s="157" t="s">
        <v>1274</v>
      </c>
      <c r="L278" s="157" t="s">
        <v>1402</v>
      </c>
      <c r="M278" s="157" t="str">
        <f t="shared" si="9"/>
        <v>BMS Control Unit - Operation Management - Computing</v>
      </c>
      <c r="N278" s="157"/>
      <c r="O278" s="157"/>
      <c r="P278" s="159"/>
      <c r="Q278" s="157"/>
      <c r="R278" s="157"/>
      <c r="S278" s="157"/>
      <c r="T278" s="157"/>
      <c r="U278" s="159"/>
      <c r="V278" s="159"/>
      <c r="W278" s="159"/>
      <c r="X278" s="160"/>
      <c r="Y278" s="160"/>
      <c r="Z278" s="160"/>
      <c r="AA278" s="160"/>
    </row>
    <row r="279" spans="1:27" ht="18" customHeight="1" x14ac:dyDescent="0.25">
      <c r="A279" s="159">
        <v>242</v>
      </c>
      <c r="B279" s="157" t="s">
        <v>199</v>
      </c>
      <c r="C279" s="157" t="s">
        <v>485</v>
      </c>
      <c r="D279" s="159" t="s">
        <v>630</v>
      </c>
      <c r="E279" s="157" t="s">
        <v>628</v>
      </c>
      <c r="F279" s="157"/>
      <c r="G279" s="157" t="s">
        <v>1321</v>
      </c>
      <c r="H279" s="157" t="s">
        <v>1382</v>
      </c>
      <c r="I279" s="157" t="s">
        <v>1384</v>
      </c>
      <c r="J279" s="157" t="s">
        <v>1324</v>
      </c>
      <c r="K279" s="157" t="s">
        <v>1274</v>
      </c>
      <c r="L279" s="157" t="s">
        <v>1402</v>
      </c>
      <c r="M279" s="157" t="str">
        <f t="shared" si="9"/>
        <v>BMS Control Unit - Operation Management - Computing</v>
      </c>
      <c r="N279" s="157"/>
      <c r="O279" s="157"/>
      <c r="P279" s="159"/>
      <c r="Q279" s="157"/>
      <c r="R279" s="157"/>
      <c r="S279" s="157"/>
      <c r="T279" s="157"/>
      <c r="U279" s="159"/>
      <c r="V279" s="159"/>
      <c r="W279" s="159"/>
      <c r="X279" s="160"/>
      <c r="Y279" s="160"/>
      <c r="Z279" s="160"/>
      <c r="AA279" s="160"/>
    </row>
    <row r="280" spans="1:27" ht="18" customHeight="1" x14ac:dyDescent="0.25">
      <c r="A280" s="159">
        <v>242</v>
      </c>
      <c r="B280" s="157" t="s">
        <v>199</v>
      </c>
      <c r="C280" s="157" t="s">
        <v>485</v>
      </c>
      <c r="D280" s="159" t="s">
        <v>639</v>
      </c>
      <c r="E280" s="157" t="s">
        <v>637</v>
      </c>
      <c r="F280" s="157"/>
      <c r="G280" s="157" t="s">
        <v>1321</v>
      </c>
      <c r="H280" s="157" t="s">
        <v>1382</v>
      </c>
      <c r="I280" s="157" t="s">
        <v>1384</v>
      </c>
      <c r="J280" s="157" t="s">
        <v>1324</v>
      </c>
      <c r="K280" s="157" t="s">
        <v>1274</v>
      </c>
      <c r="L280" s="157" t="s">
        <v>1402</v>
      </c>
      <c r="M280" s="157" t="str">
        <f t="shared" si="9"/>
        <v>BMS Control Unit - Operation Management - Computing</v>
      </c>
      <c r="N280" s="157"/>
      <c r="O280" s="157"/>
      <c r="P280" s="159"/>
      <c r="Q280" s="157"/>
      <c r="R280" s="157"/>
      <c r="S280" s="157"/>
      <c r="T280" s="157"/>
      <c r="U280" s="159"/>
      <c r="V280" s="159"/>
      <c r="W280" s="159"/>
      <c r="X280" s="160"/>
      <c r="Y280" s="160"/>
      <c r="Z280" s="160"/>
      <c r="AA280" s="160"/>
    </row>
    <row r="281" spans="1:27" ht="18" customHeight="1" x14ac:dyDescent="0.25">
      <c r="A281" s="159">
        <v>242</v>
      </c>
      <c r="B281" s="157" t="s">
        <v>199</v>
      </c>
      <c r="C281" s="157" t="s">
        <v>485</v>
      </c>
      <c r="D281" s="159" t="s">
        <v>814</v>
      </c>
      <c r="E281" s="157" t="s">
        <v>812</v>
      </c>
      <c r="F281" s="157"/>
      <c r="G281" s="157" t="s">
        <v>1321</v>
      </c>
      <c r="H281" s="157" t="s">
        <v>1382</v>
      </c>
      <c r="I281" s="157" t="s">
        <v>1384</v>
      </c>
      <c r="J281" s="157" t="s">
        <v>1324</v>
      </c>
      <c r="K281" s="157" t="s">
        <v>1274</v>
      </c>
      <c r="L281" s="157" t="s">
        <v>1402</v>
      </c>
      <c r="M281" s="157" t="str">
        <f t="shared" si="9"/>
        <v>BMS Control Unit - Operation Management - Computing</v>
      </c>
      <c r="N281" s="157"/>
      <c r="O281" s="157"/>
      <c r="P281" s="159"/>
      <c r="Q281" s="157"/>
      <c r="R281" s="157"/>
      <c r="S281" s="157"/>
      <c r="T281" s="157"/>
      <c r="U281" s="159"/>
      <c r="V281" s="159"/>
      <c r="W281" s="159"/>
      <c r="X281" s="160"/>
      <c r="Y281" s="160"/>
      <c r="Z281" s="160"/>
      <c r="AA281" s="160"/>
    </row>
    <row r="282" spans="1:27" ht="18" customHeight="1" x14ac:dyDescent="0.25">
      <c r="A282" s="159">
        <v>242</v>
      </c>
      <c r="B282" s="157" t="s">
        <v>199</v>
      </c>
      <c r="C282" s="157" t="s">
        <v>485</v>
      </c>
      <c r="D282" s="159" t="s">
        <v>817</v>
      </c>
      <c r="E282" s="157" t="s">
        <v>815</v>
      </c>
      <c r="F282" s="157"/>
      <c r="G282" s="157" t="s">
        <v>1321</v>
      </c>
      <c r="H282" s="157" t="s">
        <v>1382</v>
      </c>
      <c r="I282" s="157" t="s">
        <v>1384</v>
      </c>
      <c r="J282" s="157" t="s">
        <v>1324</v>
      </c>
      <c r="K282" s="157" t="s">
        <v>1274</v>
      </c>
      <c r="L282" s="157" t="s">
        <v>1402</v>
      </c>
      <c r="M282" s="157" t="str">
        <f t="shared" si="9"/>
        <v>BMS Control Unit - Operation Management - Computing</v>
      </c>
      <c r="N282" s="157"/>
      <c r="O282" s="157"/>
      <c r="P282" s="159"/>
      <c r="Q282" s="157"/>
      <c r="R282" s="157"/>
      <c r="S282" s="157"/>
      <c r="T282" s="157"/>
      <c r="U282" s="159"/>
      <c r="V282" s="159"/>
      <c r="W282" s="159"/>
      <c r="X282" s="160"/>
      <c r="Y282" s="160"/>
      <c r="Z282" s="160"/>
      <c r="AA282" s="160"/>
    </row>
    <row r="283" spans="1:27" ht="18" customHeight="1" x14ac:dyDescent="0.25">
      <c r="A283" s="159">
        <v>242</v>
      </c>
      <c r="B283" s="157" t="s">
        <v>199</v>
      </c>
      <c r="C283" s="157" t="s">
        <v>485</v>
      </c>
      <c r="D283" s="159" t="s">
        <v>942</v>
      </c>
      <c r="E283" s="157" t="s">
        <v>940</v>
      </c>
      <c r="F283" s="157" t="s">
        <v>1264</v>
      </c>
      <c r="G283" s="157" t="s">
        <v>1321</v>
      </c>
      <c r="H283" s="157" t="s">
        <v>1382</v>
      </c>
      <c r="I283" s="157" t="s">
        <v>1384</v>
      </c>
      <c r="J283" s="157" t="s">
        <v>1324</v>
      </c>
      <c r="K283" s="157" t="s">
        <v>1274</v>
      </c>
      <c r="L283" s="157" t="s">
        <v>1402</v>
      </c>
      <c r="M283" s="157" t="str">
        <f t="shared" si="9"/>
        <v>BMS Control Unit - Operation Management - Computing</v>
      </c>
      <c r="N283" s="157"/>
      <c r="O283" s="157"/>
      <c r="P283" s="159"/>
      <c r="Q283" s="157"/>
      <c r="R283" s="157"/>
      <c r="S283" s="157"/>
      <c r="T283" s="157"/>
      <c r="U283" s="159"/>
      <c r="V283" s="159"/>
      <c r="W283" s="159"/>
      <c r="X283" s="160"/>
      <c r="Y283" s="160"/>
      <c r="Z283" s="160"/>
      <c r="AA283" s="160"/>
    </row>
    <row r="284" spans="1:27" ht="18" customHeight="1" x14ac:dyDescent="0.25">
      <c r="A284" s="159">
        <v>242</v>
      </c>
      <c r="B284" s="157" t="s">
        <v>199</v>
      </c>
      <c r="C284" s="157" t="s">
        <v>485</v>
      </c>
      <c r="D284" s="159" t="s">
        <v>967</v>
      </c>
      <c r="E284" s="157" t="s">
        <v>965</v>
      </c>
      <c r="F284" s="157"/>
      <c r="G284" s="157" t="s">
        <v>1321</v>
      </c>
      <c r="H284" s="157" t="s">
        <v>1382</v>
      </c>
      <c r="I284" s="157" t="s">
        <v>1384</v>
      </c>
      <c r="J284" s="157" t="s">
        <v>1324</v>
      </c>
      <c r="K284" s="157" t="s">
        <v>1274</v>
      </c>
      <c r="L284" s="157" t="s">
        <v>1402</v>
      </c>
      <c r="M284" s="157" t="str">
        <f t="shared" si="9"/>
        <v>BMS Control Unit - Operation Management - Computing</v>
      </c>
      <c r="N284" s="157"/>
      <c r="O284" s="157"/>
      <c r="P284" s="159"/>
      <c r="Q284" s="157"/>
      <c r="R284" s="157"/>
      <c r="S284" s="157"/>
      <c r="T284" s="157"/>
      <c r="U284" s="159"/>
      <c r="V284" s="159"/>
      <c r="W284" s="159"/>
      <c r="X284" s="160"/>
      <c r="Y284" s="160"/>
      <c r="Z284" s="160"/>
      <c r="AA284" s="160"/>
    </row>
    <row r="285" spans="1:27" ht="18" customHeight="1" x14ac:dyDescent="0.25">
      <c r="A285" s="159">
        <v>242</v>
      </c>
      <c r="B285" s="157" t="s">
        <v>57</v>
      </c>
      <c r="C285" s="157" t="s">
        <v>349</v>
      </c>
      <c r="D285" s="159" t="s">
        <v>352</v>
      </c>
      <c r="E285" s="157" t="s">
        <v>350</v>
      </c>
      <c r="F285" s="157" t="s">
        <v>1320</v>
      </c>
      <c r="G285" s="157" t="s">
        <v>1321</v>
      </c>
      <c r="H285" s="157" t="s">
        <v>1382</v>
      </c>
      <c r="I285" s="157" t="s">
        <v>1384</v>
      </c>
      <c r="J285" s="157" t="s">
        <v>1324</v>
      </c>
      <c r="K285" s="157" t="s">
        <v>1274</v>
      </c>
      <c r="L285" s="157" t="s">
        <v>1402</v>
      </c>
      <c r="M285" s="157" t="str">
        <f t="shared" si="9"/>
        <v>BMS Control Unit - Operation Management - Computing</v>
      </c>
      <c r="N285" s="157"/>
      <c r="O285" s="157"/>
      <c r="P285" s="159"/>
      <c r="Q285" s="157"/>
      <c r="R285" s="157"/>
      <c r="S285" s="157"/>
      <c r="T285" s="157"/>
      <c r="U285" s="159"/>
      <c r="V285" s="159"/>
      <c r="W285" s="159"/>
      <c r="X285" s="160"/>
      <c r="Y285" s="160"/>
      <c r="Z285" s="160"/>
      <c r="AA285" s="160"/>
    </row>
    <row r="286" spans="1:27" ht="18" customHeight="1" x14ac:dyDescent="0.25">
      <c r="A286" s="159">
        <v>242</v>
      </c>
      <c r="B286" s="157"/>
      <c r="C286" s="157"/>
      <c r="D286" s="159" t="s">
        <v>488</v>
      </c>
      <c r="E286" s="157" t="s">
        <v>1319</v>
      </c>
      <c r="F286" s="157" t="s">
        <v>1320</v>
      </c>
      <c r="G286" s="157" t="s">
        <v>1321</v>
      </c>
      <c r="H286" s="157" t="s">
        <v>1382</v>
      </c>
      <c r="I286" s="157" t="s">
        <v>1384</v>
      </c>
      <c r="J286" s="157" t="s">
        <v>1324</v>
      </c>
      <c r="K286" s="157" t="s">
        <v>1274</v>
      </c>
      <c r="L286" s="157" t="s">
        <v>1402</v>
      </c>
      <c r="M286" s="157" t="str">
        <f t="shared" si="9"/>
        <v>BMS Control Unit - Operation Management - Computing</v>
      </c>
      <c r="N286" s="157"/>
      <c r="O286" s="157"/>
      <c r="P286" s="159"/>
      <c r="Q286" s="157"/>
      <c r="R286" s="157"/>
      <c r="S286" s="157"/>
      <c r="T286" s="157"/>
      <c r="U286" s="159"/>
      <c r="V286" s="159"/>
      <c r="W286" s="159"/>
      <c r="X286" s="160"/>
      <c r="Y286" s="160"/>
      <c r="Z286" s="160"/>
      <c r="AA286" s="160"/>
    </row>
    <row r="287" spans="1:27" ht="18" customHeight="1" x14ac:dyDescent="0.25">
      <c r="A287" s="159">
        <v>242</v>
      </c>
      <c r="B287" s="157"/>
      <c r="C287" s="157"/>
      <c r="D287" s="159" t="s">
        <v>633</v>
      </c>
      <c r="E287" s="157" t="s">
        <v>1325</v>
      </c>
      <c r="F287" s="157"/>
      <c r="G287" s="157" t="s">
        <v>1321</v>
      </c>
      <c r="H287" s="157" t="s">
        <v>1382</v>
      </c>
      <c r="I287" s="157" t="s">
        <v>1384</v>
      </c>
      <c r="J287" s="157" t="s">
        <v>1324</v>
      </c>
      <c r="K287" s="157" t="s">
        <v>1274</v>
      </c>
      <c r="L287" s="157" t="s">
        <v>1402</v>
      </c>
      <c r="M287" s="157" t="str">
        <f t="shared" si="9"/>
        <v>BMS Control Unit - Operation Management - Computing</v>
      </c>
      <c r="N287" s="157"/>
      <c r="O287" s="157"/>
      <c r="P287" s="159"/>
      <c r="Q287" s="157"/>
      <c r="R287" s="157"/>
      <c r="S287" s="157"/>
      <c r="T287" s="157"/>
      <c r="U287" s="159"/>
      <c r="V287" s="159"/>
      <c r="W287" s="159"/>
      <c r="X287" s="160"/>
      <c r="Y287" s="160"/>
      <c r="Z287" s="160"/>
      <c r="AA287" s="160"/>
    </row>
    <row r="288" spans="1:27" ht="18" customHeight="1" x14ac:dyDescent="0.25">
      <c r="A288" s="159">
        <v>242</v>
      </c>
      <c r="B288" s="157"/>
      <c r="C288" s="157"/>
      <c r="D288" s="159" t="s">
        <v>1127</v>
      </c>
      <c r="E288" s="157" t="s">
        <v>1392</v>
      </c>
      <c r="F288" s="157" t="s">
        <v>1277</v>
      </c>
      <c r="G288" s="157" t="s">
        <v>1321</v>
      </c>
      <c r="H288" s="157" t="s">
        <v>1382</v>
      </c>
      <c r="I288" s="157" t="s">
        <v>1384</v>
      </c>
      <c r="J288" s="157" t="s">
        <v>1324</v>
      </c>
      <c r="K288" s="157" t="s">
        <v>1274</v>
      </c>
      <c r="L288" s="157" t="s">
        <v>1402</v>
      </c>
      <c r="M288" s="157" t="str">
        <f t="shared" si="9"/>
        <v>BMS Control Unit - Operation Management - Computing</v>
      </c>
      <c r="N288" s="157"/>
      <c r="O288" s="157"/>
      <c r="P288" s="159"/>
      <c r="Q288" s="157"/>
      <c r="R288" s="157"/>
      <c r="S288" s="157"/>
      <c r="T288" s="157"/>
      <c r="U288" s="159"/>
      <c r="V288" s="159"/>
      <c r="W288" s="159"/>
      <c r="X288" s="160"/>
      <c r="Y288" s="160"/>
      <c r="Z288" s="160"/>
      <c r="AA288" s="160"/>
    </row>
    <row r="289" spans="1:27" ht="18" customHeight="1" x14ac:dyDescent="0.25">
      <c r="A289" s="159">
        <v>243</v>
      </c>
      <c r="B289" s="157" t="s">
        <v>256</v>
      </c>
      <c r="C289" s="157" t="s">
        <v>532</v>
      </c>
      <c r="D289" s="159" t="s">
        <v>1063</v>
      </c>
      <c r="E289" s="157" t="s">
        <v>1061</v>
      </c>
      <c r="F289" s="157" t="s">
        <v>1010</v>
      </c>
      <c r="G289" s="157" t="s">
        <v>1299</v>
      </c>
      <c r="H289" s="157" t="s">
        <v>1326</v>
      </c>
      <c r="I289" s="157" t="s">
        <v>1327</v>
      </c>
      <c r="J289" s="157" t="s">
        <v>1328</v>
      </c>
      <c r="K289" s="157" t="s">
        <v>1312</v>
      </c>
      <c r="L289" s="157" t="s">
        <v>2056</v>
      </c>
      <c r="M289" s="157" t="str">
        <f t="shared" si="9"/>
        <v>Wear Sensor Rear Right - Pad Warning</v>
      </c>
      <c r="N289" s="157"/>
      <c r="O289" s="157"/>
      <c r="P289" s="159" t="s">
        <v>4122</v>
      </c>
      <c r="Q289" s="157" t="s">
        <v>2115</v>
      </c>
      <c r="R289" s="157" t="s">
        <v>2130</v>
      </c>
      <c r="S289" s="157" t="s">
        <v>8609</v>
      </c>
      <c r="T289" s="157" t="s">
        <v>2129</v>
      </c>
      <c r="U289" s="159" t="s">
        <v>2129</v>
      </c>
      <c r="V289" s="159" t="s">
        <v>2129</v>
      </c>
      <c r="W289" s="159" t="s">
        <v>2138</v>
      </c>
      <c r="X289" s="160">
        <v>1</v>
      </c>
      <c r="Y289" s="160">
        <v>1</v>
      </c>
      <c r="Z289" s="160">
        <v>1</v>
      </c>
      <c r="AA289" s="160">
        <v>1</v>
      </c>
    </row>
    <row r="290" spans="1:27" ht="18" customHeight="1" x14ac:dyDescent="0.25">
      <c r="A290" s="159">
        <v>249</v>
      </c>
      <c r="B290" s="157" t="s">
        <v>22</v>
      </c>
      <c r="C290" s="157" t="s">
        <v>132</v>
      </c>
      <c r="D290" s="159" t="s">
        <v>142</v>
      </c>
      <c r="E290" s="157" t="s">
        <v>140</v>
      </c>
      <c r="F290" s="157" t="s">
        <v>1298</v>
      </c>
      <c r="G290" s="157" t="s">
        <v>1299</v>
      </c>
      <c r="H290" s="157" t="s">
        <v>1300</v>
      </c>
      <c r="I290" s="157" t="s">
        <v>1337</v>
      </c>
      <c r="J290" s="157" t="s">
        <v>1285</v>
      </c>
      <c r="K290" s="157" t="s">
        <v>1302</v>
      </c>
      <c r="L290" s="157" t="s">
        <v>1403</v>
      </c>
      <c r="M290" s="157" t="str">
        <f t="shared" si="9"/>
        <v>Retractor 1st Row R 2 - Load Limiter - Retractor Load Limiter</v>
      </c>
      <c r="N290" s="157"/>
      <c r="O290" s="157"/>
      <c r="P290" s="159" t="s">
        <v>5671</v>
      </c>
      <c r="Q290" s="157"/>
      <c r="R290" s="157"/>
      <c r="S290" s="157"/>
      <c r="T290" s="157"/>
      <c r="U290" s="159" t="s">
        <v>2129</v>
      </c>
      <c r="V290" s="159" t="s">
        <v>2129</v>
      </c>
      <c r="W290" s="159" t="s">
        <v>2138</v>
      </c>
      <c r="X290" s="160">
        <v>0</v>
      </c>
      <c r="Y290" s="160">
        <v>0</v>
      </c>
      <c r="Z290" s="160">
        <v>0</v>
      </c>
      <c r="AA290" s="160">
        <v>0</v>
      </c>
    </row>
    <row r="291" spans="1:27" ht="18" customHeight="1" x14ac:dyDescent="0.25">
      <c r="A291" s="159">
        <v>250</v>
      </c>
      <c r="B291" s="157" t="s">
        <v>22</v>
      </c>
      <c r="C291" s="157" t="s">
        <v>132</v>
      </c>
      <c r="D291" s="159" t="s">
        <v>893</v>
      </c>
      <c r="E291" s="157" t="s">
        <v>892</v>
      </c>
      <c r="F291" s="157" t="s">
        <v>1264</v>
      </c>
      <c r="G291" s="157" t="s">
        <v>1299</v>
      </c>
      <c r="H291" s="157" t="s">
        <v>1300</v>
      </c>
      <c r="I291" s="157" t="s">
        <v>1335</v>
      </c>
      <c r="J291" s="157" t="s">
        <v>1285</v>
      </c>
      <c r="K291" s="157" t="s">
        <v>1302</v>
      </c>
      <c r="L291" s="157" t="s">
        <v>1404</v>
      </c>
      <c r="M291" s="157" t="str">
        <f t="shared" si="9"/>
        <v>Retractor 2nd Row R - Retractor</v>
      </c>
      <c r="N291" s="157"/>
      <c r="O291" s="157"/>
      <c r="P291" s="159" t="s">
        <v>4020</v>
      </c>
      <c r="Q291" s="157"/>
      <c r="R291" s="157"/>
      <c r="S291" s="157"/>
      <c r="T291" s="157"/>
      <c r="U291" s="159" t="s">
        <v>2129</v>
      </c>
      <c r="V291" s="159" t="s">
        <v>2138</v>
      </c>
      <c r="W291" s="159" t="s">
        <v>2138</v>
      </c>
      <c r="X291" s="160">
        <v>0</v>
      </c>
      <c r="Y291" s="160">
        <v>0</v>
      </c>
      <c r="Z291" s="160">
        <v>0</v>
      </c>
      <c r="AA291" s="160">
        <v>0</v>
      </c>
    </row>
    <row r="292" spans="1:27" ht="18" customHeight="1" x14ac:dyDescent="0.25">
      <c r="A292" s="159">
        <v>251</v>
      </c>
      <c r="B292" s="157" t="s">
        <v>22</v>
      </c>
      <c r="C292" s="157" t="s">
        <v>132</v>
      </c>
      <c r="D292" s="159" t="s">
        <v>142</v>
      </c>
      <c r="E292" s="157" t="s">
        <v>140</v>
      </c>
      <c r="F292" s="157" t="s">
        <v>1298</v>
      </c>
      <c r="G292" s="157" t="s">
        <v>1299</v>
      </c>
      <c r="H292" s="157" t="s">
        <v>1300</v>
      </c>
      <c r="I292" s="157" t="s">
        <v>1333</v>
      </c>
      <c r="J292" s="157" t="s">
        <v>1285</v>
      </c>
      <c r="K292" s="157" t="s">
        <v>1302</v>
      </c>
      <c r="L292" s="157" t="s">
        <v>1405</v>
      </c>
      <c r="M292" s="157" t="str">
        <f t="shared" si="9"/>
        <v>Retractor 1st Row R 1 - Pretensioner - Pretensioner Retractor</v>
      </c>
      <c r="N292" s="157"/>
      <c r="O292" s="157"/>
      <c r="P292" s="159" t="s">
        <v>3998</v>
      </c>
      <c r="Q292" s="157"/>
      <c r="R292" s="157"/>
      <c r="S292" s="157"/>
      <c r="T292" s="157"/>
      <c r="U292" s="159" t="s">
        <v>2129</v>
      </c>
      <c r="V292" s="159" t="s">
        <v>2138</v>
      </c>
      <c r="W292" s="159" t="s">
        <v>2138</v>
      </c>
      <c r="X292" s="160">
        <v>0</v>
      </c>
      <c r="Y292" s="160">
        <v>0</v>
      </c>
      <c r="Z292" s="160">
        <v>0</v>
      </c>
      <c r="AA292" s="160">
        <v>0</v>
      </c>
    </row>
    <row r="293" spans="1:27" ht="18" customHeight="1" x14ac:dyDescent="0.25">
      <c r="A293" s="166">
        <v>253</v>
      </c>
      <c r="B293" s="157" t="s">
        <v>29</v>
      </c>
      <c r="C293" s="157" t="s">
        <v>30</v>
      </c>
      <c r="D293" s="159" t="s">
        <v>33</v>
      </c>
      <c r="E293" s="157" t="s">
        <v>31</v>
      </c>
      <c r="F293" s="157" t="s">
        <v>1275</v>
      </c>
      <c r="G293" s="157" t="s">
        <v>1536</v>
      </c>
      <c r="H293" s="157" t="s">
        <v>1287</v>
      </c>
      <c r="I293" s="157" t="s">
        <v>1406</v>
      </c>
      <c r="J293" s="157" t="s">
        <v>1455</v>
      </c>
      <c r="K293" s="157" t="s">
        <v>1269</v>
      </c>
      <c r="L293" s="157" t="s">
        <v>8478</v>
      </c>
      <c r="M293" s="157" t="str">
        <f t="shared" si="9"/>
        <v>Taillamp Assy' LED Right - Body - Rear Lamps R</v>
      </c>
      <c r="N293" s="164"/>
      <c r="O293" s="165"/>
      <c r="P293" s="159" t="s">
        <v>4233</v>
      </c>
      <c r="Q293" s="157"/>
      <c r="R293" s="157"/>
      <c r="S293" s="157"/>
      <c r="T293" s="157"/>
      <c r="U293" s="159" t="s">
        <v>2129</v>
      </c>
      <c r="V293" s="159" t="s">
        <v>2138</v>
      </c>
      <c r="W293" s="159" t="s">
        <v>2129</v>
      </c>
      <c r="X293" s="160">
        <v>0.35</v>
      </c>
      <c r="Y293" s="160">
        <v>0.16</v>
      </c>
      <c r="Z293" s="160">
        <v>0.56999999999999995</v>
      </c>
      <c r="AA293" s="160">
        <v>0.35</v>
      </c>
    </row>
    <row r="294" spans="1:27" ht="18" customHeight="1" x14ac:dyDescent="0.25">
      <c r="A294" s="166">
        <v>253</v>
      </c>
      <c r="B294" s="157" t="s">
        <v>29</v>
      </c>
      <c r="C294" s="157" t="s">
        <v>30</v>
      </c>
      <c r="D294" s="159" t="s">
        <v>95</v>
      </c>
      <c r="E294" s="157" t="s">
        <v>93</v>
      </c>
      <c r="F294" s="157" t="s">
        <v>1275</v>
      </c>
      <c r="G294" s="157" t="s">
        <v>1536</v>
      </c>
      <c r="H294" s="157" t="s">
        <v>1287</v>
      </c>
      <c r="I294" s="157" t="s">
        <v>1406</v>
      </c>
      <c r="J294" s="157" t="s">
        <v>1455</v>
      </c>
      <c r="K294" s="157" t="s">
        <v>1269</v>
      </c>
      <c r="L294" s="157" t="s">
        <v>8478</v>
      </c>
      <c r="M294" s="157" t="str">
        <f t="shared" si="9"/>
        <v>Taillamp Assy' LED Right - Body - Rear Lamps R</v>
      </c>
      <c r="N294" s="164"/>
      <c r="O294" s="165"/>
      <c r="P294" s="159" t="s">
        <v>4233</v>
      </c>
      <c r="Q294" s="157"/>
      <c r="R294" s="157"/>
      <c r="S294" s="157"/>
      <c r="T294" s="157"/>
      <c r="U294" s="159" t="s">
        <v>2129</v>
      </c>
      <c r="V294" s="159" t="s">
        <v>2138</v>
      </c>
      <c r="W294" s="159" t="s">
        <v>2129</v>
      </c>
      <c r="X294" s="160">
        <v>0.35</v>
      </c>
      <c r="Y294" s="160">
        <v>0.16</v>
      </c>
      <c r="Z294" s="160">
        <v>0.56999999999999995</v>
      </c>
      <c r="AA294" s="160">
        <v>0.35</v>
      </c>
    </row>
    <row r="295" spans="1:27" ht="18" customHeight="1" x14ac:dyDescent="0.25">
      <c r="A295" s="166">
        <v>253</v>
      </c>
      <c r="B295" s="157" t="s">
        <v>29</v>
      </c>
      <c r="C295" s="157" t="s">
        <v>30</v>
      </c>
      <c r="D295" s="159" t="s">
        <v>233</v>
      </c>
      <c r="E295" s="157" t="s">
        <v>231</v>
      </c>
      <c r="F295" s="157" t="s">
        <v>1264</v>
      </c>
      <c r="G295" s="157" t="s">
        <v>1536</v>
      </c>
      <c r="H295" s="157" t="s">
        <v>1287</v>
      </c>
      <c r="I295" s="157" t="s">
        <v>1406</v>
      </c>
      <c r="J295" s="157" t="s">
        <v>1455</v>
      </c>
      <c r="K295" s="157" t="s">
        <v>1269</v>
      </c>
      <c r="L295" s="157" t="s">
        <v>8478</v>
      </c>
      <c r="M295" s="157" t="str">
        <f t="shared" si="9"/>
        <v>Taillamp Assy' LED Right - Body - Rear Lamps R</v>
      </c>
      <c r="N295" s="164"/>
      <c r="O295" s="165"/>
      <c r="P295" s="159" t="s">
        <v>4233</v>
      </c>
      <c r="Q295" s="157"/>
      <c r="R295" s="157"/>
      <c r="S295" s="157"/>
      <c r="T295" s="157"/>
      <c r="U295" s="159" t="s">
        <v>2129</v>
      </c>
      <c r="V295" s="159" t="s">
        <v>2138</v>
      </c>
      <c r="W295" s="159" t="s">
        <v>2129</v>
      </c>
      <c r="X295" s="160">
        <v>0.35</v>
      </c>
      <c r="Y295" s="160">
        <v>0.16</v>
      </c>
      <c r="Z295" s="160">
        <v>0.56999999999999995</v>
      </c>
      <c r="AA295" s="160">
        <v>0.35</v>
      </c>
    </row>
    <row r="296" spans="1:27" ht="18" customHeight="1" x14ac:dyDescent="0.25">
      <c r="A296" s="166">
        <v>253</v>
      </c>
      <c r="B296" s="157" t="s">
        <v>29</v>
      </c>
      <c r="C296" s="157" t="s">
        <v>30</v>
      </c>
      <c r="D296" s="159" t="s">
        <v>377</v>
      </c>
      <c r="E296" s="157" t="s">
        <v>375</v>
      </c>
      <c r="F296" s="157" t="s">
        <v>1264</v>
      </c>
      <c r="G296" s="157" t="s">
        <v>1536</v>
      </c>
      <c r="H296" s="157" t="s">
        <v>1287</v>
      </c>
      <c r="I296" s="157" t="s">
        <v>1406</v>
      </c>
      <c r="J296" s="157" t="s">
        <v>1455</v>
      </c>
      <c r="K296" s="157" t="s">
        <v>1269</v>
      </c>
      <c r="L296" s="157" t="s">
        <v>8478</v>
      </c>
      <c r="M296" s="157" t="str">
        <f t="shared" si="9"/>
        <v>Taillamp Assy' LED Right - Body - Rear Lamps R</v>
      </c>
      <c r="N296" s="164"/>
      <c r="O296" s="165"/>
      <c r="P296" s="159" t="s">
        <v>4233</v>
      </c>
      <c r="Q296" s="157"/>
      <c r="R296" s="157"/>
      <c r="S296" s="157"/>
      <c r="T296" s="157"/>
      <c r="U296" s="159" t="s">
        <v>2129</v>
      </c>
      <c r="V296" s="159" t="s">
        <v>2138</v>
      </c>
      <c r="W296" s="159" t="s">
        <v>2129</v>
      </c>
      <c r="X296" s="160">
        <v>0.35</v>
      </c>
      <c r="Y296" s="160">
        <v>0.16</v>
      </c>
      <c r="Z296" s="160">
        <v>0.56999999999999995</v>
      </c>
      <c r="AA296" s="160">
        <v>0.35</v>
      </c>
    </row>
    <row r="297" spans="1:27" ht="18" customHeight="1" x14ac:dyDescent="0.25">
      <c r="A297" s="166">
        <v>253</v>
      </c>
      <c r="B297" s="157" t="s">
        <v>29</v>
      </c>
      <c r="C297" s="157" t="s">
        <v>30</v>
      </c>
      <c r="D297" s="159" t="s">
        <v>380</v>
      </c>
      <c r="E297" s="157" t="s">
        <v>378</v>
      </c>
      <c r="F297" s="157" t="s">
        <v>1264</v>
      </c>
      <c r="G297" s="157" t="s">
        <v>1536</v>
      </c>
      <c r="H297" s="157" t="s">
        <v>1287</v>
      </c>
      <c r="I297" s="157" t="s">
        <v>1406</v>
      </c>
      <c r="J297" s="157" t="s">
        <v>1455</v>
      </c>
      <c r="K297" s="157" t="s">
        <v>1269</v>
      </c>
      <c r="L297" s="157" t="s">
        <v>8478</v>
      </c>
      <c r="M297" s="157" t="str">
        <f t="shared" si="9"/>
        <v>Taillamp Assy' LED Right - Body - Rear Lamps R</v>
      </c>
      <c r="N297" s="164"/>
      <c r="O297" s="165"/>
      <c r="P297" s="159" t="s">
        <v>4233</v>
      </c>
      <c r="Q297" s="157"/>
      <c r="R297" s="157"/>
      <c r="S297" s="157"/>
      <c r="T297" s="157"/>
      <c r="U297" s="159" t="s">
        <v>2129</v>
      </c>
      <c r="V297" s="159" t="s">
        <v>2138</v>
      </c>
      <c r="W297" s="159" t="s">
        <v>2129</v>
      </c>
      <c r="X297" s="160">
        <v>0.35</v>
      </c>
      <c r="Y297" s="160">
        <v>0.16</v>
      </c>
      <c r="Z297" s="160">
        <v>0.56999999999999995</v>
      </c>
      <c r="AA297" s="160">
        <v>0.35</v>
      </c>
    </row>
    <row r="298" spans="1:27" ht="18" customHeight="1" x14ac:dyDescent="0.25">
      <c r="A298" s="166">
        <v>253</v>
      </c>
      <c r="B298" s="157" t="s">
        <v>29</v>
      </c>
      <c r="C298" s="157" t="s">
        <v>30</v>
      </c>
      <c r="D298" s="159" t="s">
        <v>398</v>
      </c>
      <c r="E298" s="157" t="s">
        <v>396</v>
      </c>
      <c r="F298" s="157" t="s">
        <v>1264</v>
      </c>
      <c r="G298" s="157" t="s">
        <v>1536</v>
      </c>
      <c r="H298" s="157" t="s">
        <v>1287</v>
      </c>
      <c r="I298" s="157" t="s">
        <v>1406</v>
      </c>
      <c r="J298" s="157" t="s">
        <v>1455</v>
      </c>
      <c r="K298" s="157" t="s">
        <v>1269</v>
      </c>
      <c r="L298" s="157" t="s">
        <v>8478</v>
      </c>
      <c r="M298" s="157" t="str">
        <f t="shared" si="9"/>
        <v>Taillamp Assy' LED Right - Body - Rear Lamps R</v>
      </c>
      <c r="N298" s="164"/>
      <c r="O298" s="165"/>
      <c r="P298" s="159" t="s">
        <v>4233</v>
      </c>
      <c r="Q298" s="157"/>
      <c r="R298" s="157"/>
      <c r="S298" s="157"/>
      <c r="T298" s="157"/>
      <c r="U298" s="159" t="s">
        <v>2129</v>
      </c>
      <c r="V298" s="159" t="s">
        <v>2138</v>
      </c>
      <c r="W298" s="159" t="s">
        <v>2129</v>
      </c>
      <c r="X298" s="160">
        <v>0.35</v>
      </c>
      <c r="Y298" s="160">
        <v>0.16</v>
      </c>
      <c r="Z298" s="160">
        <v>0.56999999999999995</v>
      </c>
      <c r="AA298" s="160">
        <v>0.35</v>
      </c>
    </row>
    <row r="299" spans="1:27" ht="18" customHeight="1" x14ac:dyDescent="0.25">
      <c r="A299" s="166">
        <v>253</v>
      </c>
      <c r="B299" s="157" t="s">
        <v>29</v>
      </c>
      <c r="C299" s="157" t="s">
        <v>30</v>
      </c>
      <c r="D299" s="159" t="s">
        <v>401</v>
      </c>
      <c r="E299" s="157" t="s">
        <v>399</v>
      </c>
      <c r="F299" s="157" t="s">
        <v>1275</v>
      </c>
      <c r="G299" s="157" t="s">
        <v>1536</v>
      </c>
      <c r="H299" s="157" t="s">
        <v>1287</v>
      </c>
      <c r="I299" s="157" t="s">
        <v>1406</v>
      </c>
      <c r="J299" s="157" t="s">
        <v>1455</v>
      </c>
      <c r="K299" s="157" t="s">
        <v>1269</v>
      </c>
      <c r="L299" s="157" t="s">
        <v>8478</v>
      </c>
      <c r="M299" s="157" t="str">
        <f t="shared" si="9"/>
        <v>Taillamp Assy' LED Right - Body - Rear Lamps R</v>
      </c>
      <c r="N299" s="164"/>
      <c r="O299" s="165"/>
      <c r="P299" s="159" t="s">
        <v>4233</v>
      </c>
      <c r="Q299" s="157"/>
      <c r="R299" s="157"/>
      <c r="S299" s="157"/>
      <c r="T299" s="157"/>
      <c r="U299" s="159" t="s">
        <v>2129</v>
      </c>
      <c r="V299" s="159" t="s">
        <v>2138</v>
      </c>
      <c r="W299" s="159" t="s">
        <v>2129</v>
      </c>
      <c r="X299" s="160">
        <v>0.35</v>
      </c>
      <c r="Y299" s="160">
        <v>0.16</v>
      </c>
      <c r="Z299" s="160">
        <v>0.56999999999999995</v>
      </c>
      <c r="AA299" s="160">
        <v>0.35</v>
      </c>
    </row>
    <row r="300" spans="1:27" ht="18" customHeight="1" x14ac:dyDescent="0.25">
      <c r="A300" s="166">
        <v>253</v>
      </c>
      <c r="B300" s="157" t="s">
        <v>29</v>
      </c>
      <c r="C300" s="157" t="s">
        <v>30</v>
      </c>
      <c r="D300" s="159" t="s">
        <v>96</v>
      </c>
      <c r="E300" s="157" t="s">
        <v>402</v>
      </c>
      <c r="F300" s="157" t="s">
        <v>1275</v>
      </c>
      <c r="G300" s="157" t="s">
        <v>1536</v>
      </c>
      <c r="H300" s="157" t="s">
        <v>1287</v>
      </c>
      <c r="I300" s="157" t="s">
        <v>1406</v>
      </c>
      <c r="J300" s="157" t="s">
        <v>1455</v>
      </c>
      <c r="K300" s="157" t="s">
        <v>1269</v>
      </c>
      <c r="L300" s="157" t="s">
        <v>8478</v>
      </c>
      <c r="M300" s="157" t="str">
        <f t="shared" si="9"/>
        <v>Taillamp Assy' LED Right - Body - Rear Lamps R</v>
      </c>
      <c r="N300" s="164"/>
      <c r="O300" s="165"/>
      <c r="P300" s="159" t="s">
        <v>4233</v>
      </c>
      <c r="Q300" s="157"/>
      <c r="R300" s="157"/>
      <c r="S300" s="157"/>
      <c r="T300" s="157"/>
      <c r="U300" s="159" t="s">
        <v>2129</v>
      </c>
      <c r="V300" s="159" t="s">
        <v>2138</v>
      </c>
      <c r="W300" s="159" t="s">
        <v>2129</v>
      </c>
      <c r="X300" s="160">
        <v>0.35</v>
      </c>
      <c r="Y300" s="160">
        <v>0.16</v>
      </c>
      <c r="Z300" s="160">
        <v>0.56999999999999995</v>
      </c>
      <c r="AA300" s="160">
        <v>0.35</v>
      </c>
    </row>
    <row r="301" spans="1:27" ht="18" customHeight="1" x14ac:dyDescent="0.25">
      <c r="A301" s="166">
        <v>253</v>
      </c>
      <c r="B301" s="157" t="s">
        <v>29</v>
      </c>
      <c r="C301" s="157" t="s">
        <v>30</v>
      </c>
      <c r="D301" s="159" t="s">
        <v>34</v>
      </c>
      <c r="E301" s="157" t="s">
        <v>404</v>
      </c>
      <c r="F301" s="157" t="s">
        <v>1275</v>
      </c>
      <c r="G301" s="157" t="s">
        <v>1536</v>
      </c>
      <c r="H301" s="157" t="s">
        <v>1287</v>
      </c>
      <c r="I301" s="157" t="s">
        <v>1406</v>
      </c>
      <c r="J301" s="157" t="s">
        <v>1455</v>
      </c>
      <c r="K301" s="157" t="s">
        <v>1269</v>
      </c>
      <c r="L301" s="157" t="s">
        <v>8478</v>
      </c>
      <c r="M301" s="157" t="str">
        <f t="shared" si="9"/>
        <v>Taillamp Assy' LED Right - Body - Rear Lamps R</v>
      </c>
      <c r="N301" s="164"/>
      <c r="O301" s="165"/>
      <c r="P301" s="159" t="s">
        <v>4233</v>
      </c>
      <c r="Q301" s="157"/>
      <c r="R301" s="157"/>
      <c r="S301" s="157"/>
      <c r="T301" s="157"/>
      <c r="U301" s="159" t="s">
        <v>2129</v>
      </c>
      <c r="V301" s="159" t="s">
        <v>2138</v>
      </c>
      <c r="W301" s="159" t="s">
        <v>2129</v>
      </c>
      <c r="X301" s="160">
        <v>0.35</v>
      </c>
      <c r="Y301" s="160">
        <v>0.16</v>
      </c>
      <c r="Z301" s="160">
        <v>0.56999999999999995</v>
      </c>
      <c r="AA301" s="160">
        <v>0.35</v>
      </c>
    </row>
    <row r="302" spans="1:27" ht="18" customHeight="1" x14ac:dyDescent="0.25">
      <c r="A302" s="166">
        <v>253</v>
      </c>
      <c r="B302" s="157" t="s">
        <v>29</v>
      </c>
      <c r="C302" s="157" t="s">
        <v>30</v>
      </c>
      <c r="D302" s="159" t="s">
        <v>408</v>
      </c>
      <c r="E302" s="157" t="s">
        <v>406</v>
      </c>
      <c r="F302" s="157" t="s">
        <v>1264</v>
      </c>
      <c r="G302" s="157" t="s">
        <v>1536</v>
      </c>
      <c r="H302" s="157" t="s">
        <v>1287</v>
      </c>
      <c r="I302" s="157" t="s">
        <v>1406</v>
      </c>
      <c r="J302" s="157" t="s">
        <v>1455</v>
      </c>
      <c r="K302" s="157" t="s">
        <v>1269</v>
      </c>
      <c r="L302" s="157" t="s">
        <v>8478</v>
      </c>
      <c r="M302" s="157" t="str">
        <f t="shared" si="9"/>
        <v>Taillamp Assy' LED Right - Body - Rear Lamps R</v>
      </c>
      <c r="N302" s="164"/>
      <c r="O302" s="165"/>
      <c r="P302" s="159" t="s">
        <v>4233</v>
      </c>
      <c r="Q302" s="157"/>
      <c r="R302" s="157"/>
      <c r="S302" s="157"/>
      <c r="T302" s="157"/>
      <c r="U302" s="159" t="s">
        <v>2129</v>
      </c>
      <c r="V302" s="159" t="s">
        <v>2138</v>
      </c>
      <c r="W302" s="159" t="s">
        <v>2129</v>
      </c>
      <c r="X302" s="160">
        <v>0.35</v>
      </c>
      <c r="Y302" s="160">
        <v>0.16</v>
      </c>
      <c r="Z302" s="160">
        <v>0.56999999999999995</v>
      </c>
      <c r="AA302" s="160">
        <v>0.35</v>
      </c>
    </row>
    <row r="303" spans="1:27" ht="18" customHeight="1" x14ac:dyDescent="0.25">
      <c r="A303" s="166">
        <v>253</v>
      </c>
      <c r="B303" s="157" t="s">
        <v>251</v>
      </c>
      <c r="C303" s="157" t="s">
        <v>366</v>
      </c>
      <c r="D303" s="159" t="s">
        <v>494</v>
      </c>
      <c r="E303" s="157" t="s">
        <v>492</v>
      </c>
      <c r="F303" s="157" t="s">
        <v>1275</v>
      </c>
      <c r="G303" s="157" t="s">
        <v>1536</v>
      </c>
      <c r="H303" s="157" t="s">
        <v>1287</v>
      </c>
      <c r="I303" s="157" t="s">
        <v>1406</v>
      </c>
      <c r="J303" s="157" t="s">
        <v>1455</v>
      </c>
      <c r="K303" s="157" t="s">
        <v>1269</v>
      </c>
      <c r="L303" s="157" t="s">
        <v>8478</v>
      </c>
      <c r="M303" s="157" t="str">
        <f t="shared" si="9"/>
        <v>Taillamp Assy' LED Right - Body - Rear Lamps R</v>
      </c>
      <c r="N303" s="164"/>
      <c r="O303" s="165"/>
      <c r="P303" s="159" t="s">
        <v>4233</v>
      </c>
      <c r="Q303" s="157"/>
      <c r="R303" s="157"/>
      <c r="S303" s="157"/>
      <c r="T303" s="157"/>
      <c r="U303" s="159" t="s">
        <v>2129</v>
      </c>
      <c r="V303" s="159" t="s">
        <v>2138</v>
      </c>
      <c r="W303" s="159" t="s">
        <v>2129</v>
      </c>
      <c r="X303" s="160">
        <v>0.35</v>
      </c>
      <c r="Y303" s="160">
        <v>0.16</v>
      </c>
      <c r="Z303" s="160">
        <v>0.56999999999999995</v>
      </c>
      <c r="AA303" s="160">
        <v>0.35</v>
      </c>
    </row>
    <row r="304" spans="1:27" ht="18" customHeight="1" x14ac:dyDescent="0.25">
      <c r="A304" s="159">
        <v>259</v>
      </c>
      <c r="B304" s="157" t="s">
        <v>63</v>
      </c>
      <c r="C304" s="157" t="s">
        <v>64</v>
      </c>
      <c r="D304" s="159" t="s">
        <v>802</v>
      </c>
      <c r="E304" s="157" t="s">
        <v>800</v>
      </c>
      <c r="F304" s="157" t="s">
        <v>1264</v>
      </c>
      <c r="G304" s="157" t="s">
        <v>1265</v>
      </c>
      <c r="H304" s="157" t="s">
        <v>1271</v>
      </c>
      <c r="I304" s="157" t="s">
        <v>1407</v>
      </c>
      <c r="J304" s="157" t="s">
        <v>1408</v>
      </c>
      <c r="K304" s="157" t="s">
        <v>1409</v>
      </c>
      <c r="L304" s="157" t="s">
        <v>1410</v>
      </c>
      <c r="M304" s="157" t="str">
        <f t="shared" si="9"/>
        <v>GPS Antenna - Navigation</v>
      </c>
      <c r="N304" s="157"/>
      <c r="O304" s="157"/>
      <c r="P304" s="159" t="s">
        <v>5696</v>
      </c>
      <c r="Q304" s="157" t="s">
        <v>2115</v>
      </c>
      <c r="R304" s="157" t="s">
        <v>8239</v>
      </c>
      <c r="S304" s="157" t="s">
        <v>8604</v>
      </c>
      <c r="T304" s="157"/>
      <c r="U304" s="159" t="s">
        <v>2129</v>
      </c>
      <c r="V304" s="159" t="s">
        <v>2138</v>
      </c>
      <c r="W304" s="159" t="s">
        <v>2138</v>
      </c>
      <c r="X304" s="160">
        <v>1</v>
      </c>
      <c r="Y304" s="160">
        <v>1</v>
      </c>
      <c r="Z304" s="160">
        <v>1</v>
      </c>
      <c r="AA304" s="160">
        <v>1</v>
      </c>
    </row>
    <row r="305" spans="1:27" ht="18" customHeight="1" x14ac:dyDescent="0.25">
      <c r="A305" s="159">
        <v>259</v>
      </c>
      <c r="B305" s="157" t="s">
        <v>280</v>
      </c>
      <c r="C305" s="157" t="s">
        <v>1241</v>
      </c>
      <c r="D305" s="159" t="s">
        <v>1244</v>
      </c>
      <c r="E305" s="157" t="s">
        <v>1242</v>
      </c>
      <c r="F305" s="157"/>
      <c r="G305" s="157" t="s">
        <v>1265</v>
      </c>
      <c r="H305" s="157" t="s">
        <v>1271</v>
      </c>
      <c r="I305" s="157" t="s">
        <v>1407</v>
      </c>
      <c r="J305" s="157" t="s">
        <v>1408</v>
      </c>
      <c r="K305" s="157" t="s">
        <v>1409</v>
      </c>
      <c r="L305" s="157" t="s">
        <v>1410</v>
      </c>
      <c r="M305" s="157" t="str">
        <f t="shared" si="9"/>
        <v>GPS Antenna - Navigation</v>
      </c>
      <c r="N305" s="157"/>
      <c r="O305" s="157"/>
      <c r="P305" s="159" t="s">
        <v>5696</v>
      </c>
      <c r="Q305" s="157" t="s">
        <v>2115</v>
      </c>
      <c r="R305" s="157" t="s">
        <v>8239</v>
      </c>
      <c r="S305" s="157" t="s">
        <v>8604</v>
      </c>
      <c r="T305" s="157"/>
      <c r="U305" s="159" t="s">
        <v>2129</v>
      </c>
      <c r="V305" s="159" t="s">
        <v>2138</v>
      </c>
      <c r="W305" s="159" t="s">
        <v>2138</v>
      </c>
      <c r="X305" s="160">
        <v>1</v>
      </c>
      <c r="Y305" s="160">
        <v>1</v>
      </c>
      <c r="Z305" s="160">
        <v>1</v>
      </c>
      <c r="AA305" s="160">
        <v>1</v>
      </c>
    </row>
    <row r="306" spans="1:27" ht="18" customHeight="1" x14ac:dyDescent="0.25">
      <c r="A306" s="159">
        <v>259</v>
      </c>
      <c r="B306" s="157" t="s">
        <v>266</v>
      </c>
      <c r="C306" s="157" t="s">
        <v>276</v>
      </c>
      <c r="D306" s="159" t="s">
        <v>726</v>
      </c>
      <c r="E306" s="157" t="s">
        <v>724</v>
      </c>
      <c r="F306" s="157"/>
      <c r="G306" s="157" t="s">
        <v>1265</v>
      </c>
      <c r="H306" s="157" t="s">
        <v>1271</v>
      </c>
      <c r="I306" s="157" t="s">
        <v>1407</v>
      </c>
      <c r="J306" s="157" t="s">
        <v>1408</v>
      </c>
      <c r="K306" s="157" t="s">
        <v>1409</v>
      </c>
      <c r="L306" s="157" t="s">
        <v>1410</v>
      </c>
      <c r="M306" s="157" t="str">
        <f t="shared" si="9"/>
        <v>GPS Antenna - Navigation</v>
      </c>
      <c r="N306" s="157"/>
      <c r="O306" s="157"/>
      <c r="P306" s="159" t="s">
        <v>5696</v>
      </c>
      <c r="Q306" s="157" t="s">
        <v>2115</v>
      </c>
      <c r="R306" s="157" t="s">
        <v>8239</v>
      </c>
      <c r="S306" s="157" t="s">
        <v>8604</v>
      </c>
      <c r="T306" s="157"/>
      <c r="U306" s="159" t="s">
        <v>2129</v>
      </c>
      <c r="V306" s="159" t="s">
        <v>2138</v>
      </c>
      <c r="W306" s="159" t="s">
        <v>2138</v>
      </c>
      <c r="X306" s="160">
        <v>1</v>
      </c>
      <c r="Y306" s="160">
        <v>1</v>
      </c>
      <c r="Z306" s="160">
        <v>1</v>
      </c>
      <c r="AA306" s="160">
        <v>1</v>
      </c>
    </row>
    <row r="307" spans="1:27" ht="18" customHeight="1" x14ac:dyDescent="0.25">
      <c r="A307" s="159">
        <v>259</v>
      </c>
      <c r="B307" s="157" t="s">
        <v>266</v>
      </c>
      <c r="C307" s="157" t="s">
        <v>1196</v>
      </c>
      <c r="D307" s="159" t="s">
        <v>1199</v>
      </c>
      <c r="E307" s="157" t="s">
        <v>1197</v>
      </c>
      <c r="F307" s="157"/>
      <c r="G307" s="157" t="s">
        <v>1265</v>
      </c>
      <c r="H307" s="157" t="s">
        <v>1271</v>
      </c>
      <c r="I307" s="157" t="s">
        <v>1407</v>
      </c>
      <c r="J307" s="157" t="s">
        <v>1408</v>
      </c>
      <c r="K307" s="157" t="s">
        <v>1409</v>
      </c>
      <c r="L307" s="157" t="s">
        <v>1410</v>
      </c>
      <c r="M307" s="157" t="str">
        <f t="shared" si="9"/>
        <v>GPS Antenna - Navigation</v>
      </c>
      <c r="N307" s="157"/>
      <c r="O307" s="157"/>
      <c r="P307" s="159" t="s">
        <v>5696</v>
      </c>
      <c r="Q307" s="157" t="s">
        <v>2115</v>
      </c>
      <c r="R307" s="157" t="s">
        <v>8239</v>
      </c>
      <c r="S307" s="157" t="s">
        <v>8604</v>
      </c>
      <c r="T307" s="157"/>
      <c r="U307" s="159" t="s">
        <v>2129</v>
      </c>
      <c r="V307" s="159" t="s">
        <v>2138</v>
      </c>
      <c r="W307" s="159" t="s">
        <v>2138</v>
      </c>
      <c r="X307" s="160">
        <v>1</v>
      </c>
      <c r="Y307" s="160">
        <v>1</v>
      </c>
      <c r="Z307" s="160">
        <v>1</v>
      </c>
      <c r="AA307" s="160">
        <v>1</v>
      </c>
    </row>
    <row r="308" spans="1:27" ht="18" customHeight="1" x14ac:dyDescent="0.25">
      <c r="A308" s="159">
        <v>262</v>
      </c>
      <c r="B308" s="164" t="s">
        <v>266</v>
      </c>
      <c r="C308" s="164" t="s">
        <v>276</v>
      </c>
      <c r="D308" s="159" t="s">
        <v>734</v>
      </c>
      <c r="E308" s="164" t="s">
        <v>732</v>
      </c>
      <c r="F308" s="159"/>
      <c r="G308" s="157" t="s">
        <v>1349</v>
      </c>
      <c r="H308" s="157" t="s">
        <v>1350</v>
      </c>
      <c r="I308" s="157" t="s">
        <v>1412</v>
      </c>
      <c r="J308" s="157" t="s">
        <v>8296</v>
      </c>
      <c r="K308" s="157" t="s">
        <v>1352</v>
      </c>
      <c r="L308" s="157" t="s">
        <v>1413</v>
      </c>
      <c r="M308" s="157" t="str">
        <f t="shared" si="9"/>
        <v>Camera RH B Pillar - Forward View Right</v>
      </c>
      <c r="N308" s="157"/>
      <c r="O308" s="157"/>
      <c r="P308" s="159" t="s">
        <v>4090</v>
      </c>
      <c r="Q308" s="157" t="s">
        <v>2115</v>
      </c>
      <c r="R308" s="157" t="s">
        <v>9533</v>
      </c>
      <c r="S308" s="157" t="s">
        <v>9534</v>
      </c>
      <c r="T308" s="157"/>
      <c r="U308" s="159" t="s">
        <v>2129</v>
      </c>
      <c r="V308" s="159" t="s">
        <v>2138</v>
      </c>
      <c r="W308" s="159" t="s">
        <v>2129</v>
      </c>
      <c r="X308" s="160">
        <v>1</v>
      </c>
      <c r="Y308" s="160">
        <v>1</v>
      </c>
      <c r="Z308" s="160">
        <v>1</v>
      </c>
      <c r="AA308" s="160">
        <v>1</v>
      </c>
    </row>
    <row r="309" spans="1:27" ht="18" customHeight="1" x14ac:dyDescent="0.25">
      <c r="A309" s="159">
        <v>262</v>
      </c>
      <c r="B309" s="164" t="s">
        <v>266</v>
      </c>
      <c r="C309" s="164" t="s">
        <v>294</v>
      </c>
      <c r="D309" s="159" t="s">
        <v>297</v>
      </c>
      <c r="E309" s="164" t="s">
        <v>295</v>
      </c>
      <c r="F309" s="159"/>
      <c r="G309" s="157" t="s">
        <v>1349</v>
      </c>
      <c r="H309" s="157" t="s">
        <v>1350</v>
      </c>
      <c r="I309" s="157" t="s">
        <v>1412</v>
      </c>
      <c r="J309" s="157" t="s">
        <v>8296</v>
      </c>
      <c r="K309" s="157" t="s">
        <v>1352</v>
      </c>
      <c r="L309" s="157" t="s">
        <v>1413</v>
      </c>
      <c r="M309" s="157" t="str">
        <f t="shared" si="9"/>
        <v>Camera RH B Pillar - Forward View Right</v>
      </c>
      <c r="N309" s="157"/>
      <c r="O309" s="157"/>
      <c r="P309" s="159" t="s">
        <v>4090</v>
      </c>
      <c r="Q309" s="157" t="s">
        <v>2115</v>
      </c>
      <c r="R309" s="157" t="s">
        <v>9533</v>
      </c>
      <c r="S309" s="157" t="s">
        <v>9534</v>
      </c>
      <c r="T309" s="157"/>
      <c r="U309" s="159" t="s">
        <v>2129</v>
      </c>
      <c r="V309" s="159" t="s">
        <v>2138</v>
      </c>
      <c r="W309" s="159" t="s">
        <v>2129</v>
      </c>
      <c r="X309" s="160">
        <v>1</v>
      </c>
      <c r="Y309" s="160">
        <v>1</v>
      </c>
      <c r="Z309" s="160">
        <v>1</v>
      </c>
      <c r="AA309" s="160">
        <v>1</v>
      </c>
    </row>
    <row r="310" spans="1:27" ht="18" customHeight="1" x14ac:dyDescent="0.25">
      <c r="A310" s="159">
        <v>262</v>
      </c>
      <c r="B310" s="164" t="s">
        <v>266</v>
      </c>
      <c r="C310" s="164" t="s">
        <v>294</v>
      </c>
      <c r="D310" s="159" t="s">
        <v>298</v>
      </c>
      <c r="E310" s="164" t="s">
        <v>299</v>
      </c>
      <c r="F310" s="159"/>
      <c r="G310" s="157" t="s">
        <v>1349</v>
      </c>
      <c r="H310" s="157" t="s">
        <v>1350</v>
      </c>
      <c r="I310" s="157" t="s">
        <v>1412</v>
      </c>
      <c r="J310" s="157" t="s">
        <v>8296</v>
      </c>
      <c r="K310" s="157" t="s">
        <v>1352</v>
      </c>
      <c r="L310" s="157" t="s">
        <v>1413</v>
      </c>
      <c r="M310" s="157" t="str">
        <f t="shared" si="9"/>
        <v>Camera RH B Pillar - Forward View Right</v>
      </c>
      <c r="N310" s="157"/>
      <c r="O310" s="157"/>
      <c r="P310" s="159" t="s">
        <v>4090</v>
      </c>
      <c r="Q310" s="157" t="s">
        <v>2115</v>
      </c>
      <c r="R310" s="157" t="s">
        <v>9533</v>
      </c>
      <c r="S310" s="157" t="s">
        <v>9534</v>
      </c>
      <c r="T310" s="157"/>
      <c r="U310" s="159" t="s">
        <v>2129</v>
      </c>
      <c r="V310" s="159" t="s">
        <v>2138</v>
      </c>
      <c r="W310" s="159" t="s">
        <v>2129</v>
      </c>
      <c r="X310" s="160">
        <v>1</v>
      </c>
      <c r="Y310" s="160">
        <v>1</v>
      </c>
      <c r="Z310" s="160">
        <v>1</v>
      </c>
      <c r="AA310" s="160">
        <v>1</v>
      </c>
    </row>
    <row r="311" spans="1:27" ht="18" customHeight="1" x14ac:dyDescent="0.25">
      <c r="A311" s="159">
        <v>262</v>
      </c>
      <c r="B311" s="164" t="s">
        <v>266</v>
      </c>
      <c r="C311" s="164" t="s">
        <v>294</v>
      </c>
      <c r="D311" s="159" t="s">
        <v>503</v>
      </c>
      <c r="E311" s="164" t="s">
        <v>501</v>
      </c>
      <c r="F311" s="159"/>
      <c r="G311" s="157" t="s">
        <v>1349</v>
      </c>
      <c r="H311" s="157" t="s">
        <v>1350</v>
      </c>
      <c r="I311" s="157" t="s">
        <v>1412</v>
      </c>
      <c r="J311" s="157" t="s">
        <v>8296</v>
      </c>
      <c r="K311" s="157" t="s">
        <v>1352</v>
      </c>
      <c r="L311" s="157" t="s">
        <v>1413</v>
      </c>
      <c r="M311" s="157" t="str">
        <f t="shared" si="9"/>
        <v>Camera RH B Pillar - Forward View Right</v>
      </c>
      <c r="N311" s="157"/>
      <c r="O311" s="157"/>
      <c r="P311" s="159" t="s">
        <v>4090</v>
      </c>
      <c r="Q311" s="157" t="s">
        <v>2115</v>
      </c>
      <c r="R311" s="157" t="s">
        <v>9533</v>
      </c>
      <c r="S311" s="157" t="s">
        <v>9534</v>
      </c>
      <c r="T311" s="157"/>
      <c r="U311" s="159" t="s">
        <v>2129</v>
      </c>
      <c r="V311" s="159" t="s">
        <v>2138</v>
      </c>
      <c r="W311" s="159" t="s">
        <v>2129</v>
      </c>
      <c r="X311" s="160">
        <v>1</v>
      </c>
      <c r="Y311" s="160">
        <v>1</v>
      </c>
      <c r="Z311" s="160">
        <v>1</v>
      </c>
      <c r="AA311" s="160">
        <v>1</v>
      </c>
    </row>
    <row r="312" spans="1:27" ht="18" customHeight="1" x14ac:dyDescent="0.25">
      <c r="A312" s="159">
        <v>262</v>
      </c>
      <c r="B312" s="164" t="s">
        <v>266</v>
      </c>
      <c r="C312" s="164" t="s">
        <v>294</v>
      </c>
      <c r="D312" s="159" t="s">
        <v>692</v>
      </c>
      <c r="E312" s="164" t="s">
        <v>690</v>
      </c>
      <c r="F312" s="159"/>
      <c r="G312" s="157" t="s">
        <v>1349</v>
      </c>
      <c r="H312" s="157" t="s">
        <v>1350</v>
      </c>
      <c r="I312" s="157" t="s">
        <v>1412</v>
      </c>
      <c r="J312" s="157" t="s">
        <v>8296</v>
      </c>
      <c r="K312" s="157" t="s">
        <v>1352</v>
      </c>
      <c r="L312" s="157" t="s">
        <v>1413</v>
      </c>
      <c r="M312" s="157" t="str">
        <f t="shared" si="9"/>
        <v>Camera RH B Pillar - Forward View Right</v>
      </c>
      <c r="N312" s="157"/>
      <c r="O312" s="157"/>
      <c r="P312" s="159" t="s">
        <v>4090</v>
      </c>
      <c r="Q312" s="157" t="s">
        <v>2115</v>
      </c>
      <c r="R312" s="157" t="s">
        <v>9533</v>
      </c>
      <c r="S312" s="157" t="s">
        <v>9534</v>
      </c>
      <c r="T312" s="157"/>
      <c r="U312" s="159" t="s">
        <v>2129</v>
      </c>
      <c r="V312" s="159" t="s">
        <v>2138</v>
      </c>
      <c r="W312" s="159" t="s">
        <v>2129</v>
      </c>
      <c r="X312" s="160">
        <v>1</v>
      </c>
      <c r="Y312" s="160">
        <v>1</v>
      </c>
      <c r="Z312" s="160">
        <v>1</v>
      </c>
      <c r="AA312" s="160">
        <v>1</v>
      </c>
    </row>
    <row r="313" spans="1:27" ht="18" customHeight="1" x14ac:dyDescent="0.25">
      <c r="A313" s="159">
        <v>262</v>
      </c>
      <c r="B313" s="164" t="s">
        <v>266</v>
      </c>
      <c r="C313" s="164" t="s">
        <v>294</v>
      </c>
      <c r="D313" s="159" t="s">
        <v>1177</v>
      </c>
      <c r="E313" s="164" t="s">
        <v>1175</v>
      </c>
      <c r="F313" s="159"/>
      <c r="G313" s="157" t="s">
        <v>1349</v>
      </c>
      <c r="H313" s="157" t="s">
        <v>1350</v>
      </c>
      <c r="I313" s="157" t="s">
        <v>1412</v>
      </c>
      <c r="J313" s="157" t="s">
        <v>8296</v>
      </c>
      <c r="K313" s="157" t="s">
        <v>1352</v>
      </c>
      <c r="L313" s="157" t="s">
        <v>1413</v>
      </c>
      <c r="M313" s="157" t="str">
        <f t="shared" si="9"/>
        <v>Camera RH B Pillar - Forward View Right</v>
      </c>
      <c r="N313" s="157"/>
      <c r="O313" s="157"/>
      <c r="P313" s="159" t="s">
        <v>4090</v>
      </c>
      <c r="Q313" s="157" t="s">
        <v>2115</v>
      </c>
      <c r="R313" s="157" t="s">
        <v>9533</v>
      </c>
      <c r="S313" s="157" t="s">
        <v>9534</v>
      </c>
      <c r="T313" s="157"/>
      <c r="U313" s="159" t="s">
        <v>2129</v>
      </c>
      <c r="V313" s="159" t="s">
        <v>2138</v>
      </c>
      <c r="W313" s="159" t="s">
        <v>2129</v>
      </c>
      <c r="X313" s="160">
        <v>1</v>
      </c>
      <c r="Y313" s="160">
        <v>1</v>
      </c>
      <c r="Z313" s="160">
        <v>1</v>
      </c>
      <c r="AA313" s="160">
        <v>1</v>
      </c>
    </row>
    <row r="314" spans="1:27" ht="18" customHeight="1" x14ac:dyDescent="0.25">
      <c r="A314" s="159">
        <v>262</v>
      </c>
      <c r="B314" s="164" t="s">
        <v>266</v>
      </c>
      <c r="C314" s="164" t="s">
        <v>294</v>
      </c>
      <c r="D314" s="159" t="s">
        <v>1178</v>
      </c>
      <c r="E314" s="164" t="s">
        <v>1179</v>
      </c>
      <c r="F314" s="159"/>
      <c r="G314" s="157" t="s">
        <v>1349</v>
      </c>
      <c r="H314" s="157" t="s">
        <v>1350</v>
      </c>
      <c r="I314" s="157" t="s">
        <v>1412</v>
      </c>
      <c r="J314" s="157" t="s">
        <v>8296</v>
      </c>
      <c r="K314" s="157" t="s">
        <v>1352</v>
      </c>
      <c r="L314" s="157" t="s">
        <v>1413</v>
      </c>
      <c r="M314" s="157" t="str">
        <f t="shared" si="9"/>
        <v>Camera RH B Pillar - Forward View Right</v>
      </c>
      <c r="N314" s="157"/>
      <c r="O314" s="157"/>
      <c r="P314" s="159" t="s">
        <v>4090</v>
      </c>
      <c r="Q314" s="157" t="s">
        <v>2115</v>
      </c>
      <c r="R314" s="157" t="s">
        <v>9533</v>
      </c>
      <c r="S314" s="157" t="s">
        <v>9534</v>
      </c>
      <c r="T314" s="157"/>
      <c r="U314" s="159" t="s">
        <v>2129</v>
      </c>
      <c r="V314" s="159" t="s">
        <v>2138</v>
      </c>
      <c r="W314" s="159" t="s">
        <v>2129</v>
      </c>
      <c r="X314" s="160">
        <v>1</v>
      </c>
      <c r="Y314" s="160">
        <v>1</v>
      </c>
      <c r="Z314" s="160">
        <v>1</v>
      </c>
      <c r="AA314" s="160">
        <v>1</v>
      </c>
    </row>
    <row r="315" spans="1:27" ht="18" customHeight="1" x14ac:dyDescent="0.25">
      <c r="A315" s="159">
        <v>262</v>
      </c>
      <c r="B315" s="164" t="s">
        <v>266</v>
      </c>
      <c r="C315" s="164" t="s">
        <v>294</v>
      </c>
      <c r="D315" s="159" t="s">
        <v>1207</v>
      </c>
      <c r="E315" s="164" t="s">
        <v>1205</v>
      </c>
      <c r="F315" s="159"/>
      <c r="G315" s="157" t="s">
        <v>1349</v>
      </c>
      <c r="H315" s="157" t="s">
        <v>1350</v>
      </c>
      <c r="I315" s="157" t="s">
        <v>1412</v>
      </c>
      <c r="J315" s="157" t="s">
        <v>8296</v>
      </c>
      <c r="K315" s="157" t="s">
        <v>1352</v>
      </c>
      <c r="L315" s="157" t="s">
        <v>1413</v>
      </c>
      <c r="M315" s="157" t="str">
        <f t="shared" si="9"/>
        <v>Camera RH B Pillar - Forward View Right</v>
      </c>
      <c r="N315" s="157"/>
      <c r="O315" s="157"/>
      <c r="P315" s="159" t="s">
        <v>4090</v>
      </c>
      <c r="Q315" s="157" t="s">
        <v>2115</v>
      </c>
      <c r="R315" s="157" t="s">
        <v>9533</v>
      </c>
      <c r="S315" s="157" t="s">
        <v>9534</v>
      </c>
      <c r="T315" s="157"/>
      <c r="U315" s="159" t="s">
        <v>2129</v>
      </c>
      <c r="V315" s="159" t="s">
        <v>2138</v>
      </c>
      <c r="W315" s="159" t="s">
        <v>2129</v>
      </c>
      <c r="X315" s="160">
        <v>1</v>
      </c>
      <c r="Y315" s="160">
        <v>1</v>
      </c>
      <c r="Z315" s="160">
        <v>1</v>
      </c>
      <c r="AA315" s="160">
        <v>1</v>
      </c>
    </row>
    <row r="316" spans="1:27" ht="18" customHeight="1" x14ac:dyDescent="0.25">
      <c r="A316" s="159">
        <v>262</v>
      </c>
      <c r="B316" s="164" t="s">
        <v>266</v>
      </c>
      <c r="C316" s="164" t="s">
        <v>514</v>
      </c>
      <c r="D316" s="159" t="s">
        <v>517</v>
      </c>
      <c r="E316" s="164" t="s">
        <v>515</v>
      </c>
      <c r="F316" s="159"/>
      <c r="G316" s="157" t="s">
        <v>1349</v>
      </c>
      <c r="H316" s="157" t="s">
        <v>1350</v>
      </c>
      <c r="I316" s="157" t="s">
        <v>1412</v>
      </c>
      <c r="J316" s="157" t="s">
        <v>8296</v>
      </c>
      <c r="K316" s="157" t="s">
        <v>1352</v>
      </c>
      <c r="L316" s="157" t="s">
        <v>1413</v>
      </c>
      <c r="M316" s="157" t="str">
        <f t="shared" si="9"/>
        <v>Camera RH B Pillar - Forward View Right</v>
      </c>
      <c r="N316" s="157"/>
      <c r="O316" s="157"/>
      <c r="P316" s="159" t="s">
        <v>4090</v>
      </c>
      <c r="Q316" s="157" t="s">
        <v>2115</v>
      </c>
      <c r="R316" s="157" t="s">
        <v>9533</v>
      </c>
      <c r="S316" s="157" t="s">
        <v>9534</v>
      </c>
      <c r="T316" s="157"/>
      <c r="U316" s="159" t="s">
        <v>2129</v>
      </c>
      <c r="V316" s="159" t="s">
        <v>2138</v>
      </c>
      <c r="W316" s="159" t="s">
        <v>2129</v>
      </c>
      <c r="X316" s="160">
        <v>1</v>
      </c>
      <c r="Y316" s="160">
        <v>1</v>
      </c>
      <c r="Z316" s="160">
        <v>1</v>
      </c>
      <c r="AA316" s="160">
        <v>1</v>
      </c>
    </row>
    <row r="317" spans="1:27" ht="18" customHeight="1" x14ac:dyDescent="0.25">
      <c r="A317" s="159">
        <v>262</v>
      </c>
      <c r="B317" s="164" t="s">
        <v>266</v>
      </c>
      <c r="C317" s="164" t="s">
        <v>514</v>
      </c>
      <c r="D317" s="159" t="s">
        <v>793</v>
      </c>
      <c r="E317" s="164" t="s">
        <v>791</v>
      </c>
      <c r="F317" s="159"/>
      <c r="G317" s="157" t="s">
        <v>1349</v>
      </c>
      <c r="H317" s="157" t="s">
        <v>1350</v>
      </c>
      <c r="I317" s="157" t="s">
        <v>1412</v>
      </c>
      <c r="J317" s="157" t="s">
        <v>8296</v>
      </c>
      <c r="K317" s="157" t="s">
        <v>1352</v>
      </c>
      <c r="L317" s="157" t="s">
        <v>1413</v>
      </c>
      <c r="M317" s="157" t="str">
        <f t="shared" si="9"/>
        <v>Camera RH B Pillar - Forward View Right</v>
      </c>
      <c r="N317" s="157"/>
      <c r="O317" s="157"/>
      <c r="P317" s="159" t="s">
        <v>4090</v>
      </c>
      <c r="Q317" s="157" t="s">
        <v>2115</v>
      </c>
      <c r="R317" s="157" t="s">
        <v>9533</v>
      </c>
      <c r="S317" s="157" t="s">
        <v>9534</v>
      </c>
      <c r="T317" s="157"/>
      <c r="U317" s="159" t="s">
        <v>2129</v>
      </c>
      <c r="V317" s="159" t="s">
        <v>2138</v>
      </c>
      <c r="W317" s="159" t="s">
        <v>2129</v>
      </c>
      <c r="X317" s="160">
        <v>1</v>
      </c>
      <c r="Y317" s="160">
        <v>1</v>
      </c>
      <c r="Z317" s="160">
        <v>1</v>
      </c>
      <c r="AA317" s="160">
        <v>1</v>
      </c>
    </row>
    <row r="318" spans="1:27" ht="18" customHeight="1" x14ac:dyDescent="0.25">
      <c r="A318" s="159">
        <v>262</v>
      </c>
      <c r="B318" s="164" t="s">
        <v>266</v>
      </c>
      <c r="C318" s="164" t="s">
        <v>514</v>
      </c>
      <c r="D318" s="159" t="s">
        <v>731</v>
      </c>
      <c r="E318" s="164" t="s">
        <v>795</v>
      </c>
      <c r="F318" s="159"/>
      <c r="G318" s="157" t="s">
        <v>1349</v>
      </c>
      <c r="H318" s="157" t="s">
        <v>1350</v>
      </c>
      <c r="I318" s="157" t="s">
        <v>1412</v>
      </c>
      <c r="J318" s="157" t="s">
        <v>8296</v>
      </c>
      <c r="K318" s="157" t="s">
        <v>1352</v>
      </c>
      <c r="L318" s="157" t="s">
        <v>1413</v>
      </c>
      <c r="M318" s="157" t="str">
        <f t="shared" si="9"/>
        <v>Camera RH B Pillar - Forward View Right</v>
      </c>
      <c r="N318" s="157"/>
      <c r="O318" s="157"/>
      <c r="P318" s="159" t="s">
        <v>4090</v>
      </c>
      <c r="Q318" s="157" t="s">
        <v>2115</v>
      </c>
      <c r="R318" s="157" t="s">
        <v>9533</v>
      </c>
      <c r="S318" s="157" t="s">
        <v>9534</v>
      </c>
      <c r="T318" s="157"/>
      <c r="U318" s="159" t="s">
        <v>2129</v>
      </c>
      <c r="V318" s="159" t="s">
        <v>2138</v>
      </c>
      <c r="W318" s="159" t="s">
        <v>2129</v>
      </c>
      <c r="X318" s="160">
        <v>1</v>
      </c>
      <c r="Y318" s="160">
        <v>1</v>
      </c>
      <c r="Z318" s="160">
        <v>1</v>
      </c>
      <c r="AA318" s="160">
        <v>1</v>
      </c>
    </row>
    <row r="319" spans="1:27" ht="18" customHeight="1" x14ac:dyDescent="0.25">
      <c r="A319" s="159">
        <v>262</v>
      </c>
      <c r="B319" s="164" t="s">
        <v>266</v>
      </c>
      <c r="C319" s="164" t="s">
        <v>514</v>
      </c>
      <c r="D319" s="159" t="s">
        <v>1170</v>
      </c>
      <c r="E319" s="164" t="s">
        <v>1168</v>
      </c>
      <c r="F319" s="159"/>
      <c r="G319" s="157" t="s">
        <v>1349</v>
      </c>
      <c r="H319" s="157" t="s">
        <v>1350</v>
      </c>
      <c r="I319" s="157" t="s">
        <v>1412</v>
      </c>
      <c r="J319" s="157" t="s">
        <v>8296</v>
      </c>
      <c r="K319" s="157" t="s">
        <v>1352</v>
      </c>
      <c r="L319" s="157" t="s">
        <v>1413</v>
      </c>
      <c r="M319" s="157" t="str">
        <f t="shared" si="9"/>
        <v>Camera RH B Pillar - Forward View Right</v>
      </c>
      <c r="N319" s="157"/>
      <c r="O319" s="157"/>
      <c r="P319" s="159" t="s">
        <v>4090</v>
      </c>
      <c r="Q319" s="157" t="s">
        <v>2115</v>
      </c>
      <c r="R319" s="157" t="s">
        <v>9533</v>
      </c>
      <c r="S319" s="157" t="s">
        <v>9534</v>
      </c>
      <c r="T319" s="157"/>
      <c r="U319" s="159" t="s">
        <v>2129</v>
      </c>
      <c r="V319" s="159" t="s">
        <v>2138</v>
      </c>
      <c r="W319" s="159" t="s">
        <v>2129</v>
      </c>
      <c r="X319" s="160">
        <v>1</v>
      </c>
      <c r="Y319" s="160">
        <v>1</v>
      </c>
      <c r="Z319" s="160">
        <v>1</v>
      </c>
      <c r="AA319" s="160">
        <v>1</v>
      </c>
    </row>
    <row r="320" spans="1:27" ht="18" customHeight="1" x14ac:dyDescent="0.25">
      <c r="A320" s="159">
        <v>262</v>
      </c>
      <c r="B320" s="164" t="s">
        <v>266</v>
      </c>
      <c r="C320" s="164" t="s">
        <v>514</v>
      </c>
      <c r="D320" s="159" t="s">
        <v>1171</v>
      </c>
      <c r="E320" s="164" t="s">
        <v>1223</v>
      </c>
      <c r="F320" s="159"/>
      <c r="G320" s="157" t="s">
        <v>1349</v>
      </c>
      <c r="H320" s="157" t="s">
        <v>1350</v>
      </c>
      <c r="I320" s="157" t="s">
        <v>1412</v>
      </c>
      <c r="J320" s="157" t="s">
        <v>8296</v>
      </c>
      <c r="K320" s="157" t="s">
        <v>1352</v>
      </c>
      <c r="L320" s="157" t="s">
        <v>1413</v>
      </c>
      <c r="M320" s="157" t="str">
        <f t="shared" si="9"/>
        <v>Camera RH B Pillar - Forward View Right</v>
      </c>
      <c r="N320" s="157"/>
      <c r="O320" s="157"/>
      <c r="P320" s="159" t="s">
        <v>4090</v>
      </c>
      <c r="Q320" s="157" t="s">
        <v>2115</v>
      </c>
      <c r="R320" s="157" t="s">
        <v>9533</v>
      </c>
      <c r="S320" s="157" t="s">
        <v>9534</v>
      </c>
      <c r="T320" s="157"/>
      <c r="U320" s="159" t="s">
        <v>2129</v>
      </c>
      <c r="V320" s="159" t="s">
        <v>2138</v>
      </c>
      <c r="W320" s="159" t="s">
        <v>2129</v>
      </c>
      <c r="X320" s="160">
        <v>1</v>
      </c>
      <c r="Y320" s="160">
        <v>1</v>
      </c>
      <c r="Z320" s="160">
        <v>1</v>
      </c>
      <c r="AA320" s="160">
        <v>1</v>
      </c>
    </row>
    <row r="321" spans="1:27" ht="18" customHeight="1" x14ac:dyDescent="0.25">
      <c r="A321" s="159">
        <v>262</v>
      </c>
      <c r="B321" s="164" t="s">
        <v>266</v>
      </c>
      <c r="C321" s="164" t="s">
        <v>519</v>
      </c>
      <c r="D321" s="159" t="s">
        <v>522</v>
      </c>
      <c r="E321" s="164" t="s">
        <v>520</v>
      </c>
      <c r="F321" s="159"/>
      <c r="G321" s="157" t="s">
        <v>1349</v>
      </c>
      <c r="H321" s="157" t="s">
        <v>1350</v>
      </c>
      <c r="I321" s="157" t="s">
        <v>1412</v>
      </c>
      <c r="J321" s="157" t="s">
        <v>8296</v>
      </c>
      <c r="K321" s="157" t="s">
        <v>1352</v>
      </c>
      <c r="L321" s="157" t="s">
        <v>1413</v>
      </c>
      <c r="M321" s="157" t="str">
        <f t="shared" si="9"/>
        <v>Camera RH B Pillar - Forward View Right</v>
      </c>
      <c r="N321" s="157"/>
      <c r="O321" s="157"/>
      <c r="P321" s="159" t="s">
        <v>4090</v>
      </c>
      <c r="Q321" s="157" t="s">
        <v>2115</v>
      </c>
      <c r="R321" s="157" t="s">
        <v>9533</v>
      </c>
      <c r="S321" s="157" t="s">
        <v>9534</v>
      </c>
      <c r="T321" s="157"/>
      <c r="U321" s="159" t="s">
        <v>2129</v>
      </c>
      <c r="V321" s="159" t="s">
        <v>2138</v>
      </c>
      <c r="W321" s="159" t="s">
        <v>2129</v>
      </c>
      <c r="X321" s="160">
        <v>1</v>
      </c>
      <c r="Y321" s="160">
        <v>1</v>
      </c>
      <c r="Z321" s="160">
        <v>1</v>
      </c>
      <c r="AA321" s="160">
        <v>1</v>
      </c>
    </row>
    <row r="322" spans="1:27" ht="18" customHeight="1" x14ac:dyDescent="0.25">
      <c r="A322" s="159">
        <v>262</v>
      </c>
      <c r="B322" s="164" t="s">
        <v>266</v>
      </c>
      <c r="C322" s="164" t="s">
        <v>519</v>
      </c>
      <c r="D322" s="159" t="s">
        <v>935</v>
      </c>
      <c r="E322" s="164" t="s">
        <v>933</v>
      </c>
      <c r="F322" s="159"/>
      <c r="G322" s="157" t="s">
        <v>1349</v>
      </c>
      <c r="H322" s="157" t="s">
        <v>1350</v>
      </c>
      <c r="I322" s="157" t="s">
        <v>1412</v>
      </c>
      <c r="J322" s="157" t="s">
        <v>8296</v>
      </c>
      <c r="K322" s="157" t="s">
        <v>1352</v>
      </c>
      <c r="L322" s="157" t="s">
        <v>1413</v>
      </c>
      <c r="M322" s="157" t="str">
        <f t="shared" si="9"/>
        <v>Camera RH B Pillar - Forward View Right</v>
      </c>
      <c r="N322" s="157"/>
      <c r="O322" s="157"/>
      <c r="P322" s="159" t="s">
        <v>4090</v>
      </c>
      <c r="Q322" s="157" t="s">
        <v>2115</v>
      </c>
      <c r="R322" s="157" t="s">
        <v>9533</v>
      </c>
      <c r="S322" s="157" t="s">
        <v>9534</v>
      </c>
      <c r="T322" s="157"/>
      <c r="U322" s="159" t="s">
        <v>2129</v>
      </c>
      <c r="V322" s="159" t="s">
        <v>2138</v>
      </c>
      <c r="W322" s="159" t="s">
        <v>2129</v>
      </c>
      <c r="X322" s="160">
        <v>1</v>
      </c>
      <c r="Y322" s="160">
        <v>1</v>
      </c>
      <c r="Z322" s="160">
        <v>1</v>
      </c>
      <c r="AA322" s="160">
        <v>1</v>
      </c>
    </row>
    <row r="323" spans="1:27" ht="18" customHeight="1" x14ac:dyDescent="0.25">
      <c r="A323" s="159">
        <v>262</v>
      </c>
      <c r="B323" s="164" t="s">
        <v>266</v>
      </c>
      <c r="C323" s="164" t="s">
        <v>519</v>
      </c>
      <c r="D323" s="159" t="s">
        <v>1151</v>
      </c>
      <c r="E323" s="164" t="s">
        <v>1149</v>
      </c>
      <c r="F323" s="159"/>
      <c r="G323" s="157" t="s">
        <v>1349</v>
      </c>
      <c r="H323" s="157" t="s">
        <v>1350</v>
      </c>
      <c r="I323" s="157" t="s">
        <v>1412</v>
      </c>
      <c r="J323" s="157" t="s">
        <v>8296</v>
      </c>
      <c r="K323" s="157" t="s">
        <v>1352</v>
      </c>
      <c r="L323" s="157" t="s">
        <v>1413</v>
      </c>
      <c r="M323" s="157" t="str">
        <f t="shared" si="9"/>
        <v>Camera RH B Pillar - Forward View Right</v>
      </c>
      <c r="N323" s="157"/>
      <c r="O323" s="157"/>
      <c r="P323" s="159" t="s">
        <v>4090</v>
      </c>
      <c r="Q323" s="157" t="s">
        <v>2115</v>
      </c>
      <c r="R323" s="157" t="s">
        <v>9533</v>
      </c>
      <c r="S323" s="157" t="s">
        <v>9534</v>
      </c>
      <c r="T323" s="157"/>
      <c r="U323" s="159" t="s">
        <v>2129</v>
      </c>
      <c r="V323" s="159" t="s">
        <v>2138</v>
      </c>
      <c r="W323" s="159" t="s">
        <v>2129</v>
      </c>
      <c r="X323" s="160">
        <v>1</v>
      </c>
      <c r="Y323" s="160">
        <v>1</v>
      </c>
      <c r="Z323" s="160">
        <v>1</v>
      </c>
      <c r="AA323" s="160">
        <v>1</v>
      </c>
    </row>
    <row r="324" spans="1:27" ht="18" customHeight="1" x14ac:dyDescent="0.25">
      <c r="A324" s="159">
        <v>265</v>
      </c>
      <c r="B324" s="157" t="s">
        <v>280</v>
      </c>
      <c r="C324" s="157" t="s">
        <v>505</v>
      </c>
      <c r="D324" s="159" t="s">
        <v>1235</v>
      </c>
      <c r="E324" s="157" t="s">
        <v>1233</v>
      </c>
      <c r="F324" s="157" t="s">
        <v>1264</v>
      </c>
      <c r="G324" s="157" t="s">
        <v>1265</v>
      </c>
      <c r="H324" s="157" t="s">
        <v>1271</v>
      </c>
      <c r="I324" s="157" t="s">
        <v>1276</v>
      </c>
      <c r="J324" s="157" t="s">
        <v>1276</v>
      </c>
      <c r="K324" s="157" t="s">
        <v>1409</v>
      </c>
      <c r="L324" s="157" t="s">
        <v>9594</v>
      </c>
      <c r="M324" s="157" t="str">
        <f t="shared" si="9"/>
        <v>GSM+E-Call Antenna - Telephone</v>
      </c>
      <c r="N324" s="157"/>
      <c r="O324" s="157"/>
      <c r="P324" s="159" t="s">
        <v>5882</v>
      </c>
      <c r="Q324" s="157" t="s">
        <v>2115</v>
      </c>
      <c r="R324" s="157" t="s">
        <v>8239</v>
      </c>
      <c r="S324" s="157" t="s">
        <v>8604</v>
      </c>
      <c r="T324" s="157"/>
      <c r="U324" s="159" t="s">
        <v>2138</v>
      </c>
      <c r="V324" s="159" t="s">
        <v>2138</v>
      </c>
      <c r="W324" s="159" t="s">
        <v>2138</v>
      </c>
      <c r="X324" s="160">
        <v>1</v>
      </c>
      <c r="Y324" s="160">
        <v>1</v>
      </c>
      <c r="Z324" s="160">
        <v>1</v>
      </c>
      <c r="AA324" s="160">
        <v>1</v>
      </c>
    </row>
    <row r="325" spans="1:27" ht="18" customHeight="1" x14ac:dyDescent="0.25">
      <c r="A325" s="159">
        <v>265</v>
      </c>
      <c r="B325" s="157" t="s">
        <v>318</v>
      </c>
      <c r="C325" s="157" t="s">
        <v>362</v>
      </c>
      <c r="D325" s="159" t="s">
        <v>365</v>
      </c>
      <c r="E325" s="157" t="s">
        <v>363</v>
      </c>
      <c r="F325" s="157" t="s">
        <v>1264</v>
      </c>
      <c r="G325" s="157" t="s">
        <v>1265</v>
      </c>
      <c r="H325" s="157" t="s">
        <v>1271</v>
      </c>
      <c r="I325" s="157" t="s">
        <v>1276</v>
      </c>
      <c r="J325" s="157" t="s">
        <v>1276</v>
      </c>
      <c r="K325" s="157" t="s">
        <v>1409</v>
      </c>
      <c r="L325" s="157" t="s">
        <v>9594</v>
      </c>
      <c r="M325" s="157" t="str">
        <f t="shared" si="9"/>
        <v>GSM+E-Call Antenna - Telephone</v>
      </c>
      <c r="N325" s="157"/>
      <c r="O325" s="157"/>
      <c r="P325" s="159" t="s">
        <v>5882</v>
      </c>
      <c r="Q325" s="157" t="s">
        <v>2115</v>
      </c>
      <c r="R325" s="157" t="s">
        <v>8239</v>
      </c>
      <c r="S325" s="157" t="s">
        <v>8604</v>
      </c>
      <c r="T325" s="157"/>
      <c r="U325" s="159" t="s">
        <v>2138</v>
      </c>
      <c r="V325" s="159" t="s">
        <v>2138</v>
      </c>
      <c r="W325" s="159" t="s">
        <v>2138</v>
      </c>
      <c r="X325" s="160">
        <v>1</v>
      </c>
      <c r="Y325" s="160">
        <v>1</v>
      </c>
      <c r="Z325" s="160">
        <v>1</v>
      </c>
      <c r="AA325" s="160">
        <v>1</v>
      </c>
    </row>
    <row r="326" spans="1:27" ht="18" customHeight="1" x14ac:dyDescent="0.25">
      <c r="A326" s="159">
        <v>268</v>
      </c>
      <c r="B326" s="157" t="s">
        <v>29</v>
      </c>
      <c r="C326" s="157" t="s">
        <v>113</v>
      </c>
      <c r="D326" s="159" t="s">
        <v>307</v>
      </c>
      <c r="E326" s="157" t="s">
        <v>305</v>
      </c>
      <c r="F326" s="157" t="s">
        <v>1277</v>
      </c>
      <c r="G326" s="157" t="s">
        <v>1349</v>
      </c>
      <c r="H326" s="157" t="s">
        <v>1415</v>
      </c>
      <c r="I326" s="157" t="s">
        <v>1293</v>
      </c>
      <c r="J326" s="157" t="s">
        <v>8300</v>
      </c>
      <c r="K326" s="157" t="s">
        <v>1352</v>
      </c>
      <c r="L326" s="157" t="s">
        <v>1417</v>
      </c>
      <c r="M326" s="157" t="str">
        <f t="shared" si="9"/>
        <v>Back-up Camera - Rear View</v>
      </c>
      <c r="N326" s="157"/>
      <c r="O326" s="157"/>
      <c r="P326" s="159" t="s">
        <v>5819</v>
      </c>
      <c r="Q326" s="157" t="s">
        <v>2115</v>
      </c>
      <c r="R326" s="157" t="s">
        <v>8599</v>
      </c>
      <c r="S326" s="157" t="s">
        <v>8612</v>
      </c>
      <c r="T326" s="157" t="s">
        <v>2134</v>
      </c>
      <c r="U326" s="159" t="s">
        <v>2129</v>
      </c>
      <c r="V326" s="159" t="s">
        <v>2138</v>
      </c>
      <c r="W326" s="159" t="s">
        <v>2129</v>
      </c>
      <c r="X326" s="160">
        <v>0.1</v>
      </c>
      <c r="Y326" s="160">
        <v>0</v>
      </c>
      <c r="Z326" s="160">
        <v>0.1</v>
      </c>
      <c r="AA326" s="160">
        <v>0</v>
      </c>
    </row>
    <row r="327" spans="1:27" ht="18" customHeight="1" x14ac:dyDescent="0.25">
      <c r="A327" s="159">
        <v>268</v>
      </c>
      <c r="B327" s="164" t="s">
        <v>29</v>
      </c>
      <c r="C327" s="164" t="s">
        <v>113</v>
      </c>
      <c r="D327" s="159" t="s">
        <v>932</v>
      </c>
      <c r="E327" s="164" t="s">
        <v>930</v>
      </c>
      <c r="F327" s="159"/>
      <c r="G327" s="157" t="s">
        <v>1349</v>
      </c>
      <c r="H327" s="157" t="s">
        <v>1415</v>
      </c>
      <c r="I327" s="157" t="s">
        <v>1293</v>
      </c>
      <c r="J327" s="157" t="s">
        <v>8300</v>
      </c>
      <c r="K327" s="157" t="s">
        <v>1352</v>
      </c>
      <c r="L327" s="157" t="s">
        <v>1417</v>
      </c>
      <c r="M327" s="157" t="str">
        <f t="shared" si="9"/>
        <v>Back-up Camera - Rear View</v>
      </c>
      <c r="N327" s="157"/>
      <c r="O327" s="157"/>
      <c r="P327" s="159" t="s">
        <v>5819</v>
      </c>
      <c r="Q327" s="157" t="s">
        <v>2115</v>
      </c>
      <c r="R327" s="157" t="s">
        <v>8599</v>
      </c>
      <c r="S327" s="157" t="s">
        <v>8612</v>
      </c>
      <c r="T327" s="157" t="s">
        <v>2134</v>
      </c>
      <c r="U327" s="159" t="s">
        <v>2129</v>
      </c>
      <c r="V327" s="159" t="s">
        <v>2138</v>
      </c>
      <c r="W327" s="159" t="s">
        <v>2129</v>
      </c>
      <c r="X327" s="160">
        <v>0.1</v>
      </c>
      <c r="Y327" s="160">
        <v>0</v>
      </c>
      <c r="Z327" s="160">
        <v>0.1</v>
      </c>
      <c r="AA327" s="160">
        <v>0</v>
      </c>
    </row>
    <row r="328" spans="1:27" ht="18" customHeight="1" x14ac:dyDescent="0.25">
      <c r="A328" s="159">
        <v>268</v>
      </c>
      <c r="B328" s="164" t="s">
        <v>266</v>
      </c>
      <c r="C328" s="164" t="s">
        <v>276</v>
      </c>
      <c r="D328" s="159" t="s">
        <v>734</v>
      </c>
      <c r="E328" s="164" t="s">
        <v>732</v>
      </c>
      <c r="F328" s="159"/>
      <c r="G328" s="157" t="s">
        <v>1349</v>
      </c>
      <c r="H328" s="157" t="s">
        <v>1415</v>
      </c>
      <c r="I328" s="157" t="s">
        <v>1293</v>
      </c>
      <c r="J328" s="157" t="s">
        <v>8300</v>
      </c>
      <c r="K328" s="157" t="s">
        <v>1352</v>
      </c>
      <c r="L328" s="157" t="s">
        <v>1417</v>
      </c>
      <c r="M328" s="157" t="str">
        <f t="shared" si="9"/>
        <v>Back-up Camera - Rear View</v>
      </c>
      <c r="N328" s="157"/>
      <c r="O328" s="157"/>
      <c r="P328" s="159" t="s">
        <v>5819</v>
      </c>
      <c r="Q328" s="157" t="s">
        <v>2115</v>
      </c>
      <c r="R328" s="157" t="s">
        <v>8599</v>
      </c>
      <c r="S328" s="157" t="s">
        <v>8612</v>
      </c>
      <c r="T328" s="157" t="s">
        <v>2134</v>
      </c>
      <c r="U328" s="159" t="s">
        <v>2129</v>
      </c>
      <c r="V328" s="159" t="s">
        <v>2138</v>
      </c>
      <c r="W328" s="159" t="s">
        <v>2129</v>
      </c>
      <c r="X328" s="160">
        <v>0.1</v>
      </c>
      <c r="Y328" s="160">
        <v>0</v>
      </c>
      <c r="Z328" s="160">
        <v>0.1</v>
      </c>
      <c r="AA328" s="160">
        <v>0</v>
      </c>
    </row>
    <row r="329" spans="1:27" ht="18" customHeight="1" x14ac:dyDescent="0.25">
      <c r="A329" s="159">
        <v>268</v>
      </c>
      <c r="B329" s="164" t="s">
        <v>266</v>
      </c>
      <c r="C329" s="164" t="s">
        <v>294</v>
      </c>
      <c r="D329" s="159" t="s">
        <v>297</v>
      </c>
      <c r="E329" s="164" t="s">
        <v>295</v>
      </c>
      <c r="F329" s="159"/>
      <c r="G329" s="157" t="s">
        <v>1349</v>
      </c>
      <c r="H329" s="157" t="s">
        <v>1415</v>
      </c>
      <c r="I329" s="157" t="s">
        <v>1293</v>
      </c>
      <c r="J329" s="157" t="s">
        <v>8300</v>
      </c>
      <c r="K329" s="157" t="s">
        <v>1352</v>
      </c>
      <c r="L329" s="157" t="s">
        <v>1417</v>
      </c>
      <c r="M329" s="157" t="str">
        <f t="shared" si="9"/>
        <v>Back-up Camera - Rear View</v>
      </c>
      <c r="N329" s="157"/>
      <c r="O329" s="157"/>
      <c r="P329" s="159" t="s">
        <v>5819</v>
      </c>
      <c r="Q329" s="157" t="s">
        <v>2115</v>
      </c>
      <c r="R329" s="157" t="s">
        <v>8599</v>
      </c>
      <c r="S329" s="157" t="s">
        <v>8612</v>
      </c>
      <c r="T329" s="157" t="s">
        <v>2134</v>
      </c>
      <c r="U329" s="159" t="s">
        <v>2129</v>
      </c>
      <c r="V329" s="159" t="s">
        <v>2138</v>
      </c>
      <c r="W329" s="159" t="s">
        <v>2129</v>
      </c>
      <c r="X329" s="160">
        <v>0.1</v>
      </c>
      <c r="Y329" s="160">
        <v>0</v>
      </c>
      <c r="Z329" s="160">
        <v>0.1</v>
      </c>
      <c r="AA329" s="160">
        <v>0</v>
      </c>
    </row>
    <row r="330" spans="1:27" ht="18" customHeight="1" x14ac:dyDescent="0.25">
      <c r="A330" s="159">
        <v>268</v>
      </c>
      <c r="B330" s="164" t="s">
        <v>266</v>
      </c>
      <c r="C330" s="164" t="s">
        <v>294</v>
      </c>
      <c r="D330" s="159" t="s">
        <v>298</v>
      </c>
      <c r="E330" s="164" t="s">
        <v>299</v>
      </c>
      <c r="F330" s="159"/>
      <c r="G330" s="157" t="s">
        <v>1349</v>
      </c>
      <c r="H330" s="157" t="s">
        <v>1415</v>
      </c>
      <c r="I330" s="157" t="s">
        <v>1293</v>
      </c>
      <c r="J330" s="157" t="s">
        <v>8300</v>
      </c>
      <c r="K330" s="157" t="s">
        <v>1352</v>
      </c>
      <c r="L330" s="157" t="s">
        <v>1417</v>
      </c>
      <c r="M330" s="157" t="str">
        <f t="shared" ref="M330:M393" si="10">CONCATENATE(L330," - ",I330)</f>
        <v>Back-up Camera - Rear View</v>
      </c>
      <c r="N330" s="157"/>
      <c r="O330" s="157"/>
      <c r="P330" s="159" t="s">
        <v>5819</v>
      </c>
      <c r="Q330" s="157" t="s">
        <v>2115</v>
      </c>
      <c r="R330" s="157" t="s">
        <v>8599</v>
      </c>
      <c r="S330" s="157" t="s">
        <v>8612</v>
      </c>
      <c r="T330" s="157" t="s">
        <v>2134</v>
      </c>
      <c r="U330" s="159" t="s">
        <v>2129</v>
      </c>
      <c r="V330" s="159" t="s">
        <v>2138</v>
      </c>
      <c r="W330" s="159" t="s">
        <v>2129</v>
      </c>
      <c r="X330" s="160">
        <v>0.1</v>
      </c>
      <c r="Y330" s="160">
        <v>0</v>
      </c>
      <c r="Z330" s="160">
        <v>0.1</v>
      </c>
      <c r="AA330" s="160">
        <v>0</v>
      </c>
    </row>
    <row r="331" spans="1:27" ht="18" customHeight="1" x14ac:dyDescent="0.25">
      <c r="A331" s="159">
        <v>268</v>
      </c>
      <c r="B331" s="164" t="s">
        <v>266</v>
      </c>
      <c r="C331" s="164" t="s">
        <v>294</v>
      </c>
      <c r="D331" s="159" t="s">
        <v>503</v>
      </c>
      <c r="E331" s="164" t="s">
        <v>501</v>
      </c>
      <c r="F331" s="159"/>
      <c r="G331" s="157" t="s">
        <v>1349</v>
      </c>
      <c r="H331" s="157" t="s">
        <v>1415</v>
      </c>
      <c r="I331" s="157" t="s">
        <v>1293</v>
      </c>
      <c r="J331" s="157" t="s">
        <v>8300</v>
      </c>
      <c r="K331" s="157" t="s">
        <v>1352</v>
      </c>
      <c r="L331" s="157" t="s">
        <v>1417</v>
      </c>
      <c r="M331" s="157" t="str">
        <f t="shared" si="10"/>
        <v>Back-up Camera - Rear View</v>
      </c>
      <c r="N331" s="157"/>
      <c r="O331" s="157"/>
      <c r="P331" s="159" t="s">
        <v>5819</v>
      </c>
      <c r="Q331" s="157" t="s">
        <v>2115</v>
      </c>
      <c r="R331" s="157" t="s">
        <v>8599</v>
      </c>
      <c r="S331" s="157" t="s">
        <v>8612</v>
      </c>
      <c r="T331" s="157" t="s">
        <v>2134</v>
      </c>
      <c r="U331" s="159" t="s">
        <v>2129</v>
      </c>
      <c r="V331" s="159" t="s">
        <v>2138</v>
      </c>
      <c r="W331" s="159" t="s">
        <v>2129</v>
      </c>
      <c r="X331" s="160">
        <v>0.1</v>
      </c>
      <c r="Y331" s="160">
        <v>0</v>
      </c>
      <c r="Z331" s="160">
        <v>0.1</v>
      </c>
      <c r="AA331" s="160">
        <v>0</v>
      </c>
    </row>
    <row r="332" spans="1:27" ht="18" customHeight="1" x14ac:dyDescent="0.25">
      <c r="A332" s="159">
        <v>268</v>
      </c>
      <c r="B332" s="164" t="s">
        <v>266</v>
      </c>
      <c r="C332" s="164" t="s">
        <v>294</v>
      </c>
      <c r="D332" s="159" t="s">
        <v>692</v>
      </c>
      <c r="E332" s="164" t="s">
        <v>690</v>
      </c>
      <c r="F332" s="159"/>
      <c r="G332" s="157" t="s">
        <v>1349</v>
      </c>
      <c r="H332" s="157" t="s">
        <v>1415</v>
      </c>
      <c r="I332" s="157" t="s">
        <v>1293</v>
      </c>
      <c r="J332" s="157" t="s">
        <v>8300</v>
      </c>
      <c r="K332" s="157" t="s">
        <v>1352</v>
      </c>
      <c r="L332" s="157" t="s">
        <v>1417</v>
      </c>
      <c r="M332" s="157" t="str">
        <f t="shared" si="10"/>
        <v>Back-up Camera - Rear View</v>
      </c>
      <c r="N332" s="157"/>
      <c r="O332" s="157"/>
      <c r="P332" s="159" t="s">
        <v>5819</v>
      </c>
      <c r="Q332" s="157" t="s">
        <v>2115</v>
      </c>
      <c r="R332" s="157" t="s">
        <v>8599</v>
      </c>
      <c r="S332" s="157" t="s">
        <v>8612</v>
      </c>
      <c r="T332" s="157" t="s">
        <v>2134</v>
      </c>
      <c r="U332" s="159" t="s">
        <v>2129</v>
      </c>
      <c r="V332" s="159" t="s">
        <v>2138</v>
      </c>
      <c r="W332" s="159" t="s">
        <v>2129</v>
      </c>
      <c r="X332" s="160">
        <v>0.1</v>
      </c>
      <c r="Y332" s="160">
        <v>0</v>
      </c>
      <c r="Z332" s="160">
        <v>0.1</v>
      </c>
      <c r="AA332" s="160">
        <v>0</v>
      </c>
    </row>
    <row r="333" spans="1:27" ht="18" customHeight="1" x14ac:dyDescent="0.25">
      <c r="A333" s="159">
        <v>268</v>
      </c>
      <c r="B333" s="164" t="s">
        <v>266</v>
      </c>
      <c r="C333" s="164" t="s">
        <v>294</v>
      </c>
      <c r="D333" s="159" t="s">
        <v>1177</v>
      </c>
      <c r="E333" s="164" t="s">
        <v>1175</v>
      </c>
      <c r="F333" s="159"/>
      <c r="G333" s="157" t="s">
        <v>1349</v>
      </c>
      <c r="H333" s="157" t="s">
        <v>1415</v>
      </c>
      <c r="I333" s="157" t="s">
        <v>1293</v>
      </c>
      <c r="J333" s="157" t="s">
        <v>8300</v>
      </c>
      <c r="K333" s="157" t="s">
        <v>1352</v>
      </c>
      <c r="L333" s="157" t="s">
        <v>1417</v>
      </c>
      <c r="M333" s="157" t="str">
        <f t="shared" si="10"/>
        <v>Back-up Camera - Rear View</v>
      </c>
      <c r="N333" s="157"/>
      <c r="O333" s="157"/>
      <c r="P333" s="159" t="s">
        <v>5819</v>
      </c>
      <c r="Q333" s="157" t="s">
        <v>2115</v>
      </c>
      <c r="R333" s="157" t="s">
        <v>8599</v>
      </c>
      <c r="S333" s="157" t="s">
        <v>8612</v>
      </c>
      <c r="T333" s="157" t="s">
        <v>2134</v>
      </c>
      <c r="U333" s="159" t="s">
        <v>2129</v>
      </c>
      <c r="V333" s="159" t="s">
        <v>2138</v>
      </c>
      <c r="W333" s="159" t="s">
        <v>2129</v>
      </c>
      <c r="X333" s="160">
        <v>0.1</v>
      </c>
      <c r="Y333" s="160">
        <v>0</v>
      </c>
      <c r="Z333" s="160">
        <v>0.1</v>
      </c>
      <c r="AA333" s="160">
        <v>0</v>
      </c>
    </row>
    <row r="334" spans="1:27" ht="18" customHeight="1" x14ac:dyDescent="0.25">
      <c r="A334" s="159">
        <v>268</v>
      </c>
      <c r="B334" s="164" t="s">
        <v>266</v>
      </c>
      <c r="C334" s="164" t="s">
        <v>294</v>
      </c>
      <c r="D334" s="159" t="s">
        <v>1178</v>
      </c>
      <c r="E334" s="164" t="s">
        <v>1179</v>
      </c>
      <c r="F334" s="159"/>
      <c r="G334" s="157" t="s">
        <v>1349</v>
      </c>
      <c r="H334" s="157" t="s">
        <v>1415</v>
      </c>
      <c r="I334" s="157" t="s">
        <v>1293</v>
      </c>
      <c r="J334" s="157" t="s">
        <v>8300</v>
      </c>
      <c r="K334" s="157" t="s">
        <v>1352</v>
      </c>
      <c r="L334" s="157" t="s">
        <v>1417</v>
      </c>
      <c r="M334" s="157" t="str">
        <f t="shared" si="10"/>
        <v>Back-up Camera - Rear View</v>
      </c>
      <c r="N334" s="157"/>
      <c r="O334" s="157"/>
      <c r="P334" s="159" t="s">
        <v>5819</v>
      </c>
      <c r="Q334" s="157" t="s">
        <v>2115</v>
      </c>
      <c r="R334" s="157" t="s">
        <v>8599</v>
      </c>
      <c r="S334" s="157" t="s">
        <v>8612</v>
      </c>
      <c r="T334" s="157" t="s">
        <v>2134</v>
      </c>
      <c r="U334" s="159" t="s">
        <v>2129</v>
      </c>
      <c r="V334" s="159" t="s">
        <v>2138</v>
      </c>
      <c r="W334" s="159" t="s">
        <v>2129</v>
      </c>
      <c r="X334" s="160">
        <v>0.1</v>
      </c>
      <c r="Y334" s="160">
        <v>0</v>
      </c>
      <c r="Z334" s="160">
        <v>0.1</v>
      </c>
      <c r="AA334" s="160">
        <v>0</v>
      </c>
    </row>
    <row r="335" spans="1:27" ht="18" customHeight="1" x14ac:dyDescent="0.25">
      <c r="A335" s="159">
        <v>268</v>
      </c>
      <c r="B335" s="164" t="s">
        <v>266</v>
      </c>
      <c r="C335" s="164" t="s">
        <v>294</v>
      </c>
      <c r="D335" s="159" t="s">
        <v>1207</v>
      </c>
      <c r="E335" s="164" t="s">
        <v>1205</v>
      </c>
      <c r="F335" s="159"/>
      <c r="G335" s="157" t="s">
        <v>1349</v>
      </c>
      <c r="H335" s="157" t="s">
        <v>1415</v>
      </c>
      <c r="I335" s="157" t="s">
        <v>1293</v>
      </c>
      <c r="J335" s="157" t="s">
        <v>8300</v>
      </c>
      <c r="K335" s="157" t="s">
        <v>1352</v>
      </c>
      <c r="L335" s="157" t="s">
        <v>1417</v>
      </c>
      <c r="M335" s="157" t="str">
        <f t="shared" si="10"/>
        <v>Back-up Camera - Rear View</v>
      </c>
      <c r="N335" s="157"/>
      <c r="O335" s="157"/>
      <c r="P335" s="159" t="s">
        <v>5819</v>
      </c>
      <c r="Q335" s="157" t="s">
        <v>2115</v>
      </c>
      <c r="R335" s="157" t="s">
        <v>8599</v>
      </c>
      <c r="S335" s="157" t="s">
        <v>8612</v>
      </c>
      <c r="T335" s="157" t="s">
        <v>2134</v>
      </c>
      <c r="U335" s="159" t="s">
        <v>2129</v>
      </c>
      <c r="V335" s="159" t="s">
        <v>2138</v>
      </c>
      <c r="W335" s="159" t="s">
        <v>2129</v>
      </c>
      <c r="X335" s="160">
        <v>0.1</v>
      </c>
      <c r="Y335" s="160">
        <v>0</v>
      </c>
      <c r="Z335" s="160">
        <v>0.1</v>
      </c>
      <c r="AA335" s="160">
        <v>0</v>
      </c>
    </row>
    <row r="336" spans="1:27" ht="18" customHeight="1" x14ac:dyDescent="0.25">
      <c r="A336" s="159">
        <v>268</v>
      </c>
      <c r="B336" s="164" t="s">
        <v>266</v>
      </c>
      <c r="C336" s="164" t="s">
        <v>519</v>
      </c>
      <c r="D336" s="159" t="s">
        <v>522</v>
      </c>
      <c r="E336" s="164" t="s">
        <v>520</v>
      </c>
      <c r="F336" s="159"/>
      <c r="G336" s="157" t="s">
        <v>1349</v>
      </c>
      <c r="H336" s="157" t="s">
        <v>1415</v>
      </c>
      <c r="I336" s="157" t="s">
        <v>1293</v>
      </c>
      <c r="J336" s="157" t="s">
        <v>8300</v>
      </c>
      <c r="K336" s="157" t="s">
        <v>1352</v>
      </c>
      <c r="L336" s="157" t="s">
        <v>1417</v>
      </c>
      <c r="M336" s="157" t="str">
        <f t="shared" si="10"/>
        <v>Back-up Camera - Rear View</v>
      </c>
      <c r="N336" s="157"/>
      <c r="O336" s="157"/>
      <c r="P336" s="159" t="s">
        <v>5819</v>
      </c>
      <c r="Q336" s="157" t="s">
        <v>2115</v>
      </c>
      <c r="R336" s="157" t="s">
        <v>8599</v>
      </c>
      <c r="S336" s="157" t="s">
        <v>8612</v>
      </c>
      <c r="T336" s="157" t="s">
        <v>2134</v>
      </c>
      <c r="U336" s="159" t="s">
        <v>2129</v>
      </c>
      <c r="V336" s="159" t="s">
        <v>2138</v>
      </c>
      <c r="W336" s="159" t="s">
        <v>2129</v>
      </c>
      <c r="X336" s="160">
        <v>0.1</v>
      </c>
      <c r="Y336" s="160">
        <v>0</v>
      </c>
      <c r="Z336" s="160">
        <v>0.1</v>
      </c>
      <c r="AA336" s="160">
        <v>0</v>
      </c>
    </row>
    <row r="337" spans="1:27" ht="18" customHeight="1" x14ac:dyDescent="0.25">
      <c r="A337" s="159">
        <v>268</v>
      </c>
      <c r="B337" s="164" t="s">
        <v>266</v>
      </c>
      <c r="C337" s="164" t="s">
        <v>519</v>
      </c>
      <c r="D337" s="159" t="s">
        <v>1151</v>
      </c>
      <c r="E337" s="164" t="s">
        <v>1149</v>
      </c>
      <c r="F337" s="159"/>
      <c r="G337" s="157" t="s">
        <v>1349</v>
      </c>
      <c r="H337" s="157" t="s">
        <v>1415</v>
      </c>
      <c r="I337" s="157" t="s">
        <v>1293</v>
      </c>
      <c r="J337" s="157" t="s">
        <v>8300</v>
      </c>
      <c r="K337" s="157" t="s">
        <v>1352</v>
      </c>
      <c r="L337" s="157" t="s">
        <v>1417</v>
      </c>
      <c r="M337" s="157" t="str">
        <f t="shared" si="10"/>
        <v>Back-up Camera - Rear View</v>
      </c>
      <c r="N337" s="157"/>
      <c r="O337" s="157"/>
      <c r="P337" s="159" t="s">
        <v>5819</v>
      </c>
      <c r="Q337" s="157" t="s">
        <v>2115</v>
      </c>
      <c r="R337" s="157" t="s">
        <v>8599</v>
      </c>
      <c r="S337" s="157" t="s">
        <v>8612</v>
      </c>
      <c r="T337" s="157" t="s">
        <v>2134</v>
      </c>
      <c r="U337" s="159" t="s">
        <v>2129</v>
      </c>
      <c r="V337" s="159" t="s">
        <v>2138</v>
      </c>
      <c r="W337" s="159" t="s">
        <v>2129</v>
      </c>
      <c r="X337" s="160">
        <v>0.1</v>
      </c>
      <c r="Y337" s="160">
        <v>0</v>
      </c>
      <c r="Z337" s="160">
        <v>0.1</v>
      </c>
      <c r="AA337" s="160">
        <v>0</v>
      </c>
    </row>
    <row r="338" spans="1:27" ht="18" customHeight="1" x14ac:dyDescent="0.25">
      <c r="A338" s="159">
        <v>275</v>
      </c>
      <c r="B338" s="164" t="s">
        <v>29</v>
      </c>
      <c r="C338" s="164" t="s">
        <v>113</v>
      </c>
      <c r="D338" s="159" t="s">
        <v>932</v>
      </c>
      <c r="E338" s="164" t="s">
        <v>930</v>
      </c>
      <c r="F338" s="159"/>
      <c r="G338" s="157" t="s">
        <v>1349</v>
      </c>
      <c r="H338" s="157" t="s">
        <v>1418</v>
      </c>
      <c r="I338" s="157" t="s">
        <v>1419</v>
      </c>
      <c r="J338" s="157" t="s">
        <v>8296</v>
      </c>
      <c r="K338" s="157" t="s">
        <v>1352</v>
      </c>
      <c r="L338" s="157" t="s">
        <v>1420</v>
      </c>
      <c r="M338" s="157" t="str">
        <f t="shared" si="10"/>
        <v>Fisheye/Narrow Camera - Wide Forward View</v>
      </c>
      <c r="N338" s="157"/>
      <c r="O338" s="157"/>
      <c r="P338" s="159" t="s">
        <v>5747</v>
      </c>
      <c r="Q338" s="157" t="s">
        <v>2115</v>
      </c>
      <c r="R338" s="157" t="s">
        <v>8602</v>
      </c>
      <c r="S338" s="157" t="s">
        <v>8613</v>
      </c>
      <c r="T338" s="157" t="s">
        <v>2134</v>
      </c>
      <c r="U338" s="159" t="s">
        <v>2129</v>
      </c>
      <c r="V338" s="159" t="s">
        <v>2138</v>
      </c>
      <c r="W338" s="159" t="s">
        <v>2129</v>
      </c>
      <c r="X338" s="160">
        <v>1</v>
      </c>
      <c r="Y338" s="160">
        <v>1</v>
      </c>
      <c r="Z338" s="160">
        <v>1</v>
      </c>
      <c r="AA338" s="160">
        <v>1</v>
      </c>
    </row>
    <row r="339" spans="1:27" ht="18" customHeight="1" x14ac:dyDescent="0.25">
      <c r="A339" s="159">
        <v>275</v>
      </c>
      <c r="B339" s="164" t="s">
        <v>266</v>
      </c>
      <c r="C339" s="164" t="s">
        <v>286</v>
      </c>
      <c r="D339" s="159" t="s">
        <v>289</v>
      </c>
      <c r="E339" s="164" t="s">
        <v>287</v>
      </c>
      <c r="F339" s="159"/>
      <c r="G339" s="157" t="s">
        <v>1349</v>
      </c>
      <c r="H339" s="157" t="s">
        <v>1418</v>
      </c>
      <c r="I339" s="157" t="s">
        <v>1419</v>
      </c>
      <c r="J339" s="157" t="s">
        <v>8296</v>
      </c>
      <c r="K339" s="157" t="s">
        <v>1352</v>
      </c>
      <c r="L339" s="157" t="s">
        <v>1420</v>
      </c>
      <c r="M339" s="157" t="str">
        <f t="shared" si="10"/>
        <v>Fisheye/Narrow Camera - Wide Forward View</v>
      </c>
      <c r="N339" s="157"/>
      <c r="O339" s="157"/>
      <c r="P339" s="159" t="s">
        <v>5747</v>
      </c>
      <c r="Q339" s="157" t="s">
        <v>2115</v>
      </c>
      <c r="R339" s="157" t="s">
        <v>8602</v>
      </c>
      <c r="S339" s="157" t="s">
        <v>8613</v>
      </c>
      <c r="T339" s="157" t="s">
        <v>2134</v>
      </c>
      <c r="U339" s="159" t="s">
        <v>2129</v>
      </c>
      <c r="V339" s="159" t="s">
        <v>2138</v>
      </c>
      <c r="W339" s="159" t="s">
        <v>2129</v>
      </c>
      <c r="X339" s="160">
        <v>1</v>
      </c>
      <c r="Y339" s="160">
        <v>1</v>
      </c>
      <c r="Z339" s="160">
        <v>1</v>
      </c>
      <c r="AA339" s="160">
        <v>1</v>
      </c>
    </row>
    <row r="340" spans="1:27" ht="18" customHeight="1" x14ac:dyDescent="0.25">
      <c r="A340" s="159">
        <v>275</v>
      </c>
      <c r="B340" s="164" t="s">
        <v>266</v>
      </c>
      <c r="C340" s="164" t="s">
        <v>276</v>
      </c>
      <c r="D340" s="159" t="s">
        <v>317</v>
      </c>
      <c r="E340" s="164" t="s">
        <v>315</v>
      </c>
      <c r="F340" s="159"/>
      <c r="G340" s="157" t="s">
        <v>1349</v>
      </c>
      <c r="H340" s="157" t="s">
        <v>1418</v>
      </c>
      <c r="I340" s="157" t="s">
        <v>1419</v>
      </c>
      <c r="J340" s="157" t="s">
        <v>8296</v>
      </c>
      <c r="K340" s="157" t="s">
        <v>1352</v>
      </c>
      <c r="L340" s="157" t="s">
        <v>1420</v>
      </c>
      <c r="M340" s="157" t="str">
        <f t="shared" si="10"/>
        <v>Fisheye/Narrow Camera - Wide Forward View</v>
      </c>
      <c r="N340" s="157"/>
      <c r="O340" s="157"/>
      <c r="P340" s="159" t="s">
        <v>5747</v>
      </c>
      <c r="Q340" s="157" t="s">
        <v>2115</v>
      </c>
      <c r="R340" s="157" t="s">
        <v>8602</v>
      </c>
      <c r="S340" s="157" t="s">
        <v>8613</v>
      </c>
      <c r="T340" s="157" t="s">
        <v>2134</v>
      </c>
      <c r="U340" s="159" t="s">
        <v>2129</v>
      </c>
      <c r="V340" s="159" t="s">
        <v>2138</v>
      </c>
      <c r="W340" s="159" t="s">
        <v>2129</v>
      </c>
      <c r="X340" s="160">
        <v>1</v>
      </c>
      <c r="Y340" s="160">
        <v>1</v>
      </c>
      <c r="Z340" s="160">
        <v>1</v>
      </c>
      <c r="AA340" s="160">
        <v>1</v>
      </c>
    </row>
    <row r="341" spans="1:27" ht="18" customHeight="1" x14ac:dyDescent="0.25">
      <c r="A341" s="159">
        <v>275</v>
      </c>
      <c r="B341" s="164" t="s">
        <v>266</v>
      </c>
      <c r="C341" s="164" t="s">
        <v>276</v>
      </c>
      <c r="D341" s="159" t="s">
        <v>726</v>
      </c>
      <c r="E341" s="164" t="s">
        <v>724</v>
      </c>
      <c r="F341" s="159"/>
      <c r="G341" s="157" t="s">
        <v>1349</v>
      </c>
      <c r="H341" s="157" t="s">
        <v>1418</v>
      </c>
      <c r="I341" s="157" t="s">
        <v>1419</v>
      </c>
      <c r="J341" s="157" t="s">
        <v>8296</v>
      </c>
      <c r="K341" s="157" t="s">
        <v>1352</v>
      </c>
      <c r="L341" s="157" t="s">
        <v>1420</v>
      </c>
      <c r="M341" s="157" t="str">
        <f t="shared" si="10"/>
        <v>Fisheye/Narrow Camera - Wide Forward View</v>
      </c>
      <c r="N341" s="157"/>
      <c r="O341" s="157"/>
      <c r="P341" s="159" t="s">
        <v>5747</v>
      </c>
      <c r="Q341" s="157" t="s">
        <v>2115</v>
      </c>
      <c r="R341" s="157" t="s">
        <v>8602</v>
      </c>
      <c r="S341" s="157" t="s">
        <v>8613</v>
      </c>
      <c r="T341" s="157" t="s">
        <v>2134</v>
      </c>
      <c r="U341" s="159" t="s">
        <v>2129</v>
      </c>
      <c r="V341" s="159" t="s">
        <v>2138</v>
      </c>
      <c r="W341" s="159" t="s">
        <v>2129</v>
      </c>
      <c r="X341" s="160">
        <v>1</v>
      </c>
      <c r="Y341" s="160">
        <v>1</v>
      </c>
      <c r="Z341" s="160">
        <v>1</v>
      </c>
      <c r="AA341" s="160">
        <v>1</v>
      </c>
    </row>
    <row r="342" spans="1:27" ht="18" customHeight="1" x14ac:dyDescent="0.25">
      <c r="A342" s="159">
        <v>275</v>
      </c>
      <c r="B342" s="164" t="s">
        <v>266</v>
      </c>
      <c r="C342" s="164" t="s">
        <v>276</v>
      </c>
      <c r="D342" s="159" t="s">
        <v>734</v>
      </c>
      <c r="E342" s="164" t="s">
        <v>732</v>
      </c>
      <c r="F342" s="159"/>
      <c r="G342" s="157" t="s">
        <v>1349</v>
      </c>
      <c r="H342" s="157" t="s">
        <v>1418</v>
      </c>
      <c r="I342" s="157" t="s">
        <v>1419</v>
      </c>
      <c r="J342" s="157" t="s">
        <v>8296</v>
      </c>
      <c r="K342" s="157" t="s">
        <v>1352</v>
      </c>
      <c r="L342" s="157" t="s">
        <v>1420</v>
      </c>
      <c r="M342" s="157" t="str">
        <f t="shared" si="10"/>
        <v>Fisheye/Narrow Camera - Wide Forward View</v>
      </c>
      <c r="N342" s="157"/>
      <c r="O342" s="157"/>
      <c r="P342" s="159" t="s">
        <v>5747</v>
      </c>
      <c r="Q342" s="157" t="s">
        <v>2115</v>
      </c>
      <c r="R342" s="157" t="s">
        <v>8602</v>
      </c>
      <c r="S342" s="157" t="s">
        <v>8613</v>
      </c>
      <c r="T342" s="157" t="s">
        <v>2134</v>
      </c>
      <c r="U342" s="159" t="s">
        <v>2129</v>
      </c>
      <c r="V342" s="159" t="s">
        <v>2138</v>
      </c>
      <c r="W342" s="159" t="s">
        <v>2129</v>
      </c>
      <c r="X342" s="160">
        <v>1</v>
      </c>
      <c r="Y342" s="160">
        <v>1</v>
      </c>
      <c r="Z342" s="160">
        <v>1</v>
      </c>
      <c r="AA342" s="160">
        <v>1</v>
      </c>
    </row>
    <row r="343" spans="1:27" ht="18" customHeight="1" x14ac:dyDescent="0.25">
      <c r="A343" s="159">
        <v>275</v>
      </c>
      <c r="B343" s="164" t="s">
        <v>266</v>
      </c>
      <c r="C343" s="164" t="s">
        <v>294</v>
      </c>
      <c r="D343" s="159" t="s">
        <v>297</v>
      </c>
      <c r="E343" s="164" t="s">
        <v>295</v>
      </c>
      <c r="F343" s="159"/>
      <c r="G343" s="157" t="s">
        <v>1349</v>
      </c>
      <c r="H343" s="157" t="s">
        <v>1418</v>
      </c>
      <c r="I343" s="157" t="s">
        <v>1419</v>
      </c>
      <c r="J343" s="157" t="s">
        <v>8296</v>
      </c>
      <c r="K343" s="157" t="s">
        <v>1352</v>
      </c>
      <c r="L343" s="157" t="s">
        <v>1420</v>
      </c>
      <c r="M343" s="157" t="str">
        <f t="shared" si="10"/>
        <v>Fisheye/Narrow Camera - Wide Forward View</v>
      </c>
      <c r="N343" s="157"/>
      <c r="O343" s="157"/>
      <c r="P343" s="159" t="s">
        <v>5747</v>
      </c>
      <c r="Q343" s="157" t="s">
        <v>2115</v>
      </c>
      <c r="R343" s="157" t="s">
        <v>8602</v>
      </c>
      <c r="S343" s="157" t="s">
        <v>8613</v>
      </c>
      <c r="T343" s="157" t="s">
        <v>2134</v>
      </c>
      <c r="U343" s="159" t="s">
        <v>2129</v>
      </c>
      <c r="V343" s="159" t="s">
        <v>2138</v>
      </c>
      <c r="W343" s="159" t="s">
        <v>2129</v>
      </c>
      <c r="X343" s="160">
        <v>1</v>
      </c>
      <c r="Y343" s="160">
        <v>1</v>
      </c>
      <c r="Z343" s="160">
        <v>1</v>
      </c>
      <c r="AA343" s="160">
        <v>1</v>
      </c>
    </row>
    <row r="344" spans="1:27" ht="18" customHeight="1" x14ac:dyDescent="0.25">
      <c r="A344" s="159">
        <v>275</v>
      </c>
      <c r="B344" s="164" t="s">
        <v>266</v>
      </c>
      <c r="C344" s="164" t="s">
        <v>294</v>
      </c>
      <c r="D344" s="159" t="s">
        <v>298</v>
      </c>
      <c r="E344" s="164" t="s">
        <v>299</v>
      </c>
      <c r="F344" s="159"/>
      <c r="G344" s="157" t="s">
        <v>1349</v>
      </c>
      <c r="H344" s="157" t="s">
        <v>1418</v>
      </c>
      <c r="I344" s="157" t="s">
        <v>1419</v>
      </c>
      <c r="J344" s="157" t="s">
        <v>8296</v>
      </c>
      <c r="K344" s="157" t="s">
        <v>1352</v>
      </c>
      <c r="L344" s="157" t="s">
        <v>1420</v>
      </c>
      <c r="M344" s="157" t="str">
        <f t="shared" si="10"/>
        <v>Fisheye/Narrow Camera - Wide Forward View</v>
      </c>
      <c r="N344" s="157"/>
      <c r="O344" s="157"/>
      <c r="P344" s="159" t="s">
        <v>5747</v>
      </c>
      <c r="Q344" s="157" t="s">
        <v>2115</v>
      </c>
      <c r="R344" s="157" t="s">
        <v>8602</v>
      </c>
      <c r="S344" s="157" t="s">
        <v>8613</v>
      </c>
      <c r="T344" s="157" t="s">
        <v>2134</v>
      </c>
      <c r="U344" s="159" t="s">
        <v>2129</v>
      </c>
      <c r="V344" s="159" t="s">
        <v>2138</v>
      </c>
      <c r="W344" s="159" t="s">
        <v>2129</v>
      </c>
      <c r="X344" s="160">
        <v>1</v>
      </c>
      <c r="Y344" s="160">
        <v>1</v>
      </c>
      <c r="Z344" s="160">
        <v>1</v>
      </c>
      <c r="AA344" s="160">
        <v>1</v>
      </c>
    </row>
    <row r="345" spans="1:27" ht="18" customHeight="1" x14ac:dyDescent="0.25">
      <c r="A345" s="159">
        <v>275</v>
      </c>
      <c r="B345" s="164" t="s">
        <v>266</v>
      </c>
      <c r="C345" s="164" t="s">
        <v>294</v>
      </c>
      <c r="D345" s="159" t="s">
        <v>503</v>
      </c>
      <c r="E345" s="164" t="s">
        <v>501</v>
      </c>
      <c r="F345" s="159"/>
      <c r="G345" s="157" t="s">
        <v>1349</v>
      </c>
      <c r="H345" s="157" t="s">
        <v>1418</v>
      </c>
      <c r="I345" s="157" t="s">
        <v>1419</v>
      </c>
      <c r="J345" s="157" t="s">
        <v>8296</v>
      </c>
      <c r="K345" s="157" t="s">
        <v>1352</v>
      </c>
      <c r="L345" s="157" t="s">
        <v>1420</v>
      </c>
      <c r="M345" s="157" t="str">
        <f t="shared" si="10"/>
        <v>Fisheye/Narrow Camera - Wide Forward View</v>
      </c>
      <c r="N345" s="157"/>
      <c r="O345" s="157"/>
      <c r="P345" s="159" t="s">
        <v>5747</v>
      </c>
      <c r="Q345" s="157" t="s">
        <v>2115</v>
      </c>
      <c r="R345" s="157" t="s">
        <v>8602</v>
      </c>
      <c r="S345" s="157" t="s">
        <v>8613</v>
      </c>
      <c r="T345" s="157" t="s">
        <v>2134</v>
      </c>
      <c r="U345" s="159" t="s">
        <v>2129</v>
      </c>
      <c r="V345" s="159" t="s">
        <v>2138</v>
      </c>
      <c r="W345" s="159" t="s">
        <v>2129</v>
      </c>
      <c r="X345" s="160">
        <v>1</v>
      </c>
      <c r="Y345" s="160">
        <v>1</v>
      </c>
      <c r="Z345" s="160">
        <v>1</v>
      </c>
      <c r="AA345" s="160">
        <v>1</v>
      </c>
    </row>
    <row r="346" spans="1:27" ht="18" customHeight="1" x14ac:dyDescent="0.25">
      <c r="A346" s="159">
        <v>275</v>
      </c>
      <c r="B346" s="164" t="s">
        <v>266</v>
      </c>
      <c r="C346" s="164" t="s">
        <v>294</v>
      </c>
      <c r="D346" s="159" t="s">
        <v>692</v>
      </c>
      <c r="E346" s="164" t="s">
        <v>690</v>
      </c>
      <c r="F346" s="159"/>
      <c r="G346" s="157" t="s">
        <v>1349</v>
      </c>
      <c r="H346" s="157" t="s">
        <v>1418</v>
      </c>
      <c r="I346" s="157" t="s">
        <v>1419</v>
      </c>
      <c r="J346" s="157" t="s">
        <v>8296</v>
      </c>
      <c r="K346" s="157" t="s">
        <v>1352</v>
      </c>
      <c r="L346" s="157" t="s">
        <v>1420</v>
      </c>
      <c r="M346" s="157" t="str">
        <f t="shared" si="10"/>
        <v>Fisheye/Narrow Camera - Wide Forward View</v>
      </c>
      <c r="N346" s="157"/>
      <c r="O346" s="157"/>
      <c r="P346" s="159" t="s">
        <v>5747</v>
      </c>
      <c r="Q346" s="157" t="s">
        <v>2115</v>
      </c>
      <c r="R346" s="157" t="s">
        <v>8602</v>
      </c>
      <c r="S346" s="157" t="s">
        <v>8613</v>
      </c>
      <c r="T346" s="157" t="s">
        <v>2134</v>
      </c>
      <c r="U346" s="159" t="s">
        <v>2129</v>
      </c>
      <c r="V346" s="159" t="s">
        <v>2138</v>
      </c>
      <c r="W346" s="159" t="s">
        <v>2129</v>
      </c>
      <c r="X346" s="160">
        <v>1</v>
      </c>
      <c r="Y346" s="160">
        <v>1</v>
      </c>
      <c r="Z346" s="160">
        <v>1</v>
      </c>
      <c r="AA346" s="160">
        <v>1</v>
      </c>
    </row>
    <row r="347" spans="1:27" ht="18" customHeight="1" x14ac:dyDescent="0.25">
      <c r="A347" s="159">
        <v>275</v>
      </c>
      <c r="B347" s="164" t="s">
        <v>266</v>
      </c>
      <c r="C347" s="164" t="s">
        <v>294</v>
      </c>
      <c r="D347" s="159" t="s">
        <v>1177</v>
      </c>
      <c r="E347" s="164" t="s">
        <v>1175</v>
      </c>
      <c r="F347" s="159"/>
      <c r="G347" s="157" t="s">
        <v>1349</v>
      </c>
      <c r="H347" s="157" t="s">
        <v>1418</v>
      </c>
      <c r="I347" s="157" t="s">
        <v>1419</v>
      </c>
      <c r="J347" s="157" t="s">
        <v>8296</v>
      </c>
      <c r="K347" s="157" t="s">
        <v>1352</v>
      </c>
      <c r="L347" s="157" t="s">
        <v>1420</v>
      </c>
      <c r="M347" s="157" t="str">
        <f t="shared" si="10"/>
        <v>Fisheye/Narrow Camera - Wide Forward View</v>
      </c>
      <c r="N347" s="157"/>
      <c r="O347" s="157"/>
      <c r="P347" s="159" t="s">
        <v>5747</v>
      </c>
      <c r="Q347" s="157" t="s">
        <v>2115</v>
      </c>
      <c r="R347" s="157" t="s">
        <v>8602</v>
      </c>
      <c r="S347" s="157" t="s">
        <v>8613</v>
      </c>
      <c r="T347" s="157" t="s">
        <v>2134</v>
      </c>
      <c r="U347" s="159" t="s">
        <v>2129</v>
      </c>
      <c r="V347" s="159" t="s">
        <v>2138</v>
      </c>
      <c r="W347" s="159" t="s">
        <v>2129</v>
      </c>
      <c r="X347" s="160">
        <v>1</v>
      </c>
      <c r="Y347" s="160">
        <v>1</v>
      </c>
      <c r="Z347" s="160">
        <v>1</v>
      </c>
      <c r="AA347" s="160">
        <v>1</v>
      </c>
    </row>
    <row r="348" spans="1:27" ht="18" customHeight="1" x14ac:dyDescent="0.25">
      <c r="A348" s="159">
        <v>275</v>
      </c>
      <c r="B348" s="164" t="s">
        <v>266</v>
      </c>
      <c r="C348" s="164" t="s">
        <v>294</v>
      </c>
      <c r="D348" s="159" t="s">
        <v>1178</v>
      </c>
      <c r="E348" s="164" t="s">
        <v>1179</v>
      </c>
      <c r="F348" s="159"/>
      <c r="G348" s="157" t="s">
        <v>1349</v>
      </c>
      <c r="H348" s="157" t="s">
        <v>1418</v>
      </c>
      <c r="I348" s="157" t="s">
        <v>1419</v>
      </c>
      <c r="J348" s="157" t="s">
        <v>8296</v>
      </c>
      <c r="K348" s="157" t="s">
        <v>1352</v>
      </c>
      <c r="L348" s="157" t="s">
        <v>1420</v>
      </c>
      <c r="M348" s="157" t="str">
        <f t="shared" si="10"/>
        <v>Fisheye/Narrow Camera - Wide Forward View</v>
      </c>
      <c r="N348" s="157"/>
      <c r="O348" s="157"/>
      <c r="P348" s="159" t="s">
        <v>5747</v>
      </c>
      <c r="Q348" s="157" t="s">
        <v>2115</v>
      </c>
      <c r="R348" s="157" t="s">
        <v>8602</v>
      </c>
      <c r="S348" s="157" t="s">
        <v>8613</v>
      </c>
      <c r="T348" s="157" t="s">
        <v>2134</v>
      </c>
      <c r="U348" s="159" t="s">
        <v>2129</v>
      </c>
      <c r="V348" s="159" t="s">
        <v>2138</v>
      </c>
      <c r="W348" s="159" t="s">
        <v>2129</v>
      </c>
      <c r="X348" s="160">
        <v>1</v>
      </c>
      <c r="Y348" s="160">
        <v>1</v>
      </c>
      <c r="Z348" s="160">
        <v>1</v>
      </c>
      <c r="AA348" s="160">
        <v>1</v>
      </c>
    </row>
    <row r="349" spans="1:27" ht="18" customHeight="1" x14ac:dyDescent="0.25">
      <c r="A349" s="159">
        <v>275</v>
      </c>
      <c r="B349" s="164" t="s">
        <v>266</v>
      </c>
      <c r="C349" s="164" t="s">
        <v>294</v>
      </c>
      <c r="D349" s="159" t="s">
        <v>1207</v>
      </c>
      <c r="E349" s="164" t="s">
        <v>1205</v>
      </c>
      <c r="F349" s="159"/>
      <c r="G349" s="157" t="s">
        <v>1349</v>
      </c>
      <c r="H349" s="157" t="s">
        <v>1418</v>
      </c>
      <c r="I349" s="157" t="s">
        <v>1419</v>
      </c>
      <c r="J349" s="157" t="s">
        <v>8296</v>
      </c>
      <c r="K349" s="157" t="s">
        <v>1352</v>
      </c>
      <c r="L349" s="157" t="s">
        <v>1420</v>
      </c>
      <c r="M349" s="157" t="str">
        <f t="shared" si="10"/>
        <v>Fisheye/Narrow Camera - Wide Forward View</v>
      </c>
      <c r="N349" s="157"/>
      <c r="O349" s="157"/>
      <c r="P349" s="159" t="s">
        <v>5747</v>
      </c>
      <c r="Q349" s="157" t="s">
        <v>2115</v>
      </c>
      <c r="R349" s="157" t="s">
        <v>8602</v>
      </c>
      <c r="S349" s="157" t="s">
        <v>8613</v>
      </c>
      <c r="T349" s="157" t="s">
        <v>2134</v>
      </c>
      <c r="U349" s="159" t="s">
        <v>2129</v>
      </c>
      <c r="V349" s="159" t="s">
        <v>2138</v>
      </c>
      <c r="W349" s="159" t="s">
        <v>2129</v>
      </c>
      <c r="X349" s="160">
        <v>1</v>
      </c>
      <c r="Y349" s="160">
        <v>1</v>
      </c>
      <c r="Z349" s="160">
        <v>1</v>
      </c>
      <c r="AA349" s="160">
        <v>1</v>
      </c>
    </row>
    <row r="350" spans="1:27" ht="18" customHeight="1" x14ac:dyDescent="0.25">
      <c r="A350" s="159">
        <v>275</v>
      </c>
      <c r="B350" s="164" t="s">
        <v>266</v>
      </c>
      <c r="C350" s="164" t="s">
        <v>514</v>
      </c>
      <c r="D350" s="159" t="s">
        <v>517</v>
      </c>
      <c r="E350" s="164" t="s">
        <v>515</v>
      </c>
      <c r="F350" s="159"/>
      <c r="G350" s="157" t="s">
        <v>1349</v>
      </c>
      <c r="H350" s="157" t="s">
        <v>1418</v>
      </c>
      <c r="I350" s="157" t="s">
        <v>1419</v>
      </c>
      <c r="J350" s="157" t="s">
        <v>8296</v>
      </c>
      <c r="K350" s="157" t="s">
        <v>1352</v>
      </c>
      <c r="L350" s="157" t="s">
        <v>1420</v>
      </c>
      <c r="M350" s="157" t="str">
        <f t="shared" si="10"/>
        <v>Fisheye/Narrow Camera - Wide Forward View</v>
      </c>
      <c r="N350" s="157"/>
      <c r="O350" s="157"/>
      <c r="P350" s="159" t="s">
        <v>5747</v>
      </c>
      <c r="Q350" s="157" t="s">
        <v>2115</v>
      </c>
      <c r="R350" s="157" t="s">
        <v>8602</v>
      </c>
      <c r="S350" s="157" t="s">
        <v>8613</v>
      </c>
      <c r="T350" s="157" t="s">
        <v>2134</v>
      </c>
      <c r="U350" s="159" t="s">
        <v>2129</v>
      </c>
      <c r="V350" s="159" t="s">
        <v>2138</v>
      </c>
      <c r="W350" s="159" t="s">
        <v>2129</v>
      </c>
      <c r="X350" s="160">
        <v>1</v>
      </c>
      <c r="Y350" s="160">
        <v>1</v>
      </c>
      <c r="Z350" s="160">
        <v>1</v>
      </c>
      <c r="AA350" s="160">
        <v>1</v>
      </c>
    </row>
    <row r="351" spans="1:27" ht="18" customHeight="1" x14ac:dyDescent="0.25">
      <c r="A351" s="159">
        <v>275</v>
      </c>
      <c r="B351" s="164" t="s">
        <v>266</v>
      </c>
      <c r="C351" s="164" t="s">
        <v>514</v>
      </c>
      <c r="D351" s="159" t="s">
        <v>793</v>
      </c>
      <c r="E351" s="164" t="s">
        <v>791</v>
      </c>
      <c r="F351" s="159"/>
      <c r="G351" s="157" t="s">
        <v>1349</v>
      </c>
      <c r="H351" s="157" t="s">
        <v>1418</v>
      </c>
      <c r="I351" s="157" t="s">
        <v>1419</v>
      </c>
      <c r="J351" s="157" t="s">
        <v>8296</v>
      </c>
      <c r="K351" s="157" t="s">
        <v>1352</v>
      </c>
      <c r="L351" s="157" t="s">
        <v>1420</v>
      </c>
      <c r="M351" s="157" t="str">
        <f t="shared" si="10"/>
        <v>Fisheye/Narrow Camera - Wide Forward View</v>
      </c>
      <c r="N351" s="157"/>
      <c r="O351" s="157"/>
      <c r="P351" s="159" t="s">
        <v>5747</v>
      </c>
      <c r="Q351" s="157" t="s">
        <v>2115</v>
      </c>
      <c r="R351" s="157" t="s">
        <v>8602</v>
      </c>
      <c r="S351" s="157" t="s">
        <v>8613</v>
      </c>
      <c r="T351" s="157" t="s">
        <v>2134</v>
      </c>
      <c r="U351" s="159" t="s">
        <v>2129</v>
      </c>
      <c r="V351" s="159" t="s">
        <v>2138</v>
      </c>
      <c r="W351" s="159" t="s">
        <v>2129</v>
      </c>
      <c r="X351" s="160">
        <v>1</v>
      </c>
      <c r="Y351" s="160">
        <v>1</v>
      </c>
      <c r="Z351" s="160">
        <v>1</v>
      </c>
      <c r="AA351" s="160">
        <v>1</v>
      </c>
    </row>
    <row r="352" spans="1:27" ht="18" customHeight="1" x14ac:dyDescent="0.25">
      <c r="A352" s="159">
        <v>275</v>
      </c>
      <c r="B352" s="164" t="s">
        <v>266</v>
      </c>
      <c r="C352" s="164" t="s">
        <v>514</v>
      </c>
      <c r="D352" s="159" t="s">
        <v>731</v>
      </c>
      <c r="E352" s="164" t="s">
        <v>795</v>
      </c>
      <c r="F352" s="159"/>
      <c r="G352" s="157" t="s">
        <v>1349</v>
      </c>
      <c r="H352" s="157" t="s">
        <v>1418</v>
      </c>
      <c r="I352" s="157" t="s">
        <v>1419</v>
      </c>
      <c r="J352" s="157" t="s">
        <v>8296</v>
      </c>
      <c r="K352" s="157" t="s">
        <v>1352</v>
      </c>
      <c r="L352" s="157" t="s">
        <v>1420</v>
      </c>
      <c r="M352" s="157" t="str">
        <f t="shared" si="10"/>
        <v>Fisheye/Narrow Camera - Wide Forward View</v>
      </c>
      <c r="N352" s="157"/>
      <c r="O352" s="157"/>
      <c r="P352" s="159" t="s">
        <v>5747</v>
      </c>
      <c r="Q352" s="157" t="s">
        <v>2115</v>
      </c>
      <c r="R352" s="157" t="s">
        <v>8602</v>
      </c>
      <c r="S352" s="157" t="s">
        <v>8613</v>
      </c>
      <c r="T352" s="157" t="s">
        <v>2134</v>
      </c>
      <c r="U352" s="159" t="s">
        <v>2129</v>
      </c>
      <c r="V352" s="159" t="s">
        <v>2138</v>
      </c>
      <c r="W352" s="159" t="s">
        <v>2129</v>
      </c>
      <c r="X352" s="160">
        <v>1</v>
      </c>
      <c r="Y352" s="160">
        <v>1</v>
      </c>
      <c r="Z352" s="160">
        <v>1</v>
      </c>
      <c r="AA352" s="160">
        <v>1</v>
      </c>
    </row>
    <row r="353" spans="1:27" ht="18" customHeight="1" x14ac:dyDescent="0.25">
      <c r="A353" s="159">
        <v>275</v>
      </c>
      <c r="B353" s="164" t="s">
        <v>266</v>
      </c>
      <c r="C353" s="164" t="s">
        <v>514</v>
      </c>
      <c r="D353" s="159" t="s">
        <v>1170</v>
      </c>
      <c r="E353" s="164" t="s">
        <v>1168</v>
      </c>
      <c r="F353" s="159"/>
      <c r="G353" s="157" t="s">
        <v>1349</v>
      </c>
      <c r="H353" s="157" t="s">
        <v>1418</v>
      </c>
      <c r="I353" s="157" t="s">
        <v>1419</v>
      </c>
      <c r="J353" s="157" t="s">
        <v>8296</v>
      </c>
      <c r="K353" s="157" t="s">
        <v>1352</v>
      </c>
      <c r="L353" s="157" t="s">
        <v>1420</v>
      </c>
      <c r="M353" s="157" t="str">
        <f t="shared" si="10"/>
        <v>Fisheye/Narrow Camera - Wide Forward View</v>
      </c>
      <c r="N353" s="157"/>
      <c r="O353" s="157"/>
      <c r="P353" s="159" t="s">
        <v>5747</v>
      </c>
      <c r="Q353" s="157" t="s">
        <v>2115</v>
      </c>
      <c r="R353" s="157" t="s">
        <v>8602</v>
      </c>
      <c r="S353" s="157" t="s">
        <v>8613</v>
      </c>
      <c r="T353" s="157" t="s">
        <v>2134</v>
      </c>
      <c r="U353" s="159" t="s">
        <v>2129</v>
      </c>
      <c r="V353" s="159" t="s">
        <v>2138</v>
      </c>
      <c r="W353" s="159" t="s">
        <v>2129</v>
      </c>
      <c r="X353" s="160">
        <v>1</v>
      </c>
      <c r="Y353" s="160">
        <v>1</v>
      </c>
      <c r="Z353" s="160">
        <v>1</v>
      </c>
      <c r="AA353" s="160">
        <v>1</v>
      </c>
    </row>
    <row r="354" spans="1:27" ht="18" customHeight="1" x14ac:dyDescent="0.25">
      <c r="A354" s="159">
        <v>275</v>
      </c>
      <c r="B354" s="164" t="s">
        <v>266</v>
      </c>
      <c r="C354" s="164" t="s">
        <v>514</v>
      </c>
      <c r="D354" s="159" t="s">
        <v>1171</v>
      </c>
      <c r="E354" s="164" t="s">
        <v>1223</v>
      </c>
      <c r="F354" s="159"/>
      <c r="G354" s="157" t="s">
        <v>1349</v>
      </c>
      <c r="H354" s="157" t="s">
        <v>1418</v>
      </c>
      <c r="I354" s="157" t="s">
        <v>1419</v>
      </c>
      <c r="J354" s="157" t="s">
        <v>8296</v>
      </c>
      <c r="K354" s="157" t="s">
        <v>1352</v>
      </c>
      <c r="L354" s="157" t="s">
        <v>1420</v>
      </c>
      <c r="M354" s="157" t="str">
        <f t="shared" si="10"/>
        <v>Fisheye/Narrow Camera - Wide Forward View</v>
      </c>
      <c r="N354" s="157"/>
      <c r="O354" s="157"/>
      <c r="P354" s="159" t="s">
        <v>5747</v>
      </c>
      <c r="Q354" s="157" t="s">
        <v>2115</v>
      </c>
      <c r="R354" s="157" t="s">
        <v>8602</v>
      </c>
      <c r="S354" s="157" t="s">
        <v>8613</v>
      </c>
      <c r="T354" s="157" t="s">
        <v>2134</v>
      </c>
      <c r="U354" s="159" t="s">
        <v>2129</v>
      </c>
      <c r="V354" s="159" t="s">
        <v>2138</v>
      </c>
      <c r="W354" s="159" t="s">
        <v>2129</v>
      </c>
      <c r="X354" s="160">
        <v>1</v>
      </c>
      <c r="Y354" s="160">
        <v>1</v>
      </c>
      <c r="Z354" s="160">
        <v>1</v>
      </c>
      <c r="AA354" s="160">
        <v>1</v>
      </c>
    </row>
    <row r="355" spans="1:27" ht="18" customHeight="1" x14ac:dyDescent="0.25">
      <c r="A355" s="159">
        <v>275</v>
      </c>
      <c r="B355" s="164" t="s">
        <v>266</v>
      </c>
      <c r="C355" s="164" t="s">
        <v>519</v>
      </c>
      <c r="D355" s="159" t="s">
        <v>522</v>
      </c>
      <c r="E355" s="164" t="s">
        <v>520</v>
      </c>
      <c r="F355" s="159"/>
      <c r="G355" s="157" t="s">
        <v>1349</v>
      </c>
      <c r="H355" s="157" t="s">
        <v>1418</v>
      </c>
      <c r="I355" s="157" t="s">
        <v>1419</v>
      </c>
      <c r="J355" s="157" t="s">
        <v>8296</v>
      </c>
      <c r="K355" s="157" t="s">
        <v>1352</v>
      </c>
      <c r="L355" s="157" t="s">
        <v>1420</v>
      </c>
      <c r="M355" s="157" t="str">
        <f t="shared" si="10"/>
        <v>Fisheye/Narrow Camera - Wide Forward View</v>
      </c>
      <c r="N355" s="157"/>
      <c r="O355" s="157"/>
      <c r="P355" s="159" t="s">
        <v>5747</v>
      </c>
      <c r="Q355" s="157" t="s">
        <v>2115</v>
      </c>
      <c r="R355" s="157" t="s">
        <v>8602</v>
      </c>
      <c r="S355" s="157" t="s">
        <v>8613</v>
      </c>
      <c r="T355" s="157" t="s">
        <v>2134</v>
      </c>
      <c r="U355" s="159" t="s">
        <v>2129</v>
      </c>
      <c r="V355" s="159" t="s">
        <v>2138</v>
      </c>
      <c r="W355" s="159" t="s">
        <v>2129</v>
      </c>
      <c r="X355" s="160">
        <v>1</v>
      </c>
      <c r="Y355" s="160">
        <v>1</v>
      </c>
      <c r="Z355" s="160">
        <v>1</v>
      </c>
      <c r="AA355" s="160">
        <v>1</v>
      </c>
    </row>
    <row r="356" spans="1:27" ht="18" customHeight="1" x14ac:dyDescent="0.25">
      <c r="A356" s="159">
        <v>275</v>
      </c>
      <c r="B356" s="164" t="s">
        <v>266</v>
      </c>
      <c r="C356" s="164" t="s">
        <v>519</v>
      </c>
      <c r="D356" s="159" t="s">
        <v>935</v>
      </c>
      <c r="E356" s="164" t="s">
        <v>933</v>
      </c>
      <c r="F356" s="159"/>
      <c r="G356" s="157" t="s">
        <v>1349</v>
      </c>
      <c r="H356" s="157" t="s">
        <v>1418</v>
      </c>
      <c r="I356" s="157" t="s">
        <v>1419</v>
      </c>
      <c r="J356" s="157" t="s">
        <v>8296</v>
      </c>
      <c r="K356" s="157" t="s">
        <v>1352</v>
      </c>
      <c r="L356" s="157" t="s">
        <v>1420</v>
      </c>
      <c r="M356" s="157" t="str">
        <f t="shared" si="10"/>
        <v>Fisheye/Narrow Camera - Wide Forward View</v>
      </c>
      <c r="N356" s="157"/>
      <c r="O356" s="157"/>
      <c r="P356" s="159" t="s">
        <v>5747</v>
      </c>
      <c r="Q356" s="157" t="s">
        <v>2115</v>
      </c>
      <c r="R356" s="157" t="s">
        <v>8602</v>
      </c>
      <c r="S356" s="157" t="s">
        <v>8613</v>
      </c>
      <c r="T356" s="157" t="s">
        <v>2134</v>
      </c>
      <c r="U356" s="159" t="s">
        <v>2129</v>
      </c>
      <c r="V356" s="159" t="s">
        <v>2138</v>
      </c>
      <c r="W356" s="159" t="s">
        <v>2129</v>
      </c>
      <c r="X356" s="160">
        <v>1</v>
      </c>
      <c r="Y356" s="160">
        <v>1</v>
      </c>
      <c r="Z356" s="160">
        <v>1</v>
      </c>
      <c r="AA356" s="160">
        <v>1</v>
      </c>
    </row>
    <row r="357" spans="1:27" ht="18" customHeight="1" x14ac:dyDescent="0.25">
      <c r="A357" s="159">
        <v>275</v>
      </c>
      <c r="B357" s="164" t="s">
        <v>266</v>
      </c>
      <c r="C357" s="164" t="s">
        <v>519</v>
      </c>
      <c r="D357" s="159" t="s">
        <v>1151</v>
      </c>
      <c r="E357" s="164" t="s">
        <v>1149</v>
      </c>
      <c r="F357" s="159"/>
      <c r="G357" s="157" t="s">
        <v>1349</v>
      </c>
      <c r="H357" s="157" t="s">
        <v>1418</v>
      </c>
      <c r="I357" s="157" t="s">
        <v>1419</v>
      </c>
      <c r="J357" s="157" t="s">
        <v>8296</v>
      </c>
      <c r="K357" s="157" t="s">
        <v>1352</v>
      </c>
      <c r="L357" s="157" t="s">
        <v>1420</v>
      </c>
      <c r="M357" s="157" t="str">
        <f t="shared" si="10"/>
        <v>Fisheye/Narrow Camera - Wide Forward View</v>
      </c>
      <c r="N357" s="157"/>
      <c r="O357" s="157"/>
      <c r="P357" s="159" t="s">
        <v>5747</v>
      </c>
      <c r="Q357" s="157" t="s">
        <v>2115</v>
      </c>
      <c r="R357" s="157" t="s">
        <v>8602</v>
      </c>
      <c r="S357" s="157" t="s">
        <v>8613</v>
      </c>
      <c r="T357" s="157" t="s">
        <v>2134</v>
      </c>
      <c r="U357" s="159" t="s">
        <v>2129</v>
      </c>
      <c r="V357" s="159" t="s">
        <v>2138</v>
      </c>
      <c r="W357" s="159" t="s">
        <v>2129</v>
      </c>
      <c r="X357" s="160">
        <v>1</v>
      </c>
      <c r="Y357" s="160">
        <v>1</v>
      </c>
      <c r="Z357" s="160">
        <v>1</v>
      </c>
      <c r="AA357" s="160">
        <v>1</v>
      </c>
    </row>
    <row r="358" spans="1:27" ht="18" customHeight="1" x14ac:dyDescent="0.25">
      <c r="A358" s="159">
        <v>341</v>
      </c>
      <c r="B358" s="157" t="s">
        <v>29</v>
      </c>
      <c r="C358" s="157" t="s">
        <v>30</v>
      </c>
      <c r="D358" s="159" t="s">
        <v>220</v>
      </c>
      <c r="E358" s="157" t="s">
        <v>218</v>
      </c>
      <c r="F358" s="157" t="s">
        <v>1264</v>
      </c>
      <c r="G358" s="157" t="s">
        <v>1536</v>
      </c>
      <c r="H358" s="157" t="s">
        <v>1287</v>
      </c>
      <c r="I358" s="157" t="s">
        <v>1421</v>
      </c>
      <c r="J358" s="157" t="s">
        <v>1422</v>
      </c>
      <c r="K358" s="157" t="s">
        <v>1269</v>
      </c>
      <c r="L358" s="157" t="s">
        <v>9522</v>
      </c>
      <c r="M358" s="157" t="str">
        <f t="shared" si="10"/>
        <v>Bulb P5W - Side Marker Front Left</v>
      </c>
      <c r="N358" s="157"/>
      <c r="O358" s="157"/>
      <c r="P358" s="167" t="s">
        <v>8127</v>
      </c>
      <c r="Q358" s="157"/>
      <c r="R358" s="157"/>
      <c r="S358" s="157"/>
      <c r="T358" s="157"/>
      <c r="U358" s="159" t="s">
        <v>2138</v>
      </c>
      <c r="V358" s="159" t="s">
        <v>2129</v>
      </c>
      <c r="W358" s="159" t="s">
        <v>2129</v>
      </c>
      <c r="X358" s="160">
        <v>0</v>
      </c>
      <c r="Y358" s="160">
        <v>0</v>
      </c>
      <c r="Z358" s="160">
        <v>1</v>
      </c>
      <c r="AA358" s="160">
        <v>1</v>
      </c>
    </row>
    <row r="359" spans="1:27" ht="18" customHeight="1" x14ac:dyDescent="0.25">
      <c r="A359" s="159">
        <v>341</v>
      </c>
      <c r="B359" s="157" t="s">
        <v>29</v>
      </c>
      <c r="C359" s="157" t="s">
        <v>30</v>
      </c>
      <c r="D359" s="159" t="s">
        <v>220</v>
      </c>
      <c r="E359" s="157" t="s">
        <v>218</v>
      </c>
      <c r="F359" s="157" t="s">
        <v>1264</v>
      </c>
      <c r="G359" s="157" t="s">
        <v>1536</v>
      </c>
      <c r="H359" s="157" t="s">
        <v>1287</v>
      </c>
      <c r="I359" s="157" t="s">
        <v>9756</v>
      </c>
      <c r="J359" s="157" t="s">
        <v>1422</v>
      </c>
      <c r="K359" s="157" t="s">
        <v>1269</v>
      </c>
      <c r="L359" s="157" t="s">
        <v>9751</v>
      </c>
      <c r="M359" s="157" t="str">
        <f t="shared" si="10"/>
        <v>Side Marker Bulb P5W - Position Lamp Left</v>
      </c>
      <c r="N359" s="157"/>
      <c r="O359" s="157"/>
      <c r="P359" s="167" t="s">
        <v>8127</v>
      </c>
      <c r="Q359" s="157"/>
      <c r="R359" s="157"/>
      <c r="S359" s="157"/>
      <c r="T359" s="157"/>
      <c r="U359" s="159" t="s">
        <v>2138</v>
      </c>
      <c r="V359" s="159" t="s">
        <v>2129</v>
      </c>
      <c r="W359" s="159" t="s">
        <v>2129</v>
      </c>
      <c r="X359" s="160">
        <v>0</v>
      </c>
      <c r="Y359" s="160">
        <v>0</v>
      </c>
      <c r="Z359" s="160">
        <v>1</v>
      </c>
      <c r="AA359" s="160">
        <v>1</v>
      </c>
    </row>
    <row r="360" spans="1:27" ht="18" customHeight="1" x14ac:dyDescent="0.25">
      <c r="A360" s="159">
        <v>342</v>
      </c>
      <c r="B360" s="157" t="s">
        <v>29</v>
      </c>
      <c r="C360" s="157" t="s">
        <v>30</v>
      </c>
      <c r="D360" s="159" t="s">
        <v>220</v>
      </c>
      <c r="E360" s="157" t="s">
        <v>218</v>
      </c>
      <c r="F360" s="157" t="s">
        <v>1264</v>
      </c>
      <c r="G360" s="157" t="s">
        <v>1536</v>
      </c>
      <c r="H360" s="157" t="s">
        <v>1287</v>
      </c>
      <c r="I360" s="157" t="s">
        <v>1421</v>
      </c>
      <c r="J360" s="157" t="s">
        <v>1422</v>
      </c>
      <c r="K360" s="157" t="s">
        <v>1269</v>
      </c>
      <c r="L360" s="157" t="s">
        <v>1286</v>
      </c>
      <c r="M360" s="157" t="str">
        <f t="shared" si="10"/>
        <v>LED Lamp - Side Marker Front Left</v>
      </c>
      <c r="N360" s="157"/>
      <c r="O360" s="157"/>
      <c r="P360" s="167" t="s">
        <v>8127</v>
      </c>
      <c r="Q360" s="157"/>
      <c r="R360" s="157"/>
      <c r="S360" s="157"/>
      <c r="T360" s="157"/>
      <c r="U360" s="159" t="s">
        <v>2129</v>
      </c>
      <c r="V360" s="159" t="s">
        <v>2138</v>
      </c>
      <c r="W360" s="159" t="s">
        <v>2138</v>
      </c>
      <c r="X360" s="160">
        <v>0</v>
      </c>
      <c r="Y360" s="160">
        <v>0</v>
      </c>
      <c r="Z360" s="160">
        <v>1</v>
      </c>
      <c r="AA360" s="160">
        <v>1</v>
      </c>
    </row>
    <row r="361" spans="1:27" ht="18" customHeight="1" x14ac:dyDescent="0.25">
      <c r="A361" s="159">
        <v>342</v>
      </c>
      <c r="B361" s="157" t="s">
        <v>29</v>
      </c>
      <c r="C361" s="157" t="s">
        <v>30</v>
      </c>
      <c r="D361" s="159" t="s">
        <v>220</v>
      </c>
      <c r="E361" s="157" t="s">
        <v>218</v>
      </c>
      <c r="F361" s="157" t="s">
        <v>1264</v>
      </c>
      <c r="G361" s="157" t="s">
        <v>1536</v>
      </c>
      <c r="H361" s="157" t="s">
        <v>1287</v>
      </c>
      <c r="I361" s="157" t="s">
        <v>9756</v>
      </c>
      <c r="J361" s="157" t="s">
        <v>1422</v>
      </c>
      <c r="K361" s="157" t="s">
        <v>1269</v>
      </c>
      <c r="L361" s="157" t="s">
        <v>9752</v>
      </c>
      <c r="M361" s="157" t="str">
        <f t="shared" si="10"/>
        <v>Side Marker LED Lamp - Position Lamp Left</v>
      </c>
      <c r="N361" s="157"/>
      <c r="O361" s="157"/>
      <c r="P361" s="167" t="s">
        <v>8127</v>
      </c>
      <c r="Q361" s="157"/>
      <c r="R361" s="157"/>
      <c r="S361" s="157"/>
      <c r="T361" s="157"/>
      <c r="U361" s="159" t="s">
        <v>2129</v>
      </c>
      <c r="V361" s="159" t="s">
        <v>2138</v>
      </c>
      <c r="W361" s="159" t="s">
        <v>2138</v>
      </c>
      <c r="X361" s="160">
        <v>0</v>
      </c>
      <c r="Y361" s="160">
        <v>0</v>
      </c>
      <c r="Z361" s="160">
        <v>1</v>
      </c>
      <c r="AA361" s="160">
        <v>1</v>
      </c>
    </row>
    <row r="362" spans="1:27" ht="18" customHeight="1" x14ac:dyDescent="0.25">
      <c r="A362" s="159">
        <v>352</v>
      </c>
      <c r="B362" s="157" t="s">
        <v>77</v>
      </c>
      <c r="C362" s="157" t="s">
        <v>149</v>
      </c>
      <c r="D362" s="159" t="s">
        <v>198</v>
      </c>
      <c r="E362" s="157" t="s">
        <v>196</v>
      </c>
      <c r="F362" s="157" t="s">
        <v>1264</v>
      </c>
      <c r="G362" s="157" t="s">
        <v>1278</v>
      </c>
      <c r="H362" s="157" t="s">
        <v>1283</v>
      </c>
      <c r="I362" s="157" t="s">
        <v>1424</v>
      </c>
      <c r="J362" s="157" t="s">
        <v>8567</v>
      </c>
      <c r="K362" s="157" t="s">
        <v>1269</v>
      </c>
      <c r="L362" s="157" t="s">
        <v>1286</v>
      </c>
      <c r="M362" s="157" t="str">
        <f t="shared" si="10"/>
        <v>LED Lamp - Maplight RL</v>
      </c>
      <c r="N362" s="157"/>
      <c r="O362" s="157"/>
      <c r="P362" s="159" t="s">
        <v>6903</v>
      </c>
      <c r="Q362" s="157" t="s">
        <v>2115</v>
      </c>
      <c r="R362" s="157" t="s">
        <v>8566</v>
      </c>
      <c r="S362" s="157" t="s">
        <v>8611</v>
      </c>
      <c r="T362" s="157"/>
      <c r="U362" s="159" t="s">
        <v>2129</v>
      </c>
      <c r="V362" s="159" t="s">
        <v>2129</v>
      </c>
      <c r="W362" s="159" t="s">
        <v>2138</v>
      </c>
      <c r="X362" s="160">
        <v>0</v>
      </c>
      <c r="Y362" s="160">
        <v>0</v>
      </c>
      <c r="Z362" s="160">
        <v>0.05</v>
      </c>
      <c r="AA362" s="160">
        <v>0.05</v>
      </c>
    </row>
    <row r="363" spans="1:27" ht="18" customHeight="1" x14ac:dyDescent="0.25">
      <c r="A363" s="159">
        <v>353</v>
      </c>
      <c r="B363" s="157" t="s">
        <v>77</v>
      </c>
      <c r="C363" s="157" t="s">
        <v>149</v>
      </c>
      <c r="D363" s="159" t="s">
        <v>198</v>
      </c>
      <c r="E363" s="157" t="s">
        <v>196</v>
      </c>
      <c r="F363" s="157" t="s">
        <v>1264</v>
      </c>
      <c r="G363" s="157" t="s">
        <v>1278</v>
      </c>
      <c r="H363" s="157" t="s">
        <v>1283</v>
      </c>
      <c r="I363" s="157" t="s">
        <v>1426</v>
      </c>
      <c r="J363" s="157" t="s">
        <v>8567</v>
      </c>
      <c r="K363" s="157" t="s">
        <v>1269</v>
      </c>
      <c r="L363" s="157" t="s">
        <v>1286</v>
      </c>
      <c r="M363" s="157" t="str">
        <f t="shared" si="10"/>
        <v>LED Lamp - Maplight RR</v>
      </c>
      <c r="N363" s="157"/>
      <c r="O363" s="157"/>
      <c r="P363" s="159" t="s">
        <v>4652</v>
      </c>
      <c r="Q363" s="157" t="s">
        <v>2115</v>
      </c>
      <c r="R363" s="157" t="s">
        <v>8566</v>
      </c>
      <c r="S363" s="157" t="s">
        <v>8611</v>
      </c>
      <c r="T363" s="157"/>
      <c r="U363" s="159" t="s">
        <v>2129</v>
      </c>
      <c r="V363" s="159" t="s">
        <v>2129</v>
      </c>
      <c r="W363" s="159" t="s">
        <v>2138</v>
      </c>
      <c r="X363" s="160">
        <v>0</v>
      </c>
      <c r="Y363" s="160">
        <v>0</v>
      </c>
      <c r="Z363" s="160">
        <v>0.05</v>
      </c>
      <c r="AA363" s="160">
        <v>0.05</v>
      </c>
    </row>
    <row r="364" spans="1:27" ht="18" customHeight="1" x14ac:dyDescent="0.25">
      <c r="A364" s="159">
        <v>356</v>
      </c>
      <c r="B364" s="157" t="s">
        <v>77</v>
      </c>
      <c r="C364" s="157" t="s">
        <v>149</v>
      </c>
      <c r="D364" s="159" t="s">
        <v>178</v>
      </c>
      <c r="E364" s="157" t="s">
        <v>176</v>
      </c>
      <c r="F364" s="157" t="s">
        <v>1264</v>
      </c>
      <c r="G364" s="157" t="s">
        <v>1278</v>
      </c>
      <c r="H364" s="157" t="s">
        <v>1283</v>
      </c>
      <c r="I364" s="157" t="s">
        <v>1430</v>
      </c>
      <c r="J364" s="157" t="s">
        <v>1285</v>
      </c>
      <c r="K364" s="157" t="s">
        <v>1269</v>
      </c>
      <c r="L364" s="157" t="s">
        <v>1286</v>
      </c>
      <c r="M364" s="157" t="str">
        <f t="shared" si="10"/>
        <v>LED Lamp - Dome Illumination</v>
      </c>
      <c r="N364" s="157"/>
      <c r="O364" s="157"/>
      <c r="P364" s="159" t="s">
        <v>5749</v>
      </c>
      <c r="Q364" s="157" t="s">
        <v>2115</v>
      </c>
      <c r="R364" s="157" t="s">
        <v>8569</v>
      </c>
      <c r="S364" s="157" t="s">
        <v>8610</v>
      </c>
      <c r="T364" s="157"/>
      <c r="U364" s="159" t="s">
        <v>2138</v>
      </c>
      <c r="V364" s="159" t="s">
        <v>2138</v>
      </c>
      <c r="W364" s="159" t="s">
        <v>2138</v>
      </c>
      <c r="X364" s="160">
        <f>30/(20*60)</f>
        <v>2.5000000000000001E-2</v>
      </c>
      <c r="Y364" s="160">
        <f>30/(20*60)</f>
        <v>2.5000000000000001E-2</v>
      </c>
      <c r="Z364" s="160">
        <f>30/(20*60)</f>
        <v>2.5000000000000001E-2</v>
      </c>
      <c r="AA364" s="160">
        <f>30/(20*60)</f>
        <v>2.5000000000000001E-2</v>
      </c>
    </row>
    <row r="365" spans="1:27" ht="18" customHeight="1" x14ac:dyDescent="0.25">
      <c r="A365" s="159">
        <v>369</v>
      </c>
      <c r="B365" s="157" t="s">
        <v>251</v>
      </c>
      <c r="C365" s="157" t="s">
        <v>252</v>
      </c>
      <c r="D365" s="159" t="s">
        <v>723</v>
      </c>
      <c r="E365" s="157" t="s">
        <v>721</v>
      </c>
      <c r="F365" s="161" t="s">
        <v>73</v>
      </c>
      <c r="G365" s="157" t="s">
        <v>1321</v>
      </c>
      <c r="H365" s="157" t="s">
        <v>1330</v>
      </c>
      <c r="I365" s="157" t="s">
        <v>1433</v>
      </c>
      <c r="J365" s="157" t="s">
        <v>1434</v>
      </c>
      <c r="K365" s="157" t="s">
        <v>1274</v>
      </c>
      <c r="L365" s="157" t="s">
        <v>1435</v>
      </c>
      <c r="M365" s="157" t="str">
        <f t="shared" si="10"/>
        <v>Inverter Front - Power Convertion</v>
      </c>
      <c r="N365" s="157"/>
      <c r="O365" s="157"/>
      <c r="P365" s="159" t="s">
        <v>2401</v>
      </c>
      <c r="Q365" s="157" t="s">
        <v>2115</v>
      </c>
      <c r="R365" s="157" t="s">
        <v>9566</v>
      </c>
      <c r="S365" s="157" t="s">
        <v>9567</v>
      </c>
      <c r="T365" s="157"/>
      <c r="U365" s="159" t="s">
        <v>2129</v>
      </c>
      <c r="V365" s="159" t="s">
        <v>2129</v>
      </c>
      <c r="W365" s="159" t="s">
        <v>2138</v>
      </c>
      <c r="X365" s="160">
        <v>1</v>
      </c>
      <c r="Y365" s="160">
        <v>1</v>
      </c>
      <c r="Z365" s="160">
        <v>1</v>
      </c>
      <c r="AA365" s="160">
        <v>1</v>
      </c>
    </row>
    <row r="366" spans="1:27" ht="18" customHeight="1" x14ac:dyDescent="0.25">
      <c r="A366" s="159">
        <v>371</v>
      </c>
      <c r="B366" s="157" t="s">
        <v>251</v>
      </c>
      <c r="C366" s="157" t="s">
        <v>252</v>
      </c>
      <c r="D366" s="159" t="s">
        <v>1174</v>
      </c>
      <c r="E366" s="157" t="s">
        <v>1172</v>
      </c>
      <c r="F366" s="157"/>
      <c r="G366" s="157" t="s">
        <v>1321</v>
      </c>
      <c r="H366" s="157" t="s">
        <v>1436</v>
      </c>
      <c r="I366" s="157" t="s">
        <v>1437</v>
      </c>
      <c r="J366" s="157" t="s">
        <v>1434</v>
      </c>
      <c r="K366" s="157" t="s">
        <v>1269</v>
      </c>
      <c r="L366" s="157" t="s">
        <v>9658</v>
      </c>
      <c r="M366" s="157" t="str">
        <f t="shared" si="10"/>
        <v>Oil Pump - Front Drive Unit - Oil Flow</v>
      </c>
      <c r="N366" s="157"/>
      <c r="O366" s="157"/>
      <c r="P366" s="159"/>
      <c r="Q366" s="157"/>
      <c r="R366" s="157"/>
      <c r="S366" s="157"/>
      <c r="T366" s="157"/>
      <c r="U366" s="159"/>
      <c r="V366" s="159"/>
      <c r="W366" s="159"/>
      <c r="X366" s="160"/>
      <c r="Y366" s="160"/>
      <c r="Z366" s="160"/>
      <c r="AA366" s="160"/>
    </row>
    <row r="367" spans="1:27" ht="18" customHeight="1" x14ac:dyDescent="0.25">
      <c r="A367" s="159">
        <v>384</v>
      </c>
      <c r="B367" s="157" t="s">
        <v>29</v>
      </c>
      <c r="C367" s="157" t="s">
        <v>386</v>
      </c>
      <c r="D367" s="159" t="s">
        <v>389</v>
      </c>
      <c r="E367" s="157" t="s">
        <v>387</v>
      </c>
      <c r="F367" s="157"/>
      <c r="G367" s="157" t="s">
        <v>1278</v>
      </c>
      <c r="H367" s="157" t="s">
        <v>1279</v>
      </c>
      <c r="I367" s="157" t="s">
        <v>9542</v>
      </c>
      <c r="J367" s="157" t="s">
        <v>1280</v>
      </c>
      <c r="K367" s="157" t="s">
        <v>1281</v>
      </c>
      <c r="L367" s="157" t="s">
        <v>1282</v>
      </c>
      <c r="M367" s="157" t="str">
        <f t="shared" si="10"/>
        <v>User Selector - Power Window Command Passenger Door</v>
      </c>
      <c r="N367" s="157"/>
      <c r="O367" s="157"/>
      <c r="P367" s="159" t="s">
        <v>3791</v>
      </c>
      <c r="Q367" s="157" t="s">
        <v>2115</v>
      </c>
      <c r="R367" s="157" t="s">
        <v>8436</v>
      </c>
      <c r="S367" s="157" t="s">
        <v>8606</v>
      </c>
      <c r="T367" s="157"/>
      <c r="U367" s="159" t="s">
        <v>2138</v>
      </c>
      <c r="V367" s="159" t="s">
        <v>2138</v>
      </c>
      <c r="W367" s="159" t="s">
        <v>2138</v>
      </c>
      <c r="X367" s="160">
        <v>0</v>
      </c>
      <c r="Y367" s="160">
        <v>0</v>
      </c>
      <c r="Z367" s="160">
        <v>1</v>
      </c>
      <c r="AA367" s="160">
        <v>1</v>
      </c>
    </row>
    <row r="368" spans="1:27" ht="18" customHeight="1" x14ac:dyDescent="0.25">
      <c r="A368" s="159">
        <v>385</v>
      </c>
      <c r="B368" s="157" t="s">
        <v>77</v>
      </c>
      <c r="C368" s="157" t="s">
        <v>124</v>
      </c>
      <c r="D368" s="159" t="s">
        <v>676</v>
      </c>
      <c r="E368" s="157" t="s">
        <v>674</v>
      </c>
      <c r="F368" s="157" t="s">
        <v>1264</v>
      </c>
      <c r="G368" s="157" t="s">
        <v>1278</v>
      </c>
      <c r="H368" s="157" t="s">
        <v>1283</v>
      </c>
      <c r="I368" s="157" t="s">
        <v>1438</v>
      </c>
      <c r="J368" s="157" t="s">
        <v>1285</v>
      </c>
      <c r="K368" s="157" t="s">
        <v>1269</v>
      </c>
      <c r="L368" s="157" t="s">
        <v>1286</v>
      </c>
      <c r="M368" s="157" t="str">
        <f t="shared" si="10"/>
        <v>LED Lamp - Door Pocket Illumination FR</v>
      </c>
      <c r="N368" s="157"/>
      <c r="O368" s="157"/>
      <c r="P368" s="159" t="s">
        <v>3788</v>
      </c>
      <c r="Q368" s="157" t="s">
        <v>2115</v>
      </c>
      <c r="R368" s="157" t="s">
        <v>8436</v>
      </c>
      <c r="S368" s="157" t="s">
        <v>8606</v>
      </c>
      <c r="T368" s="157"/>
      <c r="U368" s="159" t="s">
        <v>2129</v>
      </c>
      <c r="V368" s="159" t="s">
        <v>2138</v>
      </c>
      <c r="W368" s="159" t="s">
        <v>2138</v>
      </c>
      <c r="X368" s="160">
        <v>0.05</v>
      </c>
      <c r="Y368" s="160">
        <v>0.05</v>
      </c>
      <c r="Z368" s="160">
        <v>1</v>
      </c>
      <c r="AA368" s="160">
        <v>1</v>
      </c>
    </row>
    <row r="369" spans="1:27" ht="18" customHeight="1" x14ac:dyDescent="0.25">
      <c r="A369" s="159">
        <v>387</v>
      </c>
      <c r="B369" s="157" t="s">
        <v>29</v>
      </c>
      <c r="C369" s="157" t="s">
        <v>386</v>
      </c>
      <c r="D369" s="159" t="s">
        <v>389</v>
      </c>
      <c r="E369" s="157" t="s">
        <v>387</v>
      </c>
      <c r="F369" s="157" t="s">
        <v>1277</v>
      </c>
      <c r="G369" s="157" t="s">
        <v>1278</v>
      </c>
      <c r="H369" s="157" t="s">
        <v>1279</v>
      </c>
      <c r="I369" s="157" t="s">
        <v>1439</v>
      </c>
      <c r="J369" s="157" t="s">
        <v>1280</v>
      </c>
      <c r="K369" s="157" t="s">
        <v>1269</v>
      </c>
      <c r="L369" s="157" t="s">
        <v>1291</v>
      </c>
      <c r="M369" s="157" t="str">
        <f t="shared" si="10"/>
        <v>Window Motor - Power Window Passenger</v>
      </c>
      <c r="N369" s="157"/>
      <c r="O369" s="157"/>
      <c r="P369" s="159" t="s">
        <v>3786</v>
      </c>
      <c r="Q369" s="157" t="s">
        <v>2115</v>
      </c>
      <c r="R369" s="157" t="s">
        <v>8425</v>
      </c>
      <c r="S369" s="157" t="s">
        <v>8607</v>
      </c>
      <c r="T369" s="157"/>
      <c r="U369" s="159" t="s">
        <v>2138</v>
      </c>
      <c r="V369" s="159" t="s">
        <v>2138</v>
      </c>
      <c r="W369" s="159" t="s">
        <v>2138</v>
      </c>
      <c r="X369" s="160">
        <f>4*10/(20*60)</f>
        <v>3.3333333333333333E-2</v>
      </c>
      <c r="Y369" s="160">
        <f t="shared" ref="Y369:AA370" si="11">1*10/(20*60)</f>
        <v>8.3333333333333332E-3</v>
      </c>
      <c r="Z369" s="160">
        <f t="shared" si="11"/>
        <v>8.3333333333333332E-3</v>
      </c>
      <c r="AA369" s="160">
        <f t="shared" si="11"/>
        <v>8.3333333333333332E-3</v>
      </c>
    </row>
    <row r="370" spans="1:27" ht="18" customHeight="1" x14ac:dyDescent="0.25">
      <c r="A370" s="159">
        <v>387</v>
      </c>
      <c r="B370" s="157" t="s">
        <v>29</v>
      </c>
      <c r="C370" s="157" t="s">
        <v>386</v>
      </c>
      <c r="D370" s="159" t="s">
        <v>390</v>
      </c>
      <c r="E370" s="157" t="s">
        <v>1249</v>
      </c>
      <c r="F370" s="157" t="s">
        <v>1264</v>
      </c>
      <c r="G370" s="157" t="s">
        <v>1278</v>
      </c>
      <c r="H370" s="157" t="s">
        <v>1279</v>
      </c>
      <c r="I370" s="157" t="s">
        <v>1439</v>
      </c>
      <c r="J370" s="157" t="s">
        <v>1280</v>
      </c>
      <c r="K370" s="157" t="s">
        <v>1269</v>
      </c>
      <c r="L370" s="157" t="s">
        <v>1291</v>
      </c>
      <c r="M370" s="157" t="str">
        <f t="shared" si="10"/>
        <v>Window Motor - Power Window Passenger</v>
      </c>
      <c r="N370" s="157"/>
      <c r="O370" s="157"/>
      <c r="P370" s="159" t="s">
        <v>3786</v>
      </c>
      <c r="Q370" s="157" t="s">
        <v>2115</v>
      </c>
      <c r="R370" s="157" t="s">
        <v>8425</v>
      </c>
      <c r="S370" s="157" t="s">
        <v>8607</v>
      </c>
      <c r="T370" s="157"/>
      <c r="U370" s="159" t="s">
        <v>2138</v>
      </c>
      <c r="V370" s="159" t="s">
        <v>2138</v>
      </c>
      <c r="W370" s="159" t="s">
        <v>2138</v>
      </c>
      <c r="X370" s="160">
        <f>4*10/(20*60)</f>
        <v>3.3333333333333333E-2</v>
      </c>
      <c r="Y370" s="160">
        <f t="shared" si="11"/>
        <v>8.3333333333333332E-3</v>
      </c>
      <c r="Z370" s="160">
        <f t="shared" si="11"/>
        <v>8.3333333333333332E-3</v>
      </c>
      <c r="AA370" s="160">
        <f t="shared" si="11"/>
        <v>8.3333333333333332E-3</v>
      </c>
    </row>
    <row r="371" spans="1:27" ht="18" customHeight="1" x14ac:dyDescent="0.25">
      <c r="A371" s="159">
        <v>389</v>
      </c>
      <c r="B371" s="157" t="s">
        <v>29</v>
      </c>
      <c r="C371" s="157" t="s">
        <v>82</v>
      </c>
      <c r="D371" s="159" t="s">
        <v>92</v>
      </c>
      <c r="E371" s="157" t="s">
        <v>90</v>
      </c>
      <c r="F371" s="157" t="s">
        <v>1264</v>
      </c>
      <c r="G371" s="157" t="s">
        <v>1278</v>
      </c>
      <c r="H371" s="157" t="s">
        <v>1294</v>
      </c>
      <c r="I371" s="157" t="s">
        <v>1295</v>
      </c>
      <c r="J371" s="157" t="s">
        <v>1296</v>
      </c>
      <c r="K371" s="157" t="s">
        <v>1269</v>
      </c>
      <c r="L371" s="157" t="s">
        <v>1440</v>
      </c>
      <c r="M371" s="157" t="str">
        <f t="shared" si="10"/>
        <v>Stepper Motor FR - Door Opening and Closing Latch</v>
      </c>
      <c r="N371" s="157"/>
      <c r="O371" s="157"/>
      <c r="P371" s="159" t="s">
        <v>3713</v>
      </c>
      <c r="Q371" s="157" t="s">
        <v>2115</v>
      </c>
      <c r="R371" s="157" t="s">
        <v>8425</v>
      </c>
      <c r="S371" s="157" t="s">
        <v>8607</v>
      </c>
      <c r="T371" s="157"/>
      <c r="U371" s="159" t="s">
        <v>2129</v>
      </c>
      <c r="V371" s="159" t="s">
        <v>2129</v>
      </c>
      <c r="W371" s="159" t="s">
        <v>2138</v>
      </c>
      <c r="X371" s="160">
        <v>0</v>
      </c>
      <c r="Y371" s="160">
        <v>0</v>
      </c>
      <c r="Z371" s="160">
        <v>0</v>
      </c>
      <c r="AA371" s="160">
        <v>0</v>
      </c>
    </row>
    <row r="372" spans="1:27" ht="18" customHeight="1" x14ac:dyDescent="0.25">
      <c r="A372" s="159">
        <v>389</v>
      </c>
      <c r="B372" s="157" t="s">
        <v>29</v>
      </c>
      <c r="C372" s="157" t="s">
        <v>30</v>
      </c>
      <c r="D372" s="159" t="s">
        <v>148</v>
      </c>
      <c r="E372" s="157" t="s">
        <v>146</v>
      </c>
      <c r="F372" s="157" t="s">
        <v>1264</v>
      </c>
      <c r="G372" s="157" t="s">
        <v>1278</v>
      </c>
      <c r="H372" s="157" t="s">
        <v>1294</v>
      </c>
      <c r="I372" s="157" t="s">
        <v>1295</v>
      </c>
      <c r="J372" s="157" t="s">
        <v>1296</v>
      </c>
      <c r="K372" s="157" t="s">
        <v>1269</v>
      </c>
      <c r="L372" s="157" t="s">
        <v>1440</v>
      </c>
      <c r="M372" s="157" t="str">
        <f t="shared" si="10"/>
        <v>Stepper Motor FR - Door Opening and Closing Latch</v>
      </c>
      <c r="N372" s="157"/>
      <c r="O372" s="157"/>
      <c r="P372" s="159" t="s">
        <v>3713</v>
      </c>
      <c r="Q372" s="157" t="s">
        <v>2115</v>
      </c>
      <c r="R372" s="157" t="s">
        <v>8425</v>
      </c>
      <c r="S372" s="157" t="s">
        <v>8607</v>
      </c>
      <c r="T372" s="157"/>
      <c r="U372" s="159" t="s">
        <v>2129</v>
      </c>
      <c r="V372" s="159" t="s">
        <v>2129</v>
      </c>
      <c r="W372" s="159" t="s">
        <v>2138</v>
      </c>
      <c r="X372" s="160">
        <v>0</v>
      </c>
      <c r="Y372" s="160">
        <v>0</v>
      </c>
      <c r="Z372" s="160">
        <v>0</v>
      </c>
      <c r="AA372" s="160">
        <v>0</v>
      </c>
    </row>
    <row r="373" spans="1:27" ht="18" customHeight="1" x14ac:dyDescent="0.25">
      <c r="A373" s="159">
        <v>389</v>
      </c>
      <c r="B373" s="157" t="s">
        <v>29</v>
      </c>
      <c r="C373" s="157" t="s">
        <v>30</v>
      </c>
      <c r="D373" s="159" t="s">
        <v>1113</v>
      </c>
      <c r="E373" s="157" t="s">
        <v>1111</v>
      </c>
      <c r="F373" s="157"/>
      <c r="G373" s="157" t="s">
        <v>1278</v>
      </c>
      <c r="H373" s="157" t="s">
        <v>1294</v>
      </c>
      <c r="I373" s="157" t="s">
        <v>1295</v>
      </c>
      <c r="J373" s="157" t="s">
        <v>1296</v>
      </c>
      <c r="K373" s="157" t="s">
        <v>1269</v>
      </c>
      <c r="L373" s="157" t="s">
        <v>1440</v>
      </c>
      <c r="M373" s="157" t="str">
        <f t="shared" si="10"/>
        <v>Stepper Motor FR - Door Opening and Closing Latch</v>
      </c>
      <c r="N373" s="157"/>
      <c r="O373" s="157"/>
      <c r="P373" s="159" t="s">
        <v>3713</v>
      </c>
      <c r="Q373" s="157" t="s">
        <v>2115</v>
      </c>
      <c r="R373" s="157" t="s">
        <v>8425</v>
      </c>
      <c r="S373" s="157" t="s">
        <v>8607</v>
      </c>
      <c r="T373" s="157"/>
      <c r="U373" s="159" t="s">
        <v>2129</v>
      </c>
      <c r="V373" s="159" t="s">
        <v>2129</v>
      </c>
      <c r="W373" s="159" t="s">
        <v>2138</v>
      </c>
      <c r="X373" s="160">
        <v>0</v>
      </c>
      <c r="Y373" s="160">
        <v>0</v>
      </c>
      <c r="Z373" s="160">
        <v>0</v>
      </c>
      <c r="AA373" s="160">
        <v>0</v>
      </c>
    </row>
    <row r="374" spans="1:27" ht="18" customHeight="1" x14ac:dyDescent="0.25">
      <c r="A374" s="159">
        <v>392</v>
      </c>
      <c r="B374" s="157" t="s">
        <v>63</v>
      </c>
      <c r="C374" s="157" t="s">
        <v>64</v>
      </c>
      <c r="D374" s="159" t="s">
        <v>926</v>
      </c>
      <c r="E374" s="157" t="s">
        <v>924</v>
      </c>
      <c r="F374" s="157"/>
      <c r="G374" s="157" t="s">
        <v>1299</v>
      </c>
      <c r="H374" s="157" t="s">
        <v>1300</v>
      </c>
      <c r="I374" s="157" t="s">
        <v>1441</v>
      </c>
      <c r="J374" s="157" t="s">
        <v>1442</v>
      </c>
      <c r="K374" s="157" t="s">
        <v>1312</v>
      </c>
      <c r="L374" s="157" t="s">
        <v>1443</v>
      </c>
      <c r="M374" s="157" t="str">
        <f t="shared" si="10"/>
        <v>Side Impact Sensor RL - Crash Sensor</v>
      </c>
      <c r="N374" s="157"/>
      <c r="O374" s="157"/>
      <c r="P374" s="159" t="s">
        <v>8193</v>
      </c>
      <c r="Q374" s="157"/>
      <c r="R374" s="157"/>
      <c r="S374" s="157"/>
      <c r="T374" s="157"/>
      <c r="U374" s="159" t="s">
        <v>2129</v>
      </c>
      <c r="V374" s="159" t="s">
        <v>2129</v>
      </c>
      <c r="W374" s="159" t="s">
        <v>2138</v>
      </c>
      <c r="X374" s="160">
        <v>1</v>
      </c>
      <c r="Y374" s="160">
        <v>1</v>
      </c>
      <c r="Z374" s="160">
        <v>1</v>
      </c>
      <c r="AA374" s="160">
        <v>1</v>
      </c>
    </row>
    <row r="375" spans="1:27" ht="18" customHeight="1" x14ac:dyDescent="0.25">
      <c r="A375" s="159">
        <v>393</v>
      </c>
      <c r="B375" s="157" t="s">
        <v>29</v>
      </c>
      <c r="C375" s="157" t="s">
        <v>82</v>
      </c>
      <c r="D375" s="159" t="s">
        <v>86</v>
      </c>
      <c r="E375" s="157" t="s">
        <v>777</v>
      </c>
      <c r="F375" s="157" t="s">
        <v>1264</v>
      </c>
      <c r="G375" s="157" t="s">
        <v>1278</v>
      </c>
      <c r="H375" s="157" t="s">
        <v>1294</v>
      </c>
      <c r="I375" s="157" t="s">
        <v>1444</v>
      </c>
      <c r="J375" s="157" t="s">
        <v>1296</v>
      </c>
      <c r="K375" s="157" t="s">
        <v>1281</v>
      </c>
      <c r="L375" s="157" t="s">
        <v>1282</v>
      </c>
      <c r="M375" s="157" t="str">
        <f t="shared" si="10"/>
        <v>User Selector - Door External Handle Command RL</v>
      </c>
      <c r="N375" s="157"/>
      <c r="O375" s="157"/>
      <c r="P375" s="159" t="s">
        <v>8097</v>
      </c>
      <c r="Q375" s="157"/>
      <c r="R375" s="157"/>
      <c r="S375" s="157"/>
      <c r="T375" s="157"/>
      <c r="U375" s="159" t="s">
        <v>2138</v>
      </c>
      <c r="V375" s="159" t="s">
        <v>2138</v>
      </c>
      <c r="W375" s="159" t="s">
        <v>2138</v>
      </c>
      <c r="X375" s="160">
        <v>0</v>
      </c>
      <c r="Y375" s="160">
        <v>0</v>
      </c>
      <c r="Z375" s="160">
        <v>0</v>
      </c>
      <c r="AA375" s="160">
        <v>0</v>
      </c>
    </row>
    <row r="376" spans="1:27" ht="18" customHeight="1" x14ac:dyDescent="0.25">
      <c r="A376" s="159">
        <v>395</v>
      </c>
      <c r="B376" s="157" t="s">
        <v>29</v>
      </c>
      <c r="C376" s="157" t="s">
        <v>82</v>
      </c>
      <c r="D376" s="159" t="s">
        <v>148</v>
      </c>
      <c r="E376" s="157" t="s">
        <v>146</v>
      </c>
      <c r="F376" s="157" t="s">
        <v>1264</v>
      </c>
      <c r="G376" s="157" t="s">
        <v>1278</v>
      </c>
      <c r="H376" s="157" t="s">
        <v>1294</v>
      </c>
      <c r="I376" s="157" t="s">
        <v>1295</v>
      </c>
      <c r="J376" s="157" t="s">
        <v>1296</v>
      </c>
      <c r="K376" s="157" t="s">
        <v>1269</v>
      </c>
      <c r="L376" s="157" t="s">
        <v>1445</v>
      </c>
      <c r="M376" s="157" t="str">
        <f t="shared" si="10"/>
        <v>Stepper Motor RR - Door Opening and Closing Latch</v>
      </c>
      <c r="N376" s="157"/>
      <c r="O376" s="157"/>
      <c r="P376" s="159" t="s">
        <v>8068</v>
      </c>
      <c r="Q376" s="157" t="s">
        <v>2115</v>
      </c>
      <c r="R376" s="157" t="s">
        <v>8425</v>
      </c>
      <c r="S376" s="157" t="s">
        <v>8607</v>
      </c>
      <c r="T376" s="157"/>
      <c r="U376" s="159" t="s">
        <v>2129</v>
      </c>
      <c r="V376" s="159" t="s">
        <v>2129</v>
      </c>
      <c r="W376" s="159" t="s">
        <v>2138</v>
      </c>
      <c r="X376" s="160">
        <v>0</v>
      </c>
      <c r="Y376" s="160">
        <v>0</v>
      </c>
      <c r="Z376" s="160">
        <v>0</v>
      </c>
      <c r="AA376" s="160">
        <v>0</v>
      </c>
    </row>
    <row r="377" spans="1:27" ht="18" customHeight="1" x14ac:dyDescent="0.25">
      <c r="A377" s="159">
        <v>395</v>
      </c>
      <c r="B377" s="157" t="s">
        <v>29</v>
      </c>
      <c r="C377" s="157" t="s">
        <v>82</v>
      </c>
      <c r="D377" s="159" t="s">
        <v>1113</v>
      </c>
      <c r="E377" s="157" t="s">
        <v>1111</v>
      </c>
      <c r="F377" s="157"/>
      <c r="G377" s="157" t="s">
        <v>1278</v>
      </c>
      <c r="H377" s="157" t="s">
        <v>1294</v>
      </c>
      <c r="I377" s="157" t="s">
        <v>1295</v>
      </c>
      <c r="J377" s="157" t="s">
        <v>1296</v>
      </c>
      <c r="K377" s="157" t="s">
        <v>1269</v>
      </c>
      <c r="L377" s="157" t="s">
        <v>1445</v>
      </c>
      <c r="M377" s="157" t="str">
        <f t="shared" si="10"/>
        <v>Stepper Motor RR - Door Opening and Closing Latch</v>
      </c>
      <c r="N377" s="157"/>
      <c r="O377" s="157"/>
      <c r="P377" s="159" t="s">
        <v>8068</v>
      </c>
      <c r="Q377" s="157" t="s">
        <v>2115</v>
      </c>
      <c r="R377" s="157" t="s">
        <v>8425</v>
      </c>
      <c r="S377" s="157" t="s">
        <v>8607</v>
      </c>
      <c r="T377" s="157"/>
      <c r="U377" s="159" t="s">
        <v>2129</v>
      </c>
      <c r="V377" s="159" t="s">
        <v>2129</v>
      </c>
      <c r="W377" s="159" t="s">
        <v>2138</v>
      </c>
      <c r="X377" s="160">
        <v>0</v>
      </c>
      <c r="Y377" s="160">
        <v>0</v>
      </c>
      <c r="Z377" s="160">
        <v>0</v>
      </c>
      <c r="AA377" s="160">
        <v>0</v>
      </c>
    </row>
    <row r="378" spans="1:27" ht="18" customHeight="1" x14ac:dyDescent="0.25">
      <c r="A378" s="159">
        <v>395</v>
      </c>
      <c r="B378" s="157" t="s">
        <v>29</v>
      </c>
      <c r="C378" s="157" t="s">
        <v>30</v>
      </c>
      <c r="D378" s="159" t="s">
        <v>92</v>
      </c>
      <c r="E378" s="157" t="s">
        <v>90</v>
      </c>
      <c r="F378" s="157" t="s">
        <v>1264</v>
      </c>
      <c r="G378" s="157" t="s">
        <v>1278</v>
      </c>
      <c r="H378" s="157" t="s">
        <v>1294</v>
      </c>
      <c r="I378" s="157" t="s">
        <v>1295</v>
      </c>
      <c r="J378" s="157" t="s">
        <v>1296</v>
      </c>
      <c r="K378" s="157" t="s">
        <v>1269</v>
      </c>
      <c r="L378" s="157" t="s">
        <v>1445</v>
      </c>
      <c r="M378" s="157" t="str">
        <f t="shared" si="10"/>
        <v>Stepper Motor RR - Door Opening and Closing Latch</v>
      </c>
      <c r="N378" s="157"/>
      <c r="O378" s="157"/>
      <c r="P378" s="159" t="s">
        <v>8068</v>
      </c>
      <c r="Q378" s="157" t="s">
        <v>2115</v>
      </c>
      <c r="R378" s="157" t="s">
        <v>8425</v>
      </c>
      <c r="S378" s="157" t="s">
        <v>8607</v>
      </c>
      <c r="T378" s="157"/>
      <c r="U378" s="159" t="s">
        <v>2129</v>
      </c>
      <c r="V378" s="159" t="s">
        <v>2129</v>
      </c>
      <c r="W378" s="159" t="s">
        <v>2138</v>
      </c>
      <c r="X378" s="160">
        <v>0</v>
      </c>
      <c r="Y378" s="160">
        <v>0</v>
      </c>
      <c r="Z378" s="160">
        <v>0</v>
      </c>
      <c r="AA378" s="160">
        <v>0</v>
      </c>
    </row>
    <row r="379" spans="1:27" ht="18" customHeight="1" x14ac:dyDescent="0.25">
      <c r="A379" s="159">
        <v>396</v>
      </c>
      <c r="B379" s="157" t="s">
        <v>29</v>
      </c>
      <c r="C379" s="157" t="s">
        <v>386</v>
      </c>
      <c r="D379" s="159" t="s">
        <v>389</v>
      </c>
      <c r="E379" s="157" t="s">
        <v>387</v>
      </c>
      <c r="F379" s="157"/>
      <c r="G379" s="157" t="s">
        <v>1278</v>
      </c>
      <c r="H379" s="157" t="s">
        <v>1279</v>
      </c>
      <c r="I379" s="157" t="s">
        <v>9543</v>
      </c>
      <c r="J379" s="157" t="s">
        <v>1280</v>
      </c>
      <c r="K379" s="157" t="s">
        <v>1281</v>
      </c>
      <c r="L379" s="157" t="s">
        <v>1282</v>
      </c>
      <c r="M379" s="157" t="str">
        <f t="shared" si="10"/>
        <v>User Selector - Power Window Command Rear Door Left</v>
      </c>
      <c r="N379" s="157"/>
      <c r="O379" s="157"/>
      <c r="P379" s="159" t="s">
        <v>7969</v>
      </c>
      <c r="Q379" s="157" t="s">
        <v>2115</v>
      </c>
      <c r="R379" s="157" t="s">
        <v>8436</v>
      </c>
      <c r="S379" s="157" t="s">
        <v>8606</v>
      </c>
      <c r="T379" s="157"/>
      <c r="U379" s="159" t="s">
        <v>2129</v>
      </c>
      <c r="V379" s="159" t="s">
        <v>2138</v>
      </c>
      <c r="W379" s="159" t="s">
        <v>2138</v>
      </c>
      <c r="X379" s="160">
        <v>0</v>
      </c>
      <c r="Y379" s="160">
        <v>0</v>
      </c>
      <c r="Z379" s="160">
        <v>1</v>
      </c>
      <c r="AA379" s="160">
        <v>1</v>
      </c>
    </row>
    <row r="380" spans="1:27" ht="18" customHeight="1" x14ac:dyDescent="0.25">
      <c r="A380" s="159">
        <v>396</v>
      </c>
      <c r="B380" s="157" t="s">
        <v>29</v>
      </c>
      <c r="C380" s="157" t="s">
        <v>386</v>
      </c>
      <c r="D380" s="159" t="s">
        <v>390</v>
      </c>
      <c r="E380" s="157" t="s">
        <v>1249</v>
      </c>
      <c r="F380" s="157"/>
      <c r="G380" s="157" t="s">
        <v>1278</v>
      </c>
      <c r="H380" s="157" t="s">
        <v>1279</v>
      </c>
      <c r="I380" s="157" t="s">
        <v>9543</v>
      </c>
      <c r="J380" s="157" t="s">
        <v>1280</v>
      </c>
      <c r="K380" s="157" t="s">
        <v>1281</v>
      </c>
      <c r="L380" s="157" t="s">
        <v>1282</v>
      </c>
      <c r="M380" s="157" t="str">
        <f t="shared" si="10"/>
        <v>User Selector - Power Window Command Rear Door Left</v>
      </c>
      <c r="N380" s="157"/>
      <c r="O380" s="157"/>
      <c r="P380" s="159" t="s">
        <v>7969</v>
      </c>
      <c r="Q380" s="157" t="s">
        <v>2115</v>
      </c>
      <c r="R380" s="157" t="s">
        <v>8436</v>
      </c>
      <c r="S380" s="157" t="s">
        <v>8606</v>
      </c>
      <c r="T380" s="157"/>
      <c r="U380" s="159" t="s">
        <v>2129</v>
      </c>
      <c r="V380" s="159" t="s">
        <v>2138</v>
      </c>
      <c r="W380" s="159" t="s">
        <v>2138</v>
      </c>
      <c r="X380" s="160">
        <f>5*10/(20*60)</f>
        <v>4.1666666666666664E-2</v>
      </c>
      <c r="Y380" s="160">
        <f>5*10/(20*60)</f>
        <v>4.1666666666666664E-2</v>
      </c>
      <c r="Z380" s="160">
        <v>1</v>
      </c>
      <c r="AA380" s="160">
        <v>1</v>
      </c>
    </row>
    <row r="381" spans="1:27" ht="18" customHeight="1" x14ac:dyDescent="0.25">
      <c r="A381" s="159">
        <v>397</v>
      </c>
      <c r="B381" s="157" t="s">
        <v>29</v>
      </c>
      <c r="C381" s="157" t="s">
        <v>386</v>
      </c>
      <c r="D381" s="159" t="s">
        <v>389</v>
      </c>
      <c r="E381" s="157" t="s">
        <v>387</v>
      </c>
      <c r="F381" s="157" t="s">
        <v>1277</v>
      </c>
      <c r="G381" s="157" t="s">
        <v>1278</v>
      </c>
      <c r="H381" s="157" t="s">
        <v>1279</v>
      </c>
      <c r="I381" s="157" t="s">
        <v>1446</v>
      </c>
      <c r="J381" s="157" t="s">
        <v>1280</v>
      </c>
      <c r="K381" s="157" t="s">
        <v>1269</v>
      </c>
      <c r="L381" s="157" t="s">
        <v>1291</v>
      </c>
      <c r="M381" s="157" t="str">
        <f t="shared" si="10"/>
        <v>Window Motor - Power Window Rear Left</v>
      </c>
      <c r="N381" s="157"/>
      <c r="O381" s="157"/>
      <c r="P381" s="159" t="s">
        <v>7964</v>
      </c>
      <c r="Q381" s="157" t="s">
        <v>2115</v>
      </c>
      <c r="R381" s="157" t="s">
        <v>8425</v>
      </c>
      <c r="S381" s="157" t="s">
        <v>8607</v>
      </c>
      <c r="T381" s="157"/>
      <c r="U381" s="159" t="s">
        <v>2138</v>
      </c>
      <c r="V381" s="159" t="s">
        <v>2138</v>
      </c>
      <c r="W381" s="159" t="s">
        <v>2138</v>
      </c>
      <c r="X381" s="160">
        <f>4*10/(20*60)</f>
        <v>3.3333333333333333E-2</v>
      </c>
      <c r="Y381" s="160">
        <f t="shared" ref="Y381:AA382" si="12">1*10/(20*60)</f>
        <v>8.3333333333333332E-3</v>
      </c>
      <c r="Z381" s="160">
        <f t="shared" si="12"/>
        <v>8.3333333333333332E-3</v>
      </c>
      <c r="AA381" s="160">
        <f t="shared" si="12"/>
        <v>8.3333333333333332E-3</v>
      </c>
    </row>
    <row r="382" spans="1:27" ht="18" customHeight="1" x14ac:dyDescent="0.25">
      <c r="A382" s="159">
        <v>397</v>
      </c>
      <c r="B382" s="157" t="s">
        <v>29</v>
      </c>
      <c r="C382" s="157" t="s">
        <v>386</v>
      </c>
      <c r="D382" s="159" t="s">
        <v>390</v>
      </c>
      <c r="E382" s="157" t="s">
        <v>1249</v>
      </c>
      <c r="F382" s="157" t="s">
        <v>1264</v>
      </c>
      <c r="G382" s="157" t="s">
        <v>1278</v>
      </c>
      <c r="H382" s="157" t="s">
        <v>1279</v>
      </c>
      <c r="I382" s="157" t="s">
        <v>1446</v>
      </c>
      <c r="J382" s="157" t="s">
        <v>1280</v>
      </c>
      <c r="K382" s="157" t="s">
        <v>1269</v>
      </c>
      <c r="L382" s="157" t="s">
        <v>1291</v>
      </c>
      <c r="M382" s="157" t="str">
        <f t="shared" si="10"/>
        <v>Window Motor - Power Window Rear Left</v>
      </c>
      <c r="N382" s="157"/>
      <c r="O382" s="157"/>
      <c r="P382" s="159" t="s">
        <v>7964</v>
      </c>
      <c r="Q382" s="157" t="s">
        <v>2115</v>
      </c>
      <c r="R382" s="157" t="s">
        <v>8425</v>
      </c>
      <c r="S382" s="157" t="s">
        <v>8607</v>
      </c>
      <c r="T382" s="157"/>
      <c r="U382" s="159" t="s">
        <v>2138</v>
      </c>
      <c r="V382" s="159" t="s">
        <v>2138</v>
      </c>
      <c r="W382" s="159" t="s">
        <v>2138</v>
      </c>
      <c r="X382" s="160">
        <f>4*10/(20*60)</f>
        <v>3.3333333333333333E-2</v>
      </c>
      <c r="Y382" s="160">
        <f t="shared" si="12"/>
        <v>8.3333333333333332E-3</v>
      </c>
      <c r="Z382" s="160">
        <f t="shared" si="12"/>
        <v>8.3333333333333332E-3</v>
      </c>
      <c r="AA382" s="160">
        <f t="shared" si="12"/>
        <v>8.3333333333333332E-3</v>
      </c>
    </row>
    <row r="383" spans="1:27" ht="18" customHeight="1" x14ac:dyDescent="0.25">
      <c r="A383" s="159">
        <v>398</v>
      </c>
      <c r="B383" s="157" t="s">
        <v>77</v>
      </c>
      <c r="C383" s="157" t="s">
        <v>124</v>
      </c>
      <c r="D383" s="159" t="s">
        <v>676</v>
      </c>
      <c r="E383" s="157" t="s">
        <v>674</v>
      </c>
      <c r="F383" s="157" t="s">
        <v>1264</v>
      </c>
      <c r="G383" s="157" t="s">
        <v>1278</v>
      </c>
      <c r="H383" s="157" t="s">
        <v>1283</v>
      </c>
      <c r="I383" s="157" t="s">
        <v>1447</v>
      </c>
      <c r="J383" s="157" t="s">
        <v>1285</v>
      </c>
      <c r="K383" s="157" t="s">
        <v>1269</v>
      </c>
      <c r="L383" s="157" t="s">
        <v>1286</v>
      </c>
      <c r="M383" s="157" t="str">
        <f t="shared" si="10"/>
        <v>LED Lamp - Door Pocket Illumination RL</v>
      </c>
      <c r="N383" s="157"/>
      <c r="O383" s="157"/>
      <c r="P383" s="159" t="s">
        <v>7961</v>
      </c>
      <c r="Q383" s="157" t="s">
        <v>2115</v>
      </c>
      <c r="R383" s="157" t="s">
        <v>8436</v>
      </c>
      <c r="S383" s="157" t="s">
        <v>8606</v>
      </c>
      <c r="T383" s="157"/>
      <c r="U383" s="159" t="s">
        <v>2129</v>
      </c>
      <c r="V383" s="159" t="s">
        <v>2129</v>
      </c>
      <c r="W383" s="159" t="s">
        <v>2138</v>
      </c>
      <c r="X383" s="160">
        <v>0.05</v>
      </c>
      <c r="Y383" s="160">
        <v>0.05</v>
      </c>
      <c r="Z383" s="160">
        <v>1</v>
      </c>
      <c r="AA383" s="160">
        <v>1</v>
      </c>
    </row>
    <row r="384" spans="1:27" ht="18" customHeight="1" x14ac:dyDescent="0.25">
      <c r="A384" s="159">
        <v>402</v>
      </c>
      <c r="B384" s="157" t="s">
        <v>63</v>
      </c>
      <c r="C384" s="157" t="s">
        <v>64</v>
      </c>
      <c r="D384" s="159" t="s">
        <v>926</v>
      </c>
      <c r="E384" s="157" t="s">
        <v>924</v>
      </c>
      <c r="F384" s="157"/>
      <c r="G384" s="157" t="s">
        <v>1299</v>
      </c>
      <c r="H384" s="157" t="s">
        <v>1300</v>
      </c>
      <c r="I384" s="157" t="s">
        <v>1441</v>
      </c>
      <c r="J384" s="157" t="s">
        <v>1442</v>
      </c>
      <c r="K384" s="157" t="s">
        <v>1312</v>
      </c>
      <c r="L384" s="157" t="s">
        <v>1448</v>
      </c>
      <c r="M384" s="157" t="str">
        <f t="shared" si="10"/>
        <v>Side Impact Sensor RR - Crash Sensor</v>
      </c>
      <c r="N384" s="157"/>
      <c r="O384" s="157"/>
      <c r="P384" s="159" t="s">
        <v>3632</v>
      </c>
      <c r="Q384" s="157"/>
      <c r="R384" s="157"/>
      <c r="S384" s="157"/>
      <c r="T384" s="157"/>
      <c r="U384" s="159" t="s">
        <v>2129</v>
      </c>
      <c r="V384" s="159" t="s">
        <v>2129</v>
      </c>
      <c r="W384" s="159" t="s">
        <v>2138</v>
      </c>
      <c r="X384" s="160">
        <v>1</v>
      </c>
      <c r="Y384" s="160">
        <v>1</v>
      </c>
      <c r="Z384" s="160">
        <v>1</v>
      </c>
      <c r="AA384" s="160">
        <v>1</v>
      </c>
    </row>
    <row r="385" spans="1:27" ht="18" customHeight="1" x14ac:dyDescent="0.25">
      <c r="A385" s="159">
        <v>403</v>
      </c>
      <c r="B385" s="157" t="s">
        <v>29</v>
      </c>
      <c r="C385" s="157" t="s">
        <v>82</v>
      </c>
      <c r="D385" s="159" t="s">
        <v>86</v>
      </c>
      <c r="E385" s="157" t="s">
        <v>777</v>
      </c>
      <c r="F385" s="157" t="s">
        <v>1264</v>
      </c>
      <c r="G385" s="157" t="s">
        <v>1278</v>
      </c>
      <c r="H385" s="157" t="s">
        <v>1294</v>
      </c>
      <c r="I385" s="157" t="s">
        <v>1449</v>
      </c>
      <c r="J385" s="157" t="s">
        <v>1296</v>
      </c>
      <c r="K385" s="157" t="s">
        <v>1281</v>
      </c>
      <c r="L385" s="157" t="s">
        <v>1282</v>
      </c>
      <c r="M385" s="157" t="str">
        <f t="shared" si="10"/>
        <v>User Selector - Door External Handle Command RR</v>
      </c>
      <c r="N385" s="157"/>
      <c r="O385" s="157"/>
      <c r="P385" s="159" t="s">
        <v>3739</v>
      </c>
      <c r="Q385" s="157"/>
      <c r="R385" s="157"/>
      <c r="S385" s="157"/>
      <c r="T385" s="157"/>
      <c r="U385" s="159" t="s">
        <v>2138</v>
      </c>
      <c r="V385" s="159" t="s">
        <v>2138</v>
      </c>
      <c r="W385" s="159" t="s">
        <v>2138</v>
      </c>
      <c r="X385" s="160">
        <v>0</v>
      </c>
      <c r="Y385" s="160">
        <v>0</v>
      </c>
      <c r="Z385" s="160">
        <v>0</v>
      </c>
      <c r="AA385" s="160">
        <v>0</v>
      </c>
    </row>
    <row r="386" spans="1:27" ht="18" customHeight="1" x14ac:dyDescent="0.25">
      <c r="A386" s="159">
        <v>405</v>
      </c>
      <c r="B386" s="157" t="s">
        <v>29</v>
      </c>
      <c r="C386" s="157" t="s">
        <v>82</v>
      </c>
      <c r="D386" s="159" t="s">
        <v>148</v>
      </c>
      <c r="E386" s="157" t="s">
        <v>146</v>
      </c>
      <c r="F386" s="157" t="s">
        <v>1264</v>
      </c>
      <c r="G386" s="157" t="s">
        <v>1278</v>
      </c>
      <c r="H386" s="157" t="s">
        <v>1294</v>
      </c>
      <c r="I386" s="157" t="s">
        <v>1295</v>
      </c>
      <c r="J386" s="157" t="s">
        <v>1296</v>
      </c>
      <c r="K386" s="157" t="s">
        <v>1269</v>
      </c>
      <c r="L386" s="157" t="s">
        <v>1450</v>
      </c>
      <c r="M386" s="157" t="str">
        <f t="shared" si="10"/>
        <v>Stepper Motor RL - Door Opening and Closing Latch</v>
      </c>
      <c r="N386" s="157"/>
      <c r="O386" s="157"/>
      <c r="P386" s="159" t="s">
        <v>3710</v>
      </c>
      <c r="Q386" s="157" t="s">
        <v>2115</v>
      </c>
      <c r="R386" s="157" t="s">
        <v>8425</v>
      </c>
      <c r="S386" s="157" t="s">
        <v>8607</v>
      </c>
      <c r="T386" s="157"/>
      <c r="U386" s="159" t="s">
        <v>2129</v>
      </c>
      <c r="V386" s="159" t="s">
        <v>2129</v>
      </c>
      <c r="W386" s="159" t="s">
        <v>2138</v>
      </c>
      <c r="X386" s="160">
        <v>0</v>
      </c>
      <c r="Y386" s="160">
        <v>0</v>
      </c>
      <c r="Z386" s="160">
        <v>0</v>
      </c>
      <c r="AA386" s="160">
        <v>0</v>
      </c>
    </row>
    <row r="387" spans="1:27" ht="18" customHeight="1" x14ac:dyDescent="0.25">
      <c r="A387" s="159">
        <v>405</v>
      </c>
      <c r="B387" s="157" t="s">
        <v>29</v>
      </c>
      <c r="C387" s="157" t="s">
        <v>82</v>
      </c>
      <c r="D387" s="159" t="s">
        <v>1113</v>
      </c>
      <c r="E387" s="157" t="s">
        <v>1111</v>
      </c>
      <c r="F387" s="157"/>
      <c r="G387" s="157" t="s">
        <v>1278</v>
      </c>
      <c r="H387" s="157" t="s">
        <v>1294</v>
      </c>
      <c r="I387" s="157" t="s">
        <v>1295</v>
      </c>
      <c r="J387" s="157" t="s">
        <v>1296</v>
      </c>
      <c r="K387" s="157" t="s">
        <v>1269</v>
      </c>
      <c r="L387" s="157" t="s">
        <v>1450</v>
      </c>
      <c r="M387" s="157" t="str">
        <f t="shared" si="10"/>
        <v>Stepper Motor RL - Door Opening and Closing Latch</v>
      </c>
      <c r="N387" s="157"/>
      <c r="O387" s="157"/>
      <c r="P387" s="159" t="s">
        <v>3710</v>
      </c>
      <c r="Q387" s="157" t="s">
        <v>2115</v>
      </c>
      <c r="R387" s="157" t="s">
        <v>8425</v>
      </c>
      <c r="S387" s="157" t="s">
        <v>8607</v>
      </c>
      <c r="T387" s="157"/>
      <c r="U387" s="159" t="s">
        <v>2129</v>
      </c>
      <c r="V387" s="159" t="s">
        <v>2129</v>
      </c>
      <c r="W387" s="159" t="s">
        <v>2138</v>
      </c>
      <c r="X387" s="160">
        <v>0</v>
      </c>
      <c r="Y387" s="160">
        <v>0</v>
      </c>
      <c r="Z387" s="160">
        <v>0</v>
      </c>
      <c r="AA387" s="160">
        <v>0</v>
      </c>
    </row>
    <row r="388" spans="1:27" ht="18" customHeight="1" x14ac:dyDescent="0.25">
      <c r="A388" s="159">
        <v>405</v>
      </c>
      <c r="B388" s="157" t="s">
        <v>29</v>
      </c>
      <c r="C388" s="157" t="s">
        <v>30</v>
      </c>
      <c r="D388" s="159" t="s">
        <v>92</v>
      </c>
      <c r="E388" s="157" t="s">
        <v>90</v>
      </c>
      <c r="F388" s="157" t="s">
        <v>1264</v>
      </c>
      <c r="G388" s="157" t="s">
        <v>1278</v>
      </c>
      <c r="H388" s="157" t="s">
        <v>1294</v>
      </c>
      <c r="I388" s="157" t="s">
        <v>1295</v>
      </c>
      <c r="J388" s="157" t="s">
        <v>1296</v>
      </c>
      <c r="K388" s="157" t="s">
        <v>1269</v>
      </c>
      <c r="L388" s="157" t="s">
        <v>1450</v>
      </c>
      <c r="M388" s="157" t="str">
        <f t="shared" si="10"/>
        <v>Stepper Motor RL - Door Opening and Closing Latch</v>
      </c>
      <c r="N388" s="157"/>
      <c r="O388" s="157"/>
      <c r="P388" s="159" t="s">
        <v>3710</v>
      </c>
      <c r="Q388" s="157" t="s">
        <v>2115</v>
      </c>
      <c r="R388" s="157" t="s">
        <v>8425</v>
      </c>
      <c r="S388" s="157" t="s">
        <v>8607</v>
      </c>
      <c r="T388" s="157"/>
      <c r="U388" s="159" t="s">
        <v>2129</v>
      </c>
      <c r="V388" s="159" t="s">
        <v>2129</v>
      </c>
      <c r="W388" s="159" t="s">
        <v>2138</v>
      </c>
      <c r="X388" s="160">
        <v>0</v>
      </c>
      <c r="Y388" s="160">
        <v>0</v>
      </c>
      <c r="Z388" s="160">
        <v>0</v>
      </c>
      <c r="AA388" s="160">
        <v>0</v>
      </c>
    </row>
    <row r="389" spans="1:27" ht="18" customHeight="1" x14ac:dyDescent="0.25">
      <c r="A389" s="159">
        <v>406</v>
      </c>
      <c r="B389" s="157" t="s">
        <v>29</v>
      </c>
      <c r="C389" s="157" t="s">
        <v>386</v>
      </c>
      <c r="D389" s="159" t="s">
        <v>389</v>
      </c>
      <c r="E389" s="157" t="s">
        <v>387</v>
      </c>
      <c r="F389" s="157"/>
      <c r="G389" s="157" t="s">
        <v>1278</v>
      </c>
      <c r="H389" s="157" t="s">
        <v>1279</v>
      </c>
      <c r="I389" s="157" t="s">
        <v>9544</v>
      </c>
      <c r="J389" s="157" t="s">
        <v>1280</v>
      </c>
      <c r="K389" s="157" t="s">
        <v>1281</v>
      </c>
      <c r="L389" s="157" t="s">
        <v>1282</v>
      </c>
      <c r="M389" s="157" t="str">
        <f t="shared" si="10"/>
        <v>User Selector - Power Window Command Rear Door Right</v>
      </c>
      <c r="N389" s="157"/>
      <c r="O389" s="157"/>
      <c r="P389" s="159" t="s">
        <v>3821</v>
      </c>
      <c r="Q389" s="157" t="s">
        <v>2115</v>
      </c>
      <c r="R389" s="157" t="s">
        <v>8436</v>
      </c>
      <c r="S389" s="157" t="s">
        <v>8606</v>
      </c>
      <c r="T389" s="157"/>
      <c r="U389" s="159" t="s">
        <v>2129</v>
      </c>
      <c r="V389" s="159" t="s">
        <v>2138</v>
      </c>
      <c r="W389" s="159" t="s">
        <v>2138</v>
      </c>
      <c r="X389" s="160">
        <v>0</v>
      </c>
      <c r="Y389" s="160">
        <v>0</v>
      </c>
      <c r="Z389" s="160">
        <v>1</v>
      </c>
      <c r="AA389" s="160">
        <v>1</v>
      </c>
    </row>
    <row r="390" spans="1:27" ht="18" customHeight="1" x14ac:dyDescent="0.25">
      <c r="A390" s="159">
        <v>406</v>
      </c>
      <c r="B390" s="157" t="s">
        <v>29</v>
      </c>
      <c r="C390" s="157" t="s">
        <v>386</v>
      </c>
      <c r="D390" s="159" t="s">
        <v>390</v>
      </c>
      <c r="E390" s="157" t="s">
        <v>1249</v>
      </c>
      <c r="F390" s="157"/>
      <c r="G390" s="157" t="s">
        <v>1278</v>
      </c>
      <c r="H390" s="157" t="s">
        <v>1279</v>
      </c>
      <c r="I390" s="157" t="s">
        <v>9544</v>
      </c>
      <c r="J390" s="157" t="s">
        <v>1280</v>
      </c>
      <c r="K390" s="157" t="s">
        <v>1281</v>
      </c>
      <c r="L390" s="157" t="s">
        <v>1282</v>
      </c>
      <c r="M390" s="157" t="str">
        <f t="shared" si="10"/>
        <v>User Selector - Power Window Command Rear Door Right</v>
      </c>
      <c r="N390" s="157"/>
      <c r="O390" s="157"/>
      <c r="P390" s="159" t="s">
        <v>3821</v>
      </c>
      <c r="Q390" s="157" t="s">
        <v>2115</v>
      </c>
      <c r="R390" s="157" t="s">
        <v>8436</v>
      </c>
      <c r="S390" s="157" t="s">
        <v>8606</v>
      </c>
      <c r="T390" s="157"/>
      <c r="U390" s="159" t="s">
        <v>2129</v>
      </c>
      <c r="V390" s="159" t="s">
        <v>2138</v>
      </c>
      <c r="W390" s="159" t="s">
        <v>2138</v>
      </c>
      <c r="X390" s="160">
        <f>5*10/(20*60)</f>
        <v>4.1666666666666664E-2</v>
      </c>
      <c r="Y390" s="160">
        <f>5*10/(20*60)</f>
        <v>4.1666666666666664E-2</v>
      </c>
      <c r="Z390" s="160">
        <v>1</v>
      </c>
      <c r="AA390" s="160">
        <v>1</v>
      </c>
    </row>
    <row r="391" spans="1:27" ht="18" customHeight="1" x14ac:dyDescent="0.25">
      <c r="A391" s="159">
        <v>407</v>
      </c>
      <c r="B391" s="157" t="s">
        <v>29</v>
      </c>
      <c r="C391" s="157" t="s">
        <v>386</v>
      </c>
      <c r="D391" s="159" t="s">
        <v>389</v>
      </c>
      <c r="E391" s="157" t="s">
        <v>387</v>
      </c>
      <c r="F391" s="157" t="s">
        <v>1277</v>
      </c>
      <c r="G391" s="157" t="s">
        <v>1278</v>
      </c>
      <c r="H391" s="157" t="s">
        <v>1279</v>
      </c>
      <c r="I391" s="157" t="s">
        <v>1451</v>
      </c>
      <c r="J391" s="157" t="s">
        <v>1280</v>
      </c>
      <c r="K391" s="157" t="s">
        <v>1269</v>
      </c>
      <c r="L391" s="157" t="s">
        <v>1291</v>
      </c>
      <c r="M391" s="157" t="str">
        <f t="shared" si="10"/>
        <v>Window Motor - Power Window Rear Right</v>
      </c>
      <c r="N391" s="157"/>
      <c r="O391" s="157"/>
      <c r="P391" s="159" t="s">
        <v>3816</v>
      </c>
      <c r="Q391" s="157" t="s">
        <v>2115</v>
      </c>
      <c r="R391" s="157" t="s">
        <v>8425</v>
      </c>
      <c r="S391" s="157" t="s">
        <v>8607</v>
      </c>
      <c r="T391" s="157"/>
      <c r="U391" s="159" t="s">
        <v>2138</v>
      </c>
      <c r="V391" s="159" t="s">
        <v>2138</v>
      </c>
      <c r="W391" s="159" t="s">
        <v>2138</v>
      </c>
      <c r="X391" s="160">
        <f>4*10/(20*60)</f>
        <v>3.3333333333333333E-2</v>
      </c>
      <c r="Y391" s="160">
        <f t="shared" ref="Y391:AA392" si="13">1*10/(20*60)</f>
        <v>8.3333333333333332E-3</v>
      </c>
      <c r="Z391" s="160">
        <f t="shared" si="13"/>
        <v>8.3333333333333332E-3</v>
      </c>
      <c r="AA391" s="160">
        <f t="shared" si="13"/>
        <v>8.3333333333333332E-3</v>
      </c>
    </row>
    <row r="392" spans="1:27" ht="18" customHeight="1" x14ac:dyDescent="0.25">
      <c r="A392" s="159">
        <v>407</v>
      </c>
      <c r="B392" s="157" t="s">
        <v>29</v>
      </c>
      <c r="C392" s="157" t="s">
        <v>386</v>
      </c>
      <c r="D392" s="159" t="s">
        <v>390</v>
      </c>
      <c r="E392" s="157" t="s">
        <v>1249</v>
      </c>
      <c r="F392" s="157" t="s">
        <v>1264</v>
      </c>
      <c r="G392" s="157" t="s">
        <v>1278</v>
      </c>
      <c r="H392" s="157" t="s">
        <v>1279</v>
      </c>
      <c r="I392" s="157" t="s">
        <v>1451</v>
      </c>
      <c r="J392" s="157" t="s">
        <v>1280</v>
      </c>
      <c r="K392" s="157" t="s">
        <v>1269</v>
      </c>
      <c r="L392" s="157" t="s">
        <v>1291</v>
      </c>
      <c r="M392" s="157" t="str">
        <f t="shared" si="10"/>
        <v>Window Motor - Power Window Rear Right</v>
      </c>
      <c r="N392" s="157"/>
      <c r="O392" s="157"/>
      <c r="P392" s="159" t="s">
        <v>3816</v>
      </c>
      <c r="Q392" s="157" t="s">
        <v>2115</v>
      </c>
      <c r="R392" s="157" t="s">
        <v>8425</v>
      </c>
      <c r="S392" s="157" t="s">
        <v>8607</v>
      </c>
      <c r="T392" s="157"/>
      <c r="U392" s="159" t="s">
        <v>2138</v>
      </c>
      <c r="V392" s="159" t="s">
        <v>2138</v>
      </c>
      <c r="W392" s="159" t="s">
        <v>2138</v>
      </c>
      <c r="X392" s="160">
        <f>4*10/(20*60)</f>
        <v>3.3333333333333333E-2</v>
      </c>
      <c r="Y392" s="160">
        <f t="shared" si="13"/>
        <v>8.3333333333333332E-3</v>
      </c>
      <c r="Z392" s="160">
        <f t="shared" si="13"/>
        <v>8.3333333333333332E-3</v>
      </c>
      <c r="AA392" s="160">
        <f t="shared" si="13"/>
        <v>8.3333333333333332E-3</v>
      </c>
    </row>
    <row r="393" spans="1:27" ht="18" customHeight="1" x14ac:dyDescent="0.25">
      <c r="A393" s="159">
        <v>408</v>
      </c>
      <c r="B393" s="157" t="s">
        <v>77</v>
      </c>
      <c r="C393" s="157" t="s">
        <v>124</v>
      </c>
      <c r="D393" s="159" t="s">
        <v>676</v>
      </c>
      <c r="E393" s="157" t="s">
        <v>674</v>
      </c>
      <c r="F393" s="157" t="s">
        <v>1264</v>
      </c>
      <c r="G393" s="157" t="s">
        <v>1278</v>
      </c>
      <c r="H393" s="157" t="s">
        <v>1283</v>
      </c>
      <c r="I393" s="157" t="s">
        <v>1452</v>
      </c>
      <c r="J393" s="157" t="s">
        <v>1285</v>
      </c>
      <c r="K393" s="157" t="s">
        <v>1269</v>
      </c>
      <c r="L393" s="157" t="s">
        <v>1286</v>
      </c>
      <c r="M393" s="157" t="str">
        <f t="shared" si="10"/>
        <v>LED Lamp - Door Pocket Illumination RR</v>
      </c>
      <c r="N393" s="157"/>
      <c r="O393" s="157"/>
      <c r="P393" s="159" t="s">
        <v>3813</v>
      </c>
      <c r="Q393" s="157" t="s">
        <v>2115</v>
      </c>
      <c r="R393" s="157" t="s">
        <v>8436</v>
      </c>
      <c r="S393" s="157" t="s">
        <v>8606</v>
      </c>
      <c r="T393" s="157"/>
      <c r="U393" s="159" t="s">
        <v>2129</v>
      </c>
      <c r="V393" s="159" t="s">
        <v>2129</v>
      </c>
      <c r="W393" s="159" t="s">
        <v>2138</v>
      </c>
      <c r="X393" s="160">
        <v>0.05</v>
      </c>
      <c r="Y393" s="160">
        <v>0.05</v>
      </c>
      <c r="Z393" s="160">
        <v>1</v>
      </c>
      <c r="AA393" s="160">
        <v>1</v>
      </c>
    </row>
    <row r="394" spans="1:27" ht="18" customHeight="1" x14ac:dyDescent="0.25">
      <c r="A394" s="166">
        <v>415</v>
      </c>
      <c r="B394" s="157" t="s">
        <v>29</v>
      </c>
      <c r="C394" s="157" t="s">
        <v>30</v>
      </c>
      <c r="D394" s="159" t="s">
        <v>33</v>
      </c>
      <c r="E394" s="157" t="s">
        <v>31</v>
      </c>
      <c r="F394" s="157" t="s">
        <v>1275</v>
      </c>
      <c r="G394" s="157" t="s">
        <v>1536</v>
      </c>
      <c r="H394" s="157" t="s">
        <v>1287</v>
      </c>
      <c r="I394" s="157" t="s">
        <v>1339</v>
      </c>
      <c r="J394" s="157" t="s">
        <v>1455</v>
      </c>
      <c r="K394" s="157" t="s">
        <v>1269</v>
      </c>
      <c r="L394" s="157" t="s">
        <v>8479</v>
      </c>
      <c r="M394" s="157" t="str">
        <f t="shared" ref="M394:M457" si="14">CONCATENATE(L394," - ",I394)</f>
        <v>Taillamp Assy' LED Left - Tailgate - Rear Lamps L</v>
      </c>
      <c r="N394" s="164"/>
      <c r="O394" s="165"/>
      <c r="P394" s="159" t="s">
        <v>6953</v>
      </c>
      <c r="Q394" s="157"/>
      <c r="R394" s="157"/>
      <c r="S394" s="157"/>
      <c r="T394" s="157"/>
      <c r="U394" s="159" t="s">
        <v>2129</v>
      </c>
      <c r="V394" s="159" t="s">
        <v>2138</v>
      </c>
      <c r="W394" s="159" t="s">
        <v>2129</v>
      </c>
      <c r="X394" s="160">
        <v>0.1</v>
      </c>
      <c r="Y394" s="160">
        <v>0.03</v>
      </c>
      <c r="Z394" s="160">
        <v>0.39</v>
      </c>
      <c r="AA394" s="160">
        <v>0.33</v>
      </c>
    </row>
    <row r="395" spans="1:27" ht="18" customHeight="1" x14ac:dyDescent="0.25">
      <c r="A395" s="166">
        <v>415</v>
      </c>
      <c r="B395" s="157" t="s">
        <v>29</v>
      </c>
      <c r="C395" s="157" t="s">
        <v>30</v>
      </c>
      <c r="D395" s="159" t="s">
        <v>95</v>
      </c>
      <c r="E395" s="157" t="s">
        <v>93</v>
      </c>
      <c r="F395" s="157" t="s">
        <v>1275</v>
      </c>
      <c r="G395" s="157" t="s">
        <v>1536</v>
      </c>
      <c r="H395" s="157" t="s">
        <v>1287</v>
      </c>
      <c r="I395" s="157" t="s">
        <v>1339</v>
      </c>
      <c r="J395" s="157" t="s">
        <v>1455</v>
      </c>
      <c r="K395" s="157" t="s">
        <v>1269</v>
      </c>
      <c r="L395" s="157" t="s">
        <v>8479</v>
      </c>
      <c r="M395" s="157" t="str">
        <f t="shared" si="14"/>
        <v>Taillamp Assy' LED Left - Tailgate - Rear Lamps L</v>
      </c>
      <c r="N395" s="164"/>
      <c r="O395" s="165"/>
      <c r="P395" s="159" t="s">
        <v>6953</v>
      </c>
      <c r="Q395" s="157"/>
      <c r="R395" s="157"/>
      <c r="S395" s="157"/>
      <c r="T395" s="157"/>
      <c r="U395" s="159" t="s">
        <v>2129</v>
      </c>
      <c r="V395" s="159" t="s">
        <v>2138</v>
      </c>
      <c r="W395" s="159" t="s">
        <v>2129</v>
      </c>
      <c r="X395" s="160">
        <v>0.1</v>
      </c>
      <c r="Y395" s="160">
        <v>0.03</v>
      </c>
      <c r="Z395" s="160">
        <v>0.39</v>
      </c>
      <c r="AA395" s="160">
        <v>0.33</v>
      </c>
    </row>
    <row r="396" spans="1:27" ht="18" customHeight="1" x14ac:dyDescent="0.25">
      <c r="A396" s="166">
        <v>415</v>
      </c>
      <c r="B396" s="157" t="s">
        <v>29</v>
      </c>
      <c r="C396" s="157" t="s">
        <v>30</v>
      </c>
      <c r="D396" s="159" t="s">
        <v>214</v>
      </c>
      <c r="E396" s="157" t="s">
        <v>212</v>
      </c>
      <c r="F396" s="157" t="s">
        <v>1264</v>
      </c>
      <c r="G396" s="157" t="s">
        <v>1536</v>
      </c>
      <c r="H396" s="157" t="s">
        <v>1287</v>
      </c>
      <c r="I396" s="157" t="s">
        <v>1339</v>
      </c>
      <c r="J396" s="157" t="s">
        <v>1455</v>
      </c>
      <c r="K396" s="157" t="s">
        <v>1269</v>
      </c>
      <c r="L396" s="157" t="s">
        <v>8479</v>
      </c>
      <c r="M396" s="157" t="str">
        <f t="shared" si="14"/>
        <v>Taillamp Assy' LED Left - Tailgate - Rear Lamps L</v>
      </c>
      <c r="N396" s="164"/>
      <c r="O396" s="165"/>
      <c r="P396" s="159" t="s">
        <v>6953</v>
      </c>
      <c r="Q396" s="157"/>
      <c r="R396" s="157"/>
      <c r="S396" s="157"/>
      <c r="T396" s="157"/>
      <c r="U396" s="159" t="s">
        <v>2129</v>
      </c>
      <c r="V396" s="159" t="s">
        <v>2138</v>
      </c>
      <c r="W396" s="159" t="s">
        <v>2129</v>
      </c>
      <c r="X396" s="160">
        <v>0.1</v>
      </c>
      <c r="Y396" s="160">
        <v>0.03</v>
      </c>
      <c r="Z396" s="160">
        <v>0.39</v>
      </c>
      <c r="AA396" s="160">
        <v>0.33</v>
      </c>
    </row>
    <row r="397" spans="1:27" ht="18" customHeight="1" x14ac:dyDescent="0.25">
      <c r="A397" s="166">
        <v>415</v>
      </c>
      <c r="B397" s="157" t="s">
        <v>29</v>
      </c>
      <c r="C397" s="157" t="s">
        <v>30</v>
      </c>
      <c r="D397" s="159" t="s">
        <v>233</v>
      </c>
      <c r="E397" s="157" t="s">
        <v>231</v>
      </c>
      <c r="F397" s="157" t="s">
        <v>1264</v>
      </c>
      <c r="G397" s="157" t="s">
        <v>1536</v>
      </c>
      <c r="H397" s="157" t="s">
        <v>1287</v>
      </c>
      <c r="I397" s="157" t="s">
        <v>1339</v>
      </c>
      <c r="J397" s="157" t="s">
        <v>1455</v>
      </c>
      <c r="K397" s="157" t="s">
        <v>1269</v>
      </c>
      <c r="L397" s="157" t="s">
        <v>8479</v>
      </c>
      <c r="M397" s="157" t="str">
        <f t="shared" si="14"/>
        <v>Taillamp Assy' LED Left - Tailgate - Rear Lamps L</v>
      </c>
      <c r="N397" s="164"/>
      <c r="O397" s="165"/>
      <c r="P397" s="159" t="s">
        <v>6953</v>
      </c>
      <c r="Q397" s="157"/>
      <c r="R397" s="157"/>
      <c r="S397" s="157"/>
      <c r="T397" s="157"/>
      <c r="U397" s="159" t="s">
        <v>2129</v>
      </c>
      <c r="V397" s="159" t="s">
        <v>2138</v>
      </c>
      <c r="W397" s="159" t="s">
        <v>2129</v>
      </c>
      <c r="X397" s="160">
        <v>0.1</v>
      </c>
      <c r="Y397" s="160">
        <v>0.03</v>
      </c>
      <c r="Z397" s="160">
        <v>0.39</v>
      </c>
      <c r="AA397" s="160">
        <v>0.33</v>
      </c>
    </row>
    <row r="398" spans="1:27" ht="18" customHeight="1" x14ac:dyDescent="0.25">
      <c r="A398" s="166">
        <v>415</v>
      </c>
      <c r="B398" s="157" t="s">
        <v>29</v>
      </c>
      <c r="C398" s="157" t="s">
        <v>30</v>
      </c>
      <c r="D398" s="159" t="s">
        <v>377</v>
      </c>
      <c r="E398" s="157" t="s">
        <v>375</v>
      </c>
      <c r="F398" s="157" t="s">
        <v>1264</v>
      </c>
      <c r="G398" s="157" t="s">
        <v>1536</v>
      </c>
      <c r="H398" s="157" t="s">
        <v>1287</v>
      </c>
      <c r="I398" s="157" t="s">
        <v>1339</v>
      </c>
      <c r="J398" s="157" t="s">
        <v>1455</v>
      </c>
      <c r="K398" s="157" t="s">
        <v>1269</v>
      </c>
      <c r="L398" s="157" t="s">
        <v>8479</v>
      </c>
      <c r="M398" s="157" t="str">
        <f t="shared" si="14"/>
        <v>Taillamp Assy' LED Left - Tailgate - Rear Lamps L</v>
      </c>
      <c r="N398" s="164"/>
      <c r="O398" s="165"/>
      <c r="P398" s="159" t="s">
        <v>6953</v>
      </c>
      <c r="Q398" s="157"/>
      <c r="R398" s="157"/>
      <c r="S398" s="157"/>
      <c r="T398" s="157"/>
      <c r="U398" s="159" t="s">
        <v>2129</v>
      </c>
      <c r="V398" s="159" t="s">
        <v>2138</v>
      </c>
      <c r="W398" s="159" t="s">
        <v>2129</v>
      </c>
      <c r="X398" s="160">
        <v>0.1</v>
      </c>
      <c r="Y398" s="160">
        <v>0.03</v>
      </c>
      <c r="Z398" s="160">
        <v>0.39</v>
      </c>
      <c r="AA398" s="160">
        <v>0.33</v>
      </c>
    </row>
    <row r="399" spans="1:27" ht="18" customHeight="1" x14ac:dyDescent="0.25">
      <c r="A399" s="166">
        <v>415</v>
      </c>
      <c r="B399" s="157" t="s">
        <v>29</v>
      </c>
      <c r="C399" s="157" t="s">
        <v>30</v>
      </c>
      <c r="D399" s="159" t="s">
        <v>380</v>
      </c>
      <c r="E399" s="157" t="s">
        <v>378</v>
      </c>
      <c r="F399" s="157" t="s">
        <v>1264</v>
      </c>
      <c r="G399" s="157" t="s">
        <v>1536</v>
      </c>
      <c r="H399" s="157" t="s">
        <v>1287</v>
      </c>
      <c r="I399" s="157" t="s">
        <v>1339</v>
      </c>
      <c r="J399" s="157" t="s">
        <v>1455</v>
      </c>
      <c r="K399" s="157" t="s">
        <v>1269</v>
      </c>
      <c r="L399" s="157" t="s">
        <v>8479</v>
      </c>
      <c r="M399" s="157" t="str">
        <f t="shared" si="14"/>
        <v>Taillamp Assy' LED Left - Tailgate - Rear Lamps L</v>
      </c>
      <c r="N399" s="164"/>
      <c r="O399" s="165"/>
      <c r="P399" s="159" t="s">
        <v>6953</v>
      </c>
      <c r="Q399" s="157"/>
      <c r="R399" s="157"/>
      <c r="S399" s="157"/>
      <c r="T399" s="157"/>
      <c r="U399" s="159" t="s">
        <v>2129</v>
      </c>
      <c r="V399" s="159" t="s">
        <v>2138</v>
      </c>
      <c r="W399" s="159" t="s">
        <v>2129</v>
      </c>
      <c r="X399" s="160">
        <v>0.1</v>
      </c>
      <c r="Y399" s="160">
        <v>0.03</v>
      </c>
      <c r="Z399" s="160">
        <v>0.39</v>
      </c>
      <c r="AA399" s="160">
        <v>0.33</v>
      </c>
    </row>
    <row r="400" spans="1:27" ht="18" customHeight="1" x14ac:dyDescent="0.25">
      <c r="A400" s="166">
        <v>415</v>
      </c>
      <c r="B400" s="157" t="s">
        <v>29</v>
      </c>
      <c r="C400" s="157" t="s">
        <v>30</v>
      </c>
      <c r="D400" s="159" t="s">
        <v>398</v>
      </c>
      <c r="E400" s="157" t="s">
        <v>396</v>
      </c>
      <c r="F400" s="157" t="s">
        <v>1264</v>
      </c>
      <c r="G400" s="157" t="s">
        <v>1536</v>
      </c>
      <c r="H400" s="157" t="s">
        <v>1287</v>
      </c>
      <c r="I400" s="157" t="s">
        <v>1339</v>
      </c>
      <c r="J400" s="157" t="s">
        <v>1455</v>
      </c>
      <c r="K400" s="157" t="s">
        <v>1269</v>
      </c>
      <c r="L400" s="157" t="s">
        <v>8479</v>
      </c>
      <c r="M400" s="157" t="str">
        <f t="shared" si="14"/>
        <v>Taillamp Assy' LED Left - Tailgate - Rear Lamps L</v>
      </c>
      <c r="N400" s="164"/>
      <c r="O400" s="165"/>
      <c r="P400" s="159" t="s">
        <v>6953</v>
      </c>
      <c r="Q400" s="157"/>
      <c r="R400" s="157"/>
      <c r="S400" s="157"/>
      <c r="T400" s="157"/>
      <c r="U400" s="159" t="s">
        <v>2129</v>
      </c>
      <c r="V400" s="159" t="s">
        <v>2138</v>
      </c>
      <c r="W400" s="159" t="s">
        <v>2129</v>
      </c>
      <c r="X400" s="160">
        <v>0.1</v>
      </c>
      <c r="Y400" s="160">
        <v>0.03</v>
      </c>
      <c r="Z400" s="160">
        <v>0.39</v>
      </c>
      <c r="AA400" s="160">
        <v>0.33</v>
      </c>
    </row>
    <row r="401" spans="1:27" ht="18" customHeight="1" x14ac:dyDescent="0.25">
      <c r="A401" s="166">
        <v>415</v>
      </c>
      <c r="B401" s="157" t="s">
        <v>29</v>
      </c>
      <c r="C401" s="157" t="s">
        <v>30</v>
      </c>
      <c r="D401" s="159" t="s">
        <v>34</v>
      </c>
      <c r="E401" s="157" t="s">
        <v>404</v>
      </c>
      <c r="F401" s="157" t="s">
        <v>1275</v>
      </c>
      <c r="G401" s="157" t="s">
        <v>1536</v>
      </c>
      <c r="H401" s="157" t="s">
        <v>1287</v>
      </c>
      <c r="I401" s="157" t="s">
        <v>1339</v>
      </c>
      <c r="J401" s="157" t="s">
        <v>1455</v>
      </c>
      <c r="K401" s="157" t="s">
        <v>1269</v>
      </c>
      <c r="L401" s="157" t="s">
        <v>8479</v>
      </c>
      <c r="M401" s="157" t="str">
        <f t="shared" si="14"/>
        <v>Taillamp Assy' LED Left - Tailgate - Rear Lamps L</v>
      </c>
      <c r="N401" s="164"/>
      <c r="O401" s="165"/>
      <c r="P401" s="159" t="s">
        <v>6953</v>
      </c>
      <c r="Q401" s="157"/>
      <c r="R401" s="157"/>
      <c r="S401" s="157"/>
      <c r="T401" s="157"/>
      <c r="U401" s="159" t="s">
        <v>2129</v>
      </c>
      <c r="V401" s="159" t="s">
        <v>2138</v>
      </c>
      <c r="W401" s="159" t="s">
        <v>2129</v>
      </c>
      <c r="X401" s="160">
        <v>0.1</v>
      </c>
      <c r="Y401" s="160">
        <v>0.03</v>
      </c>
      <c r="Z401" s="160">
        <v>0.39</v>
      </c>
      <c r="AA401" s="160">
        <v>0.33</v>
      </c>
    </row>
    <row r="402" spans="1:27" ht="18" customHeight="1" x14ac:dyDescent="0.25">
      <c r="A402" s="166">
        <v>415</v>
      </c>
      <c r="B402" s="157" t="s">
        <v>29</v>
      </c>
      <c r="C402" s="157" t="s">
        <v>30</v>
      </c>
      <c r="D402" s="159" t="s">
        <v>408</v>
      </c>
      <c r="E402" s="157" t="s">
        <v>406</v>
      </c>
      <c r="F402" s="157" t="s">
        <v>1264</v>
      </c>
      <c r="G402" s="157" t="s">
        <v>1536</v>
      </c>
      <c r="H402" s="157" t="s">
        <v>1287</v>
      </c>
      <c r="I402" s="157" t="s">
        <v>1339</v>
      </c>
      <c r="J402" s="157" t="s">
        <v>1455</v>
      </c>
      <c r="K402" s="157" t="s">
        <v>1269</v>
      </c>
      <c r="L402" s="157" t="s">
        <v>8479</v>
      </c>
      <c r="M402" s="157" t="str">
        <f t="shared" si="14"/>
        <v>Taillamp Assy' LED Left - Tailgate - Rear Lamps L</v>
      </c>
      <c r="N402" s="164"/>
      <c r="O402" s="165"/>
      <c r="P402" s="159" t="s">
        <v>6953</v>
      </c>
      <c r="Q402" s="157"/>
      <c r="R402" s="157"/>
      <c r="S402" s="157"/>
      <c r="T402" s="157"/>
      <c r="U402" s="159" t="s">
        <v>2129</v>
      </c>
      <c r="V402" s="159" t="s">
        <v>2138</v>
      </c>
      <c r="W402" s="159" t="s">
        <v>2129</v>
      </c>
      <c r="X402" s="160">
        <v>0.1</v>
      </c>
      <c r="Y402" s="160">
        <v>0.03</v>
      </c>
      <c r="Z402" s="160">
        <v>0.39</v>
      </c>
      <c r="AA402" s="160">
        <v>0.33</v>
      </c>
    </row>
    <row r="403" spans="1:27" ht="18" customHeight="1" x14ac:dyDescent="0.25">
      <c r="A403" s="166">
        <v>415</v>
      </c>
      <c r="B403" s="157" t="s">
        <v>29</v>
      </c>
      <c r="C403" s="157" t="s">
        <v>30</v>
      </c>
      <c r="D403" s="159" t="s">
        <v>573</v>
      </c>
      <c r="E403" s="157" t="s">
        <v>574</v>
      </c>
      <c r="F403" s="159"/>
      <c r="G403" s="157" t="s">
        <v>1536</v>
      </c>
      <c r="H403" s="157" t="s">
        <v>1287</v>
      </c>
      <c r="I403" s="157" t="s">
        <v>1339</v>
      </c>
      <c r="J403" s="157" t="s">
        <v>1455</v>
      </c>
      <c r="K403" s="157" t="s">
        <v>1269</v>
      </c>
      <c r="L403" s="157" t="s">
        <v>8479</v>
      </c>
      <c r="M403" s="157" t="str">
        <f t="shared" si="14"/>
        <v>Taillamp Assy' LED Left - Tailgate - Rear Lamps L</v>
      </c>
      <c r="N403" s="164"/>
      <c r="O403" s="165"/>
      <c r="P403" s="159" t="s">
        <v>6953</v>
      </c>
      <c r="Q403" s="157"/>
      <c r="R403" s="157"/>
      <c r="S403" s="157"/>
      <c r="T403" s="157"/>
      <c r="U403" s="159" t="s">
        <v>2129</v>
      </c>
      <c r="V403" s="159" t="s">
        <v>2138</v>
      </c>
      <c r="W403" s="159" t="s">
        <v>2129</v>
      </c>
      <c r="X403" s="160">
        <v>0.1</v>
      </c>
      <c r="Y403" s="160">
        <v>0.03</v>
      </c>
      <c r="Z403" s="160">
        <v>0.39</v>
      </c>
      <c r="AA403" s="160">
        <v>0.33</v>
      </c>
    </row>
    <row r="404" spans="1:27" ht="18" customHeight="1" x14ac:dyDescent="0.25">
      <c r="A404" s="166">
        <v>415</v>
      </c>
      <c r="B404" s="157" t="s">
        <v>251</v>
      </c>
      <c r="C404" s="157" t="s">
        <v>366</v>
      </c>
      <c r="D404" s="159" t="s">
        <v>494</v>
      </c>
      <c r="E404" s="157" t="s">
        <v>492</v>
      </c>
      <c r="F404" s="157" t="s">
        <v>1275</v>
      </c>
      <c r="G404" s="157" t="s">
        <v>1536</v>
      </c>
      <c r="H404" s="157" t="s">
        <v>1287</v>
      </c>
      <c r="I404" s="157" t="s">
        <v>1339</v>
      </c>
      <c r="J404" s="157" t="s">
        <v>1455</v>
      </c>
      <c r="K404" s="157" t="s">
        <v>1269</v>
      </c>
      <c r="L404" s="157" t="s">
        <v>8479</v>
      </c>
      <c r="M404" s="157" t="str">
        <f t="shared" si="14"/>
        <v>Taillamp Assy' LED Left - Tailgate - Rear Lamps L</v>
      </c>
      <c r="N404" s="164"/>
      <c r="O404" s="165"/>
      <c r="P404" s="159" t="s">
        <v>6953</v>
      </c>
      <c r="Q404" s="157"/>
      <c r="R404" s="157"/>
      <c r="S404" s="157"/>
      <c r="T404" s="157"/>
      <c r="U404" s="159" t="s">
        <v>2129</v>
      </c>
      <c r="V404" s="159" t="s">
        <v>2138</v>
      </c>
      <c r="W404" s="159" t="s">
        <v>2129</v>
      </c>
      <c r="X404" s="160">
        <v>0.1</v>
      </c>
      <c r="Y404" s="160">
        <v>0.03</v>
      </c>
      <c r="Z404" s="160">
        <v>0.39</v>
      </c>
      <c r="AA404" s="160">
        <v>0.33</v>
      </c>
    </row>
    <row r="405" spans="1:27" ht="18" customHeight="1" x14ac:dyDescent="0.25">
      <c r="A405" s="166">
        <v>416</v>
      </c>
      <c r="B405" s="157" t="s">
        <v>29</v>
      </c>
      <c r="C405" s="157" t="s">
        <v>30</v>
      </c>
      <c r="D405" s="159" t="s">
        <v>33</v>
      </c>
      <c r="E405" s="157" t="s">
        <v>31</v>
      </c>
      <c r="F405" s="157" t="s">
        <v>1275</v>
      </c>
      <c r="G405" s="157" t="s">
        <v>1536</v>
      </c>
      <c r="H405" s="157" t="s">
        <v>1287</v>
      </c>
      <c r="I405" s="157" t="s">
        <v>1406</v>
      </c>
      <c r="J405" s="157" t="s">
        <v>1455</v>
      </c>
      <c r="K405" s="157" t="s">
        <v>1269</v>
      </c>
      <c r="L405" s="157" t="s">
        <v>8480</v>
      </c>
      <c r="M405" s="157" t="str">
        <f t="shared" si="14"/>
        <v>Taillamp Assy' LED Right - Tailgate - Rear Lamps R</v>
      </c>
      <c r="N405" s="164"/>
      <c r="O405" s="165"/>
      <c r="P405" s="159" t="s">
        <v>4702</v>
      </c>
      <c r="Q405" s="157"/>
      <c r="R405" s="157"/>
      <c r="S405" s="157"/>
      <c r="T405" s="157"/>
      <c r="U405" s="159" t="s">
        <v>2129</v>
      </c>
      <c r="V405" s="159" t="s">
        <v>2138</v>
      </c>
      <c r="W405" s="159" t="s">
        <v>2129</v>
      </c>
      <c r="X405" s="160">
        <v>0.1</v>
      </c>
      <c r="Y405" s="160">
        <v>0.03</v>
      </c>
      <c r="Z405" s="160">
        <v>0.39</v>
      </c>
      <c r="AA405" s="160">
        <v>0.33</v>
      </c>
    </row>
    <row r="406" spans="1:27" ht="18" customHeight="1" x14ac:dyDescent="0.25">
      <c r="A406" s="166">
        <v>416</v>
      </c>
      <c r="B406" s="157" t="s">
        <v>29</v>
      </c>
      <c r="C406" s="157" t="s">
        <v>30</v>
      </c>
      <c r="D406" s="159" t="s">
        <v>95</v>
      </c>
      <c r="E406" s="157" t="s">
        <v>93</v>
      </c>
      <c r="F406" s="157" t="s">
        <v>1275</v>
      </c>
      <c r="G406" s="157" t="s">
        <v>1536</v>
      </c>
      <c r="H406" s="157" t="s">
        <v>1287</v>
      </c>
      <c r="I406" s="157" t="s">
        <v>1406</v>
      </c>
      <c r="J406" s="157" t="s">
        <v>1455</v>
      </c>
      <c r="K406" s="157" t="s">
        <v>1269</v>
      </c>
      <c r="L406" s="157" t="s">
        <v>8480</v>
      </c>
      <c r="M406" s="157" t="str">
        <f t="shared" si="14"/>
        <v>Taillamp Assy' LED Right - Tailgate - Rear Lamps R</v>
      </c>
      <c r="N406" s="164"/>
      <c r="O406" s="165"/>
      <c r="P406" s="159" t="s">
        <v>4702</v>
      </c>
      <c r="Q406" s="157"/>
      <c r="R406" s="157"/>
      <c r="S406" s="157"/>
      <c r="T406" s="157"/>
      <c r="U406" s="159" t="s">
        <v>2129</v>
      </c>
      <c r="V406" s="159" t="s">
        <v>2138</v>
      </c>
      <c r="W406" s="159" t="s">
        <v>2129</v>
      </c>
      <c r="X406" s="160">
        <v>0.1</v>
      </c>
      <c r="Y406" s="160">
        <v>0.03</v>
      </c>
      <c r="Z406" s="160">
        <v>0.39</v>
      </c>
      <c r="AA406" s="160">
        <v>0.33</v>
      </c>
    </row>
    <row r="407" spans="1:27" ht="18" customHeight="1" x14ac:dyDescent="0.25">
      <c r="A407" s="166">
        <v>416</v>
      </c>
      <c r="B407" s="157" t="s">
        <v>29</v>
      </c>
      <c r="C407" s="157" t="s">
        <v>30</v>
      </c>
      <c r="D407" s="159" t="s">
        <v>214</v>
      </c>
      <c r="E407" s="157" t="s">
        <v>212</v>
      </c>
      <c r="F407" s="157" t="s">
        <v>1264</v>
      </c>
      <c r="G407" s="157" t="s">
        <v>1536</v>
      </c>
      <c r="H407" s="157" t="s">
        <v>1287</v>
      </c>
      <c r="I407" s="157" t="s">
        <v>1406</v>
      </c>
      <c r="J407" s="157" t="s">
        <v>1455</v>
      </c>
      <c r="K407" s="157" t="s">
        <v>1269</v>
      </c>
      <c r="L407" s="157" t="s">
        <v>8480</v>
      </c>
      <c r="M407" s="157" t="str">
        <f t="shared" si="14"/>
        <v>Taillamp Assy' LED Right - Tailgate - Rear Lamps R</v>
      </c>
      <c r="N407" s="164"/>
      <c r="O407" s="165"/>
      <c r="P407" s="159" t="s">
        <v>4702</v>
      </c>
      <c r="Q407" s="157"/>
      <c r="R407" s="157"/>
      <c r="S407" s="157"/>
      <c r="T407" s="157"/>
      <c r="U407" s="159" t="s">
        <v>2129</v>
      </c>
      <c r="V407" s="159" t="s">
        <v>2138</v>
      </c>
      <c r="W407" s="159" t="s">
        <v>2129</v>
      </c>
      <c r="X407" s="160">
        <v>0.1</v>
      </c>
      <c r="Y407" s="160">
        <v>0.03</v>
      </c>
      <c r="Z407" s="160">
        <v>0.39</v>
      </c>
      <c r="AA407" s="160">
        <v>0.33</v>
      </c>
    </row>
    <row r="408" spans="1:27" ht="18" customHeight="1" x14ac:dyDescent="0.25">
      <c r="A408" s="166">
        <v>416</v>
      </c>
      <c r="B408" s="157" t="s">
        <v>29</v>
      </c>
      <c r="C408" s="157" t="s">
        <v>30</v>
      </c>
      <c r="D408" s="159" t="s">
        <v>233</v>
      </c>
      <c r="E408" s="157" t="s">
        <v>231</v>
      </c>
      <c r="F408" s="157" t="s">
        <v>1264</v>
      </c>
      <c r="G408" s="157" t="s">
        <v>1536</v>
      </c>
      <c r="H408" s="157" t="s">
        <v>1287</v>
      </c>
      <c r="I408" s="157" t="s">
        <v>1406</v>
      </c>
      <c r="J408" s="157" t="s">
        <v>1455</v>
      </c>
      <c r="K408" s="157" t="s">
        <v>1269</v>
      </c>
      <c r="L408" s="157" t="s">
        <v>8480</v>
      </c>
      <c r="M408" s="157" t="str">
        <f t="shared" si="14"/>
        <v>Taillamp Assy' LED Right - Tailgate - Rear Lamps R</v>
      </c>
      <c r="N408" s="164"/>
      <c r="O408" s="165"/>
      <c r="P408" s="159" t="s">
        <v>4702</v>
      </c>
      <c r="Q408" s="157"/>
      <c r="R408" s="157"/>
      <c r="S408" s="157"/>
      <c r="T408" s="157"/>
      <c r="U408" s="159" t="s">
        <v>2129</v>
      </c>
      <c r="V408" s="159" t="s">
        <v>2138</v>
      </c>
      <c r="W408" s="159" t="s">
        <v>2129</v>
      </c>
      <c r="X408" s="160">
        <v>0.1</v>
      </c>
      <c r="Y408" s="160">
        <v>0.03</v>
      </c>
      <c r="Z408" s="160">
        <v>0.39</v>
      </c>
      <c r="AA408" s="160">
        <v>0.33</v>
      </c>
    </row>
    <row r="409" spans="1:27" ht="18" customHeight="1" x14ac:dyDescent="0.25">
      <c r="A409" s="166">
        <v>416</v>
      </c>
      <c r="B409" s="157" t="s">
        <v>29</v>
      </c>
      <c r="C409" s="157" t="s">
        <v>30</v>
      </c>
      <c r="D409" s="159" t="s">
        <v>377</v>
      </c>
      <c r="E409" s="157" t="s">
        <v>375</v>
      </c>
      <c r="F409" s="157" t="s">
        <v>1264</v>
      </c>
      <c r="G409" s="157" t="s">
        <v>1536</v>
      </c>
      <c r="H409" s="157" t="s">
        <v>1287</v>
      </c>
      <c r="I409" s="157" t="s">
        <v>1406</v>
      </c>
      <c r="J409" s="157" t="s">
        <v>1455</v>
      </c>
      <c r="K409" s="157" t="s">
        <v>1269</v>
      </c>
      <c r="L409" s="157" t="s">
        <v>8480</v>
      </c>
      <c r="M409" s="157" t="str">
        <f t="shared" si="14"/>
        <v>Taillamp Assy' LED Right - Tailgate - Rear Lamps R</v>
      </c>
      <c r="N409" s="164"/>
      <c r="O409" s="165"/>
      <c r="P409" s="159" t="s">
        <v>4702</v>
      </c>
      <c r="Q409" s="157"/>
      <c r="R409" s="157"/>
      <c r="S409" s="157"/>
      <c r="T409" s="157"/>
      <c r="U409" s="159" t="s">
        <v>2129</v>
      </c>
      <c r="V409" s="159" t="s">
        <v>2138</v>
      </c>
      <c r="W409" s="159" t="s">
        <v>2129</v>
      </c>
      <c r="X409" s="160">
        <v>0.1</v>
      </c>
      <c r="Y409" s="160">
        <v>0.03</v>
      </c>
      <c r="Z409" s="160">
        <v>0.39</v>
      </c>
      <c r="AA409" s="160">
        <v>0.33</v>
      </c>
    </row>
    <row r="410" spans="1:27" ht="18" customHeight="1" x14ac:dyDescent="0.25">
      <c r="A410" s="166">
        <v>416</v>
      </c>
      <c r="B410" s="157" t="s">
        <v>29</v>
      </c>
      <c r="C410" s="157" t="s">
        <v>30</v>
      </c>
      <c r="D410" s="159" t="s">
        <v>380</v>
      </c>
      <c r="E410" s="157" t="s">
        <v>378</v>
      </c>
      <c r="F410" s="157" t="s">
        <v>1264</v>
      </c>
      <c r="G410" s="157" t="s">
        <v>1536</v>
      </c>
      <c r="H410" s="157" t="s">
        <v>1287</v>
      </c>
      <c r="I410" s="157" t="s">
        <v>1406</v>
      </c>
      <c r="J410" s="157" t="s">
        <v>1455</v>
      </c>
      <c r="K410" s="157" t="s">
        <v>1269</v>
      </c>
      <c r="L410" s="157" t="s">
        <v>8480</v>
      </c>
      <c r="M410" s="157" t="str">
        <f t="shared" si="14"/>
        <v>Taillamp Assy' LED Right - Tailgate - Rear Lamps R</v>
      </c>
      <c r="N410" s="164"/>
      <c r="O410" s="165"/>
      <c r="P410" s="159" t="s">
        <v>4702</v>
      </c>
      <c r="Q410" s="157"/>
      <c r="R410" s="157"/>
      <c r="S410" s="157"/>
      <c r="T410" s="157"/>
      <c r="U410" s="159" t="s">
        <v>2129</v>
      </c>
      <c r="V410" s="159" t="s">
        <v>2138</v>
      </c>
      <c r="W410" s="159" t="s">
        <v>2129</v>
      </c>
      <c r="X410" s="160">
        <v>0.1</v>
      </c>
      <c r="Y410" s="160">
        <v>0.03</v>
      </c>
      <c r="Z410" s="160">
        <v>0.39</v>
      </c>
      <c r="AA410" s="160">
        <v>0.33</v>
      </c>
    </row>
    <row r="411" spans="1:27" ht="18" customHeight="1" x14ac:dyDescent="0.25">
      <c r="A411" s="166">
        <v>416</v>
      </c>
      <c r="B411" s="157" t="s">
        <v>29</v>
      </c>
      <c r="C411" s="157" t="s">
        <v>30</v>
      </c>
      <c r="D411" s="159" t="s">
        <v>398</v>
      </c>
      <c r="E411" s="157" t="s">
        <v>396</v>
      </c>
      <c r="F411" s="157" t="s">
        <v>1264</v>
      </c>
      <c r="G411" s="157" t="s">
        <v>1536</v>
      </c>
      <c r="H411" s="157" t="s">
        <v>1287</v>
      </c>
      <c r="I411" s="157" t="s">
        <v>1406</v>
      </c>
      <c r="J411" s="157" t="s">
        <v>1455</v>
      </c>
      <c r="K411" s="157" t="s">
        <v>1269</v>
      </c>
      <c r="L411" s="157" t="s">
        <v>8480</v>
      </c>
      <c r="M411" s="157" t="str">
        <f t="shared" si="14"/>
        <v>Taillamp Assy' LED Right - Tailgate - Rear Lamps R</v>
      </c>
      <c r="N411" s="164"/>
      <c r="O411" s="165"/>
      <c r="P411" s="159" t="s">
        <v>4702</v>
      </c>
      <c r="Q411" s="157"/>
      <c r="R411" s="157"/>
      <c r="S411" s="157"/>
      <c r="T411" s="157"/>
      <c r="U411" s="159" t="s">
        <v>2129</v>
      </c>
      <c r="V411" s="159" t="s">
        <v>2138</v>
      </c>
      <c r="W411" s="159" t="s">
        <v>2129</v>
      </c>
      <c r="X411" s="160">
        <v>0.1</v>
      </c>
      <c r="Y411" s="160">
        <v>0.03</v>
      </c>
      <c r="Z411" s="160">
        <v>0.39</v>
      </c>
      <c r="AA411" s="160">
        <v>0.33</v>
      </c>
    </row>
    <row r="412" spans="1:27" ht="18" customHeight="1" x14ac:dyDescent="0.25">
      <c r="A412" s="166">
        <v>416</v>
      </c>
      <c r="B412" s="157" t="s">
        <v>29</v>
      </c>
      <c r="C412" s="157" t="s">
        <v>30</v>
      </c>
      <c r="D412" s="159" t="s">
        <v>34</v>
      </c>
      <c r="E412" s="157" t="s">
        <v>404</v>
      </c>
      <c r="F412" s="157" t="s">
        <v>1275</v>
      </c>
      <c r="G412" s="157" t="s">
        <v>1536</v>
      </c>
      <c r="H412" s="157" t="s">
        <v>1287</v>
      </c>
      <c r="I412" s="157" t="s">
        <v>1406</v>
      </c>
      <c r="J412" s="157" t="s">
        <v>1455</v>
      </c>
      <c r="K412" s="157" t="s">
        <v>1269</v>
      </c>
      <c r="L412" s="157" t="s">
        <v>8480</v>
      </c>
      <c r="M412" s="157" t="str">
        <f t="shared" si="14"/>
        <v>Taillamp Assy' LED Right - Tailgate - Rear Lamps R</v>
      </c>
      <c r="N412" s="164"/>
      <c r="O412" s="165"/>
      <c r="P412" s="159" t="s">
        <v>4702</v>
      </c>
      <c r="Q412" s="157"/>
      <c r="R412" s="157"/>
      <c r="S412" s="157"/>
      <c r="T412" s="157"/>
      <c r="U412" s="159" t="s">
        <v>2129</v>
      </c>
      <c r="V412" s="159" t="s">
        <v>2138</v>
      </c>
      <c r="W412" s="159" t="s">
        <v>2129</v>
      </c>
      <c r="X412" s="160">
        <v>0.1</v>
      </c>
      <c r="Y412" s="160">
        <v>0.03</v>
      </c>
      <c r="Z412" s="160">
        <v>0.39</v>
      </c>
      <c r="AA412" s="160">
        <v>0.33</v>
      </c>
    </row>
    <row r="413" spans="1:27" ht="18" customHeight="1" x14ac:dyDescent="0.25">
      <c r="A413" s="166">
        <v>416</v>
      </c>
      <c r="B413" s="157" t="s">
        <v>29</v>
      </c>
      <c r="C413" s="157" t="s">
        <v>30</v>
      </c>
      <c r="D413" s="159" t="s">
        <v>408</v>
      </c>
      <c r="E413" s="157" t="s">
        <v>406</v>
      </c>
      <c r="F413" s="157" t="s">
        <v>1264</v>
      </c>
      <c r="G413" s="157" t="s">
        <v>1536</v>
      </c>
      <c r="H413" s="157" t="s">
        <v>1287</v>
      </c>
      <c r="I413" s="157" t="s">
        <v>1406</v>
      </c>
      <c r="J413" s="157" t="s">
        <v>1455</v>
      </c>
      <c r="K413" s="157" t="s">
        <v>1269</v>
      </c>
      <c r="L413" s="157" t="s">
        <v>8480</v>
      </c>
      <c r="M413" s="157" t="str">
        <f t="shared" si="14"/>
        <v>Taillamp Assy' LED Right - Tailgate - Rear Lamps R</v>
      </c>
      <c r="N413" s="164"/>
      <c r="O413" s="165"/>
      <c r="P413" s="159" t="s">
        <v>4702</v>
      </c>
      <c r="Q413" s="157"/>
      <c r="R413" s="157"/>
      <c r="S413" s="157"/>
      <c r="T413" s="157"/>
      <c r="U413" s="159" t="s">
        <v>2129</v>
      </c>
      <c r="V413" s="159" t="s">
        <v>2138</v>
      </c>
      <c r="W413" s="159" t="s">
        <v>2129</v>
      </c>
      <c r="X413" s="160">
        <v>0.1</v>
      </c>
      <c r="Y413" s="160">
        <v>0.03</v>
      </c>
      <c r="Z413" s="160">
        <v>0.39</v>
      </c>
      <c r="AA413" s="160">
        <v>0.33</v>
      </c>
    </row>
    <row r="414" spans="1:27" ht="18" customHeight="1" x14ac:dyDescent="0.25">
      <c r="A414" s="166">
        <v>416</v>
      </c>
      <c r="B414" s="157" t="s">
        <v>29</v>
      </c>
      <c r="C414" s="157" t="s">
        <v>30</v>
      </c>
      <c r="D414" s="159" t="s">
        <v>573</v>
      </c>
      <c r="E414" s="157" t="s">
        <v>574</v>
      </c>
      <c r="F414" s="159"/>
      <c r="G414" s="157" t="s">
        <v>1536</v>
      </c>
      <c r="H414" s="157" t="s">
        <v>1287</v>
      </c>
      <c r="I414" s="157" t="s">
        <v>1406</v>
      </c>
      <c r="J414" s="157" t="s">
        <v>1455</v>
      </c>
      <c r="K414" s="157" t="s">
        <v>1269</v>
      </c>
      <c r="L414" s="157" t="s">
        <v>8480</v>
      </c>
      <c r="M414" s="157" t="str">
        <f t="shared" si="14"/>
        <v>Taillamp Assy' LED Right - Tailgate - Rear Lamps R</v>
      </c>
      <c r="N414" s="164"/>
      <c r="O414" s="165"/>
      <c r="P414" s="159" t="s">
        <v>4702</v>
      </c>
      <c r="Q414" s="157"/>
      <c r="R414" s="157"/>
      <c r="S414" s="157"/>
      <c r="T414" s="157"/>
      <c r="U414" s="159" t="s">
        <v>2129</v>
      </c>
      <c r="V414" s="159" t="s">
        <v>2138</v>
      </c>
      <c r="W414" s="159" t="s">
        <v>2129</v>
      </c>
      <c r="X414" s="160">
        <v>0.1</v>
      </c>
      <c r="Y414" s="160">
        <v>0.03</v>
      </c>
      <c r="Z414" s="160">
        <v>0.39</v>
      </c>
      <c r="AA414" s="160">
        <v>0.33</v>
      </c>
    </row>
    <row r="415" spans="1:27" ht="18" customHeight="1" x14ac:dyDescent="0.25">
      <c r="A415" s="166">
        <v>416</v>
      </c>
      <c r="B415" s="157" t="s">
        <v>251</v>
      </c>
      <c r="C415" s="157" t="s">
        <v>366</v>
      </c>
      <c r="D415" s="159" t="s">
        <v>494</v>
      </c>
      <c r="E415" s="157" t="s">
        <v>492</v>
      </c>
      <c r="F415" s="157" t="s">
        <v>1275</v>
      </c>
      <c r="G415" s="157" t="s">
        <v>1536</v>
      </c>
      <c r="H415" s="157" t="s">
        <v>1287</v>
      </c>
      <c r="I415" s="157" t="s">
        <v>1406</v>
      </c>
      <c r="J415" s="157" t="s">
        <v>1455</v>
      </c>
      <c r="K415" s="157" t="s">
        <v>1269</v>
      </c>
      <c r="L415" s="157" t="s">
        <v>8480</v>
      </c>
      <c r="M415" s="157" t="str">
        <f t="shared" si="14"/>
        <v>Taillamp Assy' LED Right - Tailgate - Rear Lamps R</v>
      </c>
      <c r="N415" s="164"/>
      <c r="O415" s="165"/>
      <c r="P415" s="159" t="s">
        <v>4702</v>
      </c>
      <c r="Q415" s="157"/>
      <c r="R415" s="157"/>
      <c r="S415" s="157"/>
      <c r="T415" s="157"/>
      <c r="U415" s="159" t="s">
        <v>2129</v>
      </c>
      <c r="V415" s="159" t="s">
        <v>2138</v>
      </c>
      <c r="W415" s="159" t="s">
        <v>2129</v>
      </c>
      <c r="X415" s="160">
        <v>0.1</v>
      </c>
      <c r="Y415" s="160">
        <v>0.03</v>
      </c>
      <c r="Z415" s="160">
        <v>0.39</v>
      </c>
      <c r="AA415" s="160">
        <v>0.33</v>
      </c>
    </row>
    <row r="416" spans="1:27" ht="18" customHeight="1" x14ac:dyDescent="0.25">
      <c r="A416" s="159">
        <v>417</v>
      </c>
      <c r="B416" s="157" t="s">
        <v>29</v>
      </c>
      <c r="C416" s="157" t="s">
        <v>82</v>
      </c>
      <c r="D416" s="159" t="s">
        <v>230</v>
      </c>
      <c r="E416" s="157" t="s">
        <v>228</v>
      </c>
      <c r="F416" s="157" t="s">
        <v>1275</v>
      </c>
      <c r="G416" s="157" t="s">
        <v>1278</v>
      </c>
      <c r="H416" s="157" t="s">
        <v>1294</v>
      </c>
      <c r="I416" s="157" t="s">
        <v>1453</v>
      </c>
      <c r="J416" s="157" t="s">
        <v>1343</v>
      </c>
      <c r="K416" s="157" t="s">
        <v>1269</v>
      </c>
      <c r="L416" s="157" t="s">
        <v>1454</v>
      </c>
      <c r="M416" s="157" t="str">
        <f t="shared" si="14"/>
        <v>Buzzer - Tailgate Open and Close Warning</v>
      </c>
      <c r="N416" s="157"/>
      <c r="O416" s="157"/>
      <c r="P416" s="159" t="s">
        <v>4796</v>
      </c>
      <c r="Q416" s="74" t="s">
        <v>2115</v>
      </c>
      <c r="R416" s="74" t="s">
        <v>2141</v>
      </c>
      <c r="S416" s="74" t="s">
        <v>8608</v>
      </c>
      <c r="T416" s="157"/>
      <c r="U416" s="159" t="s">
        <v>2129</v>
      </c>
      <c r="V416" s="159" t="s">
        <v>2138</v>
      </c>
      <c r="W416" s="159" t="s">
        <v>2138</v>
      </c>
      <c r="X416" s="160">
        <v>0</v>
      </c>
      <c r="Y416" s="160">
        <v>0</v>
      </c>
      <c r="Z416" s="160">
        <v>0</v>
      </c>
      <c r="AA416" s="160">
        <v>0</v>
      </c>
    </row>
    <row r="417" spans="1:27" ht="18" customHeight="1" x14ac:dyDescent="0.25">
      <c r="A417" s="159">
        <v>418</v>
      </c>
      <c r="B417" s="157" t="s">
        <v>29</v>
      </c>
      <c r="C417" s="157" t="s">
        <v>30</v>
      </c>
      <c r="D417" s="159" t="s">
        <v>181</v>
      </c>
      <c r="E417" s="157" t="s">
        <v>179</v>
      </c>
      <c r="F417" s="157" t="s">
        <v>1264</v>
      </c>
      <c r="G417" s="157" t="s">
        <v>1536</v>
      </c>
      <c r="H417" s="157" t="s">
        <v>1287</v>
      </c>
      <c r="I417" s="157" t="s">
        <v>8317</v>
      </c>
      <c r="J417" s="157" t="s">
        <v>1455</v>
      </c>
      <c r="K417" s="157" t="s">
        <v>1269</v>
      </c>
      <c r="L417" s="157" t="s">
        <v>1286</v>
      </c>
      <c r="M417" s="157" t="str">
        <f t="shared" si="14"/>
        <v>LED Lamp - License Plate Lamp Left</v>
      </c>
      <c r="N417" s="157"/>
      <c r="O417" s="157"/>
      <c r="P417" s="159" t="s">
        <v>6100</v>
      </c>
      <c r="Q417" s="157"/>
      <c r="R417" s="157"/>
      <c r="S417" s="157"/>
      <c r="T417" s="157"/>
      <c r="U417" s="159" t="s">
        <v>2129</v>
      </c>
      <c r="V417" s="159" t="s">
        <v>2138</v>
      </c>
      <c r="W417" s="159" t="s">
        <v>2129</v>
      </c>
      <c r="X417" s="160">
        <v>0</v>
      </c>
      <c r="Y417" s="160">
        <v>0</v>
      </c>
      <c r="Z417" s="160">
        <v>1</v>
      </c>
      <c r="AA417" s="160">
        <v>1</v>
      </c>
    </row>
    <row r="418" spans="1:27" ht="18" customHeight="1" x14ac:dyDescent="0.25">
      <c r="A418" s="159">
        <v>418</v>
      </c>
      <c r="B418" s="157" t="s">
        <v>29</v>
      </c>
      <c r="C418" s="157" t="s">
        <v>30</v>
      </c>
      <c r="D418" s="159" t="s">
        <v>181</v>
      </c>
      <c r="E418" s="157" t="s">
        <v>179</v>
      </c>
      <c r="F418" s="157" t="s">
        <v>1264</v>
      </c>
      <c r="G418" s="157" t="s">
        <v>1536</v>
      </c>
      <c r="H418" s="157" t="s">
        <v>1287</v>
      </c>
      <c r="I418" s="157" t="s">
        <v>9756</v>
      </c>
      <c r="J418" s="157" t="s">
        <v>1455</v>
      </c>
      <c r="K418" s="157" t="s">
        <v>1269</v>
      </c>
      <c r="L418" s="157" t="s">
        <v>9753</v>
      </c>
      <c r="M418" s="157" t="str">
        <f t="shared" si="14"/>
        <v>License Plate Assy' LED Lamp - Position Lamp Left</v>
      </c>
      <c r="N418" s="157"/>
      <c r="O418" s="157"/>
      <c r="P418" s="159" t="s">
        <v>6100</v>
      </c>
      <c r="Q418" s="157"/>
      <c r="R418" s="157"/>
      <c r="S418" s="157"/>
      <c r="T418" s="157"/>
      <c r="U418" s="159" t="s">
        <v>2129</v>
      </c>
      <c r="V418" s="159" t="s">
        <v>2138</v>
      </c>
      <c r="W418" s="159" t="s">
        <v>2129</v>
      </c>
      <c r="X418" s="160">
        <v>0</v>
      </c>
      <c r="Y418" s="160">
        <v>0</v>
      </c>
      <c r="Z418" s="160">
        <v>1</v>
      </c>
      <c r="AA418" s="160">
        <v>1</v>
      </c>
    </row>
    <row r="419" spans="1:27" ht="18" customHeight="1" x14ac:dyDescent="0.25">
      <c r="A419" s="159">
        <v>419</v>
      </c>
      <c r="B419" s="157" t="s">
        <v>29</v>
      </c>
      <c r="C419" s="157" t="s">
        <v>30</v>
      </c>
      <c r="D419" s="159" t="s">
        <v>181</v>
      </c>
      <c r="E419" s="157" t="s">
        <v>179</v>
      </c>
      <c r="F419" s="157" t="s">
        <v>1264</v>
      </c>
      <c r="G419" s="157" t="s">
        <v>1536</v>
      </c>
      <c r="H419" s="157" t="s">
        <v>1287</v>
      </c>
      <c r="I419" s="157" t="s">
        <v>8318</v>
      </c>
      <c r="J419" s="157" t="s">
        <v>1455</v>
      </c>
      <c r="K419" s="157" t="s">
        <v>1269</v>
      </c>
      <c r="L419" s="157" t="s">
        <v>1286</v>
      </c>
      <c r="M419" s="157" t="str">
        <f t="shared" si="14"/>
        <v>LED Lamp - License Plate Lamp Right</v>
      </c>
      <c r="N419" s="157"/>
      <c r="O419" s="157"/>
      <c r="P419" s="159" t="s">
        <v>5542</v>
      </c>
      <c r="Q419" s="157"/>
      <c r="R419" s="157"/>
      <c r="S419" s="157"/>
      <c r="T419" s="157"/>
      <c r="U419" s="159" t="s">
        <v>2129</v>
      </c>
      <c r="V419" s="159" t="s">
        <v>2138</v>
      </c>
      <c r="W419" s="159" t="s">
        <v>2129</v>
      </c>
      <c r="X419" s="160">
        <v>0</v>
      </c>
      <c r="Y419" s="160">
        <v>0</v>
      </c>
      <c r="Z419" s="160">
        <v>1</v>
      </c>
      <c r="AA419" s="160">
        <v>1</v>
      </c>
    </row>
    <row r="420" spans="1:27" ht="18" customHeight="1" x14ac:dyDescent="0.25">
      <c r="A420" s="159">
        <v>419</v>
      </c>
      <c r="B420" s="157" t="s">
        <v>29</v>
      </c>
      <c r="C420" s="157" t="s">
        <v>30</v>
      </c>
      <c r="D420" s="159" t="s">
        <v>181</v>
      </c>
      <c r="E420" s="157" t="s">
        <v>179</v>
      </c>
      <c r="F420" s="157" t="s">
        <v>1264</v>
      </c>
      <c r="G420" s="157" t="s">
        <v>1536</v>
      </c>
      <c r="H420" s="157" t="s">
        <v>1287</v>
      </c>
      <c r="I420" s="157" t="s">
        <v>9755</v>
      </c>
      <c r="J420" s="157" t="s">
        <v>1455</v>
      </c>
      <c r="K420" s="157" t="s">
        <v>1269</v>
      </c>
      <c r="L420" s="157" t="s">
        <v>9753</v>
      </c>
      <c r="M420" s="157" t="str">
        <f t="shared" si="14"/>
        <v>License Plate Assy' LED Lamp - Position Lamp Right</v>
      </c>
      <c r="N420" s="157"/>
      <c r="O420" s="157"/>
      <c r="P420" s="159" t="s">
        <v>5542</v>
      </c>
      <c r="Q420" s="157"/>
      <c r="R420" s="157"/>
      <c r="S420" s="157"/>
      <c r="T420" s="157"/>
      <c r="U420" s="159" t="s">
        <v>2129</v>
      </c>
      <c r="V420" s="159" t="s">
        <v>2138</v>
      </c>
      <c r="W420" s="159" t="s">
        <v>2129</v>
      </c>
      <c r="X420" s="160">
        <v>0</v>
      </c>
      <c r="Y420" s="160">
        <v>0</v>
      </c>
      <c r="Z420" s="160">
        <v>1</v>
      </c>
      <c r="AA420" s="160">
        <v>1</v>
      </c>
    </row>
    <row r="421" spans="1:27" ht="18" customHeight="1" x14ac:dyDescent="0.25">
      <c r="A421" s="159">
        <v>420</v>
      </c>
      <c r="B421" s="157" t="s">
        <v>280</v>
      </c>
      <c r="C421" s="157" t="s">
        <v>463</v>
      </c>
      <c r="D421" s="159" t="s">
        <v>466</v>
      </c>
      <c r="E421" s="157" t="s">
        <v>464</v>
      </c>
      <c r="F421" s="157" t="s">
        <v>1264</v>
      </c>
      <c r="G421" s="157" t="s">
        <v>1265</v>
      </c>
      <c r="H421" s="157" t="s">
        <v>1271</v>
      </c>
      <c r="I421" s="157" t="s">
        <v>1456</v>
      </c>
      <c r="J421" s="157" t="s">
        <v>1285</v>
      </c>
      <c r="K421" s="157" t="s">
        <v>1457</v>
      </c>
      <c r="L421" s="157" t="s">
        <v>1457</v>
      </c>
      <c r="M421" s="157" t="str">
        <f t="shared" si="14"/>
        <v>Noise Filter - Radio Receiving</v>
      </c>
      <c r="N421" s="157"/>
      <c r="O421" s="157"/>
      <c r="P421" s="159"/>
      <c r="Q421" s="157"/>
      <c r="R421" s="157"/>
      <c r="S421" s="157"/>
      <c r="T421" s="157"/>
      <c r="U421" s="159"/>
      <c r="V421" s="159"/>
      <c r="W421" s="159"/>
      <c r="X421" s="160"/>
      <c r="Y421" s="160"/>
      <c r="Z421" s="160"/>
      <c r="AA421" s="160"/>
    </row>
    <row r="422" spans="1:27" ht="18" customHeight="1" x14ac:dyDescent="0.25">
      <c r="A422" s="159">
        <v>422</v>
      </c>
      <c r="B422" s="157" t="s">
        <v>29</v>
      </c>
      <c r="C422" s="157" t="s">
        <v>82</v>
      </c>
      <c r="D422" s="159" t="s">
        <v>230</v>
      </c>
      <c r="E422" s="157" t="s">
        <v>228</v>
      </c>
      <c r="F422" s="157" t="s">
        <v>1275</v>
      </c>
      <c r="G422" s="157" t="s">
        <v>1278</v>
      </c>
      <c r="H422" s="157" t="s">
        <v>1294</v>
      </c>
      <c r="I422" s="157" t="s">
        <v>8698</v>
      </c>
      <c r="J422" s="157" t="s">
        <v>1343</v>
      </c>
      <c r="K422" s="157" t="s">
        <v>1281</v>
      </c>
      <c r="L422" s="157" t="s">
        <v>1282</v>
      </c>
      <c r="M422" s="157" t="str">
        <f t="shared" si="14"/>
        <v>User Selector - Tailgate Opening and Closing External Command (Virtual Pedal)</v>
      </c>
      <c r="N422" s="157"/>
      <c r="O422" s="157"/>
      <c r="P422" s="159" t="s">
        <v>5821</v>
      </c>
      <c r="Q422" s="74" t="s">
        <v>2115</v>
      </c>
      <c r="R422" s="74" t="s">
        <v>8699</v>
      </c>
      <c r="S422" s="74" t="s">
        <v>8700</v>
      </c>
      <c r="T422" s="157"/>
      <c r="U422" s="159" t="s">
        <v>2129</v>
      </c>
      <c r="V422" s="159" t="s">
        <v>2129</v>
      </c>
      <c r="W422" s="159" t="s">
        <v>2138</v>
      </c>
      <c r="X422" s="160">
        <v>0</v>
      </c>
      <c r="Y422" s="160">
        <v>0</v>
      </c>
      <c r="Z422" s="160">
        <v>0</v>
      </c>
      <c r="AA422" s="160">
        <v>0</v>
      </c>
    </row>
    <row r="423" spans="1:27" ht="18" customHeight="1" x14ac:dyDescent="0.25">
      <c r="A423" s="159">
        <v>424</v>
      </c>
      <c r="B423" s="157" t="s">
        <v>280</v>
      </c>
      <c r="C423" s="157" t="s">
        <v>463</v>
      </c>
      <c r="D423" s="159" t="s">
        <v>466</v>
      </c>
      <c r="E423" s="157" t="s">
        <v>464</v>
      </c>
      <c r="F423" s="157" t="s">
        <v>1264</v>
      </c>
      <c r="G423" s="157" t="s">
        <v>1265</v>
      </c>
      <c r="H423" s="157" t="s">
        <v>1458</v>
      </c>
      <c r="I423" s="157" t="s">
        <v>1456</v>
      </c>
      <c r="J423" s="157"/>
      <c r="K423" s="157" t="s">
        <v>1409</v>
      </c>
      <c r="L423" s="157" t="s">
        <v>9589</v>
      </c>
      <c r="M423" s="157" t="str">
        <f t="shared" si="14"/>
        <v>FM Antenna (w/ Amplifier) - Radio Receiving</v>
      </c>
      <c r="N423" s="157"/>
      <c r="O423" s="157"/>
      <c r="P423" s="159" t="s">
        <v>7231</v>
      </c>
      <c r="Q423" s="157" t="s">
        <v>2115</v>
      </c>
      <c r="R423" s="157" t="s">
        <v>8239</v>
      </c>
      <c r="S423" s="157" t="s">
        <v>8604</v>
      </c>
      <c r="T423" s="157"/>
      <c r="U423" s="159" t="s">
        <v>2129</v>
      </c>
      <c r="V423" s="159" t="s">
        <v>2129</v>
      </c>
      <c r="W423" s="159" t="s">
        <v>2138</v>
      </c>
      <c r="X423" s="160">
        <v>1</v>
      </c>
      <c r="Y423" s="160">
        <v>1</v>
      </c>
      <c r="Z423" s="160">
        <v>1</v>
      </c>
      <c r="AA423" s="160">
        <v>1</v>
      </c>
    </row>
    <row r="424" spans="1:27" ht="18" customHeight="1" x14ac:dyDescent="0.25">
      <c r="A424" s="159">
        <v>489</v>
      </c>
      <c r="B424" s="157" t="s">
        <v>199</v>
      </c>
      <c r="C424" s="157" t="s">
        <v>468</v>
      </c>
      <c r="D424" s="159" t="s">
        <v>471</v>
      </c>
      <c r="E424" s="157" t="s">
        <v>469</v>
      </c>
      <c r="F424" s="157" t="s">
        <v>1264</v>
      </c>
      <c r="G424" s="157" t="s">
        <v>13</v>
      </c>
      <c r="H424" s="157" t="s">
        <v>1459</v>
      </c>
      <c r="I424" s="157" t="s">
        <v>9565</v>
      </c>
      <c r="J424" s="157"/>
      <c r="K424" s="157" t="s">
        <v>9563</v>
      </c>
      <c r="L424" s="157" t="s">
        <v>9619</v>
      </c>
      <c r="M424" s="157" t="str">
        <f t="shared" si="14"/>
        <v>48V-12V DC/DC Converter - 12V Boardnet Supply</v>
      </c>
      <c r="N424" s="157"/>
      <c r="O424" s="157"/>
      <c r="P424" s="159" t="s">
        <v>5247</v>
      </c>
      <c r="Q424" s="157" t="s">
        <v>2115</v>
      </c>
      <c r="R424" s="157" t="s">
        <v>8276</v>
      </c>
      <c r="S424" s="157" t="s">
        <v>8275</v>
      </c>
      <c r="T424" s="157"/>
      <c r="U424" s="159" t="s">
        <v>2129</v>
      </c>
      <c r="V424" s="159" t="s">
        <v>2138</v>
      </c>
      <c r="W424" s="159" t="s">
        <v>2138</v>
      </c>
      <c r="X424" s="160">
        <v>0.6</v>
      </c>
      <c r="Y424" s="160">
        <v>0.8</v>
      </c>
      <c r="Z424" s="160">
        <v>0.9</v>
      </c>
      <c r="AA424" s="160">
        <v>0.7</v>
      </c>
    </row>
    <row r="425" spans="1:27" ht="18" customHeight="1" x14ac:dyDescent="0.25">
      <c r="A425" s="159">
        <v>490</v>
      </c>
      <c r="B425" s="157" t="s">
        <v>318</v>
      </c>
      <c r="C425" s="157" t="s">
        <v>371</v>
      </c>
      <c r="D425" s="83" t="s">
        <v>709</v>
      </c>
      <c r="E425" s="158" t="s">
        <v>707</v>
      </c>
      <c r="F425" s="157"/>
      <c r="G425" s="157" t="s">
        <v>13</v>
      </c>
      <c r="H425" s="157" t="s">
        <v>1459</v>
      </c>
      <c r="I425" s="157" t="s">
        <v>9564</v>
      </c>
      <c r="J425" s="157"/>
      <c r="K425" s="157" t="s">
        <v>9563</v>
      </c>
      <c r="L425" s="157" t="s">
        <v>9620</v>
      </c>
      <c r="M425" s="157" t="str">
        <f t="shared" si="14"/>
        <v>HV-48V DC/DC Converter - 48V Boardnet Supply</v>
      </c>
      <c r="N425" s="157"/>
      <c r="O425" s="157"/>
      <c r="P425" s="159" t="s">
        <v>5247</v>
      </c>
      <c r="Q425" s="157"/>
      <c r="R425" s="157"/>
      <c r="S425" s="157"/>
      <c r="T425" s="157"/>
      <c r="U425" s="159" t="s">
        <v>2129</v>
      </c>
      <c r="V425" s="159" t="s">
        <v>2129</v>
      </c>
      <c r="W425" s="159" t="s">
        <v>2138</v>
      </c>
      <c r="X425" s="160">
        <v>0.6</v>
      </c>
      <c r="Y425" s="160">
        <v>0.8</v>
      </c>
      <c r="Z425" s="160">
        <v>0.9</v>
      </c>
      <c r="AA425" s="160">
        <v>0.7</v>
      </c>
    </row>
    <row r="426" spans="1:27" ht="18" customHeight="1" x14ac:dyDescent="0.25">
      <c r="A426" s="159">
        <v>491</v>
      </c>
      <c r="B426" s="157" t="s">
        <v>318</v>
      </c>
      <c r="C426" s="157" t="s">
        <v>371</v>
      </c>
      <c r="D426" s="83" t="s">
        <v>709</v>
      </c>
      <c r="E426" s="158" t="s">
        <v>707</v>
      </c>
      <c r="F426" s="157"/>
      <c r="G426" s="157" t="s">
        <v>13</v>
      </c>
      <c r="H426" s="157" t="s">
        <v>1459</v>
      </c>
      <c r="I426" s="157" t="s">
        <v>9565</v>
      </c>
      <c r="J426" s="157"/>
      <c r="K426" s="157" t="s">
        <v>9563</v>
      </c>
      <c r="L426" s="157" t="s">
        <v>9621</v>
      </c>
      <c r="M426" s="157" t="str">
        <f t="shared" si="14"/>
        <v>HV-12V DC/DC Converter - 12V Boardnet Supply</v>
      </c>
      <c r="N426" s="157"/>
      <c r="O426" s="157"/>
      <c r="P426" s="159" t="s">
        <v>5247</v>
      </c>
      <c r="Q426" s="157" t="s">
        <v>2115</v>
      </c>
      <c r="R426" s="157" t="s">
        <v>8276</v>
      </c>
      <c r="S426" s="157" t="s">
        <v>8275</v>
      </c>
      <c r="T426" s="157"/>
      <c r="U426" s="159" t="s">
        <v>2129</v>
      </c>
      <c r="V426" s="159" t="s">
        <v>2129</v>
      </c>
      <c r="W426" s="159" t="s">
        <v>2129</v>
      </c>
      <c r="X426" s="160">
        <v>0.6</v>
      </c>
      <c r="Y426" s="160">
        <v>0.8</v>
      </c>
      <c r="Z426" s="160">
        <v>0.9</v>
      </c>
      <c r="AA426" s="160">
        <v>0.7</v>
      </c>
    </row>
    <row r="427" spans="1:27" ht="18" customHeight="1" x14ac:dyDescent="0.25">
      <c r="A427" s="159">
        <v>508</v>
      </c>
      <c r="B427" s="157" t="s">
        <v>29</v>
      </c>
      <c r="C427" s="157" t="s">
        <v>30</v>
      </c>
      <c r="D427" s="159" t="s">
        <v>174</v>
      </c>
      <c r="E427" s="157" t="s">
        <v>172</v>
      </c>
      <c r="F427" s="157" t="s">
        <v>1264</v>
      </c>
      <c r="G427" s="157" t="s">
        <v>1299</v>
      </c>
      <c r="H427" s="157" t="s">
        <v>1326</v>
      </c>
      <c r="I427" s="157" t="s">
        <v>1462</v>
      </c>
      <c r="J427" s="157" t="s">
        <v>1285</v>
      </c>
      <c r="K427" s="157" t="s">
        <v>1312</v>
      </c>
      <c r="L427" s="157" t="s">
        <v>1463</v>
      </c>
      <c r="M427" s="157" t="str">
        <f t="shared" si="14"/>
        <v>Wheel Speed Sensor FL - Wheel Speed</v>
      </c>
      <c r="N427" s="157"/>
      <c r="O427" s="157"/>
      <c r="P427" s="159" t="s">
        <v>7538</v>
      </c>
      <c r="Q427" s="157" t="s">
        <v>2115</v>
      </c>
      <c r="R427" s="157" t="s">
        <v>2130</v>
      </c>
      <c r="S427" s="157" t="s">
        <v>8609</v>
      </c>
      <c r="T427" s="157" t="s">
        <v>2129</v>
      </c>
      <c r="U427" s="159" t="s">
        <v>2138</v>
      </c>
      <c r="V427" s="159" t="s">
        <v>2138</v>
      </c>
      <c r="W427" s="159" t="s">
        <v>2138</v>
      </c>
      <c r="X427" s="160">
        <v>1</v>
      </c>
      <c r="Y427" s="160">
        <v>1</v>
      </c>
      <c r="Z427" s="160">
        <v>1</v>
      </c>
      <c r="AA427" s="160">
        <v>1</v>
      </c>
    </row>
    <row r="428" spans="1:27" ht="18" customHeight="1" x14ac:dyDescent="0.25">
      <c r="A428" s="159">
        <v>508</v>
      </c>
      <c r="B428" s="157" t="s">
        <v>63</v>
      </c>
      <c r="C428" s="157" t="s">
        <v>64</v>
      </c>
      <c r="D428" s="159" t="s">
        <v>651</v>
      </c>
      <c r="E428" s="157" t="s">
        <v>649</v>
      </c>
      <c r="F428" s="157"/>
      <c r="G428" s="157" t="s">
        <v>1299</v>
      </c>
      <c r="H428" s="157" t="s">
        <v>1326</v>
      </c>
      <c r="I428" s="157" t="s">
        <v>1462</v>
      </c>
      <c r="J428" s="157" t="s">
        <v>1285</v>
      </c>
      <c r="K428" s="157" t="s">
        <v>1312</v>
      </c>
      <c r="L428" s="157" t="s">
        <v>1463</v>
      </c>
      <c r="M428" s="157" t="str">
        <f t="shared" si="14"/>
        <v>Wheel Speed Sensor FL - Wheel Speed</v>
      </c>
      <c r="N428" s="157"/>
      <c r="O428" s="157"/>
      <c r="P428" s="159" t="s">
        <v>7538</v>
      </c>
      <c r="Q428" s="157" t="s">
        <v>2115</v>
      </c>
      <c r="R428" s="157" t="s">
        <v>2130</v>
      </c>
      <c r="S428" s="157" t="s">
        <v>8609</v>
      </c>
      <c r="T428" s="157" t="s">
        <v>2129</v>
      </c>
      <c r="U428" s="159" t="s">
        <v>2138</v>
      </c>
      <c r="V428" s="159" t="s">
        <v>2138</v>
      </c>
      <c r="W428" s="159" t="s">
        <v>2138</v>
      </c>
      <c r="X428" s="160">
        <v>1</v>
      </c>
      <c r="Y428" s="160">
        <v>1</v>
      </c>
      <c r="Z428" s="160">
        <v>1</v>
      </c>
      <c r="AA428" s="160">
        <v>1</v>
      </c>
    </row>
    <row r="429" spans="1:27" ht="18" customHeight="1" x14ac:dyDescent="0.25">
      <c r="A429" s="159">
        <v>508</v>
      </c>
      <c r="B429" s="157" t="s">
        <v>63</v>
      </c>
      <c r="C429" s="157" t="s">
        <v>64</v>
      </c>
      <c r="D429" s="159" t="s">
        <v>770</v>
      </c>
      <c r="E429" s="157" t="s">
        <v>768</v>
      </c>
      <c r="F429" s="157" t="s">
        <v>1275</v>
      </c>
      <c r="G429" s="157" t="s">
        <v>1299</v>
      </c>
      <c r="H429" s="157" t="s">
        <v>1326</v>
      </c>
      <c r="I429" s="157" t="s">
        <v>1462</v>
      </c>
      <c r="J429" s="157" t="s">
        <v>1285</v>
      </c>
      <c r="K429" s="157" t="s">
        <v>1312</v>
      </c>
      <c r="L429" s="157" t="s">
        <v>1463</v>
      </c>
      <c r="M429" s="157" t="str">
        <f t="shared" si="14"/>
        <v>Wheel Speed Sensor FL - Wheel Speed</v>
      </c>
      <c r="N429" s="157"/>
      <c r="O429" s="157"/>
      <c r="P429" s="159" t="s">
        <v>7538</v>
      </c>
      <c r="Q429" s="157" t="s">
        <v>2115</v>
      </c>
      <c r="R429" s="157" t="s">
        <v>2130</v>
      </c>
      <c r="S429" s="157" t="s">
        <v>8609</v>
      </c>
      <c r="T429" s="157" t="s">
        <v>2129</v>
      </c>
      <c r="U429" s="159" t="s">
        <v>2138</v>
      </c>
      <c r="V429" s="159" t="s">
        <v>2138</v>
      </c>
      <c r="W429" s="159" t="s">
        <v>2138</v>
      </c>
      <c r="X429" s="160">
        <v>1</v>
      </c>
      <c r="Y429" s="160">
        <v>1</v>
      </c>
      <c r="Z429" s="160">
        <v>1</v>
      </c>
      <c r="AA429" s="160">
        <v>1</v>
      </c>
    </row>
    <row r="430" spans="1:27" ht="18" customHeight="1" x14ac:dyDescent="0.25">
      <c r="A430" s="159">
        <v>508</v>
      </c>
      <c r="B430" s="157" t="s">
        <v>256</v>
      </c>
      <c r="C430" s="157" t="s">
        <v>532</v>
      </c>
      <c r="D430" s="159" t="s">
        <v>535</v>
      </c>
      <c r="E430" s="157" t="s">
        <v>533</v>
      </c>
      <c r="F430" s="157"/>
      <c r="G430" s="157" t="s">
        <v>1299</v>
      </c>
      <c r="H430" s="157" t="s">
        <v>1326</v>
      </c>
      <c r="I430" s="157" t="s">
        <v>1462</v>
      </c>
      <c r="J430" s="157" t="s">
        <v>1285</v>
      </c>
      <c r="K430" s="157" t="s">
        <v>1312</v>
      </c>
      <c r="L430" s="157" t="s">
        <v>1463</v>
      </c>
      <c r="M430" s="157" t="str">
        <f t="shared" si="14"/>
        <v>Wheel Speed Sensor FL - Wheel Speed</v>
      </c>
      <c r="N430" s="157"/>
      <c r="O430" s="157"/>
      <c r="P430" s="159" t="s">
        <v>7538</v>
      </c>
      <c r="Q430" s="157" t="s">
        <v>2115</v>
      </c>
      <c r="R430" s="157" t="s">
        <v>2130</v>
      </c>
      <c r="S430" s="157" t="s">
        <v>8609</v>
      </c>
      <c r="T430" s="157" t="s">
        <v>2129</v>
      </c>
      <c r="U430" s="159" t="s">
        <v>2138</v>
      </c>
      <c r="V430" s="159" t="s">
        <v>2138</v>
      </c>
      <c r="W430" s="159" t="s">
        <v>2138</v>
      </c>
      <c r="X430" s="160">
        <v>1</v>
      </c>
      <c r="Y430" s="160">
        <v>1</v>
      </c>
      <c r="Z430" s="160">
        <v>1</v>
      </c>
      <c r="AA430" s="160">
        <v>1</v>
      </c>
    </row>
    <row r="431" spans="1:27" ht="18" customHeight="1" x14ac:dyDescent="0.25">
      <c r="A431" s="159">
        <v>508</v>
      </c>
      <c r="B431" s="157" t="s">
        <v>256</v>
      </c>
      <c r="C431" s="157" t="s">
        <v>532</v>
      </c>
      <c r="D431" s="159" t="s">
        <v>1195</v>
      </c>
      <c r="E431" s="157" t="s">
        <v>1193</v>
      </c>
      <c r="F431" s="157" t="s">
        <v>1298</v>
      </c>
      <c r="G431" s="157" t="s">
        <v>1299</v>
      </c>
      <c r="H431" s="157" t="s">
        <v>1326</v>
      </c>
      <c r="I431" s="157" t="s">
        <v>1462</v>
      </c>
      <c r="J431" s="157" t="s">
        <v>1285</v>
      </c>
      <c r="K431" s="157" t="s">
        <v>1312</v>
      </c>
      <c r="L431" s="157" t="s">
        <v>1463</v>
      </c>
      <c r="M431" s="157" t="str">
        <f t="shared" si="14"/>
        <v>Wheel Speed Sensor FL - Wheel Speed</v>
      </c>
      <c r="N431" s="157"/>
      <c r="O431" s="157"/>
      <c r="P431" s="159" t="s">
        <v>7538</v>
      </c>
      <c r="Q431" s="157" t="s">
        <v>2115</v>
      </c>
      <c r="R431" s="157" t="s">
        <v>2130</v>
      </c>
      <c r="S431" s="157" t="s">
        <v>8609</v>
      </c>
      <c r="T431" s="157" t="s">
        <v>2129</v>
      </c>
      <c r="U431" s="159" t="s">
        <v>2138</v>
      </c>
      <c r="V431" s="159" t="s">
        <v>2138</v>
      </c>
      <c r="W431" s="159" t="s">
        <v>2138</v>
      </c>
      <c r="X431" s="160">
        <v>1</v>
      </c>
      <c r="Y431" s="160">
        <v>1</v>
      </c>
      <c r="Z431" s="160">
        <v>1</v>
      </c>
      <c r="AA431" s="160">
        <v>1</v>
      </c>
    </row>
    <row r="432" spans="1:27" ht="18" customHeight="1" x14ac:dyDescent="0.25">
      <c r="A432" s="159">
        <v>508</v>
      </c>
      <c r="B432" s="157" t="s">
        <v>280</v>
      </c>
      <c r="C432" s="157" t="s">
        <v>354</v>
      </c>
      <c r="D432" s="159" t="s">
        <v>1189</v>
      </c>
      <c r="E432" s="157" t="s">
        <v>1187</v>
      </c>
      <c r="F432" s="157" t="s">
        <v>1264</v>
      </c>
      <c r="G432" s="157" t="s">
        <v>1299</v>
      </c>
      <c r="H432" s="157" t="s">
        <v>1326</v>
      </c>
      <c r="I432" s="157" t="s">
        <v>1462</v>
      </c>
      <c r="J432" s="157" t="s">
        <v>1285</v>
      </c>
      <c r="K432" s="157" t="s">
        <v>1312</v>
      </c>
      <c r="L432" s="157" t="s">
        <v>1463</v>
      </c>
      <c r="M432" s="157" t="str">
        <f t="shared" si="14"/>
        <v>Wheel Speed Sensor FL - Wheel Speed</v>
      </c>
      <c r="N432" s="157"/>
      <c r="O432" s="157"/>
      <c r="P432" s="159" t="s">
        <v>7538</v>
      </c>
      <c r="Q432" s="157" t="s">
        <v>2115</v>
      </c>
      <c r="R432" s="157" t="s">
        <v>2130</v>
      </c>
      <c r="S432" s="157" t="s">
        <v>8609</v>
      </c>
      <c r="T432" s="157" t="s">
        <v>2129</v>
      </c>
      <c r="U432" s="159" t="s">
        <v>2138</v>
      </c>
      <c r="V432" s="159" t="s">
        <v>2138</v>
      </c>
      <c r="W432" s="159" t="s">
        <v>2138</v>
      </c>
      <c r="X432" s="160">
        <v>1</v>
      </c>
      <c r="Y432" s="160">
        <v>1</v>
      </c>
      <c r="Z432" s="160">
        <v>1</v>
      </c>
      <c r="AA432" s="160">
        <v>1</v>
      </c>
    </row>
    <row r="433" spans="1:27" ht="18" customHeight="1" x14ac:dyDescent="0.25">
      <c r="A433" s="159">
        <v>509</v>
      </c>
      <c r="B433" s="157" t="s">
        <v>29</v>
      </c>
      <c r="C433" s="157" t="s">
        <v>30</v>
      </c>
      <c r="D433" s="159" t="s">
        <v>174</v>
      </c>
      <c r="E433" s="157" t="s">
        <v>172</v>
      </c>
      <c r="F433" s="157" t="s">
        <v>1264</v>
      </c>
      <c r="G433" s="157" t="s">
        <v>1299</v>
      </c>
      <c r="H433" s="157" t="s">
        <v>1326</v>
      </c>
      <c r="I433" s="157" t="s">
        <v>1462</v>
      </c>
      <c r="J433" s="157" t="s">
        <v>1285</v>
      </c>
      <c r="K433" s="157" t="s">
        <v>1312</v>
      </c>
      <c r="L433" s="157" t="s">
        <v>1464</v>
      </c>
      <c r="M433" s="157" t="str">
        <f t="shared" si="14"/>
        <v>Wheel Speed Sensor FR - Wheel Speed</v>
      </c>
      <c r="N433" s="157"/>
      <c r="O433" s="157"/>
      <c r="P433" s="159" t="s">
        <v>2684</v>
      </c>
      <c r="Q433" s="157" t="s">
        <v>2115</v>
      </c>
      <c r="R433" s="157" t="s">
        <v>2130</v>
      </c>
      <c r="S433" s="157" t="s">
        <v>8609</v>
      </c>
      <c r="T433" s="157" t="s">
        <v>2129</v>
      </c>
      <c r="U433" s="159" t="s">
        <v>2138</v>
      </c>
      <c r="V433" s="159" t="s">
        <v>2138</v>
      </c>
      <c r="W433" s="159" t="s">
        <v>2138</v>
      </c>
      <c r="X433" s="160">
        <v>1</v>
      </c>
      <c r="Y433" s="160">
        <v>1</v>
      </c>
      <c r="Z433" s="160">
        <v>1</v>
      </c>
      <c r="AA433" s="160">
        <v>1</v>
      </c>
    </row>
    <row r="434" spans="1:27" ht="18" customHeight="1" x14ac:dyDescent="0.25">
      <c r="A434" s="159">
        <v>509</v>
      </c>
      <c r="B434" s="157" t="s">
        <v>63</v>
      </c>
      <c r="C434" s="157" t="s">
        <v>64</v>
      </c>
      <c r="D434" s="159" t="s">
        <v>651</v>
      </c>
      <c r="E434" s="157" t="s">
        <v>649</v>
      </c>
      <c r="F434" s="157"/>
      <c r="G434" s="157" t="s">
        <v>1299</v>
      </c>
      <c r="H434" s="157" t="s">
        <v>1326</v>
      </c>
      <c r="I434" s="157" t="s">
        <v>1462</v>
      </c>
      <c r="J434" s="157" t="s">
        <v>1285</v>
      </c>
      <c r="K434" s="157" t="s">
        <v>1312</v>
      </c>
      <c r="L434" s="157" t="s">
        <v>1464</v>
      </c>
      <c r="M434" s="157" t="str">
        <f t="shared" si="14"/>
        <v>Wheel Speed Sensor FR - Wheel Speed</v>
      </c>
      <c r="N434" s="157"/>
      <c r="O434" s="157"/>
      <c r="P434" s="159" t="s">
        <v>2684</v>
      </c>
      <c r="Q434" s="157" t="s">
        <v>2115</v>
      </c>
      <c r="R434" s="157" t="s">
        <v>2130</v>
      </c>
      <c r="S434" s="157" t="s">
        <v>8609</v>
      </c>
      <c r="T434" s="157" t="s">
        <v>2129</v>
      </c>
      <c r="U434" s="159" t="s">
        <v>2138</v>
      </c>
      <c r="V434" s="159" t="s">
        <v>2138</v>
      </c>
      <c r="W434" s="159" t="s">
        <v>2138</v>
      </c>
      <c r="X434" s="160">
        <v>1</v>
      </c>
      <c r="Y434" s="160">
        <v>1</v>
      </c>
      <c r="Z434" s="160">
        <v>1</v>
      </c>
      <c r="AA434" s="160">
        <v>1</v>
      </c>
    </row>
    <row r="435" spans="1:27" ht="18" customHeight="1" x14ac:dyDescent="0.25">
      <c r="A435" s="159">
        <v>509</v>
      </c>
      <c r="B435" s="157" t="s">
        <v>63</v>
      </c>
      <c r="C435" s="157" t="s">
        <v>64</v>
      </c>
      <c r="D435" s="159" t="s">
        <v>770</v>
      </c>
      <c r="E435" s="157" t="s">
        <v>768</v>
      </c>
      <c r="F435" s="157" t="s">
        <v>1275</v>
      </c>
      <c r="G435" s="157" t="s">
        <v>1299</v>
      </c>
      <c r="H435" s="157" t="s">
        <v>1326</v>
      </c>
      <c r="I435" s="157" t="s">
        <v>1462</v>
      </c>
      <c r="J435" s="157" t="s">
        <v>1285</v>
      </c>
      <c r="K435" s="157" t="s">
        <v>1312</v>
      </c>
      <c r="L435" s="157" t="s">
        <v>1464</v>
      </c>
      <c r="M435" s="157" t="str">
        <f t="shared" si="14"/>
        <v>Wheel Speed Sensor FR - Wheel Speed</v>
      </c>
      <c r="N435" s="157"/>
      <c r="O435" s="157"/>
      <c r="P435" s="159" t="s">
        <v>2684</v>
      </c>
      <c r="Q435" s="157" t="s">
        <v>2115</v>
      </c>
      <c r="R435" s="157" t="s">
        <v>2130</v>
      </c>
      <c r="S435" s="157" t="s">
        <v>8609</v>
      </c>
      <c r="T435" s="157" t="s">
        <v>2129</v>
      </c>
      <c r="U435" s="159" t="s">
        <v>2138</v>
      </c>
      <c r="V435" s="159" t="s">
        <v>2138</v>
      </c>
      <c r="W435" s="159" t="s">
        <v>2138</v>
      </c>
      <c r="X435" s="160">
        <v>1</v>
      </c>
      <c r="Y435" s="160">
        <v>1</v>
      </c>
      <c r="Z435" s="160">
        <v>1</v>
      </c>
      <c r="AA435" s="160">
        <v>1</v>
      </c>
    </row>
    <row r="436" spans="1:27" ht="18" customHeight="1" x14ac:dyDescent="0.25">
      <c r="A436" s="159">
        <v>509</v>
      </c>
      <c r="B436" s="157" t="s">
        <v>256</v>
      </c>
      <c r="C436" s="157" t="s">
        <v>532</v>
      </c>
      <c r="D436" s="159" t="s">
        <v>535</v>
      </c>
      <c r="E436" s="157" t="s">
        <v>533</v>
      </c>
      <c r="F436" s="157"/>
      <c r="G436" s="157" t="s">
        <v>1299</v>
      </c>
      <c r="H436" s="157" t="s">
        <v>1326</v>
      </c>
      <c r="I436" s="157" t="s">
        <v>1462</v>
      </c>
      <c r="J436" s="157" t="s">
        <v>1285</v>
      </c>
      <c r="K436" s="157" t="s">
        <v>1312</v>
      </c>
      <c r="L436" s="157" t="s">
        <v>1464</v>
      </c>
      <c r="M436" s="157" t="str">
        <f t="shared" si="14"/>
        <v>Wheel Speed Sensor FR - Wheel Speed</v>
      </c>
      <c r="N436" s="157"/>
      <c r="O436" s="157"/>
      <c r="P436" s="159" t="s">
        <v>2684</v>
      </c>
      <c r="Q436" s="157" t="s">
        <v>2115</v>
      </c>
      <c r="R436" s="157" t="s">
        <v>2130</v>
      </c>
      <c r="S436" s="157" t="s">
        <v>8609</v>
      </c>
      <c r="T436" s="157" t="s">
        <v>2129</v>
      </c>
      <c r="U436" s="159" t="s">
        <v>2138</v>
      </c>
      <c r="V436" s="159" t="s">
        <v>2138</v>
      </c>
      <c r="W436" s="159" t="s">
        <v>2138</v>
      </c>
      <c r="X436" s="160">
        <v>1</v>
      </c>
      <c r="Y436" s="160">
        <v>1</v>
      </c>
      <c r="Z436" s="160">
        <v>1</v>
      </c>
      <c r="AA436" s="160">
        <v>1</v>
      </c>
    </row>
    <row r="437" spans="1:27" ht="18" customHeight="1" x14ac:dyDescent="0.25">
      <c r="A437" s="159">
        <v>509</v>
      </c>
      <c r="B437" s="157" t="s">
        <v>256</v>
      </c>
      <c r="C437" s="157" t="s">
        <v>532</v>
      </c>
      <c r="D437" s="159" t="s">
        <v>1195</v>
      </c>
      <c r="E437" s="157" t="s">
        <v>1193</v>
      </c>
      <c r="F437" s="157" t="s">
        <v>1298</v>
      </c>
      <c r="G437" s="157" t="s">
        <v>1299</v>
      </c>
      <c r="H437" s="157" t="s">
        <v>1326</v>
      </c>
      <c r="I437" s="157" t="s">
        <v>1462</v>
      </c>
      <c r="J437" s="157" t="s">
        <v>1285</v>
      </c>
      <c r="K437" s="157" t="s">
        <v>1312</v>
      </c>
      <c r="L437" s="157" t="s">
        <v>1464</v>
      </c>
      <c r="M437" s="157" t="str">
        <f t="shared" si="14"/>
        <v>Wheel Speed Sensor FR - Wheel Speed</v>
      </c>
      <c r="N437" s="157"/>
      <c r="O437" s="157"/>
      <c r="P437" s="159" t="s">
        <v>2684</v>
      </c>
      <c r="Q437" s="157" t="s">
        <v>2115</v>
      </c>
      <c r="R437" s="157" t="s">
        <v>2130</v>
      </c>
      <c r="S437" s="157" t="s">
        <v>8609</v>
      </c>
      <c r="T437" s="157" t="s">
        <v>2129</v>
      </c>
      <c r="U437" s="159" t="s">
        <v>2138</v>
      </c>
      <c r="V437" s="159" t="s">
        <v>2138</v>
      </c>
      <c r="W437" s="159" t="s">
        <v>2138</v>
      </c>
      <c r="X437" s="160">
        <v>1</v>
      </c>
      <c r="Y437" s="160">
        <v>1</v>
      </c>
      <c r="Z437" s="160">
        <v>1</v>
      </c>
      <c r="AA437" s="160">
        <v>1</v>
      </c>
    </row>
    <row r="438" spans="1:27" ht="18" customHeight="1" x14ac:dyDescent="0.25">
      <c r="A438" s="159">
        <v>509</v>
      </c>
      <c r="B438" s="157" t="s">
        <v>280</v>
      </c>
      <c r="C438" s="157" t="s">
        <v>354</v>
      </c>
      <c r="D438" s="159" t="s">
        <v>1189</v>
      </c>
      <c r="E438" s="157" t="s">
        <v>1187</v>
      </c>
      <c r="F438" s="157" t="s">
        <v>1264</v>
      </c>
      <c r="G438" s="157" t="s">
        <v>1299</v>
      </c>
      <c r="H438" s="157" t="s">
        <v>1326</v>
      </c>
      <c r="I438" s="157" t="s">
        <v>1462</v>
      </c>
      <c r="J438" s="157" t="s">
        <v>1285</v>
      </c>
      <c r="K438" s="157" t="s">
        <v>1312</v>
      </c>
      <c r="L438" s="157" t="s">
        <v>1464</v>
      </c>
      <c r="M438" s="157" t="str">
        <f t="shared" si="14"/>
        <v>Wheel Speed Sensor FR - Wheel Speed</v>
      </c>
      <c r="N438" s="157"/>
      <c r="O438" s="157"/>
      <c r="P438" s="159" t="s">
        <v>2684</v>
      </c>
      <c r="Q438" s="157" t="s">
        <v>2115</v>
      </c>
      <c r="R438" s="157" t="s">
        <v>2130</v>
      </c>
      <c r="S438" s="157" t="s">
        <v>8609</v>
      </c>
      <c r="T438" s="157" t="s">
        <v>2129</v>
      </c>
      <c r="U438" s="159" t="s">
        <v>2138</v>
      </c>
      <c r="V438" s="159" t="s">
        <v>2138</v>
      </c>
      <c r="W438" s="159" t="s">
        <v>2138</v>
      </c>
      <c r="X438" s="160">
        <v>1</v>
      </c>
      <c r="Y438" s="160">
        <v>1</v>
      </c>
      <c r="Z438" s="160">
        <v>1</v>
      </c>
      <c r="AA438" s="160">
        <v>1</v>
      </c>
    </row>
    <row r="439" spans="1:27" ht="18" customHeight="1" x14ac:dyDescent="0.25">
      <c r="A439" s="159">
        <v>517</v>
      </c>
      <c r="B439" s="157" t="s">
        <v>57</v>
      </c>
      <c r="C439" s="157" t="s">
        <v>58</v>
      </c>
      <c r="D439" s="159" t="s">
        <v>61</v>
      </c>
      <c r="E439" s="157" t="s">
        <v>59</v>
      </c>
      <c r="F439" s="157" t="s">
        <v>1264</v>
      </c>
      <c r="G439" s="157" t="s">
        <v>1278</v>
      </c>
      <c r="H439" s="157" t="s">
        <v>1378</v>
      </c>
      <c r="I439" s="157" t="s">
        <v>9538</v>
      </c>
      <c r="J439" s="157" t="s">
        <v>1468</v>
      </c>
      <c r="K439" s="157" t="s">
        <v>1312</v>
      </c>
      <c r="L439" s="157" t="s">
        <v>9634</v>
      </c>
      <c r="M439" s="157" t="str">
        <f t="shared" si="14"/>
        <v>Air Deflector Temperature Sensor FL - Air Flow Temperature Detection Front Left</v>
      </c>
      <c r="N439" s="157"/>
      <c r="O439" s="157"/>
      <c r="P439" s="159" t="s">
        <v>7178</v>
      </c>
      <c r="Q439" s="157"/>
      <c r="R439" s="157"/>
      <c r="S439" s="157"/>
      <c r="T439" s="157"/>
      <c r="U439" s="159" t="s">
        <v>2129</v>
      </c>
      <c r="V439" s="159" t="s">
        <v>2129</v>
      </c>
      <c r="W439" s="159" t="s">
        <v>2138</v>
      </c>
      <c r="X439" s="160">
        <v>1</v>
      </c>
      <c r="Y439" s="160">
        <v>1</v>
      </c>
      <c r="Z439" s="160">
        <v>1</v>
      </c>
      <c r="AA439" s="160">
        <v>1</v>
      </c>
    </row>
    <row r="440" spans="1:27" ht="18" customHeight="1" x14ac:dyDescent="0.25">
      <c r="A440" s="159">
        <v>517</v>
      </c>
      <c r="B440" s="157" t="s">
        <v>57</v>
      </c>
      <c r="C440" s="157" t="s">
        <v>58</v>
      </c>
      <c r="D440" s="159" t="s">
        <v>414</v>
      </c>
      <c r="E440" s="157" t="s">
        <v>412</v>
      </c>
      <c r="F440" s="157" t="s">
        <v>1264</v>
      </c>
      <c r="G440" s="157" t="s">
        <v>1278</v>
      </c>
      <c r="H440" s="157" t="s">
        <v>1378</v>
      </c>
      <c r="I440" s="157" t="s">
        <v>9538</v>
      </c>
      <c r="J440" s="157" t="s">
        <v>1468</v>
      </c>
      <c r="K440" s="157" t="s">
        <v>1312</v>
      </c>
      <c r="L440" s="157" t="s">
        <v>9634</v>
      </c>
      <c r="M440" s="157" t="str">
        <f t="shared" si="14"/>
        <v>Air Deflector Temperature Sensor FL - Air Flow Temperature Detection Front Left</v>
      </c>
      <c r="N440" s="157"/>
      <c r="O440" s="157"/>
      <c r="P440" s="159" t="s">
        <v>7178</v>
      </c>
      <c r="Q440" s="157"/>
      <c r="R440" s="157"/>
      <c r="S440" s="157"/>
      <c r="T440" s="157"/>
      <c r="U440" s="159" t="s">
        <v>2129</v>
      </c>
      <c r="V440" s="159" t="s">
        <v>2138</v>
      </c>
      <c r="W440" s="159" t="s">
        <v>2138</v>
      </c>
      <c r="X440" s="160">
        <v>1</v>
      </c>
      <c r="Y440" s="160">
        <v>1</v>
      </c>
      <c r="Z440" s="160">
        <v>1</v>
      </c>
      <c r="AA440" s="160">
        <v>1</v>
      </c>
    </row>
    <row r="441" spans="1:27" ht="18" customHeight="1" x14ac:dyDescent="0.25">
      <c r="A441" s="159">
        <v>517</v>
      </c>
      <c r="B441" s="157" t="s">
        <v>57</v>
      </c>
      <c r="C441" s="157" t="s">
        <v>58</v>
      </c>
      <c r="D441" s="159" t="s">
        <v>417</v>
      </c>
      <c r="E441" s="157" t="s">
        <v>415</v>
      </c>
      <c r="F441" s="157" t="s">
        <v>1264</v>
      </c>
      <c r="G441" s="157" t="s">
        <v>1278</v>
      </c>
      <c r="H441" s="157" t="s">
        <v>1378</v>
      </c>
      <c r="I441" s="157" t="s">
        <v>9538</v>
      </c>
      <c r="J441" s="157" t="s">
        <v>1468</v>
      </c>
      <c r="K441" s="157" t="s">
        <v>1312</v>
      </c>
      <c r="L441" s="157" t="s">
        <v>9634</v>
      </c>
      <c r="M441" s="157" t="str">
        <f t="shared" si="14"/>
        <v>Air Deflector Temperature Sensor FL - Air Flow Temperature Detection Front Left</v>
      </c>
      <c r="N441" s="157"/>
      <c r="O441" s="157"/>
      <c r="P441" s="159" t="s">
        <v>7178</v>
      </c>
      <c r="Q441" s="157"/>
      <c r="R441" s="157"/>
      <c r="S441" s="157"/>
      <c r="T441" s="157"/>
      <c r="U441" s="159" t="s">
        <v>2129</v>
      </c>
      <c r="V441" s="159" t="s">
        <v>2138</v>
      </c>
      <c r="W441" s="159" t="s">
        <v>2138</v>
      </c>
      <c r="X441" s="160">
        <v>1</v>
      </c>
      <c r="Y441" s="160">
        <v>1</v>
      </c>
      <c r="Z441" s="160">
        <v>1</v>
      </c>
      <c r="AA441" s="160">
        <v>1</v>
      </c>
    </row>
    <row r="442" spans="1:27" ht="18" customHeight="1" x14ac:dyDescent="0.25">
      <c r="A442" s="159">
        <v>517</v>
      </c>
      <c r="B442" s="157" t="s">
        <v>57</v>
      </c>
      <c r="C442" s="157" t="s">
        <v>58</v>
      </c>
      <c r="D442" s="159" t="s">
        <v>62</v>
      </c>
      <c r="E442" s="157" t="s">
        <v>991</v>
      </c>
      <c r="F442" s="157" t="s">
        <v>1264</v>
      </c>
      <c r="G442" s="157" t="s">
        <v>1278</v>
      </c>
      <c r="H442" s="157" t="s">
        <v>1378</v>
      </c>
      <c r="I442" s="157" t="s">
        <v>9538</v>
      </c>
      <c r="J442" s="157" t="s">
        <v>1468</v>
      </c>
      <c r="K442" s="157" t="s">
        <v>1312</v>
      </c>
      <c r="L442" s="157" t="s">
        <v>9634</v>
      </c>
      <c r="M442" s="157" t="str">
        <f t="shared" si="14"/>
        <v>Air Deflector Temperature Sensor FL - Air Flow Temperature Detection Front Left</v>
      </c>
      <c r="N442" s="157"/>
      <c r="O442" s="157"/>
      <c r="P442" s="159" t="s">
        <v>7178</v>
      </c>
      <c r="Q442" s="157"/>
      <c r="R442" s="157"/>
      <c r="S442" s="157"/>
      <c r="T442" s="157"/>
      <c r="U442" s="159" t="s">
        <v>2129</v>
      </c>
      <c r="V442" s="159" t="s">
        <v>2138</v>
      </c>
      <c r="W442" s="159" t="s">
        <v>2129</v>
      </c>
      <c r="X442" s="160">
        <v>1</v>
      </c>
      <c r="Y442" s="160">
        <v>1</v>
      </c>
      <c r="Z442" s="160">
        <v>1</v>
      </c>
      <c r="AA442" s="160">
        <v>1</v>
      </c>
    </row>
    <row r="443" spans="1:27" ht="18" customHeight="1" x14ac:dyDescent="0.25">
      <c r="A443" s="159">
        <v>517</v>
      </c>
      <c r="B443" s="157" t="s">
        <v>57</v>
      </c>
      <c r="C443" s="157" t="s">
        <v>58</v>
      </c>
      <c r="D443" s="159" t="s">
        <v>995</v>
      </c>
      <c r="E443" s="157" t="s">
        <v>993</v>
      </c>
      <c r="F443" s="157" t="s">
        <v>1264</v>
      </c>
      <c r="G443" s="157" t="s">
        <v>1278</v>
      </c>
      <c r="H443" s="157" t="s">
        <v>1378</v>
      </c>
      <c r="I443" s="157" t="s">
        <v>9538</v>
      </c>
      <c r="J443" s="157" t="s">
        <v>1468</v>
      </c>
      <c r="K443" s="157" t="s">
        <v>1312</v>
      </c>
      <c r="L443" s="157" t="s">
        <v>9634</v>
      </c>
      <c r="M443" s="157" t="str">
        <f t="shared" si="14"/>
        <v>Air Deflector Temperature Sensor FL - Air Flow Temperature Detection Front Left</v>
      </c>
      <c r="N443" s="157"/>
      <c r="O443" s="157"/>
      <c r="P443" s="159" t="s">
        <v>7178</v>
      </c>
      <c r="Q443" s="157"/>
      <c r="R443" s="157"/>
      <c r="S443" s="157"/>
      <c r="T443" s="157"/>
      <c r="U443" s="159" t="s">
        <v>2129</v>
      </c>
      <c r="V443" s="159" t="s">
        <v>2138</v>
      </c>
      <c r="W443" s="159" t="s">
        <v>2138</v>
      </c>
      <c r="X443" s="160">
        <v>1</v>
      </c>
      <c r="Y443" s="160">
        <v>1</v>
      </c>
      <c r="Z443" s="160">
        <v>1</v>
      </c>
      <c r="AA443" s="160">
        <v>1</v>
      </c>
    </row>
    <row r="444" spans="1:27" ht="18" customHeight="1" x14ac:dyDescent="0.25">
      <c r="A444" s="159">
        <v>517</v>
      </c>
      <c r="B444" s="157" t="s">
        <v>57</v>
      </c>
      <c r="C444" s="157" t="s">
        <v>58</v>
      </c>
      <c r="D444" s="159" t="s">
        <v>2090</v>
      </c>
      <c r="E444" s="157" t="s">
        <v>1677</v>
      </c>
      <c r="F444" s="157" t="s">
        <v>1264</v>
      </c>
      <c r="G444" s="157" t="s">
        <v>1278</v>
      </c>
      <c r="H444" s="157" t="s">
        <v>1378</v>
      </c>
      <c r="I444" s="157" t="s">
        <v>9538</v>
      </c>
      <c r="J444" s="157" t="s">
        <v>1468</v>
      </c>
      <c r="K444" s="157" t="s">
        <v>1312</v>
      </c>
      <c r="L444" s="157" t="s">
        <v>9634</v>
      </c>
      <c r="M444" s="157" t="str">
        <f t="shared" si="14"/>
        <v>Air Deflector Temperature Sensor FL - Air Flow Temperature Detection Front Left</v>
      </c>
      <c r="N444" s="157"/>
      <c r="O444" s="157"/>
      <c r="P444" s="159" t="s">
        <v>7178</v>
      </c>
      <c r="Q444" s="157"/>
      <c r="R444" s="157"/>
      <c r="S444" s="157"/>
      <c r="T444" s="157"/>
      <c r="U444" s="159" t="s">
        <v>2129</v>
      </c>
      <c r="V444" s="159" t="s">
        <v>2129</v>
      </c>
      <c r="W444" s="159" t="s">
        <v>2138</v>
      </c>
      <c r="X444" s="160">
        <v>1</v>
      </c>
      <c r="Y444" s="160">
        <v>1</v>
      </c>
      <c r="Z444" s="160">
        <v>1</v>
      </c>
      <c r="AA444" s="160">
        <v>1</v>
      </c>
    </row>
    <row r="445" spans="1:27" ht="18" customHeight="1" x14ac:dyDescent="0.25">
      <c r="A445" s="159">
        <v>518</v>
      </c>
      <c r="B445" s="157" t="s">
        <v>57</v>
      </c>
      <c r="C445" s="157" t="s">
        <v>58</v>
      </c>
      <c r="D445" s="159" t="s">
        <v>61</v>
      </c>
      <c r="E445" s="157" t="s">
        <v>59</v>
      </c>
      <c r="F445" s="157" t="s">
        <v>1264</v>
      </c>
      <c r="G445" s="157" t="s">
        <v>1278</v>
      </c>
      <c r="H445" s="157" t="s">
        <v>1378</v>
      </c>
      <c r="I445" s="157" t="s">
        <v>9539</v>
      </c>
      <c r="J445" s="157" t="s">
        <v>1468</v>
      </c>
      <c r="K445" s="157" t="s">
        <v>1312</v>
      </c>
      <c r="L445" s="157" t="s">
        <v>9635</v>
      </c>
      <c r="M445" s="157" t="str">
        <f t="shared" si="14"/>
        <v>Air Deflector Temperature Sensor FR - Air Flow Temperature Detection Front Right</v>
      </c>
      <c r="N445" s="157"/>
      <c r="O445" s="157"/>
      <c r="P445" s="159" t="s">
        <v>4343</v>
      </c>
      <c r="Q445" s="157"/>
      <c r="R445" s="157"/>
      <c r="S445" s="157"/>
      <c r="T445" s="157"/>
      <c r="U445" s="159" t="s">
        <v>2129</v>
      </c>
      <c r="V445" s="159" t="s">
        <v>2129</v>
      </c>
      <c r="W445" s="159" t="s">
        <v>2138</v>
      </c>
      <c r="X445" s="160">
        <v>1</v>
      </c>
      <c r="Y445" s="160">
        <v>1</v>
      </c>
      <c r="Z445" s="160">
        <v>1</v>
      </c>
      <c r="AA445" s="160">
        <v>1</v>
      </c>
    </row>
    <row r="446" spans="1:27" ht="18" customHeight="1" x14ac:dyDescent="0.25">
      <c r="A446" s="159">
        <v>518</v>
      </c>
      <c r="B446" s="157" t="s">
        <v>57</v>
      </c>
      <c r="C446" s="157" t="s">
        <v>58</v>
      </c>
      <c r="D446" s="159" t="s">
        <v>414</v>
      </c>
      <c r="E446" s="157" t="s">
        <v>412</v>
      </c>
      <c r="F446" s="157" t="s">
        <v>1264</v>
      </c>
      <c r="G446" s="157" t="s">
        <v>1278</v>
      </c>
      <c r="H446" s="157" t="s">
        <v>1378</v>
      </c>
      <c r="I446" s="157" t="s">
        <v>9539</v>
      </c>
      <c r="J446" s="157" t="s">
        <v>1468</v>
      </c>
      <c r="K446" s="157" t="s">
        <v>1312</v>
      </c>
      <c r="L446" s="157" t="s">
        <v>9635</v>
      </c>
      <c r="M446" s="157" t="str">
        <f t="shared" si="14"/>
        <v>Air Deflector Temperature Sensor FR - Air Flow Temperature Detection Front Right</v>
      </c>
      <c r="N446" s="157"/>
      <c r="O446" s="157"/>
      <c r="P446" s="159" t="s">
        <v>4343</v>
      </c>
      <c r="Q446" s="157"/>
      <c r="R446" s="157"/>
      <c r="S446" s="157"/>
      <c r="T446" s="157"/>
      <c r="U446" s="159" t="s">
        <v>2129</v>
      </c>
      <c r="V446" s="159" t="s">
        <v>2138</v>
      </c>
      <c r="W446" s="159" t="s">
        <v>2138</v>
      </c>
      <c r="X446" s="160">
        <v>1</v>
      </c>
      <c r="Y446" s="160">
        <v>1</v>
      </c>
      <c r="Z446" s="160">
        <v>1</v>
      </c>
      <c r="AA446" s="160">
        <v>1</v>
      </c>
    </row>
    <row r="447" spans="1:27" ht="18" customHeight="1" x14ac:dyDescent="0.25">
      <c r="A447" s="159">
        <v>518</v>
      </c>
      <c r="B447" s="157" t="s">
        <v>57</v>
      </c>
      <c r="C447" s="157" t="s">
        <v>58</v>
      </c>
      <c r="D447" s="159" t="s">
        <v>417</v>
      </c>
      <c r="E447" s="157" t="s">
        <v>415</v>
      </c>
      <c r="F447" s="157" t="s">
        <v>1264</v>
      </c>
      <c r="G447" s="157" t="s">
        <v>1278</v>
      </c>
      <c r="H447" s="157" t="s">
        <v>1378</v>
      </c>
      <c r="I447" s="157" t="s">
        <v>9539</v>
      </c>
      <c r="J447" s="157" t="s">
        <v>1468</v>
      </c>
      <c r="K447" s="157" t="s">
        <v>1312</v>
      </c>
      <c r="L447" s="157" t="s">
        <v>9635</v>
      </c>
      <c r="M447" s="157" t="str">
        <f t="shared" si="14"/>
        <v>Air Deflector Temperature Sensor FR - Air Flow Temperature Detection Front Right</v>
      </c>
      <c r="N447" s="157"/>
      <c r="O447" s="157"/>
      <c r="P447" s="159" t="s">
        <v>4343</v>
      </c>
      <c r="Q447" s="157"/>
      <c r="R447" s="157"/>
      <c r="S447" s="157"/>
      <c r="T447" s="157"/>
      <c r="U447" s="159" t="s">
        <v>2129</v>
      </c>
      <c r="V447" s="159" t="s">
        <v>2138</v>
      </c>
      <c r="W447" s="159" t="s">
        <v>2138</v>
      </c>
      <c r="X447" s="160">
        <v>1</v>
      </c>
      <c r="Y447" s="160">
        <v>1</v>
      </c>
      <c r="Z447" s="160">
        <v>1</v>
      </c>
      <c r="AA447" s="160">
        <v>1</v>
      </c>
    </row>
    <row r="448" spans="1:27" ht="18" customHeight="1" x14ac:dyDescent="0.25">
      <c r="A448" s="159">
        <v>518</v>
      </c>
      <c r="B448" s="157" t="s">
        <v>57</v>
      </c>
      <c r="C448" s="157" t="s">
        <v>58</v>
      </c>
      <c r="D448" s="159" t="s">
        <v>62</v>
      </c>
      <c r="E448" s="157" t="s">
        <v>991</v>
      </c>
      <c r="F448" s="157" t="s">
        <v>1264</v>
      </c>
      <c r="G448" s="157" t="s">
        <v>1278</v>
      </c>
      <c r="H448" s="157" t="s">
        <v>1378</v>
      </c>
      <c r="I448" s="157" t="s">
        <v>9539</v>
      </c>
      <c r="J448" s="157" t="s">
        <v>1468</v>
      </c>
      <c r="K448" s="157" t="s">
        <v>1312</v>
      </c>
      <c r="L448" s="157" t="s">
        <v>9635</v>
      </c>
      <c r="M448" s="157" t="str">
        <f t="shared" si="14"/>
        <v>Air Deflector Temperature Sensor FR - Air Flow Temperature Detection Front Right</v>
      </c>
      <c r="N448" s="157"/>
      <c r="O448" s="157"/>
      <c r="P448" s="159" t="s">
        <v>4343</v>
      </c>
      <c r="Q448" s="157"/>
      <c r="R448" s="157"/>
      <c r="S448" s="157"/>
      <c r="T448" s="157"/>
      <c r="U448" s="159" t="s">
        <v>2129</v>
      </c>
      <c r="V448" s="159" t="s">
        <v>2138</v>
      </c>
      <c r="W448" s="159" t="s">
        <v>2129</v>
      </c>
      <c r="X448" s="160">
        <v>1</v>
      </c>
      <c r="Y448" s="160">
        <v>1</v>
      </c>
      <c r="Z448" s="160">
        <v>1</v>
      </c>
      <c r="AA448" s="160">
        <v>1</v>
      </c>
    </row>
    <row r="449" spans="1:27" ht="18" customHeight="1" x14ac:dyDescent="0.25">
      <c r="A449" s="159">
        <v>518</v>
      </c>
      <c r="B449" s="157" t="s">
        <v>57</v>
      </c>
      <c r="C449" s="157" t="s">
        <v>58</v>
      </c>
      <c r="D449" s="159" t="s">
        <v>995</v>
      </c>
      <c r="E449" s="157" t="s">
        <v>993</v>
      </c>
      <c r="F449" s="157" t="s">
        <v>1264</v>
      </c>
      <c r="G449" s="157" t="s">
        <v>1278</v>
      </c>
      <c r="H449" s="157" t="s">
        <v>1378</v>
      </c>
      <c r="I449" s="157" t="s">
        <v>9539</v>
      </c>
      <c r="J449" s="157" t="s">
        <v>1468</v>
      </c>
      <c r="K449" s="157" t="s">
        <v>1312</v>
      </c>
      <c r="L449" s="157" t="s">
        <v>9635</v>
      </c>
      <c r="M449" s="157" t="str">
        <f t="shared" si="14"/>
        <v>Air Deflector Temperature Sensor FR - Air Flow Temperature Detection Front Right</v>
      </c>
      <c r="N449" s="157"/>
      <c r="O449" s="157"/>
      <c r="P449" s="159" t="s">
        <v>4343</v>
      </c>
      <c r="Q449" s="157"/>
      <c r="R449" s="157"/>
      <c r="S449" s="157"/>
      <c r="T449" s="157"/>
      <c r="U449" s="159" t="s">
        <v>2129</v>
      </c>
      <c r="V449" s="159" t="s">
        <v>2138</v>
      </c>
      <c r="W449" s="159" t="s">
        <v>2138</v>
      </c>
      <c r="X449" s="160">
        <v>1</v>
      </c>
      <c r="Y449" s="160">
        <v>1</v>
      </c>
      <c r="Z449" s="160">
        <v>1</v>
      </c>
      <c r="AA449" s="160">
        <v>1</v>
      </c>
    </row>
    <row r="450" spans="1:27" ht="18" customHeight="1" x14ac:dyDescent="0.25">
      <c r="A450" s="159">
        <v>518</v>
      </c>
      <c r="B450" s="157" t="s">
        <v>57</v>
      </c>
      <c r="C450" s="157" t="s">
        <v>58</v>
      </c>
      <c r="D450" s="159" t="s">
        <v>2090</v>
      </c>
      <c r="E450" s="157" t="s">
        <v>1677</v>
      </c>
      <c r="F450" s="157" t="s">
        <v>1264</v>
      </c>
      <c r="G450" s="157" t="s">
        <v>1278</v>
      </c>
      <c r="H450" s="157" t="s">
        <v>1378</v>
      </c>
      <c r="I450" s="157" t="s">
        <v>9539</v>
      </c>
      <c r="J450" s="157" t="s">
        <v>1468</v>
      </c>
      <c r="K450" s="157" t="s">
        <v>1312</v>
      </c>
      <c r="L450" s="157" t="s">
        <v>9635</v>
      </c>
      <c r="M450" s="157" t="str">
        <f t="shared" si="14"/>
        <v>Air Deflector Temperature Sensor FR - Air Flow Temperature Detection Front Right</v>
      </c>
      <c r="N450" s="157"/>
      <c r="O450" s="157"/>
      <c r="P450" s="159" t="s">
        <v>4343</v>
      </c>
      <c r="Q450" s="157"/>
      <c r="R450" s="157"/>
      <c r="S450" s="157"/>
      <c r="T450" s="157"/>
      <c r="U450" s="159" t="s">
        <v>2129</v>
      </c>
      <c r="V450" s="159" t="s">
        <v>2129</v>
      </c>
      <c r="W450" s="159" t="s">
        <v>2138</v>
      </c>
      <c r="X450" s="160">
        <v>1</v>
      </c>
      <c r="Y450" s="160">
        <v>1</v>
      </c>
      <c r="Z450" s="160">
        <v>1</v>
      </c>
      <c r="AA450" s="160">
        <v>1</v>
      </c>
    </row>
    <row r="451" spans="1:27" ht="18" customHeight="1" x14ac:dyDescent="0.25">
      <c r="A451" s="159">
        <v>519</v>
      </c>
      <c r="B451" s="157" t="s">
        <v>57</v>
      </c>
      <c r="C451" s="157" t="s">
        <v>58</v>
      </c>
      <c r="D451" s="159" t="s">
        <v>61</v>
      </c>
      <c r="E451" s="157" t="s">
        <v>59</v>
      </c>
      <c r="F451" s="157" t="s">
        <v>1264</v>
      </c>
      <c r="G451" s="157" t="s">
        <v>1278</v>
      </c>
      <c r="H451" s="157" t="s">
        <v>1378</v>
      </c>
      <c r="I451" s="157" t="s">
        <v>9540</v>
      </c>
      <c r="J451" s="157" t="s">
        <v>1468</v>
      </c>
      <c r="K451" s="157" t="s">
        <v>1312</v>
      </c>
      <c r="L451" s="157" t="s">
        <v>9636</v>
      </c>
      <c r="M451" s="157" t="str">
        <f t="shared" si="14"/>
        <v>Air Deflector Temperature Sensor FM - Air Flow Temperature Detection Front Middle</v>
      </c>
      <c r="N451" s="157"/>
      <c r="O451" s="157"/>
      <c r="P451" s="159" t="s">
        <v>5737</v>
      </c>
      <c r="Q451" s="157"/>
      <c r="R451" s="157"/>
      <c r="S451" s="157"/>
      <c r="T451" s="157"/>
      <c r="U451" s="159" t="s">
        <v>2129</v>
      </c>
      <c r="V451" s="159" t="s">
        <v>2129</v>
      </c>
      <c r="W451" s="159" t="s">
        <v>2138</v>
      </c>
      <c r="X451" s="160">
        <v>1</v>
      </c>
      <c r="Y451" s="160">
        <v>1</v>
      </c>
      <c r="Z451" s="160">
        <v>1</v>
      </c>
      <c r="AA451" s="160">
        <v>1</v>
      </c>
    </row>
    <row r="452" spans="1:27" ht="18" customHeight="1" x14ac:dyDescent="0.25">
      <c r="A452" s="159">
        <v>519</v>
      </c>
      <c r="B452" s="157" t="s">
        <v>57</v>
      </c>
      <c r="C452" s="157" t="s">
        <v>58</v>
      </c>
      <c r="D452" s="159" t="s">
        <v>414</v>
      </c>
      <c r="E452" s="157" t="s">
        <v>412</v>
      </c>
      <c r="F452" s="157" t="s">
        <v>1264</v>
      </c>
      <c r="G452" s="157" t="s">
        <v>1278</v>
      </c>
      <c r="H452" s="157" t="s">
        <v>1378</v>
      </c>
      <c r="I452" s="157" t="s">
        <v>9540</v>
      </c>
      <c r="J452" s="157" t="s">
        <v>1468</v>
      </c>
      <c r="K452" s="157" t="s">
        <v>1312</v>
      </c>
      <c r="L452" s="157" t="s">
        <v>9636</v>
      </c>
      <c r="M452" s="157" t="str">
        <f t="shared" si="14"/>
        <v>Air Deflector Temperature Sensor FM - Air Flow Temperature Detection Front Middle</v>
      </c>
      <c r="N452" s="157"/>
      <c r="O452" s="157"/>
      <c r="P452" s="159" t="s">
        <v>5737</v>
      </c>
      <c r="Q452" s="157"/>
      <c r="R452" s="157"/>
      <c r="S452" s="157"/>
      <c r="T452" s="157"/>
      <c r="U452" s="159" t="s">
        <v>2129</v>
      </c>
      <c r="V452" s="159" t="s">
        <v>2138</v>
      </c>
      <c r="W452" s="159" t="s">
        <v>2138</v>
      </c>
      <c r="X452" s="160">
        <v>1</v>
      </c>
      <c r="Y452" s="160">
        <v>1</v>
      </c>
      <c r="Z452" s="160">
        <v>1</v>
      </c>
      <c r="AA452" s="160">
        <v>1</v>
      </c>
    </row>
    <row r="453" spans="1:27" ht="18" customHeight="1" x14ac:dyDescent="0.25">
      <c r="A453" s="159">
        <v>519</v>
      </c>
      <c r="B453" s="157" t="s">
        <v>57</v>
      </c>
      <c r="C453" s="157" t="s">
        <v>58</v>
      </c>
      <c r="D453" s="159" t="s">
        <v>417</v>
      </c>
      <c r="E453" s="157" t="s">
        <v>415</v>
      </c>
      <c r="F453" s="157" t="s">
        <v>1264</v>
      </c>
      <c r="G453" s="157" t="s">
        <v>1278</v>
      </c>
      <c r="H453" s="157" t="s">
        <v>1378</v>
      </c>
      <c r="I453" s="157" t="s">
        <v>9540</v>
      </c>
      <c r="J453" s="157" t="s">
        <v>1468</v>
      </c>
      <c r="K453" s="157" t="s">
        <v>1312</v>
      </c>
      <c r="L453" s="157" t="s">
        <v>9636</v>
      </c>
      <c r="M453" s="157" t="str">
        <f t="shared" si="14"/>
        <v>Air Deflector Temperature Sensor FM - Air Flow Temperature Detection Front Middle</v>
      </c>
      <c r="N453" s="157"/>
      <c r="O453" s="157"/>
      <c r="P453" s="159" t="s">
        <v>5737</v>
      </c>
      <c r="Q453" s="157"/>
      <c r="R453" s="157"/>
      <c r="S453" s="157"/>
      <c r="T453" s="157"/>
      <c r="U453" s="159" t="s">
        <v>2129</v>
      </c>
      <c r="V453" s="159" t="s">
        <v>2138</v>
      </c>
      <c r="W453" s="159" t="s">
        <v>2138</v>
      </c>
      <c r="X453" s="160">
        <v>1</v>
      </c>
      <c r="Y453" s="160">
        <v>1</v>
      </c>
      <c r="Z453" s="160">
        <v>1</v>
      </c>
      <c r="AA453" s="160">
        <v>1</v>
      </c>
    </row>
    <row r="454" spans="1:27" ht="18" customHeight="1" x14ac:dyDescent="0.25">
      <c r="A454" s="159">
        <v>519</v>
      </c>
      <c r="B454" s="157" t="s">
        <v>57</v>
      </c>
      <c r="C454" s="157" t="s">
        <v>58</v>
      </c>
      <c r="D454" s="159" t="s">
        <v>62</v>
      </c>
      <c r="E454" s="157" t="s">
        <v>991</v>
      </c>
      <c r="F454" s="157" t="s">
        <v>1264</v>
      </c>
      <c r="G454" s="157" t="s">
        <v>1278</v>
      </c>
      <c r="H454" s="157" t="s">
        <v>1378</v>
      </c>
      <c r="I454" s="157" t="s">
        <v>9540</v>
      </c>
      <c r="J454" s="157" t="s">
        <v>1468</v>
      </c>
      <c r="K454" s="157" t="s">
        <v>1312</v>
      </c>
      <c r="L454" s="157" t="s">
        <v>9636</v>
      </c>
      <c r="M454" s="157" t="str">
        <f t="shared" si="14"/>
        <v>Air Deflector Temperature Sensor FM - Air Flow Temperature Detection Front Middle</v>
      </c>
      <c r="N454" s="157"/>
      <c r="O454" s="157"/>
      <c r="P454" s="159" t="s">
        <v>5737</v>
      </c>
      <c r="Q454" s="157"/>
      <c r="R454" s="157"/>
      <c r="S454" s="157"/>
      <c r="T454" s="157"/>
      <c r="U454" s="159" t="s">
        <v>2129</v>
      </c>
      <c r="V454" s="159" t="s">
        <v>2138</v>
      </c>
      <c r="W454" s="159" t="s">
        <v>2129</v>
      </c>
      <c r="X454" s="160">
        <v>1</v>
      </c>
      <c r="Y454" s="160">
        <v>1</v>
      </c>
      <c r="Z454" s="160">
        <v>1</v>
      </c>
      <c r="AA454" s="160">
        <v>1</v>
      </c>
    </row>
    <row r="455" spans="1:27" ht="18" customHeight="1" x14ac:dyDescent="0.25">
      <c r="A455" s="159">
        <v>519</v>
      </c>
      <c r="B455" s="157" t="s">
        <v>57</v>
      </c>
      <c r="C455" s="157" t="s">
        <v>58</v>
      </c>
      <c r="D455" s="159" t="s">
        <v>995</v>
      </c>
      <c r="E455" s="157" t="s">
        <v>993</v>
      </c>
      <c r="F455" s="157" t="s">
        <v>1264</v>
      </c>
      <c r="G455" s="157" t="s">
        <v>1278</v>
      </c>
      <c r="H455" s="157" t="s">
        <v>1378</v>
      </c>
      <c r="I455" s="157" t="s">
        <v>9540</v>
      </c>
      <c r="J455" s="157" t="s">
        <v>1468</v>
      </c>
      <c r="K455" s="157" t="s">
        <v>1312</v>
      </c>
      <c r="L455" s="157" t="s">
        <v>9636</v>
      </c>
      <c r="M455" s="157" t="str">
        <f t="shared" si="14"/>
        <v>Air Deflector Temperature Sensor FM - Air Flow Temperature Detection Front Middle</v>
      </c>
      <c r="N455" s="157"/>
      <c r="O455" s="157"/>
      <c r="P455" s="159" t="s">
        <v>5737</v>
      </c>
      <c r="Q455" s="157"/>
      <c r="R455" s="157"/>
      <c r="S455" s="157"/>
      <c r="T455" s="157"/>
      <c r="U455" s="159" t="s">
        <v>2129</v>
      </c>
      <c r="V455" s="159" t="s">
        <v>2138</v>
      </c>
      <c r="W455" s="159" t="s">
        <v>2138</v>
      </c>
      <c r="X455" s="160">
        <v>1</v>
      </c>
      <c r="Y455" s="160">
        <v>1</v>
      </c>
      <c r="Z455" s="160">
        <v>1</v>
      </c>
      <c r="AA455" s="160">
        <v>1</v>
      </c>
    </row>
    <row r="456" spans="1:27" ht="18" customHeight="1" x14ac:dyDescent="0.25">
      <c r="A456" s="159">
        <v>519</v>
      </c>
      <c r="B456" s="157" t="s">
        <v>57</v>
      </c>
      <c r="C456" s="157" t="s">
        <v>58</v>
      </c>
      <c r="D456" s="159" t="s">
        <v>2090</v>
      </c>
      <c r="E456" s="157" t="s">
        <v>1677</v>
      </c>
      <c r="F456" s="157" t="s">
        <v>1264</v>
      </c>
      <c r="G456" s="157" t="s">
        <v>1278</v>
      </c>
      <c r="H456" s="157" t="s">
        <v>1378</v>
      </c>
      <c r="I456" s="157" t="s">
        <v>9540</v>
      </c>
      <c r="J456" s="157" t="s">
        <v>1468</v>
      </c>
      <c r="K456" s="157" t="s">
        <v>1312</v>
      </c>
      <c r="L456" s="157" t="s">
        <v>9636</v>
      </c>
      <c r="M456" s="157" t="str">
        <f t="shared" si="14"/>
        <v>Air Deflector Temperature Sensor FM - Air Flow Temperature Detection Front Middle</v>
      </c>
      <c r="N456" s="157"/>
      <c r="O456" s="157"/>
      <c r="P456" s="159" t="s">
        <v>5737</v>
      </c>
      <c r="Q456" s="157"/>
      <c r="R456" s="157"/>
      <c r="S456" s="157"/>
      <c r="T456" s="157"/>
      <c r="U456" s="159" t="s">
        <v>2129</v>
      </c>
      <c r="V456" s="159" t="s">
        <v>2129</v>
      </c>
      <c r="W456" s="159" t="s">
        <v>2138</v>
      </c>
      <c r="X456" s="160">
        <v>1</v>
      </c>
      <c r="Y456" s="160">
        <v>1</v>
      </c>
      <c r="Z456" s="160">
        <v>1</v>
      </c>
      <c r="AA456" s="160">
        <v>1</v>
      </c>
    </row>
    <row r="457" spans="1:27" ht="18" customHeight="1" x14ac:dyDescent="0.25">
      <c r="A457" s="159">
        <v>523</v>
      </c>
      <c r="B457" s="157" t="s">
        <v>29</v>
      </c>
      <c r="C457" s="157" t="s">
        <v>30</v>
      </c>
      <c r="D457" s="159" t="s">
        <v>185</v>
      </c>
      <c r="E457" s="157" t="s">
        <v>391</v>
      </c>
      <c r="F457" s="157" t="s">
        <v>1275</v>
      </c>
      <c r="G457" s="157" t="s">
        <v>1536</v>
      </c>
      <c r="H457" s="157" t="s">
        <v>1287</v>
      </c>
      <c r="I457" s="157" t="s">
        <v>1459</v>
      </c>
      <c r="J457" s="157" t="s">
        <v>1340</v>
      </c>
      <c r="K457" s="157" t="s">
        <v>1269</v>
      </c>
      <c r="L457" s="157" t="s">
        <v>9758</v>
      </c>
      <c r="M457" s="157" t="str">
        <f t="shared" si="14"/>
        <v>Headlamp Assy' Full LED Left - Power Supply</v>
      </c>
      <c r="N457" s="157"/>
      <c r="O457" s="157"/>
      <c r="P457" s="167" t="s">
        <v>7396</v>
      </c>
      <c r="Q457" s="157" t="s">
        <v>2115</v>
      </c>
      <c r="R457" s="157" t="s">
        <v>8263</v>
      </c>
      <c r="S457" s="157" t="s">
        <v>8615</v>
      </c>
      <c r="T457" s="157"/>
      <c r="U457" s="159" t="s">
        <v>2129</v>
      </c>
      <c r="V457" s="159" t="s">
        <v>2138</v>
      </c>
      <c r="W457" s="159" t="s">
        <v>2129</v>
      </c>
      <c r="X457" s="160">
        <v>0.24</v>
      </c>
      <c r="Y457" s="160">
        <v>0.24</v>
      </c>
      <c r="Z457" s="160">
        <f>(3*0.24+4.67*(2*1/(20*60))+4.67*1)/12.34</f>
        <v>0.43742166396542409</v>
      </c>
      <c r="AA457" s="160">
        <f>(3*0.24+4.67*0.3+4.67*1)/12.34</f>
        <v>0.55032414910858996</v>
      </c>
    </row>
    <row r="458" spans="1:27" ht="18" customHeight="1" x14ac:dyDescent="0.25">
      <c r="A458" s="159">
        <v>523</v>
      </c>
      <c r="B458" s="157" t="s">
        <v>29</v>
      </c>
      <c r="C458" s="157" t="s">
        <v>30</v>
      </c>
      <c r="D458" s="159" t="s">
        <v>395</v>
      </c>
      <c r="E458" s="157" t="s">
        <v>393</v>
      </c>
      <c r="F458" s="157" t="s">
        <v>1277</v>
      </c>
      <c r="G458" s="157" t="s">
        <v>1536</v>
      </c>
      <c r="H458" s="157" t="s">
        <v>1287</v>
      </c>
      <c r="I458" s="157" t="s">
        <v>1459</v>
      </c>
      <c r="J458" s="157" t="s">
        <v>1340</v>
      </c>
      <c r="K458" s="157" t="s">
        <v>1269</v>
      </c>
      <c r="L458" s="157" t="s">
        <v>9758</v>
      </c>
      <c r="M458" s="157" t="str">
        <f t="shared" ref="M458:M521" si="15">CONCATENATE(L458," - ",I458)</f>
        <v>Headlamp Assy' Full LED Left - Power Supply</v>
      </c>
      <c r="N458" s="157"/>
      <c r="O458" s="157"/>
      <c r="P458" s="167" t="s">
        <v>7396</v>
      </c>
      <c r="Q458" s="157" t="s">
        <v>2115</v>
      </c>
      <c r="R458" s="157" t="s">
        <v>8263</v>
      </c>
      <c r="S458" s="157" t="s">
        <v>8615</v>
      </c>
      <c r="T458" s="157"/>
      <c r="U458" s="159" t="s">
        <v>2129</v>
      </c>
      <c r="V458" s="159" t="s">
        <v>2138</v>
      </c>
      <c r="W458" s="159" t="s">
        <v>2129</v>
      </c>
      <c r="X458" s="160">
        <v>0.24</v>
      </c>
      <c r="Y458" s="160">
        <v>0.24</v>
      </c>
      <c r="Z458" s="160">
        <f>(3*0.24+4.67*(2*1/(20*60))+4.67*1)/12.34</f>
        <v>0.43742166396542409</v>
      </c>
      <c r="AA458" s="160">
        <f>(3*0.24+4.67*0.3+4.67*1)/12.34</f>
        <v>0.55032414910858996</v>
      </c>
    </row>
    <row r="459" spans="1:27" ht="18" customHeight="1" x14ac:dyDescent="0.25">
      <c r="A459" s="159">
        <v>523</v>
      </c>
      <c r="B459" s="157" t="s">
        <v>29</v>
      </c>
      <c r="C459" s="157" t="s">
        <v>30</v>
      </c>
      <c r="D459" s="159" t="s">
        <v>398</v>
      </c>
      <c r="E459" s="157" t="s">
        <v>396</v>
      </c>
      <c r="F459" s="157" t="s">
        <v>1264</v>
      </c>
      <c r="G459" s="157" t="s">
        <v>1536</v>
      </c>
      <c r="H459" s="157" t="s">
        <v>1287</v>
      </c>
      <c r="I459" s="157" t="s">
        <v>1459</v>
      </c>
      <c r="J459" s="157" t="s">
        <v>1340</v>
      </c>
      <c r="K459" s="157" t="s">
        <v>1269</v>
      </c>
      <c r="L459" s="157" t="s">
        <v>9758</v>
      </c>
      <c r="M459" s="157" t="str">
        <f t="shared" si="15"/>
        <v>Headlamp Assy' Full LED Left - Power Supply</v>
      </c>
      <c r="N459" s="157"/>
      <c r="O459" s="157"/>
      <c r="P459" s="167" t="s">
        <v>7396</v>
      </c>
      <c r="Q459" s="157" t="s">
        <v>2115</v>
      </c>
      <c r="R459" s="157" t="s">
        <v>8263</v>
      </c>
      <c r="S459" s="157" t="s">
        <v>8615</v>
      </c>
      <c r="T459" s="157"/>
      <c r="U459" s="159" t="s">
        <v>2129</v>
      </c>
      <c r="V459" s="159" t="s">
        <v>2138</v>
      </c>
      <c r="W459" s="159" t="s">
        <v>2129</v>
      </c>
      <c r="X459" s="160">
        <v>0.24</v>
      </c>
      <c r="Y459" s="160">
        <v>0.24</v>
      </c>
      <c r="Z459" s="160">
        <f>(3*0.24+4.67*(2*1/(20*60))+4.67*1)/12.34</f>
        <v>0.43742166396542409</v>
      </c>
      <c r="AA459" s="160">
        <f>(3*0.24+4.67*0.3+4.67*1)/12.34</f>
        <v>0.55032414910858996</v>
      </c>
    </row>
    <row r="460" spans="1:27" ht="18" customHeight="1" x14ac:dyDescent="0.25">
      <c r="A460" s="159">
        <v>523</v>
      </c>
      <c r="B460" s="157" t="s">
        <v>266</v>
      </c>
      <c r="C460" s="157" t="s">
        <v>286</v>
      </c>
      <c r="D460" s="159" t="s">
        <v>289</v>
      </c>
      <c r="E460" s="157" t="s">
        <v>287</v>
      </c>
      <c r="F460" s="157" t="s">
        <v>1277</v>
      </c>
      <c r="G460" s="157" t="s">
        <v>1536</v>
      </c>
      <c r="H460" s="157" t="s">
        <v>1287</v>
      </c>
      <c r="I460" s="157" t="s">
        <v>1459</v>
      </c>
      <c r="J460" s="157" t="s">
        <v>1340</v>
      </c>
      <c r="K460" s="157" t="s">
        <v>1269</v>
      </c>
      <c r="L460" s="157" t="s">
        <v>9758</v>
      </c>
      <c r="M460" s="157" t="str">
        <f t="shared" si="15"/>
        <v>Headlamp Assy' Full LED Left - Power Supply</v>
      </c>
      <c r="N460" s="157"/>
      <c r="O460" s="157"/>
      <c r="P460" s="167" t="s">
        <v>7396</v>
      </c>
      <c r="Q460" s="157" t="s">
        <v>2115</v>
      </c>
      <c r="R460" s="157" t="s">
        <v>8263</v>
      </c>
      <c r="S460" s="157" t="s">
        <v>8615</v>
      </c>
      <c r="T460" s="157"/>
      <c r="U460" s="159" t="s">
        <v>2129</v>
      </c>
      <c r="V460" s="159" t="s">
        <v>2138</v>
      </c>
      <c r="W460" s="159" t="s">
        <v>2129</v>
      </c>
      <c r="X460" s="160">
        <v>0.24</v>
      </c>
      <c r="Y460" s="160">
        <v>0.24</v>
      </c>
      <c r="Z460" s="160">
        <f>(3*0.24+4.67*(2*1/(20*60))+4.67*1)/12.34</f>
        <v>0.43742166396542409</v>
      </c>
      <c r="AA460" s="160">
        <f>(3*0.24+4.67*0.3+4.67*1)/12.34</f>
        <v>0.55032414910858996</v>
      </c>
    </row>
    <row r="461" spans="1:27" ht="18" customHeight="1" x14ac:dyDescent="0.25">
      <c r="A461" s="159">
        <v>525</v>
      </c>
      <c r="B461" s="157" t="s">
        <v>29</v>
      </c>
      <c r="C461" s="157" t="s">
        <v>30</v>
      </c>
      <c r="D461" s="159" t="s">
        <v>95</v>
      </c>
      <c r="E461" s="157" t="s">
        <v>93</v>
      </c>
      <c r="F461" s="157" t="s">
        <v>1277</v>
      </c>
      <c r="G461" s="157" t="s">
        <v>1536</v>
      </c>
      <c r="H461" s="157" t="s">
        <v>1287</v>
      </c>
      <c r="I461" s="157" t="s">
        <v>8285</v>
      </c>
      <c r="J461" s="157" t="s">
        <v>1285</v>
      </c>
      <c r="K461" s="157" t="s">
        <v>1269</v>
      </c>
      <c r="L461" s="157" t="s">
        <v>1469</v>
      </c>
      <c r="M461" s="157" t="str">
        <f t="shared" si="15"/>
        <v>Side Repeater FL - Turn Signal L</v>
      </c>
      <c r="N461" s="157"/>
      <c r="O461" s="157"/>
      <c r="P461" s="159" t="s">
        <v>8149</v>
      </c>
      <c r="Q461" s="157"/>
      <c r="R461" s="157"/>
      <c r="S461" s="157"/>
      <c r="T461" s="157"/>
      <c r="U461" s="159" t="s">
        <v>2129</v>
      </c>
      <c r="V461" s="159" t="s">
        <v>2138</v>
      </c>
      <c r="W461" s="159" t="s">
        <v>2138</v>
      </c>
      <c r="X461" s="160">
        <v>0.3</v>
      </c>
      <c r="Y461" s="160">
        <v>0.1</v>
      </c>
      <c r="Z461" s="160">
        <v>0.3</v>
      </c>
      <c r="AA461" s="160">
        <v>0.1</v>
      </c>
    </row>
    <row r="462" spans="1:27" ht="18" customHeight="1" x14ac:dyDescent="0.25">
      <c r="A462" s="159">
        <v>525</v>
      </c>
      <c r="B462" s="157" t="s">
        <v>29</v>
      </c>
      <c r="C462" s="157" t="s">
        <v>30</v>
      </c>
      <c r="D462" s="159" t="s">
        <v>401</v>
      </c>
      <c r="E462" s="157" t="s">
        <v>399</v>
      </c>
      <c r="F462" s="157" t="s">
        <v>1277</v>
      </c>
      <c r="G462" s="157" t="s">
        <v>1536</v>
      </c>
      <c r="H462" s="157" t="s">
        <v>1287</v>
      </c>
      <c r="I462" s="157" t="s">
        <v>8285</v>
      </c>
      <c r="J462" s="157" t="s">
        <v>1285</v>
      </c>
      <c r="K462" s="157" t="s">
        <v>1269</v>
      </c>
      <c r="L462" s="157" t="s">
        <v>1469</v>
      </c>
      <c r="M462" s="157" t="str">
        <f t="shared" si="15"/>
        <v>Side Repeater FL - Turn Signal L</v>
      </c>
      <c r="N462" s="157"/>
      <c r="O462" s="157"/>
      <c r="P462" s="159" t="s">
        <v>8149</v>
      </c>
      <c r="Q462" s="157"/>
      <c r="R462" s="157"/>
      <c r="S462" s="157"/>
      <c r="T462" s="157"/>
      <c r="U462" s="159" t="s">
        <v>2129</v>
      </c>
      <c r="V462" s="159" t="s">
        <v>2138</v>
      </c>
      <c r="W462" s="159" t="s">
        <v>2138</v>
      </c>
      <c r="X462" s="160">
        <v>0.3</v>
      </c>
      <c r="Y462" s="160">
        <v>0.1</v>
      </c>
      <c r="Z462" s="160">
        <v>0.3</v>
      </c>
      <c r="AA462" s="160">
        <v>0.1</v>
      </c>
    </row>
    <row r="463" spans="1:27" ht="18" customHeight="1" x14ac:dyDescent="0.25">
      <c r="A463" s="159">
        <v>525</v>
      </c>
      <c r="B463" s="157" t="s">
        <v>29</v>
      </c>
      <c r="C463" s="157" t="s">
        <v>30</v>
      </c>
      <c r="D463" s="159" t="s">
        <v>96</v>
      </c>
      <c r="E463" s="157" t="s">
        <v>402</v>
      </c>
      <c r="F463" s="157" t="s">
        <v>1277</v>
      </c>
      <c r="G463" s="157" t="s">
        <v>1536</v>
      </c>
      <c r="H463" s="157" t="s">
        <v>1287</v>
      </c>
      <c r="I463" s="157" t="s">
        <v>8285</v>
      </c>
      <c r="J463" s="157" t="s">
        <v>1285</v>
      </c>
      <c r="K463" s="157" t="s">
        <v>1269</v>
      </c>
      <c r="L463" s="157" t="s">
        <v>1469</v>
      </c>
      <c r="M463" s="157" t="str">
        <f t="shared" si="15"/>
        <v>Side Repeater FL - Turn Signal L</v>
      </c>
      <c r="N463" s="157"/>
      <c r="O463" s="157"/>
      <c r="P463" s="159" t="s">
        <v>8149</v>
      </c>
      <c r="Q463" s="157"/>
      <c r="R463" s="157"/>
      <c r="S463" s="157"/>
      <c r="T463" s="157"/>
      <c r="U463" s="159" t="s">
        <v>2129</v>
      </c>
      <c r="V463" s="159" t="s">
        <v>2138</v>
      </c>
      <c r="W463" s="159" t="s">
        <v>2138</v>
      </c>
      <c r="X463" s="160">
        <v>0.3</v>
      </c>
      <c r="Y463" s="160">
        <v>0.1</v>
      </c>
      <c r="Z463" s="160">
        <v>0.3</v>
      </c>
      <c r="AA463" s="160">
        <v>0.1</v>
      </c>
    </row>
    <row r="464" spans="1:27" ht="18" customHeight="1" x14ac:dyDescent="0.25">
      <c r="A464" s="159">
        <v>526</v>
      </c>
      <c r="B464" s="157" t="s">
        <v>29</v>
      </c>
      <c r="C464" s="157" t="s">
        <v>30</v>
      </c>
      <c r="D464" s="159" t="s">
        <v>95</v>
      </c>
      <c r="E464" s="157" t="s">
        <v>93</v>
      </c>
      <c r="F464" s="157" t="s">
        <v>1277</v>
      </c>
      <c r="G464" s="157" t="s">
        <v>1536</v>
      </c>
      <c r="H464" s="157" t="s">
        <v>1287</v>
      </c>
      <c r="I464" s="157" t="s">
        <v>8286</v>
      </c>
      <c r="J464" s="157" t="s">
        <v>1285</v>
      </c>
      <c r="K464" s="157" t="s">
        <v>1269</v>
      </c>
      <c r="L464" s="157" t="s">
        <v>1470</v>
      </c>
      <c r="M464" s="157" t="str">
        <f t="shared" si="15"/>
        <v>Side Repeater FR - Turn Signal R</v>
      </c>
      <c r="N464" s="157"/>
      <c r="O464" s="157"/>
      <c r="P464" s="159" t="s">
        <v>2242</v>
      </c>
      <c r="Q464" s="157"/>
      <c r="R464" s="157"/>
      <c r="S464" s="157"/>
      <c r="T464" s="157"/>
      <c r="U464" s="159" t="s">
        <v>2129</v>
      </c>
      <c r="V464" s="159" t="s">
        <v>2138</v>
      </c>
      <c r="W464" s="159" t="s">
        <v>2138</v>
      </c>
      <c r="X464" s="160">
        <v>0.3</v>
      </c>
      <c r="Y464" s="160">
        <v>0.1</v>
      </c>
      <c r="Z464" s="160">
        <v>0.3</v>
      </c>
      <c r="AA464" s="160">
        <v>0.1</v>
      </c>
    </row>
    <row r="465" spans="1:27" ht="18" customHeight="1" x14ac:dyDescent="0.25">
      <c r="A465" s="159">
        <v>526</v>
      </c>
      <c r="B465" s="157" t="s">
        <v>29</v>
      </c>
      <c r="C465" s="157" t="s">
        <v>30</v>
      </c>
      <c r="D465" s="159" t="s">
        <v>401</v>
      </c>
      <c r="E465" s="157" t="s">
        <v>399</v>
      </c>
      <c r="F465" s="157" t="s">
        <v>1277</v>
      </c>
      <c r="G465" s="157" t="s">
        <v>1536</v>
      </c>
      <c r="H465" s="157" t="s">
        <v>1287</v>
      </c>
      <c r="I465" s="157" t="s">
        <v>8286</v>
      </c>
      <c r="J465" s="157" t="s">
        <v>1285</v>
      </c>
      <c r="K465" s="157" t="s">
        <v>1269</v>
      </c>
      <c r="L465" s="157" t="s">
        <v>1470</v>
      </c>
      <c r="M465" s="157" t="str">
        <f t="shared" si="15"/>
        <v>Side Repeater FR - Turn Signal R</v>
      </c>
      <c r="N465" s="157"/>
      <c r="O465" s="157"/>
      <c r="P465" s="159" t="s">
        <v>2242</v>
      </c>
      <c r="Q465" s="157"/>
      <c r="R465" s="157"/>
      <c r="S465" s="157"/>
      <c r="T465" s="157"/>
      <c r="U465" s="159" t="s">
        <v>2129</v>
      </c>
      <c r="V465" s="159" t="s">
        <v>2138</v>
      </c>
      <c r="W465" s="159" t="s">
        <v>2138</v>
      </c>
      <c r="X465" s="160">
        <v>0.3</v>
      </c>
      <c r="Y465" s="160">
        <v>0.1</v>
      </c>
      <c r="Z465" s="160">
        <v>0.3</v>
      </c>
      <c r="AA465" s="160">
        <v>0.1</v>
      </c>
    </row>
    <row r="466" spans="1:27" ht="18" customHeight="1" x14ac:dyDescent="0.25">
      <c r="A466" s="159">
        <v>526</v>
      </c>
      <c r="B466" s="157" t="s">
        <v>29</v>
      </c>
      <c r="C466" s="157" t="s">
        <v>30</v>
      </c>
      <c r="D466" s="159" t="s">
        <v>96</v>
      </c>
      <c r="E466" s="157" t="s">
        <v>402</v>
      </c>
      <c r="F466" s="157" t="s">
        <v>1277</v>
      </c>
      <c r="G466" s="157" t="s">
        <v>1536</v>
      </c>
      <c r="H466" s="157" t="s">
        <v>1287</v>
      </c>
      <c r="I466" s="157" t="s">
        <v>8286</v>
      </c>
      <c r="J466" s="157" t="s">
        <v>1285</v>
      </c>
      <c r="K466" s="157" t="s">
        <v>1269</v>
      </c>
      <c r="L466" s="157" t="s">
        <v>1470</v>
      </c>
      <c r="M466" s="157" t="str">
        <f t="shared" si="15"/>
        <v>Side Repeater FR - Turn Signal R</v>
      </c>
      <c r="N466" s="157"/>
      <c r="O466" s="157"/>
      <c r="P466" s="159" t="s">
        <v>2242</v>
      </c>
      <c r="Q466" s="157"/>
      <c r="R466" s="157"/>
      <c r="S466" s="157"/>
      <c r="T466" s="157"/>
      <c r="U466" s="159" t="s">
        <v>2129</v>
      </c>
      <c r="V466" s="159" t="s">
        <v>2138</v>
      </c>
      <c r="W466" s="159" t="s">
        <v>2138</v>
      </c>
      <c r="X466" s="160">
        <v>0.3</v>
      </c>
      <c r="Y466" s="160">
        <v>0.1</v>
      </c>
      <c r="Z466" s="160">
        <v>0.3</v>
      </c>
      <c r="AA466" s="160">
        <v>0.1</v>
      </c>
    </row>
    <row r="467" spans="1:27" ht="18" customHeight="1" x14ac:dyDescent="0.25">
      <c r="A467" s="159">
        <v>527</v>
      </c>
      <c r="B467" s="157" t="s">
        <v>29</v>
      </c>
      <c r="C467" s="157" t="s">
        <v>207</v>
      </c>
      <c r="D467" s="159" t="s">
        <v>211</v>
      </c>
      <c r="E467" s="157" t="s">
        <v>249</v>
      </c>
      <c r="F467" s="157" t="s">
        <v>1277</v>
      </c>
      <c r="G467" s="157" t="s">
        <v>1536</v>
      </c>
      <c r="H467" s="157" t="s">
        <v>1431</v>
      </c>
      <c r="I467" s="157" t="s">
        <v>1471</v>
      </c>
      <c r="J467" s="157" t="s">
        <v>1285</v>
      </c>
      <c r="K467" s="157" t="s">
        <v>1269</v>
      </c>
      <c r="L467" s="157" t="s">
        <v>8527</v>
      </c>
      <c r="M467" s="157" t="str">
        <f t="shared" si="15"/>
        <v>Wiper Motor - Front Wiper</v>
      </c>
      <c r="N467" s="157"/>
      <c r="O467" s="157"/>
      <c r="P467" s="159" t="s">
        <v>6572</v>
      </c>
      <c r="Q467" s="157" t="s">
        <v>2115</v>
      </c>
      <c r="R467" s="157" t="s">
        <v>2144</v>
      </c>
      <c r="S467" s="157" t="s">
        <v>8616</v>
      </c>
      <c r="T467" s="157" t="s">
        <v>2129</v>
      </c>
      <c r="U467" s="159" t="s">
        <v>2138</v>
      </c>
      <c r="V467" s="159" t="s">
        <v>2138</v>
      </c>
      <c r="W467" s="159" t="s">
        <v>2129</v>
      </c>
      <c r="X467" s="160">
        <v>0</v>
      </c>
      <c r="Y467" s="160">
        <v>0</v>
      </c>
      <c r="Z467" s="160">
        <v>0.5</v>
      </c>
      <c r="AA467" s="160">
        <v>1</v>
      </c>
    </row>
    <row r="468" spans="1:27" ht="18" customHeight="1" x14ac:dyDescent="0.25">
      <c r="A468" s="159">
        <v>528</v>
      </c>
      <c r="B468" s="157" t="s">
        <v>29</v>
      </c>
      <c r="C468" s="157" t="s">
        <v>153</v>
      </c>
      <c r="D468" s="159" t="s">
        <v>157</v>
      </c>
      <c r="E468" s="157" t="s">
        <v>381</v>
      </c>
      <c r="F468" s="157" t="s">
        <v>1264</v>
      </c>
      <c r="G468" s="157" t="s">
        <v>1536</v>
      </c>
      <c r="H468" s="157" t="s">
        <v>1431</v>
      </c>
      <c r="I468" s="157" t="s">
        <v>1472</v>
      </c>
      <c r="J468" s="157" t="s">
        <v>1285</v>
      </c>
      <c r="K468" s="157" t="s">
        <v>1269</v>
      </c>
      <c r="L468" s="157" t="s">
        <v>8510</v>
      </c>
      <c r="M468" s="157" t="str">
        <f t="shared" si="15"/>
        <v>Washer Pump Dual - Windshield and Rear Window Washer</v>
      </c>
      <c r="N468" s="157"/>
      <c r="O468" s="157"/>
      <c r="P468" s="159" t="s">
        <v>2415</v>
      </c>
      <c r="Q468" s="157" t="s">
        <v>2115</v>
      </c>
      <c r="R468" s="157" t="s">
        <v>2130</v>
      </c>
      <c r="S468" s="157" t="s">
        <v>8609</v>
      </c>
      <c r="T468" s="157" t="s">
        <v>2129</v>
      </c>
      <c r="U468" s="159" t="s">
        <v>2129</v>
      </c>
      <c r="V468" s="159" t="s">
        <v>2138</v>
      </c>
      <c r="W468" s="159" t="s">
        <v>2138</v>
      </c>
      <c r="X468" s="160">
        <v>0</v>
      </c>
      <c r="Y468" s="160">
        <f>2*5/(20*60)</f>
        <v>8.3333333333333332E-3</v>
      </c>
      <c r="Z468" s="160">
        <f>4*5/(20*60)</f>
        <v>1.6666666666666666E-2</v>
      </c>
      <c r="AA468" s="160">
        <f>4*5/(20*60)</f>
        <v>1.6666666666666666E-2</v>
      </c>
    </row>
    <row r="469" spans="1:27" ht="18" customHeight="1" x14ac:dyDescent="0.25">
      <c r="A469" s="159">
        <v>530</v>
      </c>
      <c r="B469" s="157" t="s">
        <v>29</v>
      </c>
      <c r="C469" s="157" t="s">
        <v>120</v>
      </c>
      <c r="D469" s="159" t="s">
        <v>160</v>
      </c>
      <c r="E469" s="157" t="s">
        <v>158</v>
      </c>
      <c r="F469" s="157" t="s">
        <v>1264</v>
      </c>
      <c r="G469" s="157" t="s">
        <v>1278</v>
      </c>
      <c r="H469" s="157" t="s">
        <v>1474</v>
      </c>
      <c r="I469" s="157" t="s">
        <v>1475</v>
      </c>
      <c r="J469" s="157" t="s">
        <v>1476</v>
      </c>
      <c r="K469" s="157" t="s">
        <v>1269</v>
      </c>
      <c r="L469" s="157" t="s">
        <v>8270</v>
      </c>
      <c r="M469" s="157" t="str">
        <f t="shared" si="15"/>
        <v>Windshield Heater L - Windshield Deffogging</v>
      </c>
      <c r="N469" s="157"/>
      <c r="O469" s="157"/>
      <c r="P469" s="159" t="s">
        <v>4337</v>
      </c>
      <c r="Q469" s="157" t="s">
        <v>2115</v>
      </c>
      <c r="R469" s="157" t="s">
        <v>8271</v>
      </c>
      <c r="S469" s="157" t="s">
        <v>8617</v>
      </c>
      <c r="T469" s="157"/>
      <c r="U469" s="159" t="s">
        <v>2129</v>
      </c>
      <c r="V469" s="159" t="s">
        <v>2138</v>
      </c>
      <c r="W469" s="159" t="s">
        <v>2138</v>
      </c>
      <c r="X469" s="160">
        <v>0</v>
      </c>
      <c r="Y469" s="160">
        <v>0.25</v>
      </c>
      <c r="Z469" s="160">
        <v>0.25</v>
      </c>
      <c r="AA469" s="160">
        <v>0.1</v>
      </c>
    </row>
    <row r="470" spans="1:27" ht="18" customHeight="1" x14ac:dyDescent="0.25">
      <c r="A470" s="159">
        <v>531</v>
      </c>
      <c r="B470" s="157" t="s">
        <v>29</v>
      </c>
      <c r="C470" s="157" t="s">
        <v>120</v>
      </c>
      <c r="D470" s="159" t="s">
        <v>160</v>
      </c>
      <c r="E470" s="157" t="s">
        <v>158</v>
      </c>
      <c r="F470" s="157" t="s">
        <v>1264</v>
      </c>
      <c r="G470" s="157" t="s">
        <v>1278</v>
      </c>
      <c r="H470" s="157" t="s">
        <v>1474</v>
      </c>
      <c r="I470" s="157" t="s">
        <v>1475</v>
      </c>
      <c r="J470" s="157" t="s">
        <v>1476</v>
      </c>
      <c r="K470" s="157" t="s">
        <v>1269</v>
      </c>
      <c r="L470" s="157" t="s">
        <v>9585</v>
      </c>
      <c r="M470" s="157" t="str">
        <f t="shared" si="15"/>
        <v>Windshield Heater R - Windshield Deffogging</v>
      </c>
      <c r="N470" s="157"/>
      <c r="O470" s="157"/>
      <c r="P470" s="159" t="s">
        <v>4337</v>
      </c>
      <c r="Q470" s="157" t="s">
        <v>2115</v>
      </c>
      <c r="R470" s="157" t="s">
        <v>9529</v>
      </c>
      <c r="S470" s="157" t="s">
        <v>9530</v>
      </c>
      <c r="T470" s="157"/>
      <c r="U470" s="159" t="s">
        <v>2129</v>
      </c>
      <c r="V470" s="159" t="s">
        <v>2138</v>
      </c>
      <c r="W470" s="159" t="s">
        <v>2138</v>
      </c>
      <c r="X470" s="160">
        <v>0</v>
      </c>
      <c r="Y470" s="160">
        <v>0.25</v>
      </c>
      <c r="Z470" s="160">
        <v>0.25</v>
      </c>
      <c r="AA470" s="160">
        <v>0.1</v>
      </c>
    </row>
    <row r="471" spans="1:27" ht="18" customHeight="1" x14ac:dyDescent="0.25">
      <c r="A471" s="159">
        <v>535</v>
      </c>
      <c r="B471" s="157" t="s">
        <v>63</v>
      </c>
      <c r="C471" s="157" t="s">
        <v>162</v>
      </c>
      <c r="D471" s="159" t="s">
        <v>477</v>
      </c>
      <c r="E471" s="157" t="s">
        <v>475</v>
      </c>
      <c r="F471" s="157" t="s">
        <v>1381</v>
      </c>
      <c r="G471" s="157" t="s">
        <v>1349</v>
      </c>
      <c r="H471" s="157" t="s">
        <v>1478</v>
      </c>
      <c r="I471" s="157" t="s">
        <v>1479</v>
      </c>
      <c r="J471" s="157" t="s">
        <v>1324</v>
      </c>
      <c r="K471" s="157" t="s">
        <v>1480</v>
      </c>
      <c r="L471" s="157" t="s">
        <v>1478</v>
      </c>
      <c r="M471" s="157" t="str">
        <f t="shared" si="15"/>
        <v>Warning - Pedestrian Warning</v>
      </c>
      <c r="N471" s="157"/>
      <c r="O471" s="157"/>
      <c r="P471" s="167" t="s">
        <v>3507</v>
      </c>
      <c r="Q471" s="157" t="s">
        <v>2115</v>
      </c>
      <c r="R471" s="157" t="s">
        <v>8426</v>
      </c>
      <c r="S471" s="157" t="s">
        <v>8580</v>
      </c>
      <c r="T471" s="157"/>
      <c r="U471" s="159" t="s">
        <v>2129</v>
      </c>
      <c r="V471" s="159" t="s">
        <v>2129</v>
      </c>
      <c r="W471" s="159" t="s">
        <v>2138</v>
      </c>
      <c r="X471" s="160">
        <v>0</v>
      </c>
      <c r="Y471" s="160">
        <v>0</v>
      </c>
      <c r="Z471" s="160">
        <v>0</v>
      </c>
      <c r="AA471" s="160">
        <v>0</v>
      </c>
    </row>
    <row r="472" spans="1:27" ht="18" customHeight="1" x14ac:dyDescent="0.25">
      <c r="A472" s="159">
        <v>537</v>
      </c>
      <c r="B472" s="164" t="s">
        <v>29</v>
      </c>
      <c r="C472" s="164" t="s">
        <v>113</v>
      </c>
      <c r="D472" s="159" t="s">
        <v>439</v>
      </c>
      <c r="E472" s="164" t="s">
        <v>437</v>
      </c>
      <c r="F472" s="159"/>
      <c r="G472" s="157" t="s">
        <v>1349</v>
      </c>
      <c r="H472" s="157" t="s">
        <v>1350</v>
      </c>
      <c r="I472" s="157" t="s">
        <v>1481</v>
      </c>
      <c r="J472" s="157" t="s">
        <v>8296</v>
      </c>
      <c r="K472" s="157" t="s">
        <v>1352</v>
      </c>
      <c r="L472" s="157" t="s">
        <v>8497</v>
      </c>
      <c r="M472" s="157" t="str">
        <f t="shared" si="15"/>
        <v>Repeater Cam Left - Reward View Left</v>
      </c>
      <c r="N472" s="157"/>
      <c r="O472" s="157"/>
      <c r="P472" s="159" t="s">
        <v>8149</v>
      </c>
      <c r="Q472" s="157" t="s">
        <v>2115</v>
      </c>
      <c r="R472" s="157" t="s">
        <v>8291</v>
      </c>
      <c r="S472" s="157" t="s">
        <v>8604</v>
      </c>
      <c r="T472" s="157"/>
      <c r="U472" s="159" t="s">
        <v>2129</v>
      </c>
      <c r="V472" s="159" t="s">
        <v>2138</v>
      </c>
      <c r="W472" s="159" t="s">
        <v>2129</v>
      </c>
      <c r="X472" s="160">
        <v>1</v>
      </c>
      <c r="Y472" s="160">
        <v>1</v>
      </c>
      <c r="Z472" s="160">
        <v>1</v>
      </c>
      <c r="AA472" s="160">
        <v>1</v>
      </c>
    </row>
    <row r="473" spans="1:27" ht="18" customHeight="1" x14ac:dyDescent="0.25">
      <c r="A473" s="159">
        <v>537</v>
      </c>
      <c r="B473" s="164" t="s">
        <v>29</v>
      </c>
      <c r="C473" s="164" t="s">
        <v>113</v>
      </c>
      <c r="D473" s="159" t="s">
        <v>932</v>
      </c>
      <c r="E473" s="164" t="s">
        <v>930</v>
      </c>
      <c r="F473" s="159"/>
      <c r="G473" s="157" t="s">
        <v>1349</v>
      </c>
      <c r="H473" s="157" t="s">
        <v>1350</v>
      </c>
      <c r="I473" s="157" t="s">
        <v>1481</v>
      </c>
      <c r="J473" s="157" t="s">
        <v>8296</v>
      </c>
      <c r="K473" s="157" t="s">
        <v>1352</v>
      </c>
      <c r="L473" s="157" t="s">
        <v>8497</v>
      </c>
      <c r="M473" s="157" t="str">
        <f t="shared" si="15"/>
        <v>Repeater Cam Left - Reward View Left</v>
      </c>
      <c r="N473" s="157"/>
      <c r="O473" s="157"/>
      <c r="P473" s="159" t="s">
        <v>8149</v>
      </c>
      <c r="Q473" s="157" t="s">
        <v>2115</v>
      </c>
      <c r="R473" s="157" t="s">
        <v>8291</v>
      </c>
      <c r="S473" s="157" t="s">
        <v>8604</v>
      </c>
      <c r="T473" s="157"/>
      <c r="U473" s="159" t="s">
        <v>2129</v>
      </c>
      <c r="V473" s="159" t="s">
        <v>2138</v>
      </c>
      <c r="W473" s="159" t="s">
        <v>2129</v>
      </c>
      <c r="X473" s="160">
        <v>1</v>
      </c>
      <c r="Y473" s="160">
        <v>1</v>
      </c>
      <c r="Z473" s="160">
        <v>1</v>
      </c>
      <c r="AA473" s="160">
        <v>1</v>
      </c>
    </row>
    <row r="474" spans="1:27" ht="18" customHeight="1" x14ac:dyDescent="0.25">
      <c r="A474" s="159">
        <v>537</v>
      </c>
      <c r="B474" s="164" t="s">
        <v>266</v>
      </c>
      <c r="C474" s="164" t="s">
        <v>276</v>
      </c>
      <c r="D474" s="159" t="s">
        <v>734</v>
      </c>
      <c r="E474" s="164" t="s">
        <v>732</v>
      </c>
      <c r="F474" s="159"/>
      <c r="G474" s="157" t="s">
        <v>1349</v>
      </c>
      <c r="H474" s="157" t="s">
        <v>1350</v>
      </c>
      <c r="I474" s="157" t="s">
        <v>1481</v>
      </c>
      <c r="J474" s="157" t="s">
        <v>8296</v>
      </c>
      <c r="K474" s="157" t="s">
        <v>1352</v>
      </c>
      <c r="L474" s="157" t="s">
        <v>8497</v>
      </c>
      <c r="M474" s="157" t="str">
        <f t="shared" si="15"/>
        <v>Repeater Cam Left - Reward View Left</v>
      </c>
      <c r="N474" s="157"/>
      <c r="O474" s="157"/>
      <c r="P474" s="159" t="s">
        <v>8149</v>
      </c>
      <c r="Q474" s="157" t="s">
        <v>2115</v>
      </c>
      <c r="R474" s="157" t="s">
        <v>8291</v>
      </c>
      <c r="S474" s="157" t="s">
        <v>8604</v>
      </c>
      <c r="T474" s="157"/>
      <c r="U474" s="159" t="s">
        <v>2129</v>
      </c>
      <c r="V474" s="159" t="s">
        <v>2138</v>
      </c>
      <c r="W474" s="159" t="s">
        <v>2129</v>
      </c>
      <c r="X474" s="160">
        <v>1</v>
      </c>
      <c r="Y474" s="160">
        <v>1</v>
      </c>
      <c r="Z474" s="160">
        <v>1</v>
      </c>
      <c r="AA474" s="160">
        <v>1</v>
      </c>
    </row>
    <row r="475" spans="1:27" ht="18" customHeight="1" x14ac:dyDescent="0.25">
      <c r="A475" s="159">
        <v>537</v>
      </c>
      <c r="B475" s="164" t="s">
        <v>266</v>
      </c>
      <c r="C475" s="164" t="s">
        <v>294</v>
      </c>
      <c r="D475" s="159" t="s">
        <v>297</v>
      </c>
      <c r="E475" s="164" t="s">
        <v>295</v>
      </c>
      <c r="F475" s="159"/>
      <c r="G475" s="157" t="s">
        <v>1349</v>
      </c>
      <c r="H475" s="157" t="s">
        <v>1350</v>
      </c>
      <c r="I475" s="157" t="s">
        <v>1481</v>
      </c>
      <c r="J475" s="157" t="s">
        <v>8296</v>
      </c>
      <c r="K475" s="157" t="s">
        <v>1352</v>
      </c>
      <c r="L475" s="157" t="s">
        <v>8497</v>
      </c>
      <c r="M475" s="157" t="str">
        <f t="shared" si="15"/>
        <v>Repeater Cam Left - Reward View Left</v>
      </c>
      <c r="N475" s="157"/>
      <c r="O475" s="157"/>
      <c r="P475" s="159" t="s">
        <v>8149</v>
      </c>
      <c r="Q475" s="157" t="s">
        <v>2115</v>
      </c>
      <c r="R475" s="157" t="s">
        <v>8291</v>
      </c>
      <c r="S475" s="157" t="s">
        <v>8604</v>
      </c>
      <c r="T475" s="157"/>
      <c r="U475" s="159" t="s">
        <v>2129</v>
      </c>
      <c r="V475" s="159" t="s">
        <v>2138</v>
      </c>
      <c r="W475" s="159" t="s">
        <v>2129</v>
      </c>
      <c r="X475" s="160">
        <v>1</v>
      </c>
      <c r="Y475" s="160">
        <v>1</v>
      </c>
      <c r="Z475" s="160">
        <v>1</v>
      </c>
      <c r="AA475" s="160">
        <v>1</v>
      </c>
    </row>
    <row r="476" spans="1:27" ht="18" customHeight="1" x14ac:dyDescent="0.25">
      <c r="A476" s="159">
        <v>537</v>
      </c>
      <c r="B476" s="164" t="s">
        <v>266</v>
      </c>
      <c r="C476" s="164" t="s">
        <v>294</v>
      </c>
      <c r="D476" s="159" t="s">
        <v>298</v>
      </c>
      <c r="E476" s="164" t="s">
        <v>299</v>
      </c>
      <c r="F476" s="159"/>
      <c r="G476" s="157" t="s">
        <v>1349</v>
      </c>
      <c r="H476" s="157" t="s">
        <v>1350</v>
      </c>
      <c r="I476" s="157" t="s">
        <v>1481</v>
      </c>
      <c r="J476" s="157" t="s">
        <v>8296</v>
      </c>
      <c r="K476" s="157" t="s">
        <v>1352</v>
      </c>
      <c r="L476" s="157" t="s">
        <v>8497</v>
      </c>
      <c r="M476" s="157" t="str">
        <f t="shared" si="15"/>
        <v>Repeater Cam Left - Reward View Left</v>
      </c>
      <c r="N476" s="157"/>
      <c r="O476" s="157"/>
      <c r="P476" s="159" t="s">
        <v>8149</v>
      </c>
      <c r="Q476" s="157" t="s">
        <v>2115</v>
      </c>
      <c r="R476" s="157" t="s">
        <v>8291</v>
      </c>
      <c r="S476" s="157" t="s">
        <v>8604</v>
      </c>
      <c r="T476" s="157"/>
      <c r="U476" s="159" t="s">
        <v>2129</v>
      </c>
      <c r="V476" s="159" t="s">
        <v>2138</v>
      </c>
      <c r="W476" s="159" t="s">
        <v>2129</v>
      </c>
      <c r="X476" s="160">
        <v>1</v>
      </c>
      <c r="Y476" s="160">
        <v>1</v>
      </c>
      <c r="Z476" s="160">
        <v>1</v>
      </c>
      <c r="AA476" s="160">
        <v>1</v>
      </c>
    </row>
    <row r="477" spans="1:27" ht="18" customHeight="1" x14ac:dyDescent="0.25">
      <c r="A477" s="159">
        <v>537</v>
      </c>
      <c r="B477" s="164" t="s">
        <v>266</v>
      </c>
      <c r="C477" s="164" t="s">
        <v>294</v>
      </c>
      <c r="D477" s="159" t="s">
        <v>503</v>
      </c>
      <c r="E477" s="164" t="s">
        <v>501</v>
      </c>
      <c r="F477" s="159"/>
      <c r="G477" s="157" t="s">
        <v>1349</v>
      </c>
      <c r="H477" s="157" t="s">
        <v>1350</v>
      </c>
      <c r="I477" s="157" t="s">
        <v>1481</v>
      </c>
      <c r="J477" s="157" t="s">
        <v>8296</v>
      </c>
      <c r="K477" s="157" t="s">
        <v>1352</v>
      </c>
      <c r="L477" s="157" t="s">
        <v>8497</v>
      </c>
      <c r="M477" s="157" t="str">
        <f t="shared" si="15"/>
        <v>Repeater Cam Left - Reward View Left</v>
      </c>
      <c r="N477" s="157"/>
      <c r="O477" s="157"/>
      <c r="P477" s="159" t="s">
        <v>8149</v>
      </c>
      <c r="Q477" s="157" t="s">
        <v>2115</v>
      </c>
      <c r="R477" s="157" t="s">
        <v>8291</v>
      </c>
      <c r="S477" s="157" t="s">
        <v>8604</v>
      </c>
      <c r="T477" s="157"/>
      <c r="U477" s="159" t="s">
        <v>2129</v>
      </c>
      <c r="V477" s="159" t="s">
        <v>2138</v>
      </c>
      <c r="W477" s="159" t="s">
        <v>2129</v>
      </c>
      <c r="X477" s="160">
        <v>1</v>
      </c>
      <c r="Y477" s="160">
        <v>1</v>
      </c>
      <c r="Z477" s="160">
        <v>1</v>
      </c>
      <c r="AA477" s="160">
        <v>1</v>
      </c>
    </row>
    <row r="478" spans="1:27" ht="18" customHeight="1" x14ac:dyDescent="0.25">
      <c r="A478" s="159">
        <v>537</v>
      </c>
      <c r="B478" s="164" t="s">
        <v>266</v>
      </c>
      <c r="C478" s="164" t="s">
        <v>294</v>
      </c>
      <c r="D478" s="159" t="s">
        <v>692</v>
      </c>
      <c r="E478" s="164" t="s">
        <v>690</v>
      </c>
      <c r="F478" s="159"/>
      <c r="G478" s="157" t="s">
        <v>1349</v>
      </c>
      <c r="H478" s="157" t="s">
        <v>1350</v>
      </c>
      <c r="I478" s="157" t="s">
        <v>1481</v>
      </c>
      <c r="J478" s="157" t="s">
        <v>8296</v>
      </c>
      <c r="K478" s="157" t="s">
        <v>1352</v>
      </c>
      <c r="L478" s="157" t="s">
        <v>8497</v>
      </c>
      <c r="M478" s="157" t="str">
        <f t="shared" si="15"/>
        <v>Repeater Cam Left - Reward View Left</v>
      </c>
      <c r="N478" s="157"/>
      <c r="O478" s="157"/>
      <c r="P478" s="159" t="s">
        <v>8149</v>
      </c>
      <c r="Q478" s="157" t="s">
        <v>2115</v>
      </c>
      <c r="R478" s="157" t="s">
        <v>8291</v>
      </c>
      <c r="S478" s="157" t="s">
        <v>8604</v>
      </c>
      <c r="T478" s="157"/>
      <c r="U478" s="159" t="s">
        <v>2129</v>
      </c>
      <c r="V478" s="159" t="s">
        <v>2138</v>
      </c>
      <c r="W478" s="159" t="s">
        <v>2129</v>
      </c>
      <c r="X478" s="160">
        <v>1</v>
      </c>
      <c r="Y478" s="160">
        <v>1</v>
      </c>
      <c r="Z478" s="160">
        <v>1</v>
      </c>
      <c r="AA478" s="160">
        <v>1</v>
      </c>
    </row>
    <row r="479" spans="1:27" ht="18" customHeight="1" x14ac:dyDescent="0.25">
      <c r="A479" s="159">
        <v>537</v>
      </c>
      <c r="B479" s="164" t="s">
        <v>266</v>
      </c>
      <c r="C479" s="164" t="s">
        <v>294</v>
      </c>
      <c r="D479" s="159" t="s">
        <v>1177</v>
      </c>
      <c r="E479" s="164" t="s">
        <v>1175</v>
      </c>
      <c r="F479" s="159"/>
      <c r="G479" s="157" t="s">
        <v>1349</v>
      </c>
      <c r="H479" s="157" t="s">
        <v>1350</v>
      </c>
      <c r="I479" s="157" t="s">
        <v>1481</v>
      </c>
      <c r="J479" s="157" t="s">
        <v>8296</v>
      </c>
      <c r="K479" s="157" t="s">
        <v>1352</v>
      </c>
      <c r="L479" s="157" t="s">
        <v>8497</v>
      </c>
      <c r="M479" s="157" t="str">
        <f t="shared" si="15"/>
        <v>Repeater Cam Left - Reward View Left</v>
      </c>
      <c r="N479" s="157"/>
      <c r="O479" s="157"/>
      <c r="P479" s="159" t="s">
        <v>8149</v>
      </c>
      <c r="Q479" s="157" t="s">
        <v>2115</v>
      </c>
      <c r="R479" s="157" t="s">
        <v>8291</v>
      </c>
      <c r="S479" s="157" t="s">
        <v>8604</v>
      </c>
      <c r="T479" s="157"/>
      <c r="U479" s="159" t="s">
        <v>2129</v>
      </c>
      <c r="V479" s="159" t="s">
        <v>2138</v>
      </c>
      <c r="W479" s="159" t="s">
        <v>2129</v>
      </c>
      <c r="X479" s="160">
        <v>1</v>
      </c>
      <c r="Y479" s="160">
        <v>1</v>
      </c>
      <c r="Z479" s="160">
        <v>1</v>
      </c>
      <c r="AA479" s="160">
        <v>1</v>
      </c>
    </row>
    <row r="480" spans="1:27" ht="18" customHeight="1" x14ac:dyDescent="0.25">
      <c r="A480" s="159">
        <v>537</v>
      </c>
      <c r="B480" s="164" t="s">
        <v>266</v>
      </c>
      <c r="C480" s="164" t="s">
        <v>294</v>
      </c>
      <c r="D480" s="159" t="s">
        <v>1178</v>
      </c>
      <c r="E480" s="164" t="s">
        <v>1179</v>
      </c>
      <c r="F480" s="159"/>
      <c r="G480" s="157" t="s">
        <v>1349</v>
      </c>
      <c r="H480" s="157" t="s">
        <v>1350</v>
      </c>
      <c r="I480" s="157" t="s">
        <v>1481</v>
      </c>
      <c r="J480" s="157" t="s">
        <v>8296</v>
      </c>
      <c r="K480" s="157" t="s">
        <v>1352</v>
      </c>
      <c r="L480" s="157" t="s">
        <v>8497</v>
      </c>
      <c r="M480" s="157" t="str">
        <f t="shared" si="15"/>
        <v>Repeater Cam Left - Reward View Left</v>
      </c>
      <c r="N480" s="157"/>
      <c r="O480" s="157"/>
      <c r="P480" s="159" t="s">
        <v>8149</v>
      </c>
      <c r="Q480" s="157" t="s">
        <v>2115</v>
      </c>
      <c r="R480" s="157" t="s">
        <v>8291</v>
      </c>
      <c r="S480" s="157" t="s">
        <v>8604</v>
      </c>
      <c r="T480" s="157"/>
      <c r="U480" s="159" t="s">
        <v>2129</v>
      </c>
      <c r="V480" s="159" t="s">
        <v>2138</v>
      </c>
      <c r="W480" s="159" t="s">
        <v>2129</v>
      </c>
      <c r="X480" s="160">
        <v>1</v>
      </c>
      <c r="Y480" s="160">
        <v>1</v>
      </c>
      <c r="Z480" s="160">
        <v>1</v>
      </c>
      <c r="AA480" s="160">
        <v>1</v>
      </c>
    </row>
    <row r="481" spans="1:27" ht="18" customHeight="1" x14ac:dyDescent="0.25">
      <c r="A481" s="159">
        <v>537</v>
      </c>
      <c r="B481" s="164" t="s">
        <v>266</v>
      </c>
      <c r="C481" s="164" t="s">
        <v>294</v>
      </c>
      <c r="D481" s="159" t="s">
        <v>1207</v>
      </c>
      <c r="E481" s="164" t="s">
        <v>1205</v>
      </c>
      <c r="F481" s="159"/>
      <c r="G481" s="157" t="s">
        <v>1349</v>
      </c>
      <c r="H481" s="157" t="s">
        <v>1350</v>
      </c>
      <c r="I481" s="157" t="s">
        <v>1481</v>
      </c>
      <c r="J481" s="157" t="s">
        <v>8296</v>
      </c>
      <c r="K481" s="157" t="s">
        <v>1352</v>
      </c>
      <c r="L481" s="157" t="s">
        <v>8497</v>
      </c>
      <c r="M481" s="157" t="str">
        <f t="shared" si="15"/>
        <v>Repeater Cam Left - Reward View Left</v>
      </c>
      <c r="N481" s="157"/>
      <c r="O481" s="157"/>
      <c r="P481" s="159" t="s">
        <v>8149</v>
      </c>
      <c r="Q481" s="157" t="s">
        <v>2115</v>
      </c>
      <c r="R481" s="157" t="s">
        <v>8291</v>
      </c>
      <c r="S481" s="157" t="s">
        <v>8604</v>
      </c>
      <c r="T481" s="157"/>
      <c r="U481" s="159" t="s">
        <v>2129</v>
      </c>
      <c r="V481" s="159" t="s">
        <v>2138</v>
      </c>
      <c r="W481" s="159" t="s">
        <v>2129</v>
      </c>
      <c r="X481" s="160">
        <v>1</v>
      </c>
      <c r="Y481" s="160">
        <v>1</v>
      </c>
      <c r="Z481" s="160">
        <v>1</v>
      </c>
      <c r="AA481" s="160">
        <v>1</v>
      </c>
    </row>
    <row r="482" spans="1:27" ht="18" customHeight="1" x14ac:dyDescent="0.25">
      <c r="A482" s="159">
        <v>537</v>
      </c>
      <c r="B482" s="164" t="s">
        <v>266</v>
      </c>
      <c r="C482" s="164" t="s">
        <v>519</v>
      </c>
      <c r="D482" s="159" t="s">
        <v>522</v>
      </c>
      <c r="E482" s="164" t="s">
        <v>520</v>
      </c>
      <c r="F482" s="159"/>
      <c r="G482" s="157" t="s">
        <v>1349</v>
      </c>
      <c r="H482" s="157" t="s">
        <v>1350</v>
      </c>
      <c r="I482" s="157" t="s">
        <v>1481</v>
      </c>
      <c r="J482" s="157" t="s">
        <v>8296</v>
      </c>
      <c r="K482" s="157" t="s">
        <v>1352</v>
      </c>
      <c r="L482" s="157" t="s">
        <v>8497</v>
      </c>
      <c r="M482" s="157" t="str">
        <f t="shared" si="15"/>
        <v>Repeater Cam Left - Reward View Left</v>
      </c>
      <c r="N482" s="157"/>
      <c r="O482" s="157"/>
      <c r="P482" s="159" t="s">
        <v>8149</v>
      </c>
      <c r="Q482" s="157" t="s">
        <v>2115</v>
      </c>
      <c r="R482" s="157" t="s">
        <v>8291</v>
      </c>
      <c r="S482" s="157" t="s">
        <v>8604</v>
      </c>
      <c r="T482" s="157"/>
      <c r="U482" s="159" t="s">
        <v>2129</v>
      </c>
      <c r="V482" s="159" t="s">
        <v>2138</v>
      </c>
      <c r="W482" s="159" t="s">
        <v>2129</v>
      </c>
      <c r="X482" s="160">
        <v>1</v>
      </c>
      <c r="Y482" s="160">
        <v>1</v>
      </c>
      <c r="Z482" s="160">
        <v>1</v>
      </c>
      <c r="AA482" s="160">
        <v>1</v>
      </c>
    </row>
    <row r="483" spans="1:27" ht="18" customHeight="1" x14ac:dyDescent="0.25">
      <c r="A483" s="159">
        <v>537</v>
      </c>
      <c r="B483" s="164" t="s">
        <v>266</v>
      </c>
      <c r="C483" s="164" t="s">
        <v>519</v>
      </c>
      <c r="D483" s="159" t="s">
        <v>935</v>
      </c>
      <c r="E483" s="164" t="s">
        <v>933</v>
      </c>
      <c r="F483" s="159"/>
      <c r="G483" s="157" t="s">
        <v>1349</v>
      </c>
      <c r="H483" s="157" t="s">
        <v>1350</v>
      </c>
      <c r="I483" s="157" t="s">
        <v>1481</v>
      </c>
      <c r="J483" s="157" t="s">
        <v>8296</v>
      </c>
      <c r="K483" s="157" t="s">
        <v>1352</v>
      </c>
      <c r="L483" s="157" t="s">
        <v>8497</v>
      </c>
      <c r="M483" s="157" t="str">
        <f t="shared" si="15"/>
        <v>Repeater Cam Left - Reward View Left</v>
      </c>
      <c r="N483" s="157"/>
      <c r="O483" s="157"/>
      <c r="P483" s="159" t="s">
        <v>8149</v>
      </c>
      <c r="Q483" s="157" t="s">
        <v>2115</v>
      </c>
      <c r="R483" s="157" t="s">
        <v>8291</v>
      </c>
      <c r="S483" s="157" t="s">
        <v>8604</v>
      </c>
      <c r="T483" s="157"/>
      <c r="U483" s="159" t="s">
        <v>2129</v>
      </c>
      <c r="V483" s="159" t="s">
        <v>2138</v>
      </c>
      <c r="W483" s="159" t="s">
        <v>2129</v>
      </c>
      <c r="X483" s="160">
        <v>1</v>
      </c>
      <c r="Y483" s="160">
        <v>1</v>
      </c>
      <c r="Z483" s="160">
        <v>1</v>
      </c>
      <c r="AA483" s="160">
        <v>1</v>
      </c>
    </row>
    <row r="484" spans="1:27" ht="18" customHeight="1" x14ac:dyDescent="0.25">
      <c r="A484" s="159">
        <v>537</v>
      </c>
      <c r="B484" s="164" t="s">
        <v>266</v>
      </c>
      <c r="C484" s="164" t="s">
        <v>519</v>
      </c>
      <c r="D484" s="159" t="s">
        <v>1151</v>
      </c>
      <c r="E484" s="164" t="s">
        <v>1149</v>
      </c>
      <c r="F484" s="159"/>
      <c r="G484" s="157" t="s">
        <v>1349</v>
      </c>
      <c r="H484" s="157" t="s">
        <v>1350</v>
      </c>
      <c r="I484" s="157" t="s">
        <v>1481</v>
      </c>
      <c r="J484" s="157" t="s">
        <v>8296</v>
      </c>
      <c r="K484" s="157" t="s">
        <v>1352</v>
      </c>
      <c r="L484" s="157" t="s">
        <v>8497</v>
      </c>
      <c r="M484" s="157" t="str">
        <f t="shared" si="15"/>
        <v>Repeater Cam Left - Reward View Left</v>
      </c>
      <c r="N484" s="157"/>
      <c r="O484" s="157"/>
      <c r="P484" s="159" t="s">
        <v>8149</v>
      </c>
      <c r="Q484" s="157" t="s">
        <v>2115</v>
      </c>
      <c r="R484" s="157" t="s">
        <v>8291</v>
      </c>
      <c r="S484" s="157" t="s">
        <v>8604</v>
      </c>
      <c r="T484" s="157"/>
      <c r="U484" s="159" t="s">
        <v>2129</v>
      </c>
      <c r="V484" s="159" t="s">
        <v>2138</v>
      </c>
      <c r="W484" s="159" t="s">
        <v>2129</v>
      </c>
      <c r="X484" s="160">
        <v>1</v>
      </c>
      <c r="Y484" s="160">
        <v>1</v>
      </c>
      <c r="Z484" s="160">
        <v>1</v>
      </c>
      <c r="AA484" s="160">
        <v>1</v>
      </c>
    </row>
    <row r="485" spans="1:27" ht="18" customHeight="1" x14ac:dyDescent="0.25">
      <c r="A485" s="159">
        <v>538</v>
      </c>
      <c r="B485" s="164" t="s">
        <v>29</v>
      </c>
      <c r="C485" s="164" t="s">
        <v>113</v>
      </c>
      <c r="D485" s="159" t="s">
        <v>439</v>
      </c>
      <c r="E485" s="164" t="s">
        <v>437</v>
      </c>
      <c r="F485" s="159"/>
      <c r="G485" s="157" t="s">
        <v>1349</v>
      </c>
      <c r="H485" s="157" t="s">
        <v>1350</v>
      </c>
      <c r="I485" s="157" t="s">
        <v>1483</v>
      </c>
      <c r="J485" s="157" t="s">
        <v>8296</v>
      </c>
      <c r="K485" s="157" t="s">
        <v>1352</v>
      </c>
      <c r="L485" s="157" t="s">
        <v>8498</v>
      </c>
      <c r="M485" s="157" t="str">
        <f t="shared" si="15"/>
        <v>Repeater Cam Right - Reward View Right</v>
      </c>
      <c r="N485" s="157"/>
      <c r="O485" s="157"/>
      <c r="P485" s="159" t="s">
        <v>2242</v>
      </c>
      <c r="Q485" s="157" t="s">
        <v>2115</v>
      </c>
      <c r="R485" s="157" t="s">
        <v>8291</v>
      </c>
      <c r="S485" s="157" t="s">
        <v>8604</v>
      </c>
      <c r="T485" s="157"/>
      <c r="U485" s="159" t="s">
        <v>2129</v>
      </c>
      <c r="V485" s="159" t="s">
        <v>2138</v>
      </c>
      <c r="W485" s="159" t="s">
        <v>2129</v>
      </c>
      <c r="X485" s="160">
        <v>1</v>
      </c>
      <c r="Y485" s="160">
        <v>1</v>
      </c>
      <c r="Z485" s="160">
        <v>1</v>
      </c>
      <c r="AA485" s="160">
        <v>1</v>
      </c>
    </row>
    <row r="486" spans="1:27" ht="18" customHeight="1" x14ac:dyDescent="0.25">
      <c r="A486" s="159">
        <v>538</v>
      </c>
      <c r="B486" s="164" t="s">
        <v>29</v>
      </c>
      <c r="C486" s="164" t="s">
        <v>113</v>
      </c>
      <c r="D486" s="159" t="s">
        <v>932</v>
      </c>
      <c r="E486" s="164" t="s">
        <v>930</v>
      </c>
      <c r="F486" s="159"/>
      <c r="G486" s="157" t="s">
        <v>1349</v>
      </c>
      <c r="H486" s="157" t="s">
        <v>1350</v>
      </c>
      <c r="I486" s="157" t="s">
        <v>1483</v>
      </c>
      <c r="J486" s="157" t="s">
        <v>8296</v>
      </c>
      <c r="K486" s="157" t="s">
        <v>1352</v>
      </c>
      <c r="L486" s="157" t="s">
        <v>8498</v>
      </c>
      <c r="M486" s="157" t="str">
        <f t="shared" si="15"/>
        <v>Repeater Cam Right - Reward View Right</v>
      </c>
      <c r="N486" s="157"/>
      <c r="O486" s="157"/>
      <c r="P486" s="159" t="s">
        <v>2242</v>
      </c>
      <c r="Q486" s="157" t="s">
        <v>2115</v>
      </c>
      <c r="R486" s="157" t="s">
        <v>8291</v>
      </c>
      <c r="S486" s="157" t="s">
        <v>8604</v>
      </c>
      <c r="T486" s="157"/>
      <c r="U486" s="159" t="s">
        <v>2129</v>
      </c>
      <c r="V486" s="159" t="s">
        <v>2138</v>
      </c>
      <c r="W486" s="159" t="s">
        <v>2129</v>
      </c>
      <c r="X486" s="160">
        <v>1</v>
      </c>
      <c r="Y486" s="160">
        <v>1</v>
      </c>
      <c r="Z486" s="160">
        <v>1</v>
      </c>
      <c r="AA486" s="160">
        <v>1</v>
      </c>
    </row>
    <row r="487" spans="1:27" ht="18" customHeight="1" x14ac:dyDescent="0.25">
      <c r="A487" s="159">
        <v>538</v>
      </c>
      <c r="B487" s="164" t="s">
        <v>266</v>
      </c>
      <c r="C487" s="164" t="s">
        <v>276</v>
      </c>
      <c r="D487" s="159" t="s">
        <v>734</v>
      </c>
      <c r="E487" s="164" t="s">
        <v>732</v>
      </c>
      <c r="F487" s="159"/>
      <c r="G487" s="157" t="s">
        <v>1349</v>
      </c>
      <c r="H487" s="157" t="s">
        <v>1350</v>
      </c>
      <c r="I487" s="157" t="s">
        <v>1483</v>
      </c>
      <c r="J487" s="157" t="s">
        <v>8296</v>
      </c>
      <c r="K487" s="157" t="s">
        <v>1352</v>
      </c>
      <c r="L487" s="157" t="s">
        <v>8498</v>
      </c>
      <c r="M487" s="157" t="str">
        <f t="shared" si="15"/>
        <v>Repeater Cam Right - Reward View Right</v>
      </c>
      <c r="N487" s="157"/>
      <c r="O487" s="157"/>
      <c r="P487" s="159" t="s">
        <v>2242</v>
      </c>
      <c r="Q487" s="157" t="s">
        <v>2115</v>
      </c>
      <c r="R487" s="157" t="s">
        <v>8291</v>
      </c>
      <c r="S487" s="157" t="s">
        <v>8604</v>
      </c>
      <c r="T487" s="157"/>
      <c r="U487" s="159" t="s">
        <v>2129</v>
      </c>
      <c r="V487" s="159" t="s">
        <v>2138</v>
      </c>
      <c r="W487" s="159" t="s">
        <v>2129</v>
      </c>
      <c r="X487" s="160">
        <v>1</v>
      </c>
      <c r="Y487" s="160">
        <v>1</v>
      </c>
      <c r="Z487" s="160">
        <v>1</v>
      </c>
      <c r="AA487" s="160">
        <v>1</v>
      </c>
    </row>
    <row r="488" spans="1:27" ht="18" customHeight="1" x14ac:dyDescent="0.25">
      <c r="A488" s="159">
        <v>538</v>
      </c>
      <c r="B488" s="164" t="s">
        <v>266</v>
      </c>
      <c r="C488" s="164" t="s">
        <v>294</v>
      </c>
      <c r="D488" s="159" t="s">
        <v>297</v>
      </c>
      <c r="E488" s="164" t="s">
        <v>295</v>
      </c>
      <c r="F488" s="159"/>
      <c r="G488" s="157" t="s">
        <v>1349</v>
      </c>
      <c r="H488" s="157" t="s">
        <v>1350</v>
      </c>
      <c r="I488" s="157" t="s">
        <v>1483</v>
      </c>
      <c r="J488" s="157" t="s">
        <v>8296</v>
      </c>
      <c r="K488" s="157" t="s">
        <v>1352</v>
      </c>
      <c r="L488" s="157" t="s">
        <v>8498</v>
      </c>
      <c r="M488" s="157" t="str">
        <f t="shared" si="15"/>
        <v>Repeater Cam Right - Reward View Right</v>
      </c>
      <c r="N488" s="157"/>
      <c r="O488" s="157"/>
      <c r="P488" s="159" t="s">
        <v>2242</v>
      </c>
      <c r="Q488" s="157" t="s">
        <v>2115</v>
      </c>
      <c r="R488" s="157" t="s">
        <v>8291</v>
      </c>
      <c r="S488" s="157" t="s">
        <v>8604</v>
      </c>
      <c r="T488" s="157"/>
      <c r="U488" s="159" t="s">
        <v>2129</v>
      </c>
      <c r="V488" s="159" t="s">
        <v>2138</v>
      </c>
      <c r="W488" s="159" t="s">
        <v>2129</v>
      </c>
      <c r="X488" s="160">
        <v>1</v>
      </c>
      <c r="Y488" s="160">
        <v>1</v>
      </c>
      <c r="Z488" s="160">
        <v>1</v>
      </c>
      <c r="AA488" s="160">
        <v>1</v>
      </c>
    </row>
    <row r="489" spans="1:27" ht="18" customHeight="1" x14ac:dyDescent="0.25">
      <c r="A489" s="159">
        <v>538</v>
      </c>
      <c r="B489" s="164" t="s">
        <v>266</v>
      </c>
      <c r="C489" s="164" t="s">
        <v>294</v>
      </c>
      <c r="D489" s="159" t="s">
        <v>298</v>
      </c>
      <c r="E489" s="164" t="s">
        <v>299</v>
      </c>
      <c r="F489" s="159"/>
      <c r="G489" s="157" t="s">
        <v>1349</v>
      </c>
      <c r="H489" s="157" t="s">
        <v>1350</v>
      </c>
      <c r="I489" s="157" t="s">
        <v>1483</v>
      </c>
      <c r="J489" s="157" t="s">
        <v>8296</v>
      </c>
      <c r="K489" s="157" t="s">
        <v>1352</v>
      </c>
      <c r="L489" s="157" t="s">
        <v>8498</v>
      </c>
      <c r="M489" s="157" t="str">
        <f t="shared" si="15"/>
        <v>Repeater Cam Right - Reward View Right</v>
      </c>
      <c r="N489" s="157"/>
      <c r="O489" s="157"/>
      <c r="P489" s="159" t="s">
        <v>2242</v>
      </c>
      <c r="Q489" s="157" t="s">
        <v>2115</v>
      </c>
      <c r="R489" s="157" t="s">
        <v>8291</v>
      </c>
      <c r="S489" s="157" t="s">
        <v>8604</v>
      </c>
      <c r="T489" s="157"/>
      <c r="U489" s="159" t="s">
        <v>2129</v>
      </c>
      <c r="V489" s="159" t="s">
        <v>2138</v>
      </c>
      <c r="W489" s="159" t="s">
        <v>2129</v>
      </c>
      <c r="X489" s="160">
        <v>1</v>
      </c>
      <c r="Y489" s="160">
        <v>1</v>
      </c>
      <c r="Z489" s="160">
        <v>1</v>
      </c>
      <c r="AA489" s="160">
        <v>1</v>
      </c>
    </row>
    <row r="490" spans="1:27" ht="18" customHeight="1" x14ac:dyDescent="0.25">
      <c r="A490" s="159">
        <v>538</v>
      </c>
      <c r="B490" s="164" t="s">
        <v>266</v>
      </c>
      <c r="C490" s="164" t="s">
        <v>294</v>
      </c>
      <c r="D490" s="159" t="s">
        <v>503</v>
      </c>
      <c r="E490" s="164" t="s">
        <v>501</v>
      </c>
      <c r="F490" s="159"/>
      <c r="G490" s="157" t="s">
        <v>1349</v>
      </c>
      <c r="H490" s="157" t="s">
        <v>1350</v>
      </c>
      <c r="I490" s="157" t="s">
        <v>1483</v>
      </c>
      <c r="J490" s="157" t="s">
        <v>8296</v>
      </c>
      <c r="K490" s="157" t="s">
        <v>1352</v>
      </c>
      <c r="L490" s="157" t="s">
        <v>8498</v>
      </c>
      <c r="M490" s="157" t="str">
        <f t="shared" si="15"/>
        <v>Repeater Cam Right - Reward View Right</v>
      </c>
      <c r="N490" s="157"/>
      <c r="O490" s="157"/>
      <c r="P490" s="159" t="s">
        <v>2242</v>
      </c>
      <c r="Q490" s="157" t="s">
        <v>2115</v>
      </c>
      <c r="R490" s="157" t="s">
        <v>8291</v>
      </c>
      <c r="S490" s="157" t="s">
        <v>8604</v>
      </c>
      <c r="T490" s="157"/>
      <c r="U490" s="159" t="s">
        <v>2129</v>
      </c>
      <c r="V490" s="159" t="s">
        <v>2138</v>
      </c>
      <c r="W490" s="159" t="s">
        <v>2129</v>
      </c>
      <c r="X490" s="160">
        <v>1</v>
      </c>
      <c r="Y490" s="160">
        <v>1</v>
      </c>
      <c r="Z490" s="160">
        <v>1</v>
      </c>
      <c r="AA490" s="160">
        <v>1</v>
      </c>
    </row>
    <row r="491" spans="1:27" ht="18" customHeight="1" x14ac:dyDescent="0.25">
      <c r="A491" s="159">
        <v>538</v>
      </c>
      <c r="B491" s="164" t="s">
        <v>266</v>
      </c>
      <c r="C491" s="164" t="s">
        <v>294</v>
      </c>
      <c r="D491" s="159" t="s">
        <v>692</v>
      </c>
      <c r="E491" s="164" t="s">
        <v>690</v>
      </c>
      <c r="F491" s="159"/>
      <c r="G491" s="157" t="s">
        <v>1349</v>
      </c>
      <c r="H491" s="157" t="s">
        <v>1350</v>
      </c>
      <c r="I491" s="157" t="s">
        <v>1483</v>
      </c>
      <c r="J491" s="157" t="s">
        <v>8296</v>
      </c>
      <c r="K491" s="157" t="s">
        <v>1352</v>
      </c>
      <c r="L491" s="157" t="s">
        <v>8498</v>
      </c>
      <c r="M491" s="157" t="str">
        <f t="shared" si="15"/>
        <v>Repeater Cam Right - Reward View Right</v>
      </c>
      <c r="N491" s="157"/>
      <c r="O491" s="157"/>
      <c r="P491" s="159" t="s">
        <v>2242</v>
      </c>
      <c r="Q491" s="157" t="s">
        <v>2115</v>
      </c>
      <c r="R491" s="157" t="s">
        <v>8291</v>
      </c>
      <c r="S491" s="157" t="s">
        <v>8604</v>
      </c>
      <c r="T491" s="157"/>
      <c r="U491" s="159" t="s">
        <v>2129</v>
      </c>
      <c r="V491" s="159" t="s">
        <v>2138</v>
      </c>
      <c r="W491" s="159" t="s">
        <v>2129</v>
      </c>
      <c r="X491" s="160">
        <v>1</v>
      </c>
      <c r="Y491" s="160">
        <v>1</v>
      </c>
      <c r="Z491" s="160">
        <v>1</v>
      </c>
      <c r="AA491" s="160">
        <v>1</v>
      </c>
    </row>
    <row r="492" spans="1:27" ht="18" customHeight="1" x14ac:dyDescent="0.25">
      <c r="A492" s="159">
        <v>538</v>
      </c>
      <c r="B492" s="164" t="s">
        <v>266</v>
      </c>
      <c r="C492" s="164" t="s">
        <v>294</v>
      </c>
      <c r="D492" s="159" t="s">
        <v>1177</v>
      </c>
      <c r="E492" s="164" t="s">
        <v>1175</v>
      </c>
      <c r="F492" s="159"/>
      <c r="G492" s="157" t="s">
        <v>1349</v>
      </c>
      <c r="H492" s="157" t="s">
        <v>1350</v>
      </c>
      <c r="I492" s="157" t="s">
        <v>1483</v>
      </c>
      <c r="J492" s="157" t="s">
        <v>8296</v>
      </c>
      <c r="K492" s="157" t="s">
        <v>1352</v>
      </c>
      <c r="L492" s="157" t="s">
        <v>8498</v>
      </c>
      <c r="M492" s="157" t="str">
        <f t="shared" si="15"/>
        <v>Repeater Cam Right - Reward View Right</v>
      </c>
      <c r="N492" s="157"/>
      <c r="O492" s="157"/>
      <c r="P492" s="159" t="s">
        <v>2242</v>
      </c>
      <c r="Q492" s="157" t="s">
        <v>2115</v>
      </c>
      <c r="R492" s="157" t="s">
        <v>8291</v>
      </c>
      <c r="S492" s="157" t="s">
        <v>8604</v>
      </c>
      <c r="T492" s="157"/>
      <c r="U492" s="159" t="s">
        <v>2129</v>
      </c>
      <c r="V492" s="159" t="s">
        <v>2138</v>
      </c>
      <c r="W492" s="159" t="s">
        <v>2129</v>
      </c>
      <c r="X492" s="160">
        <v>1</v>
      </c>
      <c r="Y492" s="160">
        <v>1</v>
      </c>
      <c r="Z492" s="160">
        <v>1</v>
      </c>
      <c r="AA492" s="160">
        <v>1</v>
      </c>
    </row>
    <row r="493" spans="1:27" ht="18" customHeight="1" x14ac:dyDescent="0.25">
      <c r="A493" s="159">
        <v>538</v>
      </c>
      <c r="B493" s="164" t="s">
        <v>266</v>
      </c>
      <c r="C493" s="164" t="s">
        <v>294</v>
      </c>
      <c r="D493" s="159" t="s">
        <v>1178</v>
      </c>
      <c r="E493" s="164" t="s">
        <v>1179</v>
      </c>
      <c r="F493" s="159"/>
      <c r="G493" s="157" t="s">
        <v>1349</v>
      </c>
      <c r="H493" s="157" t="s">
        <v>1350</v>
      </c>
      <c r="I493" s="157" t="s">
        <v>1483</v>
      </c>
      <c r="J493" s="157" t="s">
        <v>8296</v>
      </c>
      <c r="K493" s="157" t="s">
        <v>1352</v>
      </c>
      <c r="L493" s="157" t="s">
        <v>8498</v>
      </c>
      <c r="M493" s="157" t="str">
        <f t="shared" si="15"/>
        <v>Repeater Cam Right - Reward View Right</v>
      </c>
      <c r="N493" s="157"/>
      <c r="O493" s="157"/>
      <c r="P493" s="159" t="s">
        <v>2242</v>
      </c>
      <c r="Q493" s="157" t="s">
        <v>2115</v>
      </c>
      <c r="R493" s="157" t="s">
        <v>8291</v>
      </c>
      <c r="S493" s="157" t="s">
        <v>8604</v>
      </c>
      <c r="T493" s="157"/>
      <c r="U493" s="159" t="s">
        <v>2129</v>
      </c>
      <c r="V493" s="159" t="s">
        <v>2138</v>
      </c>
      <c r="W493" s="159" t="s">
        <v>2129</v>
      </c>
      <c r="X493" s="160">
        <v>1</v>
      </c>
      <c r="Y493" s="160">
        <v>1</v>
      </c>
      <c r="Z493" s="160">
        <v>1</v>
      </c>
      <c r="AA493" s="160">
        <v>1</v>
      </c>
    </row>
    <row r="494" spans="1:27" ht="18" customHeight="1" x14ac:dyDescent="0.25">
      <c r="A494" s="159">
        <v>538</v>
      </c>
      <c r="B494" s="164" t="s">
        <v>266</v>
      </c>
      <c r="C494" s="164" t="s">
        <v>294</v>
      </c>
      <c r="D494" s="159" t="s">
        <v>1207</v>
      </c>
      <c r="E494" s="164" t="s">
        <v>1205</v>
      </c>
      <c r="F494" s="159"/>
      <c r="G494" s="157" t="s">
        <v>1349</v>
      </c>
      <c r="H494" s="157" t="s">
        <v>1350</v>
      </c>
      <c r="I494" s="157" t="s">
        <v>1483</v>
      </c>
      <c r="J494" s="157" t="s">
        <v>8296</v>
      </c>
      <c r="K494" s="157" t="s">
        <v>1352</v>
      </c>
      <c r="L494" s="157" t="s">
        <v>8498</v>
      </c>
      <c r="M494" s="157" t="str">
        <f t="shared" si="15"/>
        <v>Repeater Cam Right - Reward View Right</v>
      </c>
      <c r="N494" s="157"/>
      <c r="O494" s="157"/>
      <c r="P494" s="159" t="s">
        <v>2242</v>
      </c>
      <c r="Q494" s="157" t="s">
        <v>2115</v>
      </c>
      <c r="R494" s="157" t="s">
        <v>8291</v>
      </c>
      <c r="S494" s="157" t="s">
        <v>8604</v>
      </c>
      <c r="T494" s="157"/>
      <c r="U494" s="159" t="s">
        <v>2129</v>
      </c>
      <c r="V494" s="159" t="s">
        <v>2138</v>
      </c>
      <c r="W494" s="159" t="s">
        <v>2129</v>
      </c>
      <c r="X494" s="160">
        <v>1</v>
      </c>
      <c r="Y494" s="160">
        <v>1</v>
      </c>
      <c r="Z494" s="160">
        <v>1</v>
      </c>
      <c r="AA494" s="160">
        <v>1</v>
      </c>
    </row>
    <row r="495" spans="1:27" ht="18" customHeight="1" x14ac:dyDescent="0.25">
      <c r="A495" s="159">
        <v>538</v>
      </c>
      <c r="B495" s="164" t="s">
        <v>266</v>
      </c>
      <c r="C495" s="164" t="s">
        <v>519</v>
      </c>
      <c r="D495" s="159" t="s">
        <v>522</v>
      </c>
      <c r="E495" s="164" t="s">
        <v>520</v>
      </c>
      <c r="F495" s="159"/>
      <c r="G495" s="157" t="s">
        <v>1349</v>
      </c>
      <c r="H495" s="157" t="s">
        <v>1350</v>
      </c>
      <c r="I495" s="157" t="s">
        <v>1483</v>
      </c>
      <c r="J495" s="157" t="s">
        <v>8296</v>
      </c>
      <c r="K495" s="157" t="s">
        <v>1352</v>
      </c>
      <c r="L495" s="157" t="s">
        <v>8498</v>
      </c>
      <c r="M495" s="157" t="str">
        <f t="shared" si="15"/>
        <v>Repeater Cam Right - Reward View Right</v>
      </c>
      <c r="N495" s="157"/>
      <c r="O495" s="157"/>
      <c r="P495" s="159" t="s">
        <v>2242</v>
      </c>
      <c r="Q495" s="157" t="s">
        <v>2115</v>
      </c>
      <c r="R495" s="157" t="s">
        <v>8291</v>
      </c>
      <c r="S495" s="157" t="s">
        <v>8604</v>
      </c>
      <c r="T495" s="157"/>
      <c r="U495" s="159" t="s">
        <v>2129</v>
      </c>
      <c r="V495" s="159" t="s">
        <v>2138</v>
      </c>
      <c r="W495" s="159" t="s">
        <v>2129</v>
      </c>
      <c r="X495" s="160">
        <v>1</v>
      </c>
      <c r="Y495" s="160">
        <v>1</v>
      </c>
      <c r="Z495" s="160">
        <v>1</v>
      </c>
      <c r="AA495" s="160">
        <v>1</v>
      </c>
    </row>
    <row r="496" spans="1:27" ht="18" customHeight="1" x14ac:dyDescent="0.25">
      <c r="A496" s="159">
        <v>538</v>
      </c>
      <c r="B496" s="164" t="s">
        <v>266</v>
      </c>
      <c r="C496" s="164" t="s">
        <v>519</v>
      </c>
      <c r="D496" s="159" t="s">
        <v>935</v>
      </c>
      <c r="E496" s="164" t="s">
        <v>933</v>
      </c>
      <c r="F496" s="159"/>
      <c r="G496" s="157" t="s">
        <v>1349</v>
      </c>
      <c r="H496" s="157" t="s">
        <v>1350</v>
      </c>
      <c r="I496" s="157" t="s">
        <v>1483</v>
      </c>
      <c r="J496" s="157" t="s">
        <v>8296</v>
      </c>
      <c r="K496" s="157" t="s">
        <v>1352</v>
      </c>
      <c r="L496" s="157" t="s">
        <v>8498</v>
      </c>
      <c r="M496" s="157" t="str">
        <f t="shared" si="15"/>
        <v>Repeater Cam Right - Reward View Right</v>
      </c>
      <c r="N496" s="157"/>
      <c r="O496" s="157"/>
      <c r="P496" s="159" t="s">
        <v>2242</v>
      </c>
      <c r="Q496" s="157" t="s">
        <v>2115</v>
      </c>
      <c r="R496" s="157" t="s">
        <v>8291</v>
      </c>
      <c r="S496" s="157" t="s">
        <v>8604</v>
      </c>
      <c r="T496" s="157"/>
      <c r="U496" s="159" t="s">
        <v>2129</v>
      </c>
      <c r="V496" s="159" t="s">
        <v>2138</v>
      </c>
      <c r="W496" s="159" t="s">
        <v>2129</v>
      </c>
      <c r="X496" s="160">
        <v>1</v>
      </c>
      <c r="Y496" s="160">
        <v>1</v>
      </c>
      <c r="Z496" s="160">
        <v>1</v>
      </c>
      <c r="AA496" s="160">
        <v>1</v>
      </c>
    </row>
    <row r="497" spans="1:27" ht="18" customHeight="1" x14ac:dyDescent="0.25">
      <c r="A497" s="159">
        <v>538</v>
      </c>
      <c r="B497" s="164" t="s">
        <v>266</v>
      </c>
      <c r="C497" s="164" t="s">
        <v>519</v>
      </c>
      <c r="D497" s="159" t="s">
        <v>1151</v>
      </c>
      <c r="E497" s="164" t="s">
        <v>1149</v>
      </c>
      <c r="F497" s="159"/>
      <c r="G497" s="157" t="s">
        <v>1349</v>
      </c>
      <c r="H497" s="157" t="s">
        <v>1350</v>
      </c>
      <c r="I497" s="157" t="s">
        <v>1483</v>
      </c>
      <c r="J497" s="157" t="s">
        <v>8296</v>
      </c>
      <c r="K497" s="157" t="s">
        <v>1352</v>
      </c>
      <c r="L497" s="157" t="s">
        <v>8498</v>
      </c>
      <c r="M497" s="157" t="str">
        <f t="shared" si="15"/>
        <v>Repeater Cam Right - Reward View Right</v>
      </c>
      <c r="N497" s="157"/>
      <c r="O497" s="157"/>
      <c r="P497" s="159" t="s">
        <v>2242</v>
      </c>
      <c r="Q497" s="157" t="s">
        <v>2115</v>
      </c>
      <c r="R497" s="157" t="s">
        <v>8291</v>
      </c>
      <c r="S497" s="157" t="s">
        <v>8604</v>
      </c>
      <c r="T497" s="157"/>
      <c r="U497" s="159" t="s">
        <v>2129</v>
      </c>
      <c r="V497" s="159" t="s">
        <v>2138</v>
      </c>
      <c r="W497" s="159" t="s">
        <v>2129</v>
      </c>
      <c r="X497" s="160">
        <v>1</v>
      </c>
      <c r="Y497" s="160">
        <v>1</v>
      </c>
      <c r="Z497" s="160">
        <v>1</v>
      </c>
      <c r="AA497" s="160">
        <v>1</v>
      </c>
    </row>
    <row r="498" spans="1:27" ht="18" customHeight="1" x14ac:dyDescent="0.25">
      <c r="A498" s="159">
        <v>550</v>
      </c>
      <c r="B498" s="157" t="s">
        <v>22</v>
      </c>
      <c r="C498" s="157" t="s">
        <v>103</v>
      </c>
      <c r="D498" s="159" t="s">
        <v>776</v>
      </c>
      <c r="E498" s="157" t="s">
        <v>774</v>
      </c>
      <c r="F498" s="157"/>
      <c r="G498" s="157" t="s">
        <v>1321</v>
      </c>
      <c r="H498" s="157" t="s">
        <v>1382</v>
      </c>
      <c r="I498" s="157" t="s">
        <v>1484</v>
      </c>
      <c r="J498" s="157" t="s">
        <v>1324</v>
      </c>
      <c r="K498" s="157" t="s">
        <v>1281</v>
      </c>
      <c r="L498" s="157" t="s">
        <v>1485</v>
      </c>
      <c r="M498" s="157" t="str">
        <f t="shared" si="15"/>
        <v>Contactor Disconnect - Battery Disconnect</v>
      </c>
      <c r="N498" s="157"/>
      <c r="O498" s="157"/>
      <c r="P498" s="159"/>
      <c r="Q498" s="157"/>
      <c r="R498" s="157"/>
      <c r="S498" s="157"/>
      <c r="T498" s="157"/>
      <c r="U498" s="159"/>
      <c r="V498" s="159"/>
      <c r="W498" s="159"/>
      <c r="X498" s="160"/>
      <c r="Y498" s="160"/>
      <c r="Z498" s="160"/>
      <c r="AA498" s="160"/>
    </row>
    <row r="499" spans="1:27" ht="18" customHeight="1" x14ac:dyDescent="0.25">
      <c r="A499" s="159">
        <v>550</v>
      </c>
      <c r="B499" s="157" t="s">
        <v>199</v>
      </c>
      <c r="C499" s="157" t="s">
        <v>200</v>
      </c>
      <c r="D499" s="159" t="s">
        <v>203</v>
      </c>
      <c r="E499" s="157" t="s">
        <v>201</v>
      </c>
      <c r="F499" s="157" t="s">
        <v>1277</v>
      </c>
      <c r="G499" s="157" t="s">
        <v>1321</v>
      </c>
      <c r="H499" s="157" t="s">
        <v>1382</v>
      </c>
      <c r="I499" s="157" t="s">
        <v>1484</v>
      </c>
      <c r="J499" s="157" t="s">
        <v>1324</v>
      </c>
      <c r="K499" s="157" t="s">
        <v>1281</v>
      </c>
      <c r="L499" s="157" t="s">
        <v>1485</v>
      </c>
      <c r="M499" s="157" t="str">
        <f t="shared" si="15"/>
        <v>Contactor Disconnect - Battery Disconnect</v>
      </c>
      <c r="N499" s="157"/>
      <c r="O499" s="157"/>
      <c r="P499" s="159"/>
      <c r="Q499" s="157"/>
      <c r="R499" s="157"/>
      <c r="S499" s="157"/>
      <c r="T499" s="157"/>
      <c r="U499" s="159"/>
      <c r="V499" s="159"/>
      <c r="W499" s="159"/>
      <c r="X499" s="160"/>
      <c r="Y499" s="160"/>
      <c r="Z499" s="160"/>
      <c r="AA499" s="160"/>
    </row>
    <row r="500" spans="1:27" ht="18" customHeight="1" x14ac:dyDescent="0.25">
      <c r="A500" s="159">
        <v>550</v>
      </c>
      <c r="B500" s="157" t="s">
        <v>199</v>
      </c>
      <c r="C500" s="157" t="s">
        <v>200</v>
      </c>
      <c r="D500" s="159" t="s">
        <v>484</v>
      </c>
      <c r="E500" s="157" t="s">
        <v>482</v>
      </c>
      <c r="F500" s="157" t="s">
        <v>1277</v>
      </c>
      <c r="G500" s="157" t="s">
        <v>1321</v>
      </c>
      <c r="H500" s="157" t="s">
        <v>1382</v>
      </c>
      <c r="I500" s="157" t="s">
        <v>1484</v>
      </c>
      <c r="J500" s="157" t="s">
        <v>1324</v>
      </c>
      <c r="K500" s="157" t="s">
        <v>1281</v>
      </c>
      <c r="L500" s="157" t="s">
        <v>1485</v>
      </c>
      <c r="M500" s="157" t="str">
        <f t="shared" si="15"/>
        <v>Contactor Disconnect - Battery Disconnect</v>
      </c>
      <c r="N500" s="157"/>
      <c r="O500" s="157"/>
      <c r="P500" s="159"/>
      <c r="Q500" s="157"/>
      <c r="R500" s="157"/>
      <c r="S500" s="157"/>
      <c r="T500" s="157"/>
      <c r="U500" s="159"/>
      <c r="V500" s="159"/>
      <c r="W500" s="159"/>
      <c r="X500" s="160"/>
      <c r="Y500" s="160"/>
      <c r="Z500" s="160"/>
      <c r="AA500" s="160"/>
    </row>
    <row r="501" spans="1:27" ht="18" customHeight="1" x14ac:dyDescent="0.25">
      <c r="A501" s="159">
        <v>550</v>
      </c>
      <c r="B501" s="157" t="s">
        <v>199</v>
      </c>
      <c r="C501" s="157" t="s">
        <v>200</v>
      </c>
      <c r="D501" s="159" t="s">
        <v>654</v>
      </c>
      <c r="E501" s="157" t="s">
        <v>652</v>
      </c>
      <c r="F501" s="157" t="s">
        <v>1277</v>
      </c>
      <c r="G501" s="157" t="s">
        <v>1321</v>
      </c>
      <c r="H501" s="157" t="s">
        <v>1382</v>
      </c>
      <c r="I501" s="157" t="s">
        <v>1484</v>
      </c>
      <c r="J501" s="157" t="s">
        <v>1324</v>
      </c>
      <c r="K501" s="157" t="s">
        <v>1281</v>
      </c>
      <c r="L501" s="157" t="s">
        <v>1485</v>
      </c>
      <c r="M501" s="157" t="str">
        <f t="shared" si="15"/>
        <v>Contactor Disconnect - Battery Disconnect</v>
      </c>
      <c r="N501" s="157"/>
      <c r="O501" s="157"/>
      <c r="P501" s="159"/>
      <c r="Q501" s="157"/>
      <c r="R501" s="157"/>
      <c r="S501" s="157"/>
      <c r="T501" s="157"/>
      <c r="U501" s="159"/>
      <c r="V501" s="159"/>
      <c r="W501" s="159"/>
      <c r="X501" s="160"/>
      <c r="Y501" s="160"/>
      <c r="Z501" s="160"/>
      <c r="AA501" s="160"/>
    </row>
    <row r="502" spans="1:27" ht="18" customHeight="1" x14ac:dyDescent="0.25">
      <c r="A502" s="159">
        <v>550</v>
      </c>
      <c r="B502" s="157" t="s">
        <v>199</v>
      </c>
      <c r="C502" s="157" t="s">
        <v>200</v>
      </c>
      <c r="D502" s="159" t="s">
        <v>657</v>
      </c>
      <c r="E502" s="157" t="s">
        <v>655</v>
      </c>
      <c r="F502" s="157" t="s">
        <v>1277</v>
      </c>
      <c r="G502" s="157" t="s">
        <v>1321</v>
      </c>
      <c r="H502" s="157" t="s">
        <v>1382</v>
      </c>
      <c r="I502" s="157" t="s">
        <v>1484</v>
      </c>
      <c r="J502" s="157" t="s">
        <v>1324</v>
      </c>
      <c r="K502" s="157" t="s">
        <v>1281</v>
      </c>
      <c r="L502" s="157" t="s">
        <v>1485</v>
      </c>
      <c r="M502" s="157" t="str">
        <f t="shared" si="15"/>
        <v>Contactor Disconnect - Battery Disconnect</v>
      </c>
      <c r="N502" s="157"/>
      <c r="O502" s="157"/>
      <c r="P502" s="159"/>
      <c r="Q502" s="157"/>
      <c r="R502" s="157"/>
      <c r="S502" s="157"/>
      <c r="T502" s="157"/>
      <c r="U502" s="159"/>
      <c r="V502" s="159"/>
      <c r="W502" s="159"/>
      <c r="X502" s="160"/>
      <c r="Y502" s="160"/>
      <c r="Z502" s="160"/>
      <c r="AA502" s="160"/>
    </row>
    <row r="503" spans="1:27" ht="18" customHeight="1" x14ac:dyDescent="0.25">
      <c r="A503" s="159">
        <v>703</v>
      </c>
      <c r="B503" s="157" t="s">
        <v>22</v>
      </c>
      <c r="C503" s="157" t="s">
        <v>132</v>
      </c>
      <c r="D503" s="159" t="s">
        <v>217</v>
      </c>
      <c r="E503" s="157" t="s">
        <v>215</v>
      </c>
      <c r="F503" s="157" t="s">
        <v>1264</v>
      </c>
      <c r="G503" s="157" t="s">
        <v>1299</v>
      </c>
      <c r="H503" s="157" t="s">
        <v>1300</v>
      </c>
      <c r="I503" s="157" t="s">
        <v>1311</v>
      </c>
      <c r="J503" s="157" t="s">
        <v>8574</v>
      </c>
      <c r="K503" s="157" t="s">
        <v>1312</v>
      </c>
      <c r="L503" s="157" t="s">
        <v>1486</v>
      </c>
      <c r="M503" s="157" t="str">
        <f t="shared" si="15"/>
        <v>Seat Belt Sensor 1st Row L - Seat Belt</v>
      </c>
      <c r="N503" s="157"/>
      <c r="O503" s="157"/>
      <c r="P503" s="159" t="s">
        <v>5859</v>
      </c>
      <c r="Q503" s="157" t="s">
        <v>2115</v>
      </c>
      <c r="R503" s="157" t="s">
        <v>2142</v>
      </c>
      <c r="S503" s="157" t="s">
        <v>8608</v>
      </c>
      <c r="T503" s="157" t="s">
        <v>2129</v>
      </c>
      <c r="U503" s="159" t="s">
        <v>2129</v>
      </c>
      <c r="V503" s="159" t="s">
        <v>2129</v>
      </c>
      <c r="W503" s="159" t="s">
        <v>2129</v>
      </c>
      <c r="X503" s="160">
        <v>1</v>
      </c>
      <c r="Y503" s="160">
        <v>1</v>
      </c>
      <c r="Z503" s="160">
        <v>1</v>
      </c>
      <c r="AA503" s="160">
        <v>1</v>
      </c>
    </row>
    <row r="504" spans="1:27" ht="18" customHeight="1" x14ac:dyDescent="0.25">
      <c r="A504" s="159">
        <v>712</v>
      </c>
      <c r="B504" s="157" t="s">
        <v>29</v>
      </c>
      <c r="C504" s="157" t="s">
        <v>30</v>
      </c>
      <c r="D504" s="159" t="s">
        <v>863</v>
      </c>
      <c r="E504" s="157" t="s">
        <v>861</v>
      </c>
      <c r="F504" s="157" t="s">
        <v>1264</v>
      </c>
      <c r="G504" s="157" t="s">
        <v>1278</v>
      </c>
      <c r="H504" s="157" t="s">
        <v>1287</v>
      </c>
      <c r="I504" s="157" t="s">
        <v>1487</v>
      </c>
      <c r="J504" s="157" t="s">
        <v>1289</v>
      </c>
      <c r="K504" s="157" t="s">
        <v>1269</v>
      </c>
      <c r="L504" s="157" t="s">
        <v>1286</v>
      </c>
      <c r="M504" s="157" t="str">
        <f t="shared" si="15"/>
        <v>LED Lamp - Tailgate Illumination</v>
      </c>
      <c r="N504" s="157"/>
      <c r="O504" s="157"/>
      <c r="P504" s="159" t="s">
        <v>6378</v>
      </c>
      <c r="Q504" s="157"/>
      <c r="R504" s="157"/>
      <c r="S504" s="157"/>
      <c r="T504" s="157"/>
      <c r="U504" s="159" t="s">
        <v>2129</v>
      </c>
      <c r="V504" s="159" t="s">
        <v>2129</v>
      </c>
      <c r="W504" s="159" t="s">
        <v>2138</v>
      </c>
      <c r="X504" s="160">
        <v>0</v>
      </c>
      <c r="Y504" s="160">
        <v>0</v>
      </c>
      <c r="Z504" s="160">
        <v>0</v>
      </c>
      <c r="AA504" s="160">
        <v>0</v>
      </c>
    </row>
    <row r="505" spans="1:27" ht="18" customHeight="1" x14ac:dyDescent="0.25">
      <c r="A505" s="159">
        <v>724</v>
      </c>
      <c r="B505" s="157" t="s">
        <v>77</v>
      </c>
      <c r="C505" s="157" t="s">
        <v>136</v>
      </c>
      <c r="D505" s="159" t="s">
        <v>977</v>
      </c>
      <c r="E505" s="157" t="s">
        <v>975</v>
      </c>
      <c r="F505" s="157"/>
      <c r="G505" s="157" t="s">
        <v>1278</v>
      </c>
      <c r="H505" s="157" t="s">
        <v>1347</v>
      </c>
      <c r="I505" s="157" t="s">
        <v>1488</v>
      </c>
      <c r="J505" s="157" t="s">
        <v>1310</v>
      </c>
      <c r="K505" s="157" t="s">
        <v>1312</v>
      </c>
      <c r="L505" s="157" t="s">
        <v>1312</v>
      </c>
      <c r="M505" s="157" t="str">
        <f t="shared" si="15"/>
        <v>Sensor - Seat Release 2nd Row Right</v>
      </c>
      <c r="N505" s="157"/>
      <c r="O505" s="157"/>
      <c r="P505" s="159" t="s">
        <v>5676</v>
      </c>
      <c r="Q505" s="157"/>
      <c r="R505" s="157"/>
      <c r="S505" s="157"/>
      <c r="T505" s="157"/>
      <c r="U505" s="159" t="s">
        <v>2129</v>
      </c>
      <c r="V505" s="159" t="s">
        <v>2129</v>
      </c>
      <c r="W505" s="159" t="s">
        <v>2138</v>
      </c>
      <c r="X505" s="160">
        <v>0</v>
      </c>
      <c r="Y505" s="160">
        <v>0</v>
      </c>
      <c r="Z505" s="160">
        <v>0</v>
      </c>
      <c r="AA505" s="160">
        <v>0</v>
      </c>
    </row>
    <row r="506" spans="1:27" ht="18" customHeight="1" x14ac:dyDescent="0.25">
      <c r="A506" s="159">
        <v>728</v>
      </c>
      <c r="B506" s="157" t="s">
        <v>77</v>
      </c>
      <c r="C506" s="157" t="s">
        <v>136</v>
      </c>
      <c r="D506" s="159" t="s">
        <v>1124</v>
      </c>
      <c r="E506" s="157" t="s">
        <v>1122</v>
      </c>
      <c r="F506" s="157"/>
      <c r="G506" s="157" t="s">
        <v>1278</v>
      </c>
      <c r="H506" s="157" t="s">
        <v>1347</v>
      </c>
      <c r="I506" s="157" t="s">
        <v>8683</v>
      </c>
      <c r="J506" s="157" t="s">
        <v>1310</v>
      </c>
      <c r="K506" s="157" t="s">
        <v>1269</v>
      </c>
      <c r="L506" s="157" t="s">
        <v>1330</v>
      </c>
      <c r="M506" s="157" t="str">
        <f t="shared" si="15"/>
        <v>Motor - Seat Backrest Tilting 2nd Row Right</v>
      </c>
      <c r="N506" s="157"/>
      <c r="O506" s="157"/>
      <c r="P506" s="159" t="s">
        <v>5676</v>
      </c>
      <c r="Q506" s="74" t="s">
        <v>2115</v>
      </c>
      <c r="R506" s="74" t="s">
        <v>2121</v>
      </c>
      <c r="S506" s="74" t="s">
        <v>8632</v>
      </c>
      <c r="T506" s="157"/>
      <c r="U506" s="159" t="s">
        <v>2129</v>
      </c>
      <c r="V506" s="159" t="s">
        <v>2129</v>
      </c>
      <c r="W506" s="159" t="s">
        <v>2138</v>
      </c>
      <c r="X506" s="160">
        <v>0</v>
      </c>
      <c r="Y506" s="160">
        <v>0</v>
      </c>
      <c r="Z506" s="160">
        <v>0</v>
      </c>
      <c r="AA506" s="160">
        <v>0</v>
      </c>
    </row>
    <row r="507" spans="1:27" ht="18" customHeight="1" x14ac:dyDescent="0.25">
      <c r="A507" s="159">
        <v>729</v>
      </c>
      <c r="B507" s="157" t="s">
        <v>22</v>
      </c>
      <c r="C507" s="157" t="s">
        <v>132</v>
      </c>
      <c r="D507" s="159" t="s">
        <v>913</v>
      </c>
      <c r="E507" s="157" t="s">
        <v>911</v>
      </c>
      <c r="F507" s="157" t="s">
        <v>1264</v>
      </c>
      <c r="G507" s="157" t="s">
        <v>1299</v>
      </c>
      <c r="H507" s="157" t="s">
        <v>1300</v>
      </c>
      <c r="I507" s="157" t="s">
        <v>1311</v>
      </c>
      <c r="J507" s="157" t="s">
        <v>8574</v>
      </c>
      <c r="K507" s="157" t="s">
        <v>1312</v>
      </c>
      <c r="L507" s="157" t="s">
        <v>1313</v>
      </c>
      <c r="M507" s="157" t="str">
        <f t="shared" si="15"/>
        <v>Seat Belt Sensor 1st Row R - Seat Belt</v>
      </c>
      <c r="N507" s="157"/>
      <c r="O507" s="157"/>
      <c r="P507" s="159" t="s">
        <v>5673</v>
      </c>
      <c r="Q507" s="157" t="s">
        <v>2115</v>
      </c>
      <c r="R507" s="157" t="s">
        <v>2142</v>
      </c>
      <c r="S507" s="157" t="s">
        <v>8608</v>
      </c>
      <c r="T507" s="157" t="s">
        <v>2129</v>
      </c>
      <c r="U507" s="159" t="s">
        <v>2129</v>
      </c>
      <c r="V507" s="159" t="s">
        <v>2129</v>
      </c>
      <c r="W507" s="159" t="s">
        <v>2129</v>
      </c>
      <c r="X507" s="160">
        <v>1</v>
      </c>
      <c r="Y507" s="160">
        <v>1</v>
      </c>
      <c r="Z507" s="160">
        <v>1</v>
      </c>
      <c r="AA507" s="160">
        <v>1</v>
      </c>
    </row>
    <row r="508" spans="1:27" ht="18" customHeight="1" x14ac:dyDescent="0.25">
      <c r="A508" s="159">
        <v>732</v>
      </c>
      <c r="B508" s="157" t="s">
        <v>77</v>
      </c>
      <c r="C508" s="157" t="s">
        <v>136</v>
      </c>
      <c r="D508" s="159" t="s">
        <v>1124</v>
      </c>
      <c r="E508" s="157" t="s">
        <v>1122</v>
      </c>
      <c r="F508" s="157"/>
      <c r="G508" s="157" t="s">
        <v>1278</v>
      </c>
      <c r="H508" s="157" t="s">
        <v>1347</v>
      </c>
      <c r="I508" s="157" t="s">
        <v>8683</v>
      </c>
      <c r="J508" s="157" t="s">
        <v>1310</v>
      </c>
      <c r="K508" s="157" t="s">
        <v>1281</v>
      </c>
      <c r="L508" s="157" t="s">
        <v>1282</v>
      </c>
      <c r="M508" s="157" t="str">
        <f t="shared" si="15"/>
        <v>User Selector - Seat Backrest Tilting 2nd Row Right</v>
      </c>
      <c r="N508" s="157"/>
      <c r="O508" s="157"/>
      <c r="P508" s="159" t="s">
        <v>5676</v>
      </c>
      <c r="Q508" s="74" t="s">
        <v>2115</v>
      </c>
      <c r="R508" s="74" t="s">
        <v>2141</v>
      </c>
      <c r="S508" s="74" t="s">
        <v>8608</v>
      </c>
      <c r="T508" s="157"/>
      <c r="U508" s="159" t="s">
        <v>2129</v>
      </c>
      <c r="V508" s="159" t="s">
        <v>2129</v>
      </c>
      <c r="W508" s="159" t="s">
        <v>2138</v>
      </c>
      <c r="X508" s="160">
        <v>0</v>
      </c>
      <c r="Y508" s="160">
        <v>0</v>
      </c>
      <c r="Z508" s="160">
        <v>0</v>
      </c>
      <c r="AA508" s="160">
        <v>0</v>
      </c>
    </row>
    <row r="509" spans="1:27" ht="18" customHeight="1" x14ac:dyDescent="0.25">
      <c r="A509" s="159">
        <v>735</v>
      </c>
      <c r="B509" s="157" t="s">
        <v>77</v>
      </c>
      <c r="C509" s="157" t="s">
        <v>136</v>
      </c>
      <c r="D509" s="159" t="s">
        <v>1124</v>
      </c>
      <c r="E509" s="157" t="s">
        <v>1122</v>
      </c>
      <c r="F509" s="157"/>
      <c r="G509" s="157" t="s">
        <v>1278</v>
      </c>
      <c r="H509" s="157" t="s">
        <v>1347</v>
      </c>
      <c r="I509" s="157" t="s">
        <v>8684</v>
      </c>
      <c r="J509" s="157" t="s">
        <v>1310</v>
      </c>
      <c r="K509" s="157" t="s">
        <v>1281</v>
      </c>
      <c r="L509" s="157" t="s">
        <v>1282</v>
      </c>
      <c r="M509" s="157" t="str">
        <f t="shared" si="15"/>
        <v>User Selector - Seat Backrest Tilting 3rd Row Left</v>
      </c>
      <c r="N509" s="157"/>
      <c r="O509" s="157"/>
      <c r="P509" s="159" t="s">
        <v>7498</v>
      </c>
      <c r="Q509" s="74" t="s">
        <v>2115</v>
      </c>
      <c r="R509" s="74" t="s">
        <v>2141</v>
      </c>
      <c r="S509" s="74" t="s">
        <v>8608</v>
      </c>
      <c r="T509" s="157"/>
      <c r="U509" s="159" t="s">
        <v>2129</v>
      </c>
      <c r="V509" s="159" t="s">
        <v>2129</v>
      </c>
      <c r="W509" s="159" t="s">
        <v>2138</v>
      </c>
      <c r="X509" s="160">
        <v>0</v>
      </c>
      <c r="Y509" s="160">
        <v>0</v>
      </c>
      <c r="Z509" s="160">
        <v>0</v>
      </c>
      <c r="AA509" s="160">
        <v>0</v>
      </c>
    </row>
    <row r="510" spans="1:27" ht="18" customHeight="1" x14ac:dyDescent="0.25">
      <c r="A510" s="159">
        <v>736</v>
      </c>
      <c r="B510" s="157" t="s">
        <v>77</v>
      </c>
      <c r="C510" s="157" t="s">
        <v>136</v>
      </c>
      <c r="D510" s="159" t="s">
        <v>1124</v>
      </c>
      <c r="E510" s="157" t="s">
        <v>1122</v>
      </c>
      <c r="F510" s="157"/>
      <c r="G510" s="157" t="s">
        <v>1278</v>
      </c>
      <c r="H510" s="157" t="s">
        <v>1347</v>
      </c>
      <c r="I510" s="157" t="s">
        <v>8685</v>
      </c>
      <c r="J510" s="157" t="s">
        <v>1310</v>
      </c>
      <c r="K510" s="157" t="s">
        <v>1281</v>
      </c>
      <c r="L510" s="157" t="s">
        <v>1282</v>
      </c>
      <c r="M510" s="157" t="str">
        <f t="shared" si="15"/>
        <v>User Selector - Seat Backrest Tilting 3rd Row Right</v>
      </c>
      <c r="N510" s="157"/>
      <c r="O510" s="157"/>
      <c r="P510" s="159" t="s">
        <v>4221</v>
      </c>
      <c r="Q510" s="74" t="s">
        <v>2115</v>
      </c>
      <c r="R510" s="74" t="s">
        <v>2141</v>
      </c>
      <c r="S510" s="74" t="s">
        <v>8608</v>
      </c>
      <c r="T510" s="157"/>
      <c r="U510" s="159" t="s">
        <v>2129</v>
      </c>
      <c r="V510" s="159" t="s">
        <v>2129</v>
      </c>
      <c r="W510" s="159" t="s">
        <v>2138</v>
      </c>
      <c r="X510" s="160">
        <v>0</v>
      </c>
      <c r="Y510" s="160">
        <v>0</v>
      </c>
      <c r="Z510" s="160">
        <v>0</v>
      </c>
      <c r="AA510" s="160">
        <v>0</v>
      </c>
    </row>
    <row r="511" spans="1:27" ht="18" customHeight="1" x14ac:dyDescent="0.25">
      <c r="A511" s="159">
        <v>737</v>
      </c>
      <c r="B511" s="157" t="s">
        <v>77</v>
      </c>
      <c r="C511" s="157" t="s">
        <v>136</v>
      </c>
      <c r="D511" s="159" t="s">
        <v>1124</v>
      </c>
      <c r="E511" s="157" t="s">
        <v>1122</v>
      </c>
      <c r="F511" s="157"/>
      <c r="G511" s="157" t="s">
        <v>1278</v>
      </c>
      <c r="H511" s="157" t="s">
        <v>1347</v>
      </c>
      <c r="I511" s="157" t="s">
        <v>8684</v>
      </c>
      <c r="J511" s="157" t="s">
        <v>1310</v>
      </c>
      <c r="K511" s="157" t="s">
        <v>1269</v>
      </c>
      <c r="L511" s="157" t="s">
        <v>1330</v>
      </c>
      <c r="M511" s="157" t="str">
        <f t="shared" si="15"/>
        <v>Motor - Seat Backrest Tilting 3rd Row Left</v>
      </c>
      <c r="N511" s="157"/>
      <c r="O511" s="157"/>
      <c r="P511" s="159" t="s">
        <v>7498</v>
      </c>
      <c r="Q511" s="74" t="s">
        <v>2115</v>
      </c>
      <c r="R511" s="74" t="s">
        <v>2121</v>
      </c>
      <c r="S511" s="74" t="s">
        <v>8632</v>
      </c>
      <c r="T511" s="157"/>
      <c r="U511" s="159" t="s">
        <v>2129</v>
      </c>
      <c r="V511" s="159" t="s">
        <v>2129</v>
      </c>
      <c r="W511" s="159" t="s">
        <v>2138</v>
      </c>
      <c r="X511" s="160">
        <v>0</v>
      </c>
      <c r="Y511" s="160">
        <v>0</v>
      </c>
      <c r="Z511" s="160">
        <v>0</v>
      </c>
      <c r="AA511" s="160">
        <v>0</v>
      </c>
    </row>
    <row r="512" spans="1:27" ht="18" customHeight="1" x14ac:dyDescent="0.25">
      <c r="A512" s="159">
        <v>738</v>
      </c>
      <c r="B512" s="157" t="s">
        <v>77</v>
      </c>
      <c r="C512" s="157" t="s">
        <v>136</v>
      </c>
      <c r="D512" s="159" t="s">
        <v>1124</v>
      </c>
      <c r="E512" s="157" t="s">
        <v>1122</v>
      </c>
      <c r="F512" s="157"/>
      <c r="G512" s="157" t="s">
        <v>1278</v>
      </c>
      <c r="H512" s="157" t="s">
        <v>1347</v>
      </c>
      <c r="I512" s="157" t="s">
        <v>8685</v>
      </c>
      <c r="J512" s="157" t="s">
        <v>1310</v>
      </c>
      <c r="K512" s="157" t="s">
        <v>1269</v>
      </c>
      <c r="L512" s="157" t="s">
        <v>1330</v>
      </c>
      <c r="M512" s="157" t="str">
        <f t="shared" si="15"/>
        <v>Motor - Seat Backrest Tilting 3rd Row Right</v>
      </c>
      <c r="N512" s="157"/>
      <c r="O512" s="157"/>
      <c r="P512" s="159" t="s">
        <v>4221</v>
      </c>
      <c r="Q512" s="74" t="s">
        <v>2115</v>
      </c>
      <c r="R512" s="74" t="s">
        <v>2121</v>
      </c>
      <c r="S512" s="74" t="s">
        <v>8632</v>
      </c>
      <c r="T512" s="157"/>
      <c r="U512" s="159" t="s">
        <v>2129</v>
      </c>
      <c r="V512" s="159" t="s">
        <v>2129</v>
      </c>
      <c r="W512" s="159" t="s">
        <v>2138</v>
      </c>
      <c r="X512" s="160">
        <v>0</v>
      </c>
      <c r="Y512" s="160">
        <v>0</v>
      </c>
      <c r="Z512" s="160">
        <v>0</v>
      </c>
      <c r="AA512" s="160">
        <v>0</v>
      </c>
    </row>
    <row r="513" spans="1:27" ht="18" customHeight="1" x14ac:dyDescent="0.25">
      <c r="A513" s="159">
        <v>739</v>
      </c>
      <c r="B513" s="157" t="s">
        <v>22</v>
      </c>
      <c r="C513" s="157" t="s">
        <v>132</v>
      </c>
      <c r="D513" s="159" t="s">
        <v>612</v>
      </c>
      <c r="E513" s="157" t="s">
        <v>610</v>
      </c>
      <c r="F513" s="157" t="s">
        <v>1264</v>
      </c>
      <c r="G513" s="157" t="s">
        <v>1299</v>
      </c>
      <c r="H513" s="157" t="s">
        <v>1300</v>
      </c>
      <c r="I513" s="157" t="s">
        <v>1311</v>
      </c>
      <c r="J513" s="157" t="s">
        <v>1489</v>
      </c>
      <c r="K513" s="157" t="s">
        <v>1312</v>
      </c>
      <c r="L513" s="157" t="s">
        <v>1490</v>
      </c>
      <c r="M513" s="157" t="str">
        <f t="shared" si="15"/>
        <v>Seat Belt Sensor 3rd Row L - Seat Belt</v>
      </c>
      <c r="N513" s="157"/>
      <c r="O513" s="157"/>
      <c r="P513" s="159" t="s">
        <v>5991</v>
      </c>
      <c r="Q513" s="157" t="s">
        <v>2115</v>
      </c>
      <c r="R513" s="157" t="s">
        <v>2142</v>
      </c>
      <c r="S513" s="157" t="s">
        <v>8608</v>
      </c>
      <c r="T513" s="157" t="s">
        <v>2129</v>
      </c>
      <c r="U513" s="159" t="s">
        <v>2129</v>
      </c>
      <c r="V513" s="159" t="s">
        <v>2129</v>
      </c>
      <c r="W513" s="159" t="s">
        <v>2138</v>
      </c>
      <c r="X513" s="160">
        <v>1</v>
      </c>
      <c r="Y513" s="160">
        <v>1</v>
      </c>
      <c r="Z513" s="160">
        <v>1</v>
      </c>
      <c r="AA513" s="160">
        <v>1</v>
      </c>
    </row>
    <row r="514" spans="1:27" ht="18" customHeight="1" x14ac:dyDescent="0.25">
      <c r="A514" s="159">
        <v>740</v>
      </c>
      <c r="B514" s="157" t="s">
        <v>22</v>
      </c>
      <c r="C514" s="157" t="s">
        <v>132</v>
      </c>
      <c r="D514" s="159" t="s">
        <v>612</v>
      </c>
      <c r="E514" s="157" t="s">
        <v>610</v>
      </c>
      <c r="F514" s="157" t="s">
        <v>1264</v>
      </c>
      <c r="G514" s="157" t="s">
        <v>1299</v>
      </c>
      <c r="H514" s="157" t="s">
        <v>1300</v>
      </c>
      <c r="I514" s="157" t="s">
        <v>1311</v>
      </c>
      <c r="J514" s="157" t="s">
        <v>1489</v>
      </c>
      <c r="K514" s="157" t="s">
        <v>1312</v>
      </c>
      <c r="L514" s="157" t="s">
        <v>1491</v>
      </c>
      <c r="M514" s="157" t="str">
        <f t="shared" si="15"/>
        <v>Seat Belt Sensor 3rd Row R - Seat Belt</v>
      </c>
      <c r="N514" s="157"/>
      <c r="O514" s="157"/>
      <c r="P514" s="159" t="s">
        <v>5619</v>
      </c>
      <c r="Q514" s="157" t="s">
        <v>2115</v>
      </c>
      <c r="R514" s="157" t="s">
        <v>2142</v>
      </c>
      <c r="S514" s="157" t="s">
        <v>8608</v>
      </c>
      <c r="T514" s="157" t="s">
        <v>2129</v>
      </c>
      <c r="U514" s="159" t="s">
        <v>2129</v>
      </c>
      <c r="V514" s="159" t="s">
        <v>2129</v>
      </c>
      <c r="W514" s="159" t="s">
        <v>2138</v>
      </c>
      <c r="X514" s="160">
        <v>1</v>
      </c>
      <c r="Y514" s="160">
        <v>1</v>
      </c>
      <c r="Z514" s="160">
        <v>1</v>
      </c>
      <c r="AA514" s="160">
        <v>1</v>
      </c>
    </row>
    <row r="515" spans="1:27" ht="18" customHeight="1" x14ac:dyDescent="0.25">
      <c r="A515" s="159">
        <v>742</v>
      </c>
      <c r="B515" s="157" t="s">
        <v>22</v>
      </c>
      <c r="C515" s="157" t="s">
        <v>35</v>
      </c>
      <c r="D515" s="159" t="s">
        <v>621</v>
      </c>
      <c r="E515" s="157" t="s">
        <v>619</v>
      </c>
      <c r="F515" s="157" t="s">
        <v>1277</v>
      </c>
      <c r="G515" s="157" t="s">
        <v>1299</v>
      </c>
      <c r="H515" s="157" t="s">
        <v>1300</v>
      </c>
      <c r="I515" s="157" t="s">
        <v>1315</v>
      </c>
      <c r="J515" s="157" t="s">
        <v>1489</v>
      </c>
      <c r="K515" s="157" t="s">
        <v>1312</v>
      </c>
      <c r="L515" s="157" t="s">
        <v>1492</v>
      </c>
      <c r="M515" s="157" t="str">
        <f t="shared" si="15"/>
        <v>Seat Occupancy Detection 3rd Row L - Seat Occupancy Detection</v>
      </c>
      <c r="N515" s="157"/>
      <c r="O515" s="157"/>
      <c r="P515" s="159" t="s">
        <v>6084</v>
      </c>
      <c r="Q515" s="157" t="s">
        <v>2115</v>
      </c>
      <c r="R515" s="157" t="s">
        <v>2142</v>
      </c>
      <c r="S515" s="157" t="s">
        <v>8608</v>
      </c>
      <c r="T515" s="157" t="s">
        <v>2129</v>
      </c>
      <c r="U515" s="159" t="s">
        <v>2129</v>
      </c>
      <c r="V515" s="159" t="s">
        <v>2129</v>
      </c>
      <c r="W515" s="159" t="s">
        <v>2138</v>
      </c>
      <c r="X515" s="160">
        <v>1</v>
      </c>
      <c r="Y515" s="160">
        <v>1</v>
      </c>
      <c r="Z515" s="160">
        <v>1</v>
      </c>
      <c r="AA515" s="160">
        <v>1</v>
      </c>
    </row>
    <row r="516" spans="1:27" ht="18" customHeight="1" x14ac:dyDescent="0.25">
      <c r="A516" s="159">
        <v>743</v>
      </c>
      <c r="B516" s="157" t="s">
        <v>22</v>
      </c>
      <c r="C516" s="157" t="s">
        <v>35</v>
      </c>
      <c r="D516" s="159" t="s">
        <v>621</v>
      </c>
      <c r="E516" s="157" t="s">
        <v>619</v>
      </c>
      <c r="F516" s="157" t="s">
        <v>1277</v>
      </c>
      <c r="G516" s="157" t="s">
        <v>1299</v>
      </c>
      <c r="H516" s="157" t="s">
        <v>1300</v>
      </c>
      <c r="I516" s="157" t="s">
        <v>1315</v>
      </c>
      <c r="J516" s="157" t="s">
        <v>1489</v>
      </c>
      <c r="K516" s="157" t="s">
        <v>1312</v>
      </c>
      <c r="L516" s="157" t="s">
        <v>1493</v>
      </c>
      <c r="M516" s="157" t="str">
        <f t="shared" si="15"/>
        <v>Seat Occupancy Detection 3rd Row R - Seat Occupancy Detection</v>
      </c>
      <c r="N516" s="157"/>
      <c r="O516" s="157"/>
      <c r="P516" s="159" t="s">
        <v>5526</v>
      </c>
      <c r="Q516" s="157" t="s">
        <v>2115</v>
      </c>
      <c r="R516" s="157" t="s">
        <v>2142</v>
      </c>
      <c r="S516" s="157" t="s">
        <v>8608</v>
      </c>
      <c r="T516" s="157" t="s">
        <v>2129</v>
      </c>
      <c r="U516" s="159" t="s">
        <v>2129</v>
      </c>
      <c r="V516" s="159" t="s">
        <v>2129</v>
      </c>
      <c r="W516" s="159" t="s">
        <v>2138</v>
      </c>
      <c r="X516" s="160">
        <v>1</v>
      </c>
      <c r="Y516" s="160">
        <v>1</v>
      </c>
      <c r="Z516" s="160">
        <v>1</v>
      </c>
      <c r="AA516" s="160">
        <v>1</v>
      </c>
    </row>
    <row r="517" spans="1:27" ht="18" customHeight="1" x14ac:dyDescent="0.25">
      <c r="A517" s="159">
        <v>746</v>
      </c>
      <c r="B517" s="157" t="s">
        <v>77</v>
      </c>
      <c r="C517" s="157" t="s">
        <v>136</v>
      </c>
      <c r="D517" s="159" t="s">
        <v>977</v>
      </c>
      <c r="E517" s="157" t="s">
        <v>975</v>
      </c>
      <c r="F517" s="157"/>
      <c r="G517" s="157" t="s">
        <v>1278</v>
      </c>
      <c r="H517" s="157" t="s">
        <v>1347</v>
      </c>
      <c r="I517" s="157" t="s">
        <v>1348</v>
      </c>
      <c r="J517" s="157" t="s">
        <v>1310</v>
      </c>
      <c r="K517" s="157" t="s">
        <v>1312</v>
      </c>
      <c r="L517" s="157" t="s">
        <v>1312</v>
      </c>
      <c r="M517" s="157" t="str">
        <f t="shared" si="15"/>
        <v>Sensor - Seat Release 2nd Row Left</v>
      </c>
      <c r="N517" s="157"/>
      <c r="O517" s="157"/>
      <c r="P517" s="159" t="s">
        <v>5862</v>
      </c>
      <c r="Q517" s="157" t="s">
        <v>2115</v>
      </c>
      <c r="R517" s="157" t="s">
        <v>2124</v>
      </c>
      <c r="S517" s="157" t="s">
        <v>8608</v>
      </c>
      <c r="T517" s="157"/>
      <c r="U517" s="159" t="s">
        <v>2129</v>
      </c>
      <c r="V517" s="159" t="s">
        <v>2129</v>
      </c>
      <c r="W517" s="159" t="s">
        <v>2138</v>
      </c>
      <c r="X517" s="160">
        <v>0</v>
      </c>
      <c r="Y517" s="160">
        <v>0</v>
      </c>
      <c r="Z517" s="160">
        <v>0</v>
      </c>
      <c r="AA517" s="160">
        <v>0</v>
      </c>
    </row>
    <row r="518" spans="1:27" ht="18" customHeight="1" x14ac:dyDescent="0.25">
      <c r="A518" s="159">
        <v>747</v>
      </c>
      <c r="B518" s="157" t="s">
        <v>77</v>
      </c>
      <c r="C518" s="157" t="s">
        <v>136</v>
      </c>
      <c r="D518" s="159" t="s">
        <v>977</v>
      </c>
      <c r="E518" s="157" t="s">
        <v>975</v>
      </c>
      <c r="F518" s="157"/>
      <c r="G518" s="157" t="s">
        <v>1278</v>
      </c>
      <c r="H518" s="157" t="s">
        <v>1347</v>
      </c>
      <c r="I518" s="157" t="s">
        <v>1488</v>
      </c>
      <c r="J518" s="157" t="s">
        <v>1310</v>
      </c>
      <c r="K518" s="157" t="s">
        <v>1281</v>
      </c>
      <c r="L518" s="157" t="s">
        <v>1282</v>
      </c>
      <c r="M518" s="157" t="str">
        <f t="shared" si="15"/>
        <v>User Selector - Seat Release 2nd Row Right</v>
      </c>
      <c r="N518" s="157"/>
      <c r="O518" s="157"/>
      <c r="P518" s="159" t="s">
        <v>5676</v>
      </c>
      <c r="Q518" s="74" t="s">
        <v>2115</v>
      </c>
      <c r="R518" s="74" t="s">
        <v>2141</v>
      </c>
      <c r="S518" s="74" t="s">
        <v>8608</v>
      </c>
      <c r="T518" s="157"/>
      <c r="U518" s="159" t="s">
        <v>2129</v>
      </c>
      <c r="V518" s="159" t="s">
        <v>2129</v>
      </c>
      <c r="W518" s="159" t="s">
        <v>2138</v>
      </c>
      <c r="X518" s="160">
        <v>0</v>
      </c>
      <c r="Y518" s="160">
        <v>0</v>
      </c>
      <c r="Z518" s="160">
        <v>0</v>
      </c>
      <c r="AA518" s="160">
        <v>0</v>
      </c>
    </row>
    <row r="519" spans="1:27" ht="18" customHeight="1" x14ac:dyDescent="0.25">
      <c r="A519" s="159">
        <v>748</v>
      </c>
      <c r="B519" s="157" t="s">
        <v>22</v>
      </c>
      <c r="C519" s="157" t="s">
        <v>40</v>
      </c>
      <c r="D519" s="159" t="s">
        <v>627</v>
      </c>
      <c r="E519" s="157" t="s">
        <v>625</v>
      </c>
      <c r="F519" s="157" t="s">
        <v>1010</v>
      </c>
      <c r="G519" s="157" t="s">
        <v>1299</v>
      </c>
      <c r="H519" s="157" t="s">
        <v>1300</v>
      </c>
      <c r="I519" s="157" t="s">
        <v>1494</v>
      </c>
      <c r="J519" s="157" t="s">
        <v>1489</v>
      </c>
      <c r="K519" s="157" t="s">
        <v>1312</v>
      </c>
      <c r="L519" s="157" t="s">
        <v>9743</v>
      </c>
      <c r="M519" s="157" t="str">
        <f t="shared" si="15"/>
        <v>Seat Position 2nd Row L - Seat Position</v>
      </c>
      <c r="N519" s="157"/>
      <c r="O519" s="157"/>
      <c r="P519" s="159" t="s">
        <v>5786</v>
      </c>
      <c r="Q519" s="157" t="s">
        <v>2115</v>
      </c>
      <c r="R519" s="157" t="s">
        <v>2142</v>
      </c>
      <c r="S519" s="157" t="s">
        <v>8608</v>
      </c>
      <c r="T519" s="157" t="s">
        <v>2129</v>
      </c>
      <c r="U519" s="159" t="s">
        <v>2129</v>
      </c>
      <c r="V519" s="159" t="s">
        <v>2129</v>
      </c>
      <c r="W519" s="159" t="s">
        <v>2138</v>
      </c>
      <c r="X519" s="160">
        <v>1</v>
      </c>
      <c r="Y519" s="160">
        <v>1</v>
      </c>
      <c r="Z519" s="160">
        <v>1</v>
      </c>
      <c r="AA519" s="160">
        <v>1</v>
      </c>
    </row>
    <row r="520" spans="1:27" ht="18" customHeight="1" x14ac:dyDescent="0.25">
      <c r="A520" s="159">
        <v>748</v>
      </c>
      <c r="B520" s="157" t="s">
        <v>22</v>
      </c>
      <c r="C520" s="157" t="s">
        <v>40</v>
      </c>
      <c r="D520" s="159" t="s">
        <v>636</v>
      </c>
      <c r="E520" s="157" t="s">
        <v>634</v>
      </c>
      <c r="F520" s="157" t="s">
        <v>1010</v>
      </c>
      <c r="G520" s="157" t="s">
        <v>1299</v>
      </c>
      <c r="H520" s="157" t="s">
        <v>1300</v>
      </c>
      <c r="I520" s="157" t="s">
        <v>1494</v>
      </c>
      <c r="J520" s="157" t="s">
        <v>1489</v>
      </c>
      <c r="K520" s="157" t="s">
        <v>1312</v>
      </c>
      <c r="L520" s="157" t="s">
        <v>9743</v>
      </c>
      <c r="M520" s="157" t="str">
        <f t="shared" si="15"/>
        <v>Seat Position 2nd Row L - Seat Position</v>
      </c>
      <c r="N520" s="157"/>
      <c r="O520" s="157"/>
      <c r="P520" s="159" t="s">
        <v>5786</v>
      </c>
      <c r="Q520" s="157" t="s">
        <v>2115</v>
      </c>
      <c r="R520" s="157" t="s">
        <v>2142</v>
      </c>
      <c r="S520" s="157" t="s">
        <v>8608</v>
      </c>
      <c r="T520" s="157" t="s">
        <v>2129</v>
      </c>
      <c r="U520" s="159" t="s">
        <v>2129</v>
      </c>
      <c r="V520" s="159" t="s">
        <v>2129</v>
      </c>
      <c r="W520" s="159" t="s">
        <v>2138</v>
      </c>
      <c r="X520" s="160">
        <v>1</v>
      </c>
      <c r="Y520" s="160">
        <v>1</v>
      </c>
      <c r="Z520" s="160">
        <v>1</v>
      </c>
      <c r="AA520" s="160">
        <v>1</v>
      </c>
    </row>
    <row r="521" spans="1:27" ht="18" customHeight="1" x14ac:dyDescent="0.25">
      <c r="A521" s="159">
        <v>749</v>
      </c>
      <c r="B521" s="157" t="s">
        <v>22</v>
      </c>
      <c r="C521" s="157" t="s">
        <v>35</v>
      </c>
      <c r="D521" s="159" t="s">
        <v>621</v>
      </c>
      <c r="E521" s="157" t="s">
        <v>619</v>
      </c>
      <c r="F521" s="157" t="s">
        <v>1277</v>
      </c>
      <c r="G521" s="157" t="s">
        <v>1299</v>
      </c>
      <c r="H521" s="157" t="s">
        <v>1300</v>
      </c>
      <c r="I521" s="157" t="s">
        <v>1315</v>
      </c>
      <c r="J521" s="157"/>
      <c r="K521" s="157" t="s">
        <v>1312</v>
      </c>
      <c r="L521" s="157" t="s">
        <v>1495</v>
      </c>
      <c r="M521" s="157" t="str">
        <f t="shared" si="15"/>
        <v>Seat Occupancy Detection 2nd Row L - Seat Occupancy Detection</v>
      </c>
      <c r="N521" s="157"/>
      <c r="O521" s="157"/>
      <c r="P521" s="159" t="s">
        <v>6534</v>
      </c>
      <c r="Q521" s="157" t="s">
        <v>2115</v>
      </c>
      <c r="R521" s="157" t="s">
        <v>2142</v>
      </c>
      <c r="S521" s="157" t="s">
        <v>8608</v>
      </c>
      <c r="T521" s="157" t="s">
        <v>2129</v>
      </c>
      <c r="U521" s="159" t="s">
        <v>2129</v>
      </c>
      <c r="V521" s="159" t="s">
        <v>2138</v>
      </c>
      <c r="W521" s="159" t="s">
        <v>2138</v>
      </c>
      <c r="X521" s="160">
        <v>1</v>
      </c>
      <c r="Y521" s="160">
        <v>1</v>
      </c>
      <c r="Z521" s="160">
        <v>1</v>
      </c>
      <c r="AA521" s="160">
        <v>1</v>
      </c>
    </row>
    <row r="522" spans="1:27" ht="18" customHeight="1" x14ac:dyDescent="0.25">
      <c r="A522" s="159">
        <v>750</v>
      </c>
      <c r="B522" s="157" t="s">
        <v>22</v>
      </c>
      <c r="C522" s="157" t="s">
        <v>35</v>
      </c>
      <c r="D522" s="159" t="s">
        <v>621</v>
      </c>
      <c r="E522" s="157" t="s">
        <v>619</v>
      </c>
      <c r="F522" s="157" t="s">
        <v>1277</v>
      </c>
      <c r="G522" s="157" t="s">
        <v>1299</v>
      </c>
      <c r="H522" s="157" t="s">
        <v>1300</v>
      </c>
      <c r="I522" s="157" t="s">
        <v>1315</v>
      </c>
      <c r="J522" s="157"/>
      <c r="K522" s="157" t="s">
        <v>1312</v>
      </c>
      <c r="L522" s="157" t="s">
        <v>1496</v>
      </c>
      <c r="M522" s="157" t="str">
        <f t="shared" ref="M522:M585" si="16">CONCATENATE(L522," - ",I522)</f>
        <v>Seat Occupancy Detection 2nd Row C - Seat Occupancy Detection</v>
      </c>
      <c r="N522" s="157"/>
      <c r="O522" s="157"/>
      <c r="P522" s="159" t="s">
        <v>5786</v>
      </c>
      <c r="Q522" s="157" t="s">
        <v>2115</v>
      </c>
      <c r="R522" s="157" t="s">
        <v>2142</v>
      </c>
      <c r="S522" s="157" t="s">
        <v>8608</v>
      </c>
      <c r="T522" s="157" t="s">
        <v>2129</v>
      </c>
      <c r="U522" s="159" t="s">
        <v>2129</v>
      </c>
      <c r="V522" s="159" t="s">
        <v>2138</v>
      </c>
      <c r="W522" s="159" t="s">
        <v>2138</v>
      </c>
      <c r="X522" s="160">
        <v>1</v>
      </c>
      <c r="Y522" s="160">
        <v>1</v>
      </c>
      <c r="Z522" s="160">
        <v>1</v>
      </c>
      <c r="AA522" s="160">
        <v>1</v>
      </c>
    </row>
    <row r="523" spans="1:27" ht="18" customHeight="1" x14ac:dyDescent="0.25">
      <c r="A523" s="159">
        <v>751</v>
      </c>
      <c r="B523" s="157" t="s">
        <v>22</v>
      </c>
      <c r="C523" s="157" t="s">
        <v>40</v>
      </c>
      <c r="D523" s="159" t="s">
        <v>627</v>
      </c>
      <c r="E523" s="157" t="s">
        <v>625</v>
      </c>
      <c r="F523" s="157" t="s">
        <v>1010</v>
      </c>
      <c r="G523" s="157" t="s">
        <v>1299</v>
      </c>
      <c r="H523" s="157" t="s">
        <v>1300</v>
      </c>
      <c r="I523" s="157" t="s">
        <v>1494</v>
      </c>
      <c r="J523" s="157" t="s">
        <v>1489</v>
      </c>
      <c r="K523" s="157" t="s">
        <v>1312</v>
      </c>
      <c r="L523" s="157" t="s">
        <v>9744</v>
      </c>
      <c r="M523" s="157" t="str">
        <f t="shared" si="16"/>
        <v>Seat Position 2nd Row C - Seat Position</v>
      </c>
      <c r="N523" s="157"/>
      <c r="O523" s="157"/>
      <c r="P523" s="159" t="s">
        <v>5786</v>
      </c>
      <c r="Q523" s="157" t="s">
        <v>2115</v>
      </c>
      <c r="R523" s="157" t="s">
        <v>2142</v>
      </c>
      <c r="S523" s="157" t="s">
        <v>8608</v>
      </c>
      <c r="T523" s="157" t="s">
        <v>2129</v>
      </c>
      <c r="U523" s="159" t="s">
        <v>2129</v>
      </c>
      <c r="V523" s="159" t="s">
        <v>2129</v>
      </c>
      <c r="W523" s="159" t="s">
        <v>2138</v>
      </c>
      <c r="X523" s="160">
        <v>1</v>
      </c>
      <c r="Y523" s="160">
        <v>1</v>
      </c>
      <c r="Z523" s="160">
        <v>1</v>
      </c>
      <c r="AA523" s="160">
        <v>1</v>
      </c>
    </row>
    <row r="524" spans="1:27" ht="18" customHeight="1" x14ac:dyDescent="0.25">
      <c r="A524" s="159">
        <v>751</v>
      </c>
      <c r="B524" s="157" t="s">
        <v>22</v>
      </c>
      <c r="C524" s="157" t="s">
        <v>40</v>
      </c>
      <c r="D524" s="159" t="s">
        <v>636</v>
      </c>
      <c r="E524" s="157" t="s">
        <v>634</v>
      </c>
      <c r="F524" s="157" t="s">
        <v>1010</v>
      </c>
      <c r="G524" s="157" t="s">
        <v>1299</v>
      </c>
      <c r="H524" s="157" t="s">
        <v>1300</v>
      </c>
      <c r="I524" s="157" t="s">
        <v>1494</v>
      </c>
      <c r="J524" s="157" t="s">
        <v>1489</v>
      </c>
      <c r="K524" s="157" t="s">
        <v>1312</v>
      </c>
      <c r="L524" s="157" t="s">
        <v>9744</v>
      </c>
      <c r="M524" s="157" t="str">
        <f t="shared" si="16"/>
        <v>Seat Position 2nd Row C - Seat Position</v>
      </c>
      <c r="N524" s="157"/>
      <c r="O524" s="157"/>
      <c r="P524" s="159" t="s">
        <v>5786</v>
      </c>
      <c r="Q524" s="157" t="s">
        <v>2115</v>
      </c>
      <c r="R524" s="157" t="s">
        <v>2142</v>
      </c>
      <c r="S524" s="157" t="s">
        <v>8608</v>
      </c>
      <c r="T524" s="157" t="s">
        <v>2129</v>
      </c>
      <c r="U524" s="159" t="s">
        <v>2129</v>
      </c>
      <c r="V524" s="159" t="s">
        <v>2129</v>
      </c>
      <c r="W524" s="159" t="s">
        <v>2138</v>
      </c>
      <c r="X524" s="160">
        <v>1</v>
      </c>
      <c r="Y524" s="160">
        <v>1</v>
      </c>
      <c r="Z524" s="160">
        <v>1</v>
      </c>
      <c r="AA524" s="160">
        <v>1</v>
      </c>
    </row>
    <row r="525" spans="1:27" ht="18" customHeight="1" x14ac:dyDescent="0.25">
      <c r="A525" s="159">
        <v>752</v>
      </c>
      <c r="B525" s="157" t="s">
        <v>22</v>
      </c>
      <c r="C525" s="157" t="s">
        <v>40</v>
      </c>
      <c r="D525" s="159" t="s">
        <v>627</v>
      </c>
      <c r="E525" s="157" t="s">
        <v>625</v>
      </c>
      <c r="F525" s="157" t="s">
        <v>1010</v>
      </c>
      <c r="G525" s="157" t="s">
        <v>1299</v>
      </c>
      <c r="H525" s="157" t="s">
        <v>1300</v>
      </c>
      <c r="I525" s="157" t="s">
        <v>1494</v>
      </c>
      <c r="J525" s="157" t="s">
        <v>1489</v>
      </c>
      <c r="K525" s="157" t="s">
        <v>1312</v>
      </c>
      <c r="L525" s="157" t="s">
        <v>9745</v>
      </c>
      <c r="M525" s="157" t="str">
        <f t="shared" si="16"/>
        <v>Seat Position 2nd Row R - Seat Position</v>
      </c>
      <c r="N525" s="157"/>
      <c r="O525" s="157"/>
      <c r="P525" s="159" t="s">
        <v>5786</v>
      </c>
      <c r="Q525" s="157" t="s">
        <v>2115</v>
      </c>
      <c r="R525" s="157" t="s">
        <v>2142</v>
      </c>
      <c r="S525" s="157" t="s">
        <v>8608</v>
      </c>
      <c r="T525" s="157" t="s">
        <v>2129</v>
      </c>
      <c r="U525" s="159" t="s">
        <v>2129</v>
      </c>
      <c r="V525" s="159" t="s">
        <v>2129</v>
      </c>
      <c r="W525" s="159" t="s">
        <v>2138</v>
      </c>
      <c r="X525" s="160">
        <v>1</v>
      </c>
      <c r="Y525" s="160">
        <v>1</v>
      </c>
      <c r="Z525" s="160">
        <v>1</v>
      </c>
      <c r="AA525" s="160">
        <v>1</v>
      </c>
    </row>
    <row r="526" spans="1:27" ht="18" customHeight="1" x14ac:dyDescent="0.25">
      <c r="A526" s="159">
        <v>752</v>
      </c>
      <c r="B526" s="157" t="s">
        <v>22</v>
      </c>
      <c r="C526" s="157" t="s">
        <v>40</v>
      </c>
      <c r="D526" s="159" t="s">
        <v>636</v>
      </c>
      <c r="E526" s="157" t="s">
        <v>634</v>
      </c>
      <c r="F526" s="157" t="s">
        <v>1010</v>
      </c>
      <c r="G526" s="157" t="s">
        <v>1299</v>
      </c>
      <c r="H526" s="157" t="s">
        <v>1300</v>
      </c>
      <c r="I526" s="157" t="s">
        <v>1494</v>
      </c>
      <c r="J526" s="157" t="s">
        <v>1489</v>
      </c>
      <c r="K526" s="157" t="s">
        <v>1312</v>
      </c>
      <c r="L526" s="157" t="s">
        <v>9745</v>
      </c>
      <c r="M526" s="157" t="str">
        <f t="shared" si="16"/>
        <v>Seat Position 2nd Row R - Seat Position</v>
      </c>
      <c r="N526" s="157"/>
      <c r="O526" s="157"/>
      <c r="P526" s="159" t="s">
        <v>5786</v>
      </c>
      <c r="Q526" s="157" t="s">
        <v>2115</v>
      </c>
      <c r="R526" s="157" t="s">
        <v>2142</v>
      </c>
      <c r="S526" s="157" t="s">
        <v>8608</v>
      </c>
      <c r="T526" s="157" t="s">
        <v>2129</v>
      </c>
      <c r="U526" s="159" t="s">
        <v>2129</v>
      </c>
      <c r="V526" s="159" t="s">
        <v>2129</v>
      </c>
      <c r="W526" s="159" t="s">
        <v>2138</v>
      </c>
      <c r="X526" s="160">
        <v>1</v>
      </c>
      <c r="Y526" s="160">
        <v>1</v>
      </c>
      <c r="Z526" s="160">
        <v>1</v>
      </c>
      <c r="AA526" s="160">
        <v>1</v>
      </c>
    </row>
    <row r="527" spans="1:27" ht="18" customHeight="1" x14ac:dyDescent="0.25">
      <c r="A527" s="159">
        <v>756</v>
      </c>
      <c r="B527" s="157" t="s">
        <v>22</v>
      </c>
      <c r="C527" s="157" t="s">
        <v>132</v>
      </c>
      <c r="D527" s="159" t="s">
        <v>612</v>
      </c>
      <c r="E527" s="157" t="s">
        <v>610</v>
      </c>
      <c r="F527" s="157" t="s">
        <v>1264</v>
      </c>
      <c r="G527" s="157" t="s">
        <v>1299</v>
      </c>
      <c r="H527" s="157" t="s">
        <v>1300</v>
      </c>
      <c r="I527" s="157" t="s">
        <v>1311</v>
      </c>
      <c r="J527" s="157" t="s">
        <v>1285</v>
      </c>
      <c r="K527" s="157" t="s">
        <v>1312</v>
      </c>
      <c r="L527" s="157" t="s">
        <v>1497</v>
      </c>
      <c r="M527" s="157" t="str">
        <f t="shared" si="16"/>
        <v>Seat Belt Sensor 2nd Row L - Seat Belt</v>
      </c>
      <c r="N527" s="157"/>
      <c r="O527" s="157"/>
      <c r="P527" s="159" t="s">
        <v>5972</v>
      </c>
      <c r="Q527" s="157" t="s">
        <v>2115</v>
      </c>
      <c r="R527" s="157" t="s">
        <v>2142</v>
      </c>
      <c r="S527" s="157" t="s">
        <v>8608</v>
      </c>
      <c r="T527" s="157" t="s">
        <v>2129</v>
      </c>
      <c r="U527" s="159" t="s">
        <v>2138</v>
      </c>
      <c r="V527" s="159" t="s">
        <v>2138</v>
      </c>
      <c r="W527" s="159" t="s">
        <v>2138</v>
      </c>
      <c r="X527" s="160">
        <v>1</v>
      </c>
      <c r="Y527" s="160">
        <v>1</v>
      </c>
      <c r="Z527" s="160">
        <v>1</v>
      </c>
      <c r="AA527" s="160">
        <v>1</v>
      </c>
    </row>
    <row r="528" spans="1:27" ht="18" customHeight="1" x14ac:dyDescent="0.25">
      <c r="A528" s="159">
        <v>757</v>
      </c>
      <c r="B528" s="157" t="s">
        <v>22</v>
      </c>
      <c r="C528" s="157" t="s">
        <v>132</v>
      </c>
      <c r="D528" s="159" t="s">
        <v>612</v>
      </c>
      <c r="E528" s="157" t="s">
        <v>610</v>
      </c>
      <c r="F528" s="157" t="s">
        <v>1264</v>
      </c>
      <c r="G528" s="157" t="s">
        <v>1299</v>
      </c>
      <c r="H528" s="157" t="s">
        <v>1300</v>
      </c>
      <c r="I528" s="157" t="s">
        <v>1311</v>
      </c>
      <c r="J528" s="157" t="s">
        <v>1285</v>
      </c>
      <c r="K528" s="157" t="s">
        <v>1312</v>
      </c>
      <c r="L528" s="157" t="s">
        <v>1498</v>
      </c>
      <c r="M528" s="157" t="str">
        <f t="shared" si="16"/>
        <v>Seat Belt Sensor 2nd Row C - Seat Belt</v>
      </c>
      <c r="N528" s="157"/>
      <c r="O528" s="157"/>
      <c r="P528" s="159" t="s">
        <v>5786</v>
      </c>
      <c r="Q528" s="157" t="s">
        <v>2115</v>
      </c>
      <c r="R528" s="157" t="s">
        <v>2142</v>
      </c>
      <c r="S528" s="157" t="s">
        <v>8608</v>
      </c>
      <c r="T528" s="157" t="s">
        <v>2129</v>
      </c>
      <c r="U528" s="159" t="s">
        <v>2138</v>
      </c>
      <c r="V528" s="159" t="s">
        <v>2138</v>
      </c>
      <c r="W528" s="159" t="s">
        <v>2138</v>
      </c>
      <c r="X528" s="160">
        <v>1</v>
      </c>
      <c r="Y528" s="160">
        <v>1</v>
      </c>
      <c r="Z528" s="160">
        <v>1</v>
      </c>
      <c r="AA528" s="160">
        <v>1</v>
      </c>
    </row>
    <row r="529" spans="1:27" ht="18" customHeight="1" x14ac:dyDescent="0.25">
      <c r="A529" s="159">
        <v>764</v>
      </c>
      <c r="B529" s="157" t="s">
        <v>22</v>
      </c>
      <c r="C529" s="157" t="s">
        <v>35</v>
      </c>
      <c r="D529" s="159" t="s">
        <v>621</v>
      </c>
      <c r="E529" s="157" t="s">
        <v>619</v>
      </c>
      <c r="F529" s="157" t="s">
        <v>1277</v>
      </c>
      <c r="G529" s="157" t="s">
        <v>1299</v>
      </c>
      <c r="H529" s="157" t="s">
        <v>1300</v>
      </c>
      <c r="I529" s="157" t="s">
        <v>1315</v>
      </c>
      <c r="J529" s="157"/>
      <c r="K529" s="157" t="s">
        <v>1312</v>
      </c>
      <c r="L529" s="157" t="s">
        <v>1499</v>
      </c>
      <c r="M529" s="157" t="str">
        <f t="shared" si="16"/>
        <v>Seat Occupancy Detection 2nd Row R - Seat Occupancy Detection</v>
      </c>
      <c r="N529" s="157"/>
      <c r="O529" s="157"/>
      <c r="P529" s="159" t="s">
        <v>5042</v>
      </c>
      <c r="Q529" s="157" t="s">
        <v>2115</v>
      </c>
      <c r="R529" s="157" t="s">
        <v>2142</v>
      </c>
      <c r="S529" s="157" t="s">
        <v>8608</v>
      </c>
      <c r="T529" s="157" t="s">
        <v>2129</v>
      </c>
      <c r="U529" s="159" t="s">
        <v>2129</v>
      </c>
      <c r="V529" s="159" t="s">
        <v>2138</v>
      </c>
      <c r="W529" s="159" t="s">
        <v>2138</v>
      </c>
      <c r="X529" s="160">
        <v>1</v>
      </c>
      <c r="Y529" s="160">
        <v>1</v>
      </c>
      <c r="Z529" s="160">
        <v>1</v>
      </c>
      <c r="AA529" s="160">
        <v>1</v>
      </c>
    </row>
    <row r="530" spans="1:27" ht="18" customHeight="1" x14ac:dyDescent="0.25">
      <c r="A530" s="159">
        <v>765</v>
      </c>
      <c r="B530" s="157" t="s">
        <v>77</v>
      </c>
      <c r="C530" s="157" t="s">
        <v>136</v>
      </c>
      <c r="D530" s="159" t="s">
        <v>977</v>
      </c>
      <c r="E530" s="157" t="s">
        <v>975</v>
      </c>
      <c r="F530" s="157"/>
      <c r="G530" s="157" t="s">
        <v>1278</v>
      </c>
      <c r="H530" s="157" t="s">
        <v>1347</v>
      </c>
      <c r="I530" s="157" t="s">
        <v>1488</v>
      </c>
      <c r="J530" s="157" t="s">
        <v>1310</v>
      </c>
      <c r="K530" s="157" t="s">
        <v>1269</v>
      </c>
      <c r="L530" s="157" t="s">
        <v>1330</v>
      </c>
      <c r="M530" s="157" t="str">
        <f t="shared" si="16"/>
        <v>Motor - Seat Release 2nd Row Right</v>
      </c>
      <c r="N530" s="157"/>
      <c r="O530" s="157"/>
      <c r="P530" s="159"/>
      <c r="Q530" s="157"/>
      <c r="R530" s="157"/>
      <c r="S530" s="157"/>
      <c r="T530" s="157"/>
      <c r="U530" s="159"/>
      <c r="V530" s="159"/>
      <c r="W530" s="159"/>
      <c r="X530" s="160"/>
      <c r="Y530" s="160"/>
      <c r="Z530" s="160"/>
      <c r="AA530" s="160"/>
    </row>
    <row r="531" spans="1:27" ht="18" customHeight="1" x14ac:dyDescent="0.25">
      <c r="A531" s="159">
        <v>769</v>
      </c>
      <c r="B531" s="157" t="s">
        <v>22</v>
      </c>
      <c r="C531" s="157" t="s">
        <v>132</v>
      </c>
      <c r="D531" s="159" t="s">
        <v>612</v>
      </c>
      <c r="E531" s="157" t="s">
        <v>610</v>
      </c>
      <c r="F531" s="157" t="s">
        <v>1264</v>
      </c>
      <c r="G531" s="157" t="s">
        <v>1299</v>
      </c>
      <c r="H531" s="157" t="s">
        <v>1300</v>
      </c>
      <c r="I531" s="157" t="s">
        <v>1311</v>
      </c>
      <c r="J531" s="157" t="s">
        <v>1285</v>
      </c>
      <c r="K531" s="157" t="s">
        <v>1312</v>
      </c>
      <c r="L531" s="157" t="s">
        <v>1500</v>
      </c>
      <c r="M531" s="157" t="str">
        <f t="shared" si="16"/>
        <v>Seat Belt Sensor 2nd Row R - Seat Belt</v>
      </c>
      <c r="N531" s="157"/>
      <c r="O531" s="157"/>
      <c r="P531" s="159" t="s">
        <v>5600</v>
      </c>
      <c r="Q531" s="157" t="s">
        <v>2115</v>
      </c>
      <c r="R531" s="157" t="s">
        <v>2142</v>
      </c>
      <c r="S531" s="157" t="s">
        <v>8608</v>
      </c>
      <c r="T531" s="157" t="s">
        <v>2129</v>
      </c>
      <c r="U531" s="159" t="s">
        <v>2138</v>
      </c>
      <c r="V531" s="159" t="s">
        <v>2138</v>
      </c>
      <c r="W531" s="159" t="s">
        <v>2138</v>
      </c>
      <c r="X531" s="160">
        <v>1</v>
      </c>
      <c r="Y531" s="160">
        <v>1</v>
      </c>
      <c r="Z531" s="160">
        <v>1</v>
      </c>
      <c r="AA531" s="160">
        <v>1</v>
      </c>
    </row>
    <row r="532" spans="1:27" ht="18" customHeight="1" x14ac:dyDescent="0.25">
      <c r="A532" s="159">
        <v>780</v>
      </c>
      <c r="B532" s="157" t="s">
        <v>57</v>
      </c>
      <c r="C532" s="157" t="s">
        <v>349</v>
      </c>
      <c r="D532" s="159" t="s">
        <v>352</v>
      </c>
      <c r="E532" s="157" t="s">
        <v>350</v>
      </c>
      <c r="F532" s="157"/>
      <c r="G532" s="157" t="s">
        <v>1321</v>
      </c>
      <c r="H532" s="157" t="s">
        <v>2022</v>
      </c>
      <c r="I532" s="157" t="s">
        <v>1502</v>
      </c>
      <c r="J532" s="157" t="s">
        <v>1324</v>
      </c>
      <c r="K532" s="157" t="s">
        <v>1269</v>
      </c>
      <c r="L532" s="157" t="s">
        <v>1502</v>
      </c>
      <c r="M532" s="157" t="str">
        <f t="shared" si="16"/>
        <v>Motor Coolant Pump - Motor Coolant Pump</v>
      </c>
      <c r="N532" s="157"/>
      <c r="O532" s="157"/>
      <c r="P532" s="167" t="s">
        <v>3198</v>
      </c>
      <c r="Q532" s="157" t="s">
        <v>2115</v>
      </c>
      <c r="R532" s="157" t="s">
        <v>9662</v>
      </c>
      <c r="S532" s="157" t="s">
        <v>9663</v>
      </c>
      <c r="T532" s="157"/>
      <c r="U532" s="159" t="s">
        <v>2129</v>
      </c>
      <c r="V532" s="159" t="s">
        <v>2129</v>
      </c>
      <c r="W532" s="159" t="s">
        <v>2138</v>
      </c>
      <c r="X532" s="160">
        <v>0.6</v>
      </c>
      <c r="Y532" s="160">
        <v>0.4</v>
      </c>
      <c r="Z532" s="160">
        <v>0.4</v>
      </c>
      <c r="AA532" s="160">
        <v>0.6</v>
      </c>
    </row>
    <row r="533" spans="1:27" ht="18" customHeight="1" x14ac:dyDescent="0.25">
      <c r="A533" s="159">
        <v>780</v>
      </c>
      <c r="B533" s="157" t="s">
        <v>57</v>
      </c>
      <c r="C533" s="157" t="s">
        <v>349</v>
      </c>
      <c r="D533" s="159" t="s">
        <v>453</v>
      </c>
      <c r="E533" s="157" t="s">
        <v>451</v>
      </c>
      <c r="F533" s="157"/>
      <c r="G533" s="157" t="s">
        <v>1321</v>
      </c>
      <c r="H533" s="157" t="s">
        <v>2022</v>
      </c>
      <c r="I533" s="157" t="s">
        <v>1502</v>
      </c>
      <c r="J533" s="157" t="s">
        <v>1324</v>
      </c>
      <c r="K533" s="157" t="s">
        <v>1269</v>
      </c>
      <c r="L533" s="157" t="s">
        <v>1502</v>
      </c>
      <c r="M533" s="157" t="str">
        <f t="shared" si="16"/>
        <v>Motor Coolant Pump - Motor Coolant Pump</v>
      </c>
      <c r="N533" s="157"/>
      <c r="O533" s="157"/>
      <c r="P533" s="167" t="s">
        <v>3198</v>
      </c>
      <c r="Q533" s="157" t="s">
        <v>2115</v>
      </c>
      <c r="R533" s="157" t="s">
        <v>9662</v>
      </c>
      <c r="S533" s="157" t="s">
        <v>9663</v>
      </c>
      <c r="T533" s="157"/>
      <c r="U533" s="159" t="s">
        <v>2129</v>
      </c>
      <c r="V533" s="159" t="s">
        <v>2129</v>
      </c>
      <c r="W533" s="159" t="s">
        <v>2138</v>
      </c>
      <c r="X533" s="160">
        <v>0.6</v>
      </c>
      <c r="Y533" s="160">
        <v>0.4</v>
      </c>
      <c r="Z533" s="160">
        <v>0.4</v>
      </c>
      <c r="AA533" s="160">
        <v>0.6</v>
      </c>
    </row>
    <row r="534" spans="1:27" ht="18" customHeight="1" x14ac:dyDescent="0.25">
      <c r="A534" s="159">
        <v>780</v>
      </c>
      <c r="B534" s="157" t="s">
        <v>57</v>
      </c>
      <c r="C534" s="157" t="s">
        <v>349</v>
      </c>
      <c r="D534" s="159" t="s">
        <v>590</v>
      </c>
      <c r="E534" s="157" t="s">
        <v>588</v>
      </c>
      <c r="F534" s="157"/>
      <c r="G534" s="157" t="s">
        <v>1321</v>
      </c>
      <c r="H534" s="157" t="s">
        <v>2022</v>
      </c>
      <c r="I534" s="157" t="s">
        <v>1502</v>
      </c>
      <c r="J534" s="157" t="s">
        <v>1324</v>
      </c>
      <c r="K534" s="157" t="s">
        <v>1269</v>
      </c>
      <c r="L534" s="157" t="s">
        <v>1502</v>
      </c>
      <c r="M534" s="157" t="str">
        <f t="shared" si="16"/>
        <v>Motor Coolant Pump - Motor Coolant Pump</v>
      </c>
      <c r="N534" s="157"/>
      <c r="O534" s="157"/>
      <c r="P534" s="167" t="s">
        <v>3198</v>
      </c>
      <c r="Q534" s="157" t="s">
        <v>2115</v>
      </c>
      <c r="R534" s="157" t="s">
        <v>9662</v>
      </c>
      <c r="S534" s="157" t="s">
        <v>9663</v>
      </c>
      <c r="T534" s="157"/>
      <c r="U534" s="159" t="s">
        <v>2129</v>
      </c>
      <c r="V534" s="159" t="s">
        <v>2129</v>
      </c>
      <c r="W534" s="159" t="s">
        <v>2138</v>
      </c>
      <c r="X534" s="160">
        <v>0.6</v>
      </c>
      <c r="Y534" s="160">
        <v>0.4</v>
      </c>
      <c r="Z534" s="160">
        <v>0.4</v>
      </c>
      <c r="AA534" s="160">
        <v>0.6</v>
      </c>
    </row>
    <row r="535" spans="1:27" ht="18" customHeight="1" x14ac:dyDescent="0.25">
      <c r="A535" s="159">
        <v>780</v>
      </c>
      <c r="B535" s="157" t="s">
        <v>57</v>
      </c>
      <c r="C535" s="157" t="s">
        <v>349</v>
      </c>
      <c r="D535" s="159" t="s">
        <v>642</v>
      </c>
      <c r="E535" s="157" t="s">
        <v>640</v>
      </c>
      <c r="F535" s="157"/>
      <c r="G535" s="157" t="s">
        <v>1321</v>
      </c>
      <c r="H535" s="157" t="s">
        <v>2022</v>
      </c>
      <c r="I535" s="157" t="s">
        <v>1502</v>
      </c>
      <c r="J535" s="157" t="s">
        <v>1324</v>
      </c>
      <c r="K535" s="157" t="s">
        <v>1269</v>
      </c>
      <c r="L535" s="157" t="s">
        <v>1502</v>
      </c>
      <c r="M535" s="157" t="str">
        <f t="shared" si="16"/>
        <v>Motor Coolant Pump - Motor Coolant Pump</v>
      </c>
      <c r="N535" s="157"/>
      <c r="O535" s="157"/>
      <c r="P535" s="167" t="s">
        <v>3198</v>
      </c>
      <c r="Q535" s="157" t="s">
        <v>2115</v>
      </c>
      <c r="R535" s="157" t="s">
        <v>9662</v>
      </c>
      <c r="S535" s="157" t="s">
        <v>9663</v>
      </c>
      <c r="T535" s="157"/>
      <c r="U535" s="159" t="s">
        <v>2129</v>
      </c>
      <c r="V535" s="159" t="s">
        <v>2129</v>
      </c>
      <c r="W535" s="159" t="s">
        <v>2138</v>
      </c>
      <c r="X535" s="160">
        <v>0.6</v>
      </c>
      <c r="Y535" s="160">
        <v>0.4</v>
      </c>
      <c r="Z535" s="160">
        <v>0.4</v>
      </c>
      <c r="AA535" s="160">
        <v>0.6</v>
      </c>
    </row>
    <row r="536" spans="1:27" ht="18" customHeight="1" x14ac:dyDescent="0.25">
      <c r="A536" s="159">
        <v>780</v>
      </c>
      <c r="B536" s="157" t="s">
        <v>57</v>
      </c>
      <c r="C536" s="157" t="s">
        <v>349</v>
      </c>
      <c r="D536" s="159" t="s">
        <v>454</v>
      </c>
      <c r="E536" s="157" t="s">
        <v>700</v>
      </c>
      <c r="F536" s="157"/>
      <c r="G536" s="157" t="s">
        <v>1321</v>
      </c>
      <c r="H536" s="157" t="s">
        <v>2022</v>
      </c>
      <c r="I536" s="157" t="s">
        <v>1502</v>
      </c>
      <c r="J536" s="157" t="s">
        <v>1324</v>
      </c>
      <c r="K536" s="157" t="s">
        <v>1269</v>
      </c>
      <c r="L536" s="157" t="s">
        <v>1502</v>
      </c>
      <c r="M536" s="157" t="str">
        <f t="shared" si="16"/>
        <v>Motor Coolant Pump - Motor Coolant Pump</v>
      </c>
      <c r="N536" s="157"/>
      <c r="O536" s="157"/>
      <c r="P536" s="167" t="s">
        <v>3198</v>
      </c>
      <c r="Q536" s="157" t="s">
        <v>2115</v>
      </c>
      <c r="R536" s="157" t="s">
        <v>9662</v>
      </c>
      <c r="S536" s="157" t="s">
        <v>9663</v>
      </c>
      <c r="T536" s="157"/>
      <c r="U536" s="159" t="s">
        <v>2129</v>
      </c>
      <c r="V536" s="159" t="s">
        <v>2129</v>
      </c>
      <c r="W536" s="159" t="s">
        <v>2138</v>
      </c>
      <c r="X536" s="160">
        <v>0.6</v>
      </c>
      <c r="Y536" s="160">
        <v>0.4</v>
      </c>
      <c r="Z536" s="160">
        <v>0.4</v>
      </c>
      <c r="AA536" s="160">
        <v>0.6</v>
      </c>
    </row>
    <row r="537" spans="1:27" ht="18" customHeight="1" x14ac:dyDescent="0.25">
      <c r="A537" s="159">
        <v>780</v>
      </c>
      <c r="B537" s="157" t="s">
        <v>57</v>
      </c>
      <c r="C537" s="157" t="s">
        <v>349</v>
      </c>
      <c r="D537" s="159" t="s">
        <v>353</v>
      </c>
      <c r="E537" s="157" t="s">
        <v>742</v>
      </c>
      <c r="F537" s="157"/>
      <c r="G537" s="157" t="s">
        <v>1321</v>
      </c>
      <c r="H537" s="157" t="s">
        <v>2022</v>
      </c>
      <c r="I537" s="157" t="s">
        <v>1502</v>
      </c>
      <c r="J537" s="157" t="s">
        <v>1324</v>
      </c>
      <c r="K537" s="157" t="s">
        <v>1269</v>
      </c>
      <c r="L537" s="157" t="s">
        <v>1502</v>
      </c>
      <c r="M537" s="157" t="str">
        <f t="shared" si="16"/>
        <v>Motor Coolant Pump - Motor Coolant Pump</v>
      </c>
      <c r="N537" s="157"/>
      <c r="O537" s="157"/>
      <c r="P537" s="167" t="s">
        <v>3198</v>
      </c>
      <c r="Q537" s="157" t="s">
        <v>2115</v>
      </c>
      <c r="R537" s="157" t="s">
        <v>9662</v>
      </c>
      <c r="S537" s="157" t="s">
        <v>9663</v>
      </c>
      <c r="T537" s="157"/>
      <c r="U537" s="159" t="s">
        <v>2129</v>
      </c>
      <c r="V537" s="159" t="s">
        <v>2129</v>
      </c>
      <c r="W537" s="159" t="s">
        <v>2138</v>
      </c>
      <c r="X537" s="160">
        <v>0.6</v>
      </c>
      <c r="Y537" s="160">
        <v>0.4</v>
      </c>
      <c r="Z537" s="160">
        <v>0.4</v>
      </c>
      <c r="AA537" s="160">
        <v>0.6</v>
      </c>
    </row>
    <row r="538" spans="1:27" ht="18" customHeight="1" x14ac:dyDescent="0.25">
      <c r="A538" s="159">
        <v>780</v>
      </c>
      <c r="B538" s="157" t="s">
        <v>57</v>
      </c>
      <c r="C538" s="157" t="s">
        <v>349</v>
      </c>
      <c r="D538" s="159" t="s">
        <v>910</v>
      </c>
      <c r="E538" s="157" t="s">
        <v>908</v>
      </c>
      <c r="F538" s="157"/>
      <c r="G538" s="157" t="s">
        <v>1321</v>
      </c>
      <c r="H538" s="157" t="s">
        <v>2022</v>
      </c>
      <c r="I538" s="157" t="s">
        <v>1502</v>
      </c>
      <c r="J538" s="157" t="s">
        <v>1324</v>
      </c>
      <c r="K538" s="157" t="s">
        <v>1269</v>
      </c>
      <c r="L538" s="157" t="s">
        <v>1502</v>
      </c>
      <c r="M538" s="157" t="str">
        <f t="shared" si="16"/>
        <v>Motor Coolant Pump - Motor Coolant Pump</v>
      </c>
      <c r="N538" s="157"/>
      <c r="O538" s="157"/>
      <c r="P538" s="167" t="s">
        <v>3198</v>
      </c>
      <c r="Q538" s="157" t="s">
        <v>2115</v>
      </c>
      <c r="R538" s="157" t="s">
        <v>9662</v>
      </c>
      <c r="S538" s="157" t="s">
        <v>9663</v>
      </c>
      <c r="T538" s="157"/>
      <c r="U538" s="159" t="s">
        <v>2129</v>
      </c>
      <c r="V538" s="159" t="s">
        <v>2129</v>
      </c>
      <c r="W538" s="159" t="s">
        <v>2138</v>
      </c>
      <c r="X538" s="160">
        <v>0.6</v>
      </c>
      <c r="Y538" s="160">
        <v>0.4</v>
      </c>
      <c r="Z538" s="160">
        <v>0.4</v>
      </c>
      <c r="AA538" s="160">
        <v>0.6</v>
      </c>
    </row>
    <row r="539" spans="1:27" ht="18" customHeight="1" x14ac:dyDescent="0.25">
      <c r="A539" s="159">
        <v>780</v>
      </c>
      <c r="B539" s="157" t="s">
        <v>57</v>
      </c>
      <c r="C539" s="157" t="s">
        <v>349</v>
      </c>
      <c r="D539" s="159" t="s">
        <v>1183</v>
      </c>
      <c r="E539" s="157" t="s">
        <v>1181</v>
      </c>
      <c r="F539" s="157"/>
      <c r="G539" s="157" t="s">
        <v>1321</v>
      </c>
      <c r="H539" s="157" t="s">
        <v>2022</v>
      </c>
      <c r="I539" s="157" t="s">
        <v>1502</v>
      </c>
      <c r="J539" s="157" t="s">
        <v>1324</v>
      </c>
      <c r="K539" s="157" t="s">
        <v>1269</v>
      </c>
      <c r="L539" s="157" t="s">
        <v>1502</v>
      </c>
      <c r="M539" s="157" t="str">
        <f t="shared" si="16"/>
        <v>Motor Coolant Pump - Motor Coolant Pump</v>
      </c>
      <c r="N539" s="157"/>
      <c r="O539" s="157"/>
      <c r="P539" s="167" t="s">
        <v>3198</v>
      </c>
      <c r="Q539" s="157" t="s">
        <v>2115</v>
      </c>
      <c r="R539" s="157" t="s">
        <v>9662</v>
      </c>
      <c r="S539" s="157" t="s">
        <v>9663</v>
      </c>
      <c r="T539" s="157"/>
      <c r="U539" s="159" t="s">
        <v>2129</v>
      </c>
      <c r="V539" s="159" t="s">
        <v>2129</v>
      </c>
      <c r="W539" s="159" t="s">
        <v>2138</v>
      </c>
      <c r="X539" s="160">
        <v>0.6</v>
      </c>
      <c r="Y539" s="160">
        <v>0.4</v>
      </c>
      <c r="Z539" s="160">
        <v>0.4</v>
      </c>
      <c r="AA539" s="160">
        <v>0.6</v>
      </c>
    </row>
    <row r="540" spans="1:27" ht="18" customHeight="1" x14ac:dyDescent="0.25">
      <c r="A540" s="159">
        <v>782</v>
      </c>
      <c r="B540" s="157" t="s">
        <v>57</v>
      </c>
      <c r="C540" s="157" t="s">
        <v>58</v>
      </c>
      <c r="D540" s="159" t="s">
        <v>61</v>
      </c>
      <c r="E540" s="157" t="s">
        <v>59</v>
      </c>
      <c r="F540" s="157" t="s">
        <v>1264</v>
      </c>
      <c r="G540" s="157" t="s">
        <v>1278</v>
      </c>
      <c r="H540" s="157" t="s">
        <v>1378</v>
      </c>
      <c r="I540" s="157" t="s">
        <v>1503</v>
      </c>
      <c r="J540" s="157" t="s">
        <v>1504</v>
      </c>
      <c r="K540" s="157" t="s">
        <v>1312</v>
      </c>
      <c r="L540" s="157" t="s">
        <v>1505</v>
      </c>
      <c r="M540" s="157" t="str">
        <f t="shared" si="16"/>
        <v>Refrigerant Subcool PT - Refrigerant Pressure and Temperature</v>
      </c>
      <c r="N540" s="157"/>
      <c r="O540" s="157"/>
      <c r="P540" s="159" t="s">
        <v>2396</v>
      </c>
      <c r="Q540" s="168" t="s">
        <v>2115</v>
      </c>
      <c r="R540" s="168" t="s">
        <v>2112</v>
      </c>
      <c r="S540" s="168" t="s">
        <v>8623</v>
      </c>
      <c r="T540" s="157"/>
      <c r="U540" s="159" t="s">
        <v>2129</v>
      </c>
      <c r="V540" s="159" t="s">
        <v>2129</v>
      </c>
      <c r="W540" s="159" t="s">
        <v>2138</v>
      </c>
      <c r="X540" s="160">
        <v>1</v>
      </c>
      <c r="Y540" s="160">
        <v>1</v>
      </c>
      <c r="Z540" s="160">
        <v>1</v>
      </c>
      <c r="AA540" s="160">
        <v>1</v>
      </c>
    </row>
    <row r="541" spans="1:27" ht="18" customHeight="1" x14ac:dyDescent="0.25">
      <c r="A541" s="159">
        <v>782</v>
      </c>
      <c r="B541" s="157" t="s">
        <v>57</v>
      </c>
      <c r="C541" s="157" t="s">
        <v>58</v>
      </c>
      <c r="D541" s="159" t="s">
        <v>243</v>
      </c>
      <c r="E541" s="157" t="s">
        <v>241</v>
      </c>
      <c r="F541" s="157" t="s">
        <v>1264</v>
      </c>
      <c r="G541" s="157" t="s">
        <v>1278</v>
      </c>
      <c r="H541" s="157" t="s">
        <v>1378</v>
      </c>
      <c r="I541" s="157" t="s">
        <v>1503</v>
      </c>
      <c r="J541" s="157" t="s">
        <v>1504</v>
      </c>
      <c r="K541" s="157" t="s">
        <v>1312</v>
      </c>
      <c r="L541" s="157" t="s">
        <v>1505</v>
      </c>
      <c r="M541" s="157" t="str">
        <f t="shared" si="16"/>
        <v>Refrigerant Subcool PT - Refrigerant Pressure and Temperature</v>
      </c>
      <c r="N541" s="157"/>
      <c r="O541" s="157"/>
      <c r="P541" s="159" t="s">
        <v>2396</v>
      </c>
      <c r="Q541" s="168" t="s">
        <v>2115</v>
      </c>
      <c r="R541" s="168" t="s">
        <v>2112</v>
      </c>
      <c r="S541" s="168" t="s">
        <v>8623</v>
      </c>
      <c r="T541" s="157"/>
      <c r="U541" s="159" t="s">
        <v>2129</v>
      </c>
      <c r="V541" s="159" t="s">
        <v>2138</v>
      </c>
      <c r="W541" s="159" t="s">
        <v>2138</v>
      </c>
      <c r="X541" s="160">
        <v>1</v>
      </c>
      <c r="Y541" s="160">
        <v>1</v>
      </c>
      <c r="Z541" s="160">
        <v>1</v>
      </c>
      <c r="AA541" s="160">
        <v>1</v>
      </c>
    </row>
    <row r="542" spans="1:27" ht="18" customHeight="1" x14ac:dyDescent="0.25">
      <c r="A542" s="159">
        <v>782</v>
      </c>
      <c r="B542" s="157" t="s">
        <v>57</v>
      </c>
      <c r="C542" s="157" t="s">
        <v>58</v>
      </c>
      <c r="D542" s="159" t="s">
        <v>414</v>
      </c>
      <c r="E542" s="157" t="s">
        <v>412</v>
      </c>
      <c r="F542" s="157" t="s">
        <v>1264</v>
      </c>
      <c r="G542" s="157" t="s">
        <v>1278</v>
      </c>
      <c r="H542" s="157" t="s">
        <v>1378</v>
      </c>
      <c r="I542" s="157" t="s">
        <v>1503</v>
      </c>
      <c r="J542" s="157" t="s">
        <v>1504</v>
      </c>
      <c r="K542" s="157" t="s">
        <v>1312</v>
      </c>
      <c r="L542" s="157" t="s">
        <v>1505</v>
      </c>
      <c r="M542" s="157" t="str">
        <f t="shared" si="16"/>
        <v>Refrigerant Subcool PT - Refrigerant Pressure and Temperature</v>
      </c>
      <c r="N542" s="157"/>
      <c r="O542" s="157"/>
      <c r="P542" s="159" t="s">
        <v>2396</v>
      </c>
      <c r="Q542" s="168" t="s">
        <v>2115</v>
      </c>
      <c r="R542" s="168" t="s">
        <v>2112</v>
      </c>
      <c r="S542" s="168" t="s">
        <v>8623</v>
      </c>
      <c r="T542" s="157"/>
      <c r="U542" s="159" t="s">
        <v>2129</v>
      </c>
      <c r="V542" s="159" t="s">
        <v>2138</v>
      </c>
      <c r="W542" s="159" t="s">
        <v>2138</v>
      </c>
      <c r="X542" s="160">
        <v>1</v>
      </c>
      <c r="Y542" s="160">
        <v>1</v>
      </c>
      <c r="Z542" s="160">
        <v>1</v>
      </c>
      <c r="AA542" s="160">
        <v>1</v>
      </c>
    </row>
    <row r="543" spans="1:27" ht="18" customHeight="1" x14ac:dyDescent="0.25">
      <c r="A543" s="159">
        <v>782</v>
      </c>
      <c r="B543" s="157" t="s">
        <v>57</v>
      </c>
      <c r="C543" s="157" t="s">
        <v>58</v>
      </c>
      <c r="D543" s="159" t="s">
        <v>417</v>
      </c>
      <c r="E543" s="157" t="s">
        <v>415</v>
      </c>
      <c r="F543" s="157" t="s">
        <v>1264</v>
      </c>
      <c r="G543" s="157" t="s">
        <v>1278</v>
      </c>
      <c r="H543" s="157" t="s">
        <v>1378</v>
      </c>
      <c r="I543" s="157" t="s">
        <v>1503</v>
      </c>
      <c r="J543" s="157" t="s">
        <v>1504</v>
      </c>
      <c r="K543" s="157" t="s">
        <v>1312</v>
      </c>
      <c r="L543" s="157" t="s">
        <v>1505</v>
      </c>
      <c r="M543" s="157" t="str">
        <f t="shared" si="16"/>
        <v>Refrigerant Subcool PT - Refrigerant Pressure and Temperature</v>
      </c>
      <c r="N543" s="157"/>
      <c r="O543" s="157"/>
      <c r="P543" s="159" t="s">
        <v>2396</v>
      </c>
      <c r="Q543" s="168" t="s">
        <v>2115</v>
      </c>
      <c r="R543" s="168" t="s">
        <v>2112</v>
      </c>
      <c r="S543" s="168" t="s">
        <v>8623</v>
      </c>
      <c r="T543" s="157"/>
      <c r="U543" s="159" t="s">
        <v>2129</v>
      </c>
      <c r="V543" s="159" t="s">
        <v>2138</v>
      </c>
      <c r="W543" s="159" t="s">
        <v>2138</v>
      </c>
      <c r="X543" s="160">
        <v>1</v>
      </c>
      <c r="Y543" s="160">
        <v>1</v>
      </c>
      <c r="Z543" s="160">
        <v>1</v>
      </c>
      <c r="AA543" s="160">
        <v>1</v>
      </c>
    </row>
    <row r="544" spans="1:27" ht="18" customHeight="1" x14ac:dyDescent="0.25">
      <c r="A544" s="159">
        <v>782</v>
      </c>
      <c r="B544" s="157" t="s">
        <v>57</v>
      </c>
      <c r="C544" s="157" t="s">
        <v>58</v>
      </c>
      <c r="D544" s="159" t="s">
        <v>664</v>
      </c>
      <c r="E544" s="157" t="s">
        <v>662</v>
      </c>
      <c r="F544" s="157" t="s">
        <v>1264</v>
      </c>
      <c r="G544" s="157" t="s">
        <v>1278</v>
      </c>
      <c r="H544" s="157" t="s">
        <v>1378</v>
      </c>
      <c r="I544" s="157" t="s">
        <v>1503</v>
      </c>
      <c r="J544" s="157" t="s">
        <v>1504</v>
      </c>
      <c r="K544" s="157" t="s">
        <v>1312</v>
      </c>
      <c r="L544" s="157" t="s">
        <v>1505</v>
      </c>
      <c r="M544" s="157" t="str">
        <f t="shared" si="16"/>
        <v>Refrigerant Subcool PT - Refrigerant Pressure and Temperature</v>
      </c>
      <c r="N544" s="157"/>
      <c r="O544" s="157"/>
      <c r="P544" s="159" t="s">
        <v>2396</v>
      </c>
      <c r="Q544" s="168" t="s">
        <v>2115</v>
      </c>
      <c r="R544" s="168" t="s">
        <v>2112</v>
      </c>
      <c r="S544" s="168" t="s">
        <v>8623</v>
      </c>
      <c r="T544" s="157"/>
      <c r="U544" s="159" t="s">
        <v>2138</v>
      </c>
      <c r="V544" s="159" t="s">
        <v>2129</v>
      </c>
      <c r="W544" s="159" t="s">
        <v>2129</v>
      </c>
      <c r="X544" s="160">
        <v>1</v>
      </c>
      <c r="Y544" s="160">
        <v>1</v>
      </c>
      <c r="Z544" s="160">
        <v>1</v>
      </c>
      <c r="AA544" s="160">
        <v>1</v>
      </c>
    </row>
    <row r="545" spans="1:27" ht="18" customHeight="1" x14ac:dyDescent="0.25">
      <c r="A545" s="159">
        <v>782</v>
      </c>
      <c r="B545" s="157" t="s">
        <v>57</v>
      </c>
      <c r="C545" s="157" t="s">
        <v>58</v>
      </c>
      <c r="D545" s="159" t="s">
        <v>929</v>
      </c>
      <c r="E545" s="157" t="s">
        <v>927</v>
      </c>
      <c r="F545" s="157" t="s">
        <v>1264</v>
      </c>
      <c r="G545" s="157" t="s">
        <v>1278</v>
      </c>
      <c r="H545" s="157" t="s">
        <v>1378</v>
      </c>
      <c r="I545" s="157" t="s">
        <v>1503</v>
      </c>
      <c r="J545" s="157" t="s">
        <v>1504</v>
      </c>
      <c r="K545" s="157" t="s">
        <v>1312</v>
      </c>
      <c r="L545" s="157" t="s">
        <v>1505</v>
      </c>
      <c r="M545" s="157" t="str">
        <f t="shared" si="16"/>
        <v>Refrigerant Subcool PT - Refrigerant Pressure and Temperature</v>
      </c>
      <c r="N545" s="157"/>
      <c r="O545" s="157"/>
      <c r="P545" s="159" t="s">
        <v>2396</v>
      </c>
      <c r="Q545" s="168" t="s">
        <v>2115</v>
      </c>
      <c r="R545" s="168" t="s">
        <v>2112</v>
      </c>
      <c r="S545" s="168" t="s">
        <v>8623</v>
      </c>
      <c r="T545" s="157"/>
      <c r="U545" s="159" t="s">
        <v>2129</v>
      </c>
      <c r="V545" s="159" t="s">
        <v>2138</v>
      </c>
      <c r="W545" s="159" t="s">
        <v>2138</v>
      </c>
      <c r="X545" s="160">
        <v>1</v>
      </c>
      <c r="Y545" s="160">
        <v>1</v>
      </c>
      <c r="Z545" s="160">
        <v>1</v>
      </c>
      <c r="AA545" s="160">
        <v>1</v>
      </c>
    </row>
    <row r="546" spans="1:27" ht="18" customHeight="1" x14ac:dyDescent="0.25">
      <c r="A546" s="159">
        <v>782</v>
      </c>
      <c r="B546" s="157" t="s">
        <v>57</v>
      </c>
      <c r="C546" s="157" t="s">
        <v>58</v>
      </c>
      <c r="D546" s="159" t="s">
        <v>62</v>
      </c>
      <c r="E546" s="157" t="s">
        <v>991</v>
      </c>
      <c r="F546" s="157" t="s">
        <v>1264</v>
      </c>
      <c r="G546" s="157" t="s">
        <v>1278</v>
      </c>
      <c r="H546" s="157" t="s">
        <v>1378</v>
      </c>
      <c r="I546" s="157" t="s">
        <v>1503</v>
      </c>
      <c r="J546" s="157" t="s">
        <v>1504</v>
      </c>
      <c r="K546" s="157" t="s">
        <v>1312</v>
      </c>
      <c r="L546" s="157" t="s">
        <v>1505</v>
      </c>
      <c r="M546" s="157" t="str">
        <f t="shared" si="16"/>
        <v>Refrigerant Subcool PT - Refrigerant Pressure and Temperature</v>
      </c>
      <c r="N546" s="157"/>
      <c r="O546" s="157"/>
      <c r="P546" s="159" t="s">
        <v>2396</v>
      </c>
      <c r="Q546" s="168" t="s">
        <v>2115</v>
      </c>
      <c r="R546" s="168" t="s">
        <v>2112</v>
      </c>
      <c r="S546" s="168" t="s">
        <v>8623</v>
      </c>
      <c r="T546" s="157"/>
      <c r="U546" s="159" t="s">
        <v>2129</v>
      </c>
      <c r="V546" s="159" t="s">
        <v>2138</v>
      </c>
      <c r="W546" s="159" t="s">
        <v>2129</v>
      </c>
      <c r="X546" s="160">
        <v>1</v>
      </c>
      <c r="Y546" s="160">
        <v>1</v>
      </c>
      <c r="Z546" s="160">
        <v>1</v>
      </c>
      <c r="AA546" s="160">
        <v>1</v>
      </c>
    </row>
    <row r="547" spans="1:27" ht="18" customHeight="1" x14ac:dyDescent="0.25">
      <c r="A547" s="159">
        <v>782</v>
      </c>
      <c r="B547" s="157" t="s">
        <v>57</v>
      </c>
      <c r="C547" s="157" t="s">
        <v>58</v>
      </c>
      <c r="D547" s="159" t="s">
        <v>995</v>
      </c>
      <c r="E547" s="157" t="s">
        <v>993</v>
      </c>
      <c r="F547" s="157" t="s">
        <v>1264</v>
      </c>
      <c r="G547" s="157" t="s">
        <v>1278</v>
      </c>
      <c r="H547" s="157" t="s">
        <v>1378</v>
      </c>
      <c r="I547" s="157" t="s">
        <v>1503</v>
      </c>
      <c r="J547" s="157" t="s">
        <v>1504</v>
      </c>
      <c r="K547" s="157" t="s">
        <v>1312</v>
      </c>
      <c r="L547" s="157" t="s">
        <v>1505</v>
      </c>
      <c r="M547" s="157" t="str">
        <f t="shared" si="16"/>
        <v>Refrigerant Subcool PT - Refrigerant Pressure and Temperature</v>
      </c>
      <c r="N547" s="157"/>
      <c r="O547" s="157"/>
      <c r="P547" s="159" t="s">
        <v>2396</v>
      </c>
      <c r="Q547" s="168" t="s">
        <v>2115</v>
      </c>
      <c r="R547" s="168" t="s">
        <v>2112</v>
      </c>
      <c r="S547" s="168" t="s">
        <v>8623</v>
      </c>
      <c r="T547" s="157"/>
      <c r="U547" s="159" t="s">
        <v>2129</v>
      </c>
      <c r="V547" s="159" t="s">
        <v>2138</v>
      </c>
      <c r="W547" s="159" t="s">
        <v>2138</v>
      </c>
      <c r="X547" s="160">
        <v>1</v>
      </c>
      <c r="Y547" s="160">
        <v>1</v>
      </c>
      <c r="Z547" s="160">
        <v>1</v>
      </c>
      <c r="AA547" s="160">
        <v>1</v>
      </c>
    </row>
    <row r="548" spans="1:27" ht="18" customHeight="1" x14ac:dyDescent="0.25">
      <c r="A548" s="159">
        <v>782</v>
      </c>
      <c r="B548" s="157" t="s">
        <v>57</v>
      </c>
      <c r="C548" s="157" t="s">
        <v>58</v>
      </c>
      <c r="D548" s="159" t="s">
        <v>998</v>
      </c>
      <c r="E548" s="157" t="s">
        <v>996</v>
      </c>
      <c r="F548" s="157" t="s">
        <v>1264</v>
      </c>
      <c r="G548" s="157" t="s">
        <v>1278</v>
      </c>
      <c r="H548" s="157" t="s">
        <v>1378</v>
      </c>
      <c r="I548" s="157" t="s">
        <v>1503</v>
      </c>
      <c r="J548" s="157" t="s">
        <v>1504</v>
      </c>
      <c r="K548" s="157" t="s">
        <v>1312</v>
      </c>
      <c r="L548" s="157" t="s">
        <v>1505</v>
      </c>
      <c r="M548" s="157" t="str">
        <f t="shared" si="16"/>
        <v>Refrigerant Subcool PT - Refrigerant Pressure and Temperature</v>
      </c>
      <c r="N548" s="157"/>
      <c r="O548" s="157"/>
      <c r="P548" s="159" t="s">
        <v>2396</v>
      </c>
      <c r="Q548" s="168" t="s">
        <v>2115</v>
      </c>
      <c r="R548" s="168" t="s">
        <v>2112</v>
      </c>
      <c r="S548" s="168" t="s">
        <v>8623</v>
      </c>
      <c r="T548" s="157"/>
      <c r="U548" s="159" t="s">
        <v>2129</v>
      </c>
      <c r="V548" s="159" t="s">
        <v>2138</v>
      </c>
      <c r="W548" s="159" t="s">
        <v>2138</v>
      </c>
      <c r="X548" s="160">
        <v>1</v>
      </c>
      <c r="Y548" s="160">
        <v>1</v>
      </c>
      <c r="Z548" s="160">
        <v>1</v>
      </c>
      <c r="AA548" s="160">
        <v>1</v>
      </c>
    </row>
    <row r="549" spans="1:27" ht="18" customHeight="1" x14ac:dyDescent="0.25">
      <c r="A549" s="159">
        <v>785</v>
      </c>
      <c r="B549" s="157" t="s">
        <v>57</v>
      </c>
      <c r="C549" s="157" t="s">
        <v>349</v>
      </c>
      <c r="D549" s="159" t="s">
        <v>352</v>
      </c>
      <c r="E549" s="157" t="s">
        <v>350</v>
      </c>
      <c r="F549" s="157"/>
      <c r="G549" s="157" t="s">
        <v>1321</v>
      </c>
      <c r="H549" s="157" t="s">
        <v>2022</v>
      </c>
      <c r="I549" s="157" t="s">
        <v>1506</v>
      </c>
      <c r="J549" s="157" t="s">
        <v>1324</v>
      </c>
      <c r="K549" s="157" t="s">
        <v>1312</v>
      </c>
      <c r="L549" s="157" t="s">
        <v>1387</v>
      </c>
      <c r="M549" s="157" t="str">
        <f t="shared" si="16"/>
        <v>Coolant Temperature - Motor Coolant Temperature</v>
      </c>
      <c r="N549" s="157"/>
      <c r="O549" s="157"/>
      <c r="P549" s="159" t="s">
        <v>2613</v>
      </c>
      <c r="Q549" s="157" t="s">
        <v>2115</v>
      </c>
      <c r="R549" s="157" t="s">
        <v>8582</v>
      </c>
      <c r="S549" s="157" t="s">
        <v>8576</v>
      </c>
      <c r="T549" s="157"/>
      <c r="U549" s="159" t="s">
        <v>2129</v>
      </c>
      <c r="V549" s="159" t="s">
        <v>2129</v>
      </c>
      <c r="W549" s="159" t="s">
        <v>2138</v>
      </c>
      <c r="X549" s="160">
        <v>1</v>
      </c>
      <c r="Y549" s="160">
        <v>1</v>
      </c>
      <c r="Z549" s="160">
        <v>1</v>
      </c>
      <c r="AA549" s="160">
        <v>1</v>
      </c>
    </row>
    <row r="550" spans="1:27" ht="18" customHeight="1" x14ac:dyDescent="0.25">
      <c r="A550" s="159">
        <v>785</v>
      </c>
      <c r="B550" s="157" t="s">
        <v>57</v>
      </c>
      <c r="C550" s="157" t="s">
        <v>349</v>
      </c>
      <c r="D550" s="159" t="s">
        <v>453</v>
      </c>
      <c r="E550" s="157" t="s">
        <v>451</v>
      </c>
      <c r="F550" s="157"/>
      <c r="G550" s="157" t="s">
        <v>1321</v>
      </c>
      <c r="H550" s="157" t="s">
        <v>2022</v>
      </c>
      <c r="I550" s="157" t="s">
        <v>1506</v>
      </c>
      <c r="J550" s="157" t="s">
        <v>1324</v>
      </c>
      <c r="K550" s="157" t="s">
        <v>1312</v>
      </c>
      <c r="L550" s="157" t="s">
        <v>1387</v>
      </c>
      <c r="M550" s="157" t="str">
        <f t="shared" si="16"/>
        <v>Coolant Temperature - Motor Coolant Temperature</v>
      </c>
      <c r="N550" s="157"/>
      <c r="O550" s="157"/>
      <c r="P550" s="159" t="s">
        <v>2613</v>
      </c>
      <c r="Q550" s="157" t="s">
        <v>2115</v>
      </c>
      <c r="R550" s="157" t="s">
        <v>8582</v>
      </c>
      <c r="S550" s="157" t="s">
        <v>8576</v>
      </c>
      <c r="T550" s="157"/>
      <c r="U550" s="159" t="s">
        <v>2129</v>
      </c>
      <c r="V550" s="159" t="s">
        <v>2129</v>
      </c>
      <c r="W550" s="159" t="s">
        <v>2138</v>
      </c>
      <c r="X550" s="160">
        <v>1</v>
      </c>
      <c r="Y550" s="160">
        <v>1</v>
      </c>
      <c r="Z550" s="160">
        <v>1</v>
      </c>
      <c r="AA550" s="160">
        <v>1</v>
      </c>
    </row>
    <row r="551" spans="1:27" ht="18" customHeight="1" x14ac:dyDescent="0.25">
      <c r="A551" s="159">
        <v>785</v>
      </c>
      <c r="B551" s="157" t="s">
        <v>57</v>
      </c>
      <c r="C551" s="157" t="s">
        <v>349</v>
      </c>
      <c r="D551" s="159" t="s">
        <v>590</v>
      </c>
      <c r="E551" s="157" t="s">
        <v>588</v>
      </c>
      <c r="F551" s="157"/>
      <c r="G551" s="157" t="s">
        <v>1321</v>
      </c>
      <c r="H551" s="157" t="s">
        <v>2022</v>
      </c>
      <c r="I551" s="157" t="s">
        <v>1506</v>
      </c>
      <c r="J551" s="157" t="s">
        <v>1324</v>
      </c>
      <c r="K551" s="157" t="s">
        <v>1312</v>
      </c>
      <c r="L551" s="157" t="s">
        <v>1387</v>
      </c>
      <c r="M551" s="157" t="str">
        <f t="shared" si="16"/>
        <v>Coolant Temperature - Motor Coolant Temperature</v>
      </c>
      <c r="N551" s="157"/>
      <c r="O551" s="157"/>
      <c r="P551" s="159" t="s">
        <v>2613</v>
      </c>
      <c r="Q551" s="157" t="s">
        <v>2115</v>
      </c>
      <c r="R551" s="157" t="s">
        <v>8582</v>
      </c>
      <c r="S551" s="157" t="s">
        <v>8576</v>
      </c>
      <c r="T551" s="157"/>
      <c r="U551" s="159" t="s">
        <v>2129</v>
      </c>
      <c r="V551" s="159" t="s">
        <v>2129</v>
      </c>
      <c r="W551" s="159" t="s">
        <v>2138</v>
      </c>
      <c r="X551" s="160">
        <v>1</v>
      </c>
      <c r="Y551" s="160">
        <v>1</v>
      </c>
      <c r="Z551" s="160">
        <v>1</v>
      </c>
      <c r="AA551" s="160">
        <v>1</v>
      </c>
    </row>
    <row r="552" spans="1:27" ht="18" customHeight="1" x14ac:dyDescent="0.25">
      <c r="A552" s="159">
        <v>785</v>
      </c>
      <c r="B552" s="157" t="s">
        <v>57</v>
      </c>
      <c r="C552" s="157" t="s">
        <v>349</v>
      </c>
      <c r="D552" s="159" t="s">
        <v>642</v>
      </c>
      <c r="E552" s="157" t="s">
        <v>640</v>
      </c>
      <c r="F552" s="157"/>
      <c r="G552" s="157" t="s">
        <v>1321</v>
      </c>
      <c r="H552" s="157" t="s">
        <v>2022</v>
      </c>
      <c r="I552" s="157" t="s">
        <v>1506</v>
      </c>
      <c r="J552" s="157" t="s">
        <v>1324</v>
      </c>
      <c r="K552" s="157" t="s">
        <v>1312</v>
      </c>
      <c r="L552" s="157" t="s">
        <v>1387</v>
      </c>
      <c r="M552" s="157" t="str">
        <f t="shared" si="16"/>
        <v>Coolant Temperature - Motor Coolant Temperature</v>
      </c>
      <c r="N552" s="157"/>
      <c r="O552" s="157"/>
      <c r="P552" s="159" t="s">
        <v>2613</v>
      </c>
      <c r="Q552" s="157" t="s">
        <v>2115</v>
      </c>
      <c r="R552" s="157" t="s">
        <v>8582</v>
      </c>
      <c r="S552" s="157" t="s">
        <v>8576</v>
      </c>
      <c r="T552" s="157"/>
      <c r="U552" s="159" t="s">
        <v>2129</v>
      </c>
      <c r="V552" s="159" t="s">
        <v>2129</v>
      </c>
      <c r="W552" s="159" t="s">
        <v>2138</v>
      </c>
      <c r="X552" s="160">
        <v>1</v>
      </c>
      <c r="Y552" s="160">
        <v>1</v>
      </c>
      <c r="Z552" s="160">
        <v>1</v>
      </c>
      <c r="AA552" s="160">
        <v>1</v>
      </c>
    </row>
    <row r="553" spans="1:27" ht="18" customHeight="1" x14ac:dyDescent="0.25">
      <c r="A553" s="159">
        <v>785</v>
      </c>
      <c r="B553" s="157" t="s">
        <v>57</v>
      </c>
      <c r="C553" s="157" t="s">
        <v>349</v>
      </c>
      <c r="D553" s="159" t="s">
        <v>454</v>
      </c>
      <c r="E553" s="157" t="s">
        <v>700</v>
      </c>
      <c r="F553" s="157"/>
      <c r="G553" s="157" t="s">
        <v>1321</v>
      </c>
      <c r="H553" s="157" t="s">
        <v>2022</v>
      </c>
      <c r="I553" s="157" t="s">
        <v>1506</v>
      </c>
      <c r="J553" s="157" t="s">
        <v>1324</v>
      </c>
      <c r="K553" s="157" t="s">
        <v>1312</v>
      </c>
      <c r="L553" s="157" t="s">
        <v>1387</v>
      </c>
      <c r="M553" s="157" t="str">
        <f t="shared" si="16"/>
        <v>Coolant Temperature - Motor Coolant Temperature</v>
      </c>
      <c r="N553" s="157"/>
      <c r="O553" s="157"/>
      <c r="P553" s="159" t="s">
        <v>2613</v>
      </c>
      <c r="Q553" s="157" t="s">
        <v>2115</v>
      </c>
      <c r="R553" s="157" t="s">
        <v>8582</v>
      </c>
      <c r="S553" s="157" t="s">
        <v>8576</v>
      </c>
      <c r="T553" s="157"/>
      <c r="U553" s="159" t="s">
        <v>2129</v>
      </c>
      <c r="V553" s="159" t="s">
        <v>2129</v>
      </c>
      <c r="W553" s="159" t="s">
        <v>2138</v>
      </c>
      <c r="X553" s="160">
        <v>1</v>
      </c>
      <c r="Y553" s="160">
        <v>1</v>
      </c>
      <c r="Z553" s="160">
        <v>1</v>
      </c>
      <c r="AA553" s="160">
        <v>1</v>
      </c>
    </row>
    <row r="554" spans="1:27" ht="18" customHeight="1" x14ac:dyDescent="0.25">
      <c r="A554" s="159">
        <v>785</v>
      </c>
      <c r="B554" s="157" t="s">
        <v>57</v>
      </c>
      <c r="C554" s="157" t="s">
        <v>349</v>
      </c>
      <c r="D554" s="159" t="s">
        <v>353</v>
      </c>
      <c r="E554" s="157" t="s">
        <v>742</v>
      </c>
      <c r="F554" s="157"/>
      <c r="G554" s="157" t="s">
        <v>1321</v>
      </c>
      <c r="H554" s="157" t="s">
        <v>2022</v>
      </c>
      <c r="I554" s="157" t="s">
        <v>1506</v>
      </c>
      <c r="J554" s="157" t="s">
        <v>1324</v>
      </c>
      <c r="K554" s="157" t="s">
        <v>1312</v>
      </c>
      <c r="L554" s="157" t="s">
        <v>1387</v>
      </c>
      <c r="M554" s="157" t="str">
        <f t="shared" si="16"/>
        <v>Coolant Temperature - Motor Coolant Temperature</v>
      </c>
      <c r="N554" s="157"/>
      <c r="O554" s="157"/>
      <c r="P554" s="159" t="s">
        <v>2613</v>
      </c>
      <c r="Q554" s="157" t="s">
        <v>2115</v>
      </c>
      <c r="R554" s="157" t="s">
        <v>8582</v>
      </c>
      <c r="S554" s="157" t="s">
        <v>8576</v>
      </c>
      <c r="T554" s="157"/>
      <c r="U554" s="159" t="s">
        <v>2129</v>
      </c>
      <c r="V554" s="159" t="s">
        <v>2129</v>
      </c>
      <c r="W554" s="159" t="s">
        <v>2138</v>
      </c>
      <c r="X554" s="160">
        <v>1</v>
      </c>
      <c r="Y554" s="160">
        <v>1</v>
      </c>
      <c r="Z554" s="160">
        <v>1</v>
      </c>
      <c r="AA554" s="160">
        <v>1</v>
      </c>
    </row>
    <row r="555" spans="1:27" ht="18" customHeight="1" x14ac:dyDescent="0.25">
      <c r="A555" s="159">
        <v>785</v>
      </c>
      <c r="B555" s="157" t="s">
        <v>57</v>
      </c>
      <c r="C555" s="157" t="s">
        <v>349</v>
      </c>
      <c r="D555" s="159" t="s">
        <v>910</v>
      </c>
      <c r="E555" s="157" t="s">
        <v>908</v>
      </c>
      <c r="F555" s="157"/>
      <c r="G555" s="157" t="s">
        <v>1321</v>
      </c>
      <c r="H555" s="157" t="s">
        <v>2022</v>
      </c>
      <c r="I555" s="157" t="s">
        <v>1506</v>
      </c>
      <c r="J555" s="157" t="s">
        <v>1324</v>
      </c>
      <c r="K555" s="157" t="s">
        <v>1312</v>
      </c>
      <c r="L555" s="157" t="s">
        <v>1387</v>
      </c>
      <c r="M555" s="157" t="str">
        <f t="shared" si="16"/>
        <v>Coolant Temperature - Motor Coolant Temperature</v>
      </c>
      <c r="N555" s="157"/>
      <c r="O555" s="157"/>
      <c r="P555" s="159" t="s">
        <v>2613</v>
      </c>
      <c r="Q555" s="157" t="s">
        <v>2115</v>
      </c>
      <c r="R555" s="157" t="s">
        <v>8582</v>
      </c>
      <c r="S555" s="157" t="s">
        <v>8576</v>
      </c>
      <c r="T555" s="157"/>
      <c r="U555" s="159" t="s">
        <v>2129</v>
      </c>
      <c r="V555" s="159" t="s">
        <v>2129</v>
      </c>
      <c r="W555" s="159" t="s">
        <v>2138</v>
      </c>
      <c r="X555" s="160">
        <v>1</v>
      </c>
      <c r="Y555" s="160">
        <v>1</v>
      </c>
      <c r="Z555" s="160">
        <v>1</v>
      </c>
      <c r="AA555" s="160">
        <v>1</v>
      </c>
    </row>
    <row r="556" spans="1:27" ht="18" customHeight="1" x14ac:dyDescent="0.25">
      <c r="A556" s="159">
        <v>785</v>
      </c>
      <c r="B556" s="157" t="s">
        <v>57</v>
      </c>
      <c r="C556" s="157" t="s">
        <v>349</v>
      </c>
      <c r="D556" s="159" t="s">
        <v>1183</v>
      </c>
      <c r="E556" s="157" t="s">
        <v>1181</v>
      </c>
      <c r="F556" s="157"/>
      <c r="G556" s="157" t="s">
        <v>1321</v>
      </c>
      <c r="H556" s="157" t="s">
        <v>2022</v>
      </c>
      <c r="I556" s="157" t="s">
        <v>1506</v>
      </c>
      <c r="J556" s="157" t="s">
        <v>1324</v>
      </c>
      <c r="K556" s="157" t="s">
        <v>1312</v>
      </c>
      <c r="L556" s="157" t="s">
        <v>1387</v>
      </c>
      <c r="M556" s="157" t="str">
        <f t="shared" si="16"/>
        <v>Coolant Temperature - Motor Coolant Temperature</v>
      </c>
      <c r="N556" s="157"/>
      <c r="O556" s="157"/>
      <c r="P556" s="159" t="s">
        <v>2613</v>
      </c>
      <c r="Q556" s="157" t="s">
        <v>2115</v>
      </c>
      <c r="R556" s="157" t="s">
        <v>8582</v>
      </c>
      <c r="S556" s="157" t="s">
        <v>8576</v>
      </c>
      <c r="T556" s="157"/>
      <c r="U556" s="159" t="s">
        <v>2129</v>
      </c>
      <c r="V556" s="159" t="s">
        <v>2129</v>
      </c>
      <c r="W556" s="159" t="s">
        <v>2138</v>
      </c>
      <c r="X556" s="160">
        <v>1</v>
      </c>
      <c r="Y556" s="160">
        <v>1</v>
      </c>
      <c r="Z556" s="160">
        <v>1</v>
      </c>
      <c r="AA556" s="160">
        <v>1</v>
      </c>
    </row>
    <row r="557" spans="1:27" ht="18" customHeight="1" x14ac:dyDescent="0.25">
      <c r="A557" s="159">
        <v>786</v>
      </c>
      <c r="B557" s="157" t="s">
        <v>57</v>
      </c>
      <c r="C557" s="157" t="s">
        <v>349</v>
      </c>
      <c r="D557" s="159" t="s">
        <v>453</v>
      </c>
      <c r="E557" s="157" t="s">
        <v>451</v>
      </c>
      <c r="F557" s="157" t="s">
        <v>1381</v>
      </c>
      <c r="G557" s="157" t="s">
        <v>1321</v>
      </c>
      <c r="H557" s="157" t="s">
        <v>2022</v>
      </c>
      <c r="I557" s="157" t="s">
        <v>1507</v>
      </c>
      <c r="J557" s="157" t="s">
        <v>1324</v>
      </c>
      <c r="K557" s="157" t="s">
        <v>1269</v>
      </c>
      <c r="L557" s="157" t="s">
        <v>1508</v>
      </c>
      <c r="M557" s="157" t="str">
        <f t="shared" si="16"/>
        <v>Coolant Valve - Coolant Flow Control</v>
      </c>
      <c r="N557" s="157"/>
      <c r="O557" s="157"/>
      <c r="P557" s="159"/>
      <c r="Q557" s="157"/>
      <c r="R557" s="157"/>
      <c r="S557" s="157"/>
      <c r="T557" s="157"/>
      <c r="U557" s="159"/>
      <c r="V557" s="159"/>
      <c r="W557" s="159"/>
      <c r="X557" s="160"/>
      <c r="Y557" s="160"/>
      <c r="Z557" s="160"/>
      <c r="AA557" s="160"/>
    </row>
    <row r="558" spans="1:27" ht="18" customHeight="1" x14ac:dyDescent="0.25">
      <c r="A558" s="159">
        <v>786</v>
      </c>
      <c r="B558" s="157" t="s">
        <v>57</v>
      </c>
      <c r="C558" s="157" t="s">
        <v>349</v>
      </c>
      <c r="D558" s="159" t="s">
        <v>642</v>
      </c>
      <c r="E558" s="157" t="s">
        <v>640</v>
      </c>
      <c r="F558" s="157" t="s">
        <v>1320</v>
      </c>
      <c r="G558" s="157" t="s">
        <v>1321</v>
      </c>
      <c r="H558" s="157" t="s">
        <v>2022</v>
      </c>
      <c r="I558" s="157" t="s">
        <v>1507</v>
      </c>
      <c r="J558" s="157" t="s">
        <v>1324</v>
      </c>
      <c r="K558" s="157" t="s">
        <v>1269</v>
      </c>
      <c r="L558" s="157" t="s">
        <v>1508</v>
      </c>
      <c r="M558" s="157" t="str">
        <f t="shared" si="16"/>
        <v>Coolant Valve - Coolant Flow Control</v>
      </c>
      <c r="N558" s="157"/>
      <c r="O558" s="157"/>
      <c r="P558" s="159"/>
      <c r="Q558" s="157"/>
      <c r="R558" s="157"/>
      <c r="S558" s="157"/>
      <c r="T558" s="157"/>
      <c r="U558" s="159"/>
      <c r="V558" s="159"/>
      <c r="W558" s="159"/>
      <c r="X558" s="160"/>
      <c r="Y558" s="160"/>
      <c r="Z558" s="160"/>
      <c r="AA558" s="160"/>
    </row>
    <row r="559" spans="1:27" ht="18" customHeight="1" x14ac:dyDescent="0.25">
      <c r="A559" s="159">
        <v>786</v>
      </c>
      <c r="B559" s="157" t="s">
        <v>57</v>
      </c>
      <c r="C559" s="157" t="s">
        <v>349</v>
      </c>
      <c r="D559" s="159" t="s">
        <v>454</v>
      </c>
      <c r="E559" s="157" t="s">
        <v>700</v>
      </c>
      <c r="F559" s="157" t="s">
        <v>1264</v>
      </c>
      <c r="G559" s="157" t="s">
        <v>1321</v>
      </c>
      <c r="H559" s="157" t="s">
        <v>2022</v>
      </c>
      <c r="I559" s="157" t="s">
        <v>1507</v>
      </c>
      <c r="J559" s="157" t="s">
        <v>1324</v>
      </c>
      <c r="K559" s="157" t="s">
        <v>1269</v>
      </c>
      <c r="L559" s="157" t="s">
        <v>1508</v>
      </c>
      <c r="M559" s="157" t="str">
        <f t="shared" si="16"/>
        <v>Coolant Valve - Coolant Flow Control</v>
      </c>
      <c r="N559" s="157"/>
      <c r="O559" s="157"/>
      <c r="P559" s="159"/>
      <c r="Q559" s="157"/>
      <c r="R559" s="157"/>
      <c r="S559" s="157"/>
      <c r="T559" s="157"/>
      <c r="U559" s="159"/>
      <c r="V559" s="159"/>
      <c r="W559" s="159"/>
      <c r="X559" s="160"/>
      <c r="Y559" s="160"/>
      <c r="Z559" s="160"/>
      <c r="AA559" s="160"/>
    </row>
    <row r="560" spans="1:27" ht="18" customHeight="1" x14ac:dyDescent="0.25">
      <c r="A560" s="159">
        <v>788</v>
      </c>
      <c r="B560" s="157" t="s">
        <v>57</v>
      </c>
      <c r="C560" s="157" t="s">
        <v>58</v>
      </c>
      <c r="D560" s="159" t="s">
        <v>61</v>
      </c>
      <c r="E560" s="157" t="s">
        <v>59</v>
      </c>
      <c r="F560" s="157" t="s">
        <v>1264</v>
      </c>
      <c r="G560" s="157" t="s">
        <v>1278</v>
      </c>
      <c r="H560" s="157" t="s">
        <v>1378</v>
      </c>
      <c r="I560" s="157" t="s">
        <v>1503</v>
      </c>
      <c r="J560" s="157" t="s">
        <v>1504</v>
      </c>
      <c r="K560" s="157" t="s">
        <v>1312</v>
      </c>
      <c r="L560" s="157" t="s">
        <v>1509</v>
      </c>
      <c r="M560" s="157" t="str">
        <f t="shared" si="16"/>
        <v>Refrigerant Suction PT - Refrigerant Pressure and Temperature</v>
      </c>
      <c r="N560" s="157"/>
      <c r="O560" s="157"/>
      <c r="P560" s="159" t="s">
        <v>2398</v>
      </c>
      <c r="Q560" s="168" t="s">
        <v>2115</v>
      </c>
      <c r="R560" s="168" t="s">
        <v>2112</v>
      </c>
      <c r="S560" s="168" t="s">
        <v>8623</v>
      </c>
      <c r="T560" s="157"/>
      <c r="U560" s="159" t="s">
        <v>2129</v>
      </c>
      <c r="V560" s="159" t="s">
        <v>2129</v>
      </c>
      <c r="W560" s="159" t="s">
        <v>2138</v>
      </c>
      <c r="X560" s="160">
        <v>1</v>
      </c>
      <c r="Y560" s="160">
        <v>1</v>
      </c>
      <c r="Z560" s="160">
        <v>1</v>
      </c>
      <c r="AA560" s="160">
        <v>1</v>
      </c>
    </row>
    <row r="561" spans="1:27" ht="18" customHeight="1" x14ac:dyDescent="0.25">
      <c r="A561" s="159">
        <v>788</v>
      </c>
      <c r="B561" s="157" t="s">
        <v>57</v>
      </c>
      <c r="C561" s="157" t="s">
        <v>58</v>
      </c>
      <c r="D561" s="159" t="s">
        <v>243</v>
      </c>
      <c r="E561" s="157" t="s">
        <v>241</v>
      </c>
      <c r="F561" s="157" t="s">
        <v>1264</v>
      </c>
      <c r="G561" s="157" t="s">
        <v>1278</v>
      </c>
      <c r="H561" s="157" t="s">
        <v>1378</v>
      </c>
      <c r="I561" s="157" t="s">
        <v>1503</v>
      </c>
      <c r="J561" s="157" t="s">
        <v>1504</v>
      </c>
      <c r="K561" s="157" t="s">
        <v>1312</v>
      </c>
      <c r="L561" s="157" t="s">
        <v>1509</v>
      </c>
      <c r="M561" s="157" t="str">
        <f t="shared" si="16"/>
        <v>Refrigerant Suction PT - Refrigerant Pressure and Temperature</v>
      </c>
      <c r="N561" s="157"/>
      <c r="O561" s="157"/>
      <c r="P561" s="159" t="s">
        <v>2398</v>
      </c>
      <c r="Q561" s="168" t="s">
        <v>2115</v>
      </c>
      <c r="R561" s="168" t="s">
        <v>2112</v>
      </c>
      <c r="S561" s="168" t="s">
        <v>8623</v>
      </c>
      <c r="T561" s="157"/>
      <c r="U561" s="159" t="s">
        <v>2129</v>
      </c>
      <c r="V561" s="159" t="s">
        <v>2138</v>
      </c>
      <c r="W561" s="159" t="s">
        <v>2138</v>
      </c>
      <c r="X561" s="160">
        <v>1</v>
      </c>
      <c r="Y561" s="160">
        <v>1</v>
      </c>
      <c r="Z561" s="160">
        <v>1</v>
      </c>
      <c r="AA561" s="160">
        <v>1</v>
      </c>
    </row>
    <row r="562" spans="1:27" ht="18" customHeight="1" x14ac:dyDescent="0.25">
      <c r="A562" s="159">
        <v>788</v>
      </c>
      <c r="B562" s="157" t="s">
        <v>57</v>
      </c>
      <c r="C562" s="157" t="s">
        <v>58</v>
      </c>
      <c r="D562" s="159" t="s">
        <v>414</v>
      </c>
      <c r="E562" s="157" t="s">
        <v>412</v>
      </c>
      <c r="F562" s="157" t="s">
        <v>1264</v>
      </c>
      <c r="G562" s="157" t="s">
        <v>1278</v>
      </c>
      <c r="H562" s="157" t="s">
        <v>1378</v>
      </c>
      <c r="I562" s="157" t="s">
        <v>1503</v>
      </c>
      <c r="J562" s="157" t="s">
        <v>1504</v>
      </c>
      <c r="K562" s="157" t="s">
        <v>1312</v>
      </c>
      <c r="L562" s="157" t="s">
        <v>1509</v>
      </c>
      <c r="M562" s="157" t="str">
        <f t="shared" si="16"/>
        <v>Refrigerant Suction PT - Refrigerant Pressure and Temperature</v>
      </c>
      <c r="N562" s="157"/>
      <c r="O562" s="157"/>
      <c r="P562" s="159" t="s">
        <v>2398</v>
      </c>
      <c r="Q562" s="168" t="s">
        <v>2115</v>
      </c>
      <c r="R562" s="168" t="s">
        <v>2112</v>
      </c>
      <c r="S562" s="168" t="s">
        <v>8623</v>
      </c>
      <c r="T562" s="157"/>
      <c r="U562" s="159" t="s">
        <v>2129</v>
      </c>
      <c r="V562" s="159" t="s">
        <v>2138</v>
      </c>
      <c r="W562" s="159" t="s">
        <v>2138</v>
      </c>
      <c r="X562" s="160">
        <v>1</v>
      </c>
      <c r="Y562" s="160">
        <v>1</v>
      </c>
      <c r="Z562" s="160">
        <v>1</v>
      </c>
      <c r="AA562" s="160">
        <v>1</v>
      </c>
    </row>
    <row r="563" spans="1:27" ht="18" customHeight="1" x14ac:dyDescent="0.25">
      <c r="A563" s="159">
        <v>788</v>
      </c>
      <c r="B563" s="157" t="s">
        <v>57</v>
      </c>
      <c r="C563" s="157" t="s">
        <v>58</v>
      </c>
      <c r="D563" s="159" t="s">
        <v>417</v>
      </c>
      <c r="E563" s="157" t="s">
        <v>415</v>
      </c>
      <c r="F563" s="157" t="s">
        <v>1264</v>
      </c>
      <c r="G563" s="157" t="s">
        <v>1278</v>
      </c>
      <c r="H563" s="157" t="s">
        <v>1378</v>
      </c>
      <c r="I563" s="157" t="s">
        <v>1503</v>
      </c>
      <c r="J563" s="157" t="s">
        <v>1504</v>
      </c>
      <c r="K563" s="157" t="s">
        <v>1312</v>
      </c>
      <c r="L563" s="157" t="s">
        <v>1509</v>
      </c>
      <c r="M563" s="157" t="str">
        <f t="shared" si="16"/>
        <v>Refrigerant Suction PT - Refrigerant Pressure and Temperature</v>
      </c>
      <c r="N563" s="157"/>
      <c r="O563" s="157"/>
      <c r="P563" s="159" t="s">
        <v>2398</v>
      </c>
      <c r="Q563" s="168" t="s">
        <v>2115</v>
      </c>
      <c r="R563" s="168" t="s">
        <v>2112</v>
      </c>
      <c r="S563" s="168" t="s">
        <v>8623</v>
      </c>
      <c r="T563" s="157"/>
      <c r="U563" s="159" t="s">
        <v>2129</v>
      </c>
      <c r="V563" s="159" t="s">
        <v>2138</v>
      </c>
      <c r="W563" s="159" t="s">
        <v>2138</v>
      </c>
      <c r="X563" s="160">
        <v>1</v>
      </c>
      <c r="Y563" s="160">
        <v>1</v>
      </c>
      <c r="Z563" s="160">
        <v>1</v>
      </c>
      <c r="AA563" s="160">
        <v>1</v>
      </c>
    </row>
    <row r="564" spans="1:27" ht="18" customHeight="1" x14ac:dyDescent="0.25">
      <c r="A564" s="159">
        <v>788</v>
      </c>
      <c r="B564" s="157" t="s">
        <v>57</v>
      </c>
      <c r="C564" s="157" t="s">
        <v>58</v>
      </c>
      <c r="D564" s="159" t="s">
        <v>664</v>
      </c>
      <c r="E564" s="157" t="s">
        <v>662</v>
      </c>
      <c r="F564" s="157" t="s">
        <v>1264</v>
      </c>
      <c r="G564" s="157" t="s">
        <v>1278</v>
      </c>
      <c r="H564" s="157" t="s">
        <v>1378</v>
      </c>
      <c r="I564" s="157" t="s">
        <v>1503</v>
      </c>
      <c r="J564" s="157" t="s">
        <v>1504</v>
      </c>
      <c r="K564" s="157" t="s">
        <v>1312</v>
      </c>
      <c r="L564" s="157" t="s">
        <v>1509</v>
      </c>
      <c r="M564" s="157" t="str">
        <f t="shared" si="16"/>
        <v>Refrigerant Suction PT - Refrigerant Pressure and Temperature</v>
      </c>
      <c r="N564" s="157"/>
      <c r="O564" s="157"/>
      <c r="P564" s="159" t="s">
        <v>2398</v>
      </c>
      <c r="Q564" s="168" t="s">
        <v>2115</v>
      </c>
      <c r="R564" s="168" t="s">
        <v>2112</v>
      </c>
      <c r="S564" s="168" t="s">
        <v>8623</v>
      </c>
      <c r="T564" s="157"/>
      <c r="U564" s="159" t="s">
        <v>2138</v>
      </c>
      <c r="V564" s="159" t="s">
        <v>2129</v>
      </c>
      <c r="W564" s="159" t="s">
        <v>2129</v>
      </c>
      <c r="X564" s="160">
        <v>1</v>
      </c>
      <c r="Y564" s="160">
        <v>1</v>
      </c>
      <c r="Z564" s="160">
        <v>1</v>
      </c>
      <c r="AA564" s="160">
        <v>1</v>
      </c>
    </row>
    <row r="565" spans="1:27" ht="18" customHeight="1" x14ac:dyDescent="0.25">
      <c r="A565" s="159">
        <v>788</v>
      </c>
      <c r="B565" s="157" t="s">
        <v>57</v>
      </c>
      <c r="C565" s="157" t="s">
        <v>58</v>
      </c>
      <c r="D565" s="159" t="s">
        <v>929</v>
      </c>
      <c r="E565" s="157" t="s">
        <v>927</v>
      </c>
      <c r="F565" s="157" t="s">
        <v>1264</v>
      </c>
      <c r="G565" s="157" t="s">
        <v>1278</v>
      </c>
      <c r="H565" s="157" t="s">
        <v>1378</v>
      </c>
      <c r="I565" s="157" t="s">
        <v>1503</v>
      </c>
      <c r="J565" s="157" t="s">
        <v>1504</v>
      </c>
      <c r="K565" s="157" t="s">
        <v>1312</v>
      </c>
      <c r="L565" s="157" t="s">
        <v>1509</v>
      </c>
      <c r="M565" s="157" t="str">
        <f t="shared" si="16"/>
        <v>Refrigerant Suction PT - Refrigerant Pressure and Temperature</v>
      </c>
      <c r="N565" s="157"/>
      <c r="O565" s="157"/>
      <c r="P565" s="159" t="s">
        <v>2398</v>
      </c>
      <c r="Q565" s="168" t="s">
        <v>2115</v>
      </c>
      <c r="R565" s="168" t="s">
        <v>2112</v>
      </c>
      <c r="S565" s="168" t="s">
        <v>8623</v>
      </c>
      <c r="T565" s="157"/>
      <c r="U565" s="159" t="s">
        <v>2129</v>
      </c>
      <c r="V565" s="159" t="s">
        <v>2138</v>
      </c>
      <c r="W565" s="159" t="s">
        <v>2138</v>
      </c>
      <c r="X565" s="160">
        <v>1</v>
      </c>
      <c r="Y565" s="160">
        <v>1</v>
      </c>
      <c r="Z565" s="160">
        <v>1</v>
      </c>
      <c r="AA565" s="160">
        <v>1</v>
      </c>
    </row>
    <row r="566" spans="1:27" ht="18" customHeight="1" x14ac:dyDescent="0.25">
      <c r="A566" s="159">
        <v>788</v>
      </c>
      <c r="B566" s="157" t="s">
        <v>57</v>
      </c>
      <c r="C566" s="157" t="s">
        <v>58</v>
      </c>
      <c r="D566" s="159" t="s">
        <v>62</v>
      </c>
      <c r="E566" s="157" t="s">
        <v>991</v>
      </c>
      <c r="F566" s="157" t="s">
        <v>1264</v>
      </c>
      <c r="G566" s="157" t="s">
        <v>1278</v>
      </c>
      <c r="H566" s="157" t="s">
        <v>1378</v>
      </c>
      <c r="I566" s="157" t="s">
        <v>1503</v>
      </c>
      <c r="J566" s="157" t="s">
        <v>1504</v>
      </c>
      <c r="K566" s="157" t="s">
        <v>1312</v>
      </c>
      <c r="L566" s="157" t="s">
        <v>1509</v>
      </c>
      <c r="M566" s="157" t="str">
        <f t="shared" si="16"/>
        <v>Refrigerant Suction PT - Refrigerant Pressure and Temperature</v>
      </c>
      <c r="N566" s="157"/>
      <c r="O566" s="157"/>
      <c r="P566" s="159" t="s">
        <v>2398</v>
      </c>
      <c r="Q566" s="168" t="s">
        <v>2115</v>
      </c>
      <c r="R566" s="168" t="s">
        <v>2112</v>
      </c>
      <c r="S566" s="168" t="s">
        <v>8623</v>
      </c>
      <c r="T566" s="157"/>
      <c r="U566" s="159" t="s">
        <v>2129</v>
      </c>
      <c r="V566" s="159" t="s">
        <v>2138</v>
      </c>
      <c r="W566" s="159" t="s">
        <v>2129</v>
      </c>
      <c r="X566" s="160">
        <v>1</v>
      </c>
      <c r="Y566" s="160">
        <v>1</v>
      </c>
      <c r="Z566" s="160">
        <v>1</v>
      </c>
      <c r="AA566" s="160">
        <v>1</v>
      </c>
    </row>
    <row r="567" spans="1:27" ht="18" customHeight="1" x14ac:dyDescent="0.25">
      <c r="A567" s="159">
        <v>788</v>
      </c>
      <c r="B567" s="157" t="s">
        <v>57</v>
      </c>
      <c r="C567" s="157" t="s">
        <v>58</v>
      </c>
      <c r="D567" s="159" t="s">
        <v>995</v>
      </c>
      <c r="E567" s="157" t="s">
        <v>993</v>
      </c>
      <c r="F567" s="157" t="s">
        <v>1264</v>
      </c>
      <c r="G567" s="157" t="s">
        <v>1278</v>
      </c>
      <c r="H567" s="157" t="s">
        <v>1378</v>
      </c>
      <c r="I567" s="157" t="s">
        <v>1503</v>
      </c>
      <c r="J567" s="157" t="s">
        <v>1504</v>
      </c>
      <c r="K567" s="157" t="s">
        <v>1312</v>
      </c>
      <c r="L567" s="157" t="s">
        <v>1509</v>
      </c>
      <c r="M567" s="157" t="str">
        <f t="shared" si="16"/>
        <v>Refrigerant Suction PT - Refrigerant Pressure and Temperature</v>
      </c>
      <c r="N567" s="157"/>
      <c r="O567" s="157"/>
      <c r="P567" s="159" t="s">
        <v>2398</v>
      </c>
      <c r="Q567" s="168" t="s">
        <v>2115</v>
      </c>
      <c r="R567" s="168" t="s">
        <v>2112</v>
      </c>
      <c r="S567" s="168" t="s">
        <v>8623</v>
      </c>
      <c r="T567" s="157"/>
      <c r="U567" s="159" t="s">
        <v>2129</v>
      </c>
      <c r="V567" s="159" t="s">
        <v>2138</v>
      </c>
      <c r="W567" s="159" t="s">
        <v>2138</v>
      </c>
      <c r="X567" s="160">
        <v>1</v>
      </c>
      <c r="Y567" s="160">
        <v>1</v>
      </c>
      <c r="Z567" s="160">
        <v>1</v>
      </c>
      <c r="AA567" s="160">
        <v>1</v>
      </c>
    </row>
    <row r="568" spans="1:27" ht="18" customHeight="1" x14ac:dyDescent="0.25">
      <c r="A568" s="159">
        <v>788</v>
      </c>
      <c r="B568" s="157" t="s">
        <v>57</v>
      </c>
      <c r="C568" s="157" t="s">
        <v>58</v>
      </c>
      <c r="D568" s="159" t="s">
        <v>998</v>
      </c>
      <c r="E568" s="157" t="s">
        <v>996</v>
      </c>
      <c r="F568" s="157" t="s">
        <v>1264</v>
      </c>
      <c r="G568" s="157" t="s">
        <v>1278</v>
      </c>
      <c r="H568" s="157" t="s">
        <v>1378</v>
      </c>
      <c r="I568" s="157" t="s">
        <v>1503</v>
      </c>
      <c r="J568" s="157" t="s">
        <v>1504</v>
      </c>
      <c r="K568" s="157" t="s">
        <v>1312</v>
      </c>
      <c r="L568" s="157" t="s">
        <v>1509</v>
      </c>
      <c r="M568" s="157" t="str">
        <f t="shared" si="16"/>
        <v>Refrigerant Suction PT - Refrigerant Pressure and Temperature</v>
      </c>
      <c r="N568" s="157"/>
      <c r="O568" s="157"/>
      <c r="P568" s="159" t="s">
        <v>2398</v>
      </c>
      <c r="Q568" s="168" t="s">
        <v>2115</v>
      </c>
      <c r="R568" s="168" t="s">
        <v>2112</v>
      </c>
      <c r="S568" s="168" t="s">
        <v>8623</v>
      </c>
      <c r="T568" s="157"/>
      <c r="U568" s="159" t="s">
        <v>2129</v>
      </c>
      <c r="V568" s="159" t="s">
        <v>2138</v>
      </c>
      <c r="W568" s="159" t="s">
        <v>2138</v>
      </c>
      <c r="X568" s="160">
        <v>1</v>
      </c>
      <c r="Y568" s="160">
        <v>1</v>
      </c>
      <c r="Z568" s="160">
        <v>1</v>
      </c>
      <c r="AA568" s="160">
        <v>1</v>
      </c>
    </row>
    <row r="569" spans="1:27" ht="18" customHeight="1" x14ac:dyDescent="0.25">
      <c r="A569" s="159">
        <v>789</v>
      </c>
      <c r="B569" s="157" t="s">
        <v>57</v>
      </c>
      <c r="C569" s="157" t="s">
        <v>58</v>
      </c>
      <c r="D569" s="159" t="s">
        <v>61</v>
      </c>
      <c r="E569" s="157" t="s">
        <v>59</v>
      </c>
      <c r="F569" s="157" t="s">
        <v>1264</v>
      </c>
      <c r="G569" s="157" t="s">
        <v>1278</v>
      </c>
      <c r="H569" s="157" t="s">
        <v>1378</v>
      </c>
      <c r="I569" s="157" t="s">
        <v>1503</v>
      </c>
      <c r="J569" s="157" t="s">
        <v>1504</v>
      </c>
      <c r="K569" s="157" t="s">
        <v>1312</v>
      </c>
      <c r="L569" s="157" t="s">
        <v>1510</v>
      </c>
      <c r="M569" s="157" t="str">
        <f t="shared" si="16"/>
        <v>Refrigerant Discharge PT - Refrigerant Pressure and Temperature</v>
      </c>
      <c r="N569" s="157"/>
      <c r="O569" s="157"/>
      <c r="P569" s="159" t="s">
        <v>2400</v>
      </c>
      <c r="Q569" s="168" t="s">
        <v>2115</v>
      </c>
      <c r="R569" s="168" t="s">
        <v>2112</v>
      </c>
      <c r="S569" s="168" t="s">
        <v>8623</v>
      </c>
      <c r="T569" s="157"/>
      <c r="U569" s="159" t="s">
        <v>2129</v>
      </c>
      <c r="V569" s="159" t="s">
        <v>2129</v>
      </c>
      <c r="W569" s="159" t="s">
        <v>2138</v>
      </c>
      <c r="X569" s="160">
        <v>1</v>
      </c>
      <c r="Y569" s="160">
        <v>1</v>
      </c>
      <c r="Z569" s="160">
        <v>1</v>
      </c>
      <c r="AA569" s="160">
        <v>1</v>
      </c>
    </row>
    <row r="570" spans="1:27" ht="18" customHeight="1" x14ac:dyDescent="0.25">
      <c r="A570" s="159">
        <v>789</v>
      </c>
      <c r="B570" s="157" t="s">
        <v>57</v>
      </c>
      <c r="C570" s="157" t="s">
        <v>58</v>
      </c>
      <c r="D570" s="159" t="s">
        <v>243</v>
      </c>
      <c r="E570" s="157" t="s">
        <v>241</v>
      </c>
      <c r="F570" s="157" t="s">
        <v>1264</v>
      </c>
      <c r="G570" s="157" t="s">
        <v>1278</v>
      </c>
      <c r="H570" s="157" t="s">
        <v>1378</v>
      </c>
      <c r="I570" s="157" t="s">
        <v>1503</v>
      </c>
      <c r="J570" s="157" t="s">
        <v>1504</v>
      </c>
      <c r="K570" s="157" t="s">
        <v>1312</v>
      </c>
      <c r="L570" s="157" t="s">
        <v>1510</v>
      </c>
      <c r="M570" s="157" t="str">
        <f t="shared" si="16"/>
        <v>Refrigerant Discharge PT - Refrigerant Pressure and Temperature</v>
      </c>
      <c r="N570" s="157"/>
      <c r="O570" s="157"/>
      <c r="P570" s="159" t="s">
        <v>2400</v>
      </c>
      <c r="Q570" s="168" t="s">
        <v>2115</v>
      </c>
      <c r="R570" s="168" t="s">
        <v>2112</v>
      </c>
      <c r="S570" s="168" t="s">
        <v>8623</v>
      </c>
      <c r="T570" s="157"/>
      <c r="U570" s="159" t="s">
        <v>2129</v>
      </c>
      <c r="V570" s="159" t="s">
        <v>2138</v>
      </c>
      <c r="W570" s="159" t="s">
        <v>2138</v>
      </c>
      <c r="X570" s="160">
        <v>1</v>
      </c>
      <c r="Y570" s="160">
        <v>1</v>
      </c>
      <c r="Z570" s="160">
        <v>1</v>
      </c>
      <c r="AA570" s="160">
        <v>1</v>
      </c>
    </row>
    <row r="571" spans="1:27" ht="18" customHeight="1" x14ac:dyDescent="0.25">
      <c r="A571" s="159">
        <v>789</v>
      </c>
      <c r="B571" s="157" t="s">
        <v>57</v>
      </c>
      <c r="C571" s="157" t="s">
        <v>58</v>
      </c>
      <c r="D571" s="159" t="s">
        <v>414</v>
      </c>
      <c r="E571" s="157" t="s">
        <v>412</v>
      </c>
      <c r="F571" s="157" t="s">
        <v>1264</v>
      </c>
      <c r="G571" s="157" t="s">
        <v>1278</v>
      </c>
      <c r="H571" s="157" t="s">
        <v>1378</v>
      </c>
      <c r="I571" s="157" t="s">
        <v>1503</v>
      </c>
      <c r="J571" s="157" t="s">
        <v>1504</v>
      </c>
      <c r="K571" s="157" t="s">
        <v>1312</v>
      </c>
      <c r="L571" s="157" t="s">
        <v>1510</v>
      </c>
      <c r="M571" s="157" t="str">
        <f t="shared" si="16"/>
        <v>Refrigerant Discharge PT - Refrigerant Pressure and Temperature</v>
      </c>
      <c r="N571" s="157"/>
      <c r="O571" s="157"/>
      <c r="P571" s="159" t="s">
        <v>2400</v>
      </c>
      <c r="Q571" s="168" t="s">
        <v>2115</v>
      </c>
      <c r="R571" s="168" t="s">
        <v>2112</v>
      </c>
      <c r="S571" s="168" t="s">
        <v>8623</v>
      </c>
      <c r="T571" s="157"/>
      <c r="U571" s="159" t="s">
        <v>2129</v>
      </c>
      <c r="V571" s="159" t="s">
        <v>2138</v>
      </c>
      <c r="W571" s="159" t="s">
        <v>2138</v>
      </c>
      <c r="X571" s="160">
        <v>1</v>
      </c>
      <c r="Y571" s="160">
        <v>1</v>
      </c>
      <c r="Z571" s="160">
        <v>1</v>
      </c>
      <c r="AA571" s="160">
        <v>1</v>
      </c>
    </row>
    <row r="572" spans="1:27" ht="18" customHeight="1" x14ac:dyDescent="0.25">
      <c r="A572" s="159">
        <v>789</v>
      </c>
      <c r="B572" s="157" t="s">
        <v>57</v>
      </c>
      <c r="C572" s="157" t="s">
        <v>58</v>
      </c>
      <c r="D572" s="159" t="s">
        <v>417</v>
      </c>
      <c r="E572" s="157" t="s">
        <v>415</v>
      </c>
      <c r="F572" s="157" t="s">
        <v>1264</v>
      </c>
      <c r="G572" s="157" t="s">
        <v>1278</v>
      </c>
      <c r="H572" s="157" t="s">
        <v>1378</v>
      </c>
      <c r="I572" s="157" t="s">
        <v>1503</v>
      </c>
      <c r="J572" s="157" t="s">
        <v>1504</v>
      </c>
      <c r="K572" s="157" t="s">
        <v>1312</v>
      </c>
      <c r="L572" s="157" t="s">
        <v>1510</v>
      </c>
      <c r="M572" s="157" t="str">
        <f t="shared" si="16"/>
        <v>Refrigerant Discharge PT - Refrigerant Pressure and Temperature</v>
      </c>
      <c r="N572" s="157"/>
      <c r="O572" s="157"/>
      <c r="P572" s="159" t="s">
        <v>2400</v>
      </c>
      <c r="Q572" s="168" t="s">
        <v>2115</v>
      </c>
      <c r="R572" s="168" t="s">
        <v>2112</v>
      </c>
      <c r="S572" s="168" t="s">
        <v>8623</v>
      </c>
      <c r="T572" s="157"/>
      <c r="U572" s="159" t="s">
        <v>2129</v>
      </c>
      <c r="V572" s="159" t="s">
        <v>2138</v>
      </c>
      <c r="W572" s="159" t="s">
        <v>2138</v>
      </c>
      <c r="X572" s="160">
        <v>1</v>
      </c>
      <c r="Y572" s="160">
        <v>1</v>
      </c>
      <c r="Z572" s="160">
        <v>1</v>
      </c>
      <c r="AA572" s="160">
        <v>1</v>
      </c>
    </row>
    <row r="573" spans="1:27" ht="18" customHeight="1" x14ac:dyDescent="0.25">
      <c r="A573" s="159">
        <v>789</v>
      </c>
      <c r="B573" s="157" t="s">
        <v>57</v>
      </c>
      <c r="C573" s="157" t="s">
        <v>58</v>
      </c>
      <c r="D573" s="159" t="s">
        <v>664</v>
      </c>
      <c r="E573" s="157" t="s">
        <v>662</v>
      </c>
      <c r="F573" s="157" t="s">
        <v>1264</v>
      </c>
      <c r="G573" s="157" t="s">
        <v>1278</v>
      </c>
      <c r="H573" s="157" t="s">
        <v>1378</v>
      </c>
      <c r="I573" s="157" t="s">
        <v>1503</v>
      </c>
      <c r="J573" s="157" t="s">
        <v>1504</v>
      </c>
      <c r="K573" s="157" t="s">
        <v>1312</v>
      </c>
      <c r="L573" s="157" t="s">
        <v>1510</v>
      </c>
      <c r="M573" s="157" t="str">
        <f t="shared" si="16"/>
        <v>Refrigerant Discharge PT - Refrigerant Pressure and Temperature</v>
      </c>
      <c r="N573" s="157"/>
      <c r="O573" s="157"/>
      <c r="P573" s="159" t="s">
        <v>2400</v>
      </c>
      <c r="Q573" s="168" t="s">
        <v>2115</v>
      </c>
      <c r="R573" s="168" t="s">
        <v>2112</v>
      </c>
      <c r="S573" s="168" t="s">
        <v>8623</v>
      </c>
      <c r="T573" s="157"/>
      <c r="U573" s="159" t="s">
        <v>2138</v>
      </c>
      <c r="V573" s="159" t="s">
        <v>2129</v>
      </c>
      <c r="W573" s="159" t="s">
        <v>2129</v>
      </c>
      <c r="X573" s="160">
        <v>1</v>
      </c>
      <c r="Y573" s="160">
        <v>1</v>
      </c>
      <c r="Z573" s="160">
        <v>1</v>
      </c>
      <c r="AA573" s="160">
        <v>1</v>
      </c>
    </row>
    <row r="574" spans="1:27" ht="18" customHeight="1" x14ac:dyDescent="0.25">
      <c r="A574" s="159">
        <v>789</v>
      </c>
      <c r="B574" s="157" t="s">
        <v>57</v>
      </c>
      <c r="C574" s="157" t="s">
        <v>58</v>
      </c>
      <c r="D574" s="159" t="s">
        <v>929</v>
      </c>
      <c r="E574" s="157" t="s">
        <v>927</v>
      </c>
      <c r="F574" s="157" t="s">
        <v>1264</v>
      </c>
      <c r="G574" s="157" t="s">
        <v>1278</v>
      </c>
      <c r="H574" s="157" t="s">
        <v>1378</v>
      </c>
      <c r="I574" s="157" t="s">
        <v>1503</v>
      </c>
      <c r="J574" s="157" t="s">
        <v>1504</v>
      </c>
      <c r="K574" s="157" t="s">
        <v>1312</v>
      </c>
      <c r="L574" s="157" t="s">
        <v>1510</v>
      </c>
      <c r="M574" s="157" t="str">
        <f t="shared" si="16"/>
        <v>Refrigerant Discharge PT - Refrigerant Pressure and Temperature</v>
      </c>
      <c r="N574" s="157"/>
      <c r="O574" s="157"/>
      <c r="P574" s="159" t="s">
        <v>2400</v>
      </c>
      <c r="Q574" s="168" t="s">
        <v>2115</v>
      </c>
      <c r="R574" s="168" t="s">
        <v>2112</v>
      </c>
      <c r="S574" s="168" t="s">
        <v>8623</v>
      </c>
      <c r="T574" s="157"/>
      <c r="U574" s="159" t="s">
        <v>2129</v>
      </c>
      <c r="V574" s="159" t="s">
        <v>2138</v>
      </c>
      <c r="W574" s="159" t="s">
        <v>2138</v>
      </c>
      <c r="X574" s="160">
        <v>1</v>
      </c>
      <c r="Y574" s="160">
        <v>1</v>
      </c>
      <c r="Z574" s="160">
        <v>1</v>
      </c>
      <c r="AA574" s="160">
        <v>1</v>
      </c>
    </row>
    <row r="575" spans="1:27" ht="18" customHeight="1" x14ac:dyDescent="0.25">
      <c r="A575" s="159">
        <v>789</v>
      </c>
      <c r="B575" s="157" t="s">
        <v>57</v>
      </c>
      <c r="C575" s="157" t="s">
        <v>58</v>
      </c>
      <c r="D575" s="159" t="s">
        <v>62</v>
      </c>
      <c r="E575" s="157" t="s">
        <v>991</v>
      </c>
      <c r="F575" s="157" t="s">
        <v>1264</v>
      </c>
      <c r="G575" s="157" t="s">
        <v>1278</v>
      </c>
      <c r="H575" s="157" t="s">
        <v>1378</v>
      </c>
      <c r="I575" s="157" t="s">
        <v>1503</v>
      </c>
      <c r="J575" s="157" t="s">
        <v>1504</v>
      </c>
      <c r="K575" s="157" t="s">
        <v>1312</v>
      </c>
      <c r="L575" s="157" t="s">
        <v>1510</v>
      </c>
      <c r="M575" s="157" t="str">
        <f t="shared" si="16"/>
        <v>Refrigerant Discharge PT - Refrigerant Pressure and Temperature</v>
      </c>
      <c r="N575" s="157"/>
      <c r="O575" s="157"/>
      <c r="P575" s="159" t="s">
        <v>2400</v>
      </c>
      <c r="Q575" s="168" t="s">
        <v>2115</v>
      </c>
      <c r="R575" s="168" t="s">
        <v>2112</v>
      </c>
      <c r="S575" s="168" t="s">
        <v>8623</v>
      </c>
      <c r="T575" s="157"/>
      <c r="U575" s="159" t="s">
        <v>2129</v>
      </c>
      <c r="V575" s="159" t="s">
        <v>2138</v>
      </c>
      <c r="W575" s="159" t="s">
        <v>2129</v>
      </c>
      <c r="X575" s="160">
        <v>1</v>
      </c>
      <c r="Y575" s="160">
        <v>1</v>
      </c>
      <c r="Z575" s="160">
        <v>1</v>
      </c>
      <c r="AA575" s="160">
        <v>1</v>
      </c>
    </row>
    <row r="576" spans="1:27" ht="18" customHeight="1" x14ac:dyDescent="0.25">
      <c r="A576" s="159">
        <v>789</v>
      </c>
      <c r="B576" s="157" t="s">
        <v>57</v>
      </c>
      <c r="C576" s="157" t="s">
        <v>58</v>
      </c>
      <c r="D576" s="159" t="s">
        <v>995</v>
      </c>
      <c r="E576" s="157" t="s">
        <v>993</v>
      </c>
      <c r="F576" s="157" t="s">
        <v>1264</v>
      </c>
      <c r="G576" s="157" t="s">
        <v>1278</v>
      </c>
      <c r="H576" s="157" t="s">
        <v>1378</v>
      </c>
      <c r="I576" s="157" t="s">
        <v>1503</v>
      </c>
      <c r="J576" s="157" t="s">
        <v>1504</v>
      </c>
      <c r="K576" s="157" t="s">
        <v>1312</v>
      </c>
      <c r="L576" s="157" t="s">
        <v>1510</v>
      </c>
      <c r="M576" s="157" t="str">
        <f t="shared" si="16"/>
        <v>Refrigerant Discharge PT - Refrigerant Pressure and Temperature</v>
      </c>
      <c r="N576" s="157"/>
      <c r="O576" s="157"/>
      <c r="P576" s="159" t="s">
        <v>2400</v>
      </c>
      <c r="Q576" s="168" t="s">
        <v>2115</v>
      </c>
      <c r="R576" s="168" t="s">
        <v>2112</v>
      </c>
      <c r="S576" s="168" t="s">
        <v>8623</v>
      </c>
      <c r="T576" s="157"/>
      <c r="U576" s="159" t="s">
        <v>2129</v>
      </c>
      <c r="V576" s="159" t="s">
        <v>2138</v>
      </c>
      <c r="W576" s="159" t="s">
        <v>2138</v>
      </c>
      <c r="X576" s="160">
        <v>1</v>
      </c>
      <c r="Y576" s="160">
        <v>1</v>
      </c>
      <c r="Z576" s="160">
        <v>1</v>
      </c>
      <c r="AA576" s="160">
        <v>1</v>
      </c>
    </row>
    <row r="577" spans="1:27" ht="18" customHeight="1" x14ac:dyDescent="0.25">
      <c r="A577" s="159">
        <v>789</v>
      </c>
      <c r="B577" s="157" t="s">
        <v>57</v>
      </c>
      <c r="C577" s="157" t="s">
        <v>58</v>
      </c>
      <c r="D577" s="159" t="s">
        <v>998</v>
      </c>
      <c r="E577" s="157" t="s">
        <v>996</v>
      </c>
      <c r="F577" s="157" t="s">
        <v>1264</v>
      </c>
      <c r="G577" s="157" t="s">
        <v>1278</v>
      </c>
      <c r="H577" s="157" t="s">
        <v>1378</v>
      </c>
      <c r="I577" s="157" t="s">
        <v>1503</v>
      </c>
      <c r="J577" s="157" t="s">
        <v>1504</v>
      </c>
      <c r="K577" s="157" t="s">
        <v>1312</v>
      </c>
      <c r="L577" s="157" t="s">
        <v>1510</v>
      </c>
      <c r="M577" s="157" t="str">
        <f t="shared" si="16"/>
        <v>Refrigerant Discharge PT - Refrigerant Pressure and Temperature</v>
      </c>
      <c r="N577" s="157"/>
      <c r="O577" s="157"/>
      <c r="P577" s="159" t="s">
        <v>2400</v>
      </c>
      <c r="Q577" s="168" t="s">
        <v>2115</v>
      </c>
      <c r="R577" s="168" t="s">
        <v>2112</v>
      </c>
      <c r="S577" s="168" t="s">
        <v>8623</v>
      </c>
      <c r="T577" s="157"/>
      <c r="U577" s="159" t="s">
        <v>2129</v>
      </c>
      <c r="V577" s="159" t="s">
        <v>2138</v>
      </c>
      <c r="W577" s="159" t="s">
        <v>2138</v>
      </c>
      <c r="X577" s="160">
        <v>1</v>
      </c>
      <c r="Y577" s="160">
        <v>1</v>
      </c>
      <c r="Z577" s="160">
        <v>1</v>
      </c>
      <c r="AA577" s="160">
        <v>1</v>
      </c>
    </row>
    <row r="578" spans="1:27" ht="18" customHeight="1" x14ac:dyDescent="0.25">
      <c r="A578" s="159">
        <v>791</v>
      </c>
      <c r="B578" s="157" t="s">
        <v>63</v>
      </c>
      <c r="C578" s="157" t="s">
        <v>64</v>
      </c>
      <c r="D578" s="159" t="s">
        <v>926</v>
      </c>
      <c r="E578" s="157" t="s">
        <v>924</v>
      </c>
      <c r="F578" s="157"/>
      <c r="G578" s="157" t="s">
        <v>1299</v>
      </c>
      <c r="H578" s="157" t="s">
        <v>1300</v>
      </c>
      <c r="I578" s="157" t="s">
        <v>1441</v>
      </c>
      <c r="J578" s="157" t="s">
        <v>1285</v>
      </c>
      <c r="K578" s="157" t="s">
        <v>1312</v>
      </c>
      <c r="L578" s="157" t="s">
        <v>1511</v>
      </c>
      <c r="M578" s="157" t="str">
        <f t="shared" si="16"/>
        <v>Front Impact Sensor Mid RH - Crash Sensor</v>
      </c>
      <c r="N578" s="157"/>
      <c r="O578" s="157"/>
      <c r="P578" s="167" t="s">
        <v>3547</v>
      </c>
      <c r="Q578" s="157" t="s">
        <v>2115</v>
      </c>
      <c r="R578" s="157" t="s">
        <v>8258</v>
      </c>
      <c r="S578" s="157" t="s">
        <v>8618</v>
      </c>
      <c r="T578" s="157"/>
      <c r="U578" s="159" t="s">
        <v>2129</v>
      </c>
      <c r="V578" s="159" t="s">
        <v>2138</v>
      </c>
      <c r="W578" s="159" t="s">
        <v>2138</v>
      </c>
      <c r="X578" s="160">
        <v>1</v>
      </c>
      <c r="Y578" s="160">
        <v>1</v>
      </c>
      <c r="Z578" s="160">
        <v>1</v>
      </c>
      <c r="AA578" s="160">
        <v>1</v>
      </c>
    </row>
    <row r="579" spans="1:27" ht="18" customHeight="1" x14ac:dyDescent="0.25">
      <c r="A579" s="159">
        <v>792</v>
      </c>
      <c r="B579" s="157" t="s">
        <v>63</v>
      </c>
      <c r="C579" s="157" t="s">
        <v>64</v>
      </c>
      <c r="D579" s="159" t="s">
        <v>926</v>
      </c>
      <c r="E579" s="157" t="s">
        <v>924</v>
      </c>
      <c r="F579" s="157"/>
      <c r="G579" s="157" t="s">
        <v>1299</v>
      </c>
      <c r="H579" s="157" t="s">
        <v>1300</v>
      </c>
      <c r="I579" s="157" t="s">
        <v>1441</v>
      </c>
      <c r="J579" s="157" t="s">
        <v>1285</v>
      </c>
      <c r="K579" s="157" t="s">
        <v>1312</v>
      </c>
      <c r="L579" s="157" t="s">
        <v>1512</v>
      </c>
      <c r="M579" s="157" t="str">
        <f t="shared" si="16"/>
        <v>Front Impact Sensor Mid LH - Crash Sensor</v>
      </c>
      <c r="N579" s="157"/>
      <c r="O579" s="157"/>
      <c r="P579" s="167" t="s">
        <v>3531</v>
      </c>
      <c r="Q579" s="157" t="s">
        <v>2115</v>
      </c>
      <c r="R579" s="157" t="s">
        <v>8258</v>
      </c>
      <c r="S579" s="157" t="s">
        <v>8618</v>
      </c>
      <c r="T579" s="157"/>
      <c r="U579" s="159" t="s">
        <v>2129</v>
      </c>
      <c r="V579" s="159" t="s">
        <v>2138</v>
      </c>
      <c r="W579" s="159" t="s">
        <v>2138</v>
      </c>
      <c r="X579" s="160">
        <v>1</v>
      </c>
      <c r="Y579" s="160">
        <v>1</v>
      </c>
      <c r="Z579" s="160">
        <v>1</v>
      </c>
      <c r="AA579" s="160">
        <v>1</v>
      </c>
    </row>
    <row r="580" spans="1:27" ht="18" customHeight="1" x14ac:dyDescent="0.25">
      <c r="A580" s="159">
        <v>793</v>
      </c>
      <c r="B580" s="157" t="s">
        <v>29</v>
      </c>
      <c r="C580" s="157" t="s">
        <v>82</v>
      </c>
      <c r="D580" s="159" t="s">
        <v>1101</v>
      </c>
      <c r="E580" s="157" t="s">
        <v>1099</v>
      </c>
      <c r="F580" s="157"/>
      <c r="G580" s="157" t="s">
        <v>1278</v>
      </c>
      <c r="H580" s="157" t="s">
        <v>1294</v>
      </c>
      <c r="I580" s="157" t="s">
        <v>1423</v>
      </c>
      <c r="J580" s="157" t="s">
        <v>1296</v>
      </c>
      <c r="K580" s="157" t="s">
        <v>1269</v>
      </c>
      <c r="L580" s="157" t="s">
        <v>8704</v>
      </c>
      <c r="M580" s="157" t="str">
        <f t="shared" si="16"/>
        <v>Hood Stepper Motor - Hood Lock and Unlock</v>
      </c>
      <c r="N580" s="157"/>
      <c r="O580" s="157"/>
      <c r="P580" s="167" t="s">
        <v>3539</v>
      </c>
      <c r="Q580" s="74" t="s">
        <v>2115</v>
      </c>
      <c r="R580" s="74" t="s">
        <v>2112</v>
      </c>
      <c r="S580" s="74" t="s">
        <v>8623</v>
      </c>
      <c r="T580" s="157"/>
      <c r="U580" s="159" t="s">
        <v>2129</v>
      </c>
      <c r="V580" s="159" t="s">
        <v>2129</v>
      </c>
      <c r="W580" s="159" t="s">
        <v>2138</v>
      </c>
      <c r="X580" s="160">
        <f t="shared" ref="X580:AA584" si="17">1/(20*60)</f>
        <v>8.3333333333333339E-4</v>
      </c>
      <c r="Y580" s="160">
        <f t="shared" si="17"/>
        <v>8.3333333333333339E-4</v>
      </c>
      <c r="Z580" s="160">
        <f t="shared" si="17"/>
        <v>8.3333333333333339E-4</v>
      </c>
      <c r="AA580" s="160">
        <f t="shared" si="17"/>
        <v>8.3333333333333339E-4</v>
      </c>
    </row>
    <row r="581" spans="1:27" ht="18" customHeight="1" x14ac:dyDescent="0.25">
      <c r="A581" s="159">
        <v>793</v>
      </c>
      <c r="B581" s="157" t="s">
        <v>29</v>
      </c>
      <c r="C581" s="157" t="s">
        <v>82</v>
      </c>
      <c r="D581" s="159" t="s">
        <v>1104</v>
      </c>
      <c r="E581" s="157" t="s">
        <v>1102</v>
      </c>
      <c r="F581" s="157"/>
      <c r="G581" s="157" t="s">
        <v>1278</v>
      </c>
      <c r="H581" s="157" t="s">
        <v>1294</v>
      </c>
      <c r="I581" s="157" t="s">
        <v>1423</v>
      </c>
      <c r="J581" s="157" t="s">
        <v>1296</v>
      </c>
      <c r="K581" s="157" t="s">
        <v>1269</v>
      </c>
      <c r="L581" s="157" t="s">
        <v>8704</v>
      </c>
      <c r="M581" s="157" t="str">
        <f t="shared" si="16"/>
        <v>Hood Stepper Motor - Hood Lock and Unlock</v>
      </c>
      <c r="N581" s="157"/>
      <c r="O581" s="157"/>
      <c r="P581" s="167" t="s">
        <v>3539</v>
      </c>
      <c r="Q581" s="74" t="s">
        <v>2115</v>
      </c>
      <c r="R581" s="74" t="s">
        <v>2112</v>
      </c>
      <c r="S581" s="74" t="s">
        <v>8623</v>
      </c>
      <c r="T581" s="157"/>
      <c r="U581" s="159" t="s">
        <v>2129</v>
      </c>
      <c r="V581" s="159" t="s">
        <v>2129</v>
      </c>
      <c r="W581" s="159" t="s">
        <v>2138</v>
      </c>
      <c r="X581" s="160">
        <f t="shared" si="17"/>
        <v>8.3333333333333339E-4</v>
      </c>
      <c r="Y581" s="160">
        <f t="shared" si="17"/>
        <v>8.3333333333333339E-4</v>
      </c>
      <c r="Z581" s="160">
        <f t="shared" si="17"/>
        <v>8.3333333333333339E-4</v>
      </c>
      <c r="AA581" s="160">
        <f t="shared" si="17"/>
        <v>8.3333333333333339E-4</v>
      </c>
    </row>
    <row r="582" spans="1:27" ht="18" customHeight="1" x14ac:dyDescent="0.25">
      <c r="A582" s="159">
        <v>794</v>
      </c>
      <c r="B582" s="157" t="s">
        <v>29</v>
      </c>
      <c r="C582" s="157" t="s">
        <v>82</v>
      </c>
      <c r="D582" s="159" t="s">
        <v>1104</v>
      </c>
      <c r="E582" s="157" t="s">
        <v>1102</v>
      </c>
      <c r="F582" s="157"/>
      <c r="G582" s="157" t="s">
        <v>1278</v>
      </c>
      <c r="H582" s="157" t="s">
        <v>1294</v>
      </c>
      <c r="I582" s="157" t="s">
        <v>1513</v>
      </c>
      <c r="J582" s="157" t="s">
        <v>1296</v>
      </c>
      <c r="K582" s="157" t="s">
        <v>1312</v>
      </c>
      <c r="L582" s="157" t="s">
        <v>8705</v>
      </c>
      <c r="M582" s="157" t="str">
        <f t="shared" si="16"/>
        <v>Hood Latch Sensor - Hood Opening</v>
      </c>
      <c r="N582" s="157"/>
      <c r="O582" s="157"/>
      <c r="P582" s="167" t="s">
        <v>3539</v>
      </c>
      <c r="Q582" s="157" t="s">
        <v>2115</v>
      </c>
      <c r="R582" s="157" t="s">
        <v>8259</v>
      </c>
      <c r="S582" s="157" t="s">
        <v>8614</v>
      </c>
      <c r="T582" s="157"/>
      <c r="U582" s="159" t="s">
        <v>2129</v>
      </c>
      <c r="V582" s="159" t="s">
        <v>2129</v>
      </c>
      <c r="W582" s="159" t="s">
        <v>2129</v>
      </c>
      <c r="X582" s="160">
        <f t="shared" si="17"/>
        <v>8.3333333333333339E-4</v>
      </c>
      <c r="Y582" s="160">
        <f t="shared" si="17"/>
        <v>8.3333333333333339E-4</v>
      </c>
      <c r="Z582" s="160">
        <f t="shared" si="17"/>
        <v>8.3333333333333339E-4</v>
      </c>
      <c r="AA582" s="160">
        <f t="shared" si="17"/>
        <v>8.3333333333333339E-4</v>
      </c>
    </row>
    <row r="583" spans="1:27" ht="18" customHeight="1" x14ac:dyDescent="0.25">
      <c r="A583" s="159">
        <v>795</v>
      </c>
      <c r="B583" s="157" t="s">
        <v>29</v>
      </c>
      <c r="C583" s="157" t="s">
        <v>82</v>
      </c>
      <c r="D583" s="159" t="s">
        <v>1101</v>
      </c>
      <c r="E583" s="157" t="s">
        <v>1099</v>
      </c>
      <c r="F583" s="157"/>
      <c r="G583" s="157" t="s">
        <v>1278</v>
      </c>
      <c r="H583" s="157" t="s">
        <v>1294</v>
      </c>
      <c r="I583" s="157" t="s">
        <v>1513</v>
      </c>
      <c r="J583" s="157" t="s">
        <v>1296</v>
      </c>
      <c r="K583" s="157" t="s">
        <v>1281</v>
      </c>
      <c r="L583" s="157" t="s">
        <v>1282</v>
      </c>
      <c r="M583" s="157" t="str">
        <f t="shared" si="16"/>
        <v>User Selector - Hood Opening</v>
      </c>
      <c r="N583" s="157"/>
      <c r="O583" s="157"/>
      <c r="P583" s="159" t="s">
        <v>5832</v>
      </c>
      <c r="Q583" s="74" t="s">
        <v>2115</v>
      </c>
      <c r="R583" s="74" t="s">
        <v>8260</v>
      </c>
      <c r="S583" s="74" t="s">
        <v>8620</v>
      </c>
      <c r="T583" s="157"/>
      <c r="U583" s="159" t="s">
        <v>2129</v>
      </c>
      <c r="V583" s="159" t="s">
        <v>2129</v>
      </c>
      <c r="W583" s="159" t="s">
        <v>2138</v>
      </c>
      <c r="X583" s="160">
        <f t="shared" si="17"/>
        <v>8.3333333333333339E-4</v>
      </c>
      <c r="Y583" s="160">
        <f t="shared" si="17"/>
        <v>8.3333333333333339E-4</v>
      </c>
      <c r="Z583" s="160">
        <f t="shared" si="17"/>
        <v>8.3333333333333339E-4</v>
      </c>
      <c r="AA583" s="160">
        <f t="shared" si="17"/>
        <v>8.3333333333333339E-4</v>
      </c>
    </row>
    <row r="584" spans="1:27" ht="18" customHeight="1" x14ac:dyDescent="0.25">
      <c r="A584" s="159">
        <v>795</v>
      </c>
      <c r="B584" s="157" t="s">
        <v>77</v>
      </c>
      <c r="C584" s="157" t="s">
        <v>149</v>
      </c>
      <c r="D584" s="159" t="s">
        <v>1095</v>
      </c>
      <c r="E584" s="157" t="s">
        <v>1093</v>
      </c>
      <c r="F584" s="157" t="s">
        <v>1264</v>
      </c>
      <c r="G584" s="157" t="s">
        <v>1278</v>
      </c>
      <c r="H584" s="157" t="s">
        <v>1294</v>
      </c>
      <c r="I584" s="157" t="s">
        <v>1513</v>
      </c>
      <c r="J584" s="157" t="s">
        <v>1296</v>
      </c>
      <c r="K584" s="157" t="s">
        <v>1281</v>
      </c>
      <c r="L584" s="157" t="s">
        <v>1282</v>
      </c>
      <c r="M584" s="157" t="str">
        <f t="shared" si="16"/>
        <v>User Selector - Hood Opening</v>
      </c>
      <c r="N584" s="157"/>
      <c r="O584" s="157"/>
      <c r="P584" s="159" t="s">
        <v>5832</v>
      </c>
      <c r="Q584" s="74" t="s">
        <v>2115</v>
      </c>
      <c r="R584" s="74" t="s">
        <v>8260</v>
      </c>
      <c r="S584" s="74" t="s">
        <v>8620</v>
      </c>
      <c r="T584" s="157"/>
      <c r="U584" s="159" t="s">
        <v>2129</v>
      </c>
      <c r="V584" s="159" t="s">
        <v>2129</v>
      </c>
      <c r="W584" s="159" t="s">
        <v>2138</v>
      </c>
      <c r="X584" s="160">
        <f t="shared" si="17"/>
        <v>8.3333333333333339E-4</v>
      </c>
      <c r="Y584" s="160">
        <f t="shared" si="17"/>
        <v>8.3333333333333339E-4</v>
      </c>
      <c r="Z584" s="160">
        <f t="shared" si="17"/>
        <v>8.3333333333333339E-4</v>
      </c>
      <c r="AA584" s="160">
        <f t="shared" si="17"/>
        <v>8.3333333333333339E-4</v>
      </c>
    </row>
    <row r="585" spans="1:27" ht="18" customHeight="1" x14ac:dyDescent="0.25">
      <c r="A585" s="159">
        <v>796</v>
      </c>
      <c r="B585" s="157" t="s">
        <v>29</v>
      </c>
      <c r="C585" s="157" t="s">
        <v>69</v>
      </c>
      <c r="D585" s="159" t="s">
        <v>72</v>
      </c>
      <c r="E585" s="157" t="s">
        <v>70</v>
      </c>
      <c r="F585" s="157"/>
      <c r="G585" s="157" t="s">
        <v>1278</v>
      </c>
      <c r="H585" s="157" t="s">
        <v>1514</v>
      </c>
      <c r="I585" s="157" t="s">
        <v>1515</v>
      </c>
      <c r="J585" s="157" t="s">
        <v>1514</v>
      </c>
      <c r="K585" s="157" t="s">
        <v>1269</v>
      </c>
      <c r="L585" s="157" t="s">
        <v>1360</v>
      </c>
      <c r="M585" s="157" t="str">
        <f t="shared" si="16"/>
        <v>Horn - Alarm Horn</v>
      </c>
      <c r="N585" s="157"/>
      <c r="O585" s="157"/>
      <c r="P585" s="159" t="s">
        <v>2288</v>
      </c>
      <c r="Q585" s="157" t="s">
        <v>2115</v>
      </c>
      <c r="R585" s="157" t="s">
        <v>8287</v>
      </c>
      <c r="S585" s="157" t="s">
        <v>8619</v>
      </c>
      <c r="T585" s="157"/>
      <c r="U585" s="159" t="s">
        <v>2129</v>
      </c>
      <c r="V585" s="159" t="s">
        <v>2138</v>
      </c>
      <c r="W585" s="159" t="s">
        <v>2138</v>
      </c>
      <c r="X585" s="160">
        <f>2*(5/60)/20</f>
        <v>8.3333333333333332E-3</v>
      </c>
      <c r="Y585" s="160">
        <f>2*(5/60)/20</f>
        <v>8.3333333333333332E-3</v>
      </c>
      <c r="Z585" s="160">
        <f>2*(5/60)/20</f>
        <v>8.3333333333333332E-3</v>
      </c>
      <c r="AA585" s="160">
        <f>2*(5/60)/20</f>
        <v>8.3333333333333332E-3</v>
      </c>
    </row>
    <row r="586" spans="1:27" ht="18" customHeight="1" x14ac:dyDescent="0.25">
      <c r="A586" s="159">
        <v>797</v>
      </c>
      <c r="B586" s="157" t="s">
        <v>57</v>
      </c>
      <c r="C586" s="157" t="s">
        <v>349</v>
      </c>
      <c r="D586" s="159" t="s">
        <v>453</v>
      </c>
      <c r="E586" s="157" t="s">
        <v>451</v>
      </c>
      <c r="F586" s="157" t="s">
        <v>1381</v>
      </c>
      <c r="G586" s="157" t="s">
        <v>1321</v>
      </c>
      <c r="H586" s="157" t="s">
        <v>2022</v>
      </c>
      <c r="I586" s="157" t="s">
        <v>1516</v>
      </c>
      <c r="J586" s="157" t="s">
        <v>1324</v>
      </c>
      <c r="K586" s="157" t="s">
        <v>1269</v>
      </c>
      <c r="L586" s="157" t="s">
        <v>1517</v>
      </c>
      <c r="M586" s="157" t="str">
        <f t="shared" ref="M586:M649" si="18">CONCATENATE(L586," - ",I586)</f>
        <v>Louver Stepper Motor - Radiator Air Flow Control</v>
      </c>
      <c r="N586" s="157"/>
      <c r="O586" s="157"/>
      <c r="P586" s="159"/>
      <c r="Q586" s="157"/>
      <c r="R586" s="157"/>
      <c r="S586" s="157"/>
      <c r="T586" s="157"/>
      <c r="U586" s="159"/>
      <c r="V586" s="159"/>
      <c r="W586" s="159"/>
      <c r="X586" s="160"/>
      <c r="Y586" s="160"/>
      <c r="Z586" s="160"/>
      <c r="AA586" s="160"/>
    </row>
    <row r="587" spans="1:27" ht="18" customHeight="1" x14ac:dyDescent="0.25">
      <c r="A587" s="159">
        <v>797</v>
      </c>
      <c r="B587" s="157" t="s">
        <v>57</v>
      </c>
      <c r="C587" s="157" t="s">
        <v>349</v>
      </c>
      <c r="D587" s="159" t="s">
        <v>454</v>
      </c>
      <c r="E587" s="157" t="s">
        <v>700</v>
      </c>
      <c r="F587" s="157" t="s">
        <v>1264</v>
      </c>
      <c r="G587" s="157" t="s">
        <v>1321</v>
      </c>
      <c r="H587" s="157" t="s">
        <v>2022</v>
      </c>
      <c r="I587" s="157" t="s">
        <v>1516</v>
      </c>
      <c r="J587" s="157" t="s">
        <v>1324</v>
      </c>
      <c r="K587" s="157" t="s">
        <v>1269</v>
      </c>
      <c r="L587" s="157" t="s">
        <v>1517</v>
      </c>
      <c r="M587" s="157" t="str">
        <f t="shared" si="18"/>
        <v>Louver Stepper Motor - Radiator Air Flow Control</v>
      </c>
      <c r="N587" s="157"/>
      <c r="O587" s="157"/>
      <c r="P587" s="159"/>
      <c r="Q587" s="157"/>
      <c r="R587" s="157"/>
      <c r="S587" s="157"/>
      <c r="T587" s="157"/>
      <c r="U587" s="159"/>
      <c r="V587" s="159"/>
      <c r="W587" s="159"/>
      <c r="X587" s="160"/>
      <c r="Y587" s="160"/>
      <c r="Z587" s="160"/>
      <c r="AA587" s="160"/>
    </row>
    <row r="588" spans="1:27" ht="18" customHeight="1" x14ac:dyDescent="0.25">
      <c r="A588" s="159">
        <v>820</v>
      </c>
      <c r="B588" s="157" t="s">
        <v>29</v>
      </c>
      <c r="C588" s="157" t="s">
        <v>30</v>
      </c>
      <c r="D588" s="159" t="s">
        <v>99</v>
      </c>
      <c r="E588" s="157" t="s">
        <v>97</v>
      </c>
      <c r="F588" s="157" t="s">
        <v>1264</v>
      </c>
      <c r="G588" s="157" t="s">
        <v>1536</v>
      </c>
      <c r="H588" s="157" t="s">
        <v>9545</v>
      </c>
      <c r="I588" s="157" t="s">
        <v>9545</v>
      </c>
      <c r="J588" s="157" t="s">
        <v>1520</v>
      </c>
      <c r="K588" s="157" t="s">
        <v>1312</v>
      </c>
      <c r="L588" s="157" t="s">
        <v>8322</v>
      </c>
      <c r="M588" s="157" t="str">
        <f t="shared" si="18"/>
        <v>Rain and Light Detection - Environment Detection</v>
      </c>
      <c r="N588" s="157"/>
      <c r="O588" s="157"/>
      <c r="P588" s="159" t="s">
        <v>5745</v>
      </c>
      <c r="Q588" s="157" t="s">
        <v>2115</v>
      </c>
      <c r="R588" s="157" t="s">
        <v>8269</v>
      </c>
      <c r="S588" s="157" t="s">
        <v>8620</v>
      </c>
      <c r="T588" s="157"/>
      <c r="U588" s="159" t="s">
        <v>2129</v>
      </c>
      <c r="V588" s="159" t="s">
        <v>2138</v>
      </c>
      <c r="W588" s="159" t="s">
        <v>2138</v>
      </c>
      <c r="X588" s="160">
        <v>1</v>
      </c>
      <c r="Y588" s="160">
        <v>1</v>
      </c>
      <c r="Z588" s="160">
        <v>1</v>
      </c>
      <c r="AA588" s="160">
        <v>1</v>
      </c>
    </row>
    <row r="589" spans="1:27" ht="18" customHeight="1" x14ac:dyDescent="0.25">
      <c r="A589" s="159">
        <v>820</v>
      </c>
      <c r="B589" s="157" t="s">
        <v>29</v>
      </c>
      <c r="C589" s="157" t="s">
        <v>30</v>
      </c>
      <c r="D589" s="159" t="s">
        <v>148</v>
      </c>
      <c r="E589" s="157" t="s">
        <v>146</v>
      </c>
      <c r="F589" s="157" t="s">
        <v>1264</v>
      </c>
      <c r="G589" s="157" t="s">
        <v>1536</v>
      </c>
      <c r="H589" s="157" t="s">
        <v>9545</v>
      </c>
      <c r="I589" s="157" t="s">
        <v>9545</v>
      </c>
      <c r="J589" s="157" t="s">
        <v>1520</v>
      </c>
      <c r="K589" s="157" t="s">
        <v>1312</v>
      </c>
      <c r="L589" s="157" t="s">
        <v>8322</v>
      </c>
      <c r="M589" s="157" t="str">
        <f t="shared" si="18"/>
        <v>Rain and Light Detection - Environment Detection</v>
      </c>
      <c r="N589" s="157"/>
      <c r="O589" s="157"/>
      <c r="P589" s="159" t="s">
        <v>5745</v>
      </c>
      <c r="Q589" s="157" t="s">
        <v>2115</v>
      </c>
      <c r="R589" s="157" t="s">
        <v>8269</v>
      </c>
      <c r="S589" s="157" t="s">
        <v>8620</v>
      </c>
      <c r="T589" s="157"/>
      <c r="U589" s="159" t="s">
        <v>2129</v>
      </c>
      <c r="V589" s="159" t="s">
        <v>2138</v>
      </c>
      <c r="W589" s="159" t="s">
        <v>2138</v>
      </c>
      <c r="X589" s="160">
        <v>1</v>
      </c>
      <c r="Y589" s="160">
        <v>1</v>
      </c>
      <c r="Z589" s="160">
        <v>1</v>
      </c>
      <c r="AA589" s="160">
        <v>1</v>
      </c>
    </row>
    <row r="590" spans="1:27" ht="18" customHeight="1" x14ac:dyDescent="0.25">
      <c r="A590" s="159">
        <v>820</v>
      </c>
      <c r="B590" s="157" t="s">
        <v>29</v>
      </c>
      <c r="C590" s="157" t="s">
        <v>30</v>
      </c>
      <c r="D590" s="159" t="s">
        <v>181</v>
      </c>
      <c r="E590" s="157" t="s">
        <v>179</v>
      </c>
      <c r="F590" s="157" t="s">
        <v>1264</v>
      </c>
      <c r="G590" s="157" t="s">
        <v>1536</v>
      </c>
      <c r="H590" s="157" t="s">
        <v>9545</v>
      </c>
      <c r="I590" s="157" t="s">
        <v>9545</v>
      </c>
      <c r="J590" s="157" t="s">
        <v>1520</v>
      </c>
      <c r="K590" s="157" t="s">
        <v>1312</v>
      </c>
      <c r="L590" s="157" t="s">
        <v>8322</v>
      </c>
      <c r="M590" s="157" t="str">
        <f t="shared" si="18"/>
        <v>Rain and Light Detection - Environment Detection</v>
      </c>
      <c r="N590" s="157"/>
      <c r="O590" s="157"/>
      <c r="P590" s="159" t="s">
        <v>5745</v>
      </c>
      <c r="Q590" s="157" t="s">
        <v>2115</v>
      </c>
      <c r="R590" s="157" t="s">
        <v>8269</v>
      </c>
      <c r="S590" s="157" t="s">
        <v>8620</v>
      </c>
      <c r="T590" s="157"/>
      <c r="U590" s="159" t="s">
        <v>2129</v>
      </c>
      <c r="V590" s="159" t="s">
        <v>2138</v>
      </c>
      <c r="W590" s="159" t="s">
        <v>2138</v>
      </c>
      <c r="X590" s="160">
        <v>1</v>
      </c>
      <c r="Y590" s="160">
        <v>1</v>
      </c>
      <c r="Z590" s="160">
        <v>1</v>
      </c>
      <c r="AA590" s="160">
        <v>1</v>
      </c>
    </row>
    <row r="591" spans="1:27" ht="18" customHeight="1" x14ac:dyDescent="0.25">
      <c r="A591" s="159">
        <v>820</v>
      </c>
      <c r="B591" s="157" t="s">
        <v>29</v>
      </c>
      <c r="C591" s="157" t="s">
        <v>30</v>
      </c>
      <c r="D591" s="159" t="s">
        <v>184</v>
      </c>
      <c r="E591" s="157" t="s">
        <v>182</v>
      </c>
      <c r="F591" s="157" t="s">
        <v>1275</v>
      </c>
      <c r="G591" s="157" t="s">
        <v>1536</v>
      </c>
      <c r="H591" s="157" t="s">
        <v>9545</v>
      </c>
      <c r="I591" s="157" t="s">
        <v>9545</v>
      </c>
      <c r="J591" s="157" t="s">
        <v>1520</v>
      </c>
      <c r="K591" s="157" t="s">
        <v>1312</v>
      </c>
      <c r="L591" s="157" t="s">
        <v>8322</v>
      </c>
      <c r="M591" s="157" t="str">
        <f t="shared" si="18"/>
        <v>Rain and Light Detection - Environment Detection</v>
      </c>
      <c r="N591" s="157"/>
      <c r="O591" s="157"/>
      <c r="P591" s="159" t="s">
        <v>5745</v>
      </c>
      <c r="Q591" s="157" t="s">
        <v>2115</v>
      </c>
      <c r="R591" s="157" t="s">
        <v>8269</v>
      </c>
      <c r="S591" s="157" t="s">
        <v>8620</v>
      </c>
      <c r="T591" s="157"/>
      <c r="U591" s="159" t="s">
        <v>2129</v>
      </c>
      <c r="V591" s="159" t="s">
        <v>2138</v>
      </c>
      <c r="W591" s="159" t="s">
        <v>2138</v>
      </c>
      <c r="X591" s="160">
        <v>1</v>
      </c>
      <c r="Y591" s="160">
        <v>1</v>
      </c>
      <c r="Z591" s="160">
        <v>1</v>
      </c>
      <c r="AA591" s="160">
        <v>1</v>
      </c>
    </row>
    <row r="592" spans="1:27" ht="18" customHeight="1" x14ac:dyDescent="0.25">
      <c r="A592" s="159">
        <v>820</v>
      </c>
      <c r="B592" s="157" t="s">
        <v>29</v>
      </c>
      <c r="C592" s="157" t="s">
        <v>30</v>
      </c>
      <c r="D592" s="159" t="s">
        <v>185</v>
      </c>
      <c r="E592" s="157" t="s">
        <v>391</v>
      </c>
      <c r="F592" s="157" t="s">
        <v>1275</v>
      </c>
      <c r="G592" s="157" t="s">
        <v>1536</v>
      </c>
      <c r="H592" s="157" t="s">
        <v>9545</v>
      </c>
      <c r="I592" s="157" t="s">
        <v>9545</v>
      </c>
      <c r="J592" s="157" t="s">
        <v>1520</v>
      </c>
      <c r="K592" s="157" t="s">
        <v>1312</v>
      </c>
      <c r="L592" s="157" t="s">
        <v>8322</v>
      </c>
      <c r="M592" s="157" t="str">
        <f t="shared" si="18"/>
        <v>Rain and Light Detection - Environment Detection</v>
      </c>
      <c r="N592" s="157"/>
      <c r="O592" s="157"/>
      <c r="P592" s="159" t="s">
        <v>5745</v>
      </c>
      <c r="Q592" s="157" t="s">
        <v>2115</v>
      </c>
      <c r="R592" s="157" t="s">
        <v>8269</v>
      </c>
      <c r="S592" s="157" t="s">
        <v>8620</v>
      </c>
      <c r="T592" s="157"/>
      <c r="U592" s="159" t="s">
        <v>2129</v>
      </c>
      <c r="V592" s="159" t="s">
        <v>2138</v>
      </c>
      <c r="W592" s="159" t="s">
        <v>2138</v>
      </c>
      <c r="X592" s="160">
        <v>1</v>
      </c>
      <c r="Y592" s="160">
        <v>1</v>
      </c>
      <c r="Z592" s="160">
        <v>1</v>
      </c>
      <c r="AA592" s="160">
        <v>1</v>
      </c>
    </row>
    <row r="593" spans="1:27" ht="18" customHeight="1" x14ac:dyDescent="0.25">
      <c r="A593" s="159">
        <v>820</v>
      </c>
      <c r="B593" s="157" t="s">
        <v>29</v>
      </c>
      <c r="C593" s="157" t="s">
        <v>30</v>
      </c>
      <c r="D593" s="159" t="s">
        <v>578</v>
      </c>
      <c r="E593" s="157" t="s">
        <v>576</v>
      </c>
      <c r="F593" s="157" t="s">
        <v>1264</v>
      </c>
      <c r="G593" s="157" t="s">
        <v>1536</v>
      </c>
      <c r="H593" s="157" t="s">
        <v>9545</v>
      </c>
      <c r="I593" s="157" t="s">
        <v>9545</v>
      </c>
      <c r="J593" s="157" t="s">
        <v>1520</v>
      </c>
      <c r="K593" s="157" t="s">
        <v>1312</v>
      </c>
      <c r="L593" s="157" t="s">
        <v>8322</v>
      </c>
      <c r="M593" s="157" t="str">
        <f t="shared" si="18"/>
        <v>Rain and Light Detection - Environment Detection</v>
      </c>
      <c r="N593" s="157"/>
      <c r="O593" s="157"/>
      <c r="P593" s="159" t="s">
        <v>5745</v>
      </c>
      <c r="Q593" s="157" t="s">
        <v>2115</v>
      </c>
      <c r="R593" s="157" t="s">
        <v>8269</v>
      </c>
      <c r="S593" s="157" t="s">
        <v>8620</v>
      </c>
      <c r="T593" s="157"/>
      <c r="U593" s="159" t="s">
        <v>2129</v>
      </c>
      <c r="V593" s="159" t="s">
        <v>2138</v>
      </c>
      <c r="W593" s="159" t="s">
        <v>2138</v>
      </c>
      <c r="X593" s="160">
        <v>1</v>
      </c>
      <c r="Y593" s="160">
        <v>1</v>
      </c>
      <c r="Z593" s="160">
        <v>1</v>
      </c>
      <c r="AA593" s="160">
        <v>1</v>
      </c>
    </row>
    <row r="594" spans="1:27" ht="18" customHeight="1" x14ac:dyDescent="0.25">
      <c r="A594" s="159">
        <v>820</v>
      </c>
      <c r="B594" s="157" t="s">
        <v>29</v>
      </c>
      <c r="C594" s="157" t="s">
        <v>207</v>
      </c>
      <c r="D594" s="159" t="s">
        <v>293</v>
      </c>
      <c r="E594" s="157" t="s">
        <v>291</v>
      </c>
      <c r="F594" s="157" t="s">
        <v>1277</v>
      </c>
      <c r="G594" s="157" t="s">
        <v>1536</v>
      </c>
      <c r="H594" s="157" t="s">
        <v>9545</v>
      </c>
      <c r="I594" s="157" t="s">
        <v>9545</v>
      </c>
      <c r="J594" s="157" t="s">
        <v>1520</v>
      </c>
      <c r="K594" s="157" t="s">
        <v>1312</v>
      </c>
      <c r="L594" s="157" t="s">
        <v>8322</v>
      </c>
      <c r="M594" s="157" t="str">
        <f t="shared" si="18"/>
        <v>Rain and Light Detection - Environment Detection</v>
      </c>
      <c r="N594" s="157"/>
      <c r="O594" s="157"/>
      <c r="P594" s="159" t="s">
        <v>5745</v>
      </c>
      <c r="Q594" s="157" t="s">
        <v>2115</v>
      </c>
      <c r="R594" s="157" t="s">
        <v>8269</v>
      </c>
      <c r="S594" s="157" t="s">
        <v>8620</v>
      </c>
      <c r="T594" s="157"/>
      <c r="U594" s="159" t="s">
        <v>2129</v>
      </c>
      <c r="V594" s="159" t="s">
        <v>2138</v>
      </c>
      <c r="W594" s="159" t="s">
        <v>2138</v>
      </c>
      <c r="X594" s="160">
        <v>1</v>
      </c>
      <c r="Y594" s="160">
        <v>1</v>
      </c>
      <c r="Z594" s="160">
        <v>1</v>
      </c>
      <c r="AA594" s="160">
        <v>1</v>
      </c>
    </row>
    <row r="595" spans="1:27" ht="18" customHeight="1" x14ac:dyDescent="0.25">
      <c r="A595" s="159">
        <v>822</v>
      </c>
      <c r="B595" s="164" t="s">
        <v>266</v>
      </c>
      <c r="C595" s="164" t="s">
        <v>276</v>
      </c>
      <c r="D595" s="159" t="s">
        <v>734</v>
      </c>
      <c r="E595" s="164" t="s">
        <v>732</v>
      </c>
      <c r="F595" s="159"/>
      <c r="G595" s="157" t="s">
        <v>1349</v>
      </c>
      <c r="H595" s="157" t="s">
        <v>1418</v>
      </c>
      <c r="I595" s="157" t="s">
        <v>1521</v>
      </c>
      <c r="J595" s="157" t="s">
        <v>8299</v>
      </c>
      <c r="K595" s="157" t="s">
        <v>1352</v>
      </c>
      <c r="L595" s="157" t="s">
        <v>1522</v>
      </c>
      <c r="M595" s="157" t="str">
        <f t="shared" si="18"/>
        <v>Interior Camera - Driver Monitoring</v>
      </c>
      <c r="N595" s="157"/>
      <c r="O595" s="157"/>
      <c r="P595" s="159" t="s">
        <v>6027</v>
      </c>
      <c r="Q595" s="157" t="s">
        <v>2115</v>
      </c>
      <c r="R595" s="157" t="s">
        <v>8291</v>
      </c>
      <c r="S595" s="157" t="s">
        <v>8604</v>
      </c>
      <c r="T595" s="157"/>
      <c r="U595" s="159" t="s">
        <v>2129</v>
      </c>
      <c r="V595" s="159" t="s">
        <v>2129</v>
      </c>
      <c r="W595" s="159" t="s">
        <v>2138</v>
      </c>
      <c r="X595" s="160">
        <v>1</v>
      </c>
      <c r="Y595" s="160">
        <v>1</v>
      </c>
      <c r="Z595" s="160">
        <v>1</v>
      </c>
      <c r="AA595" s="160">
        <v>1</v>
      </c>
    </row>
    <row r="596" spans="1:27" ht="18" customHeight="1" x14ac:dyDescent="0.25">
      <c r="A596" s="159">
        <v>822</v>
      </c>
      <c r="B596" s="164" t="s">
        <v>266</v>
      </c>
      <c r="C596" s="164" t="s">
        <v>276</v>
      </c>
      <c r="D596" s="159" t="s">
        <v>1213</v>
      </c>
      <c r="E596" s="164" t="s">
        <v>1211</v>
      </c>
      <c r="F596" s="159"/>
      <c r="G596" s="157" t="s">
        <v>1349</v>
      </c>
      <c r="H596" s="157" t="s">
        <v>1418</v>
      </c>
      <c r="I596" s="157" t="s">
        <v>1521</v>
      </c>
      <c r="J596" s="157" t="s">
        <v>8299</v>
      </c>
      <c r="K596" s="157" t="s">
        <v>1352</v>
      </c>
      <c r="L596" s="157" t="s">
        <v>1522</v>
      </c>
      <c r="M596" s="157" t="str">
        <f t="shared" si="18"/>
        <v>Interior Camera - Driver Monitoring</v>
      </c>
      <c r="N596" s="157"/>
      <c r="O596" s="157"/>
      <c r="P596" s="159" t="s">
        <v>6027</v>
      </c>
      <c r="Q596" s="157" t="s">
        <v>2115</v>
      </c>
      <c r="R596" s="157" t="s">
        <v>8291</v>
      </c>
      <c r="S596" s="157" t="s">
        <v>8604</v>
      </c>
      <c r="T596" s="157"/>
      <c r="U596" s="159" t="s">
        <v>2129</v>
      </c>
      <c r="V596" s="159" t="s">
        <v>2129</v>
      </c>
      <c r="W596" s="159" t="s">
        <v>2138</v>
      </c>
      <c r="X596" s="160">
        <v>1</v>
      </c>
      <c r="Y596" s="160">
        <v>1</v>
      </c>
      <c r="Z596" s="160">
        <v>1</v>
      </c>
      <c r="AA596" s="160">
        <v>1</v>
      </c>
    </row>
    <row r="597" spans="1:27" ht="18" customHeight="1" x14ac:dyDescent="0.25">
      <c r="A597" s="159">
        <v>827</v>
      </c>
      <c r="B597" s="164"/>
      <c r="C597" s="164"/>
      <c r="D597" s="159"/>
      <c r="E597" s="164"/>
      <c r="F597" s="159"/>
      <c r="G597" s="157" t="s">
        <v>1321</v>
      </c>
      <c r="H597" s="157" t="s">
        <v>1330</v>
      </c>
      <c r="I597" s="157" t="s">
        <v>9569</v>
      </c>
      <c r="J597" s="157" t="s">
        <v>1324</v>
      </c>
      <c r="K597" s="157" t="s">
        <v>1269</v>
      </c>
      <c r="L597" s="157" t="s">
        <v>9570</v>
      </c>
      <c r="M597" s="157" t="str">
        <f t="shared" si="18"/>
        <v>Traction Motor Rear - Traction</v>
      </c>
      <c r="N597" s="157"/>
      <c r="O597" s="157"/>
      <c r="P597" s="159" t="s">
        <v>5061</v>
      </c>
      <c r="Q597" s="157" t="s">
        <v>2115</v>
      </c>
      <c r="R597" s="157" t="s">
        <v>9568</v>
      </c>
      <c r="S597" s="157" t="s">
        <v>9567</v>
      </c>
      <c r="T597" s="157"/>
      <c r="U597" s="159" t="s">
        <v>2129</v>
      </c>
      <c r="V597" s="159" t="s">
        <v>2129</v>
      </c>
      <c r="W597" s="159" t="s">
        <v>2138</v>
      </c>
      <c r="X597" s="160">
        <v>1</v>
      </c>
      <c r="Y597" s="160">
        <v>1</v>
      </c>
      <c r="Z597" s="160">
        <v>1</v>
      </c>
      <c r="AA597" s="160">
        <v>1</v>
      </c>
    </row>
    <row r="598" spans="1:27" ht="18" customHeight="1" x14ac:dyDescent="0.25">
      <c r="A598" s="159">
        <v>828</v>
      </c>
      <c r="B598" s="164"/>
      <c r="C598" s="164"/>
      <c r="D598" s="159"/>
      <c r="E598" s="164"/>
      <c r="F598" s="159"/>
      <c r="G598" s="157" t="s">
        <v>1321</v>
      </c>
      <c r="H598" s="157" t="s">
        <v>1330</v>
      </c>
      <c r="I598" s="157" t="s">
        <v>9569</v>
      </c>
      <c r="J598" s="157" t="s">
        <v>1434</v>
      </c>
      <c r="K598" s="157" t="s">
        <v>1269</v>
      </c>
      <c r="L598" s="157" t="s">
        <v>9571</v>
      </c>
      <c r="M598" s="157" t="str">
        <f t="shared" si="18"/>
        <v>Traction Motor Front - Traction</v>
      </c>
      <c r="N598" s="157"/>
      <c r="O598" s="157"/>
      <c r="P598" s="159" t="s">
        <v>2405</v>
      </c>
      <c r="Q598" s="157" t="s">
        <v>2115</v>
      </c>
      <c r="R598" s="157" t="s">
        <v>9568</v>
      </c>
      <c r="S598" s="157" t="s">
        <v>9567</v>
      </c>
      <c r="T598" s="157"/>
      <c r="U598" s="159" t="s">
        <v>2129</v>
      </c>
      <c r="V598" s="159" t="s">
        <v>2129</v>
      </c>
      <c r="W598" s="159" t="s">
        <v>2138</v>
      </c>
      <c r="X598" s="160">
        <v>1</v>
      </c>
      <c r="Y598" s="160">
        <v>1</v>
      </c>
      <c r="Z598" s="160">
        <v>1</v>
      </c>
      <c r="AA598" s="160">
        <v>1</v>
      </c>
    </row>
    <row r="599" spans="1:27" ht="18" customHeight="1" x14ac:dyDescent="0.25">
      <c r="A599" s="159">
        <v>829</v>
      </c>
      <c r="B599" s="157" t="s">
        <v>251</v>
      </c>
      <c r="C599" s="157" t="s">
        <v>252</v>
      </c>
      <c r="D599" s="159" t="s">
        <v>723</v>
      </c>
      <c r="E599" s="157" t="s">
        <v>721</v>
      </c>
      <c r="F599" s="161" t="s">
        <v>73</v>
      </c>
      <c r="G599" s="157" t="s">
        <v>1321</v>
      </c>
      <c r="H599" s="157" t="s">
        <v>1330</v>
      </c>
      <c r="I599" s="157" t="s">
        <v>1433</v>
      </c>
      <c r="J599" s="157" t="s">
        <v>1324</v>
      </c>
      <c r="K599" s="157" t="s">
        <v>1269</v>
      </c>
      <c r="L599" s="157" t="s">
        <v>1523</v>
      </c>
      <c r="M599" s="157" t="str">
        <f t="shared" si="18"/>
        <v>Inverter Rear - Power Convertion</v>
      </c>
      <c r="N599" s="157"/>
      <c r="O599" s="157"/>
      <c r="P599" s="159" t="s">
        <v>5433</v>
      </c>
      <c r="Q599" s="157" t="s">
        <v>2115</v>
      </c>
      <c r="R599" s="157" t="s">
        <v>9566</v>
      </c>
      <c r="S599" s="157" t="s">
        <v>9567</v>
      </c>
      <c r="T599" s="157"/>
      <c r="U599" s="159" t="s">
        <v>2129</v>
      </c>
      <c r="V599" s="159" t="s">
        <v>2129</v>
      </c>
      <c r="W599" s="159" t="s">
        <v>2138</v>
      </c>
      <c r="X599" s="160">
        <v>1</v>
      </c>
      <c r="Y599" s="160">
        <v>1</v>
      </c>
      <c r="Z599" s="160">
        <v>1</v>
      </c>
      <c r="AA599" s="160">
        <v>1</v>
      </c>
    </row>
    <row r="600" spans="1:27" ht="18" customHeight="1" x14ac:dyDescent="0.25">
      <c r="A600" s="159">
        <v>831</v>
      </c>
      <c r="B600" s="157" t="s">
        <v>251</v>
      </c>
      <c r="C600" s="157" t="s">
        <v>252</v>
      </c>
      <c r="D600" s="159" t="s">
        <v>1174</v>
      </c>
      <c r="E600" s="157" t="s">
        <v>1172</v>
      </c>
      <c r="F600" s="157"/>
      <c r="G600" s="157" t="s">
        <v>1321</v>
      </c>
      <c r="H600" s="157" t="s">
        <v>1436</v>
      </c>
      <c r="I600" s="157" t="s">
        <v>1437</v>
      </c>
      <c r="J600" s="157" t="s">
        <v>1324</v>
      </c>
      <c r="K600" s="157" t="s">
        <v>1269</v>
      </c>
      <c r="L600" s="157" t="s">
        <v>9659</v>
      </c>
      <c r="M600" s="157" t="str">
        <f t="shared" si="18"/>
        <v>Oil Pump - Rear Drive Unit - Oil Flow</v>
      </c>
      <c r="N600" s="157"/>
      <c r="O600" s="157"/>
      <c r="P600" s="159"/>
      <c r="Q600" s="157"/>
      <c r="R600" s="157"/>
      <c r="S600" s="157"/>
      <c r="T600" s="157"/>
      <c r="U600" s="159"/>
      <c r="V600" s="159"/>
      <c r="W600" s="159"/>
      <c r="X600" s="160"/>
      <c r="Y600" s="160"/>
      <c r="Z600" s="160"/>
      <c r="AA600" s="160"/>
    </row>
    <row r="601" spans="1:27" ht="18" customHeight="1" x14ac:dyDescent="0.25">
      <c r="A601" s="159">
        <v>832</v>
      </c>
      <c r="B601" s="157" t="s">
        <v>29</v>
      </c>
      <c r="C601" s="157" t="s">
        <v>30</v>
      </c>
      <c r="D601" s="159" t="s">
        <v>174</v>
      </c>
      <c r="E601" s="157" t="s">
        <v>172</v>
      </c>
      <c r="F601" s="157" t="s">
        <v>1264</v>
      </c>
      <c r="G601" s="157" t="s">
        <v>1299</v>
      </c>
      <c r="H601" s="157" t="s">
        <v>1326</v>
      </c>
      <c r="I601" s="157" t="s">
        <v>1462</v>
      </c>
      <c r="J601" s="157" t="s">
        <v>1285</v>
      </c>
      <c r="K601" s="157" t="s">
        <v>1312</v>
      </c>
      <c r="L601" s="157" t="s">
        <v>1524</v>
      </c>
      <c r="M601" s="157" t="str">
        <f t="shared" si="18"/>
        <v>Wheel Speed Sensor RL - Wheel Speed</v>
      </c>
      <c r="N601" s="157"/>
      <c r="O601" s="157"/>
      <c r="P601" s="159" t="s">
        <v>7619</v>
      </c>
      <c r="Q601" s="157" t="s">
        <v>2115</v>
      </c>
      <c r="R601" s="157" t="s">
        <v>2130</v>
      </c>
      <c r="S601" s="157" t="s">
        <v>8609</v>
      </c>
      <c r="T601" s="157" t="s">
        <v>2129</v>
      </c>
      <c r="U601" s="159" t="s">
        <v>2138</v>
      </c>
      <c r="V601" s="159" t="s">
        <v>2138</v>
      </c>
      <c r="W601" s="159" t="s">
        <v>2138</v>
      </c>
      <c r="X601" s="160">
        <v>1</v>
      </c>
      <c r="Y601" s="160">
        <v>1</v>
      </c>
      <c r="Z601" s="160">
        <v>1</v>
      </c>
      <c r="AA601" s="160">
        <v>1</v>
      </c>
    </row>
    <row r="602" spans="1:27" ht="18" customHeight="1" x14ac:dyDescent="0.25">
      <c r="A602" s="159">
        <v>832</v>
      </c>
      <c r="B602" s="157" t="s">
        <v>63</v>
      </c>
      <c r="C602" s="157" t="s">
        <v>64</v>
      </c>
      <c r="D602" s="159" t="s">
        <v>651</v>
      </c>
      <c r="E602" s="157" t="s">
        <v>649</v>
      </c>
      <c r="F602" s="157"/>
      <c r="G602" s="157" t="s">
        <v>1299</v>
      </c>
      <c r="H602" s="157" t="s">
        <v>1326</v>
      </c>
      <c r="I602" s="157" t="s">
        <v>1462</v>
      </c>
      <c r="J602" s="157" t="s">
        <v>1285</v>
      </c>
      <c r="K602" s="157" t="s">
        <v>1312</v>
      </c>
      <c r="L602" s="157" t="s">
        <v>1524</v>
      </c>
      <c r="M602" s="157" t="str">
        <f t="shared" si="18"/>
        <v>Wheel Speed Sensor RL - Wheel Speed</v>
      </c>
      <c r="N602" s="157"/>
      <c r="O602" s="157"/>
      <c r="P602" s="159" t="s">
        <v>7619</v>
      </c>
      <c r="Q602" s="157" t="s">
        <v>2115</v>
      </c>
      <c r="R602" s="157" t="s">
        <v>2130</v>
      </c>
      <c r="S602" s="157" t="s">
        <v>8609</v>
      </c>
      <c r="T602" s="157" t="s">
        <v>2129</v>
      </c>
      <c r="U602" s="159" t="s">
        <v>2138</v>
      </c>
      <c r="V602" s="159" t="s">
        <v>2138</v>
      </c>
      <c r="W602" s="159" t="s">
        <v>2138</v>
      </c>
      <c r="X602" s="160">
        <v>1</v>
      </c>
      <c r="Y602" s="160">
        <v>1</v>
      </c>
      <c r="Z602" s="160">
        <v>1</v>
      </c>
      <c r="AA602" s="160">
        <v>1</v>
      </c>
    </row>
    <row r="603" spans="1:27" ht="18" customHeight="1" x14ac:dyDescent="0.25">
      <c r="A603" s="159">
        <v>832</v>
      </c>
      <c r="B603" s="157" t="s">
        <v>63</v>
      </c>
      <c r="C603" s="157" t="s">
        <v>64</v>
      </c>
      <c r="D603" s="159" t="s">
        <v>770</v>
      </c>
      <c r="E603" s="157" t="s">
        <v>768</v>
      </c>
      <c r="F603" s="157" t="s">
        <v>1275</v>
      </c>
      <c r="G603" s="157" t="s">
        <v>1299</v>
      </c>
      <c r="H603" s="157" t="s">
        <v>1326</v>
      </c>
      <c r="I603" s="157" t="s">
        <v>1462</v>
      </c>
      <c r="J603" s="157" t="s">
        <v>1285</v>
      </c>
      <c r="K603" s="157" t="s">
        <v>1312</v>
      </c>
      <c r="L603" s="157" t="s">
        <v>1524</v>
      </c>
      <c r="M603" s="157" t="str">
        <f t="shared" si="18"/>
        <v>Wheel Speed Sensor RL - Wheel Speed</v>
      </c>
      <c r="N603" s="157"/>
      <c r="O603" s="157"/>
      <c r="P603" s="159" t="s">
        <v>7619</v>
      </c>
      <c r="Q603" s="157" t="s">
        <v>2115</v>
      </c>
      <c r="R603" s="157" t="s">
        <v>2130</v>
      </c>
      <c r="S603" s="157" t="s">
        <v>8609</v>
      </c>
      <c r="T603" s="157" t="s">
        <v>2129</v>
      </c>
      <c r="U603" s="159" t="s">
        <v>2138</v>
      </c>
      <c r="V603" s="159" t="s">
        <v>2138</v>
      </c>
      <c r="W603" s="159" t="s">
        <v>2138</v>
      </c>
      <c r="X603" s="160">
        <v>1</v>
      </c>
      <c r="Y603" s="160">
        <v>1</v>
      </c>
      <c r="Z603" s="160">
        <v>1</v>
      </c>
      <c r="AA603" s="160">
        <v>1</v>
      </c>
    </row>
    <row r="604" spans="1:27" ht="18" customHeight="1" x14ac:dyDescent="0.25">
      <c r="A604" s="159">
        <v>832</v>
      </c>
      <c r="B604" s="157" t="s">
        <v>256</v>
      </c>
      <c r="C604" s="157" t="s">
        <v>532</v>
      </c>
      <c r="D604" s="159" t="s">
        <v>535</v>
      </c>
      <c r="E604" s="157" t="s">
        <v>533</v>
      </c>
      <c r="F604" s="157"/>
      <c r="G604" s="157" t="s">
        <v>1299</v>
      </c>
      <c r="H604" s="157" t="s">
        <v>1326</v>
      </c>
      <c r="I604" s="157" t="s">
        <v>1462</v>
      </c>
      <c r="J604" s="157" t="s">
        <v>1285</v>
      </c>
      <c r="K604" s="157" t="s">
        <v>1312</v>
      </c>
      <c r="L604" s="157" t="s">
        <v>1524</v>
      </c>
      <c r="M604" s="157" t="str">
        <f t="shared" si="18"/>
        <v>Wheel Speed Sensor RL - Wheel Speed</v>
      </c>
      <c r="N604" s="157"/>
      <c r="O604" s="157"/>
      <c r="P604" s="159" t="s">
        <v>7619</v>
      </c>
      <c r="Q604" s="157" t="s">
        <v>2115</v>
      </c>
      <c r="R604" s="157" t="s">
        <v>2130</v>
      </c>
      <c r="S604" s="157" t="s">
        <v>8609</v>
      </c>
      <c r="T604" s="157" t="s">
        <v>2129</v>
      </c>
      <c r="U604" s="159" t="s">
        <v>2138</v>
      </c>
      <c r="V604" s="159" t="s">
        <v>2138</v>
      </c>
      <c r="W604" s="159" t="s">
        <v>2138</v>
      </c>
      <c r="X604" s="160">
        <v>1</v>
      </c>
      <c r="Y604" s="160">
        <v>1</v>
      </c>
      <c r="Z604" s="160">
        <v>1</v>
      </c>
      <c r="AA604" s="160">
        <v>1</v>
      </c>
    </row>
    <row r="605" spans="1:27" ht="18" customHeight="1" x14ac:dyDescent="0.25">
      <c r="A605" s="159">
        <v>832</v>
      </c>
      <c r="B605" s="157" t="s">
        <v>256</v>
      </c>
      <c r="C605" s="157" t="s">
        <v>532</v>
      </c>
      <c r="D605" s="159" t="s">
        <v>1195</v>
      </c>
      <c r="E605" s="157" t="s">
        <v>1193</v>
      </c>
      <c r="F605" s="157" t="s">
        <v>1298</v>
      </c>
      <c r="G605" s="157" t="s">
        <v>1299</v>
      </c>
      <c r="H605" s="157" t="s">
        <v>1326</v>
      </c>
      <c r="I605" s="157" t="s">
        <v>1462</v>
      </c>
      <c r="J605" s="157" t="s">
        <v>1285</v>
      </c>
      <c r="K605" s="157" t="s">
        <v>1312</v>
      </c>
      <c r="L605" s="157" t="s">
        <v>1524</v>
      </c>
      <c r="M605" s="157" t="str">
        <f t="shared" si="18"/>
        <v>Wheel Speed Sensor RL - Wheel Speed</v>
      </c>
      <c r="N605" s="157"/>
      <c r="O605" s="157"/>
      <c r="P605" s="159" t="s">
        <v>7619</v>
      </c>
      <c r="Q605" s="157" t="s">
        <v>2115</v>
      </c>
      <c r="R605" s="157" t="s">
        <v>2130</v>
      </c>
      <c r="S605" s="157" t="s">
        <v>8609</v>
      </c>
      <c r="T605" s="157" t="s">
        <v>2129</v>
      </c>
      <c r="U605" s="159" t="s">
        <v>2138</v>
      </c>
      <c r="V605" s="159" t="s">
        <v>2138</v>
      </c>
      <c r="W605" s="159" t="s">
        <v>2138</v>
      </c>
      <c r="X605" s="160">
        <v>1</v>
      </c>
      <c r="Y605" s="160">
        <v>1</v>
      </c>
      <c r="Z605" s="160">
        <v>1</v>
      </c>
      <c r="AA605" s="160">
        <v>1</v>
      </c>
    </row>
    <row r="606" spans="1:27" ht="18" customHeight="1" x14ac:dyDescent="0.25">
      <c r="A606" s="159">
        <v>832</v>
      </c>
      <c r="B606" s="157" t="s">
        <v>280</v>
      </c>
      <c r="C606" s="157" t="s">
        <v>354</v>
      </c>
      <c r="D606" s="159" t="s">
        <v>1189</v>
      </c>
      <c r="E606" s="157" t="s">
        <v>1187</v>
      </c>
      <c r="F606" s="157" t="s">
        <v>1264</v>
      </c>
      <c r="G606" s="157" t="s">
        <v>1299</v>
      </c>
      <c r="H606" s="157" t="s">
        <v>1326</v>
      </c>
      <c r="I606" s="157" t="s">
        <v>1462</v>
      </c>
      <c r="J606" s="157" t="s">
        <v>1285</v>
      </c>
      <c r="K606" s="157" t="s">
        <v>1312</v>
      </c>
      <c r="L606" s="157" t="s">
        <v>1524</v>
      </c>
      <c r="M606" s="157" t="str">
        <f t="shared" si="18"/>
        <v>Wheel Speed Sensor RL - Wheel Speed</v>
      </c>
      <c r="N606" s="157"/>
      <c r="O606" s="157"/>
      <c r="P606" s="159" t="s">
        <v>7619</v>
      </c>
      <c r="Q606" s="157" t="s">
        <v>2115</v>
      </c>
      <c r="R606" s="157" t="s">
        <v>2130</v>
      </c>
      <c r="S606" s="157" t="s">
        <v>8609</v>
      </c>
      <c r="T606" s="157" t="s">
        <v>2129</v>
      </c>
      <c r="U606" s="159" t="s">
        <v>2138</v>
      </c>
      <c r="V606" s="159" t="s">
        <v>2138</v>
      </c>
      <c r="W606" s="159" t="s">
        <v>2138</v>
      </c>
      <c r="X606" s="160">
        <v>1</v>
      </c>
      <c r="Y606" s="160">
        <v>1</v>
      </c>
      <c r="Z606" s="160">
        <v>1</v>
      </c>
      <c r="AA606" s="160">
        <v>1</v>
      </c>
    </row>
    <row r="607" spans="1:27" ht="18" customHeight="1" x14ac:dyDescent="0.25">
      <c r="A607" s="159">
        <v>833</v>
      </c>
      <c r="B607" s="157" t="s">
        <v>29</v>
      </c>
      <c r="C607" s="157" t="s">
        <v>30</v>
      </c>
      <c r="D607" s="159" t="s">
        <v>174</v>
      </c>
      <c r="E607" s="157" t="s">
        <v>172</v>
      </c>
      <c r="F607" s="157" t="s">
        <v>1264</v>
      </c>
      <c r="G607" s="157" t="s">
        <v>1299</v>
      </c>
      <c r="H607" s="157" t="s">
        <v>1326</v>
      </c>
      <c r="I607" s="157" t="s">
        <v>1462</v>
      </c>
      <c r="J607" s="157" t="s">
        <v>1285</v>
      </c>
      <c r="K607" s="157" t="s">
        <v>1312</v>
      </c>
      <c r="L607" s="157" t="s">
        <v>1525</v>
      </c>
      <c r="M607" s="157" t="str">
        <f t="shared" si="18"/>
        <v>Wheel Speed Sensor RR - Wheel Speed</v>
      </c>
      <c r="N607" s="157"/>
      <c r="O607" s="157"/>
      <c r="P607" s="159" t="s">
        <v>4122</v>
      </c>
      <c r="Q607" s="157" t="s">
        <v>2115</v>
      </c>
      <c r="R607" s="157" t="s">
        <v>2130</v>
      </c>
      <c r="S607" s="157" t="s">
        <v>8609</v>
      </c>
      <c r="T607" s="157" t="s">
        <v>2129</v>
      </c>
      <c r="U607" s="159" t="s">
        <v>2138</v>
      </c>
      <c r="V607" s="159" t="s">
        <v>2138</v>
      </c>
      <c r="W607" s="159" t="s">
        <v>2138</v>
      </c>
      <c r="X607" s="160">
        <v>1</v>
      </c>
      <c r="Y607" s="160">
        <v>1</v>
      </c>
      <c r="Z607" s="160">
        <v>1</v>
      </c>
      <c r="AA607" s="160">
        <v>1</v>
      </c>
    </row>
    <row r="608" spans="1:27" ht="18" customHeight="1" x14ac:dyDescent="0.25">
      <c r="A608" s="159">
        <v>833</v>
      </c>
      <c r="B608" s="157" t="s">
        <v>63</v>
      </c>
      <c r="C608" s="157" t="s">
        <v>64</v>
      </c>
      <c r="D608" s="159" t="s">
        <v>651</v>
      </c>
      <c r="E608" s="157" t="s">
        <v>649</v>
      </c>
      <c r="F608" s="157"/>
      <c r="G608" s="157" t="s">
        <v>1299</v>
      </c>
      <c r="H608" s="157" t="s">
        <v>1326</v>
      </c>
      <c r="I608" s="157" t="s">
        <v>1462</v>
      </c>
      <c r="J608" s="157" t="s">
        <v>1285</v>
      </c>
      <c r="K608" s="157" t="s">
        <v>1312</v>
      </c>
      <c r="L608" s="157" t="s">
        <v>1525</v>
      </c>
      <c r="M608" s="157" t="str">
        <f t="shared" si="18"/>
        <v>Wheel Speed Sensor RR - Wheel Speed</v>
      </c>
      <c r="N608" s="157"/>
      <c r="O608" s="157"/>
      <c r="P608" s="159" t="s">
        <v>4122</v>
      </c>
      <c r="Q608" s="157" t="s">
        <v>2115</v>
      </c>
      <c r="R608" s="157" t="s">
        <v>2130</v>
      </c>
      <c r="S608" s="157" t="s">
        <v>8609</v>
      </c>
      <c r="T608" s="157" t="s">
        <v>2129</v>
      </c>
      <c r="U608" s="159" t="s">
        <v>2138</v>
      </c>
      <c r="V608" s="159" t="s">
        <v>2138</v>
      </c>
      <c r="W608" s="159" t="s">
        <v>2138</v>
      </c>
      <c r="X608" s="160">
        <v>1</v>
      </c>
      <c r="Y608" s="160">
        <v>1</v>
      </c>
      <c r="Z608" s="160">
        <v>1</v>
      </c>
      <c r="AA608" s="160">
        <v>1</v>
      </c>
    </row>
    <row r="609" spans="1:27" ht="18" customHeight="1" x14ac:dyDescent="0.25">
      <c r="A609" s="159">
        <v>833</v>
      </c>
      <c r="B609" s="157" t="s">
        <v>63</v>
      </c>
      <c r="C609" s="157" t="s">
        <v>64</v>
      </c>
      <c r="D609" s="159" t="s">
        <v>770</v>
      </c>
      <c r="E609" s="157" t="s">
        <v>768</v>
      </c>
      <c r="F609" s="157" t="s">
        <v>1275</v>
      </c>
      <c r="G609" s="157" t="s">
        <v>1299</v>
      </c>
      <c r="H609" s="157" t="s">
        <v>1326</v>
      </c>
      <c r="I609" s="157" t="s">
        <v>1462</v>
      </c>
      <c r="J609" s="157" t="s">
        <v>1285</v>
      </c>
      <c r="K609" s="157" t="s">
        <v>1312</v>
      </c>
      <c r="L609" s="157" t="s">
        <v>1525</v>
      </c>
      <c r="M609" s="157" t="str">
        <f t="shared" si="18"/>
        <v>Wheel Speed Sensor RR - Wheel Speed</v>
      </c>
      <c r="N609" s="157"/>
      <c r="O609" s="157"/>
      <c r="P609" s="159" t="s">
        <v>4122</v>
      </c>
      <c r="Q609" s="157" t="s">
        <v>2115</v>
      </c>
      <c r="R609" s="157" t="s">
        <v>2130</v>
      </c>
      <c r="S609" s="157" t="s">
        <v>8609</v>
      </c>
      <c r="T609" s="157" t="s">
        <v>2129</v>
      </c>
      <c r="U609" s="159" t="s">
        <v>2138</v>
      </c>
      <c r="V609" s="159" t="s">
        <v>2138</v>
      </c>
      <c r="W609" s="159" t="s">
        <v>2138</v>
      </c>
      <c r="X609" s="160">
        <v>1</v>
      </c>
      <c r="Y609" s="160">
        <v>1</v>
      </c>
      <c r="Z609" s="160">
        <v>1</v>
      </c>
      <c r="AA609" s="160">
        <v>1</v>
      </c>
    </row>
    <row r="610" spans="1:27" ht="18" customHeight="1" x14ac:dyDescent="0.25">
      <c r="A610" s="159">
        <v>833</v>
      </c>
      <c r="B610" s="157" t="s">
        <v>256</v>
      </c>
      <c r="C610" s="157" t="s">
        <v>532</v>
      </c>
      <c r="D610" s="159" t="s">
        <v>535</v>
      </c>
      <c r="E610" s="157" t="s">
        <v>533</v>
      </c>
      <c r="F610" s="157"/>
      <c r="G610" s="157" t="s">
        <v>1299</v>
      </c>
      <c r="H610" s="157" t="s">
        <v>1326</v>
      </c>
      <c r="I610" s="157" t="s">
        <v>1462</v>
      </c>
      <c r="J610" s="157" t="s">
        <v>1285</v>
      </c>
      <c r="K610" s="157" t="s">
        <v>1312</v>
      </c>
      <c r="L610" s="157" t="s">
        <v>1525</v>
      </c>
      <c r="M610" s="157" t="str">
        <f t="shared" si="18"/>
        <v>Wheel Speed Sensor RR - Wheel Speed</v>
      </c>
      <c r="N610" s="157"/>
      <c r="O610" s="157"/>
      <c r="P610" s="159" t="s">
        <v>4122</v>
      </c>
      <c r="Q610" s="157" t="s">
        <v>2115</v>
      </c>
      <c r="R610" s="157" t="s">
        <v>2130</v>
      </c>
      <c r="S610" s="157" t="s">
        <v>8609</v>
      </c>
      <c r="T610" s="157" t="s">
        <v>2129</v>
      </c>
      <c r="U610" s="159" t="s">
        <v>2138</v>
      </c>
      <c r="V610" s="159" t="s">
        <v>2138</v>
      </c>
      <c r="W610" s="159" t="s">
        <v>2138</v>
      </c>
      <c r="X610" s="160">
        <v>1</v>
      </c>
      <c r="Y610" s="160">
        <v>1</v>
      </c>
      <c r="Z610" s="160">
        <v>1</v>
      </c>
      <c r="AA610" s="160">
        <v>1</v>
      </c>
    </row>
    <row r="611" spans="1:27" ht="18" customHeight="1" x14ac:dyDescent="0.25">
      <c r="A611" s="159">
        <v>833</v>
      </c>
      <c r="B611" s="157" t="s">
        <v>256</v>
      </c>
      <c r="C611" s="157" t="s">
        <v>532</v>
      </c>
      <c r="D611" s="159" t="s">
        <v>1195</v>
      </c>
      <c r="E611" s="157" t="s">
        <v>1193</v>
      </c>
      <c r="F611" s="157" t="s">
        <v>1298</v>
      </c>
      <c r="G611" s="157" t="s">
        <v>1299</v>
      </c>
      <c r="H611" s="157" t="s">
        <v>1326</v>
      </c>
      <c r="I611" s="157" t="s">
        <v>1462</v>
      </c>
      <c r="J611" s="157" t="s">
        <v>1285</v>
      </c>
      <c r="K611" s="157" t="s">
        <v>1312</v>
      </c>
      <c r="L611" s="157" t="s">
        <v>1525</v>
      </c>
      <c r="M611" s="157" t="str">
        <f t="shared" si="18"/>
        <v>Wheel Speed Sensor RR - Wheel Speed</v>
      </c>
      <c r="N611" s="157"/>
      <c r="O611" s="157"/>
      <c r="P611" s="159" t="s">
        <v>4122</v>
      </c>
      <c r="Q611" s="157" t="s">
        <v>2115</v>
      </c>
      <c r="R611" s="157" t="s">
        <v>2130</v>
      </c>
      <c r="S611" s="157" t="s">
        <v>8609</v>
      </c>
      <c r="T611" s="157" t="s">
        <v>2129</v>
      </c>
      <c r="U611" s="159" t="s">
        <v>2138</v>
      </c>
      <c r="V611" s="159" t="s">
        <v>2138</v>
      </c>
      <c r="W611" s="159" t="s">
        <v>2138</v>
      </c>
      <c r="X611" s="160">
        <v>1</v>
      </c>
      <c r="Y611" s="160">
        <v>1</v>
      </c>
      <c r="Z611" s="160">
        <v>1</v>
      </c>
      <c r="AA611" s="160">
        <v>1</v>
      </c>
    </row>
    <row r="612" spans="1:27" ht="18" customHeight="1" x14ac:dyDescent="0.25">
      <c r="A612" s="159">
        <v>833</v>
      </c>
      <c r="B612" s="157" t="s">
        <v>280</v>
      </c>
      <c r="C612" s="157" t="s">
        <v>354</v>
      </c>
      <c r="D612" s="159" t="s">
        <v>1189</v>
      </c>
      <c r="E612" s="157" t="s">
        <v>1187</v>
      </c>
      <c r="F612" s="157" t="s">
        <v>1264</v>
      </c>
      <c r="G612" s="157" t="s">
        <v>1299</v>
      </c>
      <c r="H612" s="157" t="s">
        <v>1326</v>
      </c>
      <c r="I612" s="157" t="s">
        <v>1462</v>
      </c>
      <c r="J612" s="157" t="s">
        <v>1285</v>
      </c>
      <c r="K612" s="157" t="s">
        <v>1312</v>
      </c>
      <c r="L612" s="157" t="s">
        <v>1525</v>
      </c>
      <c r="M612" s="157" t="str">
        <f t="shared" si="18"/>
        <v>Wheel Speed Sensor RR - Wheel Speed</v>
      </c>
      <c r="N612" s="157"/>
      <c r="O612" s="157"/>
      <c r="P612" s="159" t="s">
        <v>4122</v>
      </c>
      <c r="Q612" s="157" t="s">
        <v>2115</v>
      </c>
      <c r="R612" s="157" t="s">
        <v>2130</v>
      </c>
      <c r="S612" s="157" t="s">
        <v>8609</v>
      </c>
      <c r="T612" s="157" t="s">
        <v>2129</v>
      </c>
      <c r="U612" s="159" t="s">
        <v>2138</v>
      </c>
      <c r="V612" s="159" t="s">
        <v>2138</v>
      </c>
      <c r="W612" s="159" t="s">
        <v>2138</v>
      </c>
      <c r="X612" s="160">
        <v>1</v>
      </c>
      <c r="Y612" s="160">
        <v>1</v>
      </c>
      <c r="Z612" s="160">
        <v>1</v>
      </c>
      <c r="AA612" s="160">
        <v>1</v>
      </c>
    </row>
    <row r="613" spans="1:27" ht="18" customHeight="1" x14ac:dyDescent="0.25">
      <c r="A613" s="159">
        <v>845</v>
      </c>
      <c r="B613" s="157" t="s">
        <v>22</v>
      </c>
      <c r="C613" s="157" t="s">
        <v>40</v>
      </c>
      <c r="D613" s="159" t="s">
        <v>53</v>
      </c>
      <c r="E613" s="157" t="s">
        <v>51</v>
      </c>
      <c r="F613" s="157" t="s">
        <v>1298</v>
      </c>
      <c r="G613" s="157" t="s">
        <v>1299</v>
      </c>
      <c r="H613" s="157" t="s">
        <v>1300</v>
      </c>
      <c r="I613" s="157" t="s">
        <v>1300</v>
      </c>
      <c r="J613" s="157" t="s">
        <v>1526</v>
      </c>
      <c r="K613" s="157" t="s">
        <v>1302</v>
      </c>
      <c r="L613" s="157" t="s">
        <v>1527</v>
      </c>
      <c r="M613" s="157" t="str">
        <f t="shared" si="18"/>
        <v>Seat Airbag 1st Row L Outboard - Airbag</v>
      </c>
      <c r="N613" s="157"/>
      <c r="O613" s="157"/>
      <c r="P613" s="159" t="s">
        <v>7582</v>
      </c>
      <c r="Q613" s="157" t="s">
        <v>2115</v>
      </c>
      <c r="R613" s="157" t="s">
        <v>2118</v>
      </c>
      <c r="S613" s="157" t="s">
        <v>2119</v>
      </c>
      <c r="T613" s="157"/>
      <c r="U613" s="159" t="s">
        <v>2129</v>
      </c>
      <c r="V613" s="159" t="s">
        <v>2129</v>
      </c>
      <c r="W613" s="159" t="s">
        <v>2138</v>
      </c>
      <c r="X613" s="160">
        <v>0</v>
      </c>
      <c r="Y613" s="160">
        <v>0</v>
      </c>
      <c r="Z613" s="160">
        <v>0</v>
      </c>
      <c r="AA613" s="160">
        <v>0</v>
      </c>
    </row>
    <row r="614" spans="1:27" ht="18" customHeight="1" x14ac:dyDescent="0.25">
      <c r="A614" s="159">
        <v>846</v>
      </c>
      <c r="B614" s="157" t="s">
        <v>22</v>
      </c>
      <c r="C614" s="157" t="s">
        <v>132</v>
      </c>
      <c r="D614" s="159" t="s">
        <v>217</v>
      </c>
      <c r="E614" s="157" t="s">
        <v>215</v>
      </c>
      <c r="F614" s="157" t="s">
        <v>1264</v>
      </c>
      <c r="G614" s="157" t="s">
        <v>1299</v>
      </c>
      <c r="H614" s="157" t="s">
        <v>1300</v>
      </c>
      <c r="I614" s="157" t="s">
        <v>1311</v>
      </c>
      <c r="J614" s="157" t="s">
        <v>1285</v>
      </c>
      <c r="K614" s="157" t="s">
        <v>1312</v>
      </c>
      <c r="L614" s="157" t="s">
        <v>1486</v>
      </c>
      <c r="M614" s="157" t="str">
        <f t="shared" si="18"/>
        <v>Seat Belt Sensor 1st Row L - Seat Belt</v>
      </c>
      <c r="N614" s="157"/>
      <c r="O614" s="157"/>
      <c r="P614" s="159" t="s">
        <v>5859</v>
      </c>
      <c r="Q614" s="157" t="s">
        <v>2115</v>
      </c>
      <c r="R614" s="157" t="s">
        <v>2142</v>
      </c>
      <c r="S614" s="157" t="s">
        <v>8608</v>
      </c>
      <c r="T614" s="157" t="s">
        <v>2129</v>
      </c>
      <c r="U614" s="159" t="s">
        <v>2138</v>
      </c>
      <c r="V614" s="159" t="s">
        <v>2138</v>
      </c>
      <c r="W614" s="159" t="s">
        <v>2129</v>
      </c>
      <c r="X614" s="160">
        <v>1</v>
      </c>
      <c r="Y614" s="160">
        <v>1</v>
      </c>
      <c r="Z614" s="160">
        <v>1</v>
      </c>
      <c r="AA614" s="160">
        <v>1</v>
      </c>
    </row>
    <row r="615" spans="1:27" ht="18" customHeight="1" x14ac:dyDescent="0.25">
      <c r="A615" s="159">
        <v>1006</v>
      </c>
      <c r="B615" s="157" t="s">
        <v>57</v>
      </c>
      <c r="C615" s="157" t="s">
        <v>349</v>
      </c>
      <c r="D615" s="159" t="s">
        <v>453</v>
      </c>
      <c r="E615" s="157" t="s">
        <v>451</v>
      </c>
      <c r="F615" s="157" t="s">
        <v>1381</v>
      </c>
      <c r="G615" s="157" t="s">
        <v>1321</v>
      </c>
      <c r="H615" s="157" t="s">
        <v>2022</v>
      </c>
      <c r="I615" s="157" t="s">
        <v>1529</v>
      </c>
      <c r="J615" s="157" t="s">
        <v>1324</v>
      </c>
      <c r="K615" s="157" t="s">
        <v>1269</v>
      </c>
      <c r="L615" s="157" t="s">
        <v>8437</v>
      </c>
      <c r="M615" s="157" t="str">
        <f t="shared" si="18"/>
        <v>Cooling Fan Motor 400W - Radiator Ventilation</v>
      </c>
      <c r="N615" s="157"/>
      <c r="O615" s="157"/>
      <c r="P615" s="167" t="s">
        <v>3434</v>
      </c>
      <c r="Q615" s="157" t="s">
        <v>2115</v>
      </c>
      <c r="R615" s="157" t="s">
        <v>2117</v>
      </c>
      <c r="S615" s="157" t="s">
        <v>8622</v>
      </c>
      <c r="T615" s="157"/>
      <c r="U615" s="159" t="s">
        <v>2138</v>
      </c>
      <c r="V615" s="159" t="s">
        <v>2129</v>
      </c>
      <c r="W615" s="159" t="s">
        <v>2129</v>
      </c>
      <c r="X615" s="160">
        <v>0.8</v>
      </c>
      <c r="Y615" s="160">
        <v>0.3</v>
      </c>
      <c r="Z615" s="160">
        <v>0.6</v>
      </c>
      <c r="AA615" s="160">
        <v>0.4</v>
      </c>
    </row>
    <row r="616" spans="1:27" ht="18" customHeight="1" x14ac:dyDescent="0.25">
      <c r="A616" s="159">
        <v>1006</v>
      </c>
      <c r="B616" s="157" t="s">
        <v>57</v>
      </c>
      <c r="C616" s="157" t="s">
        <v>349</v>
      </c>
      <c r="D616" s="159" t="s">
        <v>454</v>
      </c>
      <c r="E616" s="157" t="s">
        <v>700</v>
      </c>
      <c r="F616" s="157" t="s">
        <v>1264</v>
      </c>
      <c r="G616" s="157" t="s">
        <v>1321</v>
      </c>
      <c r="H616" s="157" t="s">
        <v>2022</v>
      </c>
      <c r="I616" s="157" t="s">
        <v>1529</v>
      </c>
      <c r="J616" s="157" t="s">
        <v>1324</v>
      </c>
      <c r="K616" s="157" t="s">
        <v>1269</v>
      </c>
      <c r="L616" s="157" t="s">
        <v>8437</v>
      </c>
      <c r="M616" s="157" t="str">
        <f t="shared" si="18"/>
        <v>Cooling Fan Motor 400W - Radiator Ventilation</v>
      </c>
      <c r="N616" s="157"/>
      <c r="O616" s="157"/>
      <c r="P616" s="167" t="s">
        <v>3434</v>
      </c>
      <c r="Q616" s="157" t="s">
        <v>2115</v>
      </c>
      <c r="R616" s="157" t="s">
        <v>2117</v>
      </c>
      <c r="S616" s="157" t="s">
        <v>8622</v>
      </c>
      <c r="T616" s="157"/>
      <c r="U616" s="159" t="s">
        <v>2138</v>
      </c>
      <c r="V616" s="159" t="s">
        <v>2129</v>
      </c>
      <c r="W616" s="159" t="s">
        <v>2129</v>
      </c>
      <c r="X616" s="160">
        <v>0.8</v>
      </c>
      <c r="Y616" s="160">
        <v>0.3</v>
      </c>
      <c r="Z616" s="160">
        <v>0.6</v>
      </c>
      <c r="AA616" s="160">
        <v>0.4</v>
      </c>
    </row>
    <row r="617" spans="1:27" ht="18" customHeight="1" x14ac:dyDescent="0.25">
      <c r="A617" s="159">
        <v>1011</v>
      </c>
      <c r="B617" s="157" t="s">
        <v>63</v>
      </c>
      <c r="C617" s="157" t="s">
        <v>64</v>
      </c>
      <c r="D617" s="159" t="s">
        <v>326</v>
      </c>
      <c r="E617" s="157" t="s">
        <v>324</v>
      </c>
      <c r="F617" s="157" t="s">
        <v>1381</v>
      </c>
      <c r="G617" s="157" t="s">
        <v>1321</v>
      </c>
      <c r="H617" s="157" t="s">
        <v>1322</v>
      </c>
      <c r="I617" s="157" t="s">
        <v>1530</v>
      </c>
      <c r="J617" s="157" t="s">
        <v>1324</v>
      </c>
      <c r="K617" s="157" t="s">
        <v>1530</v>
      </c>
      <c r="L617" s="157" t="s">
        <v>1530</v>
      </c>
      <c r="M617" s="157" t="str">
        <f t="shared" si="18"/>
        <v>Inlet - Inlet</v>
      </c>
      <c r="N617" s="157"/>
      <c r="O617" s="157"/>
      <c r="P617" s="159"/>
      <c r="Q617" s="157"/>
      <c r="R617" s="157"/>
      <c r="S617" s="157"/>
      <c r="T617" s="157"/>
      <c r="U617" s="159"/>
      <c r="V617" s="159"/>
      <c r="W617" s="159"/>
      <c r="X617" s="160"/>
      <c r="Y617" s="160"/>
      <c r="Z617" s="160"/>
      <c r="AA617" s="160"/>
    </row>
    <row r="618" spans="1:27" ht="18" customHeight="1" x14ac:dyDescent="0.25">
      <c r="A618" s="159">
        <v>1011</v>
      </c>
      <c r="B618" s="157" t="s">
        <v>63</v>
      </c>
      <c r="C618" s="157" t="s">
        <v>64</v>
      </c>
      <c r="D618" s="159" t="s">
        <v>755</v>
      </c>
      <c r="E618" s="157" t="s">
        <v>753</v>
      </c>
      <c r="F618" s="157"/>
      <c r="G618" s="157" t="s">
        <v>1321</v>
      </c>
      <c r="H618" s="157" t="s">
        <v>1322</v>
      </c>
      <c r="I618" s="157" t="s">
        <v>1530</v>
      </c>
      <c r="J618" s="157" t="s">
        <v>1324</v>
      </c>
      <c r="K618" s="157" t="s">
        <v>1530</v>
      </c>
      <c r="L618" s="157" t="s">
        <v>1530</v>
      </c>
      <c r="M618" s="157" t="str">
        <f t="shared" si="18"/>
        <v>Inlet - Inlet</v>
      </c>
      <c r="N618" s="157"/>
      <c r="O618" s="157"/>
      <c r="P618" s="159"/>
      <c r="Q618" s="157"/>
      <c r="R618" s="157"/>
      <c r="S618" s="157"/>
      <c r="T618" s="157"/>
      <c r="U618" s="159"/>
      <c r="V618" s="159"/>
      <c r="W618" s="159"/>
      <c r="X618" s="160"/>
      <c r="Y618" s="160"/>
      <c r="Z618" s="160"/>
      <c r="AA618" s="160"/>
    </row>
    <row r="619" spans="1:27" ht="18" customHeight="1" x14ac:dyDescent="0.25">
      <c r="A619" s="159">
        <v>1011</v>
      </c>
      <c r="B619" s="157" t="s">
        <v>63</v>
      </c>
      <c r="C619" s="157" t="s">
        <v>64</v>
      </c>
      <c r="D619" s="159" t="s">
        <v>758</v>
      </c>
      <c r="E619" s="157" t="s">
        <v>756</v>
      </c>
      <c r="F619" s="157" t="s">
        <v>1277</v>
      </c>
      <c r="G619" s="157" t="s">
        <v>1321</v>
      </c>
      <c r="H619" s="157" t="s">
        <v>1322</v>
      </c>
      <c r="I619" s="157" t="s">
        <v>1530</v>
      </c>
      <c r="J619" s="157" t="s">
        <v>1324</v>
      </c>
      <c r="K619" s="157" t="s">
        <v>1530</v>
      </c>
      <c r="L619" s="157" t="s">
        <v>1530</v>
      </c>
      <c r="M619" s="157" t="str">
        <f t="shared" si="18"/>
        <v>Inlet - Inlet</v>
      </c>
      <c r="N619" s="157"/>
      <c r="O619" s="157"/>
      <c r="P619" s="159"/>
      <c r="Q619" s="157"/>
      <c r="R619" s="157"/>
      <c r="S619" s="157"/>
      <c r="T619" s="157"/>
      <c r="U619" s="159"/>
      <c r="V619" s="159"/>
      <c r="W619" s="159"/>
      <c r="X619" s="160"/>
      <c r="Y619" s="160"/>
      <c r="Z619" s="160"/>
      <c r="AA619" s="160"/>
    </row>
    <row r="620" spans="1:27" ht="18" customHeight="1" x14ac:dyDescent="0.25">
      <c r="A620" s="159">
        <v>1011</v>
      </c>
      <c r="B620" s="157" t="s">
        <v>199</v>
      </c>
      <c r="C620" s="157" t="s">
        <v>485</v>
      </c>
      <c r="D620" s="159" t="s">
        <v>942</v>
      </c>
      <c r="E620" s="157" t="s">
        <v>940</v>
      </c>
      <c r="F620" s="157" t="s">
        <v>1264</v>
      </c>
      <c r="G620" s="157" t="s">
        <v>1321</v>
      </c>
      <c r="H620" s="157" t="s">
        <v>1322</v>
      </c>
      <c r="I620" s="157" t="s">
        <v>1530</v>
      </c>
      <c r="J620" s="157" t="s">
        <v>1324</v>
      </c>
      <c r="K620" s="157" t="s">
        <v>1530</v>
      </c>
      <c r="L620" s="157" t="s">
        <v>1530</v>
      </c>
      <c r="M620" s="157" t="str">
        <f t="shared" si="18"/>
        <v>Inlet - Inlet</v>
      </c>
      <c r="N620" s="157"/>
      <c r="O620" s="157"/>
      <c r="P620" s="159"/>
      <c r="Q620" s="157"/>
      <c r="R620" s="157"/>
      <c r="S620" s="157"/>
      <c r="T620" s="157"/>
      <c r="U620" s="159"/>
      <c r="V620" s="159"/>
      <c r="W620" s="159"/>
      <c r="X620" s="160"/>
      <c r="Y620" s="160"/>
      <c r="Z620" s="160"/>
      <c r="AA620" s="160"/>
    </row>
    <row r="621" spans="1:27" ht="18" customHeight="1" x14ac:dyDescent="0.25">
      <c r="A621" s="159">
        <v>1011</v>
      </c>
      <c r="B621" s="157" t="s">
        <v>199</v>
      </c>
      <c r="C621" s="157" t="s">
        <v>455</v>
      </c>
      <c r="D621" s="159" t="s">
        <v>458</v>
      </c>
      <c r="E621" s="157" t="s">
        <v>456</v>
      </c>
      <c r="F621" s="157" t="s">
        <v>1320</v>
      </c>
      <c r="G621" s="157" t="s">
        <v>1321</v>
      </c>
      <c r="H621" s="157" t="s">
        <v>1322</v>
      </c>
      <c r="I621" s="157" t="s">
        <v>1530</v>
      </c>
      <c r="J621" s="157" t="s">
        <v>1324</v>
      </c>
      <c r="K621" s="157" t="s">
        <v>1530</v>
      </c>
      <c r="L621" s="157" t="s">
        <v>1530</v>
      </c>
      <c r="M621" s="157" t="str">
        <f t="shared" si="18"/>
        <v>Inlet - Inlet</v>
      </c>
      <c r="N621" s="157"/>
      <c r="O621" s="157"/>
      <c r="P621" s="159"/>
      <c r="Q621" s="157"/>
      <c r="R621" s="157"/>
      <c r="S621" s="157"/>
      <c r="T621" s="157"/>
      <c r="U621" s="159"/>
      <c r="V621" s="159"/>
      <c r="W621" s="159"/>
      <c r="X621" s="160"/>
      <c r="Y621" s="160"/>
      <c r="Z621" s="160"/>
      <c r="AA621" s="160"/>
    </row>
    <row r="622" spans="1:27" ht="18" customHeight="1" x14ac:dyDescent="0.25">
      <c r="A622" s="159">
        <v>1011</v>
      </c>
      <c r="B622" s="157" t="s">
        <v>199</v>
      </c>
      <c r="C622" s="157" t="s">
        <v>455</v>
      </c>
      <c r="D622" s="159" t="s">
        <v>811</v>
      </c>
      <c r="E622" s="157" t="s">
        <v>809</v>
      </c>
      <c r="F622" s="157" t="s">
        <v>1320</v>
      </c>
      <c r="G622" s="157" t="s">
        <v>1321</v>
      </c>
      <c r="H622" s="157" t="s">
        <v>1322</v>
      </c>
      <c r="I622" s="157" t="s">
        <v>1530</v>
      </c>
      <c r="J622" s="157" t="s">
        <v>1324</v>
      </c>
      <c r="K622" s="157" t="s">
        <v>1530</v>
      </c>
      <c r="L622" s="157" t="s">
        <v>1530</v>
      </c>
      <c r="M622" s="157" t="str">
        <f t="shared" si="18"/>
        <v>Inlet - Inlet</v>
      </c>
      <c r="N622" s="157"/>
      <c r="O622" s="157"/>
      <c r="P622" s="159"/>
      <c r="Q622" s="157"/>
      <c r="R622" s="157"/>
      <c r="S622" s="157"/>
      <c r="T622" s="157"/>
      <c r="U622" s="159"/>
      <c r="V622" s="159"/>
      <c r="W622" s="159"/>
      <c r="X622" s="160"/>
      <c r="Y622" s="160"/>
      <c r="Z622" s="160"/>
      <c r="AA622" s="160"/>
    </row>
    <row r="623" spans="1:27" ht="18" customHeight="1" x14ac:dyDescent="0.25">
      <c r="A623" s="159">
        <v>1041</v>
      </c>
      <c r="B623" s="157" t="s">
        <v>280</v>
      </c>
      <c r="C623" s="157" t="s">
        <v>337</v>
      </c>
      <c r="D623" s="159" t="s">
        <v>1088</v>
      </c>
      <c r="E623" s="157" t="s">
        <v>1086</v>
      </c>
      <c r="F623" s="157" t="s">
        <v>1010</v>
      </c>
      <c r="G623" s="157" t="s">
        <v>1265</v>
      </c>
      <c r="H623" s="157" t="s">
        <v>1531</v>
      </c>
      <c r="I623" s="157" t="s">
        <v>1534</v>
      </c>
      <c r="J623" s="157" t="s">
        <v>1532</v>
      </c>
      <c r="K623" s="157" t="s">
        <v>1312</v>
      </c>
      <c r="L623" s="157" t="s">
        <v>1535</v>
      </c>
      <c r="M623" s="157" t="str">
        <f t="shared" si="18"/>
        <v>Card Reader - Card Reading</v>
      </c>
      <c r="N623" s="157"/>
      <c r="O623" s="157" t="s">
        <v>1010</v>
      </c>
      <c r="P623" s="159" t="s">
        <v>4434</v>
      </c>
      <c r="Q623" s="157"/>
      <c r="R623" s="157"/>
      <c r="S623" s="157"/>
      <c r="T623" s="157"/>
      <c r="U623" s="159" t="s">
        <v>2129</v>
      </c>
      <c r="V623" s="159" t="s">
        <v>2129</v>
      </c>
      <c r="W623" s="159" t="s">
        <v>2129</v>
      </c>
      <c r="X623" s="160">
        <v>1</v>
      </c>
      <c r="Y623" s="160">
        <v>1</v>
      </c>
      <c r="Z623" s="160">
        <v>1</v>
      </c>
      <c r="AA623" s="160">
        <v>1</v>
      </c>
    </row>
    <row r="624" spans="1:27" ht="18" customHeight="1" x14ac:dyDescent="0.25">
      <c r="A624" s="159">
        <v>1042</v>
      </c>
      <c r="B624" s="157" t="s">
        <v>29</v>
      </c>
      <c r="C624" s="157" t="s">
        <v>386</v>
      </c>
      <c r="D624" s="159" t="s">
        <v>389</v>
      </c>
      <c r="E624" s="157" t="s">
        <v>387</v>
      </c>
      <c r="F624" s="157" t="s">
        <v>1277</v>
      </c>
      <c r="G624" s="157" t="s">
        <v>1536</v>
      </c>
      <c r="H624" s="157" t="s">
        <v>1537</v>
      </c>
      <c r="I624" s="157" t="s">
        <v>1538</v>
      </c>
      <c r="J624" s="157" t="s">
        <v>1539</v>
      </c>
      <c r="K624" s="157" t="s">
        <v>1269</v>
      </c>
      <c r="L624" s="157" t="s">
        <v>1330</v>
      </c>
      <c r="M624" s="157" t="str">
        <f t="shared" si="18"/>
        <v>Motor - Sun Roof Opening and Closing</v>
      </c>
      <c r="N624" s="157"/>
      <c r="O624" s="157"/>
      <c r="P624" s="159" t="s">
        <v>5769</v>
      </c>
      <c r="Q624" s="157"/>
      <c r="R624" s="157"/>
      <c r="S624" s="157"/>
      <c r="T624" s="157"/>
      <c r="U624" s="159" t="s">
        <v>2129</v>
      </c>
      <c r="V624" s="159" t="s">
        <v>2129</v>
      </c>
      <c r="W624" s="159" t="s">
        <v>2138</v>
      </c>
      <c r="X624" s="160">
        <f>(2*15/60)/20</f>
        <v>2.5000000000000001E-2</v>
      </c>
      <c r="Y624" s="160">
        <v>0</v>
      </c>
      <c r="Z624" s="160">
        <v>0</v>
      </c>
      <c r="AA624" s="160">
        <v>0</v>
      </c>
    </row>
    <row r="625" spans="1:27" ht="18" customHeight="1" x14ac:dyDescent="0.25">
      <c r="A625" s="159">
        <v>1061</v>
      </c>
      <c r="B625" s="157" t="s">
        <v>29</v>
      </c>
      <c r="C625" s="157" t="s">
        <v>82</v>
      </c>
      <c r="D625" s="159" t="s">
        <v>116</v>
      </c>
      <c r="E625" s="157" t="s">
        <v>114</v>
      </c>
      <c r="F625" s="157" t="s">
        <v>1264</v>
      </c>
      <c r="G625" s="157" t="s">
        <v>1278</v>
      </c>
      <c r="H625" s="157" t="s">
        <v>1292</v>
      </c>
      <c r="I625" s="157" t="s">
        <v>9780</v>
      </c>
      <c r="J625" s="157" t="s">
        <v>8244</v>
      </c>
      <c r="K625" s="157" t="s">
        <v>1269</v>
      </c>
      <c r="L625" s="157" t="s">
        <v>8252</v>
      </c>
      <c r="M625" s="157" t="str">
        <f t="shared" si="18"/>
        <v>Outer Rear View Mirror Assembly Right - Mirror Positioning Right</v>
      </c>
      <c r="N625" s="164"/>
      <c r="O625" s="165"/>
      <c r="P625" s="159" t="s">
        <v>3692</v>
      </c>
      <c r="Q625" s="157"/>
      <c r="R625" s="157"/>
      <c r="S625" s="157"/>
      <c r="T625" s="157"/>
      <c r="U625" s="159" t="s">
        <v>2138</v>
      </c>
      <c r="V625" s="159" t="s">
        <v>2138</v>
      </c>
      <c r="W625" s="159" t="s">
        <v>2138</v>
      </c>
      <c r="X625" s="160">
        <v>0</v>
      </c>
      <c r="Y625" s="160">
        <v>0</v>
      </c>
      <c r="Z625" s="160">
        <v>0</v>
      </c>
      <c r="AA625" s="160">
        <v>0</v>
      </c>
    </row>
    <row r="626" spans="1:27" ht="18" customHeight="1" x14ac:dyDescent="0.25">
      <c r="A626" s="159">
        <v>1061</v>
      </c>
      <c r="B626" s="157" t="s">
        <v>29</v>
      </c>
      <c r="C626" s="157" t="s">
        <v>113</v>
      </c>
      <c r="D626" s="159" t="s">
        <v>116</v>
      </c>
      <c r="E626" s="157" t="s">
        <v>114</v>
      </c>
      <c r="F626" s="157" t="s">
        <v>1264</v>
      </c>
      <c r="G626" s="157" t="s">
        <v>1278</v>
      </c>
      <c r="H626" s="157" t="s">
        <v>1292</v>
      </c>
      <c r="I626" s="157" t="s">
        <v>9780</v>
      </c>
      <c r="J626" s="157" t="s">
        <v>8244</v>
      </c>
      <c r="K626" s="157" t="s">
        <v>1269</v>
      </c>
      <c r="L626" s="157" t="s">
        <v>8252</v>
      </c>
      <c r="M626" s="157" t="str">
        <f t="shared" si="18"/>
        <v>Outer Rear View Mirror Assembly Right - Mirror Positioning Right</v>
      </c>
      <c r="N626" s="164"/>
      <c r="O626" s="165"/>
      <c r="P626" s="159" t="s">
        <v>3692</v>
      </c>
      <c r="Q626" s="157"/>
      <c r="R626" s="157"/>
      <c r="S626" s="157"/>
      <c r="T626" s="157"/>
      <c r="U626" s="159" t="s">
        <v>2138</v>
      </c>
      <c r="V626" s="159" t="s">
        <v>2138</v>
      </c>
      <c r="W626" s="159" t="s">
        <v>2138</v>
      </c>
      <c r="X626" s="160">
        <v>0.1</v>
      </c>
      <c r="Y626" s="160">
        <v>0.1</v>
      </c>
      <c r="Z626" s="160">
        <v>0.1</v>
      </c>
      <c r="AA626" s="160">
        <v>0.1</v>
      </c>
    </row>
    <row r="627" spans="1:27" ht="18" customHeight="1" x14ac:dyDescent="0.25">
      <c r="A627" s="159">
        <v>1061</v>
      </c>
      <c r="B627" s="157" t="s">
        <v>29</v>
      </c>
      <c r="C627" s="157" t="s">
        <v>113</v>
      </c>
      <c r="D627" s="159" t="s">
        <v>119</v>
      </c>
      <c r="E627" s="157" t="s">
        <v>117</v>
      </c>
      <c r="F627" s="157" t="s">
        <v>1264</v>
      </c>
      <c r="G627" s="157" t="s">
        <v>1278</v>
      </c>
      <c r="H627" s="157" t="s">
        <v>1292</v>
      </c>
      <c r="I627" s="157" t="s">
        <v>9776</v>
      </c>
      <c r="J627" s="157" t="s">
        <v>8244</v>
      </c>
      <c r="K627" s="157" t="s">
        <v>1269</v>
      </c>
      <c r="L627" s="157" t="s">
        <v>8252</v>
      </c>
      <c r="M627" s="157" t="str">
        <f t="shared" si="18"/>
        <v>Outer Rear View Mirror Assembly Right - Foldable Mirror Right</v>
      </c>
      <c r="N627" s="164"/>
      <c r="O627" s="165"/>
      <c r="P627" s="159" t="s">
        <v>3692</v>
      </c>
      <c r="Q627" s="157"/>
      <c r="R627" s="157"/>
      <c r="S627" s="157"/>
      <c r="T627" s="157"/>
      <c r="U627" s="159" t="s">
        <v>2129</v>
      </c>
      <c r="V627" s="159" t="s">
        <v>2138</v>
      </c>
      <c r="W627" s="159" t="s">
        <v>2138</v>
      </c>
      <c r="X627" s="160">
        <v>0</v>
      </c>
      <c r="Y627" s="160">
        <v>0</v>
      </c>
      <c r="Z627" s="160">
        <v>0</v>
      </c>
      <c r="AA627" s="160">
        <v>0</v>
      </c>
    </row>
    <row r="628" spans="1:27" ht="18" customHeight="1" x14ac:dyDescent="0.25">
      <c r="A628" s="159">
        <v>1061</v>
      </c>
      <c r="B628" s="157" t="s">
        <v>29</v>
      </c>
      <c r="C628" s="157" t="s">
        <v>30</v>
      </c>
      <c r="D628" s="159" t="s">
        <v>96</v>
      </c>
      <c r="E628" s="157" t="s">
        <v>402</v>
      </c>
      <c r="F628" s="157" t="s">
        <v>1275</v>
      </c>
      <c r="G628" s="157" t="s">
        <v>1278</v>
      </c>
      <c r="H628" s="157" t="s">
        <v>1292</v>
      </c>
      <c r="I628" s="157" t="s">
        <v>9782</v>
      </c>
      <c r="J628" s="157" t="s">
        <v>8244</v>
      </c>
      <c r="K628" s="157" t="s">
        <v>1269</v>
      </c>
      <c r="L628" s="157" t="s">
        <v>8252</v>
      </c>
      <c r="M628" s="157" t="str">
        <f t="shared" si="18"/>
        <v>Outer Rear View Mirror Assembly Right - Side Turn Signal Right</v>
      </c>
      <c r="N628" s="164"/>
      <c r="O628" s="165"/>
      <c r="P628" s="159" t="s">
        <v>3692</v>
      </c>
      <c r="Q628" s="157"/>
      <c r="R628" s="157"/>
      <c r="S628" s="157"/>
      <c r="T628" s="157"/>
      <c r="U628" s="159" t="s">
        <v>2138</v>
      </c>
      <c r="V628" s="159" t="s">
        <v>2138</v>
      </c>
      <c r="W628" s="159" t="s">
        <v>2138</v>
      </c>
      <c r="X628" s="160">
        <v>0.3</v>
      </c>
      <c r="Y628" s="160">
        <v>0.1</v>
      </c>
      <c r="Z628" s="160">
        <v>0.3</v>
      </c>
      <c r="AA628" s="160">
        <v>0.1</v>
      </c>
    </row>
    <row r="629" spans="1:27" ht="18" customHeight="1" x14ac:dyDescent="0.25">
      <c r="A629" s="159">
        <v>1061</v>
      </c>
      <c r="B629" s="157" t="s">
        <v>29</v>
      </c>
      <c r="C629" s="157" t="s">
        <v>30</v>
      </c>
      <c r="D629" s="165" t="s">
        <v>866</v>
      </c>
      <c r="E629" s="164" t="s">
        <v>8246</v>
      </c>
      <c r="F629" s="157" t="s">
        <v>1264</v>
      </c>
      <c r="G629" s="157" t="s">
        <v>1278</v>
      </c>
      <c r="H629" s="157" t="s">
        <v>1292</v>
      </c>
      <c r="I629" s="157" t="s">
        <v>9784</v>
      </c>
      <c r="J629" s="157" t="s">
        <v>8244</v>
      </c>
      <c r="K629" s="157" t="s">
        <v>1269</v>
      </c>
      <c r="L629" s="157" t="s">
        <v>8252</v>
      </c>
      <c r="M629" s="157" t="str">
        <f t="shared" si="18"/>
        <v>Outer Rear View Mirror Assembly Right - Puddle Illumination/Projection Right</v>
      </c>
      <c r="N629" s="164"/>
      <c r="O629" s="165"/>
      <c r="P629" s="159" t="s">
        <v>3692</v>
      </c>
      <c r="Q629" s="157"/>
      <c r="R629" s="157"/>
      <c r="S629" s="157"/>
      <c r="T629" s="157"/>
      <c r="U629" s="159" t="s">
        <v>2129</v>
      </c>
      <c r="V629" s="159" t="s">
        <v>2138</v>
      </c>
      <c r="W629" s="159" t="s">
        <v>2129</v>
      </c>
      <c r="X629" s="160">
        <v>0</v>
      </c>
      <c r="Y629" s="160">
        <v>0</v>
      </c>
      <c r="Z629" s="160">
        <v>0</v>
      </c>
      <c r="AA629" s="160">
        <v>0</v>
      </c>
    </row>
    <row r="630" spans="1:27" ht="18" customHeight="1" x14ac:dyDescent="0.25">
      <c r="A630" s="159">
        <v>1061</v>
      </c>
      <c r="B630" s="157" t="s">
        <v>29</v>
      </c>
      <c r="C630" s="157" t="s">
        <v>120</v>
      </c>
      <c r="D630" s="159" t="s">
        <v>123</v>
      </c>
      <c r="E630" s="157" t="s">
        <v>121</v>
      </c>
      <c r="F630" s="157" t="s">
        <v>1264</v>
      </c>
      <c r="G630" s="157" t="s">
        <v>1278</v>
      </c>
      <c r="H630" s="157" t="s">
        <v>1292</v>
      </c>
      <c r="I630" s="157" t="s">
        <v>9788</v>
      </c>
      <c r="J630" s="157" t="s">
        <v>8244</v>
      </c>
      <c r="K630" s="157" t="s">
        <v>1269</v>
      </c>
      <c r="L630" s="157" t="s">
        <v>8252</v>
      </c>
      <c r="M630" s="157" t="str">
        <f t="shared" si="18"/>
        <v>Outer Rear View Mirror Assembly Right - Mirror Heating Right</v>
      </c>
      <c r="N630" s="164"/>
      <c r="O630" s="165"/>
      <c r="P630" s="159" t="s">
        <v>3692</v>
      </c>
      <c r="Q630" s="157"/>
      <c r="R630" s="157"/>
      <c r="S630" s="157"/>
      <c r="T630" s="157"/>
      <c r="U630" s="159" t="s">
        <v>2129</v>
      </c>
      <c r="V630" s="159" t="s">
        <v>2138</v>
      </c>
      <c r="W630" s="159" t="s">
        <v>2138</v>
      </c>
      <c r="X630" s="160">
        <v>0</v>
      </c>
      <c r="Y630" s="160">
        <f>5/20</f>
        <v>0.25</v>
      </c>
      <c r="Z630" s="160">
        <f>5/20</f>
        <v>0.25</v>
      </c>
      <c r="AA630" s="160">
        <v>0</v>
      </c>
    </row>
    <row r="631" spans="1:27" ht="18" customHeight="1" x14ac:dyDescent="0.25">
      <c r="A631" s="159">
        <v>1061</v>
      </c>
      <c r="B631" s="157" t="s">
        <v>77</v>
      </c>
      <c r="C631" s="157" t="s">
        <v>78</v>
      </c>
      <c r="D631" s="159" t="s">
        <v>109</v>
      </c>
      <c r="E631" s="157" t="s">
        <v>107</v>
      </c>
      <c r="F631" s="157" t="s">
        <v>1264</v>
      </c>
      <c r="G631" s="157" t="s">
        <v>1278</v>
      </c>
      <c r="H631" s="157" t="s">
        <v>1292</v>
      </c>
      <c r="I631" s="157" t="s">
        <v>9786</v>
      </c>
      <c r="J631" s="157" t="s">
        <v>8244</v>
      </c>
      <c r="K631" s="157" t="s">
        <v>1269</v>
      </c>
      <c r="L631" s="157" t="s">
        <v>8252</v>
      </c>
      <c r="M631" s="157" t="str">
        <f t="shared" si="18"/>
        <v>Outer Rear View Mirror Assembly Right - Mirror Dimming Right</v>
      </c>
      <c r="N631" s="164"/>
      <c r="O631" s="165"/>
      <c r="P631" s="159" t="s">
        <v>3692</v>
      </c>
      <c r="Q631" s="157"/>
      <c r="R631" s="157"/>
      <c r="S631" s="157"/>
      <c r="T631" s="157"/>
      <c r="U631" s="159" t="s">
        <v>2129</v>
      </c>
      <c r="V631" s="159" t="s">
        <v>2129</v>
      </c>
      <c r="W631" s="159" t="s">
        <v>2138</v>
      </c>
      <c r="X631" s="160">
        <v>0</v>
      </c>
      <c r="Y631" s="160">
        <v>0</v>
      </c>
      <c r="Z631" s="160">
        <v>0.5</v>
      </c>
      <c r="AA631" s="160">
        <v>0.5</v>
      </c>
    </row>
    <row r="632" spans="1:27" ht="18" customHeight="1" x14ac:dyDescent="0.25">
      <c r="A632" s="159">
        <v>1061</v>
      </c>
      <c r="B632" s="157" t="s">
        <v>266</v>
      </c>
      <c r="C632" s="157" t="s">
        <v>276</v>
      </c>
      <c r="D632" s="159" t="s">
        <v>303</v>
      </c>
      <c r="E632" s="157" t="s">
        <v>301</v>
      </c>
      <c r="F632" s="159"/>
      <c r="G632" s="157" t="s">
        <v>1278</v>
      </c>
      <c r="H632" s="157" t="s">
        <v>1292</v>
      </c>
      <c r="I632" s="157" t="s">
        <v>9778</v>
      </c>
      <c r="J632" s="157" t="s">
        <v>8244</v>
      </c>
      <c r="K632" s="157" t="s">
        <v>1269</v>
      </c>
      <c r="L632" s="157" t="s">
        <v>8252</v>
      </c>
      <c r="M632" s="157" t="str">
        <f t="shared" si="18"/>
        <v>Outer Rear View Mirror Assembly Right - Blind Spot Warning Right</v>
      </c>
      <c r="N632" s="164"/>
      <c r="O632" s="165"/>
      <c r="P632" s="159" t="s">
        <v>3692</v>
      </c>
      <c r="Q632" s="157"/>
      <c r="R632" s="157"/>
      <c r="S632" s="157"/>
      <c r="T632" s="157"/>
      <c r="U632" s="159" t="s">
        <v>2129</v>
      </c>
      <c r="V632" s="159" t="s">
        <v>2138</v>
      </c>
      <c r="W632" s="159" t="s">
        <v>2138</v>
      </c>
      <c r="X632" s="160">
        <v>0.05</v>
      </c>
      <c r="Y632" s="160">
        <v>0.05</v>
      </c>
      <c r="Z632" s="160">
        <v>0.05</v>
      </c>
      <c r="AA632" s="160">
        <v>0.05</v>
      </c>
    </row>
    <row r="633" spans="1:27" ht="18" customHeight="1" x14ac:dyDescent="0.25">
      <c r="A633" s="159">
        <v>1061</v>
      </c>
      <c r="B633" s="157" t="s">
        <v>266</v>
      </c>
      <c r="C633" s="157" t="s">
        <v>276</v>
      </c>
      <c r="D633" s="159" t="s">
        <v>1177</v>
      </c>
      <c r="E633" s="157" t="s">
        <v>1175</v>
      </c>
      <c r="F633" s="159"/>
      <c r="G633" s="157" t="s">
        <v>1278</v>
      </c>
      <c r="H633" s="157" t="s">
        <v>1292</v>
      </c>
      <c r="I633" s="157" t="s">
        <v>9778</v>
      </c>
      <c r="J633" s="157" t="s">
        <v>8244</v>
      </c>
      <c r="K633" s="157" t="s">
        <v>1269</v>
      </c>
      <c r="L633" s="157" t="s">
        <v>8252</v>
      </c>
      <c r="M633" s="157" t="str">
        <f t="shared" si="18"/>
        <v>Outer Rear View Mirror Assembly Right - Blind Spot Warning Right</v>
      </c>
      <c r="N633" s="164"/>
      <c r="O633" s="165"/>
      <c r="P633" s="159" t="s">
        <v>3692</v>
      </c>
      <c r="Q633" s="157"/>
      <c r="R633" s="157"/>
      <c r="S633" s="157"/>
      <c r="T633" s="157"/>
      <c r="U633" s="159" t="s">
        <v>2129</v>
      </c>
      <c r="V633" s="159" t="s">
        <v>2138</v>
      </c>
      <c r="W633" s="159" t="s">
        <v>2138</v>
      </c>
      <c r="X633" s="160">
        <v>0.05</v>
      </c>
      <c r="Y633" s="160">
        <v>0.05</v>
      </c>
      <c r="Z633" s="160">
        <v>0.05</v>
      </c>
      <c r="AA633" s="160">
        <v>0.05</v>
      </c>
    </row>
    <row r="634" spans="1:27" ht="18" customHeight="1" x14ac:dyDescent="0.25">
      <c r="A634" s="159">
        <v>1061</v>
      </c>
      <c r="B634" s="157" t="s">
        <v>266</v>
      </c>
      <c r="C634" s="157" t="s">
        <v>276</v>
      </c>
      <c r="D634" s="159" t="s">
        <v>304</v>
      </c>
      <c r="E634" s="157" t="s">
        <v>1239</v>
      </c>
      <c r="F634" s="159"/>
      <c r="G634" s="157" t="s">
        <v>1278</v>
      </c>
      <c r="H634" s="157" t="s">
        <v>1292</v>
      </c>
      <c r="I634" s="157" t="s">
        <v>9778</v>
      </c>
      <c r="J634" s="157" t="s">
        <v>8244</v>
      </c>
      <c r="K634" s="157" t="s">
        <v>1269</v>
      </c>
      <c r="L634" s="157" t="s">
        <v>8252</v>
      </c>
      <c r="M634" s="157" t="str">
        <f t="shared" si="18"/>
        <v>Outer Rear View Mirror Assembly Right - Blind Spot Warning Right</v>
      </c>
      <c r="N634" s="164"/>
      <c r="O634" s="165"/>
      <c r="P634" s="159" t="s">
        <v>3692</v>
      </c>
      <c r="Q634" s="157"/>
      <c r="R634" s="157"/>
      <c r="S634" s="157"/>
      <c r="T634" s="157"/>
      <c r="U634" s="159" t="s">
        <v>2129</v>
      </c>
      <c r="V634" s="159" t="s">
        <v>2138</v>
      </c>
      <c r="W634" s="159" t="s">
        <v>2138</v>
      </c>
      <c r="X634" s="160">
        <v>0.05</v>
      </c>
      <c r="Y634" s="160">
        <v>0.05</v>
      </c>
      <c r="Z634" s="160">
        <v>0.05</v>
      </c>
      <c r="AA634" s="160">
        <v>0.05</v>
      </c>
    </row>
    <row r="635" spans="1:27" ht="18" customHeight="1" x14ac:dyDescent="0.25">
      <c r="A635" s="159">
        <v>1068</v>
      </c>
      <c r="B635" s="157" t="s">
        <v>29</v>
      </c>
      <c r="C635" s="157" t="s">
        <v>82</v>
      </c>
      <c r="D635" s="159" t="s">
        <v>230</v>
      </c>
      <c r="E635" s="157" t="s">
        <v>228</v>
      </c>
      <c r="F635" s="157" t="s">
        <v>1275</v>
      </c>
      <c r="G635" s="157" t="s">
        <v>1278</v>
      </c>
      <c r="H635" s="157" t="s">
        <v>1294</v>
      </c>
      <c r="I635" s="157" t="s">
        <v>8701</v>
      </c>
      <c r="J635" s="157" t="s">
        <v>1343</v>
      </c>
      <c r="K635" s="157" t="s">
        <v>1281</v>
      </c>
      <c r="L635" s="157" t="s">
        <v>1282</v>
      </c>
      <c r="M635" s="157" t="str">
        <f t="shared" si="18"/>
        <v>User Selector - Tailgate Opening and Closing Internal Command (Trunk)</v>
      </c>
      <c r="N635" s="157"/>
      <c r="O635" s="157"/>
      <c r="P635" s="159" t="s">
        <v>7509</v>
      </c>
      <c r="Q635" s="74" t="s">
        <v>2115</v>
      </c>
      <c r="R635" s="74" t="s">
        <v>8577</v>
      </c>
      <c r="S635" s="74" t="s">
        <v>8606</v>
      </c>
      <c r="T635" s="157"/>
      <c r="U635" s="159" t="s">
        <v>2129</v>
      </c>
      <c r="V635" s="159" t="s">
        <v>2138</v>
      </c>
      <c r="W635" s="159" t="s">
        <v>2138</v>
      </c>
      <c r="X635" s="160">
        <f t="shared" ref="X635:AA636" si="19">1*2/(20*60)</f>
        <v>1.6666666666666668E-3</v>
      </c>
      <c r="Y635" s="160">
        <f t="shared" si="19"/>
        <v>1.6666666666666668E-3</v>
      </c>
      <c r="Z635" s="160">
        <f t="shared" si="19"/>
        <v>1.6666666666666668E-3</v>
      </c>
      <c r="AA635" s="160">
        <f t="shared" si="19"/>
        <v>1.6666666666666668E-3</v>
      </c>
    </row>
    <row r="636" spans="1:27" ht="18" customHeight="1" x14ac:dyDescent="0.25">
      <c r="A636" s="159">
        <v>1068</v>
      </c>
      <c r="B636" s="157" t="s">
        <v>29</v>
      </c>
      <c r="C636" s="157" t="s">
        <v>82</v>
      </c>
      <c r="D636" s="159" t="s">
        <v>1110</v>
      </c>
      <c r="E636" s="157" t="s">
        <v>1108</v>
      </c>
      <c r="F636" s="157"/>
      <c r="G636" s="157" t="s">
        <v>1278</v>
      </c>
      <c r="H636" s="157" t="s">
        <v>1294</v>
      </c>
      <c r="I636" s="157" t="s">
        <v>8701</v>
      </c>
      <c r="J636" s="157" t="s">
        <v>1343</v>
      </c>
      <c r="K636" s="157" t="s">
        <v>1281</v>
      </c>
      <c r="L636" s="157" t="s">
        <v>1282</v>
      </c>
      <c r="M636" s="157" t="str">
        <f t="shared" si="18"/>
        <v>User Selector - Tailgate Opening and Closing Internal Command (Trunk)</v>
      </c>
      <c r="N636" s="157"/>
      <c r="O636" s="157"/>
      <c r="P636" s="159" t="s">
        <v>7509</v>
      </c>
      <c r="Q636" s="74" t="s">
        <v>2115</v>
      </c>
      <c r="R636" s="74" t="s">
        <v>8577</v>
      </c>
      <c r="S636" s="74" t="s">
        <v>8606</v>
      </c>
      <c r="T636" s="157"/>
      <c r="U636" s="159" t="s">
        <v>2129</v>
      </c>
      <c r="V636" s="159" t="s">
        <v>2138</v>
      </c>
      <c r="W636" s="159" t="s">
        <v>2138</v>
      </c>
      <c r="X636" s="160">
        <f t="shared" si="19"/>
        <v>1.6666666666666668E-3</v>
      </c>
      <c r="Y636" s="160">
        <f t="shared" si="19"/>
        <v>1.6666666666666668E-3</v>
      </c>
      <c r="Z636" s="160">
        <f t="shared" si="19"/>
        <v>1.6666666666666668E-3</v>
      </c>
      <c r="AA636" s="160">
        <f t="shared" si="19"/>
        <v>1.6666666666666668E-3</v>
      </c>
    </row>
    <row r="637" spans="1:27" ht="18" customHeight="1" x14ac:dyDescent="0.25">
      <c r="A637" s="159">
        <v>1072</v>
      </c>
      <c r="B637" s="157" t="s">
        <v>29</v>
      </c>
      <c r="C637" s="157" t="s">
        <v>207</v>
      </c>
      <c r="D637" s="159" t="s">
        <v>211</v>
      </c>
      <c r="E637" s="157" t="s">
        <v>249</v>
      </c>
      <c r="F637" s="157" t="s">
        <v>1277</v>
      </c>
      <c r="G637" s="157" t="s">
        <v>1536</v>
      </c>
      <c r="H637" s="157" t="s">
        <v>1431</v>
      </c>
      <c r="I637" s="157" t="s">
        <v>1471</v>
      </c>
      <c r="J637" s="157" t="s">
        <v>1285</v>
      </c>
      <c r="K637" s="157" t="s">
        <v>1269</v>
      </c>
      <c r="L637" s="157" t="s">
        <v>9583</v>
      </c>
      <c r="M637" s="157" t="str">
        <f t="shared" si="18"/>
        <v>Wiper Motor L - Front Wiper</v>
      </c>
      <c r="N637" s="157"/>
      <c r="O637" s="157"/>
      <c r="P637" s="159" t="s">
        <v>6963</v>
      </c>
      <c r="Q637" s="157" t="s">
        <v>2115</v>
      </c>
      <c r="R637" s="157" t="s">
        <v>2144</v>
      </c>
      <c r="S637" s="157" t="s">
        <v>8616</v>
      </c>
      <c r="T637" s="157" t="s">
        <v>2129</v>
      </c>
      <c r="U637" s="159" t="s">
        <v>2129</v>
      </c>
      <c r="V637" s="159" t="s">
        <v>2129</v>
      </c>
      <c r="W637" s="159" t="s">
        <v>2138</v>
      </c>
      <c r="X637" s="160">
        <v>0</v>
      </c>
      <c r="Y637" s="160">
        <v>0</v>
      </c>
      <c r="Z637" s="160">
        <v>0.3</v>
      </c>
      <c r="AA637" s="160">
        <v>0.6</v>
      </c>
    </row>
    <row r="638" spans="1:27" ht="18" customHeight="1" x14ac:dyDescent="0.25">
      <c r="A638" s="159">
        <v>1073</v>
      </c>
      <c r="B638" s="157" t="s">
        <v>29</v>
      </c>
      <c r="C638" s="157" t="s">
        <v>207</v>
      </c>
      <c r="D638" s="159" t="s">
        <v>211</v>
      </c>
      <c r="E638" s="157" t="s">
        <v>249</v>
      </c>
      <c r="F638" s="157" t="s">
        <v>1277</v>
      </c>
      <c r="G638" s="157" t="s">
        <v>1536</v>
      </c>
      <c r="H638" s="157" t="s">
        <v>1431</v>
      </c>
      <c r="I638" s="157" t="s">
        <v>1471</v>
      </c>
      <c r="J638" s="157" t="s">
        <v>1285</v>
      </c>
      <c r="K638" s="157" t="s">
        <v>1269</v>
      </c>
      <c r="L638" s="157" t="s">
        <v>9584</v>
      </c>
      <c r="M638" s="157" t="str">
        <f t="shared" si="18"/>
        <v>Wiper Motor R - Front Wiper</v>
      </c>
      <c r="N638" s="157"/>
      <c r="O638" s="157"/>
      <c r="P638" s="159" t="s">
        <v>2200</v>
      </c>
      <c r="Q638" s="157" t="s">
        <v>2115</v>
      </c>
      <c r="R638" s="157" t="s">
        <v>2144</v>
      </c>
      <c r="S638" s="157" t="s">
        <v>8616</v>
      </c>
      <c r="T638" s="157" t="s">
        <v>2129</v>
      </c>
      <c r="U638" s="159" t="s">
        <v>2129</v>
      </c>
      <c r="V638" s="159" t="s">
        <v>2129</v>
      </c>
      <c r="W638" s="159" t="s">
        <v>2138</v>
      </c>
      <c r="X638" s="160">
        <v>0</v>
      </c>
      <c r="Y638" s="160">
        <v>0</v>
      </c>
      <c r="Z638" s="160">
        <v>0.3</v>
      </c>
      <c r="AA638" s="160">
        <v>0.6</v>
      </c>
    </row>
    <row r="639" spans="1:27" ht="18" customHeight="1" x14ac:dyDescent="0.25">
      <c r="A639" s="159">
        <v>1082</v>
      </c>
      <c r="B639" s="157" t="s">
        <v>57</v>
      </c>
      <c r="C639" s="157" t="s">
        <v>349</v>
      </c>
      <c r="D639" s="159" t="s">
        <v>352</v>
      </c>
      <c r="E639" s="157" t="s">
        <v>350</v>
      </c>
      <c r="F639" s="157" t="s">
        <v>1320</v>
      </c>
      <c r="G639" s="157" t="s">
        <v>1321</v>
      </c>
      <c r="H639" s="157" t="s">
        <v>1382</v>
      </c>
      <c r="I639" s="157" t="s">
        <v>9578</v>
      </c>
      <c r="J639" s="157" t="s">
        <v>1324</v>
      </c>
      <c r="K639" s="157" t="s">
        <v>1269</v>
      </c>
      <c r="L639" s="157" t="s">
        <v>9577</v>
      </c>
      <c r="M639" s="157" t="str">
        <f t="shared" si="18"/>
        <v>PTC Heater High Voltage - Battery  Heating</v>
      </c>
      <c r="N639" s="157"/>
      <c r="O639" s="157"/>
      <c r="P639" s="159" t="s">
        <v>2219</v>
      </c>
      <c r="Q639" s="157" t="s">
        <v>2115</v>
      </c>
      <c r="R639" s="157" t="s">
        <v>2112</v>
      </c>
      <c r="S639" s="157" t="s">
        <v>8623</v>
      </c>
      <c r="T639" s="157"/>
      <c r="U639" s="159" t="s">
        <v>2129</v>
      </c>
      <c r="V639" s="159" t="s">
        <v>2129</v>
      </c>
      <c r="W639" s="159" t="s">
        <v>2138</v>
      </c>
      <c r="X639" s="160">
        <v>0.1</v>
      </c>
      <c r="Y639" s="160">
        <v>1</v>
      </c>
      <c r="Z639" s="160">
        <v>1</v>
      </c>
      <c r="AA639" s="160">
        <v>0.1</v>
      </c>
    </row>
    <row r="640" spans="1:27" ht="18" customHeight="1" x14ac:dyDescent="0.25">
      <c r="A640" s="159">
        <v>1082</v>
      </c>
      <c r="B640" s="157" t="s">
        <v>57</v>
      </c>
      <c r="C640" s="157" t="s">
        <v>349</v>
      </c>
      <c r="D640" s="159" t="s">
        <v>353</v>
      </c>
      <c r="E640" s="157" t="s">
        <v>742</v>
      </c>
      <c r="F640" s="157" t="s">
        <v>1264</v>
      </c>
      <c r="G640" s="157" t="s">
        <v>1321</v>
      </c>
      <c r="H640" s="157" t="s">
        <v>1382</v>
      </c>
      <c r="I640" s="157" t="s">
        <v>9578</v>
      </c>
      <c r="J640" s="157" t="s">
        <v>1324</v>
      </c>
      <c r="K640" s="157" t="s">
        <v>1269</v>
      </c>
      <c r="L640" s="157" t="s">
        <v>9577</v>
      </c>
      <c r="M640" s="157" t="str">
        <f t="shared" si="18"/>
        <v>PTC Heater High Voltage - Battery  Heating</v>
      </c>
      <c r="N640" s="157"/>
      <c r="O640" s="157"/>
      <c r="P640" s="159" t="s">
        <v>2219</v>
      </c>
      <c r="Q640" s="157" t="s">
        <v>2115</v>
      </c>
      <c r="R640" s="157" t="s">
        <v>2112</v>
      </c>
      <c r="S640" s="157" t="s">
        <v>8623</v>
      </c>
      <c r="T640" s="157"/>
      <c r="U640" s="159" t="s">
        <v>2129</v>
      </c>
      <c r="V640" s="159" t="s">
        <v>2129</v>
      </c>
      <c r="W640" s="159" t="s">
        <v>2138</v>
      </c>
      <c r="X640" s="160">
        <v>0.1</v>
      </c>
      <c r="Y640" s="160">
        <v>1</v>
      </c>
      <c r="Z640" s="160">
        <v>1</v>
      </c>
      <c r="AA640" s="160">
        <v>0.1</v>
      </c>
    </row>
    <row r="641" spans="1:27" ht="18" customHeight="1" x14ac:dyDescent="0.25">
      <c r="A641" s="159">
        <v>1082</v>
      </c>
      <c r="B641" s="157" t="s">
        <v>57</v>
      </c>
      <c r="C641" s="157" t="s">
        <v>349</v>
      </c>
      <c r="D641" s="159" t="s">
        <v>1183</v>
      </c>
      <c r="E641" s="157" t="s">
        <v>1181</v>
      </c>
      <c r="F641" s="157"/>
      <c r="G641" s="157" t="s">
        <v>1321</v>
      </c>
      <c r="H641" s="157" t="s">
        <v>1382</v>
      </c>
      <c r="I641" s="157" t="s">
        <v>9578</v>
      </c>
      <c r="J641" s="157" t="s">
        <v>1324</v>
      </c>
      <c r="K641" s="157" t="s">
        <v>1269</v>
      </c>
      <c r="L641" s="157" t="s">
        <v>9577</v>
      </c>
      <c r="M641" s="157" t="str">
        <f t="shared" si="18"/>
        <v>PTC Heater High Voltage - Battery  Heating</v>
      </c>
      <c r="N641" s="157"/>
      <c r="O641" s="157"/>
      <c r="P641" s="159" t="s">
        <v>2219</v>
      </c>
      <c r="Q641" s="157" t="s">
        <v>2115</v>
      </c>
      <c r="R641" s="157" t="s">
        <v>2112</v>
      </c>
      <c r="S641" s="157" t="s">
        <v>8623</v>
      </c>
      <c r="T641" s="157"/>
      <c r="U641" s="159" t="s">
        <v>2129</v>
      </c>
      <c r="V641" s="159" t="s">
        <v>2129</v>
      </c>
      <c r="W641" s="159" t="s">
        <v>2138</v>
      </c>
      <c r="X641" s="160">
        <v>0.1</v>
      </c>
      <c r="Y641" s="160">
        <v>1</v>
      </c>
      <c r="Z641" s="160">
        <v>1</v>
      </c>
      <c r="AA641" s="160">
        <v>0.1</v>
      </c>
    </row>
    <row r="642" spans="1:27" ht="18" customHeight="1" x14ac:dyDescent="0.25">
      <c r="A642" s="159">
        <v>1083</v>
      </c>
      <c r="B642" s="157" t="s">
        <v>57</v>
      </c>
      <c r="C642" s="157" t="s">
        <v>349</v>
      </c>
      <c r="D642" s="159" t="s">
        <v>642</v>
      </c>
      <c r="E642" s="157" t="s">
        <v>640</v>
      </c>
      <c r="F642" s="157"/>
      <c r="G642" s="157" t="s">
        <v>1321</v>
      </c>
      <c r="H642" s="157" t="s">
        <v>1382</v>
      </c>
      <c r="I642" s="157" t="s">
        <v>1541</v>
      </c>
      <c r="J642" s="157" t="s">
        <v>1324</v>
      </c>
      <c r="K642" s="157" t="s">
        <v>1269</v>
      </c>
      <c r="L642" s="157" t="s">
        <v>9574</v>
      </c>
      <c r="M642" s="157" t="str">
        <f t="shared" si="18"/>
        <v>Pre-Heating Valve Inlet - Heating</v>
      </c>
      <c r="N642" s="157"/>
      <c r="O642" s="157"/>
      <c r="P642" s="159" t="s">
        <v>2203</v>
      </c>
      <c r="Q642" s="157"/>
      <c r="R642" s="157"/>
      <c r="S642" s="157"/>
      <c r="T642" s="157"/>
      <c r="U642" s="159" t="s">
        <v>2129</v>
      </c>
      <c r="V642" s="159" t="s">
        <v>2129</v>
      </c>
      <c r="W642" s="159" t="s">
        <v>2138</v>
      </c>
      <c r="X642" s="160">
        <v>0</v>
      </c>
      <c r="Y642" s="160">
        <v>0.5</v>
      </c>
      <c r="Z642" s="160">
        <v>0.5</v>
      </c>
      <c r="AA642" s="160">
        <v>0</v>
      </c>
    </row>
    <row r="643" spans="1:27" ht="18" customHeight="1" x14ac:dyDescent="0.25">
      <c r="A643" s="159">
        <v>1084</v>
      </c>
      <c r="B643" s="157" t="s">
        <v>57</v>
      </c>
      <c r="C643" s="157" t="s">
        <v>349</v>
      </c>
      <c r="D643" s="159" t="s">
        <v>642</v>
      </c>
      <c r="E643" s="157" t="s">
        <v>640</v>
      </c>
      <c r="F643" s="157"/>
      <c r="G643" s="157" t="s">
        <v>1321</v>
      </c>
      <c r="H643" s="157" t="s">
        <v>1382</v>
      </c>
      <c r="I643" s="157" t="s">
        <v>1541</v>
      </c>
      <c r="J643" s="157" t="s">
        <v>1324</v>
      </c>
      <c r="K643" s="157" t="s">
        <v>1269</v>
      </c>
      <c r="L643" s="157" t="s">
        <v>9575</v>
      </c>
      <c r="M643" s="157" t="str">
        <f t="shared" si="18"/>
        <v>Pre-Heating Valve Outlet - Heating</v>
      </c>
      <c r="N643" s="157"/>
      <c r="O643" s="157"/>
      <c r="P643" s="159" t="s">
        <v>7297</v>
      </c>
      <c r="Q643" s="157"/>
      <c r="R643" s="157"/>
      <c r="S643" s="157"/>
      <c r="T643" s="157"/>
      <c r="U643" s="159" t="s">
        <v>2129</v>
      </c>
      <c r="V643" s="159" t="s">
        <v>2129</v>
      </c>
      <c r="W643" s="159" t="s">
        <v>2138</v>
      </c>
      <c r="X643" s="160">
        <v>0</v>
      </c>
      <c r="Y643" s="160">
        <v>0.5</v>
      </c>
      <c r="Z643" s="160">
        <v>0.5</v>
      </c>
      <c r="AA643" s="160">
        <v>0</v>
      </c>
    </row>
    <row r="644" spans="1:27" ht="18" customHeight="1" x14ac:dyDescent="0.25">
      <c r="A644" s="159">
        <v>1085</v>
      </c>
      <c r="B644" s="157" t="s">
        <v>57</v>
      </c>
      <c r="C644" s="157" t="s">
        <v>349</v>
      </c>
      <c r="D644" s="159" t="s">
        <v>352</v>
      </c>
      <c r="E644" s="157" t="s">
        <v>350</v>
      </c>
      <c r="F644" s="157"/>
      <c r="G644" s="157" t="s">
        <v>1321</v>
      </c>
      <c r="H644" s="157" t="s">
        <v>1382</v>
      </c>
      <c r="I644" s="157" t="s">
        <v>1501</v>
      </c>
      <c r="J644" s="157" t="s">
        <v>1324</v>
      </c>
      <c r="K644" s="157" t="s">
        <v>1269</v>
      </c>
      <c r="L644" s="157" t="s">
        <v>1501</v>
      </c>
      <c r="M644" s="157" t="str">
        <f t="shared" si="18"/>
        <v>Battery Coolant Pump - Battery Coolant Pump</v>
      </c>
      <c r="N644" s="157"/>
      <c r="O644" s="157"/>
      <c r="P644" s="159" t="s">
        <v>2269</v>
      </c>
      <c r="Q644" s="157"/>
      <c r="R644" s="157"/>
      <c r="S644" s="157"/>
      <c r="T644" s="157"/>
      <c r="U644" s="159" t="s">
        <v>2129</v>
      </c>
      <c r="V644" s="159" t="s">
        <v>2129</v>
      </c>
      <c r="W644" s="159" t="s">
        <v>2138</v>
      </c>
      <c r="X644" s="160">
        <v>0.6</v>
      </c>
      <c r="Y644" s="160">
        <v>0.4</v>
      </c>
      <c r="Z644" s="160">
        <v>0.4</v>
      </c>
      <c r="AA644" s="160">
        <v>0.6</v>
      </c>
    </row>
    <row r="645" spans="1:27" ht="18" customHeight="1" x14ac:dyDescent="0.25">
      <c r="A645" s="159">
        <v>1085</v>
      </c>
      <c r="B645" s="157" t="s">
        <v>57</v>
      </c>
      <c r="C645" s="157" t="s">
        <v>349</v>
      </c>
      <c r="D645" s="159" t="s">
        <v>453</v>
      </c>
      <c r="E645" s="157" t="s">
        <v>451</v>
      </c>
      <c r="F645" s="157"/>
      <c r="G645" s="157" t="s">
        <v>1321</v>
      </c>
      <c r="H645" s="157" t="s">
        <v>1382</v>
      </c>
      <c r="I645" s="157" t="s">
        <v>1501</v>
      </c>
      <c r="J645" s="157" t="s">
        <v>1324</v>
      </c>
      <c r="K645" s="157" t="s">
        <v>1269</v>
      </c>
      <c r="L645" s="157" t="s">
        <v>1501</v>
      </c>
      <c r="M645" s="157" t="str">
        <f t="shared" si="18"/>
        <v>Battery Coolant Pump - Battery Coolant Pump</v>
      </c>
      <c r="N645" s="157"/>
      <c r="O645" s="157"/>
      <c r="P645" s="159" t="s">
        <v>2269</v>
      </c>
      <c r="Q645" s="157"/>
      <c r="R645" s="157"/>
      <c r="S645" s="157"/>
      <c r="T645" s="157"/>
      <c r="U645" s="159" t="s">
        <v>2129</v>
      </c>
      <c r="V645" s="159" t="s">
        <v>2129</v>
      </c>
      <c r="W645" s="159" t="s">
        <v>2138</v>
      </c>
      <c r="X645" s="160">
        <v>0.6</v>
      </c>
      <c r="Y645" s="160">
        <v>0.4</v>
      </c>
      <c r="Z645" s="160">
        <v>0.4</v>
      </c>
      <c r="AA645" s="160">
        <v>0.6</v>
      </c>
    </row>
    <row r="646" spans="1:27" ht="18" customHeight="1" x14ac:dyDescent="0.25">
      <c r="A646" s="159">
        <v>1085</v>
      </c>
      <c r="B646" s="157" t="s">
        <v>57</v>
      </c>
      <c r="C646" s="157" t="s">
        <v>349</v>
      </c>
      <c r="D646" s="159" t="s">
        <v>590</v>
      </c>
      <c r="E646" s="157" t="s">
        <v>588</v>
      </c>
      <c r="F646" s="157"/>
      <c r="G646" s="157" t="s">
        <v>1321</v>
      </c>
      <c r="H646" s="157" t="s">
        <v>1382</v>
      </c>
      <c r="I646" s="157" t="s">
        <v>1501</v>
      </c>
      <c r="J646" s="157" t="s">
        <v>1324</v>
      </c>
      <c r="K646" s="157" t="s">
        <v>1269</v>
      </c>
      <c r="L646" s="157" t="s">
        <v>1501</v>
      </c>
      <c r="M646" s="157" t="str">
        <f t="shared" si="18"/>
        <v>Battery Coolant Pump - Battery Coolant Pump</v>
      </c>
      <c r="N646" s="157"/>
      <c r="O646" s="157"/>
      <c r="P646" s="159" t="s">
        <v>2269</v>
      </c>
      <c r="Q646" s="157"/>
      <c r="R646" s="157"/>
      <c r="S646" s="157"/>
      <c r="T646" s="157"/>
      <c r="U646" s="159" t="s">
        <v>2129</v>
      </c>
      <c r="V646" s="159" t="s">
        <v>2129</v>
      </c>
      <c r="W646" s="159" t="s">
        <v>2138</v>
      </c>
      <c r="X646" s="160">
        <v>0.6</v>
      </c>
      <c r="Y646" s="160">
        <v>0.4</v>
      </c>
      <c r="Z646" s="160">
        <v>0.4</v>
      </c>
      <c r="AA646" s="160">
        <v>0.6</v>
      </c>
    </row>
    <row r="647" spans="1:27" ht="18" customHeight="1" x14ac:dyDescent="0.25">
      <c r="A647" s="159">
        <v>1085</v>
      </c>
      <c r="B647" s="157" t="s">
        <v>57</v>
      </c>
      <c r="C647" s="157" t="s">
        <v>349</v>
      </c>
      <c r="D647" s="159" t="s">
        <v>642</v>
      </c>
      <c r="E647" s="157" t="s">
        <v>640</v>
      </c>
      <c r="F647" s="157"/>
      <c r="G647" s="157" t="s">
        <v>1321</v>
      </c>
      <c r="H647" s="157" t="s">
        <v>1382</v>
      </c>
      <c r="I647" s="157" t="s">
        <v>1501</v>
      </c>
      <c r="J647" s="157" t="s">
        <v>1324</v>
      </c>
      <c r="K647" s="157" t="s">
        <v>1269</v>
      </c>
      <c r="L647" s="157" t="s">
        <v>1501</v>
      </c>
      <c r="M647" s="157" t="str">
        <f t="shared" si="18"/>
        <v>Battery Coolant Pump - Battery Coolant Pump</v>
      </c>
      <c r="N647" s="157"/>
      <c r="O647" s="157"/>
      <c r="P647" s="159" t="s">
        <v>2269</v>
      </c>
      <c r="Q647" s="157"/>
      <c r="R647" s="157"/>
      <c r="S647" s="157"/>
      <c r="T647" s="157"/>
      <c r="U647" s="159" t="s">
        <v>2129</v>
      </c>
      <c r="V647" s="159" t="s">
        <v>2129</v>
      </c>
      <c r="W647" s="159" t="s">
        <v>2138</v>
      </c>
      <c r="X647" s="160">
        <v>0.6</v>
      </c>
      <c r="Y647" s="160">
        <v>0.4</v>
      </c>
      <c r="Z647" s="160">
        <v>0.4</v>
      </c>
      <c r="AA647" s="160">
        <v>0.6</v>
      </c>
    </row>
    <row r="648" spans="1:27" ht="18" customHeight="1" x14ac:dyDescent="0.25">
      <c r="A648" s="159">
        <v>1085</v>
      </c>
      <c r="B648" s="157" t="s">
        <v>57</v>
      </c>
      <c r="C648" s="157" t="s">
        <v>349</v>
      </c>
      <c r="D648" s="159" t="s">
        <v>454</v>
      </c>
      <c r="E648" s="157" t="s">
        <v>700</v>
      </c>
      <c r="F648" s="157"/>
      <c r="G648" s="157" t="s">
        <v>1321</v>
      </c>
      <c r="H648" s="157" t="s">
        <v>1382</v>
      </c>
      <c r="I648" s="157" t="s">
        <v>1501</v>
      </c>
      <c r="J648" s="157" t="s">
        <v>1324</v>
      </c>
      <c r="K648" s="157" t="s">
        <v>1269</v>
      </c>
      <c r="L648" s="157" t="s">
        <v>1501</v>
      </c>
      <c r="M648" s="157" t="str">
        <f t="shared" si="18"/>
        <v>Battery Coolant Pump - Battery Coolant Pump</v>
      </c>
      <c r="N648" s="157"/>
      <c r="O648" s="157"/>
      <c r="P648" s="159" t="s">
        <v>2269</v>
      </c>
      <c r="Q648" s="157"/>
      <c r="R648" s="157"/>
      <c r="S648" s="157"/>
      <c r="T648" s="157"/>
      <c r="U648" s="159" t="s">
        <v>2129</v>
      </c>
      <c r="V648" s="159" t="s">
        <v>2129</v>
      </c>
      <c r="W648" s="159" t="s">
        <v>2138</v>
      </c>
      <c r="X648" s="160">
        <v>0.6</v>
      </c>
      <c r="Y648" s="160">
        <v>0.4</v>
      </c>
      <c r="Z648" s="160">
        <v>0.4</v>
      </c>
      <c r="AA648" s="160">
        <v>0.6</v>
      </c>
    </row>
    <row r="649" spans="1:27" ht="18" customHeight="1" x14ac:dyDescent="0.25">
      <c r="A649" s="159">
        <v>1085</v>
      </c>
      <c r="B649" s="157" t="s">
        <v>57</v>
      </c>
      <c r="C649" s="157" t="s">
        <v>349</v>
      </c>
      <c r="D649" s="159" t="s">
        <v>353</v>
      </c>
      <c r="E649" s="157" t="s">
        <v>742</v>
      </c>
      <c r="F649" s="157"/>
      <c r="G649" s="157" t="s">
        <v>1321</v>
      </c>
      <c r="H649" s="157" t="s">
        <v>1382</v>
      </c>
      <c r="I649" s="157" t="s">
        <v>1501</v>
      </c>
      <c r="J649" s="157" t="s">
        <v>1324</v>
      </c>
      <c r="K649" s="157" t="s">
        <v>1269</v>
      </c>
      <c r="L649" s="157" t="s">
        <v>1501</v>
      </c>
      <c r="M649" s="157" t="str">
        <f t="shared" si="18"/>
        <v>Battery Coolant Pump - Battery Coolant Pump</v>
      </c>
      <c r="N649" s="157"/>
      <c r="O649" s="157"/>
      <c r="P649" s="159" t="s">
        <v>2269</v>
      </c>
      <c r="Q649" s="157"/>
      <c r="R649" s="157"/>
      <c r="S649" s="157"/>
      <c r="T649" s="157"/>
      <c r="U649" s="159" t="s">
        <v>2129</v>
      </c>
      <c r="V649" s="159" t="s">
        <v>2129</v>
      </c>
      <c r="W649" s="159" t="s">
        <v>2138</v>
      </c>
      <c r="X649" s="160">
        <v>0.6</v>
      </c>
      <c r="Y649" s="160">
        <v>0.4</v>
      </c>
      <c r="Z649" s="160">
        <v>0.4</v>
      </c>
      <c r="AA649" s="160">
        <v>0.6</v>
      </c>
    </row>
    <row r="650" spans="1:27" ht="18" customHeight="1" x14ac:dyDescent="0.25">
      <c r="A650" s="159">
        <v>1085</v>
      </c>
      <c r="B650" s="157" t="s">
        <v>57</v>
      </c>
      <c r="C650" s="157" t="s">
        <v>349</v>
      </c>
      <c r="D650" s="159" t="s">
        <v>910</v>
      </c>
      <c r="E650" s="157" t="s">
        <v>908</v>
      </c>
      <c r="F650" s="157"/>
      <c r="G650" s="157" t="s">
        <v>1321</v>
      </c>
      <c r="H650" s="157" t="s">
        <v>1382</v>
      </c>
      <c r="I650" s="157" t="s">
        <v>1501</v>
      </c>
      <c r="J650" s="157" t="s">
        <v>1324</v>
      </c>
      <c r="K650" s="157" t="s">
        <v>1269</v>
      </c>
      <c r="L650" s="157" t="s">
        <v>1501</v>
      </c>
      <c r="M650" s="157" t="str">
        <f t="shared" ref="M650:M713" si="20">CONCATENATE(L650," - ",I650)</f>
        <v>Battery Coolant Pump - Battery Coolant Pump</v>
      </c>
      <c r="N650" s="157"/>
      <c r="O650" s="157"/>
      <c r="P650" s="159" t="s">
        <v>2269</v>
      </c>
      <c r="Q650" s="157"/>
      <c r="R650" s="157"/>
      <c r="S650" s="157"/>
      <c r="T650" s="157"/>
      <c r="U650" s="159" t="s">
        <v>2129</v>
      </c>
      <c r="V650" s="159" t="s">
        <v>2129</v>
      </c>
      <c r="W650" s="159" t="s">
        <v>2138</v>
      </c>
      <c r="X650" s="160">
        <v>0.6</v>
      </c>
      <c r="Y650" s="160">
        <v>0.4</v>
      </c>
      <c r="Z650" s="160">
        <v>0.4</v>
      </c>
      <c r="AA650" s="160">
        <v>0.6</v>
      </c>
    </row>
    <row r="651" spans="1:27" ht="18" customHeight="1" x14ac:dyDescent="0.25">
      <c r="A651" s="159">
        <v>1085</v>
      </c>
      <c r="B651" s="157" t="s">
        <v>57</v>
      </c>
      <c r="C651" s="157" t="s">
        <v>349</v>
      </c>
      <c r="D651" s="159" t="s">
        <v>1183</v>
      </c>
      <c r="E651" s="157" t="s">
        <v>1181</v>
      </c>
      <c r="F651" s="157"/>
      <c r="G651" s="157" t="s">
        <v>1321</v>
      </c>
      <c r="H651" s="157" t="s">
        <v>1382</v>
      </c>
      <c r="I651" s="157" t="s">
        <v>1501</v>
      </c>
      <c r="J651" s="157" t="s">
        <v>1324</v>
      </c>
      <c r="K651" s="157" t="s">
        <v>1269</v>
      </c>
      <c r="L651" s="157" t="s">
        <v>1501</v>
      </c>
      <c r="M651" s="157" t="str">
        <f t="shared" si="20"/>
        <v>Battery Coolant Pump - Battery Coolant Pump</v>
      </c>
      <c r="N651" s="157"/>
      <c r="O651" s="157"/>
      <c r="P651" s="159" t="s">
        <v>2269</v>
      </c>
      <c r="Q651" s="157"/>
      <c r="R651" s="157"/>
      <c r="S651" s="157"/>
      <c r="T651" s="157"/>
      <c r="U651" s="159" t="s">
        <v>2129</v>
      </c>
      <c r="V651" s="159" t="s">
        <v>2129</v>
      </c>
      <c r="W651" s="159" t="s">
        <v>2138</v>
      </c>
      <c r="X651" s="160">
        <v>0.6</v>
      </c>
      <c r="Y651" s="160">
        <v>0.4</v>
      </c>
      <c r="Z651" s="160">
        <v>0.4</v>
      </c>
      <c r="AA651" s="160">
        <v>0.6</v>
      </c>
    </row>
    <row r="652" spans="1:27" ht="18" customHeight="1" x14ac:dyDescent="0.25">
      <c r="A652" s="159">
        <v>1090</v>
      </c>
      <c r="B652" s="157" t="s">
        <v>57</v>
      </c>
      <c r="C652" s="157" t="s">
        <v>58</v>
      </c>
      <c r="D652" s="159" t="s">
        <v>998</v>
      </c>
      <c r="E652" s="157" t="s">
        <v>996</v>
      </c>
      <c r="F652" s="157" t="s">
        <v>1264</v>
      </c>
      <c r="G652" s="157" t="s">
        <v>1278</v>
      </c>
      <c r="H652" s="157" t="s">
        <v>1378</v>
      </c>
      <c r="I652" s="157" t="s">
        <v>1678</v>
      </c>
      <c r="J652" s="157" t="s">
        <v>1324</v>
      </c>
      <c r="K652" s="157" t="s">
        <v>1269</v>
      </c>
      <c r="L652" s="163" t="s">
        <v>9579</v>
      </c>
      <c r="M652" s="157" t="str">
        <f t="shared" si="20"/>
        <v>PTC Heater 1 High Voltage - Air Heating</v>
      </c>
      <c r="N652" s="157"/>
      <c r="O652" s="157"/>
      <c r="P652" s="159" t="s">
        <v>5639</v>
      </c>
      <c r="Q652" s="157" t="s">
        <v>2115</v>
      </c>
      <c r="R652" s="157" t="s">
        <v>2112</v>
      </c>
      <c r="S652" s="157" t="s">
        <v>8623</v>
      </c>
      <c r="T652" s="157"/>
      <c r="U652" s="159" t="s">
        <v>2129</v>
      </c>
      <c r="V652" s="159" t="s">
        <v>2129</v>
      </c>
      <c r="W652" s="159" t="s">
        <v>2138</v>
      </c>
      <c r="X652" s="160">
        <v>0</v>
      </c>
      <c r="Y652" s="160">
        <v>0.3</v>
      </c>
      <c r="Z652" s="160">
        <v>0.5</v>
      </c>
      <c r="AA652" s="160">
        <v>0</v>
      </c>
    </row>
    <row r="653" spans="1:27" ht="18" customHeight="1" x14ac:dyDescent="0.25">
      <c r="A653" s="159">
        <v>1090</v>
      </c>
      <c r="B653" s="157" t="s">
        <v>57</v>
      </c>
      <c r="C653" s="157" t="s">
        <v>58</v>
      </c>
      <c r="D653" s="159" t="s">
        <v>2090</v>
      </c>
      <c r="E653" s="157" t="s">
        <v>1677</v>
      </c>
      <c r="F653" s="157" t="s">
        <v>1264</v>
      </c>
      <c r="G653" s="157" t="s">
        <v>1278</v>
      </c>
      <c r="H653" s="157" t="s">
        <v>1378</v>
      </c>
      <c r="I653" s="157" t="s">
        <v>1678</v>
      </c>
      <c r="J653" s="157" t="s">
        <v>1324</v>
      </c>
      <c r="K653" s="157" t="s">
        <v>1269</v>
      </c>
      <c r="L653" s="163" t="s">
        <v>9579</v>
      </c>
      <c r="M653" s="157" t="str">
        <f t="shared" si="20"/>
        <v>PTC Heater 1 High Voltage - Air Heating</v>
      </c>
      <c r="N653" s="157"/>
      <c r="O653" s="157"/>
      <c r="P653" s="159" t="s">
        <v>5639</v>
      </c>
      <c r="Q653" s="157" t="s">
        <v>2115</v>
      </c>
      <c r="R653" s="157" t="s">
        <v>2112</v>
      </c>
      <c r="S653" s="157" t="s">
        <v>8623</v>
      </c>
      <c r="T653" s="157"/>
      <c r="U653" s="159" t="s">
        <v>2129</v>
      </c>
      <c r="V653" s="159" t="s">
        <v>2129</v>
      </c>
      <c r="W653" s="159" t="s">
        <v>2138</v>
      </c>
      <c r="X653" s="160">
        <v>0</v>
      </c>
      <c r="Y653" s="160">
        <v>0.3</v>
      </c>
      <c r="Z653" s="160">
        <v>0.5</v>
      </c>
      <c r="AA653" s="160">
        <v>0</v>
      </c>
    </row>
    <row r="654" spans="1:27" ht="18" customHeight="1" x14ac:dyDescent="0.25">
      <c r="A654" s="159">
        <v>1091</v>
      </c>
      <c r="B654" s="157" t="s">
        <v>57</v>
      </c>
      <c r="C654" s="157" t="s">
        <v>58</v>
      </c>
      <c r="D654" s="159" t="s">
        <v>998</v>
      </c>
      <c r="E654" s="157" t="s">
        <v>996</v>
      </c>
      <c r="F654" s="157" t="s">
        <v>1264</v>
      </c>
      <c r="G654" s="157" t="s">
        <v>1278</v>
      </c>
      <c r="H654" s="157" t="s">
        <v>1378</v>
      </c>
      <c r="I654" s="157" t="s">
        <v>1678</v>
      </c>
      <c r="J654" s="157" t="s">
        <v>1324</v>
      </c>
      <c r="K654" s="157" t="s">
        <v>1269</v>
      </c>
      <c r="L654" s="163" t="s">
        <v>9580</v>
      </c>
      <c r="M654" s="157" t="str">
        <f t="shared" si="20"/>
        <v>PTC Heater 2 High Voltage - Air Heating</v>
      </c>
      <c r="N654" s="157"/>
      <c r="O654" s="157"/>
      <c r="P654" s="159" t="s">
        <v>4895</v>
      </c>
      <c r="Q654" s="157" t="s">
        <v>2115</v>
      </c>
      <c r="R654" s="157" t="s">
        <v>2112</v>
      </c>
      <c r="S654" s="157" t="s">
        <v>8623</v>
      </c>
      <c r="T654" s="157"/>
      <c r="U654" s="159" t="s">
        <v>2129</v>
      </c>
      <c r="V654" s="159" t="s">
        <v>2129</v>
      </c>
      <c r="W654" s="159" t="s">
        <v>2138</v>
      </c>
      <c r="X654" s="160">
        <v>0</v>
      </c>
      <c r="Y654" s="160">
        <v>0.3</v>
      </c>
      <c r="Z654" s="160">
        <v>0.5</v>
      </c>
      <c r="AA654" s="160">
        <v>0</v>
      </c>
    </row>
    <row r="655" spans="1:27" ht="18" customHeight="1" x14ac:dyDescent="0.25">
      <c r="A655" s="159">
        <v>1091</v>
      </c>
      <c r="B655" s="157" t="s">
        <v>57</v>
      </c>
      <c r="C655" s="157" t="s">
        <v>58</v>
      </c>
      <c r="D655" s="159" t="s">
        <v>2090</v>
      </c>
      <c r="E655" s="157" t="s">
        <v>1677</v>
      </c>
      <c r="F655" s="157" t="s">
        <v>1264</v>
      </c>
      <c r="G655" s="157" t="s">
        <v>1278</v>
      </c>
      <c r="H655" s="157" t="s">
        <v>1378</v>
      </c>
      <c r="I655" s="157" t="s">
        <v>1678</v>
      </c>
      <c r="J655" s="157" t="s">
        <v>1324</v>
      </c>
      <c r="K655" s="157" t="s">
        <v>1269</v>
      </c>
      <c r="L655" s="163" t="s">
        <v>9580</v>
      </c>
      <c r="M655" s="157" t="str">
        <f t="shared" si="20"/>
        <v>PTC Heater 2 High Voltage - Air Heating</v>
      </c>
      <c r="N655" s="157"/>
      <c r="O655" s="157"/>
      <c r="P655" s="159" t="s">
        <v>4895</v>
      </c>
      <c r="Q655" s="157" t="s">
        <v>2115</v>
      </c>
      <c r="R655" s="157" t="s">
        <v>2112</v>
      </c>
      <c r="S655" s="157" t="s">
        <v>8623</v>
      </c>
      <c r="T655" s="157"/>
      <c r="U655" s="159" t="s">
        <v>2129</v>
      </c>
      <c r="V655" s="159" t="s">
        <v>2129</v>
      </c>
      <c r="W655" s="159" t="s">
        <v>2138</v>
      </c>
      <c r="X655" s="160">
        <v>0</v>
      </c>
      <c r="Y655" s="160">
        <v>0.3</v>
      </c>
      <c r="Z655" s="160">
        <v>0.5</v>
      </c>
      <c r="AA655" s="160">
        <v>0</v>
      </c>
    </row>
    <row r="656" spans="1:27" ht="18" customHeight="1" x14ac:dyDescent="0.25">
      <c r="A656" s="159">
        <v>1135</v>
      </c>
      <c r="B656" s="157" t="s">
        <v>29</v>
      </c>
      <c r="C656" s="157" t="s">
        <v>30</v>
      </c>
      <c r="D656" s="159" t="s">
        <v>95</v>
      </c>
      <c r="E656" s="157" t="s">
        <v>93</v>
      </c>
      <c r="F656" s="157" t="s">
        <v>1277</v>
      </c>
      <c r="G656" s="157" t="s">
        <v>1536</v>
      </c>
      <c r="H656" s="157" t="s">
        <v>1287</v>
      </c>
      <c r="I656" s="157" t="s">
        <v>9770</v>
      </c>
      <c r="J656" s="157" t="s">
        <v>1340</v>
      </c>
      <c r="K656" s="157" t="s">
        <v>1269</v>
      </c>
      <c r="L656" s="157" t="s">
        <v>9758</v>
      </c>
      <c r="M656" s="157" t="str">
        <f t="shared" si="20"/>
        <v>Headlamp Assy' Full LED Left - Grounding</v>
      </c>
      <c r="N656" s="157"/>
      <c r="O656" s="157"/>
      <c r="P656" s="167" t="s">
        <v>7897</v>
      </c>
      <c r="Q656" s="157"/>
      <c r="R656" s="157"/>
      <c r="S656" s="157"/>
      <c r="T656" s="157"/>
      <c r="U656" s="159" t="s">
        <v>2129</v>
      </c>
      <c r="V656" s="159" t="s">
        <v>2129</v>
      </c>
      <c r="W656" s="159" t="s">
        <v>2129</v>
      </c>
      <c r="X656" s="160">
        <v>0.3</v>
      </c>
      <c r="Y656" s="160">
        <v>0.1</v>
      </c>
      <c r="Z656" s="160">
        <v>0.3</v>
      </c>
      <c r="AA656" s="160">
        <v>0.1</v>
      </c>
    </row>
    <row r="657" spans="1:27" ht="18" customHeight="1" x14ac:dyDescent="0.25">
      <c r="A657" s="159">
        <v>1135</v>
      </c>
      <c r="B657" s="157" t="s">
        <v>29</v>
      </c>
      <c r="C657" s="157" t="s">
        <v>30</v>
      </c>
      <c r="D657" s="159" t="s">
        <v>174</v>
      </c>
      <c r="E657" s="157" t="s">
        <v>172</v>
      </c>
      <c r="F657" s="157" t="s">
        <v>1277</v>
      </c>
      <c r="G657" s="157" t="s">
        <v>1536</v>
      </c>
      <c r="H657" s="157" t="s">
        <v>1287</v>
      </c>
      <c r="I657" s="157" t="s">
        <v>9770</v>
      </c>
      <c r="J657" s="157" t="s">
        <v>1340</v>
      </c>
      <c r="K657" s="157" t="s">
        <v>1269</v>
      </c>
      <c r="L657" s="157" t="s">
        <v>9758</v>
      </c>
      <c r="M657" s="157" t="str">
        <f t="shared" si="20"/>
        <v>Headlamp Assy' Full LED Left - Grounding</v>
      </c>
      <c r="N657" s="157"/>
      <c r="O657" s="157"/>
      <c r="P657" s="167" t="s">
        <v>7897</v>
      </c>
      <c r="Q657" s="157"/>
      <c r="R657" s="157"/>
      <c r="S657" s="157"/>
      <c r="T657" s="157"/>
      <c r="U657" s="159" t="s">
        <v>2129</v>
      </c>
      <c r="V657" s="159" t="s">
        <v>2129</v>
      </c>
      <c r="W657" s="159" t="s">
        <v>2129</v>
      </c>
      <c r="X657" s="160">
        <v>0.3</v>
      </c>
      <c r="Y657" s="160">
        <v>0.1</v>
      </c>
      <c r="Z657" s="160">
        <v>0.3</v>
      </c>
      <c r="AA657" s="160">
        <v>0.1</v>
      </c>
    </row>
    <row r="658" spans="1:27" ht="18" customHeight="1" x14ac:dyDescent="0.25">
      <c r="A658" s="159">
        <v>1135</v>
      </c>
      <c r="B658" s="157" t="s">
        <v>29</v>
      </c>
      <c r="C658" s="157" t="s">
        <v>30</v>
      </c>
      <c r="D658" s="159" t="s">
        <v>401</v>
      </c>
      <c r="E658" s="157" t="s">
        <v>399</v>
      </c>
      <c r="F658" s="157" t="s">
        <v>1277</v>
      </c>
      <c r="G658" s="157" t="s">
        <v>1536</v>
      </c>
      <c r="H658" s="157" t="s">
        <v>1287</v>
      </c>
      <c r="I658" s="157" t="s">
        <v>9770</v>
      </c>
      <c r="J658" s="157" t="s">
        <v>1340</v>
      </c>
      <c r="K658" s="157" t="s">
        <v>1269</v>
      </c>
      <c r="L658" s="157" t="s">
        <v>9758</v>
      </c>
      <c r="M658" s="157" t="str">
        <f t="shared" si="20"/>
        <v>Headlamp Assy' Full LED Left - Grounding</v>
      </c>
      <c r="N658" s="157"/>
      <c r="O658" s="157"/>
      <c r="P658" s="167" t="s">
        <v>7897</v>
      </c>
      <c r="Q658" s="157"/>
      <c r="R658" s="157"/>
      <c r="S658" s="157"/>
      <c r="T658" s="157"/>
      <c r="U658" s="159" t="s">
        <v>2129</v>
      </c>
      <c r="V658" s="159" t="s">
        <v>2129</v>
      </c>
      <c r="W658" s="159" t="s">
        <v>2129</v>
      </c>
      <c r="X658" s="160">
        <v>0.3</v>
      </c>
      <c r="Y658" s="160">
        <v>0.1</v>
      </c>
      <c r="Z658" s="160">
        <v>0.3</v>
      </c>
      <c r="AA658" s="160">
        <v>0.1</v>
      </c>
    </row>
    <row r="659" spans="1:27" ht="18" customHeight="1" x14ac:dyDescent="0.25">
      <c r="A659" s="159">
        <v>1135</v>
      </c>
      <c r="B659" s="157" t="s">
        <v>29</v>
      </c>
      <c r="C659" s="157" t="s">
        <v>30</v>
      </c>
      <c r="D659" s="159" t="s">
        <v>96</v>
      </c>
      <c r="E659" s="157" t="s">
        <v>402</v>
      </c>
      <c r="F659" s="157" t="s">
        <v>1277</v>
      </c>
      <c r="G659" s="157" t="s">
        <v>1536</v>
      </c>
      <c r="H659" s="157" t="s">
        <v>1287</v>
      </c>
      <c r="I659" s="157" t="s">
        <v>9770</v>
      </c>
      <c r="J659" s="157" t="s">
        <v>1340</v>
      </c>
      <c r="K659" s="157" t="s">
        <v>1269</v>
      </c>
      <c r="L659" s="157" t="s">
        <v>9758</v>
      </c>
      <c r="M659" s="157" t="str">
        <f t="shared" si="20"/>
        <v>Headlamp Assy' Full LED Left - Grounding</v>
      </c>
      <c r="N659" s="157"/>
      <c r="O659" s="157"/>
      <c r="P659" s="167" t="s">
        <v>7897</v>
      </c>
      <c r="Q659" s="159"/>
      <c r="R659" s="157"/>
      <c r="S659" s="157"/>
      <c r="T659" s="157"/>
      <c r="U659" s="159" t="s">
        <v>2129</v>
      </c>
      <c r="V659" s="159" t="s">
        <v>2129</v>
      </c>
      <c r="W659" s="159" t="s">
        <v>2129</v>
      </c>
      <c r="X659" s="160">
        <v>0.3</v>
      </c>
      <c r="Y659" s="160">
        <v>0.1</v>
      </c>
      <c r="Z659" s="160">
        <v>0.3</v>
      </c>
      <c r="AA659" s="160">
        <v>0.1</v>
      </c>
    </row>
    <row r="660" spans="1:27" ht="18" customHeight="1" x14ac:dyDescent="0.25">
      <c r="A660" s="159">
        <v>1137</v>
      </c>
      <c r="B660" s="157" t="s">
        <v>29</v>
      </c>
      <c r="C660" s="157" t="s">
        <v>207</v>
      </c>
      <c r="D660" s="159" t="s">
        <v>210</v>
      </c>
      <c r="E660" s="157" t="s">
        <v>208</v>
      </c>
      <c r="F660" s="157" t="s">
        <v>1264</v>
      </c>
      <c r="G660" s="157" t="s">
        <v>1536</v>
      </c>
      <c r="H660" s="157" t="s">
        <v>1431</v>
      </c>
      <c r="I660" s="157" t="s">
        <v>1543</v>
      </c>
      <c r="J660" s="157" t="s">
        <v>1285</v>
      </c>
      <c r="K660" s="157" t="s">
        <v>1269</v>
      </c>
      <c r="L660" s="157" t="s">
        <v>1330</v>
      </c>
      <c r="M660" s="157" t="str">
        <f t="shared" si="20"/>
        <v>Motor - Tailgate Wiper</v>
      </c>
      <c r="N660" s="157"/>
      <c r="O660" s="157"/>
      <c r="P660" s="159" t="s">
        <v>5805</v>
      </c>
      <c r="Q660" s="157" t="s">
        <v>2115</v>
      </c>
      <c r="R660" s="157" t="s">
        <v>2112</v>
      </c>
      <c r="S660" s="157" t="s">
        <v>8623</v>
      </c>
      <c r="T660" s="157" t="s">
        <v>2129</v>
      </c>
      <c r="U660" s="159" t="s">
        <v>2129</v>
      </c>
      <c r="V660" s="159" t="s">
        <v>2138</v>
      </c>
      <c r="W660" s="159" t="s">
        <v>2138</v>
      </c>
      <c r="X660" s="160">
        <v>0</v>
      </c>
      <c r="Y660" s="160">
        <v>0</v>
      </c>
      <c r="Z660" s="160">
        <f>10*2/(20*60)</f>
        <v>1.6666666666666666E-2</v>
      </c>
      <c r="AA660" s="160">
        <f>10*2/(20*60)</f>
        <v>1.6666666666666666E-2</v>
      </c>
    </row>
    <row r="661" spans="1:27" ht="18" customHeight="1" x14ac:dyDescent="0.25">
      <c r="A661" s="159">
        <v>1138</v>
      </c>
      <c r="B661" s="157" t="s">
        <v>29</v>
      </c>
      <c r="C661" s="157" t="s">
        <v>30</v>
      </c>
      <c r="D661" s="159" t="s">
        <v>181</v>
      </c>
      <c r="E661" s="157" t="s">
        <v>179</v>
      </c>
      <c r="F661" s="157" t="s">
        <v>1264</v>
      </c>
      <c r="G661" s="157" t="s">
        <v>1536</v>
      </c>
      <c r="H661" s="157" t="s">
        <v>1287</v>
      </c>
      <c r="I661" s="157" t="s">
        <v>8317</v>
      </c>
      <c r="J661" s="157" t="s">
        <v>1340</v>
      </c>
      <c r="K661" s="157" t="s">
        <v>1269</v>
      </c>
      <c r="L661" s="157" t="s">
        <v>9749</v>
      </c>
      <c r="M661" s="157" t="str">
        <f t="shared" si="20"/>
        <v>License Plate Assy' Full LED - License Plate Lamp Left</v>
      </c>
      <c r="N661" s="157"/>
      <c r="O661" s="157"/>
      <c r="P661" s="159" t="s">
        <v>6100</v>
      </c>
      <c r="Q661" s="157"/>
      <c r="R661" s="157"/>
      <c r="S661" s="157"/>
      <c r="T661" s="157"/>
      <c r="U661" s="159" t="s">
        <v>2129</v>
      </c>
      <c r="V661" s="159" t="s">
        <v>2129</v>
      </c>
      <c r="W661" s="159" t="s">
        <v>2138</v>
      </c>
      <c r="X661" s="160">
        <v>0</v>
      </c>
      <c r="Y661" s="160">
        <v>0</v>
      </c>
      <c r="Z661" s="160">
        <v>1</v>
      </c>
      <c r="AA661" s="160">
        <v>1</v>
      </c>
    </row>
    <row r="662" spans="1:27" ht="18" customHeight="1" x14ac:dyDescent="0.25">
      <c r="A662" s="159">
        <v>1139</v>
      </c>
      <c r="B662" s="157" t="s">
        <v>29</v>
      </c>
      <c r="C662" s="157" t="s">
        <v>30</v>
      </c>
      <c r="D662" s="159" t="s">
        <v>181</v>
      </c>
      <c r="E662" s="157" t="s">
        <v>179</v>
      </c>
      <c r="F662" s="157" t="s">
        <v>1264</v>
      </c>
      <c r="G662" s="157" t="s">
        <v>1536</v>
      </c>
      <c r="H662" s="157" t="s">
        <v>1287</v>
      </c>
      <c r="I662" s="157" t="s">
        <v>8318</v>
      </c>
      <c r="J662" s="157" t="s">
        <v>1340</v>
      </c>
      <c r="K662" s="157" t="s">
        <v>1269</v>
      </c>
      <c r="L662" s="157" t="s">
        <v>9749</v>
      </c>
      <c r="M662" s="157" t="str">
        <f t="shared" si="20"/>
        <v>License Plate Assy' Full LED - License Plate Lamp Right</v>
      </c>
      <c r="N662" s="157"/>
      <c r="O662" s="157"/>
      <c r="P662" s="159" t="s">
        <v>5542</v>
      </c>
      <c r="Q662" s="157"/>
      <c r="R662" s="157"/>
      <c r="S662" s="157"/>
      <c r="T662" s="157"/>
      <c r="U662" s="159" t="s">
        <v>2129</v>
      </c>
      <c r="V662" s="159" t="s">
        <v>2129</v>
      </c>
      <c r="W662" s="159" t="s">
        <v>2138</v>
      </c>
      <c r="X662" s="160">
        <v>0</v>
      </c>
      <c r="Y662" s="160">
        <v>0</v>
      </c>
      <c r="Z662" s="160">
        <v>1</v>
      </c>
      <c r="AA662" s="160">
        <v>1</v>
      </c>
    </row>
    <row r="663" spans="1:27" ht="18" customHeight="1" x14ac:dyDescent="0.25">
      <c r="A663" s="159">
        <v>1157</v>
      </c>
      <c r="B663" s="157" t="s">
        <v>29</v>
      </c>
      <c r="C663" s="157" t="s">
        <v>82</v>
      </c>
      <c r="D663" s="159" t="s">
        <v>92</v>
      </c>
      <c r="E663" s="157" t="s">
        <v>90</v>
      </c>
      <c r="F663" s="157" t="s">
        <v>1264</v>
      </c>
      <c r="G663" s="157" t="s">
        <v>1278</v>
      </c>
      <c r="H663" s="157" t="s">
        <v>1294</v>
      </c>
      <c r="I663" s="157" t="s">
        <v>1544</v>
      </c>
      <c r="J663" s="157" t="s">
        <v>1296</v>
      </c>
      <c r="K663" s="157" t="s">
        <v>1281</v>
      </c>
      <c r="L663" s="157" t="s">
        <v>1282</v>
      </c>
      <c r="M663" s="157" t="str">
        <f t="shared" si="20"/>
        <v>User Selector - Door External Handle Command FR</v>
      </c>
      <c r="N663" s="157"/>
      <c r="O663" s="157"/>
      <c r="P663" s="159" t="s">
        <v>3620</v>
      </c>
      <c r="Q663" s="157"/>
      <c r="R663" s="157"/>
      <c r="S663" s="157"/>
      <c r="T663" s="157"/>
      <c r="U663" s="159" t="s">
        <v>2138</v>
      </c>
      <c r="V663" s="159" t="s">
        <v>2138</v>
      </c>
      <c r="W663" s="159" t="s">
        <v>2138</v>
      </c>
      <c r="X663" s="160">
        <v>0</v>
      </c>
      <c r="Y663" s="160">
        <v>0</v>
      </c>
      <c r="Z663" s="160">
        <v>0</v>
      </c>
      <c r="AA663" s="160">
        <v>0</v>
      </c>
    </row>
    <row r="664" spans="1:27" ht="18" customHeight="1" x14ac:dyDescent="0.25">
      <c r="A664" s="159">
        <v>1158</v>
      </c>
      <c r="B664" s="157" t="s">
        <v>29</v>
      </c>
      <c r="C664" s="157" t="s">
        <v>82</v>
      </c>
      <c r="D664" s="159" t="s">
        <v>92</v>
      </c>
      <c r="E664" s="157" t="s">
        <v>90</v>
      </c>
      <c r="F664" s="157" t="s">
        <v>1264</v>
      </c>
      <c r="G664" s="157" t="s">
        <v>1278</v>
      </c>
      <c r="H664" s="157" t="s">
        <v>1294</v>
      </c>
      <c r="I664" s="157" t="s">
        <v>1545</v>
      </c>
      <c r="J664" s="157" t="s">
        <v>1296</v>
      </c>
      <c r="K664" s="157" t="s">
        <v>1281</v>
      </c>
      <c r="L664" s="157" t="s">
        <v>1282</v>
      </c>
      <c r="M664" s="157" t="str">
        <f t="shared" si="20"/>
        <v>User Selector - Door External Handle Command FL</v>
      </c>
      <c r="N664" s="157"/>
      <c r="O664" s="157"/>
      <c r="P664" s="159" t="s">
        <v>8181</v>
      </c>
      <c r="Q664" s="157"/>
      <c r="R664" s="157"/>
      <c r="S664" s="157"/>
      <c r="T664" s="157"/>
      <c r="U664" s="159" t="s">
        <v>2138</v>
      </c>
      <c r="V664" s="159" t="s">
        <v>2138</v>
      </c>
      <c r="W664" s="159" t="s">
        <v>2138</v>
      </c>
      <c r="X664" s="160">
        <v>0</v>
      </c>
      <c r="Y664" s="160">
        <v>0</v>
      </c>
      <c r="Z664" s="160">
        <v>0</v>
      </c>
      <c r="AA664" s="160">
        <v>0</v>
      </c>
    </row>
    <row r="665" spans="1:27" ht="18" customHeight="1" x14ac:dyDescent="0.25">
      <c r="A665" s="159">
        <v>1165</v>
      </c>
      <c r="B665" s="157" t="s">
        <v>29</v>
      </c>
      <c r="C665" s="157" t="s">
        <v>120</v>
      </c>
      <c r="D665" s="159" t="s">
        <v>206</v>
      </c>
      <c r="E665" s="157" t="s">
        <v>204</v>
      </c>
      <c r="F665" s="157" t="s">
        <v>1264</v>
      </c>
      <c r="G665" s="157" t="s">
        <v>1278</v>
      </c>
      <c r="H665" s="157" t="s">
        <v>1546</v>
      </c>
      <c r="I665" s="157" t="s">
        <v>1547</v>
      </c>
      <c r="J665" s="157" t="s">
        <v>1285</v>
      </c>
      <c r="K665" s="157" t="s">
        <v>1269</v>
      </c>
      <c r="L665" s="157" t="s">
        <v>9605</v>
      </c>
      <c r="M665" s="157" t="str">
        <f t="shared" si="20"/>
        <v>Heater - - Heated Backlite</v>
      </c>
      <c r="N665" s="157"/>
      <c r="O665" s="157"/>
      <c r="P665" s="159" t="s">
        <v>4496</v>
      </c>
      <c r="Q665" s="157"/>
      <c r="R665" s="157"/>
      <c r="S665" s="157"/>
      <c r="T665" s="157"/>
      <c r="U665" s="159" t="s">
        <v>2138</v>
      </c>
      <c r="V665" s="159" t="s">
        <v>2138</v>
      </c>
      <c r="W665" s="159" t="s">
        <v>2138</v>
      </c>
      <c r="X665" s="160">
        <v>0</v>
      </c>
      <c r="Y665" s="160">
        <v>0.1</v>
      </c>
      <c r="Z665" s="160">
        <v>0.5</v>
      </c>
      <c r="AA665" s="160">
        <v>0.5</v>
      </c>
    </row>
    <row r="666" spans="1:27" ht="18" customHeight="1" x14ac:dyDescent="0.25">
      <c r="A666" s="159">
        <v>1166</v>
      </c>
      <c r="B666" s="157" t="s">
        <v>29</v>
      </c>
      <c r="C666" s="157" t="s">
        <v>120</v>
      </c>
      <c r="D666" s="159" t="s">
        <v>206</v>
      </c>
      <c r="E666" s="157" t="s">
        <v>204</v>
      </c>
      <c r="F666" s="157" t="s">
        <v>1264</v>
      </c>
      <c r="G666" s="157" t="s">
        <v>1278</v>
      </c>
      <c r="H666" s="157" t="s">
        <v>1546</v>
      </c>
      <c r="I666" s="157" t="s">
        <v>1547</v>
      </c>
      <c r="J666" s="157" t="s">
        <v>1285</v>
      </c>
      <c r="K666" s="157" t="s">
        <v>1269</v>
      </c>
      <c r="L666" s="157" t="s">
        <v>8242</v>
      </c>
      <c r="M666" s="157" t="str">
        <f t="shared" si="20"/>
        <v>Heater + - Heated Backlite</v>
      </c>
      <c r="N666" s="157"/>
      <c r="O666" s="157"/>
      <c r="P666" s="159" t="s">
        <v>7134</v>
      </c>
      <c r="Q666" s="157"/>
      <c r="R666" s="157"/>
      <c r="S666" s="157"/>
      <c r="T666" s="157"/>
      <c r="U666" s="159" t="s">
        <v>2138</v>
      </c>
      <c r="V666" s="159" t="s">
        <v>2138</v>
      </c>
      <c r="W666" s="159" t="s">
        <v>2138</v>
      </c>
      <c r="X666" s="160">
        <v>0</v>
      </c>
      <c r="Y666" s="160">
        <v>0.1</v>
      </c>
      <c r="Z666" s="160">
        <v>0.5</v>
      </c>
      <c r="AA666" s="160">
        <v>0.5</v>
      </c>
    </row>
    <row r="667" spans="1:27" ht="18" customHeight="1" x14ac:dyDescent="0.25">
      <c r="A667" s="159">
        <v>1173</v>
      </c>
      <c r="B667" s="157" t="s">
        <v>29</v>
      </c>
      <c r="C667" s="157" t="s">
        <v>30</v>
      </c>
      <c r="D667" s="159" t="s">
        <v>401</v>
      </c>
      <c r="E667" s="157" t="s">
        <v>399</v>
      </c>
      <c r="F667" s="157" t="s">
        <v>1277</v>
      </c>
      <c r="G667" s="157" t="s">
        <v>1536</v>
      </c>
      <c r="H667" s="157" t="s">
        <v>1287</v>
      </c>
      <c r="I667" s="157" t="s">
        <v>1548</v>
      </c>
      <c r="J667" s="157" t="s">
        <v>1549</v>
      </c>
      <c r="K667" s="157" t="s">
        <v>1281</v>
      </c>
      <c r="L667" s="157" t="s">
        <v>1550</v>
      </c>
      <c r="M667" s="157" t="str">
        <f t="shared" si="20"/>
        <v>Switch - User Selector - Hazard</v>
      </c>
      <c r="N667" s="157"/>
      <c r="O667" s="157"/>
      <c r="P667" s="159" t="s">
        <v>5738</v>
      </c>
      <c r="Q667" s="157"/>
      <c r="R667" s="157"/>
      <c r="S667" s="157"/>
      <c r="T667" s="157"/>
      <c r="U667" s="159" t="s">
        <v>2138</v>
      </c>
      <c r="V667" s="159" t="s">
        <v>2138</v>
      </c>
      <c r="W667" s="159" t="s">
        <v>2138</v>
      </c>
      <c r="X667" s="160">
        <v>0</v>
      </c>
      <c r="Y667" s="160">
        <v>0</v>
      </c>
      <c r="Z667" s="160">
        <v>1</v>
      </c>
      <c r="AA667" s="160">
        <v>1</v>
      </c>
    </row>
    <row r="668" spans="1:27" ht="18" customHeight="1" x14ac:dyDescent="0.25">
      <c r="A668" s="159">
        <v>1175</v>
      </c>
      <c r="B668" s="157" t="s">
        <v>199</v>
      </c>
      <c r="C668" s="157" t="s">
        <v>200</v>
      </c>
      <c r="D668" s="159" t="s">
        <v>480</v>
      </c>
      <c r="E668" s="157" t="s">
        <v>478</v>
      </c>
      <c r="F668" s="157" t="s">
        <v>1277</v>
      </c>
      <c r="G668" s="157" t="s">
        <v>1321</v>
      </c>
      <c r="H668" s="157" t="s">
        <v>1382</v>
      </c>
      <c r="I668" s="157" t="s">
        <v>1551</v>
      </c>
      <c r="J668" s="157" t="s">
        <v>1324</v>
      </c>
      <c r="K668" s="157" t="s">
        <v>1274</v>
      </c>
      <c r="L668" s="157" t="s">
        <v>1552</v>
      </c>
      <c r="M668" s="157" t="str">
        <f t="shared" si="20"/>
        <v>Management - Operation Management Redundant - Computing</v>
      </c>
      <c r="N668" s="157"/>
      <c r="O668" s="157"/>
      <c r="P668" s="159"/>
      <c r="Q668" s="157"/>
      <c r="R668" s="157"/>
      <c r="S668" s="157"/>
      <c r="T668" s="157"/>
      <c r="U668" s="159"/>
      <c r="V668" s="159"/>
      <c r="W668" s="159"/>
      <c r="X668" s="160"/>
      <c r="Y668" s="160"/>
      <c r="Z668" s="160"/>
      <c r="AA668" s="160"/>
    </row>
    <row r="669" spans="1:27" ht="18" customHeight="1" x14ac:dyDescent="0.25">
      <c r="A669" s="159">
        <v>1175</v>
      </c>
      <c r="B669" s="157" t="s">
        <v>199</v>
      </c>
      <c r="C669" s="157" t="s">
        <v>200</v>
      </c>
      <c r="D669" s="159" t="s">
        <v>484</v>
      </c>
      <c r="E669" s="157" t="s">
        <v>482</v>
      </c>
      <c r="F669" s="157" t="s">
        <v>1277</v>
      </c>
      <c r="G669" s="157" t="s">
        <v>1321</v>
      </c>
      <c r="H669" s="157" t="s">
        <v>1382</v>
      </c>
      <c r="I669" s="157" t="s">
        <v>1551</v>
      </c>
      <c r="J669" s="157" t="s">
        <v>1324</v>
      </c>
      <c r="K669" s="157" t="s">
        <v>1274</v>
      </c>
      <c r="L669" s="157" t="s">
        <v>1552</v>
      </c>
      <c r="M669" s="157" t="str">
        <f t="shared" si="20"/>
        <v>Management - Operation Management Redundant - Computing</v>
      </c>
      <c r="N669" s="157"/>
      <c r="O669" s="157"/>
      <c r="P669" s="159"/>
      <c r="Q669" s="157"/>
      <c r="R669" s="157"/>
      <c r="S669" s="157"/>
      <c r="T669" s="157"/>
      <c r="U669" s="159"/>
      <c r="V669" s="159"/>
      <c r="W669" s="159"/>
      <c r="X669" s="160"/>
      <c r="Y669" s="160"/>
      <c r="Z669" s="160"/>
      <c r="AA669" s="160"/>
    </row>
    <row r="670" spans="1:27" ht="18" customHeight="1" x14ac:dyDescent="0.25">
      <c r="A670" s="159">
        <v>1185</v>
      </c>
      <c r="B670" s="164" t="s">
        <v>29</v>
      </c>
      <c r="C670" s="164" t="s">
        <v>113</v>
      </c>
      <c r="D670" s="159" t="s">
        <v>932</v>
      </c>
      <c r="E670" s="164" t="s">
        <v>930</v>
      </c>
      <c r="F670" s="159"/>
      <c r="G670" s="157" t="s">
        <v>1349</v>
      </c>
      <c r="H670" s="157" t="s">
        <v>1418</v>
      </c>
      <c r="I670" s="157" t="s">
        <v>1555</v>
      </c>
      <c r="J670" s="157" t="s">
        <v>8296</v>
      </c>
      <c r="K670" s="157" t="s">
        <v>1352</v>
      </c>
      <c r="L670" s="157" t="s">
        <v>1556</v>
      </c>
      <c r="M670" s="157" t="str">
        <f t="shared" si="20"/>
        <v>Mono Camera - Front View</v>
      </c>
      <c r="N670" s="157"/>
      <c r="O670" s="157"/>
      <c r="P670" s="159" t="s">
        <v>5933</v>
      </c>
      <c r="Q670" s="157" t="s">
        <v>2115</v>
      </c>
      <c r="R670" s="157" t="s">
        <v>8603</v>
      </c>
      <c r="S670" s="157" t="s">
        <v>8613</v>
      </c>
      <c r="T670" s="157" t="s">
        <v>2134</v>
      </c>
      <c r="U670" s="159" t="s">
        <v>2129</v>
      </c>
      <c r="V670" s="159" t="s">
        <v>2138</v>
      </c>
      <c r="W670" s="159" t="s">
        <v>2129</v>
      </c>
      <c r="X670" s="160">
        <v>1</v>
      </c>
      <c r="Y670" s="160">
        <v>1</v>
      </c>
      <c r="Z670" s="160">
        <v>1</v>
      </c>
      <c r="AA670" s="160">
        <v>1</v>
      </c>
    </row>
    <row r="671" spans="1:27" ht="18" customHeight="1" x14ac:dyDescent="0.25">
      <c r="A671" s="159">
        <v>1185</v>
      </c>
      <c r="B671" s="164" t="s">
        <v>266</v>
      </c>
      <c r="C671" s="164" t="s">
        <v>286</v>
      </c>
      <c r="D671" s="159" t="s">
        <v>289</v>
      </c>
      <c r="E671" s="164" t="s">
        <v>287</v>
      </c>
      <c r="F671" s="159"/>
      <c r="G671" s="157" t="s">
        <v>1349</v>
      </c>
      <c r="H671" s="157" t="s">
        <v>1418</v>
      </c>
      <c r="I671" s="157" t="s">
        <v>1555</v>
      </c>
      <c r="J671" s="157" t="s">
        <v>8296</v>
      </c>
      <c r="K671" s="157" t="s">
        <v>1352</v>
      </c>
      <c r="L671" s="157" t="s">
        <v>1556</v>
      </c>
      <c r="M671" s="157" t="str">
        <f t="shared" si="20"/>
        <v>Mono Camera - Front View</v>
      </c>
      <c r="N671" s="157"/>
      <c r="O671" s="157"/>
      <c r="P671" s="159" t="s">
        <v>5933</v>
      </c>
      <c r="Q671" s="157" t="s">
        <v>2115</v>
      </c>
      <c r="R671" s="157" t="s">
        <v>8603</v>
      </c>
      <c r="S671" s="157" t="s">
        <v>8613</v>
      </c>
      <c r="T671" s="157" t="s">
        <v>2134</v>
      </c>
      <c r="U671" s="159" t="s">
        <v>2129</v>
      </c>
      <c r="V671" s="159" t="s">
        <v>2138</v>
      </c>
      <c r="W671" s="159" t="s">
        <v>2129</v>
      </c>
      <c r="X671" s="160">
        <v>1</v>
      </c>
      <c r="Y671" s="160">
        <v>1</v>
      </c>
      <c r="Z671" s="160">
        <v>1</v>
      </c>
      <c r="AA671" s="160">
        <v>1</v>
      </c>
    </row>
    <row r="672" spans="1:27" ht="18" customHeight="1" x14ac:dyDescent="0.25">
      <c r="A672" s="159">
        <v>1185</v>
      </c>
      <c r="B672" s="164" t="s">
        <v>266</v>
      </c>
      <c r="C672" s="164" t="s">
        <v>276</v>
      </c>
      <c r="D672" s="159" t="s">
        <v>317</v>
      </c>
      <c r="E672" s="164" t="s">
        <v>315</v>
      </c>
      <c r="F672" s="159"/>
      <c r="G672" s="157" t="s">
        <v>1349</v>
      </c>
      <c r="H672" s="157" t="s">
        <v>1418</v>
      </c>
      <c r="I672" s="157" t="s">
        <v>1555</v>
      </c>
      <c r="J672" s="157" t="s">
        <v>8296</v>
      </c>
      <c r="K672" s="157" t="s">
        <v>1352</v>
      </c>
      <c r="L672" s="157" t="s">
        <v>1556</v>
      </c>
      <c r="M672" s="157" t="str">
        <f t="shared" si="20"/>
        <v>Mono Camera - Front View</v>
      </c>
      <c r="N672" s="157"/>
      <c r="O672" s="157"/>
      <c r="P672" s="159" t="s">
        <v>5933</v>
      </c>
      <c r="Q672" s="157" t="s">
        <v>2115</v>
      </c>
      <c r="R672" s="157" t="s">
        <v>8603</v>
      </c>
      <c r="S672" s="157" t="s">
        <v>8613</v>
      </c>
      <c r="T672" s="157" t="s">
        <v>2134</v>
      </c>
      <c r="U672" s="159" t="s">
        <v>2129</v>
      </c>
      <c r="V672" s="159" t="s">
        <v>2138</v>
      </c>
      <c r="W672" s="159" t="s">
        <v>2129</v>
      </c>
      <c r="X672" s="160">
        <v>1</v>
      </c>
      <c r="Y672" s="160">
        <v>1</v>
      </c>
      <c r="Z672" s="160">
        <v>1</v>
      </c>
      <c r="AA672" s="160">
        <v>1</v>
      </c>
    </row>
    <row r="673" spans="1:27" ht="18" customHeight="1" x14ac:dyDescent="0.25">
      <c r="A673" s="159">
        <v>1185</v>
      </c>
      <c r="B673" s="164" t="s">
        <v>266</v>
      </c>
      <c r="C673" s="164" t="s">
        <v>276</v>
      </c>
      <c r="D673" s="159" t="s">
        <v>726</v>
      </c>
      <c r="E673" s="164" t="s">
        <v>724</v>
      </c>
      <c r="F673" s="159"/>
      <c r="G673" s="157" t="s">
        <v>1349</v>
      </c>
      <c r="H673" s="157" t="s">
        <v>1418</v>
      </c>
      <c r="I673" s="157" t="s">
        <v>1555</v>
      </c>
      <c r="J673" s="157" t="s">
        <v>8296</v>
      </c>
      <c r="K673" s="157" t="s">
        <v>1352</v>
      </c>
      <c r="L673" s="157" t="s">
        <v>1556</v>
      </c>
      <c r="M673" s="157" t="str">
        <f t="shared" si="20"/>
        <v>Mono Camera - Front View</v>
      </c>
      <c r="N673" s="157"/>
      <c r="O673" s="157"/>
      <c r="P673" s="159" t="s">
        <v>5933</v>
      </c>
      <c r="Q673" s="157" t="s">
        <v>2115</v>
      </c>
      <c r="R673" s="157" t="s">
        <v>8603</v>
      </c>
      <c r="S673" s="157" t="s">
        <v>8613</v>
      </c>
      <c r="T673" s="157" t="s">
        <v>2134</v>
      </c>
      <c r="U673" s="159" t="s">
        <v>2129</v>
      </c>
      <c r="V673" s="159" t="s">
        <v>2138</v>
      </c>
      <c r="W673" s="159" t="s">
        <v>2129</v>
      </c>
      <c r="X673" s="160">
        <v>1</v>
      </c>
      <c r="Y673" s="160">
        <v>1</v>
      </c>
      <c r="Z673" s="160">
        <v>1</v>
      </c>
      <c r="AA673" s="160">
        <v>1</v>
      </c>
    </row>
    <row r="674" spans="1:27" ht="18" customHeight="1" x14ac:dyDescent="0.25">
      <c r="A674" s="159">
        <v>1185</v>
      </c>
      <c r="B674" s="164" t="s">
        <v>266</v>
      </c>
      <c r="C674" s="164" t="s">
        <v>276</v>
      </c>
      <c r="D674" s="159" t="s">
        <v>734</v>
      </c>
      <c r="E674" s="164" t="s">
        <v>732</v>
      </c>
      <c r="F674" s="159"/>
      <c r="G674" s="157" t="s">
        <v>1349</v>
      </c>
      <c r="H674" s="157" t="s">
        <v>1418</v>
      </c>
      <c r="I674" s="157" t="s">
        <v>1555</v>
      </c>
      <c r="J674" s="157" t="s">
        <v>8296</v>
      </c>
      <c r="K674" s="157" t="s">
        <v>1352</v>
      </c>
      <c r="L674" s="157" t="s">
        <v>1556</v>
      </c>
      <c r="M674" s="157" t="str">
        <f t="shared" si="20"/>
        <v>Mono Camera - Front View</v>
      </c>
      <c r="N674" s="157"/>
      <c r="O674" s="157"/>
      <c r="P674" s="159" t="s">
        <v>5933</v>
      </c>
      <c r="Q674" s="157" t="s">
        <v>2115</v>
      </c>
      <c r="R674" s="157" t="s">
        <v>8603</v>
      </c>
      <c r="S674" s="157" t="s">
        <v>8613</v>
      </c>
      <c r="T674" s="157" t="s">
        <v>2134</v>
      </c>
      <c r="U674" s="159" t="s">
        <v>2129</v>
      </c>
      <c r="V674" s="159" t="s">
        <v>2138</v>
      </c>
      <c r="W674" s="159" t="s">
        <v>2129</v>
      </c>
      <c r="X674" s="160">
        <v>1</v>
      </c>
      <c r="Y674" s="160">
        <v>1</v>
      </c>
      <c r="Z674" s="160">
        <v>1</v>
      </c>
      <c r="AA674" s="160">
        <v>1</v>
      </c>
    </row>
    <row r="675" spans="1:27" ht="18" customHeight="1" x14ac:dyDescent="0.25">
      <c r="A675" s="159">
        <v>1185</v>
      </c>
      <c r="B675" s="164" t="s">
        <v>266</v>
      </c>
      <c r="C675" s="164" t="s">
        <v>294</v>
      </c>
      <c r="D675" s="159" t="s">
        <v>297</v>
      </c>
      <c r="E675" s="164" t="s">
        <v>295</v>
      </c>
      <c r="F675" s="159"/>
      <c r="G675" s="157" t="s">
        <v>1349</v>
      </c>
      <c r="H675" s="157" t="s">
        <v>1418</v>
      </c>
      <c r="I675" s="157" t="s">
        <v>1555</v>
      </c>
      <c r="J675" s="157" t="s">
        <v>8296</v>
      </c>
      <c r="K675" s="157" t="s">
        <v>1352</v>
      </c>
      <c r="L675" s="157" t="s">
        <v>1556</v>
      </c>
      <c r="M675" s="157" t="str">
        <f t="shared" si="20"/>
        <v>Mono Camera - Front View</v>
      </c>
      <c r="N675" s="157"/>
      <c r="O675" s="157"/>
      <c r="P675" s="159" t="s">
        <v>5933</v>
      </c>
      <c r="Q675" s="157" t="s">
        <v>2115</v>
      </c>
      <c r="R675" s="157" t="s">
        <v>8603</v>
      </c>
      <c r="S675" s="157" t="s">
        <v>8613</v>
      </c>
      <c r="T675" s="157" t="s">
        <v>2134</v>
      </c>
      <c r="U675" s="159" t="s">
        <v>2129</v>
      </c>
      <c r="V675" s="159" t="s">
        <v>2138</v>
      </c>
      <c r="W675" s="159" t="s">
        <v>2129</v>
      </c>
      <c r="X675" s="160">
        <v>1</v>
      </c>
      <c r="Y675" s="160">
        <v>1</v>
      </c>
      <c r="Z675" s="160">
        <v>1</v>
      </c>
      <c r="AA675" s="160">
        <v>1</v>
      </c>
    </row>
    <row r="676" spans="1:27" ht="18" customHeight="1" x14ac:dyDescent="0.25">
      <c r="A676" s="159">
        <v>1185</v>
      </c>
      <c r="B676" s="164" t="s">
        <v>266</v>
      </c>
      <c r="C676" s="164" t="s">
        <v>294</v>
      </c>
      <c r="D676" s="159" t="s">
        <v>298</v>
      </c>
      <c r="E676" s="164" t="s">
        <v>299</v>
      </c>
      <c r="F676" s="159"/>
      <c r="G676" s="157" t="s">
        <v>1349</v>
      </c>
      <c r="H676" s="157" t="s">
        <v>1418</v>
      </c>
      <c r="I676" s="157" t="s">
        <v>1555</v>
      </c>
      <c r="J676" s="157" t="s">
        <v>8296</v>
      </c>
      <c r="K676" s="157" t="s">
        <v>1352</v>
      </c>
      <c r="L676" s="157" t="s">
        <v>1556</v>
      </c>
      <c r="M676" s="157" t="str">
        <f t="shared" si="20"/>
        <v>Mono Camera - Front View</v>
      </c>
      <c r="N676" s="157"/>
      <c r="O676" s="157"/>
      <c r="P676" s="159" t="s">
        <v>5933</v>
      </c>
      <c r="Q676" s="157" t="s">
        <v>2115</v>
      </c>
      <c r="R676" s="157" t="s">
        <v>8603</v>
      </c>
      <c r="S676" s="157" t="s">
        <v>8613</v>
      </c>
      <c r="T676" s="157" t="s">
        <v>2134</v>
      </c>
      <c r="U676" s="159" t="s">
        <v>2129</v>
      </c>
      <c r="V676" s="159" t="s">
        <v>2138</v>
      </c>
      <c r="W676" s="159" t="s">
        <v>2129</v>
      </c>
      <c r="X676" s="160">
        <v>1</v>
      </c>
      <c r="Y676" s="160">
        <v>1</v>
      </c>
      <c r="Z676" s="160">
        <v>1</v>
      </c>
      <c r="AA676" s="160">
        <v>1</v>
      </c>
    </row>
    <row r="677" spans="1:27" ht="18" customHeight="1" x14ac:dyDescent="0.25">
      <c r="A677" s="159">
        <v>1185</v>
      </c>
      <c r="B677" s="164" t="s">
        <v>266</v>
      </c>
      <c r="C677" s="164" t="s">
        <v>294</v>
      </c>
      <c r="D677" s="159" t="s">
        <v>503</v>
      </c>
      <c r="E677" s="164" t="s">
        <v>501</v>
      </c>
      <c r="F677" s="159"/>
      <c r="G677" s="157" t="s">
        <v>1349</v>
      </c>
      <c r="H677" s="157" t="s">
        <v>1418</v>
      </c>
      <c r="I677" s="157" t="s">
        <v>1555</v>
      </c>
      <c r="J677" s="157" t="s">
        <v>8296</v>
      </c>
      <c r="K677" s="157" t="s">
        <v>1352</v>
      </c>
      <c r="L677" s="157" t="s">
        <v>1556</v>
      </c>
      <c r="M677" s="157" t="str">
        <f t="shared" si="20"/>
        <v>Mono Camera - Front View</v>
      </c>
      <c r="N677" s="157"/>
      <c r="O677" s="157"/>
      <c r="P677" s="159" t="s">
        <v>5933</v>
      </c>
      <c r="Q677" s="157" t="s">
        <v>2115</v>
      </c>
      <c r="R677" s="157" t="s">
        <v>8603</v>
      </c>
      <c r="S677" s="157" t="s">
        <v>8613</v>
      </c>
      <c r="T677" s="157" t="s">
        <v>2134</v>
      </c>
      <c r="U677" s="159" t="s">
        <v>2129</v>
      </c>
      <c r="V677" s="159" t="s">
        <v>2138</v>
      </c>
      <c r="W677" s="159" t="s">
        <v>2129</v>
      </c>
      <c r="X677" s="160">
        <v>1</v>
      </c>
      <c r="Y677" s="160">
        <v>1</v>
      </c>
      <c r="Z677" s="160">
        <v>1</v>
      </c>
      <c r="AA677" s="160">
        <v>1</v>
      </c>
    </row>
    <row r="678" spans="1:27" ht="18" customHeight="1" x14ac:dyDescent="0.25">
      <c r="A678" s="159">
        <v>1185</v>
      </c>
      <c r="B678" s="164" t="s">
        <v>266</v>
      </c>
      <c r="C678" s="164" t="s">
        <v>294</v>
      </c>
      <c r="D678" s="159" t="s">
        <v>692</v>
      </c>
      <c r="E678" s="164" t="s">
        <v>690</v>
      </c>
      <c r="F678" s="159"/>
      <c r="G678" s="157" t="s">
        <v>1349</v>
      </c>
      <c r="H678" s="157" t="s">
        <v>1418</v>
      </c>
      <c r="I678" s="157" t="s">
        <v>1555</v>
      </c>
      <c r="J678" s="157" t="s">
        <v>8296</v>
      </c>
      <c r="K678" s="157" t="s">
        <v>1352</v>
      </c>
      <c r="L678" s="157" t="s">
        <v>1556</v>
      </c>
      <c r="M678" s="157" t="str">
        <f t="shared" si="20"/>
        <v>Mono Camera - Front View</v>
      </c>
      <c r="N678" s="157"/>
      <c r="O678" s="157"/>
      <c r="P678" s="159" t="s">
        <v>5933</v>
      </c>
      <c r="Q678" s="157" t="s">
        <v>2115</v>
      </c>
      <c r="R678" s="157" t="s">
        <v>8603</v>
      </c>
      <c r="S678" s="157" t="s">
        <v>8613</v>
      </c>
      <c r="T678" s="157" t="s">
        <v>2134</v>
      </c>
      <c r="U678" s="159" t="s">
        <v>2129</v>
      </c>
      <c r="V678" s="159" t="s">
        <v>2138</v>
      </c>
      <c r="W678" s="159" t="s">
        <v>2129</v>
      </c>
      <c r="X678" s="160">
        <v>1</v>
      </c>
      <c r="Y678" s="160">
        <v>1</v>
      </c>
      <c r="Z678" s="160">
        <v>1</v>
      </c>
      <c r="AA678" s="160">
        <v>1</v>
      </c>
    </row>
    <row r="679" spans="1:27" ht="18" customHeight="1" x14ac:dyDescent="0.25">
      <c r="A679" s="159">
        <v>1185</v>
      </c>
      <c r="B679" s="164" t="s">
        <v>266</v>
      </c>
      <c r="C679" s="164" t="s">
        <v>294</v>
      </c>
      <c r="D679" s="159" t="s">
        <v>1177</v>
      </c>
      <c r="E679" s="164" t="s">
        <v>1175</v>
      </c>
      <c r="F679" s="159"/>
      <c r="G679" s="157" t="s">
        <v>1349</v>
      </c>
      <c r="H679" s="157" t="s">
        <v>1418</v>
      </c>
      <c r="I679" s="157" t="s">
        <v>1555</v>
      </c>
      <c r="J679" s="157" t="s">
        <v>8296</v>
      </c>
      <c r="K679" s="157" t="s">
        <v>1352</v>
      </c>
      <c r="L679" s="157" t="s">
        <v>1556</v>
      </c>
      <c r="M679" s="157" t="str">
        <f t="shared" si="20"/>
        <v>Mono Camera - Front View</v>
      </c>
      <c r="N679" s="157"/>
      <c r="O679" s="157"/>
      <c r="P679" s="159" t="s">
        <v>5933</v>
      </c>
      <c r="Q679" s="157" t="s">
        <v>2115</v>
      </c>
      <c r="R679" s="157" t="s">
        <v>8603</v>
      </c>
      <c r="S679" s="157" t="s">
        <v>8613</v>
      </c>
      <c r="T679" s="157" t="s">
        <v>2134</v>
      </c>
      <c r="U679" s="159" t="s">
        <v>2129</v>
      </c>
      <c r="V679" s="159" t="s">
        <v>2138</v>
      </c>
      <c r="W679" s="159" t="s">
        <v>2129</v>
      </c>
      <c r="X679" s="160">
        <v>1</v>
      </c>
      <c r="Y679" s="160">
        <v>1</v>
      </c>
      <c r="Z679" s="160">
        <v>1</v>
      </c>
      <c r="AA679" s="160">
        <v>1</v>
      </c>
    </row>
    <row r="680" spans="1:27" ht="18" customHeight="1" x14ac:dyDescent="0.25">
      <c r="A680" s="159">
        <v>1185</v>
      </c>
      <c r="B680" s="164" t="s">
        <v>266</v>
      </c>
      <c r="C680" s="164" t="s">
        <v>294</v>
      </c>
      <c r="D680" s="159" t="s">
        <v>1178</v>
      </c>
      <c r="E680" s="164" t="s">
        <v>1179</v>
      </c>
      <c r="F680" s="159"/>
      <c r="G680" s="157" t="s">
        <v>1349</v>
      </c>
      <c r="H680" s="157" t="s">
        <v>1418</v>
      </c>
      <c r="I680" s="157" t="s">
        <v>1555</v>
      </c>
      <c r="J680" s="157" t="s">
        <v>8296</v>
      </c>
      <c r="K680" s="157" t="s">
        <v>1352</v>
      </c>
      <c r="L680" s="157" t="s">
        <v>1556</v>
      </c>
      <c r="M680" s="157" t="str">
        <f t="shared" si="20"/>
        <v>Mono Camera - Front View</v>
      </c>
      <c r="N680" s="157"/>
      <c r="O680" s="157"/>
      <c r="P680" s="159" t="s">
        <v>5933</v>
      </c>
      <c r="Q680" s="157" t="s">
        <v>2115</v>
      </c>
      <c r="R680" s="157" t="s">
        <v>8603</v>
      </c>
      <c r="S680" s="157" t="s">
        <v>8613</v>
      </c>
      <c r="T680" s="157" t="s">
        <v>2134</v>
      </c>
      <c r="U680" s="159" t="s">
        <v>2129</v>
      </c>
      <c r="V680" s="159" t="s">
        <v>2138</v>
      </c>
      <c r="W680" s="159" t="s">
        <v>2129</v>
      </c>
      <c r="X680" s="160">
        <v>1</v>
      </c>
      <c r="Y680" s="160">
        <v>1</v>
      </c>
      <c r="Z680" s="160">
        <v>1</v>
      </c>
      <c r="AA680" s="160">
        <v>1</v>
      </c>
    </row>
    <row r="681" spans="1:27" ht="18" customHeight="1" x14ac:dyDescent="0.25">
      <c r="A681" s="159">
        <v>1185</v>
      </c>
      <c r="B681" s="164" t="s">
        <v>266</v>
      </c>
      <c r="C681" s="164" t="s">
        <v>294</v>
      </c>
      <c r="D681" s="159" t="s">
        <v>1207</v>
      </c>
      <c r="E681" s="164" t="s">
        <v>1205</v>
      </c>
      <c r="F681" s="159"/>
      <c r="G681" s="157" t="s">
        <v>1349</v>
      </c>
      <c r="H681" s="157" t="s">
        <v>1418</v>
      </c>
      <c r="I681" s="157" t="s">
        <v>1555</v>
      </c>
      <c r="J681" s="157" t="s">
        <v>8296</v>
      </c>
      <c r="K681" s="157" t="s">
        <v>1352</v>
      </c>
      <c r="L681" s="157" t="s">
        <v>1556</v>
      </c>
      <c r="M681" s="157" t="str">
        <f t="shared" si="20"/>
        <v>Mono Camera - Front View</v>
      </c>
      <c r="N681" s="157"/>
      <c r="O681" s="157"/>
      <c r="P681" s="159" t="s">
        <v>5933</v>
      </c>
      <c r="Q681" s="157" t="s">
        <v>2115</v>
      </c>
      <c r="R681" s="157" t="s">
        <v>8603</v>
      </c>
      <c r="S681" s="157" t="s">
        <v>8613</v>
      </c>
      <c r="T681" s="157" t="s">
        <v>2134</v>
      </c>
      <c r="U681" s="159" t="s">
        <v>2129</v>
      </c>
      <c r="V681" s="159" t="s">
        <v>2138</v>
      </c>
      <c r="W681" s="159" t="s">
        <v>2129</v>
      </c>
      <c r="X681" s="160">
        <v>1</v>
      </c>
      <c r="Y681" s="160">
        <v>1</v>
      </c>
      <c r="Z681" s="160">
        <v>1</v>
      </c>
      <c r="AA681" s="160">
        <v>1</v>
      </c>
    </row>
    <row r="682" spans="1:27" ht="18" customHeight="1" x14ac:dyDescent="0.25">
      <c r="A682" s="159">
        <v>1185</v>
      </c>
      <c r="B682" s="164" t="s">
        <v>266</v>
      </c>
      <c r="C682" s="164" t="s">
        <v>514</v>
      </c>
      <c r="D682" s="159" t="s">
        <v>517</v>
      </c>
      <c r="E682" s="164" t="s">
        <v>515</v>
      </c>
      <c r="F682" s="159"/>
      <c r="G682" s="157" t="s">
        <v>1349</v>
      </c>
      <c r="H682" s="157" t="s">
        <v>1418</v>
      </c>
      <c r="I682" s="157" t="s">
        <v>1555</v>
      </c>
      <c r="J682" s="157" t="s">
        <v>8296</v>
      </c>
      <c r="K682" s="157" t="s">
        <v>1352</v>
      </c>
      <c r="L682" s="157" t="s">
        <v>1556</v>
      </c>
      <c r="M682" s="157" t="str">
        <f t="shared" si="20"/>
        <v>Mono Camera - Front View</v>
      </c>
      <c r="N682" s="157"/>
      <c r="O682" s="157"/>
      <c r="P682" s="159" t="s">
        <v>5933</v>
      </c>
      <c r="Q682" s="157" t="s">
        <v>2115</v>
      </c>
      <c r="R682" s="157" t="s">
        <v>8603</v>
      </c>
      <c r="S682" s="157" t="s">
        <v>8613</v>
      </c>
      <c r="T682" s="157" t="s">
        <v>2134</v>
      </c>
      <c r="U682" s="159" t="s">
        <v>2129</v>
      </c>
      <c r="V682" s="159" t="s">
        <v>2138</v>
      </c>
      <c r="W682" s="159" t="s">
        <v>2129</v>
      </c>
      <c r="X682" s="160">
        <v>1</v>
      </c>
      <c r="Y682" s="160">
        <v>1</v>
      </c>
      <c r="Z682" s="160">
        <v>1</v>
      </c>
      <c r="AA682" s="160">
        <v>1</v>
      </c>
    </row>
    <row r="683" spans="1:27" ht="18" customHeight="1" x14ac:dyDescent="0.25">
      <c r="A683" s="159">
        <v>1185</v>
      </c>
      <c r="B683" s="164" t="s">
        <v>266</v>
      </c>
      <c r="C683" s="164" t="s">
        <v>514</v>
      </c>
      <c r="D683" s="159" t="s">
        <v>793</v>
      </c>
      <c r="E683" s="164" t="s">
        <v>791</v>
      </c>
      <c r="F683" s="159"/>
      <c r="G683" s="157" t="s">
        <v>1349</v>
      </c>
      <c r="H683" s="157" t="s">
        <v>1418</v>
      </c>
      <c r="I683" s="157" t="s">
        <v>1555</v>
      </c>
      <c r="J683" s="157" t="s">
        <v>8296</v>
      </c>
      <c r="K683" s="157" t="s">
        <v>1352</v>
      </c>
      <c r="L683" s="157" t="s">
        <v>1556</v>
      </c>
      <c r="M683" s="157" t="str">
        <f t="shared" si="20"/>
        <v>Mono Camera - Front View</v>
      </c>
      <c r="N683" s="157"/>
      <c r="O683" s="157"/>
      <c r="P683" s="159" t="s">
        <v>5933</v>
      </c>
      <c r="Q683" s="157" t="s">
        <v>2115</v>
      </c>
      <c r="R683" s="157" t="s">
        <v>8603</v>
      </c>
      <c r="S683" s="157" t="s">
        <v>8613</v>
      </c>
      <c r="T683" s="157" t="s">
        <v>2134</v>
      </c>
      <c r="U683" s="159" t="s">
        <v>2129</v>
      </c>
      <c r="V683" s="159" t="s">
        <v>2138</v>
      </c>
      <c r="W683" s="159" t="s">
        <v>2129</v>
      </c>
      <c r="X683" s="160">
        <v>1</v>
      </c>
      <c r="Y683" s="160">
        <v>1</v>
      </c>
      <c r="Z683" s="160">
        <v>1</v>
      </c>
      <c r="AA683" s="160">
        <v>1</v>
      </c>
    </row>
    <row r="684" spans="1:27" ht="18" customHeight="1" x14ac:dyDescent="0.25">
      <c r="A684" s="159">
        <v>1185</v>
      </c>
      <c r="B684" s="164" t="s">
        <v>266</v>
      </c>
      <c r="C684" s="164" t="s">
        <v>514</v>
      </c>
      <c r="D684" s="159" t="s">
        <v>731</v>
      </c>
      <c r="E684" s="164" t="s">
        <v>795</v>
      </c>
      <c r="F684" s="159"/>
      <c r="G684" s="157" t="s">
        <v>1349</v>
      </c>
      <c r="H684" s="157" t="s">
        <v>1418</v>
      </c>
      <c r="I684" s="157" t="s">
        <v>1555</v>
      </c>
      <c r="J684" s="157" t="s">
        <v>8296</v>
      </c>
      <c r="K684" s="157" t="s">
        <v>1352</v>
      </c>
      <c r="L684" s="157" t="s">
        <v>1556</v>
      </c>
      <c r="M684" s="157" t="str">
        <f t="shared" si="20"/>
        <v>Mono Camera - Front View</v>
      </c>
      <c r="N684" s="157"/>
      <c r="O684" s="157"/>
      <c r="P684" s="159" t="s">
        <v>5933</v>
      </c>
      <c r="Q684" s="157" t="s">
        <v>2115</v>
      </c>
      <c r="R684" s="157" t="s">
        <v>8603</v>
      </c>
      <c r="S684" s="157" t="s">
        <v>8613</v>
      </c>
      <c r="T684" s="157" t="s">
        <v>2134</v>
      </c>
      <c r="U684" s="159" t="s">
        <v>2129</v>
      </c>
      <c r="V684" s="159" t="s">
        <v>2138</v>
      </c>
      <c r="W684" s="159" t="s">
        <v>2129</v>
      </c>
      <c r="X684" s="160">
        <v>1</v>
      </c>
      <c r="Y684" s="160">
        <v>1</v>
      </c>
      <c r="Z684" s="160">
        <v>1</v>
      </c>
      <c r="AA684" s="160">
        <v>1</v>
      </c>
    </row>
    <row r="685" spans="1:27" ht="18" customHeight="1" x14ac:dyDescent="0.25">
      <c r="A685" s="159">
        <v>1185</v>
      </c>
      <c r="B685" s="164" t="s">
        <v>266</v>
      </c>
      <c r="C685" s="164" t="s">
        <v>514</v>
      </c>
      <c r="D685" s="159" t="s">
        <v>1170</v>
      </c>
      <c r="E685" s="164" t="s">
        <v>1168</v>
      </c>
      <c r="F685" s="159"/>
      <c r="G685" s="157" t="s">
        <v>1349</v>
      </c>
      <c r="H685" s="157" t="s">
        <v>1418</v>
      </c>
      <c r="I685" s="157" t="s">
        <v>1555</v>
      </c>
      <c r="J685" s="157" t="s">
        <v>8296</v>
      </c>
      <c r="K685" s="157" t="s">
        <v>1352</v>
      </c>
      <c r="L685" s="157" t="s">
        <v>1556</v>
      </c>
      <c r="M685" s="157" t="str">
        <f t="shared" si="20"/>
        <v>Mono Camera - Front View</v>
      </c>
      <c r="N685" s="157"/>
      <c r="O685" s="157"/>
      <c r="P685" s="159" t="s">
        <v>5933</v>
      </c>
      <c r="Q685" s="157" t="s">
        <v>2115</v>
      </c>
      <c r="R685" s="157" t="s">
        <v>8603</v>
      </c>
      <c r="S685" s="157" t="s">
        <v>8613</v>
      </c>
      <c r="T685" s="157" t="s">
        <v>2134</v>
      </c>
      <c r="U685" s="159" t="s">
        <v>2129</v>
      </c>
      <c r="V685" s="159" t="s">
        <v>2138</v>
      </c>
      <c r="W685" s="159" t="s">
        <v>2129</v>
      </c>
      <c r="X685" s="160">
        <v>1</v>
      </c>
      <c r="Y685" s="160">
        <v>1</v>
      </c>
      <c r="Z685" s="160">
        <v>1</v>
      </c>
      <c r="AA685" s="160">
        <v>1</v>
      </c>
    </row>
    <row r="686" spans="1:27" ht="18" customHeight="1" x14ac:dyDescent="0.25">
      <c r="A686" s="159">
        <v>1185</v>
      </c>
      <c r="B686" s="164" t="s">
        <v>266</v>
      </c>
      <c r="C686" s="164" t="s">
        <v>514</v>
      </c>
      <c r="D686" s="159" t="s">
        <v>1171</v>
      </c>
      <c r="E686" s="164" t="s">
        <v>1223</v>
      </c>
      <c r="F686" s="159"/>
      <c r="G686" s="157" t="s">
        <v>1349</v>
      </c>
      <c r="H686" s="157" t="s">
        <v>1418</v>
      </c>
      <c r="I686" s="157" t="s">
        <v>1555</v>
      </c>
      <c r="J686" s="157" t="s">
        <v>8296</v>
      </c>
      <c r="K686" s="157" t="s">
        <v>1352</v>
      </c>
      <c r="L686" s="157" t="s">
        <v>1556</v>
      </c>
      <c r="M686" s="157" t="str">
        <f t="shared" si="20"/>
        <v>Mono Camera - Front View</v>
      </c>
      <c r="N686" s="157"/>
      <c r="O686" s="157"/>
      <c r="P686" s="159" t="s">
        <v>5933</v>
      </c>
      <c r="Q686" s="157" t="s">
        <v>2115</v>
      </c>
      <c r="R686" s="157" t="s">
        <v>8603</v>
      </c>
      <c r="S686" s="157" t="s">
        <v>8613</v>
      </c>
      <c r="T686" s="157" t="s">
        <v>2134</v>
      </c>
      <c r="U686" s="159" t="s">
        <v>2129</v>
      </c>
      <c r="V686" s="159" t="s">
        <v>2138</v>
      </c>
      <c r="W686" s="159" t="s">
        <v>2129</v>
      </c>
      <c r="X686" s="160">
        <v>1</v>
      </c>
      <c r="Y686" s="160">
        <v>1</v>
      </c>
      <c r="Z686" s="160">
        <v>1</v>
      </c>
      <c r="AA686" s="160">
        <v>1</v>
      </c>
    </row>
    <row r="687" spans="1:27" ht="18" customHeight="1" x14ac:dyDescent="0.25">
      <c r="A687" s="159">
        <v>1185</v>
      </c>
      <c r="B687" s="164" t="s">
        <v>266</v>
      </c>
      <c r="C687" s="164" t="s">
        <v>519</v>
      </c>
      <c r="D687" s="159" t="s">
        <v>522</v>
      </c>
      <c r="E687" s="164" t="s">
        <v>520</v>
      </c>
      <c r="F687" s="159"/>
      <c r="G687" s="157" t="s">
        <v>1349</v>
      </c>
      <c r="H687" s="157" t="s">
        <v>1418</v>
      </c>
      <c r="I687" s="157" t="s">
        <v>1555</v>
      </c>
      <c r="J687" s="157" t="s">
        <v>8296</v>
      </c>
      <c r="K687" s="157" t="s">
        <v>1352</v>
      </c>
      <c r="L687" s="157" t="s">
        <v>1556</v>
      </c>
      <c r="M687" s="157" t="str">
        <f t="shared" si="20"/>
        <v>Mono Camera - Front View</v>
      </c>
      <c r="N687" s="157"/>
      <c r="O687" s="157"/>
      <c r="P687" s="159" t="s">
        <v>5933</v>
      </c>
      <c r="Q687" s="157" t="s">
        <v>2115</v>
      </c>
      <c r="R687" s="157" t="s">
        <v>8603</v>
      </c>
      <c r="S687" s="157" t="s">
        <v>8613</v>
      </c>
      <c r="T687" s="157" t="s">
        <v>2134</v>
      </c>
      <c r="U687" s="159" t="s">
        <v>2129</v>
      </c>
      <c r="V687" s="159" t="s">
        <v>2138</v>
      </c>
      <c r="W687" s="159" t="s">
        <v>2129</v>
      </c>
      <c r="X687" s="160">
        <v>1</v>
      </c>
      <c r="Y687" s="160">
        <v>1</v>
      </c>
      <c r="Z687" s="160">
        <v>1</v>
      </c>
      <c r="AA687" s="160">
        <v>1</v>
      </c>
    </row>
    <row r="688" spans="1:27" ht="18" customHeight="1" x14ac:dyDescent="0.25">
      <c r="A688" s="159">
        <v>1185</v>
      </c>
      <c r="B688" s="164" t="s">
        <v>266</v>
      </c>
      <c r="C688" s="164" t="s">
        <v>519</v>
      </c>
      <c r="D688" s="159" t="s">
        <v>935</v>
      </c>
      <c r="E688" s="164" t="s">
        <v>933</v>
      </c>
      <c r="F688" s="159"/>
      <c r="G688" s="157" t="s">
        <v>1349</v>
      </c>
      <c r="H688" s="157" t="s">
        <v>1418</v>
      </c>
      <c r="I688" s="157" t="s">
        <v>1555</v>
      </c>
      <c r="J688" s="157" t="s">
        <v>8296</v>
      </c>
      <c r="K688" s="157" t="s">
        <v>1352</v>
      </c>
      <c r="L688" s="157" t="s">
        <v>1556</v>
      </c>
      <c r="M688" s="157" t="str">
        <f t="shared" si="20"/>
        <v>Mono Camera - Front View</v>
      </c>
      <c r="N688" s="157"/>
      <c r="O688" s="157"/>
      <c r="P688" s="159" t="s">
        <v>5933</v>
      </c>
      <c r="Q688" s="157" t="s">
        <v>2115</v>
      </c>
      <c r="R688" s="157" t="s">
        <v>8603</v>
      </c>
      <c r="S688" s="157" t="s">
        <v>8613</v>
      </c>
      <c r="T688" s="157" t="s">
        <v>2134</v>
      </c>
      <c r="U688" s="159" t="s">
        <v>2129</v>
      </c>
      <c r="V688" s="159" t="s">
        <v>2138</v>
      </c>
      <c r="W688" s="159" t="s">
        <v>2129</v>
      </c>
      <c r="X688" s="160">
        <v>1</v>
      </c>
      <c r="Y688" s="160">
        <v>1</v>
      </c>
      <c r="Z688" s="160">
        <v>1</v>
      </c>
      <c r="AA688" s="160">
        <v>1</v>
      </c>
    </row>
    <row r="689" spans="1:27" ht="18" customHeight="1" x14ac:dyDescent="0.25">
      <c r="A689" s="159">
        <v>1185</v>
      </c>
      <c r="B689" s="164" t="s">
        <v>266</v>
      </c>
      <c r="C689" s="164" t="s">
        <v>519</v>
      </c>
      <c r="D689" s="159" t="s">
        <v>1151</v>
      </c>
      <c r="E689" s="164" t="s">
        <v>1149</v>
      </c>
      <c r="F689" s="159"/>
      <c r="G689" s="157" t="s">
        <v>1349</v>
      </c>
      <c r="H689" s="157" t="s">
        <v>1418</v>
      </c>
      <c r="I689" s="157" t="s">
        <v>1555</v>
      </c>
      <c r="J689" s="157" t="s">
        <v>8296</v>
      </c>
      <c r="K689" s="157" t="s">
        <v>1352</v>
      </c>
      <c r="L689" s="157" t="s">
        <v>1556</v>
      </c>
      <c r="M689" s="157" t="str">
        <f t="shared" si="20"/>
        <v>Mono Camera - Front View</v>
      </c>
      <c r="N689" s="157"/>
      <c r="O689" s="157"/>
      <c r="P689" s="159" t="s">
        <v>5933</v>
      </c>
      <c r="Q689" s="157" t="s">
        <v>2115</v>
      </c>
      <c r="R689" s="157" t="s">
        <v>8603</v>
      </c>
      <c r="S689" s="157" t="s">
        <v>8613</v>
      </c>
      <c r="T689" s="157" t="s">
        <v>2134</v>
      </c>
      <c r="U689" s="159" t="s">
        <v>2129</v>
      </c>
      <c r="V689" s="159" t="s">
        <v>2138</v>
      </c>
      <c r="W689" s="159" t="s">
        <v>2129</v>
      </c>
      <c r="X689" s="160">
        <v>1</v>
      </c>
      <c r="Y689" s="160">
        <v>1</v>
      </c>
      <c r="Z689" s="160">
        <v>1</v>
      </c>
      <c r="AA689" s="160">
        <v>1</v>
      </c>
    </row>
    <row r="690" spans="1:27" ht="18" customHeight="1" x14ac:dyDescent="0.25">
      <c r="A690" s="159">
        <v>1196</v>
      </c>
      <c r="B690" s="164" t="s">
        <v>29</v>
      </c>
      <c r="C690" s="164" t="s">
        <v>113</v>
      </c>
      <c r="D690" s="159" t="s">
        <v>932</v>
      </c>
      <c r="E690" s="164" t="s">
        <v>930</v>
      </c>
      <c r="F690" s="159"/>
      <c r="G690" s="157" t="s">
        <v>1349</v>
      </c>
      <c r="H690" s="157" t="s">
        <v>1418</v>
      </c>
      <c r="I690" s="157" t="s">
        <v>1557</v>
      </c>
      <c r="J690" s="157" t="s">
        <v>8296</v>
      </c>
      <c r="K690" s="157" t="s">
        <v>1352</v>
      </c>
      <c r="L690" s="157" t="s">
        <v>1558</v>
      </c>
      <c r="M690" s="157" t="str">
        <f t="shared" si="20"/>
        <v>Fisheye Camera - Wide Rear View</v>
      </c>
      <c r="N690" s="157"/>
      <c r="O690" s="157"/>
      <c r="P690" s="159" t="s">
        <v>5819</v>
      </c>
      <c r="Q690" s="157" t="s">
        <v>2115</v>
      </c>
      <c r="R690" s="157" t="s">
        <v>8601</v>
      </c>
      <c r="S690" s="157" t="s">
        <v>8613</v>
      </c>
      <c r="T690" s="157" t="s">
        <v>2134</v>
      </c>
      <c r="U690" s="159" t="s">
        <v>2129</v>
      </c>
      <c r="V690" s="159" t="s">
        <v>2138</v>
      </c>
      <c r="W690" s="159" t="s">
        <v>2129</v>
      </c>
      <c r="X690" s="160">
        <v>1</v>
      </c>
      <c r="Y690" s="160">
        <v>1</v>
      </c>
      <c r="Z690" s="160">
        <v>1</v>
      </c>
      <c r="AA690" s="160">
        <v>1</v>
      </c>
    </row>
    <row r="691" spans="1:27" ht="18" customHeight="1" x14ac:dyDescent="0.25">
      <c r="A691" s="159">
        <v>1196</v>
      </c>
      <c r="B691" s="164" t="s">
        <v>266</v>
      </c>
      <c r="C691" s="164" t="s">
        <v>286</v>
      </c>
      <c r="D691" s="159" t="s">
        <v>289</v>
      </c>
      <c r="E691" s="164" t="s">
        <v>287</v>
      </c>
      <c r="F691" s="159"/>
      <c r="G691" s="157" t="s">
        <v>1349</v>
      </c>
      <c r="H691" s="157" t="s">
        <v>1418</v>
      </c>
      <c r="I691" s="157" t="s">
        <v>1557</v>
      </c>
      <c r="J691" s="157" t="s">
        <v>8296</v>
      </c>
      <c r="K691" s="157" t="s">
        <v>1352</v>
      </c>
      <c r="L691" s="157" t="s">
        <v>1558</v>
      </c>
      <c r="M691" s="157" t="str">
        <f t="shared" si="20"/>
        <v>Fisheye Camera - Wide Rear View</v>
      </c>
      <c r="N691" s="157"/>
      <c r="O691" s="157"/>
      <c r="P691" s="159" t="s">
        <v>5819</v>
      </c>
      <c r="Q691" s="157" t="s">
        <v>2115</v>
      </c>
      <c r="R691" s="157" t="s">
        <v>8601</v>
      </c>
      <c r="S691" s="157" t="s">
        <v>8613</v>
      </c>
      <c r="T691" s="157" t="s">
        <v>2134</v>
      </c>
      <c r="U691" s="159" t="s">
        <v>2129</v>
      </c>
      <c r="V691" s="159" t="s">
        <v>2138</v>
      </c>
      <c r="W691" s="159" t="s">
        <v>2129</v>
      </c>
      <c r="X691" s="160">
        <v>1</v>
      </c>
      <c r="Y691" s="160">
        <v>1</v>
      </c>
      <c r="Z691" s="160">
        <v>1</v>
      </c>
      <c r="AA691" s="160">
        <v>1</v>
      </c>
    </row>
    <row r="692" spans="1:27" ht="18" customHeight="1" x14ac:dyDescent="0.25">
      <c r="A692" s="159">
        <v>1196</v>
      </c>
      <c r="B692" s="164" t="s">
        <v>266</v>
      </c>
      <c r="C692" s="164" t="s">
        <v>276</v>
      </c>
      <c r="D692" s="159" t="s">
        <v>317</v>
      </c>
      <c r="E692" s="164" t="s">
        <v>315</v>
      </c>
      <c r="F692" s="159"/>
      <c r="G692" s="157" t="s">
        <v>1349</v>
      </c>
      <c r="H692" s="157" t="s">
        <v>1418</v>
      </c>
      <c r="I692" s="157" t="s">
        <v>1557</v>
      </c>
      <c r="J692" s="157" t="s">
        <v>8296</v>
      </c>
      <c r="K692" s="157" t="s">
        <v>1352</v>
      </c>
      <c r="L692" s="157" t="s">
        <v>1558</v>
      </c>
      <c r="M692" s="157" t="str">
        <f t="shared" si="20"/>
        <v>Fisheye Camera - Wide Rear View</v>
      </c>
      <c r="N692" s="157"/>
      <c r="O692" s="157"/>
      <c r="P692" s="159" t="s">
        <v>5819</v>
      </c>
      <c r="Q692" s="157" t="s">
        <v>2115</v>
      </c>
      <c r="R692" s="157" t="s">
        <v>8601</v>
      </c>
      <c r="S692" s="157" t="s">
        <v>8613</v>
      </c>
      <c r="T692" s="157" t="s">
        <v>2134</v>
      </c>
      <c r="U692" s="159" t="s">
        <v>2129</v>
      </c>
      <c r="V692" s="159" t="s">
        <v>2138</v>
      </c>
      <c r="W692" s="159" t="s">
        <v>2129</v>
      </c>
      <c r="X692" s="160">
        <v>1</v>
      </c>
      <c r="Y692" s="160">
        <v>1</v>
      </c>
      <c r="Z692" s="160">
        <v>1</v>
      </c>
      <c r="AA692" s="160">
        <v>1</v>
      </c>
    </row>
    <row r="693" spans="1:27" ht="18" customHeight="1" x14ac:dyDescent="0.25">
      <c r="A693" s="159">
        <v>1196</v>
      </c>
      <c r="B693" s="164" t="s">
        <v>266</v>
      </c>
      <c r="C693" s="164" t="s">
        <v>276</v>
      </c>
      <c r="D693" s="159" t="s">
        <v>726</v>
      </c>
      <c r="E693" s="164" t="s">
        <v>724</v>
      </c>
      <c r="F693" s="159"/>
      <c r="G693" s="157" t="s">
        <v>1349</v>
      </c>
      <c r="H693" s="157" t="s">
        <v>1418</v>
      </c>
      <c r="I693" s="157" t="s">
        <v>1557</v>
      </c>
      <c r="J693" s="157" t="s">
        <v>8296</v>
      </c>
      <c r="K693" s="157" t="s">
        <v>1352</v>
      </c>
      <c r="L693" s="157" t="s">
        <v>1558</v>
      </c>
      <c r="M693" s="157" t="str">
        <f t="shared" si="20"/>
        <v>Fisheye Camera - Wide Rear View</v>
      </c>
      <c r="N693" s="157"/>
      <c r="O693" s="157"/>
      <c r="P693" s="159" t="s">
        <v>5819</v>
      </c>
      <c r="Q693" s="157" t="s">
        <v>2115</v>
      </c>
      <c r="R693" s="157" t="s">
        <v>8601</v>
      </c>
      <c r="S693" s="157" t="s">
        <v>8613</v>
      </c>
      <c r="T693" s="157" t="s">
        <v>2134</v>
      </c>
      <c r="U693" s="159" t="s">
        <v>2129</v>
      </c>
      <c r="V693" s="159" t="s">
        <v>2138</v>
      </c>
      <c r="W693" s="159" t="s">
        <v>2129</v>
      </c>
      <c r="X693" s="160">
        <v>1</v>
      </c>
      <c r="Y693" s="160">
        <v>1</v>
      </c>
      <c r="Z693" s="160">
        <v>1</v>
      </c>
      <c r="AA693" s="160">
        <v>1</v>
      </c>
    </row>
    <row r="694" spans="1:27" ht="18" customHeight="1" x14ac:dyDescent="0.25">
      <c r="A694" s="159">
        <v>1196</v>
      </c>
      <c r="B694" s="164" t="s">
        <v>266</v>
      </c>
      <c r="C694" s="164" t="s">
        <v>276</v>
      </c>
      <c r="D694" s="159" t="s">
        <v>734</v>
      </c>
      <c r="E694" s="164" t="s">
        <v>732</v>
      </c>
      <c r="F694" s="159"/>
      <c r="G694" s="157" t="s">
        <v>1349</v>
      </c>
      <c r="H694" s="157" t="s">
        <v>1418</v>
      </c>
      <c r="I694" s="157" t="s">
        <v>1557</v>
      </c>
      <c r="J694" s="157" t="s">
        <v>8296</v>
      </c>
      <c r="K694" s="157" t="s">
        <v>1352</v>
      </c>
      <c r="L694" s="157" t="s">
        <v>1558</v>
      </c>
      <c r="M694" s="157" t="str">
        <f t="shared" si="20"/>
        <v>Fisheye Camera - Wide Rear View</v>
      </c>
      <c r="N694" s="157"/>
      <c r="O694" s="157"/>
      <c r="P694" s="159" t="s">
        <v>5819</v>
      </c>
      <c r="Q694" s="157" t="s">
        <v>2115</v>
      </c>
      <c r="R694" s="157" t="s">
        <v>8601</v>
      </c>
      <c r="S694" s="157" t="s">
        <v>8613</v>
      </c>
      <c r="T694" s="157" t="s">
        <v>2134</v>
      </c>
      <c r="U694" s="159" t="s">
        <v>2129</v>
      </c>
      <c r="V694" s="159" t="s">
        <v>2138</v>
      </c>
      <c r="W694" s="159" t="s">
        <v>2129</v>
      </c>
      <c r="X694" s="160">
        <v>1</v>
      </c>
      <c r="Y694" s="160">
        <v>1</v>
      </c>
      <c r="Z694" s="160">
        <v>1</v>
      </c>
      <c r="AA694" s="160">
        <v>1</v>
      </c>
    </row>
    <row r="695" spans="1:27" ht="18" customHeight="1" x14ac:dyDescent="0.25">
      <c r="A695" s="159">
        <v>1196</v>
      </c>
      <c r="B695" s="164" t="s">
        <v>266</v>
      </c>
      <c r="C695" s="164" t="s">
        <v>294</v>
      </c>
      <c r="D695" s="159" t="s">
        <v>297</v>
      </c>
      <c r="E695" s="164" t="s">
        <v>295</v>
      </c>
      <c r="F695" s="159"/>
      <c r="G695" s="157" t="s">
        <v>1349</v>
      </c>
      <c r="H695" s="157" t="s">
        <v>1418</v>
      </c>
      <c r="I695" s="157" t="s">
        <v>1557</v>
      </c>
      <c r="J695" s="157" t="s">
        <v>8296</v>
      </c>
      <c r="K695" s="157" t="s">
        <v>1352</v>
      </c>
      <c r="L695" s="157" t="s">
        <v>1558</v>
      </c>
      <c r="M695" s="157" t="str">
        <f t="shared" si="20"/>
        <v>Fisheye Camera - Wide Rear View</v>
      </c>
      <c r="N695" s="157"/>
      <c r="O695" s="157"/>
      <c r="P695" s="159" t="s">
        <v>5819</v>
      </c>
      <c r="Q695" s="157" t="s">
        <v>2115</v>
      </c>
      <c r="R695" s="157" t="s">
        <v>8601</v>
      </c>
      <c r="S695" s="157" t="s">
        <v>8613</v>
      </c>
      <c r="T695" s="157" t="s">
        <v>2134</v>
      </c>
      <c r="U695" s="159" t="s">
        <v>2129</v>
      </c>
      <c r="V695" s="159" t="s">
        <v>2138</v>
      </c>
      <c r="W695" s="159" t="s">
        <v>2129</v>
      </c>
      <c r="X695" s="160">
        <v>1</v>
      </c>
      <c r="Y695" s="160">
        <v>1</v>
      </c>
      <c r="Z695" s="160">
        <v>1</v>
      </c>
      <c r="AA695" s="160">
        <v>1</v>
      </c>
    </row>
    <row r="696" spans="1:27" ht="18" customHeight="1" x14ac:dyDescent="0.25">
      <c r="A696" s="159">
        <v>1196</v>
      </c>
      <c r="B696" s="164" t="s">
        <v>266</v>
      </c>
      <c r="C696" s="164" t="s">
        <v>294</v>
      </c>
      <c r="D696" s="159" t="s">
        <v>298</v>
      </c>
      <c r="E696" s="164" t="s">
        <v>299</v>
      </c>
      <c r="F696" s="159"/>
      <c r="G696" s="157" t="s">
        <v>1349</v>
      </c>
      <c r="H696" s="157" t="s">
        <v>1418</v>
      </c>
      <c r="I696" s="157" t="s">
        <v>1557</v>
      </c>
      <c r="J696" s="157" t="s">
        <v>8296</v>
      </c>
      <c r="K696" s="157" t="s">
        <v>1352</v>
      </c>
      <c r="L696" s="157" t="s">
        <v>1558</v>
      </c>
      <c r="M696" s="157" t="str">
        <f t="shared" si="20"/>
        <v>Fisheye Camera - Wide Rear View</v>
      </c>
      <c r="N696" s="157"/>
      <c r="O696" s="157"/>
      <c r="P696" s="159" t="s">
        <v>5819</v>
      </c>
      <c r="Q696" s="157" t="s">
        <v>2115</v>
      </c>
      <c r="R696" s="157" t="s">
        <v>8601</v>
      </c>
      <c r="S696" s="157" t="s">
        <v>8613</v>
      </c>
      <c r="T696" s="157" t="s">
        <v>2134</v>
      </c>
      <c r="U696" s="159" t="s">
        <v>2129</v>
      </c>
      <c r="V696" s="159" t="s">
        <v>2138</v>
      </c>
      <c r="W696" s="159" t="s">
        <v>2129</v>
      </c>
      <c r="X696" s="160">
        <v>1</v>
      </c>
      <c r="Y696" s="160">
        <v>1</v>
      </c>
      <c r="Z696" s="160">
        <v>1</v>
      </c>
      <c r="AA696" s="160">
        <v>1</v>
      </c>
    </row>
    <row r="697" spans="1:27" ht="18" customHeight="1" x14ac:dyDescent="0.25">
      <c r="A697" s="159">
        <v>1196</v>
      </c>
      <c r="B697" s="164" t="s">
        <v>266</v>
      </c>
      <c r="C697" s="164" t="s">
        <v>294</v>
      </c>
      <c r="D697" s="159" t="s">
        <v>503</v>
      </c>
      <c r="E697" s="164" t="s">
        <v>501</v>
      </c>
      <c r="F697" s="159"/>
      <c r="G697" s="157" t="s">
        <v>1349</v>
      </c>
      <c r="H697" s="157" t="s">
        <v>1418</v>
      </c>
      <c r="I697" s="157" t="s">
        <v>1557</v>
      </c>
      <c r="J697" s="157" t="s">
        <v>8296</v>
      </c>
      <c r="K697" s="157" t="s">
        <v>1352</v>
      </c>
      <c r="L697" s="157" t="s">
        <v>1558</v>
      </c>
      <c r="M697" s="157" t="str">
        <f t="shared" si="20"/>
        <v>Fisheye Camera - Wide Rear View</v>
      </c>
      <c r="N697" s="157"/>
      <c r="O697" s="157"/>
      <c r="P697" s="159" t="s">
        <v>5819</v>
      </c>
      <c r="Q697" s="157" t="s">
        <v>2115</v>
      </c>
      <c r="R697" s="157" t="s">
        <v>8601</v>
      </c>
      <c r="S697" s="157" t="s">
        <v>8613</v>
      </c>
      <c r="T697" s="157" t="s">
        <v>2134</v>
      </c>
      <c r="U697" s="159" t="s">
        <v>2129</v>
      </c>
      <c r="V697" s="159" t="s">
        <v>2138</v>
      </c>
      <c r="W697" s="159" t="s">
        <v>2129</v>
      </c>
      <c r="X697" s="160">
        <v>1</v>
      </c>
      <c r="Y697" s="160">
        <v>1</v>
      </c>
      <c r="Z697" s="160">
        <v>1</v>
      </c>
      <c r="AA697" s="160">
        <v>1</v>
      </c>
    </row>
    <row r="698" spans="1:27" ht="18" customHeight="1" x14ac:dyDescent="0.25">
      <c r="A698" s="159">
        <v>1196</v>
      </c>
      <c r="B698" s="164" t="s">
        <v>266</v>
      </c>
      <c r="C698" s="164" t="s">
        <v>294</v>
      </c>
      <c r="D698" s="159" t="s">
        <v>692</v>
      </c>
      <c r="E698" s="164" t="s">
        <v>690</v>
      </c>
      <c r="F698" s="159"/>
      <c r="G698" s="157" t="s">
        <v>1349</v>
      </c>
      <c r="H698" s="157" t="s">
        <v>1418</v>
      </c>
      <c r="I698" s="157" t="s">
        <v>1557</v>
      </c>
      <c r="J698" s="157" t="s">
        <v>8296</v>
      </c>
      <c r="K698" s="157" t="s">
        <v>1352</v>
      </c>
      <c r="L698" s="157" t="s">
        <v>1558</v>
      </c>
      <c r="M698" s="157" t="str">
        <f t="shared" si="20"/>
        <v>Fisheye Camera - Wide Rear View</v>
      </c>
      <c r="N698" s="157"/>
      <c r="O698" s="157"/>
      <c r="P698" s="159" t="s">
        <v>5819</v>
      </c>
      <c r="Q698" s="157" t="s">
        <v>2115</v>
      </c>
      <c r="R698" s="157" t="s">
        <v>8601</v>
      </c>
      <c r="S698" s="157" t="s">
        <v>8613</v>
      </c>
      <c r="T698" s="157" t="s">
        <v>2134</v>
      </c>
      <c r="U698" s="159" t="s">
        <v>2129</v>
      </c>
      <c r="V698" s="159" t="s">
        <v>2138</v>
      </c>
      <c r="W698" s="159" t="s">
        <v>2129</v>
      </c>
      <c r="X698" s="160">
        <v>1</v>
      </c>
      <c r="Y698" s="160">
        <v>1</v>
      </c>
      <c r="Z698" s="160">
        <v>1</v>
      </c>
      <c r="AA698" s="160">
        <v>1</v>
      </c>
    </row>
    <row r="699" spans="1:27" ht="18" customHeight="1" x14ac:dyDescent="0.25">
      <c r="A699" s="159">
        <v>1196</v>
      </c>
      <c r="B699" s="164" t="s">
        <v>266</v>
      </c>
      <c r="C699" s="164" t="s">
        <v>294</v>
      </c>
      <c r="D699" s="159" t="s">
        <v>1177</v>
      </c>
      <c r="E699" s="164" t="s">
        <v>1175</v>
      </c>
      <c r="F699" s="159"/>
      <c r="G699" s="157" t="s">
        <v>1349</v>
      </c>
      <c r="H699" s="157" t="s">
        <v>1418</v>
      </c>
      <c r="I699" s="157" t="s">
        <v>1557</v>
      </c>
      <c r="J699" s="157" t="s">
        <v>8296</v>
      </c>
      <c r="K699" s="157" t="s">
        <v>1352</v>
      </c>
      <c r="L699" s="157" t="s">
        <v>1558</v>
      </c>
      <c r="M699" s="157" t="str">
        <f t="shared" si="20"/>
        <v>Fisheye Camera - Wide Rear View</v>
      </c>
      <c r="N699" s="157"/>
      <c r="O699" s="157"/>
      <c r="P699" s="159" t="s">
        <v>5819</v>
      </c>
      <c r="Q699" s="157" t="s">
        <v>2115</v>
      </c>
      <c r="R699" s="157" t="s">
        <v>8601</v>
      </c>
      <c r="S699" s="157" t="s">
        <v>8613</v>
      </c>
      <c r="T699" s="157" t="s">
        <v>2134</v>
      </c>
      <c r="U699" s="159" t="s">
        <v>2129</v>
      </c>
      <c r="V699" s="159" t="s">
        <v>2138</v>
      </c>
      <c r="W699" s="159" t="s">
        <v>2129</v>
      </c>
      <c r="X699" s="160">
        <v>1</v>
      </c>
      <c r="Y699" s="160">
        <v>1</v>
      </c>
      <c r="Z699" s="160">
        <v>1</v>
      </c>
      <c r="AA699" s="160">
        <v>1</v>
      </c>
    </row>
    <row r="700" spans="1:27" ht="18" customHeight="1" x14ac:dyDescent="0.25">
      <c r="A700" s="159">
        <v>1196</v>
      </c>
      <c r="B700" s="164" t="s">
        <v>266</v>
      </c>
      <c r="C700" s="164" t="s">
        <v>294</v>
      </c>
      <c r="D700" s="159" t="s">
        <v>1178</v>
      </c>
      <c r="E700" s="164" t="s">
        <v>1179</v>
      </c>
      <c r="F700" s="159"/>
      <c r="G700" s="157" t="s">
        <v>1349</v>
      </c>
      <c r="H700" s="157" t="s">
        <v>1418</v>
      </c>
      <c r="I700" s="157" t="s">
        <v>1557</v>
      </c>
      <c r="J700" s="157" t="s">
        <v>8296</v>
      </c>
      <c r="K700" s="157" t="s">
        <v>1352</v>
      </c>
      <c r="L700" s="157" t="s">
        <v>1558</v>
      </c>
      <c r="M700" s="157" t="str">
        <f t="shared" si="20"/>
        <v>Fisheye Camera - Wide Rear View</v>
      </c>
      <c r="N700" s="157"/>
      <c r="O700" s="157"/>
      <c r="P700" s="159" t="s">
        <v>5819</v>
      </c>
      <c r="Q700" s="157" t="s">
        <v>2115</v>
      </c>
      <c r="R700" s="157" t="s">
        <v>8601</v>
      </c>
      <c r="S700" s="157" t="s">
        <v>8613</v>
      </c>
      <c r="T700" s="157" t="s">
        <v>2134</v>
      </c>
      <c r="U700" s="159" t="s">
        <v>2129</v>
      </c>
      <c r="V700" s="159" t="s">
        <v>2138</v>
      </c>
      <c r="W700" s="159" t="s">
        <v>2129</v>
      </c>
      <c r="X700" s="160">
        <v>1</v>
      </c>
      <c r="Y700" s="160">
        <v>1</v>
      </c>
      <c r="Z700" s="160">
        <v>1</v>
      </c>
      <c r="AA700" s="160">
        <v>1</v>
      </c>
    </row>
    <row r="701" spans="1:27" ht="18" customHeight="1" x14ac:dyDescent="0.25">
      <c r="A701" s="159">
        <v>1196</v>
      </c>
      <c r="B701" s="164" t="s">
        <v>266</v>
      </c>
      <c r="C701" s="164" t="s">
        <v>294</v>
      </c>
      <c r="D701" s="159" t="s">
        <v>1207</v>
      </c>
      <c r="E701" s="164" t="s">
        <v>1205</v>
      </c>
      <c r="F701" s="159"/>
      <c r="G701" s="157" t="s">
        <v>1349</v>
      </c>
      <c r="H701" s="157" t="s">
        <v>1418</v>
      </c>
      <c r="I701" s="157" t="s">
        <v>1557</v>
      </c>
      <c r="J701" s="157" t="s">
        <v>8296</v>
      </c>
      <c r="K701" s="157" t="s">
        <v>1352</v>
      </c>
      <c r="L701" s="157" t="s">
        <v>1558</v>
      </c>
      <c r="M701" s="157" t="str">
        <f t="shared" si="20"/>
        <v>Fisheye Camera - Wide Rear View</v>
      </c>
      <c r="N701" s="157"/>
      <c r="O701" s="157"/>
      <c r="P701" s="159" t="s">
        <v>5819</v>
      </c>
      <c r="Q701" s="157" t="s">
        <v>2115</v>
      </c>
      <c r="R701" s="157" t="s">
        <v>8601</v>
      </c>
      <c r="S701" s="157" t="s">
        <v>8613</v>
      </c>
      <c r="T701" s="157" t="s">
        <v>2134</v>
      </c>
      <c r="U701" s="159" t="s">
        <v>2129</v>
      </c>
      <c r="V701" s="159" t="s">
        <v>2138</v>
      </c>
      <c r="W701" s="159" t="s">
        <v>2129</v>
      </c>
      <c r="X701" s="160">
        <v>1</v>
      </c>
      <c r="Y701" s="160">
        <v>1</v>
      </c>
      <c r="Z701" s="160">
        <v>1</v>
      </c>
      <c r="AA701" s="160">
        <v>1</v>
      </c>
    </row>
    <row r="702" spans="1:27" ht="18" customHeight="1" x14ac:dyDescent="0.25">
      <c r="A702" s="159">
        <v>1196</v>
      </c>
      <c r="B702" s="164" t="s">
        <v>266</v>
      </c>
      <c r="C702" s="164" t="s">
        <v>514</v>
      </c>
      <c r="D702" s="159" t="s">
        <v>517</v>
      </c>
      <c r="E702" s="164" t="s">
        <v>515</v>
      </c>
      <c r="F702" s="159"/>
      <c r="G702" s="157" t="s">
        <v>1349</v>
      </c>
      <c r="H702" s="157" t="s">
        <v>1418</v>
      </c>
      <c r="I702" s="157" t="s">
        <v>1557</v>
      </c>
      <c r="J702" s="157" t="s">
        <v>8296</v>
      </c>
      <c r="K702" s="157" t="s">
        <v>1352</v>
      </c>
      <c r="L702" s="157" t="s">
        <v>1558</v>
      </c>
      <c r="M702" s="157" t="str">
        <f t="shared" si="20"/>
        <v>Fisheye Camera - Wide Rear View</v>
      </c>
      <c r="N702" s="157"/>
      <c r="O702" s="157"/>
      <c r="P702" s="159" t="s">
        <v>5819</v>
      </c>
      <c r="Q702" s="157" t="s">
        <v>2115</v>
      </c>
      <c r="R702" s="157" t="s">
        <v>8601</v>
      </c>
      <c r="S702" s="157" t="s">
        <v>8613</v>
      </c>
      <c r="T702" s="157" t="s">
        <v>2134</v>
      </c>
      <c r="U702" s="159" t="s">
        <v>2129</v>
      </c>
      <c r="V702" s="159" t="s">
        <v>2138</v>
      </c>
      <c r="W702" s="159" t="s">
        <v>2129</v>
      </c>
      <c r="X702" s="160">
        <v>1</v>
      </c>
      <c r="Y702" s="160">
        <v>1</v>
      </c>
      <c r="Z702" s="160">
        <v>1</v>
      </c>
      <c r="AA702" s="160">
        <v>1</v>
      </c>
    </row>
    <row r="703" spans="1:27" ht="18" customHeight="1" x14ac:dyDescent="0.25">
      <c r="A703" s="159">
        <v>1196</v>
      </c>
      <c r="B703" s="164" t="s">
        <v>266</v>
      </c>
      <c r="C703" s="164" t="s">
        <v>514</v>
      </c>
      <c r="D703" s="159" t="s">
        <v>793</v>
      </c>
      <c r="E703" s="164" t="s">
        <v>791</v>
      </c>
      <c r="F703" s="159"/>
      <c r="G703" s="157" t="s">
        <v>1349</v>
      </c>
      <c r="H703" s="157" t="s">
        <v>1418</v>
      </c>
      <c r="I703" s="157" t="s">
        <v>1557</v>
      </c>
      <c r="J703" s="157" t="s">
        <v>8296</v>
      </c>
      <c r="K703" s="157" t="s">
        <v>1352</v>
      </c>
      <c r="L703" s="157" t="s">
        <v>1558</v>
      </c>
      <c r="M703" s="157" t="str">
        <f t="shared" si="20"/>
        <v>Fisheye Camera - Wide Rear View</v>
      </c>
      <c r="N703" s="157"/>
      <c r="O703" s="157"/>
      <c r="P703" s="159" t="s">
        <v>5819</v>
      </c>
      <c r="Q703" s="157" t="s">
        <v>2115</v>
      </c>
      <c r="R703" s="157" t="s">
        <v>8601</v>
      </c>
      <c r="S703" s="157" t="s">
        <v>8613</v>
      </c>
      <c r="T703" s="157" t="s">
        <v>2134</v>
      </c>
      <c r="U703" s="159" t="s">
        <v>2129</v>
      </c>
      <c r="V703" s="159" t="s">
        <v>2138</v>
      </c>
      <c r="W703" s="159" t="s">
        <v>2129</v>
      </c>
      <c r="X703" s="160">
        <v>1</v>
      </c>
      <c r="Y703" s="160">
        <v>1</v>
      </c>
      <c r="Z703" s="160">
        <v>1</v>
      </c>
      <c r="AA703" s="160">
        <v>1</v>
      </c>
    </row>
    <row r="704" spans="1:27" ht="18" customHeight="1" x14ac:dyDescent="0.25">
      <c r="A704" s="159">
        <v>1196</v>
      </c>
      <c r="B704" s="164" t="s">
        <v>266</v>
      </c>
      <c r="C704" s="164" t="s">
        <v>514</v>
      </c>
      <c r="D704" s="159" t="s">
        <v>731</v>
      </c>
      <c r="E704" s="164" t="s">
        <v>795</v>
      </c>
      <c r="F704" s="159"/>
      <c r="G704" s="157" t="s">
        <v>1349</v>
      </c>
      <c r="H704" s="157" t="s">
        <v>1418</v>
      </c>
      <c r="I704" s="157" t="s">
        <v>1557</v>
      </c>
      <c r="J704" s="157" t="s">
        <v>8296</v>
      </c>
      <c r="K704" s="157" t="s">
        <v>1352</v>
      </c>
      <c r="L704" s="157" t="s">
        <v>1558</v>
      </c>
      <c r="M704" s="157" t="str">
        <f t="shared" si="20"/>
        <v>Fisheye Camera - Wide Rear View</v>
      </c>
      <c r="N704" s="157"/>
      <c r="O704" s="157"/>
      <c r="P704" s="159" t="s">
        <v>5819</v>
      </c>
      <c r="Q704" s="157" t="s">
        <v>2115</v>
      </c>
      <c r="R704" s="157" t="s">
        <v>8601</v>
      </c>
      <c r="S704" s="157" t="s">
        <v>8613</v>
      </c>
      <c r="T704" s="157" t="s">
        <v>2134</v>
      </c>
      <c r="U704" s="159" t="s">
        <v>2129</v>
      </c>
      <c r="V704" s="159" t="s">
        <v>2138</v>
      </c>
      <c r="W704" s="159" t="s">
        <v>2129</v>
      </c>
      <c r="X704" s="160">
        <v>1</v>
      </c>
      <c r="Y704" s="160">
        <v>1</v>
      </c>
      <c r="Z704" s="160">
        <v>1</v>
      </c>
      <c r="AA704" s="160">
        <v>1</v>
      </c>
    </row>
    <row r="705" spans="1:27" ht="18" customHeight="1" x14ac:dyDescent="0.25">
      <c r="A705" s="159">
        <v>1196</v>
      </c>
      <c r="B705" s="164" t="s">
        <v>266</v>
      </c>
      <c r="C705" s="164" t="s">
        <v>514</v>
      </c>
      <c r="D705" s="159" t="s">
        <v>1170</v>
      </c>
      <c r="E705" s="164" t="s">
        <v>1168</v>
      </c>
      <c r="F705" s="159"/>
      <c r="G705" s="157" t="s">
        <v>1349</v>
      </c>
      <c r="H705" s="157" t="s">
        <v>1418</v>
      </c>
      <c r="I705" s="157" t="s">
        <v>1557</v>
      </c>
      <c r="J705" s="157" t="s">
        <v>8296</v>
      </c>
      <c r="K705" s="157" t="s">
        <v>1352</v>
      </c>
      <c r="L705" s="157" t="s">
        <v>1558</v>
      </c>
      <c r="M705" s="157" t="str">
        <f t="shared" si="20"/>
        <v>Fisheye Camera - Wide Rear View</v>
      </c>
      <c r="N705" s="157"/>
      <c r="O705" s="157"/>
      <c r="P705" s="159" t="s">
        <v>5819</v>
      </c>
      <c r="Q705" s="157" t="s">
        <v>2115</v>
      </c>
      <c r="R705" s="157" t="s">
        <v>8601</v>
      </c>
      <c r="S705" s="157" t="s">
        <v>8613</v>
      </c>
      <c r="T705" s="157" t="s">
        <v>2134</v>
      </c>
      <c r="U705" s="159" t="s">
        <v>2129</v>
      </c>
      <c r="V705" s="159" t="s">
        <v>2138</v>
      </c>
      <c r="W705" s="159" t="s">
        <v>2129</v>
      </c>
      <c r="X705" s="160">
        <v>1</v>
      </c>
      <c r="Y705" s="160">
        <v>1</v>
      </c>
      <c r="Z705" s="160">
        <v>1</v>
      </c>
      <c r="AA705" s="160">
        <v>1</v>
      </c>
    </row>
    <row r="706" spans="1:27" ht="18" customHeight="1" x14ac:dyDescent="0.25">
      <c r="A706" s="159">
        <v>1196</v>
      </c>
      <c r="B706" s="164" t="s">
        <v>266</v>
      </c>
      <c r="C706" s="164" t="s">
        <v>514</v>
      </c>
      <c r="D706" s="159" t="s">
        <v>1171</v>
      </c>
      <c r="E706" s="164" t="s">
        <v>1223</v>
      </c>
      <c r="F706" s="159"/>
      <c r="G706" s="157" t="s">
        <v>1349</v>
      </c>
      <c r="H706" s="157" t="s">
        <v>1418</v>
      </c>
      <c r="I706" s="157" t="s">
        <v>1557</v>
      </c>
      <c r="J706" s="157" t="s">
        <v>8296</v>
      </c>
      <c r="K706" s="157" t="s">
        <v>1352</v>
      </c>
      <c r="L706" s="157" t="s">
        <v>1558</v>
      </c>
      <c r="M706" s="157" t="str">
        <f t="shared" si="20"/>
        <v>Fisheye Camera - Wide Rear View</v>
      </c>
      <c r="N706" s="157"/>
      <c r="O706" s="157"/>
      <c r="P706" s="159" t="s">
        <v>5819</v>
      </c>
      <c r="Q706" s="157" t="s">
        <v>2115</v>
      </c>
      <c r="R706" s="157" t="s">
        <v>8601</v>
      </c>
      <c r="S706" s="157" t="s">
        <v>8613</v>
      </c>
      <c r="T706" s="157" t="s">
        <v>2134</v>
      </c>
      <c r="U706" s="159" t="s">
        <v>2129</v>
      </c>
      <c r="V706" s="159" t="s">
        <v>2138</v>
      </c>
      <c r="W706" s="159" t="s">
        <v>2129</v>
      </c>
      <c r="X706" s="160">
        <v>1</v>
      </c>
      <c r="Y706" s="160">
        <v>1</v>
      </c>
      <c r="Z706" s="160">
        <v>1</v>
      </c>
      <c r="AA706" s="160">
        <v>1</v>
      </c>
    </row>
    <row r="707" spans="1:27" ht="18" customHeight="1" x14ac:dyDescent="0.25">
      <c r="A707" s="159">
        <v>1196</v>
      </c>
      <c r="B707" s="164" t="s">
        <v>266</v>
      </c>
      <c r="C707" s="164" t="s">
        <v>519</v>
      </c>
      <c r="D707" s="159" t="s">
        <v>522</v>
      </c>
      <c r="E707" s="164" t="s">
        <v>520</v>
      </c>
      <c r="F707" s="159"/>
      <c r="G707" s="157" t="s">
        <v>1349</v>
      </c>
      <c r="H707" s="157" t="s">
        <v>1418</v>
      </c>
      <c r="I707" s="157" t="s">
        <v>1557</v>
      </c>
      <c r="J707" s="157" t="s">
        <v>8296</v>
      </c>
      <c r="K707" s="157" t="s">
        <v>1352</v>
      </c>
      <c r="L707" s="157" t="s">
        <v>1558</v>
      </c>
      <c r="M707" s="157" t="str">
        <f t="shared" si="20"/>
        <v>Fisheye Camera - Wide Rear View</v>
      </c>
      <c r="N707" s="157"/>
      <c r="O707" s="157"/>
      <c r="P707" s="159" t="s">
        <v>5819</v>
      </c>
      <c r="Q707" s="157" t="s">
        <v>2115</v>
      </c>
      <c r="R707" s="157" t="s">
        <v>8601</v>
      </c>
      <c r="S707" s="157" t="s">
        <v>8613</v>
      </c>
      <c r="T707" s="157" t="s">
        <v>2134</v>
      </c>
      <c r="U707" s="159" t="s">
        <v>2129</v>
      </c>
      <c r="V707" s="159" t="s">
        <v>2138</v>
      </c>
      <c r="W707" s="159" t="s">
        <v>2129</v>
      </c>
      <c r="X707" s="160">
        <v>1</v>
      </c>
      <c r="Y707" s="160">
        <v>1</v>
      </c>
      <c r="Z707" s="160">
        <v>1</v>
      </c>
      <c r="AA707" s="160">
        <v>1</v>
      </c>
    </row>
    <row r="708" spans="1:27" ht="18" customHeight="1" x14ac:dyDescent="0.25">
      <c r="A708" s="159">
        <v>1196</v>
      </c>
      <c r="B708" s="164" t="s">
        <v>266</v>
      </c>
      <c r="C708" s="164" t="s">
        <v>519</v>
      </c>
      <c r="D708" s="159" t="s">
        <v>935</v>
      </c>
      <c r="E708" s="164" t="s">
        <v>933</v>
      </c>
      <c r="F708" s="159"/>
      <c r="G708" s="157" t="s">
        <v>1349</v>
      </c>
      <c r="H708" s="157" t="s">
        <v>1418</v>
      </c>
      <c r="I708" s="157" t="s">
        <v>1557</v>
      </c>
      <c r="J708" s="157" t="s">
        <v>8296</v>
      </c>
      <c r="K708" s="157" t="s">
        <v>1352</v>
      </c>
      <c r="L708" s="157" t="s">
        <v>1558</v>
      </c>
      <c r="M708" s="157" t="str">
        <f t="shared" si="20"/>
        <v>Fisheye Camera - Wide Rear View</v>
      </c>
      <c r="N708" s="157"/>
      <c r="O708" s="157"/>
      <c r="P708" s="159" t="s">
        <v>5819</v>
      </c>
      <c r="Q708" s="157" t="s">
        <v>2115</v>
      </c>
      <c r="R708" s="157" t="s">
        <v>8601</v>
      </c>
      <c r="S708" s="157" t="s">
        <v>8613</v>
      </c>
      <c r="T708" s="157" t="s">
        <v>2134</v>
      </c>
      <c r="U708" s="159" t="s">
        <v>2129</v>
      </c>
      <c r="V708" s="159" t="s">
        <v>2138</v>
      </c>
      <c r="W708" s="159" t="s">
        <v>2129</v>
      </c>
      <c r="X708" s="160">
        <v>1</v>
      </c>
      <c r="Y708" s="160">
        <v>1</v>
      </c>
      <c r="Z708" s="160">
        <v>1</v>
      </c>
      <c r="AA708" s="160">
        <v>1</v>
      </c>
    </row>
    <row r="709" spans="1:27" ht="18" customHeight="1" x14ac:dyDescent="0.25">
      <c r="A709" s="159">
        <v>1196</v>
      </c>
      <c r="B709" s="164" t="s">
        <v>266</v>
      </c>
      <c r="C709" s="164" t="s">
        <v>519</v>
      </c>
      <c r="D709" s="159" t="s">
        <v>1151</v>
      </c>
      <c r="E709" s="164" t="s">
        <v>1149</v>
      </c>
      <c r="F709" s="159"/>
      <c r="G709" s="157" t="s">
        <v>1349</v>
      </c>
      <c r="H709" s="157" t="s">
        <v>1418</v>
      </c>
      <c r="I709" s="157" t="s">
        <v>1557</v>
      </c>
      <c r="J709" s="157" t="s">
        <v>8296</v>
      </c>
      <c r="K709" s="157" t="s">
        <v>1352</v>
      </c>
      <c r="L709" s="157" t="s">
        <v>1558</v>
      </c>
      <c r="M709" s="157" t="str">
        <f t="shared" si="20"/>
        <v>Fisheye Camera - Wide Rear View</v>
      </c>
      <c r="N709" s="157"/>
      <c r="O709" s="157"/>
      <c r="P709" s="159" t="s">
        <v>5819</v>
      </c>
      <c r="Q709" s="157" t="s">
        <v>2115</v>
      </c>
      <c r="R709" s="157" t="s">
        <v>8601</v>
      </c>
      <c r="S709" s="157" t="s">
        <v>8613</v>
      </c>
      <c r="T709" s="157" t="s">
        <v>2134</v>
      </c>
      <c r="U709" s="159" t="s">
        <v>2129</v>
      </c>
      <c r="V709" s="159" t="s">
        <v>2138</v>
      </c>
      <c r="W709" s="159" t="s">
        <v>2129</v>
      </c>
      <c r="X709" s="160">
        <v>1</v>
      </c>
      <c r="Y709" s="160">
        <v>1</v>
      </c>
      <c r="Z709" s="160">
        <v>1</v>
      </c>
      <c r="AA709" s="160">
        <v>1</v>
      </c>
    </row>
    <row r="710" spans="1:27" ht="18" customHeight="1" x14ac:dyDescent="0.25">
      <c r="A710" s="159">
        <v>1207</v>
      </c>
      <c r="B710" s="164" t="s">
        <v>266</v>
      </c>
      <c r="C710" s="164" t="s">
        <v>294</v>
      </c>
      <c r="D710" s="159" t="s">
        <v>297</v>
      </c>
      <c r="E710" s="164" t="s">
        <v>295</v>
      </c>
      <c r="F710" s="159"/>
      <c r="G710" s="157" t="s">
        <v>1349</v>
      </c>
      <c r="H710" s="157" t="s">
        <v>1418</v>
      </c>
      <c r="I710" s="157" t="s">
        <v>1559</v>
      </c>
      <c r="J710" s="157" t="s">
        <v>8301</v>
      </c>
      <c r="K710" s="157" t="s">
        <v>1312</v>
      </c>
      <c r="L710" s="157" t="s">
        <v>9606</v>
      </c>
      <c r="M710" s="157" t="str">
        <f t="shared" si="20"/>
        <v>Ultrasonic Sensor FSL - Short Range Distance Measurement</v>
      </c>
      <c r="N710" s="157"/>
      <c r="O710" s="157"/>
      <c r="P710" s="159" t="s">
        <v>8128</v>
      </c>
      <c r="Q710" s="157" t="s">
        <v>2115</v>
      </c>
      <c r="R710" s="157" t="s">
        <v>2145</v>
      </c>
      <c r="S710" s="157" t="s">
        <v>8584</v>
      </c>
      <c r="T710" s="157"/>
      <c r="U710" s="159" t="s">
        <v>2129</v>
      </c>
      <c r="V710" s="159" t="s">
        <v>2138</v>
      </c>
      <c r="W710" s="159" t="s">
        <v>2138</v>
      </c>
      <c r="X710" s="160">
        <v>0.05</v>
      </c>
      <c r="Y710" s="160">
        <v>0</v>
      </c>
      <c r="Z710" s="160">
        <v>0.05</v>
      </c>
      <c r="AA710" s="160">
        <v>0</v>
      </c>
    </row>
    <row r="711" spans="1:27" ht="18" customHeight="1" x14ac:dyDescent="0.25">
      <c r="A711" s="159">
        <v>1207</v>
      </c>
      <c r="B711" s="164" t="s">
        <v>266</v>
      </c>
      <c r="C711" s="164" t="s">
        <v>294</v>
      </c>
      <c r="D711" s="159" t="s">
        <v>503</v>
      </c>
      <c r="E711" s="164" t="s">
        <v>501</v>
      </c>
      <c r="F711" s="159"/>
      <c r="G711" s="157" t="s">
        <v>1349</v>
      </c>
      <c r="H711" s="157" t="s">
        <v>1418</v>
      </c>
      <c r="I711" s="157" t="s">
        <v>1559</v>
      </c>
      <c r="J711" s="157" t="s">
        <v>8301</v>
      </c>
      <c r="K711" s="157" t="s">
        <v>1312</v>
      </c>
      <c r="L711" s="157" t="s">
        <v>9606</v>
      </c>
      <c r="M711" s="157" t="str">
        <f t="shared" si="20"/>
        <v>Ultrasonic Sensor FSL - Short Range Distance Measurement</v>
      </c>
      <c r="N711" s="157"/>
      <c r="O711" s="157"/>
      <c r="P711" s="159" t="s">
        <v>8128</v>
      </c>
      <c r="Q711" s="157" t="s">
        <v>2115</v>
      </c>
      <c r="R711" s="157" t="s">
        <v>2145</v>
      </c>
      <c r="S711" s="157" t="s">
        <v>8584</v>
      </c>
      <c r="T711" s="157"/>
      <c r="U711" s="159" t="s">
        <v>2129</v>
      </c>
      <c r="V711" s="159" t="s">
        <v>2129</v>
      </c>
      <c r="W711" s="159" t="s">
        <v>2138</v>
      </c>
      <c r="X711" s="160">
        <v>0.05</v>
      </c>
      <c r="Y711" s="160">
        <v>0</v>
      </c>
      <c r="Z711" s="160">
        <v>0.05</v>
      </c>
      <c r="AA711" s="160">
        <v>0</v>
      </c>
    </row>
    <row r="712" spans="1:27" ht="18" customHeight="1" x14ac:dyDescent="0.25">
      <c r="A712" s="159">
        <v>1207</v>
      </c>
      <c r="B712" s="164" t="s">
        <v>266</v>
      </c>
      <c r="C712" s="164" t="s">
        <v>294</v>
      </c>
      <c r="D712" s="159" t="s">
        <v>692</v>
      </c>
      <c r="E712" s="164" t="s">
        <v>690</v>
      </c>
      <c r="F712" s="159"/>
      <c r="G712" s="157" t="s">
        <v>1349</v>
      </c>
      <c r="H712" s="157" t="s">
        <v>1418</v>
      </c>
      <c r="I712" s="157" t="s">
        <v>1559</v>
      </c>
      <c r="J712" s="157" t="s">
        <v>8301</v>
      </c>
      <c r="K712" s="157" t="s">
        <v>1312</v>
      </c>
      <c r="L712" s="157" t="s">
        <v>9606</v>
      </c>
      <c r="M712" s="157" t="str">
        <f t="shared" si="20"/>
        <v>Ultrasonic Sensor FSL - Short Range Distance Measurement</v>
      </c>
      <c r="N712" s="157"/>
      <c r="O712" s="157"/>
      <c r="P712" s="159" t="s">
        <v>8128</v>
      </c>
      <c r="Q712" s="157" t="s">
        <v>2115</v>
      </c>
      <c r="R712" s="157" t="s">
        <v>2145</v>
      </c>
      <c r="S712" s="157" t="s">
        <v>8584</v>
      </c>
      <c r="T712" s="157"/>
      <c r="U712" s="159" t="s">
        <v>2129</v>
      </c>
      <c r="V712" s="159" t="s">
        <v>2129</v>
      </c>
      <c r="W712" s="159" t="s">
        <v>2138</v>
      </c>
      <c r="X712" s="160">
        <v>0.05</v>
      </c>
      <c r="Y712" s="160">
        <v>0</v>
      </c>
      <c r="Z712" s="160">
        <v>0.05</v>
      </c>
      <c r="AA712" s="160">
        <v>0</v>
      </c>
    </row>
    <row r="713" spans="1:27" ht="18" customHeight="1" x14ac:dyDescent="0.25">
      <c r="A713" s="159">
        <v>1207</v>
      </c>
      <c r="B713" s="164" t="s">
        <v>266</v>
      </c>
      <c r="C713" s="164" t="s">
        <v>294</v>
      </c>
      <c r="D713" s="159" t="s">
        <v>1177</v>
      </c>
      <c r="E713" s="164" t="s">
        <v>1175</v>
      </c>
      <c r="F713" s="159"/>
      <c r="G713" s="157" t="s">
        <v>1349</v>
      </c>
      <c r="H713" s="157" t="s">
        <v>1418</v>
      </c>
      <c r="I713" s="157" t="s">
        <v>1559</v>
      </c>
      <c r="J713" s="157" t="s">
        <v>8301</v>
      </c>
      <c r="K713" s="157" t="s">
        <v>1312</v>
      </c>
      <c r="L713" s="157" t="s">
        <v>9606</v>
      </c>
      <c r="M713" s="157" t="str">
        <f t="shared" si="20"/>
        <v>Ultrasonic Sensor FSL - Short Range Distance Measurement</v>
      </c>
      <c r="N713" s="157"/>
      <c r="O713" s="157"/>
      <c r="P713" s="159" t="s">
        <v>8128</v>
      </c>
      <c r="Q713" s="157" t="s">
        <v>2115</v>
      </c>
      <c r="R713" s="157" t="s">
        <v>2145</v>
      </c>
      <c r="S713" s="157" t="s">
        <v>8584</v>
      </c>
      <c r="T713" s="157"/>
      <c r="U713" s="159" t="s">
        <v>2129</v>
      </c>
      <c r="V713" s="159" t="s">
        <v>2129</v>
      </c>
      <c r="W713" s="159" t="s">
        <v>2138</v>
      </c>
      <c r="X713" s="160">
        <v>0.05</v>
      </c>
      <c r="Y713" s="160">
        <v>0</v>
      </c>
      <c r="Z713" s="160">
        <v>0.05</v>
      </c>
      <c r="AA713" s="160">
        <v>0</v>
      </c>
    </row>
    <row r="714" spans="1:27" ht="18" customHeight="1" x14ac:dyDescent="0.25">
      <c r="A714" s="159">
        <v>1207</v>
      </c>
      <c r="B714" s="164" t="s">
        <v>266</v>
      </c>
      <c r="C714" s="164" t="s">
        <v>294</v>
      </c>
      <c r="D714" s="159" t="s">
        <v>1178</v>
      </c>
      <c r="E714" s="164" t="s">
        <v>1179</v>
      </c>
      <c r="F714" s="159"/>
      <c r="G714" s="157" t="s">
        <v>1349</v>
      </c>
      <c r="H714" s="157" t="s">
        <v>1418</v>
      </c>
      <c r="I714" s="157" t="s">
        <v>1559</v>
      </c>
      <c r="J714" s="157" t="s">
        <v>8301</v>
      </c>
      <c r="K714" s="157" t="s">
        <v>1312</v>
      </c>
      <c r="L714" s="157" t="s">
        <v>9606</v>
      </c>
      <c r="M714" s="157" t="str">
        <f t="shared" ref="M714:M777" si="21">CONCATENATE(L714," - ",I714)</f>
        <v>Ultrasonic Sensor FSL - Short Range Distance Measurement</v>
      </c>
      <c r="N714" s="157"/>
      <c r="O714" s="157"/>
      <c r="P714" s="159" t="s">
        <v>8128</v>
      </c>
      <c r="Q714" s="157" t="s">
        <v>2115</v>
      </c>
      <c r="R714" s="157" t="s">
        <v>2145</v>
      </c>
      <c r="S714" s="157" t="s">
        <v>8584</v>
      </c>
      <c r="T714" s="157"/>
      <c r="U714" s="159" t="s">
        <v>2129</v>
      </c>
      <c r="V714" s="159" t="s">
        <v>2138</v>
      </c>
      <c r="W714" s="159" t="s">
        <v>2138</v>
      </c>
      <c r="X714" s="160">
        <v>0.05</v>
      </c>
      <c r="Y714" s="160">
        <v>0</v>
      </c>
      <c r="Z714" s="160">
        <v>0.05</v>
      </c>
      <c r="AA714" s="160">
        <v>0</v>
      </c>
    </row>
    <row r="715" spans="1:27" ht="18" customHeight="1" x14ac:dyDescent="0.25">
      <c r="A715" s="159">
        <v>1207</v>
      </c>
      <c r="B715" s="164" t="s">
        <v>266</v>
      </c>
      <c r="C715" s="164" t="s">
        <v>294</v>
      </c>
      <c r="D715" s="159" t="s">
        <v>1207</v>
      </c>
      <c r="E715" s="164" t="s">
        <v>1205</v>
      </c>
      <c r="F715" s="159"/>
      <c r="G715" s="157" t="s">
        <v>1349</v>
      </c>
      <c r="H715" s="157" t="s">
        <v>1418</v>
      </c>
      <c r="I715" s="157" t="s">
        <v>1559</v>
      </c>
      <c r="J715" s="157" t="s">
        <v>8301</v>
      </c>
      <c r="K715" s="157" t="s">
        <v>1312</v>
      </c>
      <c r="L715" s="157" t="s">
        <v>9606</v>
      </c>
      <c r="M715" s="157" t="str">
        <f t="shared" si="21"/>
        <v>Ultrasonic Sensor FSL - Short Range Distance Measurement</v>
      </c>
      <c r="N715" s="157"/>
      <c r="O715" s="157"/>
      <c r="P715" s="159" t="s">
        <v>8128</v>
      </c>
      <c r="Q715" s="157" t="s">
        <v>2115</v>
      </c>
      <c r="R715" s="157" t="s">
        <v>2145</v>
      </c>
      <c r="S715" s="157" t="s">
        <v>8584</v>
      </c>
      <c r="T715" s="157"/>
      <c r="U715" s="159" t="s">
        <v>2129</v>
      </c>
      <c r="V715" s="159" t="s">
        <v>2138</v>
      </c>
      <c r="W715" s="159" t="s">
        <v>2138</v>
      </c>
      <c r="X715" s="160">
        <v>0.05</v>
      </c>
      <c r="Y715" s="160">
        <v>0</v>
      </c>
      <c r="Z715" s="160">
        <v>0.05</v>
      </c>
      <c r="AA715" s="160">
        <v>0</v>
      </c>
    </row>
    <row r="716" spans="1:27" ht="18" customHeight="1" x14ac:dyDescent="0.25">
      <c r="A716" s="159">
        <v>1213</v>
      </c>
      <c r="B716" s="157" t="s">
        <v>266</v>
      </c>
      <c r="C716" s="157" t="s">
        <v>276</v>
      </c>
      <c r="D716" s="159" t="s">
        <v>279</v>
      </c>
      <c r="E716" s="157" t="s">
        <v>277</v>
      </c>
      <c r="F716" s="157" t="s">
        <v>1264</v>
      </c>
      <c r="G716" s="157" t="s">
        <v>1349</v>
      </c>
      <c r="H716" s="157" t="s">
        <v>1418</v>
      </c>
      <c r="I716" s="157" t="s">
        <v>1521</v>
      </c>
      <c r="J716" s="157" t="s">
        <v>1553</v>
      </c>
      <c r="K716" s="157" t="s">
        <v>1312</v>
      </c>
      <c r="L716" s="157" t="s">
        <v>1560</v>
      </c>
      <c r="M716" s="157" t="str">
        <f t="shared" si="21"/>
        <v>Steering Wheel Sensor - Driver Monitoring</v>
      </c>
      <c r="N716" s="157"/>
      <c r="O716" s="157"/>
      <c r="P716" s="159"/>
      <c r="Q716" s="157"/>
      <c r="R716" s="157"/>
      <c r="S716" s="157"/>
      <c r="T716" s="157"/>
      <c r="U716" s="159"/>
      <c r="V716" s="159"/>
      <c r="W716" s="159"/>
      <c r="X716" s="160"/>
      <c r="Y716" s="160"/>
      <c r="Z716" s="160"/>
      <c r="AA716" s="160"/>
    </row>
    <row r="717" spans="1:27" ht="18" customHeight="1" x14ac:dyDescent="0.25">
      <c r="A717" s="159">
        <v>1213</v>
      </c>
      <c r="B717" s="157" t="s">
        <v>266</v>
      </c>
      <c r="C717" s="157" t="s">
        <v>276</v>
      </c>
      <c r="D717" s="159" t="s">
        <v>1213</v>
      </c>
      <c r="E717" s="157" t="s">
        <v>1211</v>
      </c>
      <c r="F717" s="157"/>
      <c r="G717" s="157" t="s">
        <v>1349</v>
      </c>
      <c r="H717" s="157" t="s">
        <v>1418</v>
      </c>
      <c r="I717" s="157" t="s">
        <v>1521</v>
      </c>
      <c r="J717" s="157" t="s">
        <v>1553</v>
      </c>
      <c r="K717" s="157" t="s">
        <v>1312</v>
      </c>
      <c r="L717" s="157" t="s">
        <v>1560</v>
      </c>
      <c r="M717" s="157" t="str">
        <f t="shared" si="21"/>
        <v>Steering Wheel Sensor - Driver Monitoring</v>
      </c>
      <c r="N717" s="157"/>
      <c r="O717" s="157"/>
      <c r="P717" s="159"/>
      <c r="Q717" s="157"/>
      <c r="R717" s="157"/>
      <c r="S717" s="157"/>
      <c r="T717" s="157"/>
      <c r="U717" s="159"/>
      <c r="V717" s="159"/>
      <c r="W717" s="159"/>
      <c r="X717" s="160"/>
      <c r="Y717" s="160"/>
      <c r="Z717" s="160"/>
      <c r="AA717" s="160"/>
    </row>
    <row r="718" spans="1:27" ht="18" customHeight="1" x14ac:dyDescent="0.25">
      <c r="A718" s="159">
        <v>1213</v>
      </c>
      <c r="B718" s="157" t="s">
        <v>266</v>
      </c>
      <c r="C718" s="157" t="s">
        <v>276</v>
      </c>
      <c r="D718" s="159" t="s">
        <v>304</v>
      </c>
      <c r="E718" s="157" t="s">
        <v>1239</v>
      </c>
      <c r="F718" s="157"/>
      <c r="G718" s="157" t="s">
        <v>1349</v>
      </c>
      <c r="H718" s="157" t="s">
        <v>1418</v>
      </c>
      <c r="I718" s="157" t="s">
        <v>1521</v>
      </c>
      <c r="J718" s="157" t="s">
        <v>1553</v>
      </c>
      <c r="K718" s="157" t="s">
        <v>1312</v>
      </c>
      <c r="L718" s="157" t="s">
        <v>1560</v>
      </c>
      <c r="M718" s="157" t="str">
        <f t="shared" si="21"/>
        <v>Steering Wheel Sensor - Driver Monitoring</v>
      </c>
      <c r="N718" s="157"/>
      <c r="O718" s="157"/>
      <c r="P718" s="159"/>
      <c r="Q718" s="157"/>
      <c r="R718" s="157"/>
      <c r="S718" s="157"/>
      <c r="T718" s="157"/>
      <c r="U718" s="159"/>
      <c r="V718" s="159"/>
      <c r="W718" s="159"/>
      <c r="X718" s="160"/>
      <c r="Y718" s="160"/>
      <c r="Z718" s="160"/>
      <c r="AA718" s="160"/>
    </row>
    <row r="719" spans="1:27" ht="18" customHeight="1" x14ac:dyDescent="0.25">
      <c r="A719" s="159">
        <v>1213</v>
      </c>
      <c r="B719" s="157" t="s">
        <v>266</v>
      </c>
      <c r="C719" s="157" t="s">
        <v>267</v>
      </c>
      <c r="D719" s="159" t="s">
        <v>951</v>
      </c>
      <c r="E719" s="157" t="s">
        <v>949</v>
      </c>
      <c r="F719" s="157"/>
      <c r="G719" s="157" t="s">
        <v>1349</v>
      </c>
      <c r="H719" s="157" t="s">
        <v>1418</v>
      </c>
      <c r="I719" s="157" t="s">
        <v>1521</v>
      </c>
      <c r="J719" s="157" t="s">
        <v>1553</v>
      </c>
      <c r="K719" s="157" t="s">
        <v>1312</v>
      </c>
      <c r="L719" s="157" t="s">
        <v>1560</v>
      </c>
      <c r="M719" s="157" t="str">
        <f t="shared" si="21"/>
        <v>Steering Wheel Sensor - Driver Monitoring</v>
      </c>
      <c r="N719" s="157"/>
      <c r="O719" s="157"/>
      <c r="P719" s="159"/>
      <c r="Q719" s="157"/>
      <c r="R719" s="157"/>
      <c r="S719" s="157"/>
      <c r="T719" s="157"/>
      <c r="U719" s="159"/>
      <c r="V719" s="159"/>
      <c r="W719" s="159"/>
      <c r="X719" s="160"/>
      <c r="Y719" s="160"/>
      <c r="Z719" s="160"/>
      <c r="AA719" s="160"/>
    </row>
    <row r="720" spans="1:27" ht="18" customHeight="1" x14ac:dyDescent="0.25">
      <c r="A720" s="159">
        <v>1213</v>
      </c>
      <c r="B720" s="157" t="s">
        <v>266</v>
      </c>
      <c r="C720" s="157" t="s">
        <v>514</v>
      </c>
      <c r="D720" s="159" t="s">
        <v>730</v>
      </c>
      <c r="E720" s="157" t="s">
        <v>728</v>
      </c>
      <c r="F720" s="157" t="s">
        <v>1298</v>
      </c>
      <c r="G720" s="157" t="s">
        <v>1349</v>
      </c>
      <c r="H720" s="157" t="s">
        <v>1418</v>
      </c>
      <c r="I720" s="157" t="s">
        <v>1521</v>
      </c>
      <c r="J720" s="157" t="s">
        <v>1553</v>
      </c>
      <c r="K720" s="157" t="s">
        <v>1312</v>
      </c>
      <c r="L720" s="157" t="s">
        <v>1560</v>
      </c>
      <c r="M720" s="157" t="str">
        <f t="shared" si="21"/>
        <v>Steering Wheel Sensor - Driver Monitoring</v>
      </c>
      <c r="N720" s="157"/>
      <c r="O720" s="157"/>
      <c r="P720" s="159"/>
      <c r="Q720" s="157"/>
      <c r="R720" s="157"/>
      <c r="S720" s="157"/>
      <c r="T720" s="157"/>
      <c r="U720" s="159"/>
      <c r="V720" s="159"/>
      <c r="W720" s="159"/>
      <c r="X720" s="160"/>
      <c r="Y720" s="160"/>
      <c r="Z720" s="160"/>
      <c r="AA720" s="160"/>
    </row>
    <row r="721" spans="1:27" ht="18" customHeight="1" x14ac:dyDescent="0.25">
      <c r="A721" s="159">
        <v>1213</v>
      </c>
      <c r="B721" s="157" t="s">
        <v>266</v>
      </c>
      <c r="C721" s="157" t="s">
        <v>514</v>
      </c>
      <c r="D721" s="159" t="s">
        <v>731</v>
      </c>
      <c r="E721" s="157" t="s">
        <v>795</v>
      </c>
      <c r="F721" s="157" t="s">
        <v>1298</v>
      </c>
      <c r="G721" s="157" t="s">
        <v>1349</v>
      </c>
      <c r="H721" s="157" t="s">
        <v>1418</v>
      </c>
      <c r="I721" s="157" t="s">
        <v>1521</v>
      </c>
      <c r="J721" s="157" t="s">
        <v>1553</v>
      </c>
      <c r="K721" s="157" t="s">
        <v>1312</v>
      </c>
      <c r="L721" s="157" t="s">
        <v>1560</v>
      </c>
      <c r="M721" s="157" t="str">
        <f t="shared" si="21"/>
        <v>Steering Wheel Sensor - Driver Monitoring</v>
      </c>
      <c r="N721" s="157"/>
      <c r="O721" s="157"/>
      <c r="P721" s="159"/>
      <c r="Q721" s="157"/>
      <c r="R721" s="157"/>
      <c r="S721" s="157"/>
      <c r="T721" s="157"/>
      <c r="U721" s="159"/>
      <c r="V721" s="159"/>
      <c r="W721" s="159"/>
      <c r="X721" s="160"/>
      <c r="Y721" s="160"/>
      <c r="Z721" s="160"/>
      <c r="AA721" s="160"/>
    </row>
    <row r="722" spans="1:27" ht="18" customHeight="1" x14ac:dyDescent="0.25">
      <c r="A722" s="159">
        <v>1213</v>
      </c>
      <c r="B722" s="157" t="s">
        <v>266</v>
      </c>
      <c r="C722" s="157" t="s">
        <v>514</v>
      </c>
      <c r="D722" s="159" t="s">
        <v>1170</v>
      </c>
      <c r="E722" s="157" t="s">
        <v>1168</v>
      </c>
      <c r="F722" s="157" t="s">
        <v>1298</v>
      </c>
      <c r="G722" s="157" t="s">
        <v>1349</v>
      </c>
      <c r="H722" s="157" t="s">
        <v>1418</v>
      </c>
      <c r="I722" s="157" t="s">
        <v>1521</v>
      </c>
      <c r="J722" s="157" t="s">
        <v>1553</v>
      </c>
      <c r="K722" s="157" t="s">
        <v>1312</v>
      </c>
      <c r="L722" s="157" t="s">
        <v>1560</v>
      </c>
      <c r="M722" s="157" t="str">
        <f t="shared" si="21"/>
        <v>Steering Wheel Sensor - Driver Monitoring</v>
      </c>
      <c r="N722" s="157"/>
      <c r="O722" s="157"/>
      <c r="P722" s="159"/>
      <c r="Q722" s="157"/>
      <c r="R722" s="157"/>
      <c r="S722" s="157"/>
      <c r="T722" s="157"/>
      <c r="U722" s="159"/>
      <c r="V722" s="159"/>
      <c r="W722" s="159"/>
      <c r="X722" s="160"/>
      <c r="Y722" s="160"/>
      <c r="Z722" s="160"/>
      <c r="AA722" s="160"/>
    </row>
    <row r="723" spans="1:27" ht="18" customHeight="1" x14ac:dyDescent="0.25">
      <c r="A723" s="159">
        <v>1213</v>
      </c>
      <c r="B723" s="157" t="s">
        <v>266</v>
      </c>
      <c r="C723" s="157" t="s">
        <v>519</v>
      </c>
      <c r="D723" s="159" t="s">
        <v>522</v>
      </c>
      <c r="E723" s="157" t="s">
        <v>520</v>
      </c>
      <c r="F723" s="157"/>
      <c r="G723" s="157" t="s">
        <v>1349</v>
      </c>
      <c r="H723" s="157" t="s">
        <v>1418</v>
      </c>
      <c r="I723" s="157" t="s">
        <v>1521</v>
      </c>
      <c r="J723" s="157" t="s">
        <v>1553</v>
      </c>
      <c r="K723" s="157" t="s">
        <v>1312</v>
      </c>
      <c r="L723" s="157" t="s">
        <v>1560</v>
      </c>
      <c r="M723" s="157" t="str">
        <f t="shared" si="21"/>
        <v>Steering Wheel Sensor - Driver Monitoring</v>
      </c>
      <c r="N723" s="157"/>
      <c r="O723" s="157"/>
      <c r="P723" s="159"/>
      <c r="Q723" s="157"/>
      <c r="R723" s="157"/>
      <c r="S723" s="157"/>
      <c r="T723" s="157"/>
      <c r="U723" s="159"/>
      <c r="V723" s="159"/>
      <c r="W723" s="159"/>
      <c r="X723" s="160"/>
      <c r="Y723" s="160"/>
      <c r="Z723" s="160"/>
      <c r="AA723" s="160"/>
    </row>
    <row r="724" spans="1:27" ht="18" customHeight="1" x14ac:dyDescent="0.25">
      <c r="A724" s="159">
        <v>1213</v>
      </c>
      <c r="B724" s="157" t="s">
        <v>266</v>
      </c>
      <c r="C724" s="157" t="s">
        <v>519</v>
      </c>
      <c r="D724" s="159" t="s">
        <v>1159</v>
      </c>
      <c r="E724" s="157" t="s">
        <v>1157</v>
      </c>
      <c r="F724" s="157"/>
      <c r="G724" s="157" t="s">
        <v>1349</v>
      </c>
      <c r="H724" s="157" t="s">
        <v>1418</v>
      </c>
      <c r="I724" s="157" t="s">
        <v>1521</v>
      </c>
      <c r="J724" s="157" t="s">
        <v>1553</v>
      </c>
      <c r="K724" s="157" t="s">
        <v>1312</v>
      </c>
      <c r="L724" s="157" t="s">
        <v>1560</v>
      </c>
      <c r="M724" s="157" t="str">
        <f t="shared" si="21"/>
        <v>Steering Wheel Sensor - Driver Monitoring</v>
      </c>
      <c r="N724" s="157"/>
      <c r="O724" s="157"/>
      <c r="P724" s="159"/>
      <c r="Q724" s="157"/>
      <c r="R724" s="157"/>
      <c r="S724" s="157"/>
      <c r="T724" s="157"/>
      <c r="U724" s="159"/>
      <c r="V724" s="159"/>
      <c r="W724" s="159"/>
      <c r="X724" s="160"/>
      <c r="Y724" s="160"/>
      <c r="Z724" s="160"/>
      <c r="AA724" s="160"/>
    </row>
    <row r="725" spans="1:27" ht="18" customHeight="1" x14ac:dyDescent="0.25">
      <c r="A725" s="159">
        <v>1222</v>
      </c>
      <c r="B725" s="157" t="s">
        <v>22</v>
      </c>
      <c r="C725" s="157" t="s">
        <v>40</v>
      </c>
      <c r="D725" s="159" t="s">
        <v>44</v>
      </c>
      <c r="E725" s="157" t="s">
        <v>48</v>
      </c>
      <c r="F725" s="157" t="s">
        <v>1298</v>
      </c>
      <c r="G725" s="157" t="s">
        <v>1299</v>
      </c>
      <c r="H725" s="157" t="s">
        <v>1300</v>
      </c>
      <c r="I725" s="157" t="s">
        <v>1300</v>
      </c>
      <c r="J725" s="157" t="s">
        <v>1561</v>
      </c>
      <c r="K725" s="157" t="s">
        <v>1302</v>
      </c>
      <c r="L725" s="157" t="s">
        <v>1562</v>
      </c>
      <c r="M725" s="157" t="str">
        <f t="shared" si="21"/>
        <v>Airbag Driver - Airbag</v>
      </c>
      <c r="N725" s="157"/>
      <c r="O725" s="157"/>
      <c r="P725" s="159" t="s">
        <v>6588</v>
      </c>
      <c r="Q725" s="157" t="s">
        <v>2115</v>
      </c>
      <c r="R725" s="157" t="s">
        <v>2118</v>
      </c>
      <c r="S725" s="157" t="s">
        <v>2119</v>
      </c>
      <c r="T725" s="157"/>
      <c r="U725" s="159" t="s">
        <v>2138</v>
      </c>
      <c r="V725" s="159" t="s">
        <v>2138</v>
      </c>
      <c r="W725" s="159" t="s">
        <v>2138</v>
      </c>
      <c r="X725" s="160">
        <v>0</v>
      </c>
      <c r="Y725" s="160">
        <v>0</v>
      </c>
      <c r="Z725" s="160">
        <v>0</v>
      </c>
      <c r="AA725" s="160">
        <v>0</v>
      </c>
    </row>
    <row r="726" spans="1:27" ht="18" customHeight="1" x14ac:dyDescent="0.25">
      <c r="A726" s="159">
        <v>1223</v>
      </c>
      <c r="B726" s="157" t="s">
        <v>22</v>
      </c>
      <c r="C726" s="157" t="s">
        <v>40</v>
      </c>
      <c r="D726" s="159" t="s">
        <v>39</v>
      </c>
      <c r="E726" s="157" t="s">
        <v>740</v>
      </c>
      <c r="F726" s="157" t="s">
        <v>1298</v>
      </c>
      <c r="G726" s="157" t="s">
        <v>1299</v>
      </c>
      <c r="H726" s="157" t="s">
        <v>1300</v>
      </c>
      <c r="I726" s="157" t="s">
        <v>1300</v>
      </c>
      <c r="J726" s="157" t="s">
        <v>1563</v>
      </c>
      <c r="K726" s="157" t="s">
        <v>1302</v>
      </c>
      <c r="L726" s="157" t="s">
        <v>1564</v>
      </c>
      <c r="M726" s="157" t="str">
        <f t="shared" si="21"/>
        <v>Airbag Passenger - Airbag</v>
      </c>
      <c r="N726" s="157"/>
      <c r="O726" s="157"/>
      <c r="P726" s="159" t="s">
        <v>4621</v>
      </c>
      <c r="Q726" s="157" t="s">
        <v>2115</v>
      </c>
      <c r="R726" s="157" t="s">
        <v>2118</v>
      </c>
      <c r="S726" s="157" t="s">
        <v>2119</v>
      </c>
      <c r="T726" s="157"/>
      <c r="U726" s="159" t="s">
        <v>2138</v>
      </c>
      <c r="V726" s="159" t="s">
        <v>2138</v>
      </c>
      <c r="W726" s="159" t="s">
        <v>2138</v>
      </c>
      <c r="X726" s="160">
        <v>0</v>
      </c>
      <c r="Y726" s="160">
        <v>0</v>
      </c>
      <c r="Z726" s="160">
        <v>0</v>
      </c>
      <c r="AA726" s="160">
        <v>0</v>
      </c>
    </row>
    <row r="727" spans="1:27" ht="18" customHeight="1" x14ac:dyDescent="0.25">
      <c r="A727" s="159">
        <v>1224</v>
      </c>
      <c r="B727" s="157" t="s">
        <v>22</v>
      </c>
      <c r="C727" s="157" t="s">
        <v>40</v>
      </c>
      <c r="D727" s="159" t="s">
        <v>47</v>
      </c>
      <c r="E727" s="157" t="s">
        <v>45</v>
      </c>
      <c r="F727" s="157" t="s">
        <v>1298</v>
      </c>
      <c r="G727" s="157" t="s">
        <v>1299</v>
      </c>
      <c r="H727" s="157" t="s">
        <v>1300</v>
      </c>
      <c r="I727" s="157" t="s">
        <v>1300</v>
      </c>
      <c r="J727" s="157" t="s">
        <v>1565</v>
      </c>
      <c r="K727" s="157" t="s">
        <v>1302</v>
      </c>
      <c r="L727" s="157" t="s">
        <v>1566</v>
      </c>
      <c r="M727" s="157" t="str">
        <f t="shared" si="21"/>
        <v>Knee Airbag Driver - Airbag</v>
      </c>
      <c r="N727" s="157"/>
      <c r="O727" s="157"/>
      <c r="P727" s="159" t="s">
        <v>6678</v>
      </c>
      <c r="Q727" s="157" t="s">
        <v>2115</v>
      </c>
      <c r="R727" s="157" t="s">
        <v>2118</v>
      </c>
      <c r="S727" s="157" t="s">
        <v>2119</v>
      </c>
      <c r="T727" s="157"/>
      <c r="U727" s="159" t="s">
        <v>2129</v>
      </c>
      <c r="V727" s="159" t="s">
        <v>2129</v>
      </c>
      <c r="W727" s="159" t="s">
        <v>2138</v>
      </c>
      <c r="X727" s="160">
        <v>0</v>
      </c>
      <c r="Y727" s="160">
        <v>0</v>
      </c>
      <c r="Z727" s="160">
        <v>0</v>
      </c>
      <c r="AA727" s="160">
        <v>0</v>
      </c>
    </row>
    <row r="728" spans="1:27" ht="18" customHeight="1" x14ac:dyDescent="0.25">
      <c r="A728" s="159">
        <v>1229</v>
      </c>
      <c r="B728" s="157" t="s">
        <v>22</v>
      </c>
      <c r="C728" s="157" t="s">
        <v>40</v>
      </c>
      <c r="D728" s="159" t="s">
        <v>53</v>
      </c>
      <c r="E728" s="157" t="s">
        <v>51</v>
      </c>
      <c r="F728" s="157" t="s">
        <v>1298</v>
      </c>
      <c r="G728" s="157" t="s">
        <v>1299</v>
      </c>
      <c r="H728" s="157" t="s">
        <v>1300</v>
      </c>
      <c r="I728" s="157" t="s">
        <v>1300</v>
      </c>
      <c r="J728" s="157" t="s">
        <v>1567</v>
      </c>
      <c r="K728" s="157" t="s">
        <v>1302</v>
      </c>
      <c r="L728" s="157" t="s">
        <v>1568</v>
      </c>
      <c r="M728" s="157" t="str">
        <f t="shared" si="21"/>
        <v>Seat Airbag 1st Row L - Airbag</v>
      </c>
      <c r="N728" s="157"/>
      <c r="O728" s="157"/>
      <c r="P728" s="159" t="s">
        <v>7584</v>
      </c>
      <c r="Q728" s="157" t="s">
        <v>2115</v>
      </c>
      <c r="R728" s="157" t="s">
        <v>2118</v>
      </c>
      <c r="S728" s="157" t="s">
        <v>2119</v>
      </c>
      <c r="T728" s="157"/>
      <c r="U728" s="159" t="s">
        <v>2129</v>
      </c>
      <c r="V728" s="159" t="s">
        <v>2138</v>
      </c>
      <c r="W728" s="159" t="s">
        <v>2138</v>
      </c>
      <c r="X728" s="160">
        <v>0</v>
      </c>
      <c r="Y728" s="160">
        <v>0</v>
      </c>
      <c r="Z728" s="160">
        <v>0</v>
      </c>
      <c r="AA728" s="160">
        <v>0</v>
      </c>
    </row>
    <row r="729" spans="1:27" ht="18" customHeight="1" x14ac:dyDescent="0.25">
      <c r="A729" s="159">
        <v>1230</v>
      </c>
      <c r="B729" s="157" t="s">
        <v>22</v>
      </c>
      <c r="C729" s="157" t="s">
        <v>40</v>
      </c>
      <c r="D729" s="159" t="s">
        <v>53</v>
      </c>
      <c r="E729" s="157" t="s">
        <v>51</v>
      </c>
      <c r="F729" s="157" t="s">
        <v>1298</v>
      </c>
      <c r="G729" s="157" t="s">
        <v>1299</v>
      </c>
      <c r="H729" s="157" t="s">
        <v>1300</v>
      </c>
      <c r="I729" s="157" t="s">
        <v>1300</v>
      </c>
      <c r="J729" s="157" t="s">
        <v>1567</v>
      </c>
      <c r="K729" s="157" t="s">
        <v>1302</v>
      </c>
      <c r="L729" s="157" t="s">
        <v>1569</v>
      </c>
      <c r="M729" s="157" t="str">
        <f t="shared" si="21"/>
        <v>Seat Airbag 1st Row R - Airbag</v>
      </c>
      <c r="N729" s="157"/>
      <c r="O729" s="157"/>
      <c r="P729" s="159" t="s">
        <v>4087</v>
      </c>
      <c r="Q729" s="157" t="s">
        <v>2115</v>
      </c>
      <c r="R729" s="157" t="s">
        <v>2118</v>
      </c>
      <c r="S729" s="157" t="s">
        <v>2119</v>
      </c>
      <c r="T729" s="157"/>
      <c r="U729" s="159" t="s">
        <v>2129</v>
      </c>
      <c r="V729" s="159" t="s">
        <v>2138</v>
      </c>
      <c r="W729" s="159" t="s">
        <v>2138</v>
      </c>
      <c r="X729" s="160">
        <v>0</v>
      </c>
      <c r="Y729" s="160">
        <v>0</v>
      </c>
      <c r="Z729" s="160">
        <v>0</v>
      </c>
      <c r="AA729" s="160">
        <v>0</v>
      </c>
    </row>
    <row r="730" spans="1:27" ht="18" customHeight="1" x14ac:dyDescent="0.25">
      <c r="A730" s="159">
        <v>1232</v>
      </c>
      <c r="B730" s="157" t="s">
        <v>22</v>
      </c>
      <c r="C730" s="157" t="s">
        <v>132</v>
      </c>
      <c r="D730" s="159" t="s">
        <v>142</v>
      </c>
      <c r="E730" s="157" t="s">
        <v>140</v>
      </c>
      <c r="F730" s="157" t="s">
        <v>1298</v>
      </c>
      <c r="G730" s="157" t="s">
        <v>1299</v>
      </c>
      <c r="H730" s="157" t="s">
        <v>1300</v>
      </c>
      <c r="I730" s="157" t="s">
        <v>1570</v>
      </c>
      <c r="J730" s="157" t="s">
        <v>1285</v>
      </c>
      <c r="K730" s="157" t="s">
        <v>1302</v>
      </c>
      <c r="L730" s="157" t="s">
        <v>1571</v>
      </c>
      <c r="M730" s="157" t="str">
        <f t="shared" si="21"/>
        <v>Lap Pretensioner L - Pretensioner</v>
      </c>
      <c r="N730" s="157"/>
      <c r="O730" s="157"/>
      <c r="P730" s="159" t="s">
        <v>5672</v>
      </c>
      <c r="Q730" s="157"/>
      <c r="R730" s="157"/>
      <c r="S730" s="157"/>
      <c r="T730" s="157"/>
      <c r="U730" s="159" t="s">
        <v>2129</v>
      </c>
      <c r="V730" s="159" t="s">
        <v>2138</v>
      </c>
      <c r="W730" s="159" t="s">
        <v>2138</v>
      </c>
      <c r="X730" s="160">
        <v>0</v>
      </c>
      <c r="Y730" s="160">
        <v>0</v>
      </c>
      <c r="Z730" s="160">
        <v>0</v>
      </c>
      <c r="AA730" s="160">
        <v>0</v>
      </c>
    </row>
    <row r="731" spans="1:27" ht="18" customHeight="1" x14ac:dyDescent="0.25">
      <c r="A731" s="159">
        <v>1234</v>
      </c>
      <c r="B731" s="157" t="s">
        <v>22</v>
      </c>
      <c r="C731" s="157" t="s">
        <v>132</v>
      </c>
      <c r="D731" s="159" t="s">
        <v>142</v>
      </c>
      <c r="E731" s="157" t="s">
        <v>140</v>
      </c>
      <c r="F731" s="157" t="s">
        <v>1298</v>
      </c>
      <c r="G731" s="157" t="s">
        <v>1299</v>
      </c>
      <c r="H731" s="157" t="s">
        <v>1300</v>
      </c>
      <c r="I731" s="157" t="s">
        <v>1570</v>
      </c>
      <c r="J731" s="157" t="s">
        <v>1285</v>
      </c>
      <c r="K731" s="157" t="s">
        <v>1302</v>
      </c>
      <c r="L731" s="157" t="s">
        <v>1572</v>
      </c>
      <c r="M731" s="157" t="str">
        <f t="shared" si="21"/>
        <v>Lap Pretensioner R - Pretensioner</v>
      </c>
      <c r="N731" s="157"/>
      <c r="O731" s="157"/>
      <c r="P731" s="159" t="s">
        <v>5858</v>
      </c>
      <c r="Q731" s="157"/>
      <c r="R731" s="157"/>
      <c r="S731" s="157"/>
      <c r="T731" s="157"/>
      <c r="U731" s="159" t="s">
        <v>2129</v>
      </c>
      <c r="V731" s="159" t="s">
        <v>2138</v>
      </c>
      <c r="W731" s="159" t="s">
        <v>2138</v>
      </c>
      <c r="X731" s="160">
        <v>0</v>
      </c>
      <c r="Y731" s="160">
        <v>0</v>
      </c>
      <c r="Z731" s="160">
        <v>0</v>
      </c>
      <c r="AA731" s="160">
        <v>0</v>
      </c>
    </row>
    <row r="732" spans="1:27" ht="18" customHeight="1" x14ac:dyDescent="0.25">
      <c r="A732" s="159">
        <v>1240</v>
      </c>
      <c r="B732" s="157" t="s">
        <v>22</v>
      </c>
      <c r="C732" s="157" t="s">
        <v>40</v>
      </c>
      <c r="D732" s="159" t="s">
        <v>47</v>
      </c>
      <c r="E732" s="157" t="s">
        <v>45</v>
      </c>
      <c r="F732" s="157" t="s">
        <v>1298</v>
      </c>
      <c r="G732" s="157" t="s">
        <v>1299</v>
      </c>
      <c r="H732" s="157" t="s">
        <v>1300</v>
      </c>
      <c r="I732" s="157" t="s">
        <v>1494</v>
      </c>
      <c r="J732" s="157" t="s">
        <v>1285</v>
      </c>
      <c r="K732" s="157" t="s">
        <v>1312</v>
      </c>
      <c r="L732" s="157" t="s">
        <v>1573</v>
      </c>
      <c r="M732" s="157" t="str">
        <f t="shared" si="21"/>
        <v>Seat Position 1st Row L - Seat Position</v>
      </c>
      <c r="N732" s="157"/>
      <c r="O732" s="157"/>
      <c r="P732" s="159" t="s">
        <v>6029</v>
      </c>
      <c r="Q732" s="157" t="s">
        <v>2115</v>
      </c>
      <c r="R732" s="157" t="s">
        <v>2142</v>
      </c>
      <c r="S732" s="157" t="s">
        <v>8608</v>
      </c>
      <c r="T732" s="157" t="s">
        <v>2129</v>
      </c>
      <c r="U732" s="159" t="s">
        <v>2129</v>
      </c>
      <c r="V732" s="159" t="s">
        <v>2129</v>
      </c>
      <c r="W732" s="159" t="s">
        <v>2138</v>
      </c>
      <c r="X732" s="160">
        <v>1</v>
      </c>
      <c r="Y732" s="160">
        <v>1</v>
      </c>
      <c r="Z732" s="160">
        <v>1</v>
      </c>
      <c r="AA732" s="160">
        <v>1</v>
      </c>
    </row>
    <row r="733" spans="1:27" ht="18" customHeight="1" x14ac:dyDescent="0.25">
      <c r="A733" s="159">
        <v>1240</v>
      </c>
      <c r="B733" s="157" t="s">
        <v>22</v>
      </c>
      <c r="C733" s="157" t="s">
        <v>40</v>
      </c>
      <c r="D733" s="159" t="s">
        <v>44</v>
      </c>
      <c r="E733" s="157" t="s">
        <v>48</v>
      </c>
      <c r="F733" s="157" t="s">
        <v>1298</v>
      </c>
      <c r="G733" s="157" t="s">
        <v>1299</v>
      </c>
      <c r="H733" s="157" t="s">
        <v>1300</v>
      </c>
      <c r="I733" s="157" t="s">
        <v>1494</v>
      </c>
      <c r="J733" s="157" t="s">
        <v>1285</v>
      </c>
      <c r="K733" s="157" t="s">
        <v>1312</v>
      </c>
      <c r="L733" s="157" t="s">
        <v>1573</v>
      </c>
      <c r="M733" s="157" t="str">
        <f t="shared" si="21"/>
        <v>Seat Position 1st Row L - Seat Position</v>
      </c>
      <c r="N733" s="157"/>
      <c r="O733" s="157"/>
      <c r="P733" s="159" t="s">
        <v>6029</v>
      </c>
      <c r="Q733" s="157" t="s">
        <v>2115</v>
      </c>
      <c r="R733" s="157" t="s">
        <v>2142</v>
      </c>
      <c r="S733" s="157" t="s">
        <v>8608</v>
      </c>
      <c r="T733" s="157" t="s">
        <v>2129</v>
      </c>
      <c r="U733" s="159" t="s">
        <v>2138</v>
      </c>
      <c r="V733" s="159" t="s">
        <v>2138</v>
      </c>
      <c r="W733" s="159" t="s">
        <v>2138</v>
      </c>
      <c r="X733" s="160">
        <v>1</v>
      </c>
      <c r="Y733" s="160">
        <v>1</v>
      </c>
      <c r="Z733" s="160">
        <v>1</v>
      </c>
      <c r="AA733" s="160">
        <v>1</v>
      </c>
    </row>
    <row r="734" spans="1:27" ht="18" customHeight="1" x14ac:dyDescent="0.25">
      <c r="A734" s="159">
        <v>1240</v>
      </c>
      <c r="B734" s="157" t="s">
        <v>22</v>
      </c>
      <c r="C734" s="157" t="s">
        <v>40</v>
      </c>
      <c r="D734" s="159" t="s">
        <v>618</v>
      </c>
      <c r="E734" s="157" t="s">
        <v>617</v>
      </c>
      <c r="F734" s="157" t="s">
        <v>1010</v>
      </c>
      <c r="G734" s="157" t="s">
        <v>1299</v>
      </c>
      <c r="H734" s="157" t="s">
        <v>1300</v>
      </c>
      <c r="I734" s="157" t="s">
        <v>1494</v>
      </c>
      <c r="J734" s="157" t="s">
        <v>1285</v>
      </c>
      <c r="K734" s="157" t="s">
        <v>1312</v>
      </c>
      <c r="L734" s="157" t="s">
        <v>1573</v>
      </c>
      <c r="M734" s="157" t="str">
        <f t="shared" si="21"/>
        <v>Seat Position 1st Row L - Seat Position</v>
      </c>
      <c r="N734" s="157"/>
      <c r="O734" s="157"/>
      <c r="P734" s="159" t="s">
        <v>6029</v>
      </c>
      <c r="Q734" s="157" t="s">
        <v>2115</v>
      </c>
      <c r="R734" s="157" t="s">
        <v>2142</v>
      </c>
      <c r="S734" s="157" t="s">
        <v>8608</v>
      </c>
      <c r="T734" s="157" t="s">
        <v>2129</v>
      </c>
      <c r="U734" s="159" t="s">
        <v>2129</v>
      </c>
      <c r="V734" s="159" t="s">
        <v>2138</v>
      </c>
      <c r="W734" s="159" t="s">
        <v>2138</v>
      </c>
      <c r="X734" s="160">
        <v>1</v>
      </c>
      <c r="Y734" s="160">
        <v>1</v>
      </c>
      <c r="Z734" s="160">
        <v>1</v>
      </c>
      <c r="AA734" s="160">
        <v>1</v>
      </c>
    </row>
    <row r="735" spans="1:27" ht="18" customHeight="1" x14ac:dyDescent="0.25">
      <c r="A735" s="159">
        <v>1240</v>
      </c>
      <c r="B735" s="157" t="s">
        <v>22</v>
      </c>
      <c r="C735" s="157" t="s">
        <v>40</v>
      </c>
      <c r="D735" s="159" t="s">
        <v>627</v>
      </c>
      <c r="E735" s="157" t="s">
        <v>625</v>
      </c>
      <c r="F735" s="157" t="s">
        <v>1010</v>
      </c>
      <c r="G735" s="157" t="s">
        <v>1299</v>
      </c>
      <c r="H735" s="157" t="s">
        <v>1300</v>
      </c>
      <c r="I735" s="157" t="s">
        <v>1494</v>
      </c>
      <c r="J735" s="157" t="s">
        <v>1285</v>
      </c>
      <c r="K735" s="157" t="s">
        <v>1312</v>
      </c>
      <c r="L735" s="157" t="s">
        <v>1573</v>
      </c>
      <c r="M735" s="157" t="str">
        <f t="shared" si="21"/>
        <v>Seat Position 1st Row L - Seat Position</v>
      </c>
      <c r="N735" s="157"/>
      <c r="O735" s="157"/>
      <c r="P735" s="159" t="s">
        <v>6029</v>
      </c>
      <c r="Q735" s="157" t="s">
        <v>2115</v>
      </c>
      <c r="R735" s="157" t="s">
        <v>2142</v>
      </c>
      <c r="S735" s="157" t="s">
        <v>8608</v>
      </c>
      <c r="T735" s="157" t="s">
        <v>2129</v>
      </c>
      <c r="U735" s="159" t="s">
        <v>2129</v>
      </c>
      <c r="V735" s="159" t="s">
        <v>2129</v>
      </c>
      <c r="W735" s="159" t="s">
        <v>2138</v>
      </c>
      <c r="X735" s="160">
        <v>1</v>
      </c>
      <c r="Y735" s="160">
        <v>1</v>
      </c>
      <c r="Z735" s="160">
        <v>1</v>
      </c>
      <c r="AA735" s="160">
        <v>1</v>
      </c>
    </row>
    <row r="736" spans="1:27" ht="18" customHeight="1" x14ac:dyDescent="0.25">
      <c r="A736" s="159">
        <v>1240</v>
      </c>
      <c r="B736" s="157" t="s">
        <v>22</v>
      </c>
      <c r="C736" s="157" t="s">
        <v>40</v>
      </c>
      <c r="D736" s="159" t="s">
        <v>636</v>
      </c>
      <c r="E736" s="157" t="s">
        <v>634</v>
      </c>
      <c r="F736" s="157" t="s">
        <v>1010</v>
      </c>
      <c r="G736" s="157" t="s">
        <v>1299</v>
      </c>
      <c r="H736" s="157" t="s">
        <v>1300</v>
      </c>
      <c r="I736" s="157" t="s">
        <v>1494</v>
      </c>
      <c r="J736" s="157" t="s">
        <v>1285</v>
      </c>
      <c r="K736" s="157" t="s">
        <v>1312</v>
      </c>
      <c r="L736" s="157" t="s">
        <v>1573</v>
      </c>
      <c r="M736" s="157" t="str">
        <f t="shared" si="21"/>
        <v>Seat Position 1st Row L - Seat Position</v>
      </c>
      <c r="N736" s="157"/>
      <c r="O736" s="157"/>
      <c r="P736" s="159" t="s">
        <v>6029</v>
      </c>
      <c r="Q736" s="157" t="s">
        <v>2115</v>
      </c>
      <c r="R736" s="157" t="s">
        <v>2142</v>
      </c>
      <c r="S736" s="157" t="s">
        <v>8608</v>
      </c>
      <c r="T736" s="157" t="s">
        <v>2129</v>
      </c>
      <c r="U736" s="159" t="s">
        <v>2129</v>
      </c>
      <c r="V736" s="159" t="s">
        <v>2129</v>
      </c>
      <c r="W736" s="159" t="s">
        <v>2138</v>
      </c>
      <c r="X736" s="160">
        <v>1</v>
      </c>
      <c r="Y736" s="160">
        <v>1</v>
      </c>
      <c r="Z736" s="160">
        <v>1</v>
      </c>
      <c r="AA736" s="160">
        <v>1</v>
      </c>
    </row>
    <row r="737" spans="1:27" ht="18" customHeight="1" x14ac:dyDescent="0.25">
      <c r="A737" s="159">
        <v>1240</v>
      </c>
      <c r="B737" s="157" t="s">
        <v>22</v>
      </c>
      <c r="C737" s="157" t="s">
        <v>40</v>
      </c>
      <c r="D737" s="159" t="s">
        <v>39</v>
      </c>
      <c r="E737" s="157" t="s">
        <v>740</v>
      </c>
      <c r="F737" s="157" t="s">
        <v>1298</v>
      </c>
      <c r="G737" s="157" t="s">
        <v>1299</v>
      </c>
      <c r="H737" s="157" t="s">
        <v>1300</v>
      </c>
      <c r="I737" s="157" t="s">
        <v>1494</v>
      </c>
      <c r="J737" s="157" t="s">
        <v>1285</v>
      </c>
      <c r="K737" s="157" t="s">
        <v>1312</v>
      </c>
      <c r="L737" s="157" t="s">
        <v>1573</v>
      </c>
      <c r="M737" s="157" t="str">
        <f t="shared" si="21"/>
        <v>Seat Position 1st Row L - Seat Position</v>
      </c>
      <c r="N737" s="157"/>
      <c r="O737" s="157"/>
      <c r="P737" s="159" t="s">
        <v>6029</v>
      </c>
      <c r="Q737" s="157" t="s">
        <v>2115</v>
      </c>
      <c r="R737" s="157" t="s">
        <v>2142</v>
      </c>
      <c r="S737" s="157" t="s">
        <v>8608</v>
      </c>
      <c r="T737" s="157" t="s">
        <v>2129</v>
      </c>
      <c r="U737" s="159" t="s">
        <v>2129</v>
      </c>
      <c r="V737" s="159" t="s">
        <v>2138</v>
      </c>
      <c r="W737" s="159" t="s">
        <v>2138</v>
      </c>
      <c r="X737" s="160">
        <v>1</v>
      </c>
      <c r="Y737" s="160">
        <v>1</v>
      </c>
      <c r="Z737" s="160">
        <v>1</v>
      </c>
      <c r="AA737" s="160">
        <v>1</v>
      </c>
    </row>
    <row r="738" spans="1:27" ht="18" customHeight="1" x14ac:dyDescent="0.25">
      <c r="A738" s="159">
        <v>1240</v>
      </c>
      <c r="B738" s="157" t="s">
        <v>22</v>
      </c>
      <c r="C738" s="157" t="s">
        <v>40</v>
      </c>
      <c r="D738" s="159" t="s">
        <v>988</v>
      </c>
      <c r="E738" s="157" t="s">
        <v>986</v>
      </c>
      <c r="F738" s="157" t="s">
        <v>1298</v>
      </c>
      <c r="G738" s="157" t="s">
        <v>1299</v>
      </c>
      <c r="H738" s="157" t="s">
        <v>1300</v>
      </c>
      <c r="I738" s="157" t="s">
        <v>1494</v>
      </c>
      <c r="J738" s="157" t="s">
        <v>1285</v>
      </c>
      <c r="K738" s="157" t="s">
        <v>1312</v>
      </c>
      <c r="L738" s="157" t="s">
        <v>1573</v>
      </c>
      <c r="M738" s="157" t="str">
        <f t="shared" si="21"/>
        <v>Seat Position 1st Row L - Seat Position</v>
      </c>
      <c r="N738" s="157"/>
      <c r="O738" s="157"/>
      <c r="P738" s="159" t="s">
        <v>6029</v>
      </c>
      <c r="Q738" s="157" t="s">
        <v>2115</v>
      </c>
      <c r="R738" s="157" t="s">
        <v>2142</v>
      </c>
      <c r="S738" s="157" t="s">
        <v>8608</v>
      </c>
      <c r="T738" s="157" t="s">
        <v>2129</v>
      </c>
      <c r="U738" s="159" t="s">
        <v>2129</v>
      </c>
      <c r="V738" s="159" t="s">
        <v>2129</v>
      </c>
      <c r="W738" s="159" t="s">
        <v>2138</v>
      </c>
      <c r="X738" s="160">
        <v>1</v>
      </c>
      <c r="Y738" s="160">
        <v>1</v>
      </c>
      <c r="Z738" s="160">
        <v>1</v>
      </c>
      <c r="AA738" s="160">
        <v>1</v>
      </c>
    </row>
    <row r="739" spans="1:27" ht="18" customHeight="1" x14ac:dyDescent="0.25">
      <c r="A739" s="159">
        <v>1242</v>
      </c>
      <c r="B739" s="157" t="s">
        <v>22</v>
      </c>
      <c r="C739" s="157" t="s">
        <v>40</v>
      </c>
      <c r="D739" s="159" t="s">
        <v>47</v>
      </c>
      <c r="E739" s="157" t="s">
        <v>45</v>
      </c>
      <c r="F739" s="157" t="s">
        <v>1298</v>
      </c>
      <c r="G739" s="157" t="s">
        <v>1299</v>
      </c>
      <c r="H739" s="157" t="s">
        <v>1300</v>
      </c>
      <c r="I739" s="157" t="s">
        <v>1494</v>
      </c>
      <c r="J739" s="157" t="s">
        <v>1285</v>
      </c>
      <c r="K739" s="157" t="s">
        <v>1312</v>
      </c>
      <c r="L739" s="157" t="s">
        <v>1574</v>
      </c>
      <c r="M739" s="157" t="str">
        <f t="shared" si="21"/>
        <v>Seat Position 1st Row R - Seat Position</v>
      </c>
      <c r="N739" s="157"/>
      <c r="O739" s="157"/>
      <c r="P739" s="159" t="s">
        <v>5471</v>
      </c>
      <c r="Q739" s="157" t="s">
        <v>2115</v>
      </c>
      <c r="R739" s="157" t="s">
        <v>2142</v>
      </c>
      <c r="S739" s="157" t="s">
        <v>8608</v>
      </c>
      <c r="T739" s="157" t="s">
        <v>2129</v>
      </c>
      <c r="U739" s="159" t="s">
        <v>2129</v>
      </c>
      <c r="V739" s="159" t="s">
        <v>2129</v>
      </c>
      <c r="W739" s="159" t="s">
        <v>2138</v>
      </c>
      <c r="X739" s="160">
        <v>1</v>
      </c>
      <c r="Y739" s="160">
        <v>1</v>
      </c>
      <c r="Z739" s="160">
        <v>1</v>
      </c>
      <c r="AA739" s="160">
        <v>1</v>
      </c>
    </row>
    <row r="740" spans="1:27" ht="18" customHeight="1" x14ac:dyDescent="0.25">
      <c r="A740" s="159">
        <v>1242</v>
      </c>
      <c r="B740" s="157" t="s">
        <v>22</v>
      </c>
      <c r="C740" s="157" t="s">
        <v>40</v>
      </c>
      <c r="D740" s="159" t="s">
        <v>44</v>
      </c>
      <c r="E740" s="157" t="s">
        <v>48</v>
      </c>
      <c r="F740" s="157" t="s">
        <v>1298</v>
      </c>
      <c r="G740" s="157" t="s">
        <v>1299</v>
      </c>
      <c r="H740" s="157" t="s">
        <v>1300</v>
      </c>
      <c r="I740" s="157" t="s">
        <v>1494</v>
      </c>
      <c r="J740" s="157" t="s">
        <v>1285</v>
      </c>
      <c r="K740" s="157" t="s">
        <v>1312</v>
      </c>
      <c r="L740" s="157" t="s">
        <v>1574</v>
      </c>
      <c r="M740" s="157" t="str">
        <f t="shared" si="21"/>
        <v>Seat Position 1st Row R - Seat Position</v>
      </c>
      <c r="N740" s="157"/>
      <c r="O740" s="157"/>
      <c r="P740" s="159" t="s">
        <v>5471</v>
      </c>
      <c r="Q740" s="157" t="s">
        <v>2115</v>
      </c>
      <c r="R740" s="157" t="s">
        <v>2142</v>
      </c>
      <c r="S740" s="157" t="s">
        <v>8608</v>
      </c>
      <c r="T740" s="157" t="s">
        <v>2129</v>
      </c>
      <c r="U740" s="159" t="s">
        <v>2138</v>
      </c>
      <c r="V740" s="159" t="s">
        <v>2138</v>
      </c>
      <c r="W740" s="159" t="s">
        <v>2138</v>
      </c>
      <c r="X740" s="160">
        <v>1</v>
      </c>
      <c r="Y740" s="160">
        <v>1</v>
      </c>
      <c r="Z740" s="160">
        <v>1</v>
      </c>
      <c r="AA740" s="160">
        <v>1</v>
      </c>
    </row>
    <row r="741" spans="1:27" ht="18" customHeight="1" x14ac:dyDescent="0.25">
      <c r="A741" s="159">
        <v>1242</v>
      </c>
      <c r="B741" s="157" t="s">
        <v>22</v>
      </c>
      <c r="C741" s="157" t="s">
        <v>40</v>
      </c>
      <c r="D741" s="159" t="s">
        <v>76</v>
      </c>
      <c r="E741" s="157" t="s">
        <v>74</v>
      </c>
      <c r="F741" s="157" t="s">
        <v>1010</v>
      </c>
      <c r="G741" s="157" t="s">
        <v>1299</v>
      </c>
      <c r="H741" s="157" t="s">
        <v>1300</v>
      </c>
      <c r="I741" s="157" t="s">
        <v>1494</v>
      </c>
      <c r="J741" s="157" t="s">
        <v>1285</v>
      </c>
      <c r="K741" s="157" t="s">
        <v>1312</v>
      </c>
      <c r="L741" s="157" t="s">
        <v>1574</v>
      </c>
      <c r="M741" s="157" t="str">
        <f t="shared" si="21"/>
        <v>Seat Position 1st Row R - Seat Position</v>
      </c>
      <c r="N741" s="157"/>
      <c r="O741" s="157"/>
      <c r="P741" s="159" t="s">
        <v>5471</v>
      </c>
      <c r="Q741" s="157" t="s">
        <v>2115</v>
      </c>
      <c r="R741" s="157" t="s">
        <v>2142</v>
      </c>
      <c r="S741" s="157" t="s">
        <v>8608</v>
      </c>
      <c r="T741" s="157" t="s">
        <v>2129</v>
      </c>
      <c r="U741" s="159" t="s">
        <v>2129</v>
      </c>
      <c r="V741" s="159" t="s">
        <v>2138</v>
      </c>
      <c r="W741" s="159" t="s">
        <v>2138</v>
      </c>
      <c r="X741" s="160">
        <v>1</v>
      </c>
      <c r="Y741" s="160">
        <v>1</v>
      </c>
      <c r="Z741" s="160">
        <v>1</v>
      </c>
      <c r="AA741" s="160">
        <v>1</v>
      </c>
    </row>
    <row r="742" spans="1:27" ht="18" customHeight="1" x14ac:dyDescent="0.25">
      <c r="A742" s="159">
        <v>1242</v>
      </c>
      <c r="B742" s="157" t="s">
        <v>22</v>
      </c>
      <c r="C742" s="157" t="s">
        <v>40</v>
      </c>
      <c r="D742" s="159" t="s">
        <v>618</v>
      </c>
      <c r="E742" s="157" t="s">
        <v>617</v>
      </c>
      <c r="F742" s="157" t="s">
        <v>1010</v>
      </c>
      <c r="G742" s="157" t="s">
        <v>1299</v>
      </c>
      <c r="H742" s="157" t="s">
        <v>1300</v>
      </c>
      <c r="I742" s="157" t="s">
        <v>1494</v>
      </c>
      <c r="J742" s="157" t="s">
        <v>1285</v>
      </c>
      <c r="K742" s="157" t="s">
        <v>1312</v>
      </c>
      <c r="L742" s="157" t="s">
        <v>1574</v>
      </c>
      <c r="M742" s="157" t="str">
        <f t="shared" si="21"/>
        <v>Seat Position 1st Row R - Seat Position</v>
      </c>
      <c r="N742" s="157"/>
      <c r="O742" s="157"/>
      <c r="P742" s="159" t="s">
        <v>5471</v>
      </c>
      <c r="Q742" s="157" t="s">
        <v>2115</v>
      </c>
      <c r="R742" s="157" t="s">
        <v>2142</v>
      </c>
      <c r="S742" s="157" t="s">
        <v>8608</v>
      </c>
      <c r="T742" s="157" t="s">
        <v>2129</v>
      </c>
      <c r="U742" s="159" t="s">
        <v>2129</v>
      </c>
      <c r="V742" s="159" t="s">
        <v>2138</v>
      </c>
      <c r="W742" s="159" t="s">
        <v>2138</v>
      </c>
      <c r="X742" s="160">
        <v>1</v>
      </c>
      <c r="Y742" s="160">
        <v>1</v>
      </c>
      <c r="Z742" s="160">
        <v>1</v>
      </c>
      <c r="AA742" s="160">
        <v>1</v>
      </c>
    </row>
    <row r="743" spans="1:27" ht="18" customHeight="1" x14ac:dyDescent="0.25">
      <c r="A743" s="159">
        <v>1242</v>
      </c>
      <c r="B743" s="157" t="s">
        <v>22</v>
      </c>
      <c r="C743" s="157" t="s">
        <v>40</v>
      </c>
      <c r="D743" s="159" t="s">
        <v>627</v>
      </c>
      <c r="E743" s="157" t="s">
        <v>625</v>
      </c>
      <c r="F743" s="157" t="s">
        <v>1010</v>
      </c>
      <c r="G743" s="157" t="s">
        <v>1299</v>
      </c>
      <c r="H743" s="157" t="s">
        <v>1300</v>
      </c>
      <c r="I743" s="157" t="s">
        <v>1494</v>
      </c>
      <c r="J743" s="157" t="s">
        <v>1285</v>
      </c>
      <c r="K743" s="157" t="s">
        <v>1312</v>
      </c>
      <c r="L743" s="157" t="s">
        <v>1574</v>
      </c>
      <c r="M743" s="157" t="str">
        <f t="shared" si="21"/>
        <v>Seat Position 1st Row R - Seat Position</v>
      </c>
      <c r="N743" s="157"/>
      <c r="O743" s="157"/>
      <c r="P743" s="159" t="s">
        <v>5471</v>
      </c>
      <c r="Q743" s="157" t="s">
        <v>2115</v>
      </c>
      <c r="R743" s="157" t="s">
        <v>2142</v>
      </c>
      <c r="S743" s="157" t="s">
        <v>8608</v>
      </c>
      <c r="T743" s="157" t="s">
        <v>2129</v>
      </c>
      <c r="U743" s="159" t="s">
        <v>2129</v>
      </c>
      <c r="V743" s="159" t="s">
        <v>2129</v>
      </c>
      <c r="W743" s="159" t="s">
        <v>2138</v>
      </c>
      <c r="X743" s="160">
        <v>1</v>
      </c>
      <c r="Y743" s="160">
        <v>1</v>
      </c>
      <c r="Z743" s="160">
        <v>1</v>
      </c>
      <c r="AA743" s="160">
        <v>1</v>
      </c>
    </row>
    <row r="744" spans="1:27" ht="18" customHeight="1" x14ac:dyDescent="0.25">
      <c r="A744" s="159">
        <v>1242</v>
      </c>
      <c r="B744" s="157" t="s">
        <v>22</v>
      </c>
      <c r="C744" s="157" t="s">
        <v>40</v>
      </c>
      <c r="D744" s="159" t="s">
        <v>636</v>
      </c>
      <c r="E744" s="157" t="s">
        <v>634</v>
      </c>
      <c r="F744" s="157" t="s">
        <v>1010</v>
      </c>
      <c r="G744" s="157" t="s">
        <v>1299</v>
      </c>
      <c r="H744" s="157" t="s">
        <v>1300</v>
      </c>
      <c r="I744" s="157" t="s">
        <v>1494</v>
      </c>
      <c r="J744" s="157" t="s">
        <v>1285</v>
      </c>
      <c r="K744" s="157" t="s">
        <v>1312</v>
      </c>
      <c r="L744" s="157" t="s">
        <v>1574</v>
      </c>
      <c r="M744" s="157" t="str">
        <f t="shared" si="21"/>
        <v>Seat Position 1st Row R - Seat Position</v>
      </c>
      <c r="N744" s="157"/>
      <c r="O744" s="157"/>
      <c r="P744" s="159" t="s">
        <v>5471</v>
      </c>
      <c r="Q744" s="157" t="s">
        <v>2115</v>
      </c>
      <c r="R744" s="157" t="s">
        <v>2142</v>
      </c>
      <c r="S744" s="157" t="s">
        <v>8608</v>
      </c>
      <c r="T744" s="157" t="s">
        <v>2129</v>
      </c>
      <c r="U744" s="159" t="s">
        <v>2129</v>
      </c>
      <c r="V744" s="159" t="s">
        <v>2129</v>
      </c>
      <c r="W744" s="159" t="s">
        <v>2138</v>
      </c>
      <c r="X744" s="160">
        <v>1</v>
      </c>
      <c r="Y744" s="160">
        <v>1</v>
      </c>
      <c r="Z744" s="160">
        <v>1</v>
      </c>
      <c r="AA744" s="160">
        <v>1</v>
      </c>
    </row>
    <row r="745" spans="1:27" ht="18" customHeight="1" x14ac:dyDescent="0.25">
      <c r="A745" s="159">
        <v>1242</v>
      </c>
      <c r="B745" s="157" t="s">
        <v>22</v>
      </c>
      <c r="C745" s="157" t="s">
        <v>40</v>
      </c>
      <c r="D745" s="159" t="s">
        <v>39</v>
      </c>
      <c r="E745" s="157" t="s">
        <v>740</v>
      </c>
      <c r="F745" s="157" t="s">
        <v>1298</v>
      </c>
      <c r="G745" s="157" t="s">
        <v>1299</v>
      </c>
      <c r="H745" s="157" t="s">
        <v>1300</v>
      </c>
      <c r="I745" s="157" t="s">
        <v>1494</v>
      </c>
      <c r="J745" s="157" t="s">
        <v>1285</v>
      </c>
      <c r="K745" s="157" t="s">
        <v>1312</v>
      </c>
      <c r="L745" s="157" t="s">
        <v>1574</v>
      </c>
      <c r="M745" s="157" t="str">
        <f t="shared" si="21"/>
        <v>Seat Position 1st Row R - Seat Position</v>
      </c>
      <c r="N745" s="157"/>
      <c r="O745" s="157"/>
      <c r="P745" s="159" t="s">
        <v>5471</v>
      </c>
      <c r="Q745" s="157" t="s">
        <v>2115</v>
      </c>
      <c r="R745" s="157" t="s">
        <v>2142</v>
      </c>
      <c r="S745" s="157" t="s">
        <v>8608</v>
      </c>
      <c r="T745" s="157" t="s">
        <v>2129</v>
      </c>
      <c r="U745" s="159" t="s">
        <v>2129</v>
      </c>
      <c r="V745" s="159" t="s">
        <v>2138</v>
      </c>
      <c r="W745" s="159" t="s">
        <v>2138</v>
      </c>
      <c r="X745" s="160">
        <v>1</v>
      </c>
      <c r="Y745" s="160">
        <v>1</v>
      </c>
      <c r="Z745" s="160">
        <v>1</v>
      </c>
      <c r="AA745" s="160">
        <v>1</v>
      </c>
    </row>
    <row r="746" spans="1:27" ht="18" customHeight="1" x14ac:dyDescent="0.25">
      <c r="A746" s="159">
        <v>1242</v>
      </c>
      <c r="B746" s="157" t="s">
        <v>22</v>
      </c>
      <c r="C746" s="157" t="s">
        <v>40</v>
      </c>
      <c r="D746" s="159" t="s">
        <v>988</v>
      </c>
      <c r="E746" s="157" t="s">
        <v>986</v>
      </c>
      <c r="F746" s="157" t="s">
        <v>1298</v>
      </c>
      <c r="G746" s="157" t="s">
        <v>1299</v>
      </c>
      <c r="H746" s="157" t="s">
        <v>1300</v>
      </c>
      <c r="I746" s="157" t="s">
        <v>1494</v>
      </c>
      <c r="J746" s="157" t="s">
        <v>1285</v>
      </c>
      <c r="K746" s="157" t="s">
        <v>1312</v>
      </c>
      <c r="L746" s="157" t="s">
        <v>1574</v>
      </c>
      <c r="M746" s="157" t="str">
        <f t="shared" si="21"/>
        <v>Seat Position 1st Row R - Seat Position</v>
      </c>
      <c r="N746" s="157"/>
      <c r="O746" s="157"/>
      <c r="P746" s="159" t="s">
        <v>5471</v>
      </c>
      <c r="Q746" s="157" t="s">
        <v>2115</v>
      </c>
      <c r="R746" s="157" t="s">
        <v>2142</v>
      </c>
      <c r="S746" s="157" t="s">
        <v>8608</v>
      </c>
      <c r="T746" s="157" t="s">
        <v>2129</v>
      </c>
      <c r="U746" s="159" t="s">
        <v>2129</v>
      </c>
      <c r="V746" s="159" t="s">
        <v>2129</v>
      </c>
      <c r="W746" s="159" t="s">
        <v>2138</v>
      </c>
      <c r="X746" s="160">
        <v>1</v>
      </c>
      <c r="Y746" s="160">
        <v>1</v>
      </c>
      <c r="Z746" s="160">
        <v>1</v>
      </c>
      <c r="AA746" s="160">
        <v>1</v>
      </c>
    </row>
    <row r="747" spans="1:27" ht="18" customHeight="1" x14ac:dyDescent="0.25">
      <c r="A747" s="159">
        <v>2000</v>
      </c>
      <c r="B747" s="157" t="s">
        <v>29</v>
      </c>
      <c r="C747" s="157" t="s">
        <v>30</v>
      </c>
      <c r="D747" s="159" t="s">
        <v>185</v>
      </c>
      <c r="E747" s="157" t="s">
        <v>391</v>
      </c>
      <c r="F747" s="157" t="s">
        <v>1275</v>
      </c>
      <c r="G747" s="157" t="s">
        <v>1536</v>
      </c>
      <c r="H747" s="157" t="s">
        <v>1287</v>
      </c>
      <c r="I747" s="157" t="s">
        <v>9775</v>
      </c>
      <c r="J747" s="157" t="s">
        <v>1575</v>
      </c>
      <c r="K747" s="157" t="s">
        <v>1269</v>
      </c>
      <c r="L747" s="157" t="s">
        <v>9761</v>
      </c>
      <c r="M747" s="157" t="str">
        <f t="shared" si="21"/>
        <v>Headlamp Assy' Xenon + LED Left - Daytime Runlight</v>
      </c>
      <c r="N747" s="157"/>
      <c r="O747" s="157"/>
      <c r="P747" s="167" t="s">
        <v>7396</v>
      </c>
      <c r="Q747" s="157" t="s">
        <v>2115</v>
      </c>
      <c r="R747" s="157" t="s">
        <v>8265</v>
      </c>
      <c r="S747" s="157" t="s">
        <v>8624</v>
      </c>
      <c r="T747" s="157"/>
      <c r="U747" s="159" t="s">
        <v>2129</v>
      </c>
      <c r="V747" s="159" t="s">
        <v>2129</v>
      </c>
      <c r="W747" s="159" t="s">
        <v>2129</v>
      </c>
      <c r="X747" s="160">
        <v>1</v>
      </c>
      <c r="Y747" s="160">
        <v>1</v>
      </c>
      <c r="Z747" s="160">
        <v>0.5</v>
      </c>
      <c r="AA747" s="160">
        <v>0.5</v>
      </c>
    </row>
    <row r="748" spans="1:27" ht="18" customHeight="1" x14ac:dyDescent="0.25">
      <c r="A748" s="159">
        <v>2000</v>
      </c>
      <c r="B748" s="157" t="s">
        <v>29</v>
      </c>
      <c r="C748" s="157" t="s">
        <v>30</v>
      </c>
      <c r="D748" s="159" t="s">
        <v>395</v>
      </c>
      <c r="E748" s="157" t="s">
        <v>393</v>
      </c>
      <c r="F748" s="157" t="s">
        <v>1277</v>
      </c>
      <c r="G748" s="157" t="s">
        <v>1536</v>
      </c>
      <c r="H748" s="157" t="s">
        <v>1287</v>
      </c>
      <c r="I748" s="157" t="s">
        <v>9775</v>
      </c>
      <c r="J748" s="157" t="s">
        <v>1575</v>
      </c>
      <c r="K748" s="157" t="s">
        <v>1269</v>
      </c>
      <c r="L748" s="157" t="s">
        <v>9761</v>
      </c>
      <c r="M748" s="157" t="str">
        <f t="shared" si="21"/>
        <v>Headlamp Assy' Xenon + LED Left - Daytime Runlight</v>
      </c>
      <c r="N748" s="157"/>
      <c r="O748" s="157"/>
      <c r="P748" s="167" t="s">
        <v>7396</v>
      </c>
      <c r="Q748" s="157" t="s">
        <v>2115</v>
      </c>
      <c r="R748" s="157" t="s">
        <v>8265</v>
      </c>
      <c r="S748" s="157" t="s">
        <v>8624</v>
      </c>
      <c r="T748" s="157"/>
      <c r="U748" s="159" t="s">
        <v>2129</v>
      </c>
      <c r="V748" s="159" t="s">
        <v>2129</v>
      </c>
      <c r="W748" s="159" t="s">
        <v>2129</v>
      </c>
      <c r="X748" s="160">
        <v>1</v>
      </c>
      <c r="Y748" s="160">
        <v>1</v>
      </c>
      <c r="Z748" s="160">
        <v>0.5</v>
      </c>
      <c r="AA748" s="160">
        <v>0.5</v>
      </c>
    </row>
    <row r="749" spans="1:27" ht="18" customHeight="1" x14ac:dyDescent="0.25">
      <c r="A749" s="159">
        <v>2000</v>
      </c>
      <c r="B749" s="157" t="s">
        <v>29</v>
      </c>
      <c r="C749" s="157" t="s">
        <v>30</v>
      </c>
      <c r="D749" s="159" t="s">
        <v>398</v>
      </c>
      <c r="E749" s="157" t="s">
        <v>396</v>
      </c>
      <c r="F749" s="157" t="s">
        <v>1264</v>
      </c>
      <c r="G749" s="157" t="s">
        <v>1536</v>
      </c>
      <c r="H749" s="157" t="s">
        <v>1287</v>
      </c>
      <c r="I749" s="157" t="s">
        <v>9770</v>
      </c>
      <c r="J749" s="157" t="s">
        <v>1575</v>
      </c>
      <c r="K749" s="157" t="s">
        <v>1269</v>
      </c>
      <c r="L749" s="157" t="s">
        <v>9761</v>
      </c>
      <c r="M749" s="157" t="str">
        <f t="shared" si="21"/>
        <v>Headlamp Assy' Xenon + LED Left - Grounding</v>
      </c>
      <c r="N749" s="157"/>
      <c r="O749" s="157"/>
      <c r="P749" s="167" t="s">
        <v>7396</v>
      </c>
      <c r="Q749" s="157" t="s">
        <v>2115</v>
      </c>
      <c r="R749" s="157" t="s">
        <v>8265</v>
      </c>
      <c r="S749" s="157" t="s">
        <v>8624</v>
      </c>
      <c r="T749" s="157"/>
      <c r="U749" s="159" t="s">
        <v>2129</v>
      </c>
      <c r="V749" s="159" t="s">
        <v>2129</v>
      </c>
      <c r="W749" s="159" t="s">
        <v>2129</v>
      </c>
      <c r="X749" s="160">
        <v>0</v>
      </c>
      <c r="Y749" s="160">
        <v>0</v>
      </c>
      <c r="Z749" s="160">
        <v>1</v>
      </c>
      <c r="AA749" s="160">
        <v>1</v>
      </c>
    </row>
    <row r="750" spans="1:27" ht="18" customHeight="1" x14ac:dyDescent="0.25">
      <c r="A750" s="159">
        <v>2000</v>
      </c>
      <c r="B750" s="157" t="s">
        <v>266</v>
      </c>
      <c r="C750" s="157" t="s">
        <v>286</v>
      </c>
      <c r="D750" s="159" t="s">
        <v>289</v>
      </c>
      <c r="E750" s="157" t="s">
        <v>287</v>
      </c>
      <c r="F750" s="157" t="s">
        <v>1277</v>
      </c>
      <c r="G750" s="157" t="s">
        <v>1536</v>
      </c>
      <c r="H750" s="157" t="s">
        <v>1287</v>
      </c>
      <c r="I750" s="157" t="s">
        <v>9775</v>
      </c>
      <c r="J750" s="157" t="s">
        <v>1575</v>
      </c>
      <c r="K750" s="157" t="s">
        <v>1269</v>
      </c>
      <c r="L750" s="157" t="s">
        <v>9761</v>
      </c>
      <c r="M750" s="157" t="str">
        <f t="shared" si="21"/>
        <v>Headlamp Assy' Xenon + LED Left - Daytime Runlight</v>
      </c>
      <c r="N750" s="157"/>
      <c r="O750" s="157"/>
      <c r="P750" s="167" t="s">
        <v>7396</v>
      </c>
      <c r="Q750" s="157" t="s">
        <v>2115</v>
      </c>
      <c r="R750" s="157" t="s">
        <v>8265</v>
      </c>
      <c r="S750" s="157" t="s">
        <v>8624</v>
      </c>
      <c r="T750" s="157"/>
      <c r="U750" s="159" t="s">
        <v>2129</v>
      </c>
      <c r="V750" s="159" t="s">
        <v>2129</v>
      </c>
      <c r="W750" s="159" t="s">
        <v>2129</v>
      </c>
      <c r="X750" s="160">
        <v>1</v>
      </c>
      <c r="Y750" s="160">
        <v>1</v>
      </c>
      <c r="Z750" s="160">
        <v>0.5</v>
      </c>
      <c r="AA750" s="160">
        <v>0.5</v>
      </c>
    </row>
    <row r="751" spans="1:27" ht="18" customHeight="1" x14ac:dyDescent="0.25">
      <c r="A751" s="159">
        <v>2001</v>
      </c>
      <c r="B751" s="157" t="s">
        <v>29</v>
      </c>
      <c r="C751" s="157" t="s">
        <v>30</v>
      </c>
      <c r="D751" s="159" t="s">
        <v>185</v>
      </c>
      <c r="E751" s="157" t="s">
        <v>391</v>
      </c>
      <c r="F751" s="157" t="s">
        <v>1275</v>
      </c>
      <c r="G751" s="157" t="s">
        <v>1536</v>
      </c>
      <c r="H751" s="157" t="s">
        <v>1287</v>
      </c>
      <c r="I751" s="157" t="s">
        <v>9771</v>
      </c>
      <c r="J751" s="157" t="s">
        <v>1576</v>
      </c>
      <c r="K751" s="157" t="s">
        <v>1269</v>
      </c>
      <c r="L751" s="157" t="s">
        <v>9766</v>
      </c>
      <c r="M751" s="157" t="str">
        <f t="shared" si="21"/>
        <v>Headlamp Assy' H4 + P21W + P5W Left - High Beam Left</v>
      </c>
      <c r="N751" s="157"/>
      <c r="O751" s="157"/>
      <c r="P751" s="167" t="s">
        <v>7396</v>
      </c>
      <c r="Q751" s="157" t="s">
        <v>2115</v>
      </c>
      <c r="R751" s="157" t="s">
        <v>8264</v>
      </c>
      <c r="S751" s="157" t="s">
        <v>8625</v>
      </c>
      <c r="T751" s="157"/>
      <c r="U751" s="159" t="s">
        <v>2129</v>
      </c>
      <c r="V751" s="159" t="s">
        <v>2129</v>
      </c>
      <c r="W751" s="159" t="s">
        <v>2129</v>
      </c>
      <c r="X751" s="160">
        <v>0</v>
      </c>
      <c r="Y751" s="160">
        <v>0</v>
      </c>
      <c r="Z751" s="160">
        <f>2*1/(20*60)</f>
        <v>1.6666666666666668E-3</v>
      </c>
      <c r="AA751" s="160">
        <v>0.3</v>
      </c>
    </row>
    <row r="752" spans="1:27" ht="18" customHeight="1" x14ac:dyDescent="0.25">
      <c r="A752" s="159">
        <v>2001</v>
      </c>
      <c r="B752" s="157" t="s">
        <v>29</v>
      </c>
      <c r="C752" s="157" t="s">
        <v>30</v>
      </c>
      <c r="D752" s="159" t="s">
        <v>395</v>
      </c>
      <c r="E752" s="157" t="s">
        <v>393</v>
      </c>
      <c r="F752" s="157" t="s">
        <v>1277</v>
      </c>
      <c r="G752" s="157" t="s">
        <v>1536</v>
      </c>
      <c r="H752" s="157" t="s">
        <v>1287</v>
      </c>
      <c r="I752" s="157" t="s">
        <v>9771</v>
      </c>
      <c r="J752" s="157" t="s">
        <v>1576</v>
      </c>
      <c r="K752" s="157" t="s">
        <v>1269</v>
      </c>
      <c r="L752" s="157" t="s">
        <v>9766</v>
      </c>
      <c r="M752" s="157" t="str">
        <f t="shared" si="21"/>
        <v>Headlamp Assy' H4 + P21W + P5W Left - High Beam Left</v>
      </c>
      <c r="N752" s="157"/>
      <c r="O752" s="157"/>
      <c r="P752" s="167" t="s">
        <v>7396</v>
      </c>
      <c r="Q752" s="157" t="s">
        <v>2115</v>
      </c>
      <c r="R752" s="157" t="s">
        <v>8264</v>
      </c>
      <c r="S752" s="157" t="s">
        <v>8625</v>
      </c>
      <c r="T752" s="157"/>
      <c r="U752" s="159" t="s">
        <v>2129</v>
      </c>
      <c r="V752" s="159" t="s">
        <v>2129</v>
      </c>
      <c r="W752" s="159" t="s">
        <v>2129</v>
      </c>
      <c r="X752" s="160">
        <v>0</v>
      </c>
      <c r="Y752" s="160">
        <v>0</v>
      </c>
      <c r="Z752" s="160">
        <f>2*1/(20*60)</f>
        <v>1.6666666666666668E-3</v>
      </c>
      <c r="AA752" s="160">
        <v>0.3</v>
      </c>
    </row>
    <row r="753" spans="1:27" ht="18" customHeight="1" x14ac:dyDescent="0.25">
      <c r="A753" s="159">
        <v>2001</v>
      </c>
      <c r="B753" s="157" t="s">
        <v>29</v>
      </c>
      <c r="C753" s="157" t="s">
        <v>30</v>
      </c>
      <c r="D753" s="159" t="s">
        <v>398</v>
      </c>
      <c r="E753" s="157" t="s">
        <v>396</v>
      </c>
      <c r="F753" s="157" t="s">
        <v>1264</v>
      </c>
      <c r="G753" s="157" t="s">
        <v>1536</v>
      </c>
      <c r="H753" s="157" t="s">
        <v>1287</v>
      </c>
      <c r="I753" s="157" t="s">
        <v>9770</v>
      </c>
      <c r="J753" s="157" t="s">
        <v>1576</v>
      </c>
      <c r="K753" s="157" t="s">
        <v>1269</v>
      </c>
      <c r="L753" s="157" t="s">
        <v>9766</v>
      </c>
      <c r="M753" s="157" t="str">
        <f t="shared" si="21"/>
        <v>Headlamp Assy' H4 + P21W + P5W Left - Grounding</v>
      </c>
      <c r="N753" s="157"/>
      <c r="O753" s="157"/>
      <c r="P753" s="167" t="s">
        <v>7396</v>
      </c>
      <c r="Q753" s="157" t="s">
        <v>2115</v>
      </c>
      <c r="R753" s="157" t="s">
        <v>8264</v>
      </c>
      <c r="S753" s="157" t="s">
        <v>8625</v>
      </c>
      <c r="T753" s="157"/>
      <c r="U753" s="159" t="s">
        <v>2129</v>
      </c>
      <c r="V753" s="159" t="s">
        <v>2129</v>
      </c>
      <c r="W753" s="159" t="s">
        <v>2129</v>
      </c>
      <c r="X753" s="160">
        <v>0</v>
      </c>
      <c r="Y753" s="160">
        <v>0</v>
      </c>
      <c r="Z753" s="160">
        <v>1</v>
      </c>
      <c r="AA753" s="160">
        <v>1</v>
      </c>
    </row>
    <row r="754" spans="1:27" ht="18" customHeight="1" x14ac:dyDescent="0.25">
      <c r="A754" s="159">
        <v>2001</v>
      </c>
      <c r="B754" s="157" t="s">
        <v>266</v>
      </c>
      <c r="C754" s="157" t="s">
        <v>286</v>
      </c>
      <c r="D754" s="159" t="s">
        <v>289</v>
      </c>
      <c r="E754" s="157" t="s">
        <v>287</v>
      </c>
      <c r="F754" s="157" t="s">
        <v>1277</v>
      </c>
      <c r="G754" s="157" t="s">
        <v>1536</v>
      </c>
      <c r="H754" s="157" t="s">
        <v>1287</v>
      </c>
      <c r="I754" s="157" t="s">
        <v>9771</v>
      </c>
      <c r="J754" s="157" t="s">
        <v>1576</v>
      </c>
      <c r="K754" s="157" t="s">
        <v>1269</v>
      </c>
      <c r="L754" s="157" t="s">
        <v>9766</v>
      </c>
      <c r="M754" s="157" t="str">
        <f t="shared" si="21"/>
        <v>Headlamp Assy' H4 + P21W + P5W Left - High Beam Left</v>
      </c>
      <c r="N754" s="157"/>
      <c r="O754" s="157"/>
      <c r="P754" s="167" t="s">
        <v>7396</v>
      </c>
      <c r="Q754" s="157" t="s">
        <v>2115</v>
      </c>
      <c r="R754" s="157" t="s">
        <v>8264</v>
      </c>
      <c r="S754" s="157" t="s">
        <v>8625</v>
      </c>
      <c r="T754" s="157"/>
      <c r="U754" s="159" t="s">
        <v>2129</v>
      </c>
      <c r="V754" s="159" t="s">
        <v>2129</v>
      </c>
      <c r="W754" s="159" t="s">
        <v>2129</v>
      </c>
      <c r="X754" s="160">
        <v>0</v>
      </c>
      <c r="Y754" s="160">
        <v>0</v>
      </c>
      <c r="Z754" s="160">
        <f>2*1/(20*60)</f>
        <v>1.6666666666666668E-3</v>
      </c>
      <c r="AA754" s="160">
        <v>0.3</v>
      </c>
    </row>
    <row r="755" spans="1:27" ht="18" customHeight="1" x14ac:dyDescent="0.25">
      <c r="A755" s="159">
        <v>2002</v>
      </c>
      <c r="B755" s="157" t="s">
        <v>29</v>
      </c>
      <c r="C755" s="157" t="s">
        <v>30</v>
      </c>
      <c r="D755" s="159" t="s">
        <v>185</v>
      </c>
      <c r="E755" s="157" t="s">
        <v>391</v>
      </c>
      <c r="F755" s="157" t="s">
        <v>1275</v>
      </c>
      <c r="G755" s="157" t="s">
        <v>1536</v>
      </c>
      <c r="H755" s="157" t="s">
        <v>1287</v>
      </c>
      <c r="I755" s="157" t="s">
        <v>9773</v>
      </c>
      <c r="J755" s="157" t="s">
        <v>1577</v>
      </c>
      <c r="K755" s="157" t="s">
        <v>1269</v>
      </c>
      <c r="L755" s="157" t="s">
        <v>9768</v>
      </c>
      <c r="M755" s="157" t="str">
        <f t="shared" si="21"/>
        <v>Headlamp Assy' H1 + H7 + P21W + P5W Left - Low Beam Left</v>
      </c>
      <c r="N755" s="157"/>
      <c r="O755" s="157"/>
      <c r="P755" s="167" t="s">
        <v>7396</v>
      </c>
      <c r="Q755" s="157" t="s">
        <v>2115</v>
      </c>
      <c r="R755" s="157" t="s">
        <v>8266</v>
      </c>
      <c r="S755" s="157" t="s">
        <v>8626</v>
      </c>
      <c r="T755" s="157"/>
      <c r="U755" s="159" t="s">
        <v>2138</v>
      </c>
      <c r="V755" s="159" t="s">
        <v>2129</v>
      </c>
      <c r="W755" s="159" t="s">
        <v>2129</v>
      </c>
      <c r="X755" s="160">
        <v>0</v>
      </c>
      <c r="Y755" s="160">
        <v>0</v>
      </c>
      <c r="Z755" s="160">
        <v>1</v>
      </c>
      <c r="AA755" s="160">
        <v>1</v>
      </c>
    </row>
    <row r="756" spans="1:27" ht="18" customHeight="1" x14ac:dyDescent="0.25">
      <c r="A756" s="159">
        <v>2002</v>
      </c>
      <c r="B756" s="157" t="s">
        <v>29</v>
      </c>
      <c r="C756" s="157" t="s">
        <v>30</v>
      </c>
      <c r="D756" s="159" t="s">
        <v>395</v>
      </c>
      <c r="E756" s="157" t="s">
        <v>393</v>
      </c>
      <c r="F756" s="157" t="s">
        <v>1277</v>
      </c>
      <c r="G756" s="157" t="s">
        <v>1536</v>
      </c>
      <c r="H756" s="157" t="s">
        <v>1287</v>
      </c>
      <c r="I756" s="157" t="s">
        <v>9773</v>
      </c>
      <c r="J756" s="157" t="s">
        <v>1577</v>
      </c>
      <c r="K756" s="157" t="s">
        <v>1269</v>
      </c>
      <c r="L756" s="157" t="s">
        <v>9768</v>
      </c>
      <c r="M756" s="157" t="str">
        <f t="shared" si="21"/>
        <v>Headlamp Assy' H1 + H7 + P21W + P5W Left - Low Beam Left</v>
      </c>
      <c r="N756" s="157"/>
      <c r="O756" s="157"/>
      <c r="P756" s="167" t="s">
        <v>7396</v>
      </c>
      <c r="Q756" s="157" t="s">
        <v>2115</v>
      </c>
      <c r="R756" s="157" t="s">
        <v>8266</v>
      </c>
      <c r="S756" s="157" t="s">
        <v>8626</v>
      </c>
      <c r="T756" s="157"/>
      <c r="U756" s="159" t="s">
        <v>2138</v>
      </c>
      <c r="V756" s="159" t="s">
        <v>2129</v>
      </c>
      <c r="W756" s="159" t="s">
        <v>2129</v>
      </c>
      <c r="X756" s="160">
        <v>0</v>
      </c>
      <c r="Y756" s="160">
        <v>0</v>
      </c>
      <c r="Z756" s="160">
        <v>1</v>
      </c>
      <c r="AA756" s="160">
        <v>1</v>
      </c>
    </row>
    <row r="757" spans="1:27" ht="18" customHeight="1" x14ac:dyDescent="0.25">
      <c r="A757" s="159">
        <v>2002</v>
      </c>
      <c r="B757" s="157" t="s">
        <v>29</v>
      </c>
      <c r="C757" s="157" t="s">
        <v>30</v>
      </c>
      <c r="D757" s="159" t="s">
        <v>398</v>
      </c>
      <c r="E757" s="157" t="s">
        <v>396</v>
      </c>
      <c r="F757" s="157" t="s">
        <v>1264</v>
      </c>
      <c r="G757" s="157" t="s">
        <v>1536</v>
      </c>
      <c r="H757" s="157" t="s">
        <v>1287</v>
      </c>
      <c r="I757" s="157" t="s">
        <v>9770</v>
      </c>
      <c r="J757" s="157" t="s">
        <v>1577</v>
      </c>
      <c r="K757" s="157" t="s">
        <v>1269</v>
      </c>
      <c r="L757" s="157" t="s">
        <v>9768</v>
      </c>
      <c r="M757" s="157" t="str">
        <f t="shared" si="21"/>
        <v>Headlamp Assy' H1 + H7 + P21W + P5W Left - Grounding</v>
      </c>
      <c r="N757" s="157"/>
      <c r="O757" s="157"/>
      <c r="P757" s="167" t="s">
        <v>7396</v>
      </c>
      <c r="Q757" s="157" t="s">
        <v>2115</v>
      </c>
      <c r="R757" s="157" t="s">
        <v>8266</v>
      </c>
      <c r="S757" s="157" t="s">
        <v>8626</v>
      </c>
      <c r="T757" s="157"/>
      <c r="U757" s="159" t="s">
        <v>2138</v>
      </c>
      <c r="V757" s="159" t="s">
        <v>2129</v>
      </c>
      <c r="W757" s="159" t="s">
        <v>2129</v>
      </c>
      <c r="X757" s="160">
        <v>0</v>
      </c>
      <c r="Y757" s="160">
        <v>0</v>
      </c>
      <c r="Z757" s="160">
        <v>1</v>
      </c>
      <c r="AA757" s="160">
        <v>1</v>
      </c>
    </row>
    <row r="758" spans="1:27" ht="18" customHeight="1" x14ac:dyDescent="0.25">
      <c r="A758" s="159">
        <v>2002</v>
      </c>
      <c r="B758" s="157" t="s">
        <v>266</v>
      </c>
      <c r="C758" s="157" t="s">
        <v>286</v>
      </c>
      <c r="D758" s="159" t="s">
        <v>289</v>
      </c>
      <c r="E758" s="157" t="s">
        <v>287</v>
      </c>
      <c r="F758" s="157" t="s">
        <v>1277</v>
      </c>
      <c r="G758" s="157" t="s">
        <v>1536</v>
      </c>
      <c r="H758" s="157" t="s">
        <v>1287</v>
      </c>
      <c r="I758" s="157" t="s">
        <v>9773</v>
      </c>
      <c r="J758" s="157" t="s">
        <v>1577</v>
      </c>
      <c r="K758" s="157" t="s">
        <v>1269</v>
      </c>
      <c r="L758" s="157" t="s">
        <v>9768</v>
      </c>
      <c r="M758" s="157" t="str">
        <f t="shared" si="21"/>
        <v>Headlamp Assy' H1 + H7 + P21W + P5W Left - Low Beam Left</v>
      </c>
      <c r="N758" s="157"/>
      <c r="O758" s="157"/>
      <c r="P758" s="167" t="s">
        <v>7396</v>
      </c>
      <c r="Q758" s="157" t="s">
        <v>2115</v>
      </c>
      <c r="R758" s="157" t="s">
        <v>8266</v>
      </c>
      <c r="S758" s="157" t="s">
        <v>8626</v>
      </c>
      <c r="T758" s="157"/>
      <c r="U758" s="159" t="s">
        <v>2138</v>
      </c>
      <c r="V758" s="159" t="s">
        <v>2129</v>
      </c>
      <c r="W758" s="159" t="s">
        <v>2129</v>
      </c>
      <c r="X758" s="160">
        <v>0</v>
      </c>
      <c r="Y758" s="160">
        <v>0</v>
      </c>
      <c r="Z758" s="160">
        <v>1</v>
      </c>
      <c r="AA758" s="160">
        <v>1</v>
      </c>
    </row>
    <row r="759" spans="1:27" ht="18" customHeight="1" x14ac:dyDescent="0.25">
      <c r="A759" s="159">
        <v>2004</v>
      </c>
      <c r="B759" s="157" t="s">
        <v>29</v>
      </c>
      <c r="C759" s="157" t="s">
        <v>30</v>
      </c>
      <c r="D759" s="159" t="s">
        <v>181</v>
      </c>
      <c r="E759" s="157" t="s">
        <v>179</v>
      </c>
      <c r="F759" s="157" t="s">
        <v>1264</v>
      </c>
      <c r="G759" s="157" t="s">
        <v>1536</v>
      </c>
      <c r="H759" s="157" t="s">
        <v>1287</v>
      </c>
      <c r="I759" s="157" t="s">
        <v>9756</v>
      </c>
      <c r="J759" s="157" t="s">
        <v>1578</v>
      </c>
      <c r="K759" s="157" t="s">
        <v>1269</v>
      </c>
      <c r="L759" s="157" t="s">
        <v>9754</v>
      </c>
      <c r="M759" s="157" t="str">
        <f t="shared" si="21"/>
        <v>License Plate Assy' P5W - Position Lamp Left</v>
      </c>
      <c r="N759" s="157"/>
      <c r="O759" s="157"/>
      <c r="P759" s="159" t="s">
        <v>6100</v>
      </c>
      <c r="Q759" s="157"/>
      <c r="R759" s="157"/>
      <c r="S759" s="157"/>
      <c r="T759" s="157"/>
      <c r="U759" s="159" t="s">
        <v>2138</v>
      </c>
      <c r="V759" s="159" t="s">
        <v>2129</v>
      </c>
      <c r="W759" s="159" t="s">
        <v>2129</v>
      </c>
      <c r="X759" s="160">
        <v>0</v>
      </c>
      <c r="Y759" s="160">
        <v>0</v>
      </c>
      <c r="Z759" s="160">
        <v>1</v>
      </c>
      <c r="AA759" s="160">
        <v>1</v>
      </c>
    </row>
    <row r="760" spans="1:27" ht="18" customHeight="1" x14ac:dyDescent="0.25">
      <c r="A760" s="159">
        <v>2004</v>
      </c>
      <c r="B760" s="157" t="s">
        <v>29</v>
      </c>
      <c r="C760" s="157" t="s">
        <v>30</v>
      </c>
      <c r="D760" s="159" t="s">
        <v>181</v>
      </c>
      <c r="E760" s="157" t="s">
        <v>179</v>
      </c>
      <c r="F760" s="157" t="s">
        <v>1264</v>
      </c>
      <c r="G760" s="157" t="s">
        <v>1536</v>
      </c>
      <c r="H760" s="157" t="s">
        <v>1287</v>
      </c>
      <c r="I760" s="157" t="s">
        <v>8317</v>
      </c>
      <c r="J760" s="157" t="s">
        <v>1578</v>
      </c>
      <c r="K760" s="157" t="s">
        <v>1269</v>
      </c>
      <c r="L760" s="157" t="s">
        <v>1579</v>
      </c>
      <c r="M760" s="157" t="str">
        <f t="shared" si="21"/>
        <v>P5W - License Plate Lamp Left</v>
      </c>
      <c r="N760" s="157"/>
      <c r="O760" s="157"/>
      <c r="P760" s="159" t="s">
        <v>6100</v>
      </c>
      <c r="Q760" s="157"/>
      <c r="R760" s="157"/>
      <c r="S760" s="157"/>
      <c r="T760" s="157"/>
      <c r="U760" s="159" t="s">
        <v>2138</v>
      </c>
      <c r="V760" s="159" t="s">
        <v>2129</v>
      </c>
      <c r="W760" s="159" t="s">
        <v>2129</v>
      </c>
      <c r="X760" s="160">
        <v>0</v>
      </c>
      <c r="Y760" s="160">
        <v>0</v>
      </c>
      <c r="Z760" s="160">
        <v>1</v>
      </c>
      <c r="AA760" s="160">
        <v>1</v>
      </c>
    </row>
    <row r="761" spans="1:27" ht="18" customHeight="1" x14ac:dyDescent="0.25">
      <c r="A761" s="159">
        <v>2005</v>
      </c>
      <c r="B761" s="157" t="s">
        <v>29</v>
      </c>
      <c r="C761" s="157" t="s">
        <v>30</v>
      </c>
      <c r="D761" s="159" t="s">
        <v>181</v>
      </c>
      <c r="E761" s="157" t="s">
        <v>179</v>
      </c>
      <c r="F761" s="157" t="s">
        <v>1264</v>
      </c>
      <c r="G761" s="157" t="s">
        <v>1536</v>
      </c>
      <c r="H761" s="157" t="s">
        <v>1287</v>
      </c>
      <c r="I761" s="157" t="s">
        <v>9755</v>
      </c>
      <c r="J761" s="157" t="s">
        <v>1578</v>
      </c>
      <c r="K761" s="157" t="s">
        <v>1269</v>
      </c>
      <c r="L761" s="157" t="s">
        <v>9754</v>
      </c>
      <c r="M761" s="157" t="str">
        <f t="shared" si="21"/>
        <v>License Plate Assy' P5W - Position Lamp Right</v>
      </c>
      <c r="N761" s="157"/>
      <c r="O761" s="157"/>
      <c r="P761" s="159" t="s">
        <v>5542</v>
      </c>
      <c r="Q761" s="157"/>
      <c r="R761" s="157"/>
      <c r="S761" s="157"/>
      <c r="T761" s="157"/>
      <c r="U761" s="159" t="s">
        <v>2138</v>
      </c>
      <c r="V761" s="159" t="s">
        <v>2129</v>
      </c>
      <c r="W761" s="159" t="s">
        <v>2129</v>
      </c>
      <c r="X761" s="160">
        <v>0</v>
      </c>
      <c r="Y761" s="160">
        <v>0</v>
      </c>
      <c r="Z761" s="160">
        <v>1</v>
      </c>
      <c r="AA761" s="160">
        <v>1</v>
      </c>
    </row>
    <row r="762" spans="1:27" ht="18" customHeight="1" x14ac:dyDescent="0.25">
      <c r="A762" s="159">
        <v>2005</v>
      </c>
      <c r="B762" s="157" t="s">
        <v>29</v>
      </c>
      <c r="C762" s="157" t="s">
        <v>30</v>
      </c>
      <c r="D762" s="159" t="s">
        <v>181</v>
      </c>
      <c r="E762" s="157" t="s">
        <v>179</v>
      </c>
      <c r="F762" s="157" t="s">
        <v>1264</v>
      </c>
      <c r="G762" s="157" t="s">
        <v>1536</v>
      </c>
      <c r="H762" s="157" t="s">
        <v>1287</v>
      </c>
      <c r="I762" s="157" t="s">
        <v>8318</v>
      </c>
      <c r="J762" s="157" t="s">
        <v>1578</v>
      </c>
      <c r="K762" s="157" t="s">
        <v>1269</v>
      </c>
      <c r="L762" s="157" t="s">
        <v>1579</v>
      </c>
      <c r="M762" s="157" t="str">
        <f t="shared" si="21"/>
        <v>P5W - License Plate Lamp Right</v>
      </c>
      <c r="N762" s="157"/>
      <c r="O762" s="157"/>
      <c r="P762" s="159" t="s">
        <v>5542</v>
      </c>
      <c r="Q762" s="157"/>
      <c r="R762" s="157"/>
      <c r="S762" s="157"/>
      <c r="T762" s="157"/>
      <c r="U762" s="159" t="s">
        <v>2138</v>
      </c>
      <c r="V762" s="159" t="s">
        <v>2129</v>
      </c>
      <c r="W762" s="159" t="s">
        <v>2129</v>
      </c>
      <c r="X762" s="160">
        <v>0</v>
      </c>
      <c r="Y762" s="160">
        <v>0</v>
      </c>
      <c r="Z762" s="160">
        <v>1</v>
      </c>
      <c r="AA762" s="160">
        <v>1</v>
      </c>
    </row>
    <row r="763" spans="1:27" ht="18" customHeight="1" x14ac:dyDescent="0.25">
      <c r="A763" s="159">
        <v>2007</v>
      </c>
      <c r="B763" s="157" t="s">
        <v>29</v>
      </c>
      <c r="C763" s="157" t="s">
        <v>30</v>
      </c>
      <c r="D763" s="159" t="s">
        <v>233</v>
      </c>
      <c r="E763" s="157" t="s">
        <v>231</v>
      </c>
      <c r="F763" s="157" t="s">
        <v>1264</v>
      </c>
      <c r="G763" s="157" t="s">
        <v>1536</v>
      </c>
      <c r="H763" s="157" t="s">
        <v>1287</v>
      </c>
      <c r="I763" s="157" t="s">
        <v>1580</v>
      </c>
      <c r="J763" s="157" t="s">
        <v>1578</v>
      </c>
      <c r="K763" s="157" t="s">
        <v>1269</v>
      </c>
      <c r="L763" s="157" t="s">
        <v>1579</v>
      </c>
      <c r="M763" s="157" t="str">
        <f t="shared" si="21"/>
        <v>P5W - High Mounted Brake Lights</v>
      </c>
      <c r="N763" s="157"/>
      <c r="O763" s="157"/>
      <c r="P763" s="159" t="s">
        <v>5791</v>
      </c>
      <c r="Q763" s="157"/>
      <c r="R763" s="157"/>
      <c r="S763" s="157"/>
      <c r="T763" s="157"/>
      <c r="U763" s="159" t="s">
        <v>2138</v>
      </c>
      <c r="V763" s="159" t="s">
        <v>2129</v>
      </c>
      <c r="W763" s="159" t="s">
        <v>2129</v>
      </c>
      <c r="X763" s="160">
        <v>0.6</v>
      </c>
      <c r="Y763" s="160">
        <v>0.2</v>
      </c>
      <c r="Z763" s="160">
        <v>0.6</v>
      </c>
      <c r="AA763" s="160">
        <v>0.2</v>
      </c>
    </row>
    <row r="764" spans="1:27" ht="18" customHeight="1" x14ac:dyDescent="0.25">
      <c r="A764" s="159">
        <v>2007</v>
      </c>
      <c r="B764" s="157" t="s">
        <v>29</v>
      </c>
      <c r="C764" s="157" t="s">
        <v>30</v>
      </c>
      <c r="D764" s="159" t="s">
        <v>34</v>
      </c>
      <c r="E764" s="157" t="s">
        <v>404</v>
      </c>
      <c r="F764" s="157"/>
      <c r="G764" s="157" t="s">
        <v>1536</v>
      </c>
      <c r="H764" s="157" t="s">
        <v>1287</v>
      </c>
      <c r="I764" s="157" t="s">
        <v>1580</v>
      </c>
      <c r="J764" s="157" t="s">
        <v>1578</v>
      </c>
      <c r="K764" s="157" t="s">
        <v>1269</v>
      </c>
      <c r="L764" s="157" t="s">
        <v>1579</v>
      </c>
      <c r="M764" s="157" t="str">
        <f t="shared" si="21"/>
        <v>P5W - High Mounted Brake Lights</v>
      </c>
      <c r="N764" s="157"/>
      <c r="O764" s="157"/>
      <c r="P764" s="159" t="s">
        <v>5791</v>
      </c>
      <c r="Q764" s="157"/>
      <c r="R764" s="157"/>
      <c r="S764" s="157"/>
      <c r="T764" s="157"/>
      <c r="U764" s="159" t="s">
        <v>2138</v>
      </c>
      <c r="V764" s="159" t="s">
        <v>2129</v>
      </c>
      <c r="W764" s="159" t="s">
        <v>2129</v>
      </c>
      <c r="X764" s="160">
        <v>0.6</v>
      </c>
      <c r="Y764" s="160">
        <v>0.2</v>
      </c>
      <c r="Z764" s="160">
        <v>0.6</v>
      </c>
      <c r="AA764" s="160">
        <v>0.2</v>
      </c>
    </row>
    <row r="765" spans="1:27" ht="18" customHeight="1" x14ac:dyDescent="0.25">
      <c r="A765" s="159">
        <v>2007</v>
      </c>
      <c r="B765" s="157" t="s">
        <v>29</v>
      </c>
      <c r="C765" s="157" t="s">
        <v>30</v>
      </c>
      <c r="D765" s="159" t="s">
        <v>609</v>
      </c>
      <c r="E765" s="157" t="s">
        <v>607</v>
      </c>
      <c r="F765" s="157" t="s">
        <v>1275</v>
      </c>
      <c r="G765" s="157" t="s">
        <v>1536</v>
      </c>
      <c r="H765" s="157" t="s">
        <v>1287</v>
      </c>
      <c r="I765" s="157" t="s">
        <v>1580</v>
      </c>
      <c r="J765" s="157" t="s">
        <v>1578</v>
      </c>
      <c r="K765" s="157" t="s">
        <v>1269</v>
      </c>
      <c r="L765" s="157" t="s">
        <v>1579</v>
      </c>
      <c r="M765" s="157" t="str">
        <f t="shared" si="21"/>
        <v>P5W - High Mounted Brake Lights</v>
      </c>
      <c r="N765" s="157"/>
      <c r="O765" s="157"/>
      <c r="P765" s="159" t="s">
        <v>5791</v>
      </c>
      <c r="Q765" s="157"/>
      <c r="R765" s="157"/>
      <c r="S765" s="157"/>
      <c r="T765" s="157"/>
      <c r="U765" s="159" t="s">
        <v>2138</v>
      </c>
      <c r="V765" s="159" t="s">
        <v>2129</v>
      </c>
      <c r="W765" s="159" t="s">
        <v>2129</v>
      </c>
      <c r="X765" s="160">
        <v>0.6</v>
      </c>
      <c r="Y765" s="160">
        <v>0.2</v>
      </c>
      <c r="Z765" s="160">
        <v>0.6</v>
      </c>
      <c r="AA765" s="160">
        <v>0.2</v>
      </c>
    </row>
    <row r="766" spans="1:27" ht="18" customHeight="1" x14ac:dyDescent="0.25">
      <c r="A766" s="159">
        <v>2007</v>
      </c>
      <c r="B766" s="157" t="s">
        <v>251</v>
      </c>
      <c r="C766" s="157" t="s">
        <v>366</v>
      </c>
      <c r="D766" s="159" t="s">
        <v>494</v>
      </c>
      <c r="E766" s="157" t="s">
        <v>492</v>
      </c>
      <c r="F766" s="157"/>
      <c r="G766" s="157" t="s">
        <v>1536</v>
      </c>
      <c r="H766" s="157" t="s">
        <v>1287</v>
      </c>
      <c r="I766" s="157" t="s">
        <v>1580</v>
      </c>
      <c r="J766" s="157" t="s">
        <v>1578</v>
      </c>
      <c r="K766" s="157" t="s">
        <v>1269</v>
      </c>
      <c r="L766" s="157" t="s">
        <v>1579</v>
      </c>
      <c r="M766" s="157" t="str">
        <f t="shared" si="21"/>
        <v>P5W - High Mounted Brake Lights</v>
      </c>
      <c r="N766" s="157"/>
      <c r="O766" s="157"/>
      <c r="P766" s="159" t="s">
        <v>5791</v>
      </c>
      <c r="Q766" s="157"/>
      <c r="R766" s="157"/>
      <c r="S766" s="157"/>
      <c r="T766" s="157"/>
      <c r="U766" s="159" t="s">
        <v>2138</v>
      </c>
      <c r="V766" s="159" t="s">
        <v>2129</v>
      </c>
      <c r="W766" s="159" t="s">
        <v>2129</v>
      </c>
      <c r="X766" s="160">
        <v>0.6</v>
      </c>
      <c r="Y766" s="160">
        <v>0.2</v>
      </c>
      <c r="Z766" s="160">
        <v>0.6</v>
      </c>
      <c r="AA766" s="160">
        <v>0.2</v>
      </c>
    </row>
    <row r="767" spans="1:27" ht="18" customHeight="1" x14ac:dyDescent="0.25">
      <c r="A767" s="159">
        <v>2008</v>
      </c>
      <c r="B767" s="157" t="s">
        <v>29</v>
      </c>
      <c r="C767" s="157" t="s">
        <v>30</v>
      </c>
      <c r="D767" s="159" t="s">
        <v>99</v>
      </c>
      <c r="E767" s="157" t="s">
        <v>97</v>
      </c>
      <c r="F767" s="157" t="s">
        <v>1264</v>
      </c>
      <c r="G767" s="157" t="s">
        <v>1536</v>
      </c>
      <c r="H767" s="157" t="s">
        <v>1287</v>
      </c>
      <c r="I767" s="157" t="s">
        <v>1581</v>
      </c>
      <c r="J767" s="157" t="s">
        <v>1582</v>
      </c>
      <c r="K767" s="157" t="s">
        <v>1281</v>
      </c>
      <c r="L767" s="157" t="s">
        <v>1582</v>
      </c>
      <c r="M767" s="157" t="str">
        <f t="shared" si="21"/>
        <v>Power Switch - Lights Switch</v>
      </c>
      <c r="N767" s="157"/>
      <c r="O767" s="157"/>
      <c r="P767" s="159" t="s">
        <v>7076</v>
      </c>
      <c r="Q767" s="157"/>
      <c r="R767" s="157"/>
      <c r="S767" s="157"/>
      <c r="T767" s="157"/>
      <c r="U767" s="159" t="s">
        <v>2129</v>
      </c>
      <c r="V767" s="159" t="s">
        <v>2129</v>
      </c>
      <c r="W767" s="159" t="s">
        <v>2129</v>
      </c>
      <c r="X767" s="160">
        <v>0.05</v>
      </c>
      <c r="Y767" s="160">
        <v>0.05</v>
      </c>
      <c r="Z767" s="160">
        <v>1</v>
      </c>
      <c r="AA767" s="160">
        <v>1</v>
      </c>
    </row>
    <row r="768" spans="1:27" ht="18" customHeight="1" x14ac:dyDescent="0.25">
      <c r="A768" s="159">
        <v>2008</v>
      </c>
      <c r="B768" s="157" t="s">
        <v>29</v>
      </c>
      <c r="C768" s="157" t="s">
        <v>30</v>
      </c>
      <c r="D768" s="159" t="s">
        <v>174</v>
      </c>
      <c r="E768" s="157" t="s">
        <v>172</v>
      </c>
      <c r="F768" s="157"/>
      <c r="G768" s="157" t="s">
        <v>1536</v>
      </c>
      <c r="H768" s="157" t="s">
        <v>1287</v>
      </c>
      <c r="I768" s="157" t="s">
        <v>1581</v>
      </c>
      <c r="J768" s="157" t="s">
        <v>1582</v>
      </c>
      <c r="K768" s="157" t="s">
        <v>1281</v>
      </c>
      <c r="L768" s="157" t="s">
        <v>1582</v>
      </c>
      <c r="M768" s="157" t="str">
        <f t="shared" si="21"/>
        <v>Power Switch - Lights Switch</v>
      </c>
      <c r="N768" s="157"/>
      <c r="O768" s="157"/>
      <c r="P768" s="159" t="s">
        <v>7076</v>
      </c>
      <c r="Q768" s="157"/>
      <c r="R768" s="157"/>
      <c r="S768" s="157"/>
      <c r="T768" s="157"/>
      <c r="U768" s="159" t="s">
        <v>2129</v>
      </c>
      <c r="V768" s="159" t="s">
        <v>2129</v>
      </c>
      <c r="W768" s="159" t="s">
        <v>2129</v>
      </c>
      <c r="X768" s="160">
        <v>0.05</v>
      </c>
      <c r="Y768" s="160">
        <v>0.05</v>
      </c>
      <c r="Z768" s="160">
        <v>1</v>
      </c>
      <c r="AA768" s="160">
        <v>1</v>
      </c>
    </row>
    <row r="769" spans="1:27" ht="18" customHeight="1" x14ac:dyDescent="0.25">
      <c r="A769" s="159">
        <v>2008</v>
      </c>
      <c r="B769" s="157" t="s">
        <v>29</v>
      </c>
      <c r="C769" s="157" t="s">
        <v>30</v>
      </c>
      <c r="D769" s="159" t="s">
        <v>181</v>
      </c>
      <c r="E769" s="157" t="s">
        <v>179</v>
      </c>
      <c r="F769" s="157" t="s">
        <v>1264</v>
      </c>
      <c r="G769" s="157" t="s">
        <v>1536</v>
      </c>
      <c r="H769" s="157" t="s">
        <v>1287</v>
      </c>
      <c r="I769" s="157" t="s">
        <v>1581</v>
      </c>
      <c r="J769" s="157" t="s">
        <v>1582</v>
      </c>
      <c r="K769" s="157" t="s">
        <v>1281</v>
      </c>
      <c r="L769" s="157" t="s">
        <v>1582</v>
      </c>
      <c r="M769" s="157" t="str">
        <f t="shared" si="21"/>
        <v>Power Switch - Lights Switch</v>
      </c>
      <c r="N769" s="157"/>
      <c r="O769" s="157"/>
      <c r="P769" s="159" t="s">
        <v>7076</v>
      </c>
      <c r="Q769" s="157"/>
      <c r="R769" s="157"/>
      <c r="S769" s="157"/>
      <c r="T769" s="157"/>
      <c r="U769" s="159" t="s">
        <v>2129</v>
      </c>
      <c r="V769" s="159" t="s">
        <v>2129</v>
      </c>
      <c r="W769" s="159" t="s">
        <v>2129</v>
      </c>
      <c r="X769" s="160">
        <v>0.05</v>
      </c>
      <c r="Y769" s="160">
        <v>0.05</v>
      </c>
      <c r="Z769" s="160">
        <v>1</v>
      </c>
      <c r="AA769" s="160">
        <v>1</v>
      </c>
    </row>
    <row r="770" spans="1:27" ht="18" customHeight="1" x14ac:dyDescent="0.25">
      <c r="A770" s="159">
        <v>2008</v>
      </c>
      <c r="B770" s="157" t="s">
        <v>29</v>
      </c>
      <c r="C770" s="157" t="s">
        <v>30</v>
      </c>
      <c r="D770" s="159" t="s">
        <v>220</v>
      </c>
      <c r="E770" s="157" t="s">
        <v>218</v>
      </c>
      <c r="F770" s="157"/>
      <c r="G770" s="157" t="s">
        <v>1536</v>
      </c>
      <c r="H770" s="157" t="s">
        <v>1287</v>
      </c>
      <c r="I770" s="157" t="s">
        <v>1581</v>
      </c>
      <c r="J770" s="157" t="s">
        <v>1582</v>
      </c>
      <c r="K770" s="157" t="s">
        <v>1281</v>
      </c>
      <c r="L770" s="157" t="s">
        <v>1582</v>
      </c>
      <c r="M770" s="157" t="str">
        <f t="shared" si="21"/>
        <v>Power Switch - Lights Switch</v>
      </c>
      <c r="N770" s="157"/>
      <c r="O770" s="157"/>
      <c r="P770" s="159" t="s">
        <v>7076</v>
      </c>
      <c r="Q770" s="157"/>
      <c r="R770" s="157"/>
      <c r="S770" s="157"/>
      <c r="T770" s="157"/>
      <c r="U770" s="159" t="s">
        <v>2129</v>
      </c>
      <c r="V770" s="159" t="s">
        <v>2129</v>
      </c>
      <c r="W770" s="159" t="s">
        <v>2129</v>
      </c>
      <c r="X770" s="160">
        <v>0.05</v>
      </c>
      <c r="Y770" s="160">
        <v>0.05</v>
      </c>
      <c r="Z770" s="160">
        <v>1</v>
      </c>
      <c r="AA770" s="160">
        <v>1</v>
      </c>
    </row>
    <row r="771" spans="1:27" ht="18" customHeight="1" x14ac:dyDescent="0.25">
      <c r="A771" s="159">
        <v>2008</v>
      </c>
      <c r="B771" s="157" t="s">
        <v>29</v>
      </c>
      <c r="C771" s="157" t="s">
        <v>30</v>
      </c>
      <c r="D771" s="159" t="s">
        <v>233</v>
      </c>
      <c r="E771" s="157" t="s">
        <v>231</v>
      </c>
      <c r="F771" s="157"/>
      <c r="G771" s="157" t="s">
        <v>1536</v>
      </c>
      <c r="H771" s="157" t="s">
        <v>1287</v>
      </c>
      <c r="I771" s="157" t="s">
        <v>1581</v>
      </c>
      <c r="J771" s="157" t="s">
        <v>1582</v>
      </c>
      <c r="K771" s="157" t="s">
        <v>1281</v>
      </c>
      <c r="L771" s="157" t="s">
        <v>1582</v>
      </c>
      <c r="M771" s="157" t="str">
        <f t="shared" si="21"/>
        <v>Power Switch - Lights Switch</v>
      </c>
      <c r="N771" s="157"/>
      <c r="O771" s="157"/>
      <c r="P771" s="159" t="s">
        <v>7076</v>
      </c>
      <c r="Q771" s="157"/>
      <c r="R771" s="157"/>
      <c r="S771" s="157"/>
      <c r="T771" s="157"/>
      <c r="U771" s="159" t="s">
        <v>2129</v>
      </c>
      <c r="V771" s="159" t="s">
        <v>2129</v>
      </c>
      <c r="W771" s="159" t="s">
        <v>2129</v>
      </c>
      <c r="X771" s="160">
        <v>0.05</v>
      </c>
      <c r="Y771" s="160">
        <v>0.05</v>
      </c>
      <c r="Z771" s="160">
        <v>1</v>
      </c>
      <c r="AA771" s="160">
        <v>1</v>
      </c>
    </row>
    <row r="772" spans="1:27" ht="18" customHeight="1" x14ac:dyDescent="0.25">
      <c r="A772" s="159">
        <v>2008</v>
      </c>
      <c r="B772" s="157" t="s">
        <v>29</v>
      </c>
      <c r="C772" s="157" t="s">
        <v>30</v>
      </c>
      <c r="D772" s="159" t="s">
        <v>185</v>
      </c>
      <c r="E772" s="157" t="s">
        <v>391</v>
      </c>
      <c r="F772" s="157" t="s">
        <v>1275</v>
      </c>
      <c r="G772" s="157" t="s">
        <v>1536</v>
      </c>
      <c r="H772" s="157" t="s">
        <v>1287</v>
      </c>
      <c r="I772" s="157" t="s">
        <v>1581</v>
      </c>
      <c r="J772" s="157" t="s">
        <v>1582</v>
      </c>
      <c r="K772" s="157" t="s">
        <v>1281</v>
      </c>
      <c r="L772" s="157" t="s">
        <v>1582</v>
      </c>
      <c r="M772" s="157" t="str">
        <f t="shared" si="21"/>
        <v>Power Switch - Lights Switch</v>
      </c>
      <c r="N772" s="157"/>
      <c r="O772" s="157"/>
      <c r="P772" s="159" t="s">
        <v>7076</v>
      </c>
      <c r="Q772" s="157"/>
      <c r="R772" s="157"/>
      <c r="S772" s="157"/>
      <c r="T772" s="157"/>
      <c r="U772" s="159" t="s">
        <v>2129</v>
      </c>
      <c r="V772" s="159" t="s">
        <v>2129</v>
      </c>
      <c r="W772" s="159" t="s">
        <v>2129</v>
      </c>
      <c r="X772" s="160">
        <v>0.05</v>
      </c>
      <c r="Y772" s="160">
        <v>0.05</v>
      </c>
      <c r="Z772" s="160">
        <v>1</v>
      </c>
      <c r="AA772" s="160">
        <v>1</v>
      </c>
    </row>
    <row r="773" spans="1:27" ht="18" customHeight="1" x14ac:dyDescent="0.25">
      <c r="A773" s="159">
        <v>2008</v>
      </c>
      <c r="B773" s="157" t="s">
        <v>29</v>
      </c>
      <c r="C773" s="157" t="s">
        <v>30</v>
      </c>
      <c r="D773" s="159" t="s">
        <v>398</v>
      </c>
      <c r="E773" s="157" t="s">
        <v>396</v>
      </c>
      <c r="F773" s="157"/>
      <c r="G773" s="157" t="s">
        <v>1536</v>
      </c>
      <c r="H773" s="157" t="s">
        <v>1287</v>
      </c>
      <c r="I773" s="157" t="s">
        <v>1581</v>
      </c>
      <c r="J773" s="157" t="s">
        <v>1582</v>
      </c>
      <c r="K773" s="157" t="s">
        <v>1281</v>
      </c>
      <c r="L773" s="157" t="s">
        <v>1582</v>
      </c>
      <c r="M773" s="157" t="str">
        <f t="shared" si="21"/>
        <v>Power Switch - Lights Switch</v>
      </c>
      <c r="N773" s="157"/>
      <c r="O773" s="157"/>
      <c r="P773" s="159" t="s">
        <v>7076</v>
      </c>
      <c r="Q773" s="157"/>
      <c r="R773" s="157"/>
      <c r="S773" s="157"/>
      <c r="T773" s="157"/>
      <c r="U773" s="159" t="s">
        <v>2129</v>
      </c>
      <c r="V773" s="159" t="s">
        <v>2129</v>
      </c>
      <c r="W773" s="159" t="s">
        <v>2129</v>
      </c>
      <c r="X773" s="160">
        <v>0.05</v>
      </c>
      <c r="Y773" s="160">
        <v>0.05</v>
      </c>
      <c r="Z773" s="160">
        <v>1</v>
      </c>
      <c r="AA773" s="160">
        <v>1</v>
      </c>
    </row>
    <row r="774" spans="1:27" ht="18" customHeight="1" x14ac:dyDescent="0.25">
      <c r="A774" s="159">
        <v>2008</v>
      </c>
      <c r="B774" s="157" t="s">
        <v>29</v>
      </c>
      <c r="C774" s="157" t="s">
        <v>30</v>
      </c>
      <c r="D774" s="159" t="s">
        <v>408</v>
      </c>
      <c r="E774" s="157" t="s">
        <v>406</v>
      </c>
      <c r="F774" s="157" t="s">
        <v>1264</v>
      </c>
      <c r="G774" s="157" t="s">
        <v>1536</v>
      </c>
      <c r="H774" s="157" t="s">
        <v>1287</v>
      </c>
      <c r="I774" s="157" t="s">
        <v>1581</v>
      </c>
      <c r="J774" s="157" t="s">
        <v>1582</v>
      </c>
      <c r="K774" s="157" t="s">
        <v>1281</v>
      </c>
      <c r="L774" s="157" t="s">
        <v>1582</v>
      </c>
      <c r="M774" s="157" t="str">
        <f t="shared" si="21"/>
        <v>Power Switch - Lights Switch</v>
      </c>
      <c r="N774" s="157"/>
      <c r="O774" s="157"/>
      <c r="P774" s="159" t="s">
        <v>7076</v>
      </c>
      <c r="Q774" s="157"/>
      <c r="R774" s="157"/>
      <c r="S774" s="157"/>
      <c r="T774" s="157"/>
      <c r="U774" s="159" t="s">
        <v>2129</v>
      </c>
      <c r="V774" s="159" t="s">
        <v>2129</v>
      </c>
      <c r="W774" s="159" t="s">
        <v>2129</v>
      </c>
      <c r="X774" s="160">
        <v>0.05</v>
      </c>
      <c r="Y774" s="160">
        <v>0.05</v>
      </c>
      <c r="Z774" s="160">
        <v>1</v>
      </c>
      <c r="AA774" s="160">
        <v>1</v>
      </c>
    </row>
    <row r="775" spans="1:27" ht="18" customHeight="1" x14ac:dyDescent="0.25">
      <c r="A775" s="159">
        <v>2008</v>
      </c>
      <c r="B775" s="157" t="s">
        <v>29</v>
      </c>
      <c r="C775" s="157" t="s">
        <v>30</v>
      </c>
      <c r="D775" s="159" t="s">
        <v>175</v>
      </c>
      <c r="E775" s="157" t="s">
        <v>571</v>
      </c>
      <c r="F775" s="157"/>
      <c r="G775" s="157" t="s">
        <v>1536</v>
      </c>
      <c r="H775" s="157" t="s">
        <v>1287</v>
      </c>
      <c r="I775" s="157" t="s">
        <v>1581</v>
      </c>
      <c r="J775" s="157" t="s">
        <v>1582</v>
      </c>
      <c r="K775" s="157" t="s">
        <v>1281</v>
      </c>
      <c r="L775" s="157" t="s">
        <v>1582</v>
      </c>
      <c r="M775" s="157" t="str">
        <f t="shared" si="21"/>
        <v>Power Switch - Lights Switch</v>
      </c>
      <c r="N775" s="157"/>
      <c r="O775" s="157"/>
      <c r="P775" s="159" t="s">
        <v>7076</v>
      </c>
      <c r="Q775" s="157"/>
      <c r="R775" s="157"/>
      <c r="S775" s="157"/>
      <c r="T775" s="157"/>
      <c r="U775" s="159" t="s">
        <v>2129</v>
      </c>
      <c r="V775" s="159" t="s">
        <v>2129</v>
      </c>
      <c r="W775" s="159" t="s">
        <v>2129</v>
      </c>
      <c r="X775" s="160">
        <v>0.05</v>
      </c>
      <c r="Y775" s="160">
        <v>0.05</v>
      </c>
      <c r="Z775" s="160">
        <v>1</v>
      </c>
      <c r="AA775" s="160">
        <v>1</v>
      </c>
    </row>
    <row r="776" spans="1:27" ht="18" customHeight="1" x14ac:dyDescent="0.25">
      <c r="A776" s="159">
        <v>2008</v>
      </c>
      <c r="B776" s="157" t="s">
        <v>29</v>
      </c>
      <c r="C776" s="157" t="s">
        <v>30</v>
      </c>
      <c r="D776" s="159" t="s">
        <v>573</v>
      </c>
      <c r="E776" s="157" t="s">
        <v>574</v>
      </c>
      <c r="F776" s="157"/>
      <c r="G776" s="157" t="s">
        <v>1536</v>
      </c>
      <c r="H776" s="157" t="s">
        <v>1287</v>
      </c>
      <c r="I776" s="157" t="s">
        <v>1581</v>
      </c>
      <c r="J776" s="157" t="s">
        <v>1582</v>
      </c>
      <c r="K776" s="157" t="s">
        <v>1281</v>
      </c>
      <c r="L776" s="157" t="s">
        <v>1582</v>
      </c>
      <c r="M776" s="157" t="str">
        <f t="shared" si="21"/>
        <v>Power Switch - Lights Switch</v>
      </c>
      <c r="N776" s="157"/>
      <c r="O776" s="157"/>
      <c r="P776" s="159" t="s">
        <v>7076</v>
      </c>
      <c r="Q776" s="157"/>
      <c r="R776" s="157"/>
      <c r="S776" s="157"/>
      <c r="T776" s="157"/>
      <c r="U776" s="159" t="s">
        <v>2129</v>
      </c>
      <c r="V776" s="159" t="s">
        <v>2129</v>
      </c>
      <c r="W776" s="159" t="s">
        <v>2129</v>
      </c>
      <c r="X776" s="160">
        <v>0.05</v>
      </c>
      <c r="Y776" s="160">
        <v>0.05</v>
      </c>
      <c r="Z776" s="160">
        <v>1</v>
      </c>
      <c r="AA776" s="160">
        <v>1</v>
      </c>
    </row>
    <row r="777" spans="1:27" ht="18" customHeight="1" x14ac:dyDescent="0.25">
      <c r="A777" s="159">
        <v>2008</v>
      </c>
      <c r="B777" s="157" t="s">
        <v>29</v>
      </c>
      <c r="C777" s="157" t="s">
        <v>30</v>
      </c>
      <c r="D777" s="159" t="s">
        <v>749</v>
      </c>
      <c r="E777" s="157" t="s">
        <v>747</v>
      </c>
      <c r="F777" s="157"/>
      <c r="G777" s="157" t="s">
        <v>1536</v>
      </c>
      <c r="H777" s="157" t="s">
        <v>1287</v>
      </c>
      <c r="I777" s="157" t="s">
        <v>1581</v>
      </c>
      <c r="J777" s="157" t="s">
        <v>1582</v>
      </c>
      <c r="K777" s="157" t="s">
        <v>1281</v>
      </c>
      <c r="L777" s="157" t="s">
        <v>1582</v>
      </c>
      <c r="M777" s="157" t="str">
        <f t="shared" si="21"/>
        <v>Power Switch - Lights Switch</v>
      </c>
      <c r="N777" s="157"/>
      <c r="O777" s="157"/>
      <c r="P777" s="159" t="s">
        <v>7076</v>
      </c>
      <c r="Q777" s="157"/>
      <c r="R777" s="157"/>
      <c r="S777" s="157"/>
      <c r="T777" s="157"/>
      <c r="U777" s="159" t="s">
        <v>2129</v>
      </c>
      <c r="V777" s="159" t="s">
        <v>2129</v>
      </c>
      <c r="W777" s="159" t="s">
        <v>2129</v>
      </c>
      <c r="X777" s="160">
        <v>0.05</v>
      </c>
      <c r="Y777" s="160">
        <v>0.05</v>
      </c>
      <c r="Z777" s="160">
        <v>1</v>
      </c>
      <c r="AA777" s="160">
        <v>1</v>
      </c>
    </row>
    <row r="778" spans="1:27" ht="18" customHeight="1" x14ac:dyDescent="0.25">
      <c r="A778" s="159">
        <v>2008</v>
      </c>
      <c r="B778" s="157" t="s">
        <v>29</v>
      </c>
      <c r="C778" s="157" t="s">
        <v>30</v>
      </c>
      <c r="D778" s="159" t="s">
        <v>9735</v>
      </c>
      <c r="E778" s="157" t="s">
        <v>9736</v>
      </c>
      <c r="F778" s="157"/>
      <c r="G778" s="157" t="s">
        <v>1536</v>
      </c>
      <c r="H778" s="157" t="s">
        <v>1287</v>
      </c>
      <c r="I778" s="157" t="s">
        <v>1581</v>
      </c>
      <c r="J778" s="157" t="s">
        <v>1582</v>
      </c>
      <c r="K778" s="157" t="s">
        <v>1281</v>
      </c>
      <c r="L778" s="157" t="s">
        <v>1582</v>
      </c>
      <c r="M778" s="157" t="str">
        <f t="shared" ref="M778:M841" si="22">CONCATENATE(L778," - ",I778)</f>
        <v>Power Switch - Lights Switch</v>
      </c>
      <c r="N778" s="157"/>
      <c r="O778" s="157"/>
      <c r="P778" s="159" t="s">
        <v>7076</v>
      </c>
      <c r="Q778" s="157"/>
      <c r="R778" s="157"/>
      <c r="S778" s="157"/>
      <c r="T778" s="157"/>
      <c r="U778" s="159" t="s">
        <v>2129</v>
      </c>
      <c r="V778" s="159" t="s">
        <v>2129</v>
      </c>
      <c r="W778" s="159" t="s">
        <v>2129</v>
      </c>
      <c r="X778" s="160">
        <v>0.05</v>
      </c>
      <c r="Y778" s="160">
        <v>0.05</v>
      </c>
      <c r="Z778" s="160">
        <v>1</v>
      </c>
      <c r="AA778" s="160">
        <v>1</v>
      </c>
    </row>
    <row r="779" spans="1:27" ht="18" customHeight="1" x14ac:dyDescent="0.25">
      <c r="A779" s="159">
        <v>2011</v>
      </c>
      <c r="B779" s="157" t="s">
        <v>29</v>
      </c>
      <c r="C779" s="157" t="s">
        <v>30</v>
      </c>
      <c r="D779" s="159" t="s">
        <v>749</v>
      </c>
      <c r="E779" s="157" t="s">
        <v>747</v>
      </c>
      <c r="F779" s="157" t="s">
        <v>1264</v>
      </c>
      <c r="G779" s="157" t="s">
        <v>1536</v>
      </c>
      <c r="H779" s="157" t="s">
        <v>1287</v>
      </c>
      <c r="I779" s="157" t="s">
        <v>1585</v>
      </c>
      <c r="J779" s="157" t="s">
        <v>1340</v>
      </c>
      <c r="K779" s="157" t="s">
        <v>1269</v>
      </c>
      <c r="L779" s="157" t="s">
        <v>1286</v>
      </c>
      <c r="M779" s="157" t="str">
        <f t="shared" si="22"/>
        <v>LED Lamp - Side Marker Rear Right</v>
      </c>
      <c r="N779" s="157"/>
      <c r="O779" s="157"/>
      <c r="P779" s="159" t="s">
        <v>3758</v>
      </c>
      <c r="Q779" s="157"/>
      <c r="R779" s="157"/>
      <c r="S779" s="157"/>
      <c r="T779" s="157"/>
      <c r="U779" s="159" t="s">
        <v>2129</v>
      </c>
      <c r="V779" s="159" t="s">
        <v>2138</v>
      </c>
      <c r="W779" s="159" t="s">
        <v>2138</v>
      </c>
      <c r="X779" s="160">
        <v>0</v>
      </c>
      <c r="Y779" s="160">
        <v>0</v>
      </c>
      <c r="Z779" s="160">
        <v>1</v>
      </c>
      <c r="AA779" s="160">
        <v>1</v>
      </c>
    </row>
    <row r="780" spans="1:27" ht="18" customHeight="1" x14ac:dyDescent="0.25">
      <c r="A780" s="159">
        <v>2011</v>
      </c>
      <c r="B780" s="157" t="s">
        <v>29</v>
      </c>
      <c r="C780" s="157" t="s">
        <v>30</v>
      </c>
      <c r="D780" s="159" t="s">
        <v>749</v>
      </c>
      <c r="E780" s="157" t="s">
        <v>747</v>
      </c>
      <c r="F780" s="157" t="s">
        <v>1264</v>
      </c>
      <c r="G780" s="157" t="s">
        <v>1536</v>
      </c>
      <c r="H780" s="157" t="s">
        <v>1287</v>
      </c>
      <c r="I780" s="157" t="s">
        <v>9755</v>
      </c>
      <c r="J780" s="157" t="s">
        <v>1340</v>
      </c>
      <c r="K780" s="157" t="s">
        <v>1269</v>
      </c>
      <c r="L780" s="157" t="s">
        <v>9752</v>
      </c>
      <c r="M780" s="157" t="str">
        <f t="shared" si="22"/>
        <v>Side Marker LED Lamp - Position Lamp Right</v>
      </c>
      <c r="N780" s="157"/>
      <c r="O780" s="157"/>
      <c r="P780" s="159" t="s">
        <v>3758</v>
      </c>
      <c r="Q780" s="157"/>
      <c r="R780" s="157"/>
      <c r="S780" s="157"/>
      <c r="T780" s="157"/>
      <c r="U780" s="159" t="s">
        <v>2129</v>
      </c>
      <c r="V780" s="159" t="s">
        <v>2138</v>
      </c>
      <c r="W780" s="159" t="s">
        <v>2138</v>
      </c>
      <c r="X780" s="160">
        <v>0</v>
      </c>
      <c r="Y780" s="160">
        <v>0</v>
      </c>
      <c r="Z780" s="160">
        <v>1</v>
      </c>
      <c r="AA780" s="160">
        <v>1</v>
      </c>
    </row>
    <row r="781" spans="1:27" ht="18" customHeight="1" x14ac:dyDescent="0.25">
      <c r="A781" s="159">
        <v>2012</v>
      </c>
      <c r="B781" s="157" t="s">
        <v>29</v>
      </c>
      <c r="C781" s="157" t="s">
        <v>30</v>
      </c>
      <c r="D781" s="159" t="s">
        <v>214</v>
      </c>
      <c r="E781" s="157" t="s">
        <v>212</v>
      </c>
      <c r="F781" s="157" t="s">
        <v>1264</v>
      </c>
      <c r="G781" s="157" t="s">
        <v>1536</v>
      </c>
      <c r="H781" s="157" t="s">
        <v>1287</v>
      </c>
      <c r="I781" s="157" t="s">
        <v>1586</v>
      </c>
      <c r="J781" s="157" t="s">
        <v>1340</v>
      </c>
      <c r="K781" s="157" t="s">
        <v>1269</v>
      </c>
      <c r="L781" s="157" t="s">
        <v>1286</v>
      </c>
      <c r="M781" s="157" t="str">
        <f t="shared" si="22"/>
        <v>LED Lamp - Reverse Gear Lamp</v>
      </c>
      <c r="N781" s="157"/>
      <c r="O781" s="157"/>
      <c r="P781" s="159"/>
      <c r="Q781" s="157"/>
      <c r="R781" s="157"/>
      <c r="S781" s="157"/>
      <c r="T781" s="157"/>
      <c r="U781" s="159"/>
      <c r="V781" s="159"/>
      <c r="W781" s="159"/>
      <c r="X781" s="160">
        <v>0.01</v>
      </c>
      <c r="Y781" s="160">
        <v>0</v>
      </c>
      <c r="Z781" s="160">
        <v>0.01</v>
      </c>
      <c r="AA781" s="160">
        <v>0</v>
      </c>
    </row>
    <row r="782" spans="1:27" ht="18" customHeight="1" x14ac:dyDescent="0.25">
      <c r="A782" s="159">
        <v>2013</v>
      </c>
      <c r="B782" s="157" t="s">
        <v>29</v>
      </c>
      <c r="C782" s="157" t="s">
        <v>30</v>
      </c>
      <c r="D782" s="159" t="s">
        <v>214</v>
      </c>
      <c r="E782" s="157" t="s">
        <v>212</v>
      </c>
      <c r="F782" s="157" t="s">
        <v>1264</v>
      </c>
      <c r="G782" s="157" t="s">
        <v>1536</v>
      </c>
      <c r="H782" s="157" t="s">
        <v>1287</v>
      </c>
      <c r="I782" s="157" t="s">
        <v>1586</v>
      </c>
      <c r="J782" s="157" t="s">
        <v>1578</v>
      </c>
      <c r="K782" s="157" t="s">
        <v>1269</v>
      </c>
      <c r="L782" s="157" t="s">
        <v>1587</v>
      </c>
      <c r="M782" s="157" t="str">
        <f t="shared" si="22"/>
        <v>P21W - Reverse Gear Lamp</v>
      </c>
      <c r="N782" s="157"/>
      <c r="O782" s="157"/>
      <c r="P782" s="159"/>
      <c r="Q782" s="157"/>
      <c r="R782" s="157"/>
      <c r="S782" s="157"/>
      <c r="T782" s="157"/>
      <c r="U782" s="159"/>
      <c r="V782" s="159"/>
      <c r="W782" s="159"/>
      <c r="X782" s="160">
        <v>0.01</v>
      </c>
      <c r="Y782" s="160">
        <v>0</v>
      </c>
      <c r="Z782" s="160">
        <v>0.01</v>
      </c>
      <c r="AA782" s="160">
        <v>0</v>
      </c>
    </row>
    <row r="783" spans="1:27" ht="18" customHeight="1" x14ac:dyDescent="0.25">
      <c r="A783" s="159">
        <v>2014</v>
      </c>
      <c r="B783" s="157" t="s">
        <v>29</v>
      </c>
      <c r="C783" s="157" t="s">
        <v>30</v>
      </c>
      <c r="D783" s="159" t="s">
        <v>573</v>
      </c>
      <c r="E783" s="157" t="s">
        <v>574</v>
      </c>
      <c r="F783" s="157" t="s">
        <v>1264</v>
      </c>
      <c r="G783" s="157" t="s">
        <v>1536</v>
      </c>
      <c r="H783" s="157" t="s">
        <v>1287</v>
      </c>
      <c r="I783" s="157" t="s">
        <v>1588</v>
      </c>
      <c r="J783" s="157" t="s">
        <v>1340</v>
      </c>
      <c r="K783" s="157" t="s">
        <v>1269</v>
      </c>
      <c r="L783" s="157" t="s">
        <v>1286</v>
      </c>
      <c r="M783" s="157" t="str">
        <f t="shared" si="22"/>
        <v>LED Lamp - Rear Fog Lamp</v>
      </c>
      <c r="N783" s="157"/>
      <c r="O783" s="157"/>
      <c r="P783" s="159"/>
      <c r="Q783" s="157"/>
      <c r="R783" s="157"/>
      <c r="S783" s="157"/>
      <c r="T783" s="157"/>
      <c r="U783" s="159"/>
      <c r="V783" s="159"/>
      <c r="W783" s="159"/>
      <c r="X783" s="160"/>
      <c r="Y783" s="160"/>
      <c r="Z783" s="160"/>
      <c r="AA783" s="160"/>
    </row>
    <row r="784" spans="1:27" ht="18" customHeight="1" x14ac:dyDescent="0.25">
      <c r="A784" s="159">
        <v>2015</v>
      </c>
      <c r="B784" s="157" t="s">
        <v>29</v>
      </c>
      <c r="C784" s="157" t="s">
        <v>30</v>
      </c>
      <c r="D784" s="159" t="s">
        <v>573</v>
      </c>
      <c r="E784" s="157" t="s">
        <v>574</v>
      </c>
      <c r="F784" s="157" t="s">
        <v>1264</v>
      </c>
      <c r="G784" s="157" t="s">
        <v>1536</v>
      </c>
      <c r="H784" s="157" t="s">
        <v>1287</v>
      </c>
      <c r="I784" s="157" t="s">
        <v>1588</v>
      </c>
      <c r="J784" s="157" t="s">
        <v>1578</v>
      </c>
      <c r="K784" s="157" t="s">
        <v>1269</v>
      </c>
      <c r="L784" s="157" t="s">
        <v>1587</v>
      </c>
      <c r="M784" s="157" t="str">
        <f t="shared" si="22"/>
        <v>P21W - Rear Fog Lamp</v>
      </c>
      <c r="N784" s="157"/>
      <c r="O784" s="157"/>
      <c r="P784" s="159"/>
      <c r="Q784" s="157"/>
      <c r="R784" s="157"/>
      <c r="S784" s="157"/>
      <c r="T784" s="157"/>
      <c r="U784" s="159"/>
      <c r="V784" s="159"/>
      <c r="W784" s="159"/>
      <c r="X784" s="160"/>
      <c r="Y784" s="160"/>
      <c r="Z784" s="160"/>
      <c r="AA784" s="160"/>
    </row>
    <row r="785" spans="1:27" ht="18" customHeight="1" x14ac:dyDescent="0.25">
      <c r="A785" s="159">
        <v>2016</v>
      </c>
      <c r="B785" s="157" t="s">
        <v>29</v>
      </c>
      <c r="C785" s="157" t="s">
        <v>30</v>
      </c>
      <c r="D785" s="159" t="s">
        <v>174</v>
      </c>
      <c r="E785" s="157" t="s">
        <v>172</v>
      </c>
      <c r="F785" s="157" t="s">
        <v>1264</v>
      </c>
      <c r="G785" s="157" t="s">
        <v>1536</v>
      </c>
      <c r="H785" s="157" t="s">
        <v>1287</v>
      </c>
      <c r="I785" s="157" t="s">
        <v>1589</v>
      </c>
      <c r="J785" s="157" t="s">
        <v>1340</v>
      </c>
      <c r="K785" s="157" t="s">
        <v>1269</v>
      </c>
      <c r="L785" s="157" t="s">
        <v>1286</v>
      </c>
      <c r="M785" s="157" t="str">
        <f t="shared" si="22"/>
        <v>LED Lamp - Front Fog Lamp FL</v>
      </c>
      <c r="N785" s="157"/>
      <c r="O785" s="157"/>
      <c r="P785" s="167" t="s">
        <v>3494</v>
      </c>
      <c r="Q785" s="157"/>
      <c r="R785" s="157"/>
      <c r="S785" s="157"/>
      <c r="T785" s="157"/>
      <c r="U785" s="159" t="s">
        <v>2129</v>
      </c>
      <c r="V785" s="159" t="s">
        <v>2138</v>
      </c>
      <c r="W785" s="159" t="s">
        <v>2138</v>
      </c>
      <c r="X785" s="160">
        <v>0</v>
      </c>
      <c r="Y785" s="160">
        <v>0</v>
      </c>
      <c r="Z785" s="160">
        <v>0</v>
      </c>
      <c r="AA785" s="160">
        <v>1</v>
      </c>
    </row>
    <row r="786" spans="1:27" ht="18" customHeight="1" x14ac:dyDescent="0.25">
      <c r="A786" s="159">
        <v>2016</v>
      </c>
      <c r="B786" s="157" t="s">
        <v>29</v>
      </c>
      <c r="C786" s="157" t="s">
        <v>30</v>
      </c>
      <c r="D786" s="159" t="s">
        <v>175</v>
      </c>
      <c r="E786" s="157" t="s">
        <v>571</v>
      </c>
      <c r="F786" s="157" t="s">
        <v>1264</v>
      </c>
      <c r="G786" s="157" t="s">
        <v>1536</v>
      </c>
      <c r="H786" s="157" t="s">
        <v>1287</v>
      </c>
      <c r="I786" s="157" t="s">
        <v>1589</v>
      </c>
      <c r="J786" s="157" t="s">
        <v>1340</v>
      </c>
      <c r="K786" s="157" t="s">
        <v>1269</v>
      </c>
      <c r="L786" s="157" t="s">
        <v>1286</v>
      </c>
      <c r="M786" s="157" t="str">
        <f t="shared" si="22"/>
        <v>LED Lamp - Front Fog Lamp FL</v>
      </c>
      <c r="N786" s="157"/>
      <c r="O786" s="157"/>
      <c r="P786" s="167" t="s">
        <v>3494</v>
      </c>
      <c r="Q786" s="157"/>
      <c r="R786" s="157"/>
      <c r="S786" s="157"/>
      <c r="T786" s="157"/>
      <c r="U786" s="159" t="s">
        <v>2129</v>
      </c>
      <c r="V786" s="159" t="s">
        <v>2138</v>
      </c>
      <c r="W786" s="159" t="s">
        <v>2138</v>
      </c>
      <c r="X786" s="160">
        <v>0</v>
      </c>
      <c r="Y786" s="160">
        <v>0</v>
      </c>
      <c r="Z786" s="160">
        <v>0</v>
      </c>
      <c r="AA786" s="160">
        <v>1</v>
      </c>
    </row>
    <row r="787" spans="1:27" ht="18" customHeight="1" x14ac:dyDescent="0.25">
      <c r="A787" s="159">
        <v>2017</v>
      </c>
      <c r="B787" s="157" t="s">
        <v>29</v>
      </c>
      <c r="C787" s="157" t="s">
        <v>30</v>
      </c>
      <c r="D787" s="159" t="s">
        <v>174</v>
      </c>
      <c r="E787" s="157" t="s">
        <v>172</v>
      </c>
      <c r="F787" s="157" t="s">
        <v>1264</v>
      </c>
      <c r="G787" s="157" t="s">
        <v>1536</v>
      </c>
      <c r="H787" s="157" t="s">
        <v>1287</v>
      </c>
      <c r="I787" s="157" t="s">
        <v>1589</v>
      </c>
      <c r="J787" s="157" t="s">
        <v>1578</v>
      </c>
      <c r="K787" s="157" t="s">
        <v>1269</v>
      </c>
      <c r="L787" s="157" t="s">
        <v>2084</v>
      </c>
      <c r="M787" s="157" t="str">
        <f t="shared" si="22"/>
        <v>H1 - Front Fog Lamp FL</v>
      </c>
      <c r="N787" s="157"/>
      <c r="O787" s="157"/>
      <c r="P787" s="167" t="s">
        <v>3494</v>
      </c>
      <c r="Q787" s="157"/>
      <c r="R787" s="157"/>
      <c r="S787" s="157"/>
      <c r="T787" s="157"/>
      <c r="U787" s="159" t="s">
        <v>2138</v>
      </c>
      <c r="V787" s="159" t="s">
        <v>2129</v>
      </c>
      <c r="W787" s="159" t="s">
        <v>2129</v>
      </c>
      <c r="X787" s="160">
        <v>0</v>
      </c>
      <c r="Y787" s="160">
        <v>0</v>
      </c>
      <c r="Z787" s="160">
        <v>0</v>
      </c>
      <c r="AA787" s="160">
        <v>1</v>
      </c>
    </row>
    <row r="788" spans="1:27" ht="18" customHeight="1" x14ac:dyDescent="0.25">
      <c r="A788" s="159">
        <v>2017</v>
      </c>
      <c r="B788" s="157" t="s">
        <v>29</v>
      </c>
      <c r="C788" s="157" t="s">
        <v>30</v>
      </c>
      <c r="D788" s="159" t="s">
        <v>175</v>
      </c>
      <c r="E788" s="157" t="s">
        <v>571</v>
      </c>
      <c r="F788" s="157" t="s">
        <v>1264</v>
      </c>
      <c r="G788" s="157" t="s">
        <v>1536</v>
      </c>
      <c r="H788" s="157" t="s">
        <v>1287</v>
      </c>
      <c r="I788" s="157" t="s">
        <v>1589</v>
      </c>
      <c r="J788" s="157" t="s">
        <v>1578</v>
      </c>
      <c r="K788" s="157" t="s">
        <v>1269</v>
      </c>
      <c r="L788" s="157" t="s">
        <v>2084</v>
      </c>
      <c r="M788" s="157" t="str">
        <f t="shared" si="22"/>
        <v>H1 - Front Fog Lamp FL</v>
      </c>
      <c r="N788" s="157"/>
      <c r="O788" s="157"/>
      <c r="P788" s="167" t="s">
        <v>3494</v>
      </c>
      <c r="Q788" s="157"/>
      <c r="R788" s="157"/>
      <c r="S788" s="157"/>
      <c r="T788" s="157"/>
      <c r="U788" s="159" t="s">
        <v>2138</v>
      </c>
      <c r="V788" s="159" t="s">
        <v>2129</v>
      </c>
      <c r="W788" s="159" t="s">
        <v>2129</v>
      </c>
      <c r="X788" s="160">
        <v>0</v>
      </c>
      <c r="Y788" s="160">
        <v>0</v>
      </c>
      <c r="Z788" s="160">
        <v>0</v>
      </c>
      <c r="AA788" s="160">
        <v>1</v>
      </c>
    </row>
    <row r="789" spans="1:27" ht="18" customHeight="1" x14ac:dyDescent="0.25">
      <c r="A789" s="159">
        <v>2018</v>
      </c>
      <c r="B789" s="157" t="s">
        <v>29</v>
      </c>
      <c r="C789" s="157" t="s">
        <v>30</v>
      </c>
      <c r="D789" s="159" t="s">
        <v>174</v>
      </c>
      <c r="E789" s="157" t="s">
        <v>172</v>
      </c>
      <c r="F789" s="157"/>
      <c r="G789" s="157" t="s">
        <v>1536</v>
      </c>
      <c r="H789" s="157" t="s">
        <v>1287</v>
      </c>
      <c r="I789" s="157" t="s">
        <v>1590</v>
      </c>
      <c r="J789" s="157" t="s">
        <v>1583</v>
      </c>
      <c r="K789" s="157" t="s">
        <v>1281</v>
      </c>
      <c r="L789" s="157" t="s">
        <v>1584</v>
      </c>
      <c r="M789" s="157" t="str">
        <f t="shared" si="22"/>
        <v>Signal Switch - Fog Lamps Switch</v>
      </c>
      <c r="N789" s="157"/>
      <c r="O789" s="157"/>
      <c r="P789" s="159" t="s">
        <v>7308</v>
      </c>
      <c r="Q789" s="157"/>
      <c r="R789" s="157"/>
      <c r="S789" s="157"/>
      <c r="T789" s="157"/>
      <c r="U789" s="159" t="s">
        <v>2129</v>
      </c>
      <c r="V789" s="159" t="s">
        <v>2129</v>
      </c>
      <c r="W789" s="159" t="s">
        <v>2129</v>
      </c>
      <c r="X789" s="160">
        <v>0</v>
      </c>
      <c r="Y789" s="160">
        <v>0</v>
      </c>
      <c r="Z789" s="160">
        <v>0</v>
      </c>
      <c r="AA789" s="160">
        <v>1</v>
      </c>
    </row>
    <row r="790" spans="1:27" ht="18" customHeight="1" x14ac:dyDescent="0.25">
      <c r="A790" s="159">
        <v>2018</v>
      </c>
      <c r="B790" s="157" t="s">
        <v>29</v>
      </c>
      <c r="C790" s="157" t="s">
        <v>30</v>
      </c>
      <c r="D790" s="159" t="s">
        <v>175</v>
      </c>
      <c r="E790" s="157" t="s">
        <v>571</v>
      </c>
      <c r="F790" s="157"/>
      <c r="G790" s="157" t="s">
        <v>1536</v>
      </c>
      <c r="H790" s="157" t="s">
        <v>1287</v>
      </c>
      <c r="I790" s="157" t="s">
        <v>1590</v>
      </c>
      <c r="J790" s="157" t="s">
        <v>1583</v>
      </c>
      <c r="K790" s="157" t="s">
        <v>1281</v>
      </c>
      <c r="L790" s="157" t="s">
        <v>1584</v>
      </c>
      <c r="M790" s="157" t="str">
        <f t="shared" si="22"/>
        <v>Signal Switch - Fog Lamps Switch</v>
      </c>
      <c r="N790" s="157"/>
      <c r="O790" s="157"/>
      <c r="P790" s="159" t="s">
        <v>7308</v>
      </c>
      <c r="Q790" s="157"/>
      <c r="R790" s="157"/>
      <c r="S790" s="157"/>
      <c r="T790" s="157"/>
      <c r="U790" s="159" t="s">
        <v>2129</v>
      </c>
      <c r="V790" s="159" t="s">
        <v>2129</v>
      </c>
      <c r="W790" s="159" t="s">
        <v>2129</v>
      </c>
      <c r="X790" s="160">
        <v>0</v>
      </c>
      <c r="Y790" s="160">
        <v>0</v>
      </c>
      <c r="Z790" s="160">
        <v>0</v>
      </c>
      <c r="AA790" s="160">
        <v>1</v>
      </c>
    </row>
    <row r="791" spans="1:27" ht="18" customHeight="1" x14ac:dyDescent="0.25">
      <c r="A791" s="159">
        <v>2018</v>
      </c>
      <c r="B791" s="157" t="s">
        <v>29</v>
      </c>
      <c r="C791" s="157" t="s">
        <v>30</v>
      </c>
      <c r="D791" s="159" t="s">
        <v>573</v>
      </c>
      <c r="E791" s="157" t="s">
        <v>574</v>
      </c>
      <c r="F791" s="157"/>
      <c r="G791" s="157" t="s">
        <v>1536</v>
      </c>
      <c r="H791" s="157" t="s">
        <v>1287</v>
      </c>
      <c r="I791" s="157" t="s">
        <v>1590</v>
      </c>
      <c r="J791" s="157" t="s">
        <v>1583</v>
      </c>
      <c r="K791" s="157" t="s">
        <v>1281</v>
      </c>
      <c r="L791" s="157" t="s">
        <v>1584</v>
      </c>
      <c r="M791" s="157" t="str">
        <f t="shared" si="22"/>
        <v>Signal Switch - Fog Lamps Switch</v>
      </c>
      <c r="N791" s="157"/>
      <c r="O791" s="157"/>
      <c r="P791" s="159" t="s">
        <v>7308</v>
      </c>
      <c r="Q791" s="157"/>
      <c r="R791" s="157"/>
      <c r="S791" s="157"/>
      <c r="T791" s="157"/>
      <c r="U791" s="159" t="s">
        <v>2129</v>
      </c>
      <c r="V791" s="159" t="s">
        <v>2129</v>
      </c>
      <c r="W791" s="159" t="s">
        <v>2129</v>
      </c>
      <c r="X791" s="160">
        <v>0</v>
      </c>
      <c r="Y791" s="160">
        <v>0</v>
      </c>
      <c r="Z791" s="160">
        <v>0</v>
      </c>
      <c r="AA791" s="160">
        <v>1</v>
      </c>
    </row>
    <row r="792" spans="1:27" ht="18" customHeight="1" x14ac:dyDescent="0.25">
      <c r="A792" s="159">
        <v>2019</v>
      </c>
      <c r="B792" s="157" t="s">
        <v>29</v>
      </c>
      <c r="C792" s="157" t="s">
        <v>30</v>
      </c>
      <c r="D792" s="159" t="s">
        <v>174</v>
      </c>
      <c r="E792" s="157" t="s">
        <v>172</v>
      </c>
      <c r="F792" s="157"/>
      <c r="G792" s="157" t="s">
        <v>1536</v>
      </c>
      <c r="H792" s="157" t="s">
        <v>1287</v>
      </c>
      <c r="I792" s="157" t="s">
        <v>1590</v>
      </c>
      <c r="J792" s="157" t="s">
        <v>1582</v>
      </c>
      <c r="K792" s="157" t="s">
        <v>1281</v>
      </c>
      <c r="L792" s="157" t="s">
        <v>1582</v>
      </c>
      <c r="M792" s="157" t="str">
        <f t="shared" si="22"/>
        <v>Power Switch - Fog Lamps Switch</v>
      </c>
      <c r="N792" s="157"/>
      <c r="O792" s="157"/>
      <c r="P792" s="159" t="s">
        <v>7308</v>
      </c>
      <c r="Q792" s="157"/>
      <c r="R792" s="157"/>
      <c r="S792" s="157"/>
      <c r="T792" s="157"/>
      <c r="U792" s="159" t="s">
        <v>2129</v>
      </c>
      <c r="V792" s="159" t="s">
        <v>2129</v>
      </c>
      <c r="W792" s="159" t="s">
        <v>2129</v>
      </c>
      <c r="X792" s="160">
        <v>0</v>
      </c>
      <c r="Y792" s="160">
        <v>0</v>
      </c>
      <c r="Z792" s="160">
        <v>0</v>
      </c>
      <c r="AA792" s="160">
        <v>1</v>
      </c>
    </row>
    <row r="793" spans="1:27" ht="18" customHeight="1" x14ac:dyDescent="0.25">
      <c r="A793" s="159">
        <v>2019</v>
      </c>
      <c r="B793" s="157" t="s">
        <v>29</v>
      </c>
      <c r="C793" s="157" t="s">
        <v>30</v>
      </c>
      <c r="D793" s="159" t="s">
        <v>175</v>
      </c>
      <c r="E793" s="157" t="s">
        <v>571</v>
      </c>
      <c r="F793" s="157"/>
      <c r="G793" s="157" t="s">
        <v>1536</v>
      </c>
      <c r="H793" s="157" t="s">
        <v>1287</v>
      </c>
      <c r="I793" s="157" t="s">
        <v>1590</v>
      </c>
      <c r="J793" s="157" t="s">
        <v>1582</v>
      </c>
      <c r="K793" s="157" t="s">
        <v>1281</v>
      </c>
      <c r="L793" s="157" t="s">
        <v>1582</v>
      </c>
      <c r="M793" s="157" t="str">
        <f t="shared" si="22"/>
        <v>Power Switch - Fog Lamps Switch</v>
      </c>
      <c r="N793" s="157"/>
      <c r="O793" s="157"/>
      <c r="P793" s="159" t="s">
        <v>7308</v>
      </c>
      <c r="Q793" s="157"/>
      <c r="R793" s="157"/>
      <c r="S793" s="157"/>
      <c r="T793" s="157"/>
      <c r="U793" s="159" t="s">
        <v>2129</v>
      </c>
      <c r="V793" s="159" t="s">
        <v>2129</v>
      </c>
      <c r="W793" s="159" t="s">
        <v>2129</v>
      </c>
      <c r="X793" s="160">
        <v>0</v>
      </c>
      <c r="Y793" s="160">
        <v>0</v>
      </c>
      <c r="Z793" s="160">
        <v>0</v>
      </c>
      <c r="AA793" s="160">
        <v>1</v>
      </c>
    </row>
    <row r="794" spans="1:27" ht="18" customHeight="1" x14ac:dyDescent="0.25">
      <c r="A794" s="159">
        <v>2019</v>
      </c>
      <c r="B794" s="157" t="s">
        <v>29</v>
      </c>
      <c r="C794" s="157" t="s">
        <v>30</v>
      </c>
      <c r="D794" s="159" t="s">
        <v>573</v>
      </c>
      <c r="E794" s="157" t="s">
        <v>574</v>
      </c>
      <c r="F794" s="157"/>
      <c r="G794" s="157" t="s">
        <v>1536</v>
      </c>
      <c r="H794" s="157" t="s">
        <v>1287</v>
      </c>
      <c r="I794" s="157" t="s">
        <v>1590</v>
      </c>
      <c r="J794" s="157" t="s">
        <v>1582</v>
      </c>
      <c r="K794" s="157" t="s">
        <v>1281</v>
      </c>
      <c r="L794" s="157" t="s">
        <v>1582</v>
      </c>
      <c r="M794" s="157" t="str">
        <f t="shared" si="22"/>
        <v>Power Switch - Fog Lamps Switch</v>
      </c>
      <c r="N794" s="157"/>
      <c r="O794" s="157"/>
      <c r="P794" s="159" t="s">
        <v>7308</v>
      </c>
      <c r="Q794" s="157"/>
      <c r="R794" s="157"/>
      <c r="S794" s="157"/>
      <c r="T794" s="157"/>
      <c r="U794" s="159" t="s">
        <v>2129</v>
      </c>
      <c r="V794" s="159" t="s">
        <v>2129</v>
      </c>
      <c r="W794" s="159" t="s">
        <v>2129</v>
      </c>
      <c r="X794" s="160">
        <v>0</v>
      </c>
      <c r="Y794" s="160">
        <v>0</v>
      </c>
      <c r="Z794" s="160">
        <v>0</v>
      </c>
      <c r="AA794" s="160">
        <v>1</v>
      </c>
    </row>
    <row r="795" spans="1:27" ht="18" customHeight="1" x14ac:dyDescent="0.25">
      <c r="A795" s="159">
        <v>2020</v>
      </c>
      <c r="B795" s="157" t="s">
        <v>29</v>
      </c>
      <c r="C795" s="157" t="s">
        <v>30</v>
      </c>
      <c r="D795" s="159" t="s">
        <v>174</v>
      </c>
      <c r="E795" s="157" t="s">
        <v>172</v>
      </c>
      <c r="F795" s="157"/>
      <c r="G795" s="157" t="s">
        <v>1536</v>
      </c>
      <c r="H795" s="157" t="s">
        <v>1287</v>
      </c>
      <c r="I795" s="157" t="s">
        <v>1590</v>
      </c>
      <c r="J795" s="157" t="s">
        <v>1549</v>
      </c>
      <c r="K795" s="157" t="s">
        <v>1281</v>
      </c>
      <c r="L795" s="157" t="s">
        <v>1591</v>
      </c>
      <c r="M795" s="157" t="str">
        <f t="shared" si="22"/>
        <v>LIN Switch - Fog Lamps Switch</v>
      </c>
      <c r="N795" s="157"/>
      <c r="O795" s="157"/>
      <c r="P795" s="159" t="s">
        <v>7308</v>
      </c>
      <c r="Q795" s="157"/>
      <c r="R795" s="157"/>
      <c r="S795" s="157"/>
      <c r="T795" s="157"/>
      <c r="U795" s="159" t="s">
        <v>2138</v>
      </c>
      <c r="V795" s="159" t="s">
        <v>2138</v>
      </c>
      <c r="W795" s="159" t="s">
        <v>2138</v>
      </c>
      <c r="X795" s="160">
        <v>1</v>
      </c>
      <c r="Y795" s="160">
        <v>1</v>
      </c>
      <c r="Z795" s="160">
        <v>1</v>
      </c>
      <c r="AA795" s="160">
        <v>1</v>
      </c>
    </row>
    <row r="796" spans="1:27" ht="18" customHeight="1" x14ac:dyDescent="0.25">
      <c r="A796" s="159">
        <v>2020</v>
      </c>
      <c r="B796" s="157" t="s">
        <v>29</v>
      </c>
      <c r="C796" s="157" t="s">
        <v>30</v>
      </c>
      <c r="D796" s="159" t="s">
        <v>175</v>
      </c>
      <c r="E796" s="157" t="s">
        <v>571</v>
      </c>
      <c r="F796" s="157"/>
      <c r="G796" s="157" t="s">
        <v>1536</v>
      </c>
      <c r="H796" s="157" t="s">
        <v>1287</v>
      </c>
      <c r="I796" s="157" t="s">
        <v>1590</v>
      </c>
      <c r="J796" s="157" t="s">
        <v>1549</v>
      </c>
      <c r="K796" s="157" t="s">
        <v>1281</v>
      </c>
      <c r="L796" s="157" t="s">
        <v>1591</v>
      </c>
      <c r="M796" s="157" t="str">
        <f t="shared" si="22"/>
        <v>LIN Switch - Fog Lamps Switch</v>
      </c>
      <c r="N796" s="157"/>
      <c r="O796" s="157"/>
      <c r="P796" s="159" t="s">
        <v>7308</v>
      </c>
      <c r="Q796" s="157"/>
      <c r="R796" s="157"/>
      <c r="S796" s="157"/>
      <c r="T796" s="157"/>
      <c r="U796" s="159" t="s">
        <v>2138</v>
      </c>
      <c r="V796" s="159" t="s">
        <v>2138</v>
      </c>
      <c r="W796" s="159" t="s">
        <v>2138</v>
      </c>
      <c r="X796" s="160">
        <v>1</v>
      </c>
      <c r="Y796" s="160">
        <v>1</v>
      </c>
      <c r="Z796" s="160">
        <v>1</v>
      </c>
      <c r="AA796" s="160">
        <v>1</v>
      </c>
    </row>
    <row r="797" spans="1:27" ht="18" customHeight="1" x14ac:dyDescent="0.25">
      <c r="A797" s="159">
        <v>2020</v>
      </c>
      <c r="B797" s="157" t="s">
        <v>29</v>
      </c>
      <c r="C797" s="157" t="s">
        <v>30</v>
      </c>
      <c r="D797" s="159" t="s">
        <v>573</v>
      </c>
      <c r="E797" s="157" t="s">
        <v>574</v>
      </c>
      <c r="F797" s="157"/>
      <c r="G797" s="157" t="s">
        <v>1536</v>
      </c>
      <c r="H797" s="157" t="s">
        <v>1287</v>
      </c>
      <c r="I797" s="157" t="s">
        <v>1590</v>
      </c>
      <c r="J797" s="157" t="s">
        <v>1549</v>
      </c>
      <c r="K797" s="157" t="s">
        <v>1281</v>
      </c>
      <c r="L797" s="157" t="s">
        <v>1591</v>
      </c>
      <c r="M797" s="157" t="str">
        <f t="shared" si="22"/>
        <v>LIN Switch - Fog Lamps Switch</v>
      </c>
      <c r="N797" s="157"/>
      <c r="O797" s="157"/>
      <c r="P797" s="159" t="s">
        <v>7308</v>
      </c>
      <c r="Q797" s="157"/>
      <c r="R797" s="157"/>
      <c r="S797" s="157"/>
      <c r="T797" s="157"/>
      <c r="U797" s="159" t="s">
        <v>2138</v>
      </c>
      <c r="V797" s="159" t="s">
        <v>2138</v>
      </c>
      <c r="W797" s="159" t="s">
        <v>2138</v>
      </c>
      <c r="X797" s="160">
        <v>1</v>
      </c>
      <c r="Y797" s="160">
        <v>1</v>
      </c>
      <c r="Z797" s="160">
        <v>1</v>
      </c>
      <c r="AA797" s="160">
        <v>1</v>
      </c>
    </row>
    <row r="798" spans="1:27" ht="18" customHeight="1" x14ac:dyDescent="0.25">
      <c r="A798" s="159">
        <v>2021</v>
      </c>
      <c r="B798" s="157" t="s">
        <v>29</v>
      </c>
      <c r="C798" s="157" t="s">
        <v>30</v>
      </c>
      <c r="D798" s="159" t="s">
        <v>749</v>
      </c>
      <c r="E798" s="157" t="s">
        <v>747</v>
      </c>
      <c r="F798" s="157" t="s">
        <v>1264</v>
      </c>
      <c r="G798" s="157" t="s">
        <v>1536</v>
      </c>
      <c r="H798" s="157" t="s">
        <v>1287</v>
      </c>
      <c r="I798" s="157" t="s">
        <v>1585</v>
      </c>
      <c r="J798" s="157" t="s">
        <v>1578</v>
      </c>
      <c r="K798" s="157" t="s">
        <v>1269</v>
      </c>
      <c r="L798" s="157" t="s">
        <v>9522</v>
      </c>
      <c r="M798" s="157" t="str">
        <f t="shared" si="22"/>
        <v>Bulb P5W - Side Marker Rear Right</v>
      </c>
      <c r="N798" s="157"/>
      <c r="O798" s="157"/>
      <c r="P798" s="159" t="s">
        <v>3758</v>
      </c>
      <c r="Q798" s="157"/>
      <c r="R798" s="157"/>
      <c r="S798" s="157"/>
      <c r="T798" s="157"/>
      <c r="U798" s="159" t="s">
        <v>2138</v>
      </c>
      <c r="V798" s="159" t="s">
        <v>2129</v>
      </c>
      <c r="W798" s="159" t="s">
        <v>2129</v>
      </c>
      <c r="X798" s="160">
        <v>0</v>
      </c>
      <c r="Y798" s="160">
        <v>0</v>
      </c>
      <c r="Z798" s="160">
        <v>1</v>
      </c>
      <c r="AA798" s="160">
        <v>1</v>
      </c>
    </row>
    <row r="799" spans="1:27" ht="18" customHeight="1" x14ac:dyDescent="0.25">
      <c r="A799" s="159">
        <v>2021</v>
      </c>
      <c r="B799" s="157" t="s">
        <v>29</v>
      </c>
      <c r="C799" s="157" t="s">
        <v>30</v>
      </c>
      <c r="D799" s="159" t="s">
        <v>749</v>
      </c>
      <c r="E799" s="157" t="s">
        <v>747</v>
      </c>
      <c r="F799" s="157" t="s">
        <v>1264</v>
      </c>
      <c r="G799" s="157" t="s">
        <v>1536</v>
      </c>
      <c r="H799" s="157" t="s">
        <v>1287</v>
      </c>
      <c r="I799" s="157" t="s">
        <v>9755</v>
      </c>
      <c r="J799" s="157" t="s">
        <v>1578</v>
      </c>
      <c r="K799" s="157" t="s">
        <v>1269</v>
      </c>
      <c r="L799" s="157" t="s">
        <v>9751</v>
      </c>
      <c r="M799" s="157" t="str">
        <f t="shared" si="22"/>
        <v>Side Marker Bulb P5W - Position Lamp Right</v>
      </c>
      <c r="N799" s="157"/>
      <c r="O799" s="157"/>
      <c r="P799" s="159" t="s">
        <v>3758</v>
      </c>
      <c r="Q799" s="157"/>
      <c r="R799" s="157"/>
      <c r="S799" s="157"/>
      <c r="T799" s="157"/>
      <c r="U799" s="159" t="s">
        <v>2138</v>
      </c>
      <c r="V799" s="159" t="s">
        <v>2129</v>
      </c>
      <c r="W799" s="159" t="s">
        <v>2129</v>
      </c>
      <c r="X799" s="160">
        <v>0</v>
      </c>
      <c r="Y799" s="160">
        <v>0</v>
      </c>
      <c r="Z799" s="160">
        <v>1</v>
      </c>
      <c r="AA799" s="160">
        <v>1</v>
      </c>
    </row>
    <row r="800" spans="1:27" ht="18" customHeight="1" x14ac:dyDescent="0.25">
      <c r="A800" s="159">
        <v>2022</v>
      </c>
      <c r="B800" s="157" t="s">
        <v>29</v>
      </c>
      <c r="C800" s="157" t="s">
        <v>30</v>
      </c>
      <c r="D800" s="159" t="s">
        <v>96</v>
      </c>
      <c r="E800" s="157" t="s">
        <v>402</v>
      </c>
      <c r="F800" s="157" t="s">
        <v>1275</v>
      </c>
      <c r="G800" s="157" t="s">
        <v>1536</v>
      </c>
      <c r="H800" s="157" t="s">
        <v>1287</v>
      </c>
      <c r="I800" s="157" t="s">
        <v>2096</v>
      </c>
      <c r="J800" s="157" t="s">
        <v>1578</v>
      </c>
      <c r="K800" s="157" t="s">
        <v>1269</v>
      </c>
      <c r="L800" s="157" t="s">
        <v>1587</v>
      </c>
      <c r="M800" s="157" t="str">
        <f t="shared" si="22"/>
        <v>P21W - Side Blinker Left</v>
      </c>
      <c r="N800" s="157"/>
      <c r="O800" s="157"/>
      <c r="P800" s="159" t="s">
        <v>8149</v>
      </c>
      <c r="Q800" s="157"/>
      <c r="R800" s="157"/>
      <c r="S800" s="157"/>
      <c r="T800" s="157"/>
      <c r="U800" s="159" t="s">
        <v>2138</v>
      </c>
      <c r="V800" s="159" t="s">
        <v>2129</v>
      </c>
      <c r="W800" s="159" t="s">
        <v>2129</v>
      </c>
      <c r="X800" s="160">
        <v>0.3</v>
      </c>
      <c r="Y800" s="160">
        <v>0.1</v>
      </c>
      <c r="Z800" s="160">
        <v>0.3</v>
      </c>
      <c r="AA800" s="160">
        <v>0.1</v>
      </c>
    </row>
    <row r="801" spans="1:27" ht="18" customHeight="1" x14ac:dyDescent="0.25">
      <c r="A801" s="159">
        <v>2022</v>
      </c>
      <c r="B801" s="157" t="s">
        <v>29</v>
      </c>
      <c r="C801" s="157" t="s">
        <v>30</v>
      </c>
      <c r="D801" s="159" t="s">
        <v>96</v>
      </c>
      <c r="E801" s="157" t="s">
        <v>402</v>
      </c>
      <c r="F801" s="157" t="s">
        <v>1277</v>
      </c>
      <c r="G801" s="157" t="s">
        <v>1536</v>
      </c>
      <c r="H801" s="157" t="s">
        <v>1287</v>
      </c>
      <c r="I801" s="157" t="s">
        <v>9759</v>
      </c>
      <c r="J801" s="157" t="s">
        <v>1578</v>
      </c>
      <c r="K801" s="157" t="s">
        <v>1269</v>
      </c>
      <c r="L801" s="157" t="s">
        <v>9746</v>
      </c>
      <c r="M801" s="157" t="str">
        <f t="shared" si="22"/>
        <v>Side Repeater P21W - Turn Signal Left</v>
      </c>
      <c r="N801" s="157"/>
      <c r="O801" s="157"/>
      <c r="P801" s="159" t="s">
        <v>8149</v>
      </c>
      <c r="Q801" s="157"/>
      <c r="R801" s="157"/>
      <c r="S801" s="157"/>
      <c r="T801" s="157"/>
      <c r="U801" s="159" t="s">
        <v>2138</v>
      </c>
      <c r="V801" s="159" t="s">
        <v>2129</v>
      </c>
      <c r="W801" s="159" t="s">
        <v>2129</v>
      </c>
      <c r="X801" s="160">
        <v>0.3</v>
      </c>
      <c r="Y801" s="160">
        <v>0.1</v>
      </c>
      <c r="Z801" s="160">
        <v>0.3</v>
      </c>
      <c r="AA801" s="160">
        <v>0.1</v>
      </c>
    </row>
    <row r="802" spans="1:27" ht="18" customHeight="1" x14ac:dyDescent="0.25">
      <c r="A802" s="159">
        <v>2023</v>
      </c>
      <c r="B802" s="157"/>
      <c r="C802" s="157"/>
      <c r="D802" s="159"/>
      <c r="E802" s="157"/>
      <c r="F802" s="157" t="s">
        <v>1010</v>
      </c>
      <c r="G802" s="157" t="s">
        <v>1536</v>
      </c>
      <c r="H802" s="157" t="s">
        <v>1287</v>
      </c>
      <c r="I802" s="157" t="s">
        <v>1592</v>
      </c>
      <c r="J802" s="157" t="s">
        <v>1340</v>
      </c>
      <c r="K802" s="157" t="s">
        <v>1269</v>
      </c>
      <c r="L802" s="157" t="s">
        <v>1286</v>
      </c>
      <c r="M802" s="157" t="str">
        <f t="shared" si="22"/>
        <v>LED Lamp - Beacon</v>
      </c>
      <c r="N802" s="157"/>
      <c r="O802" s="157"/>
      <c r="P802" s="159"/>
      <c r="Q802" s="157"/>
      <c r="R802" s="157"/>
      <c r="S802" s="157"/>
      <c r="T802" s="157"/>
      <c r="U802" s="159" t="s">
        <v>2129</v>
      </c>
      <c r="V802" s="159" t="s">
        <v>2129</v>
      </c>
      <c r="W802" s="159" t="s">
        <v>2129</v>
      </c>
      <c r="X802" s="160"/>
      <c r="Y802" s="160"/>
      <c r="Z802" s="160"/>
      <c r="AA802" s="160"/>
    </row>
    <row r="803" spans="1:27" ht="18" customHeight="1" x14ac:dyDescent="0.25">
      <c r="A803" s="159">
        <v>2024</v>
      </c>
      <c r="B803" s="157"/>
      <c r="C803" s="157"/>
      <c r="D803" s="159"/>
      <c r="E803" s="157"/>
      <c r="F803" s="157" t="s">
        <v>1010</v>
      </c>
      <c r="G803" s="157" t="s">
        <v>1536</v>
      </c>
      <c r="H803" s="157" t="s">
        <v>1287</v>
      </c>
      <c r="I803" s="157" t="s">
        <v>1592</v>
      </c>
      <c r="J803" s="157" t="s">
        <v>1578</v>
      </c>
      <c r="K803" s="157" t="s">
        <v>1269</v>
      </c>
      <c r="L803" s="157" t="s">
        <v>1587</v>
      </c>
      <c r="M803" s="157" t="str">
        <f t="shared" si="22"/>
        <v>P21W - Beacon</v>
      </c>
      <c r="N803" s="157"/>
      <c r="O803" s="157"/>
      <c r="P803" s="159"/>
      <c r="Q803" s="157"/>
      <c r="R803" s="157"/>
      <c r="S803" s="157"/>
      <c r="T803" s="157"/>
      <c r="U803" s="159" t="s">
        <v>2129</v>
      </c>
      <c r="V803" s="159" t="s">
        <v>2129</v>
      </c>
      <c r="W803" s="159" t="s">
        <v>2129</v>
      </c>
      <c r="X803" s="160"/>
      <c r="Y803" s="160"/>
      <c r="Z803" s="160"/>
      <c r="AA803" s="160"/>
    </row>
    <row r="804" spans="1:27" ht="18" customHeight="1" x14ac:dyDescent="0.25">
      <c r="A804" s="159">
        <v>2025</v>
      </c>
      <c r="B804" s="157"/>
      <c r="C804" s="157"/>
      <c r="D804" s="159"/>
      <c r="E804" s="157"/>
      <c r="F804" s="157" t="s">
        <v>1010</v>
      </c>
      <c r="G804" s="157" t="s">
        <v>1536</v>
      </c>
      <c r="H804" s="157" t="s">
        <v>1287</v>
      </c>
      <c r="I804" s="157" t="s">
        <v>1592</v>
      </c>
      <c r="J804" s="157" t="s">
        <v>1583</v>
      </c>
      <c r="K804" s="157" t="s">
        <v>1281</v>
      </c>
      <c r="L804" s="157" t="s">
        <v>1584</v>
      </c>
      <c r="M804" s="157" t="str">
        <f t="shared" si="22"/>
        <v>Signal Switch - Beacon</v>
      </c>
      <c r="N804" s="157"/>
      <c r="O804" s="157"/>
      <c r="P804" s="159"/>
      <c r="Q804" s="157"/>
      <c r="R804" s="157"/>
      <c r="S804" s="157"/>
      <c r="T804" s="157"/>
      <c r="U804" s="159" t="s">
        <v>2129</v>
      </c>
      <c r="V804" s="159" t="s">
        <v>2129</v>
      </c>
      <c r="W804" s="159" t="s">
        <v>2129</v>
      </c>
      <c r="X804" s="160"/>
      <c r="Y804" s="160"/>
      <c r="Z804" s="160"/>
      <c r="AA804" s="160"/>
    </row>
    <row r="805" spans="1:27" ht="18" customHeight="1" x14ac:dyDescent="0.25">
      <c r="A805" s="159">
        <v>2026</v>
      </c>
      <c r="B805" s="157"/>
      <c r="C805" s="157"/>
      <c r="D805" s="159"/>
      <c r="E805" s="157"/>
      <c r="F805" s="157" t="s">
        <v>1010</v>
      </c>
      <c r="G805" s="157" t="s">
        <v>1536</v>
      </c>
      <c r="H805" s="157" t="s">
        <v>1287</v>
      </c>
      <c r="I805" s="157" t="s">
        <v>1592</v>
      </c>
      <c r="J805" s="157" t="s">
        <v>1582</v>
      </c>
      <c r="K805" s="157" t="s">
        <v>1281</v>
      </c>
      <c r="L805" s="157" t="s">
        <v>1582</v>
      </c>
      <c r="M805" s="157" t="str">
        <f t="shared" si="22"/>
        <v>Power Switch - Beacon</v>
      </c>
      <c r="N805" s="157"/>
      <c r="O805" s="157"/>
      <c r="P805" s="159"/>
      <c r="Q805" s="157"/>
      <c r="R805" s="157"/>
      <c r="S805" s="157"/>
      <c r="T805" s="157"/>
      <c r="U805" s="159" t="s">
        <v>2129</v>
      </c>
      <c r="V805" s="159" t="s">
        <v>2129</v>
      </c>
      <c r="W805" s="159" t="s">
        <v>2129</v>
      </c>
      <c r="X805" s="160"/>
      <c r="Y805" s="160"/>
      <c r="Z805" s="160"/>
      <c r="AA805" s="160"/>
    </row>
    <row r="806" spans="1:27" ht="18" customHeight="1" x14ac:dyDescent="0.25">
      <c r="A806" s="159">
        <v>2027</v>
      </c>
      <c r="B806" s="157"/>
      <c r="C806" s="157"/>
      <c r="D806" s="159"/>
      <c r="E806" s="157"/>
      <c r="F806" s="157" t="s">
        <v>1010</v>
      </c>
      <c r="G806" s="157" t="s">
        <v>1536</v>
      </c>
      <c r="H806" s="157" t="s">
        <v>1287</v>
      </c>
      <c r="I806" s="157" t="s">
        <v>1592</v>
      </c>
      <c r="J806" s="157" t="s">
        <v>1549</v>
      </c>
      <c r="K806" s="157" t="s">
        <v>1281</v>
      </c>
      <c r="L806" s="157" t="s">
        <v>1591</v>
      </c>
      <c r="M806" s="157" t="str">
        <f t="shared" si="22"/>
        <v>LIN Switch - Beacon</v>
      </c>
      <c r="N806" s="157"/>
      <c r="O806" s="157"/>
      <c r="P806" s="159"/>
      <c r="Q806" s="157"/>
      <c r="R806" s="157"/>
      <c r="S806" s="157"/>
      <c r="T806" s="157"/>
      <c r="U806" s="159" t="s">
        <v>2129</v>
      </c>
      <c r="V806" s="159" t="s">
        <v>2129</v>
      </c>
      <c r="W806" s="159" t="s">
        <v>2129</v>
      </c>
      <c r="X806" s="160"/>
      <c r="Y806" s="160"/>
      <c r="Z806" s="160"/>
      <c r="AA806" s="160"/>
    </row>
    <row r="807" spans="1:27" ht="18" customHeight="1" x14ac:dyDescent="0.25">
      <c r="A807" s="159">
        <v>2028</v>
      </c>
      <c r="B807" s="157" t="s">
        <v>29</v>
      </c>
      <c r="C807" s="157" t="s">
        <v>30</v>
      </c>
      <c r="D807" s="159" t="s">
        <v>9735</v>
      </c>
      <c r="E807" s="157" t="s">
        <v>9736</v>
      </c>
      <c r="F807" s="157"/>
      <c r="G807" s="157" t="s">
        <v>1536</v>
      </c>
      <c r="H807" s="157" t="s">
        <v>1287</v>
      </c>
      <c r="I807" s="157" t="s">
        <v>1593</v>
      </c>
      <c r="J807" s="157" t="s">
        <v>1340</v>
      </c>
      <c r="K807" s="157" t="s">
        <v>1269</v>
      </c>
      <c r="L807" s="157" t="s">
        <v>1286</v>
      </c>
      <c r="M807" s="157" t="str">
        <f t="shared" si="22"/>
        <v>LED Lamp - Front Grille Illumination</v>
      </c>
      <c r="N807" s="157"/>
      <c r="O807" s="161"/>
      <c r="P807" s="167" t="s">
        <v>3539</v>
      </c>
      <c r="Q807" s="157"/>
      <c r="R807" s="157"/>
      <c r="S807" s="157"/>
      <c r="T807" s="157"/>
      <c r="U807" s="159" t="s">
        <v>2129</v>
      </c>
      <c r="V807" s="159" t="s">
        <v>2129</v>
      </c>
      <c r="W807" s="159" t="s">
        <v>2138</v>
      </c>
      <c r="X807" s="160">
        <v>0</v>
      </c>
      <c r="Y807" s="160">
        <v>0</v>
      </c>
      <c r="Z807" s="160">
        <v>1</v>
      </c>
      <c r="AA807" s="160">
        <v>1</v>
      </c>
    </row>
    <row r="808" spans="1:27" ht="18" customHeight="1" x14ac:dyDescent="0.25">
      <c r="A808" s="159">
        <v>2029</v>
      </c>
      <c r="B808" s="157" t="s">
        <v>256</v>
      </c>
      <c r="C808" s="157" t="s">
        <v>532</v>
      </c>
      <c r="D808" s="159" t="s">
        <v>781</v>
      </c>
      <c r="E808" s="157" t="s">
        <v>779</v>
      </c>
      <c r="F808" s="157"/>
      <c r="G808" s="157" t="s">
        <v>1299</v>
      </c>
      <c r="H808" s="157" t="s">
        <v>1326</v>
      </c>
      <c r="I808" s="157" t="s">
        <v>1594</v>
      </c>
      <c r="J808" s="157" t="s">
        <v>1595</v>
      </c>
      <c r="K808" s="157" t="s">
        <v>1281</v>
      </c>
      <c r="L808" s="157" t="s">
        <v>1596</v>
      </c>
      <c r="M808" s="157" t="str">
        <f t="shared" si="22"/>
        <v>Lever Signal Switch - User Selector - Manual Parking Brake</v>
      </c>
      <c r="N808" s="157"/>
      <c r="O808" s="157"/>
      <c r="P808" s="159" t="s">
        <v>5765</v>
      </c>
      <c r="Q808" s="157" t="s">
        <v>2115</v>
      </c>
      <c r="R808" s="157" t="s">
        <v>2124</v>
      </c>
      <c r="S808" s="157" t="s">
        <v>8608</v>
      </c>
      <c r="T808" s="157" t="s">
        <v>2129</v>
      </c>
      <c r="U808" s="159" t="s">
        <v>2138</v>
      </c>
      <c r="V808" s="159" t="s">
        <v>2129</v>
      </c>
      <c r="W808" s="159" t="s">
        <v>2129</v>
      </c>
      <c r="X808" s="160">
        <v>1</v>
      </c>
      <c r="Y808" s="160">
        <v>1</v>
      </c>
      <c r="Z808" s="160">
        <v>1</v>
      </c>
      <c r="AA808" s="160">
        <v>1</v>
      </c>
    </row>
    <row r="809" spans="1:27" ht="18" customHeight="1" x14ac:dyDescent="0.25">
      <c r="A809" s="159">
        <v>2030</v>
      </c>
      <c r="B809" s="157" t="s">
        <v>29</v>
      </c>
      <c r="C809" s="157" t="s">
        <v>30</v>
      </c>
      <c r="D809" s="159" t="s">
        <v>89</v>
      </c>
      <c r="E809" s="157" t="s">
        <v>87</v>
      </c>
      <c r="F809" s="157" t="s">
        <v>1264</v>
      </c>
      <c r="G809" s="157" t="s">
        <v>1536</v>
      </c>
      <c r="H809" s="157" t="s">
        <v>1287</v>
      </c>
      <c r="I809" s="157" t="s">
        <v>1597</v>
      </c>
      <c r="J809" s="157" t="s">
        <v>1598</v>
      </c>
      <c r="K809" s="157" t="s">
        <v>1281</v>
      </c>
      <c r="L809" s="157" t="s">
        <v>1599</v>
      </c>
      <c r="M809" s="157" t="str">
        <f t="shared" si="22"/>
        <v>Leveling Potentiometer - Headlamps Leveling</v>
      </c>
      <c r="N809" s="157"/>
      <c r="O809" s="157"/>
      <c r="P809" s="159" t="s">
        <v>7075</v>
      </c>
      <c r="Q809" s="157"/>
      <c r="R809" s="157"/>
      <c r="S809" s="157"/>
      <c r="T809" s="157"/>
      <c r="U809" s="159" t="s">
        <v>2138</v>
      </c>
      <c r="V809" s="159" t="s">
        <v>2129</v>
      </c>
      <c r="W809" s="159" t="s">
        <v>2129</v>
      </c>
      <c r="X809" s="160">
        <v>0</v>
      </c>
      <c r="Y809" s="160">
        <v>0</v>
      </c>
      <c r="Z809" s="160">
        <v>1</v>
      </c>
      <c r="AA809" s="160">
        <v>1</v>
      </c>
    </row>
    <row r="810" spans="1:27" ht="18" customHeight="1" x14ac:dyDescent="0.25">
      <c r="A810" s="159">
        <v>2031</v>
      </c>
      <c r="B810" s="157" t="s">
        <v>29</v>
      </c>
      <c r="C810" s="157" t="s">
        <v>30</v>
      </c>
      <c r="D810" s="159" t="s">
        <v>89</v>
      </c>
      <c r="E810" s="157" t="s">
        <v>87</v>
      </c>
      <c r="F810" s="157" t="s">
        <v>1264</v>
      </c>
      <c r="G810" s="157" t="s">
        <v>1536</v>
      </c>
      <c r="H810" s="157" t="s">
        <v>1287</v>
      </c>
      <c r="I810" s="157" t="s">
        <v>1597</v>
      </c>
      <c r="J810" s="157" t="s">
        <v>1598</v>
      </c>
      <c r="K810" s="157" t="s">
        <v>1269</v>
      </c>
      <c r="L810" s="157" t="s">
        <v>1600</v>
      </c>
      <c r="M810" s="157" t="str">
        <f t="shared" si="22"/>
        <v>Leveling Motor L - Headlamps Leveling</v>
      </c>
      <c r="N810" s="157"/>
      <c r="O810" s="157"/>
      <c r="P810" s="167" t="s">
        <v>3231</v>
      </c>
      <c r="Q810" s="157"/>
      <c r="R810" s="157"/>
      <c r="S810" s="157"/>
      <c r="T810" s="157"/>
      <c r="U810" s="159" t="s">
        <v>2138</v>
      </c>
      <c r="V810" s="159" t="s">
        <v>2138</v>
      </c>
      <c r="W810" s="159" t="s">
        <v>2138</v>
      </c>
      <c r="X810" s="160">
        <v>0</v>
      </c>
      <c r="Y810" s="160">
        <v>0</v>
      </c>
      <c r="Z810" s="160">
        <v>0</v>
      </c>
      <c r="AA810" s="160">
        <v>0</v>
      </c>
    </row>
    <row r="811" spans="1:27" ht="18" customHeight="1" x14ac:dyDescent="0.25">
      <c r="A811" s="159">
        <v>2032</v>
      </c>
      <c r="B811" s="157" t="s">
        <v>29</v>
      </c>
      <c r="C811" s="157" t="s">
        <v>30</v>
      </c>
      <c r="D811" s="159" t="s">
        <v>89</v>
      </c>
      <c r="E811" s="157" t="s">
        <v>87</v>
      </c>
      <c r="F811" s="157" t="s">
        <v>1264</v>
      </c>
      <c r="G811" s="157" t="s">
        <v>1536</v>
      </c>
      <c r="H811" s="157" t="s">
        <v>1287</v>
      </c>
      <c r="I811" s="157" t="s">
        <v>1597</v>
      </c>
      <c r="J811" s="157" t="s">
        <v>1598</v>
      </c>
      <c r="K811" s="157" t="s">
        <v>1269</v>
      </c>
      <c r="L811" s="157" t="s">
        <v>1601</v>
      </c>
      <c r="M811" s="157" t="str">
        <f t="shared" si="22"/>
        <v>Leveling Motor R - Headlamps Leveling</v>
      </c>
      <c r="N811" s="157"/>
      <c r="O811" s="157"/>
      <c r="P811" s="167" t="s">
        <v>7649</v>
      </c>
      <c r="Q811" s="157"/>
      <c r="R811" s="157"/>
      <c r="S811" s="157"/>
      <c r="T811" s="157"/>
      <c r="U811" s="159" t="s">
        <v>2138</v>
      </c>
      <c r="V811" s="159" t="s">
        <v>2138</v>
      </c>
      <c r="W811" s="159" t="s">
        <v>2138</v>
      </c>
      <c r="X811" s="160">
        <v>0</v>
      </c>
      <c r="Y811" s="160">
        <v>0</v>
      </c>
      <c r="Z811" s="160">
        <v>0</v>
      </c>
      <c r="AA811" s="160">
        <v>0</v>
      </c>
    </row>
    <row r="812" spans="1:27" ht="18" customHeight="1" x14ac:dyDescent="0.25">
      <c r="A812" s="159">
        <v>2033</v>
      </c>
      <c r="B812" s="157" t="s">
        <v>29</v>
      </c>
      <c r="C812" s="157" t="s">
        <v>69</v>
      </c>
      <c r="D812" s="159" t="s">
        <v>168</v>
      </c>
      <c r="E812" s="157" t="s">
        <v>166</v>
      </c>
      <c r="F812" s="157"/>
      <c r="G812" s="157" t="s">
        <v>13</v>
      </c>
      <c r="H812" s="157" t="s">
        <v>1602</v>
      </c>
      <c r="I812" s="157" t="s">
        <v>1603</v>
      </c>
      <c r="J812" s="157" t="s">
        <v>1604</v>
      </c>
      <c r="K812" s="157"/>
      <c r="L812" s="157" t="s">
        <v>1605</v>
      </c>
      <c r="M812" s="157" t="str">
        <f t="shared" si="22"/>
        <v>Ignition Switch - Vehicle Start and Stop</v>
      </c>
      <c r="N812" s="157"/>
      <c r="O812" s="157"/>
      <c r="P812" s="159" t="s">
        <v>6298</v>
      </c>
      <c r="Q812" s="157"/>
      <c r="R812" s="157"/>
      <c r="S812" s="157"/>
      <c r="T812" s="157"/>
      <c r="U812" s="159" t="s">
        <v>2138</v>
      </c>
      <c r="V812" s="159" t="s">
        <v>2129</v>
      </c>
      <c r="W812" s="159" t="s">
        <v>2129</v>
      </c>
      <c r="X812" s="160">
        <v>1</v>
      </c>
      <c r="Y812" s="160">
        <v>1</v>
      </c>
      <c r="Z812" s="160">
        <v>1</v>
      </c>
      <c r="AA812" s="160">
        <v>1</v>
      </c>
    </row>
    <row r="813" spans="1:27" ht="18" customHeight="1" x14ac:dyDescent="0.25">
      <c r="A813" s="159">
        <v>2033</v>
      </c>
      <c r="B813" s="157" t="s">
        <v>318</v>
      </c>
      <c r="C813" s="157" t="s">
        <v>764</v>
      </c>
      <c r="D813" s="159" t="s">
        <v>767</v>
      </c>
      <c r="E813" s="157" t="s">
        <v>765</v>
      </c>
      <c r="F813" s="157"/>
      <c r="G813" s="157" t="s">
        <v>13</v>
      </c>
      <c r="H813" s="157" t="s">
        <v>1602</v>
      </c>
      <c r="I813" s="157" t="s">
        <v>1603</v>
      </c>
      <c r="J813" s="157" t="s">
        <v>1604</v>
      </c>
      <c r="K813" s="157"/>
      <c r="L813" s="157" t="s">
        <v>1605</v>
      </c>
      <c r="M813" s="157" t="str">
        <f t="shared" si="22"/>
        <v>Ignition Switch - Vehicle Start and Stop</v>
      </c>
      <c r="N813" s="157"/>
      <c r="O813" s="157"/>
      <c r="P813" s="159" t="s">
        <v>6298</v>
      </c>
      <c r="Q813" s="157"/>
      <c r="R813" s="157"/>
      <c r="S813" s="157"/>
      <c r="T813" s="157"/>
      <c r="U813" s="159" t="s">
        <v>2138</v>
      </c>
      <c r="V813" s="159" t="s">
        <v>2129</v>
      </c>
      <c r="W813" s="159" t="s">
        <v>2129</v>
      </c>
      <c r="X813" s="160">
        <v>1</v>
      </c>
      <c r="Y813" s="160">
        <v>1</v>
      </c>
      <c r="Z813" s="160">
        <v>1</v>
      </c>
      <c r="AA813" s="160">
        <v>1</v>
      </c>
    </row>
    <row r="814" spans="1:27" ht="18" customHeight="1" x14ac:dyDescent="0.25">
      <c r="A814" s="159">
        <v>2033</v>
      </c>
      <c r="B814" s="157" t="s">
        <v>318</v>
      </c>
      <c r="C814" s="157" t="s">
        <v>764</v>
      </c>
      <c r="D814" s="159" t="s">
        <v>1164</v>
      </c>
      <c r="E814" s="157" t="s">
        <v>1162</v>
      </c>
      <c r="F814" s="157"/>
      <c r="G814" s="157" t="s">
        <v>13</v>
      </c>
      <c r="H814" s="157" t="s">
        <v>1602</v>
      </c>
      <c r="I814" s="157" t="s">
        <v>1603</v>
      </c>
      <c r="J814" s="157" t="s">
        <v>1604</v>
      </c>
      <c r="K814" s="157"/>
      <c r="L814" s="157" t="s">
        <v>1605</v>
      </c>
      <c r="M814" s="157" t="str">
        <f t="shared" si="22"/>
        <v>Ignition Switch - Vehicle Start and Stop</v>
      </c>
      <c r="N814" s="157"/>
      <c r="O814" s="157"/>
      <c r="P814" s="159" t="s">
        <v>6298</v>
      </c>
      <c r="Q814" s="157"/>
      <c r="R814" s="157"/>
      <c r="S814" s="157"/>
      <c r="T814" s="157"/>
      <c r="U814" s="159" t="s">
        <v>2138</v>
      </c>
      <c r="V814" s="159" t="s">
        <v>2129</v>
      </c>
      <c r="W814" s="159" t="s">
        <v>2129</v>
      </c>
      <c r="X814" s="160">
        <v>1</v>
      </c>
      <c r="Y814" s="160">
        <v>1</v>
      </c>
      <c r="Z814" s="160">
        <v>1</v>
      </c>
      <c r="AA814" s="160">
        <v>1</v>
      </c>
    </row>
    <row r="815" spans="1:27" ht="18" customHeight="1" x14ac:dyDescent="0.25">
      <c r="A815" s="159">
        <v>2100</v>
      </c>
      <c r="B815" s="157" t="s">
        <v>318</v>
      </c>
      <c r="C815" s="157" t="s">
        <v>443</v>
      </c>
      <c r="D815" s="159" t="s">
        <v>763</v>
      </c>
      <c r="E815" s="157" t="s">
        <v>761</v>
      </c>
      <c r="F815" s="157"/>
      <c r="G815" s="157" t="s">
        <v>13</v>
      </c>
      <c r="H815" s="157" t="s">
        <v>1459</v>
      </c>
      <c r="I815" s="157" t="s">
        <v>1606</v>
      </c>
      <c r="J815" s="157" t="s">
        <v>1467</v>
      </c>
      <c r="K815" s="157" t="s">
        <v>1607</v>
      </c>
      <c r="L815" s="157" t="s">
        <v>1608</v>
      </c>
      <c r="M815" s="157" t="str">
        <f t="shared" si="22"/>
        <v>High Current Power Distributor - 12V SR1 High Current Distribution</v>
      </c>
      <c r="N815" s="157"/>
      <c r="O815" s="157"/>
      <c r="P815" s="159"/>
      <c r="Q815" s="157"/>
      <c r="R815" s="157"/>
      <c r="S815" s="157"/>
      <c r="T815" s="157"/>
      <c r="U815" s="159"/>
      <c r="V815" s="159"/>
      <c r="W815" s="159"/>
      <c r="X815" s="160"/>
      <c r="Y815" s="160"/>
      <c r="Z815" s="160"/>
      <c r="AA815" s="160"/>
    </row>
    <row r="816" spans="1:27" ht="18" customHeight="1" x14ac:dyDescent="0.25">
      <c r="A816" s="159">
        <v>2100</v>
      </c>
      <c r="B816" s="157" t="s">
        <v>318</v>
      </c>
      <c r="C816" s="157" t="s">
        <v>319</v>
      </c>
      <c r="D816" s="159" t="s">
        <v>323</v>
      </c>
      <c r="E816" s="157" t="s">
        <v>666</v>
      </c>
      <c r="F816" s="157" t="s">
        <v>1010</v>
      </c>
      <c r="G816" s="157" t="s">
        <v>13</v>
      </c>
      <c r="H816" s="157" t="s">
        <v>1459</v>
      </c>
      <c r="I816" s="157" t="s">
        <v>1606</v>
      </c>
      <c r="J816" s="157" t="s">
        <v>1467</v>
      </c>
      <c r="K816" s="157" t="s">
        <v>1607</v>
      </c>
      <c r="L816" s="157" t="s">
        <v>1608</v>
      </c>
      <c r="M816" s="157" t="str">
        <f t="shared" si="22"/>
        <v>High Current Power Distributor - 12V SR1 High Current Distribution</v>
      </c>
      <c r="N816" s="157"/>
      <c r="O816" s="157"/>
      <c r="P816" s="159"/>
      <c r="Q816" s="157"/>
      <c r="R816" s="157"/>
      <c r="S816" s="157"/>
      <c r="T816" s="157"/>
      <c r="U816" s="159"/>
      <c r="V816" s="159"/>
      <c r="W816" s="159"/>
      <c r="X816" s="160"/>
      <c r="Y816" s="160"/>
      <c r="Z816" s="160"/>
      <c r="AA816" s="160"/>
    </row>
    <row r="817" spans="1:27" ht="18" customHeight="1" x14ac:dyDescent="0.25">
      <c r="A817" s="159">
        <v>3121</v>
      </c>
      <c r="B817" s="157" t="s">
        <v>256</v>
      </c>
      <c r="C817" s="157" t="s">
        <v>532</v>
      </c>
      <c r="D817" s="159" t="s">
        <v>535</v>
      </c>
      <c r="E817" s="157" t="s">
        <v>533</v>
      </c>
      <c r="F817" s="157" t="s">
        <v>1298</v>
      </c>
      <c r="G817" s="157" t="s">
        <v>1299</v>
      </c>
      <c r="H817" s="157" t="s">
        <v>1326</v>
      </c>
      <c r="I817" s="157" t="s">
        <v>2088</v>
      </c>
      <c r="J817" s="157" t="s">
        <v>1285</v>
      </c>
      <c r="K817" s="157" t="s">
        <v>1269</v>
      </c>
      <c r="L817" s="157" t="s">
        <v>2085</v>
      </c>
      <c r="M817" s="157" t="str">
        <f t="shared" si="22"/>
        <v>ESP Unit - Brake Actuator</v>
      </c>
      <c r="N817" s="157"/>
      <c r="O817" s="157"/>
      <c r="P817" s="159" t="s">
        <v>2652</v>
      </c>
      <c r="Q817" s="157"/>
      <c r="R817" s="157"/>
      <c r="S817" s="157"/>
      <c r="T817" s="157"/>
      <c r="U817" s="159" t="s">
        <v>2138</v>
      </c>
      <c r="V817" s="159" t="s">
        <v>2138</v>
      </c>
      <c r="W817" s="159" t="s">
        <v>2138</v>
      </c>
      <c r="X817" s="160">
        <v>0.1</v>
      </c>
      <c r="Y817" s="160">
        <v>0.3</v>
      </c>
      <c r="Z817" s="160">
        <v>0.3</v>
      </c>
      <c r="AA817" s="160">
        <v>0.5</v>
      </c>
    </row>
    <row r="818" spans="1:27" ht="18" customHeight="1" x14ac:dyDescent="0.25">
      <c r="A818" s="159">
        <v>3121</v>
      </c>
      <c r="B818" s="157" t="s">
        <v>256</v>
      </c>
      <c r="C818" s="157" t="s">
        <v>532</v>
      </c>
      <c r="D818" s="159" t="s">
        <v>1195</v>
      </c>
      <c r="E818" s="157" t="s">
        <v>1193</v>
      </c>
      <c r="F818" s="157" t="s">
        <v>1298</v>
      </c>
      <c r="G818" s="157" t="s">
        <v>1299</v>
      </c>
      <c r="H818" s="157" t="s">
        <v>1326</v>
      </c>
      <c r="I818" s="157" t="s">
        <v>2088</v>
      </c>
      <c r="J818" s="157" t="s">
        <v>1285</v>
      </c>
      <c r="K818" s="157" t="s">
        <v>1269</v>
      </c>
      <c r="L818" s="157" t="s">
        <v>2085</v>
      </c>
      <c r="M818" s="157" t="str">
        <f t="shared" si="22"/>
        <v>ESP Unit - Brake Actuator</v>
      </c>
      <c r="N818" s="157"/>
      <c r="O818" s="157"/>
      <c r="P818" s="159" t="s">
        <v>2652</v>
      </c>
      <c r="Q818" s="157"/>
      <c r="R818" s="157"/>
      <c r="S818" s="157"/>
      <c r="T818" s="157"/>
      <c r="U818" s="159" t="s">
        <v>2138</v>
      </c>
      <c r="V818" s="159" t="s">
        <v>2138</v>
      </c>
      <c r="W818" s="159" t="s">
        <v>2138</v>
      </c>
      <c r="X818" s="160">
        <v>0.1</v>
      </c>
      <c r="Y818" s="160">
        <v>0.3</v>
      </c>
      <c r="Z818" s="160">
        <v>0.3</v>
      </c>
      <c r="AA818" s="160">
        <v>0.5</v>
      </c>
    </row>
    <row r="819" spans="1:27" ht="18" customHeight="1" x14ac:dyDescent="0.25">
      <c r="A819" s="159">
        <v>3121</v>
      </c>
      <c r="B819" s="157" t="s">
        <v>256</v>
      </c>
      <c r="C819" s="157" t="s">
        <v>532</v>
      </c>
      <c r="D819" s="159" t="s">
        <v>1216</v>
      </c>
      <c r="E819" s="157" t="s">
        <v>1214</v>
      </c>
      <c r="F819" s="157"/>
      <c r="G819" s="157" t="s">
        <v>1299</v>
      </c>
      <c r="H819" s="157" t="s">
        <v>1326</v>
      </c>
      <c r="I819" s="157" t="s">
        <v>2088</v>
      </c>
      <c r="J819" s="157" t="s">
        <v>1285</v>
      </c>
      <c r="K819" s="157" t="s">
        <v>1269</v>
      </c>
      <c r="L819" s="157" t="s">
        <v>2085</v>
      </c>
      <c r="M819" s="157" t="str">
        <f t="shared" si="22"/>
        <v>ESP Unit - Brake Actuator</v>
      </c>
      <c r="N819" s="157"/>
      <c r="O819" s="157"/>
      <c r="P819" s="159" t="s">
        <v>2652</v>
      </c>
      <c r="Q819" s="157"/>
      <c r="R819" s="157"/>
      <c r="S819" s="157"/>
      <c r="T819" s="157"/>
      <c r="U819" s="159" t="s">
        <v>2138</v>
      </c>
      <c r="V819" s="159" t="s">
        <v>2138</v>
      </c>
      <c r="W819" s="159" t="s">
        <v>2138</v>
      </c>
      <c r="X819" s="160">
        <v>0.1</v>
      </c>
      <c r="Y819" s="160">
        <v>0.3</v>
      </c>
      <c r="Z819" s="160">
        <v>0.3</v>
      </c>
      <c r="AA819" s="160">
        <v>0.5</v>
      </c>
    </row>
    <row r="820" spans="1:27" ht="18" customHeight="1" x14ac:dyDescent="0.25">
      <c r="A820" s="159">
        <v>3121</v>
      </c>
      <c r="B820" s="157" t="s">
        <v>256</v>
      </c>
      <c r="C820" s="157" t="s">
        <v>261</v>
      </c>
      <c r="D820" s="159" t="s">
        <v>265</v>
      </c>
      <c r="E820" s="157" t="s">
        <v>1217</v>
      </c>
      <c r="F820" s="157"/>
      <c r="G820" s="157" t="s">
        <v>1299</v>
      </c>
      <c r="H820" s="157" t="s">
        <v>1326</v>
      </c>
      <c r="I820" s="157" t="s">
        <v>2088</v>
      </c>
      <c r="J820" s="157" t="s">
        <v>1285</v>
      </c>
      <c r="K820" s="157" t="s">
        <v>1269</v>
      </c>
      <c r="L820" s="157" t="s">
        <v>2085</v>
      </c>
      <c r="M820" s="157" t="str">
        <f t="shared" si="22"/>
        <v>ESP Unit - Brake Actuator</v>
      </c>
      <c r="N820" s="157"/>
      <c r="O820" s="157"/>
      <c r="P820" s="159" t="s">
        <v>2652</v>
      </c>
      <c r="Q820" s="157"/>
      <c r="R820" s="157"/>
      <c r="S820" s="157"/>
      <c r="T820" s="157"/>
      <c r="U820" s="159" t="s">
        <v>2138</v>
      </c>
      <c r="V820" s="159" t="s">
        <v>2138</v>
      </c>
      <c r="W820" s="159" t="s">
        <v>2138</v>
      </c>
      <c r="X820" s="160">
        <v>0.1</v>
      </c>
      <c r="Y820" s="160">
        <v>0.3</v>
      </c>
      <c r="Z820" s="160">
        <v>0.3</v>
      </c>
      <c r="AA820" s="160">
        <v>0.5</v>
      </c>
    </row>
    <row r="821" spans="1:27" ht="18" customHeight="1" x14ac:dyDescent="0.25">
      <c r="A821" s="159">
        <v>3143</v>
      </c>
      <c r="B821" s="157" t="s">
        <v>318</v>
      </c>
      <c r="C821" s="157" t="s">
        <v>443</v>
      </c>
      <c r="D821" s="159" t="s">
        <v>763</v>
      </c>
      <c r="E821" s="157" t="s">
        <v>761</v>
      </c>
      <c r="F821" s="157"/>
      <c r="G821" s="157" t="s">
        <v>13</v>
      </c>
      <c r="H821" s="157" t="s">
        <v>1459</v>
      </c>
      <c r="I821" s="157" t="s">
        <v>1609</v>
      </c>
      <c r="J821" s="157" t="s">
        <v>1285</v>
      </c>
      <c r="K821" s="157" t="s">
        <v>1607</v>
      </c>
      <c r="L821" s="157" t="s">
        <v>1608</v>
      </c>
      <c r="M821" s="157" t="str">
        <f t="shared" si="22"/>
        <v>High Current Power Distributor - 12V QM High Current Distribution</v>
      </c>
      <c r="N821" s="157"/>
      <c r="O821" s="157"/>
      <c r="P821" s="159"/>
      <c r="Q821" s="157"/>
      <c r="R821" s="157"/>
      <c r="S821" s="157"/>
      <c r="T821" s="157"/>
      <c r="U821" s="159"/>
      <c r="V821" s="159"/>
      <c r="W821" s="159"/>
      <c r="X821" s="160"/>
      <c r="Y821" s="160"/>
      <c r="Z821" s="160"/>
      <c r="AA821" s="160"/>
    </row>
    <row r="822" spans="1:27" ht="18" customHeight="1" x14ac:dyDescent="0.25">
      <c r="A822" s="159">
        <v>3143</v>
      </c>
      <c r="B822" s="157" t="s">
        <v>318</v>
      </c>
      <c r="C822" s="157" t="s">
        <v>319</v>
      </c>
      <c r="D822" s="159" t="s">
        <v>323</v>
      </c>
      <c r="E822" s="157" t="s">
        <v>666</v>
      </c>
      <c r="F822" s="157" t="s">
        <v>1010</v>
      </c>
      <c r="G822" s="157" t="s">
        <v>13</v>
      </c>
      <c r="H822" s="157" t="s">
        <v>1459</v>
      </c>
      <c r="I822" s="157" t="s">
        <v>1609</v>
      </c>
      <c r="J822" s="157" t="s">
        <v>1285</v>
      </c>
      <c r="K822" s="157" t="s">
        <v>1607</v>
      </c>
      <c r="L822" s="157" t="s">
        <v>1608</v>
      </c>
      <c r="M822" s="157" t="str">
        <f t="shared" si="22"/>
        <v>High Current Power Distributor - 12V QM High Current Distribution</v>
      </c>
      <c r="N822" s="157"/>
      <c r="O822" s="157"/>
      <c r="P822" s="159"/>
      <c r="Q822" s="157"/>
      <c r="R822" s="157"/>
      <c r="S822" s="157"/>
      <c r="T822" s="157"/>
      <c r="U822" s="159"/>
      <c r="V822" s="159"/>
      <c r="W822" s="159"/>
      <c r="X822" s="160"/>
      <c r="Y822" s="160"/>
      <c r="Z822" s="160"/>
      <c r="AA822" s="160"/>
    </row>
    <row r="823" spans="1:27" ht="18" customHeight="1" x14ac:dyDescent="0.25">
      <c r="A823" s="159">
        <v>3186</v>
      </c>
      <c r="B823" s="157" t="s">
        <v>266</v>
      </c>
      <c r="C823" s="157" t="s">
        <v>1196</v>
      </c>
      <c r="D823" s="159" t="s">
        <v>1199</v>
      </c>
      <c r="E823" s="157" t="s">
        <v>1197</v>
      </c>
      <c r="F823" s="157"/>
      <c r="G823" s="157" t="s">
        <v>1265</v>
      </c>
      <c r="H823" s="157" t="s">
        <v>1271</v>
      </c>
      <c r="I823" s="157" t="s">
        <v>1610</v>
      </c>
      <c r="J823" s="157"/>
      <c r="K823" s="157" t="s">
        <v>1269</v>
      </c>
      <c r="L823" s="157" t="s">
        <v>1611</v>
      </c>
      <c r="M823" s="157" t="str">
        <f t="shared" si="22"/>
        <v>V2X Transceiver - V2X Interface</v>
      </c>
      <c r="N823" s="157"/>
      <c r="O823" s="157"/>
      <c r="P823" s="159" t="s">
        <v>5731</v>
      </c>
      <c r="Q823" s="157"/>
      <c r="R823" s="157"/>
      <c r="S823" s="157"/>
      <c r="T823" s="157"/>
      <c r="U823" s="159" t="s">
        <v>2129</v>
      </c>
      <c r="V823" s="159" t="s">
        <v>2129</v>
      </c>
      <c r="W823" s="159" t="s">
        <v>2138</v>
      </c>
      <c r="X823" s="160">
        <v>1</v>
      </c>
      <c r="Y823" s="160">
        <v>1</v>
      </c>
      <c r="Z823" s="160">
        <v>1</v>
      </c>
      <c r="AA823" s="160">
        <v>1</v>
      </c>
    </row>
    <row r="824" spans="1:27" ht="18" customHeight="1" x14ac:dyDescent="0.25">
      <c r="A824" s="159">
        <v>3186</v>
      </c>
      <c r="B824" s="157" t="s">
        <v>266</v>
      </c>
      <c r="C824" s="157" t="s">
        <v>519</v>
      </c>
      <c r="D824" s="159" t="s">
        <v>530</v>
      </c>
      <c r="E824" s="157" t="s">
        <v>528</v>
      </c>
      <c r="F824" s="157"/>
      <c r="G824" s="157" t="s">
        <v>1265</v>
      </c>
      <c r="H824" s="157" t="s">
        <v>1271</v>
      </c>
      <c r="I824" s="157" t="s">
        <v>1610</v>
      </c>
      <c r="J824" s="157"/>
      <c r="K824" s="157" t="s">
        <v>1269</v>
      </c>
      <c r="L824" s="157" t="s">
        <v>1611</v>
      </c>
      <c r="M824" s="157" t="str">
        <f t="shared" si="22"/>
        <v>V2X Transceiver - V2X Interface</v>
      </c>
      <c r="N824" s="157"/>
      <c r="O824" s="157"/>
      <c r="P824" s="159" t="s">
        <v>5731</v>
      </c>
      <c r="Q824" s="157"/>
      <c r="R824" s="157"/>
      <c r="S824" s="157"/>
      <c r="T824" s="157"/>
      <c r="U824" s="159" t="s">
        <v>2129</v>
      </c>
      <c r="V824" s="159" t="s">
        <v>2129</v>
      </c>
      <c r="W824" s="159" t="s">
        <v>2138</v>
      </c>
      <c r="X824" s="160">
        <v>1</v>
      </c>
      <c r="Y824" s="160">
        <v>1</v>
      </c>
      <c r="Z824" s="160">
        <v>1</v>
      </c>
      <c r="AA824" s="160">
        <v>1</v>
      </c>
    </row>
    <row r="825" spans="1:27" ht="18" customHeight="1" x14ac:dyDescent="0.25">
      <c r="A825" s="159">
        <v>3186</v>
      </c>
      <c r="B825" s="157" t="s">
        <v>266</v>
      </c>
      <c r="C825" s="157" t="s">
        <v>519</v>
      </c>
      <c r="D825" s="159" t="s">
        <v>787</v>
      </c>
      <c r="E825" s="157" t="s">
        <v>785</v>
      </c>
      <c r="F825" s="157"/>
      <c r="G825" s="157" t="s">
        <v>1265</v>
      </c>
      <c r="H825" s="157" t="s">
        <v>1271</v>
      </c>
      <c r="I825" s="157" t="s">
        <v>1610</v>
      </c>
      <c r="J825" s="157"/>
      <c r="K825" s="157" t="s">
        <v>1269</v>
      </c>
      <c r="L825" s="157" t="s">
        <v>1611</v>
      </c>
      <c r="M825" s="157" t="str">
        <f t="shared" si="22"/>
        <v>V2X Transceiver - V2X Interface</v>
      </c>
      <c r="N825" s="157"/>
      <c r="O825" s="157"/>
      <c r="P825" s="159" t="s">
        <v>5731</v>
      </c>
      <c r="Q825" s="157"/>
      <c r="R825" s="157"/>
      <c r="S825" s="157"/>
      <c r="T825" s="157"/>
      <c r="U825" s="159" t="s">
        <v>2129</v>
      </c>
      <c r="V825" s="159" t="s">
        <v>2129</v>
      </c>
      <c r="W825" s="159" t="s">
        <v>2138</v>
      </c>
      <c r="X825" s="160">
        <v>1</v>
      </c>
      <c r="Y825" s="160">
        <v>1</v>
      </c>
      <c r="Z825" s="160">
        <v>1</v>
      </c>
      <c r="AA825" s="160">
        <v>1</v>
      </c>
    </row>
    <row r="826" spans="1:27" ht="18" customHeight="1" x14ac:dyDescent="0.25">
      <c r="A826" s="159">
        <v>3186</v>
      </c>
      <c r="B826" s="157" t="s">
        <v>266</v>
      </c>
      <c r="C826" s="157" t="s">
        <v>519</v>
      </c>
      <c r="D826" s="159" t="s">
        <v>1151</v>
      </c>
      <c r="E826" s="157" t="s">
        <v>1149</v>
      </c>
      <c r="F826" s="157"/>
      <c r="G826" s="157" t="s">
        <v>1265</v>
      </c>
      <c r="H826" s="157" t="s">
        <v>1271</v>
      </c>
      <c r="I826" s="157" t="s">
        <v>1610</v>
      </c>
      <c r="J826" s="157"/>
      <c r="K826" s="157" t="s">
        <v>1269</v>
      </c>
      <c r="L826" s="157" t="s">
        <v>1611</v>
      </c>
      <c r="M826" s="157" t="str">
        <f t="shared" si="22"/>
        <v>V2X Transceiver - V2X Interface</v>
      </c>
      <c r="N826" s="157"/>
      <c r="O826" s="157"/>
      <c r="P826" s="159" t="s">
        <v>5731</v>
      </c>
      <c r="Q826" s="157"/>
      <c r="R826" s="157"/>
      <c r="S826" s="157"/>
      <c r="T826" s="157"/>
      <c r="U826" s="159" t="s">
        <v>2129</v>
      </c>
      <c r="V826" s="159" t="s">
        <v>2129</v>
      </c>
      <c r="W826" s="159" t="s">
        <v>2138</v>
      </c>
      <c r="X826" s="160">
        <v>1</v>
      </c>
      <c r="Y826" s="160">
        <v>1</v>
      </c>
      <c r="Z826" s="160">
        <v>1</v>
      </c>
      <c r="AA826" s="160">
        <v>1</v>
      </c>
    </row>
    <row r="827" spans="1:27" ht="18" customHeight="1" x14ac:dyDescent="0.25">
      <c r="A827" s="159">
        <v>3186</v>
      </c>
      <c r="B827" s="157" t="s">
        <v>318</v>
      </c>
      <c r="C827" s="157" t="s">
        <v>443</v>
      </c>
      <c r="D827" s="159" t="s">
        <v>449</v>
      </c>
      <c r="E827" s="157" t="s">
        <v>447</v>
      </c>
      <c r="F827" s="157"/>
      <c r="G827" s="157" t="s">
        <v>1265</v>
      </c>
      <c r="H827" s="157" t="s">
        <v>1271</v>
      </c>
      <c r="I827" s="157" t="s">
        <v>1610</v>
      </c>
      <c r="J827" s="157"/>
      <c r="K827" s="157" t="s">
        <v>1269</v>
      </c>
      <c r="L827" s="157" t="s">
        <v>1611</v>
      </c>
      <c r="M827" s="157" t="str">
        <f t="shared" si="22"/>
        <v>V2X Transceiver - V2X Interface</v>
      </c>
      <c r="N827" s="157"/>
      <c r="O827" s="157"/>
      <c r="P827" s="159" t="s">
        <v>5731</v>
      </c>
      <c r="Q827" s="157"/>
      <c r="R827" s="157"/>
      <c r="S827" s="157"/>
      <c r="T827" s="157"/>
      <c r="U827" s="159" t="s">
        <v>2129</v>
      </c>
      <c r="V827" s="159" t="s">
        <v>2129</v>
      </c>
      <c r="W827" s="159" t="s">
        <v>2138</v>
      </c>
      <c r="X827" s="160">
        <v>1</v>
      </c>
      <c r="Y827" s="160">
        <v>1</v>
      </c>
      <c r="Z827" s="160">
        <v>1</v>
      </c>
      <c r="AA827" s="160">
        <v>1</v>
      </c>
    </row>
    <row r="828" spans="1:27" ht="18" customHeight="1" x14ac:dyDescent="0.25">
      <c r="A828" s="159">
        <v>3186</v>
      </c>
      <c r="B828" s="157" t="s">
        <v>318</v>
      </c>
      <c r="C828" s="157" t="s">
        <v>443</v>
      </c>
      <c r="D828" s="159" t="s">
        <v>497</v>
      </c>
      <c r="E828" s="157" t="s">
        <v>495</v>
      </c>
      <c r="F828" s="157"/>
      <c r="G828" s="157" t="s">
        <v>1265</v>
      </c>
      <c r="H828" s="157" t="s">
        <v>1271</v>
      </c>
      <c r="I828" s="157" t="s">
        <v>1610</v>
      </c>
      <c r="J828" s="157"/>
      <c r="K828" s="157" t="s">
        <v>1269</v>
      </c>
      <c r="L828" s="157" t="s">
        <v>1611</v>
      </c>
      <c r="M828" s="157" t="str">
        <f t="shared" si="22"/>
        <v>V2X Transceiver - V2X Interface</v>
      </c>
      <c r="N828" s="157"/>
      <c r="O828" s="157"/>
      <c r="P828" s="159" t="s">
        <v>5731</v>
      </c>
      <c r="Q828" s="157"/>
      <c r="R828" s="157"/>
      <c r="S828" s="157"/>
      <c r="T828" s="157"/>
      <c r="U828" s="159" t="s">
        <v>2129</v>
      </c>
      <c r="V828" s="159" t="s">
        <v>2129</v>
      </c>
      <c r="W828" s="159" t="s">
        <v>2138</v>
      </c>
      <c r="X828" s="160">
        <v>1</v>
      </c>
      <c r="Y828" s="160">
        <v>1</v>
      </c>
      <c r="Z828" s="160">
        <v>1</v>
      </c>
      <c r="AA828" s="160">
        <v>1</v>
      </c>
    </row>
    <row r="829" spans="1:27" ht="18" customHeight="1" x14ac:dyDescent="0.25">
      <c r="A829" s="159">
        <v>3186</v>
      </c>
      <c r="B829" s="157" t="s">
        <v>318</v>
      </c>
      <c r="C829" s="157" t="s">
        <v>443</v>
      </c>
      <c r="D829" s="159" t="s">
        <v>500</v>
      </c>
      <c r="E829" s="157" t="s">
        <v>498</v>
      </c>
      <c r="F829" s="157"/>
      <c r="G829" s="157" t="s">
        <v>1265</v>
      </c>
      <c r="H829" s="157" t="s">
        <v>1271</v>
      </c>
      <c r="I829" s="157" t="s">
        <v>1610</v>
      </c>
      <c r="J829" s="157"/>
      <c r="K829" s="157" t="s">
        <v>1269</v>
      </c>
      <c r="L829" s="157" t="s">
        <v>1611</v>
      </c>
      <c r="M829" s="157" t="str">
        <f t="shared" si="22"/>
        <v>V2X Transceiver - V2X Interface</v>
      </c>
      <c r="N829" s="157"/>
      <c r="O829" s="157"/>
      <c r="P829" s="159" t="s">
        <v>5731</v>
      </c>
      <c r="Q829" s="157"/>
      <c r="R829" s="157"/>
      <c r="S829" s="157"/>
      <c r="T829" s="157"/>
      <c r="U829" s="159" t="s">
        <v>2129</v>
      </c>
      <c r="V829" s="159" t="s">
        <v>2129</v>
      </c>
      <c r="W829" s="159" t="s">
        <v>2138</v>
      </c>
      <c r="X829" s="160">
        <v>1</v>
      </c>
      <c r="Y829" s="160">
        <v>1</v>
      </c>
      <c r="Z829" s="160">
        <v>1</v>
      </c>
      <c r="AA829" s="160">
        <v>1</v>
      </c>
    </row>
    <row r="830" spans="1:27" ht="18" customHeight="1" x14ac:dyDescent="0.25">
      <c r="A830" s="159">
        <v>3191</v>
      </c>
      <c r="B830" s="157" t="s">
        <v>63</v>
      </c>
      <c r="C830" s="157" t="s">
        <v>64</v>
      </c>
      <c r="D830" s="159" t="s">
        <v>67</v>
      </c>
      <c r="E830" s="157" t="s">
        <v>65</v>
      </c>
      <c r="F830" s="157" t="s">
        <v>1264</v>
      </c>
      <c r="G830" s="157" t="s">
        <v>1265</v>
      </c>
      <c r="H830" s="157" t="s">
        <v>1612</v>
      </c>
      <c r="I830" s="157" t="s">
        <v>1613</v>
      </c>
      <c r="J830" s="157" t="s">
        <v>1285</v>
      </c>
      <c r="K830" s="157" t="s">
        <v>1269</v>
      </c>
      <c r="L830" s="157" t="s">
        <v>1612</v>
      </c>
      <c r="M830" s="157" t="str">
        <f t="shared" si="22"/>
        <v>Instrument Cluster - Driver Information</v>
      </c>
      <c r="N830" s="157"/>
      <c r="O830" s="157"/>
      <c r="P830" s="159" t="s">
        <v>6578</v>
      </c>
      <c r="Q830" s="157"/>
      <c r="R830" s="157"/>
      <c r="S830" s="157"/>
      <c r="T830" s="157"/>
      <c r="U830" s="159" t="s">
        <v>2129</v>
      </c>
      <c r="V830" s="159" t="s">
        <v>2138</v>
      </c>
      <c r="W830" s="159" t="s">
        <v>2138</v>
      </c>
      <c r="X830" s="160">
        <v>0.7</v>
      </c>
      <c r="Y830" s="160">
        <v>0.7</v>
      </c>
      <c r="Z830" s="160">
        <v>0.5</v>
      </c>
      <c r="AA830" s="160">
        <v>0.5</v>
      </c>
    </row>
    <row r="831" spans="1:27" ht="18" customHeight="1" x14ac:dyDescent="0.25">
      <c r="A831" s="159">
        <v>3191</v>
      </c>
      <c r="B831" s="157" t="s">
        <v>63</v>
      </c>
      <c r="C831" s="157" t="s">
        <v>64</v>
      </c>
      <c r="D831" s="159" t="s">
        <v>239</v>
      </c>
      <c r="E831" s="157" t="s">
        <v>237</v>
      </c>
      <c r="F831" s="157" t="s">
        <v>1264</v>
      </c>
      <c r="G831" s="157" t="s">
        <v>1265</v>
      </c>
      <c r="H831" s="157" t="s">
        <v>1612</v>
      </c>
      <c r="I831" s="157" t="s">
        <v>1613</v>
      </c>
      <c r="J831" s="157" t="s">
        <v>1285</v>
      </c>
      <c r="K831" s="157" t="s">
        <v>1269</v>
      </c>
      <c r="L831" s="157" t="s">
        <v>1612</v>
      </c>
      <c r="M831" s="157" t="str">
        <f t="shared" si="22"/>
        <v>Instrument Cluster - Driver Information</v>
      </c>
      <c r="N831" s="157"/>
      <c r="O831" s="157"/>
      <c r="P831" s="159" t="s">
        <v>6578</v>
      </c>
      <c r="Q831" s="157"/>
      <c r="R831" s="157"/>
      <c r="S831" s="157"/>
      <c r="T831" s="157"/>
      <c r="U831" s="159" t="s">
        <v>2129</v>
      </c>
      <c r="V831" s="159" t="s">
        <v>2138</v>
      </c>
      <c r="W831" s="159" t="s">
        <v>2138</v>
      </c>
      <c r="X831" s="160">
        <v>0.7</v>
      </c>
      <c r="Y831" s="160">
        <v>0.7</v>
      </c>
      <c r="Z831" s="160">
        <v>0.5</v>
      </c>
      <c r="AA831" s="160">
        <v>0.5</v>
      </c>
    </row>
    <row r="832" spans="1:27" ht="18" customHeight="1" x14ac:dyDescent="0.25">
      <c r="A832" s="159">
        <v>3191</v>
      </c>
      <c r="B832" s="157" t="s">
        <v>63</v>
      </c>
      <c r="C832" s="157" t="s">
        <v>64</v>
      </c>
      <c r="D832" s="159" t="s">
        <v>326</v>
      </c>
      <c r="E832" s="157" t="s">
        <v>324</v>
      </c>
      <c r="F832" s="157" t="s">
        <v>1381</v>
      </c>
      <c r="G832" s="157" t="s">
        <v>1265</v>
      </c>
      <c r="H832" s="157" t="s">
        <v>1612</v>
      </c>
      <c r="I832" s="157" t="s">
        <v>1613</v>
      </c>
      <c r="J832" s="157" t="s">
        <v>1285</v>
      </c>
      <c r="K832" s="157" t="s">
        <v>1269</v>
      </c>
      <c r="L832" s="157" t="s">
        <v>1612</v>
      </c>
      <c r="M832" s="157" t="str">
        <f t="shared" si="22"/>
        <v>Instrument Cluster - Driver Information</v>
      </c>
      <c r="N832" s="157"/>
      <c r="O832" s="157"/>
      <c r="P832" s="159" t="s">
        <v>6578</v>
      </c>
      <c r="Q832" s="157"/>
      <c r="R832" s="157"/>
      <c r="S832" s="157"/>
      <c r="T832" s="157"/>
      <c r="U832" s="159" t="s">
        <v>2129</v>
      </c>
      <c r="V832" s="159" t="s">
        <v>2138</v>
      </c>
      <c r="W832" s="159" t="s">
        <v>2138</v>
      </c>
      <c r="X832" s="160">
        <v>0.7</v>
      </c>
      <c r="Y832" s="160">
        <v>0.7</v>
      </c>
      <c r="Z832" s="160">
        <v>0.5</v>
      </c>
      <c r="AA832" s="160">
        <v>0.5</v>
      </c>
    </row>
    <row r="833" spans="1:27" ht="18" customHeight="1" x14ac:dyDescent="0.25">
      <c r="A833" s="159">
        <v>3191</v>
      </c>
      <c r="B833" s="157" t="s">
        <v>63</v>
      </c>
      <c r="C833" s="157" t="s">
        <v>64</v>
      </c>
      <c r="D833" s="159" t="s">
        <v>335</v>
      </c>
      <c r="E833" s="157" t="s">
        <v>333</v>
      </c>
      <c r="F833" s="157" t="s">
        <v>1275</v>
      </c>
      <c r="G833" s="157" t="s">
        <v>1265</v>
      </c>
      <c r="H833" s="157" t="s">
        <v>1612</v>
      </c>
      <c r="I833" s="157" t="s">
        <v>1613</v>
      </c>
      <c r="J833" s="157" t="s">
        <v>1285</v>
      </c>
      <c r="K833" s="157" t="s">
        <v>1269</v>
      </c>
      <c r="L833" s="157" t="s">
        <v>1612</v>
      </c>
      <c r="M833" s="157" t="str">
        <f t="shared" si="22"/>
        <v>Instrument Cluster - Driver Information</v>
      </c>
      <c r="N833" s="157"/>
      <c r="O833" s="157"/>
      <c r="P833" s="159" t="s">
        <v>6578</v>
      </c>
      <c r="Q833" s="157"/>
      <c r="R833" s="157"/>
      <c r="S833" s="157"/>
      <c r="T833" s="157"/>
      <c r="U833" s="159" t="s">
        <v>2129</v>
      </c>
      <c r="V833" s="159" t="s">
        <v>2138</v>
      </c>
      <c r="W833" s="159" t="s">
        <v>2138</v>
      </c>
      <c r="X833" s="160">
        <v>0.7</v>
      </c>
      <c r="Y833" s="160">
        <v>0.7</v>
      </c>
      <c r="Z833" s="160">
        <v>0.5</v>
      </c>
      <c r="AA833" s="160">
        <v>0.5</v>
      </c>
    </row>
    <row r="834" spans="1:27" ht="18" customHeight="1" x14ac:dyDescent="0.25">
      <c r="A834" s="159">
        <v>3191</v>
      </c>
      <c r="B834" s="157" t="s">
        <v>63</v>
      </c>
      <c r="C834" s="157" t="s">
        <v>64</v>
      </c>
      <c r="D834" s="159" t="s">
        <v>344</v>
      </c>
      <c r="E834" s="157" t="s">
        <v>342</v>
      </c>
      <c r="F834" s="157" t="s">
        <v>1264</v>
      </c>
      <c r="G834" s="157" t="s">
        <v>1265</v>
      </c>
      <c r="H834" s="157" t="s">
        <v>1612</v>
      </c>
      <c r="I834" s="157" t="s">
        <v>1613</v>
      </c>
      <c r="J834" s="157" t="s">
        <v>1285</v>
      </c>
      <c r="K834" s="157" t="s">
        <v>1269</v>
      </c>
      <c r="L834" s="157" t="s">
        <v>1612</v>
      </c>
      <c r="M834" s="157" t="str">
        <f t="shared" si="22"/>
        <v>Instrument Cluster - Driver Information</v>
      </c>
      <c r="N834" s="157"/>
      <c r="O834" s="157"/>
      <c r="P834" s="159" t="s">
        <v>6578</v>
      </c>
      <c r="Q834" s="157"/>
      <c r="R834" s="157"/>
      <c r="S834" s="157"/>
      <c r="T834" s="157"/>
      <c r="U834" s="159" t="s">
        <v>2129</v>
      </c>
      <c r="V834" s="159" t="s">
        <v>2138</v>
      </c>
      <c r="W834" s="159" t="s">
        <v>2138</v>
      </c>
      <c r="X834" s="160">
        <v>0.7</v>
      </c>
      <c r="Y834" s="160">
        <v>0.7</v>
      </c>
      <c r="Z834" s="160">
        <v>0.5</v>
      </c>
      <c r="AA834" s="160">
        <v>0.5</v>
      </c>
    </row>
    <row r="835" spans="1:27" ht="18" customHeight="1" x14ac:dyDescent="0.25">
      <c r="A835" s="159">
        <v>3191</v>
      </c>
      <c r="B835" s="157" t="s">
        <v>63</v>
      </c>
      <c r="C835" s="157" t="s">
        <v>64</v>
      </c>
      <c r="D835" s="159" t="s">
        <v>361</v>
      </c>
      <c r="E835" s="157" t="s">
        <v>359</v>
      </c>
      <c r="F835" s="157" t="s">
        <v>1275</v>
      </c>
      <c r="G835" s="157" t="s">
        <v>1265</v>
      </c>
      <c r="H835" s="157" t="s">
        <v>1612</v>
      </c>
      <c r="I835" s="157" t="s">
        <v>1613</v>
      </c>
      <c r="J835" s="157" t="s">
        <v>1285</v>
      </c>
      <c r="K835" s="157" t="s">
        <v>1269</v>
      </c>
      <c r="L835" s="157" t="s">
        <v>1612</v>
      </c>
      <c r="M835" s="157" t="str">
        <f t="shared" si="22"/>
        <v>Instrument Cluster - Driver Information</v>
      </c>
      <c r="N835" s="157"/>
      <c r="O835" s="157"/>
      <c r="P835" s="159" t="s">
        <v>6578</v>
      </c>
      <c r="Q835" s="157"/>
      <c r="R835" s="157"/>
      <c r="S835" s="157"/>
      <c r="T835" s="157"/>
      <c r="U835" s="159" t="s">
        <v>2129</v>
      </c>
      <c r="V835" s="159" t="s">
        <v>2138</v>
      </c>
      <c r="W835" s="159" t="s">
        <v>2138</v>
      </c>
      <c r="X835" s="160">
        <v>0.7</v>
      </c>
      <c r="Y835" s="160">
        <v>0.7</v>
      </c>
      <c r="Z835" s="160">
        <v>0.5</v>
      </c>
      <c r="AA835" s="160">
        <v>0.5</v>
      </c>
    </row>
    <row r="836" spans="1:27" ht="18" customHeight="1" x14ac:dyDescent="0.25">
      <c r="A836" s="159">
        <v>3191</v>
      </c>
      <c r="B836" s="157" t="s">
        <v>63</v>
      </c>
      <c r="C836" s="157" t="s">
        <v>64</v>
      </c>
      <c r="D836" s="159" t="s">
        <v>411</v>
      </c>
      <c r="E836" s="157" t="s">
        <v>409</v>
      </c>
      <c r="F836" s="157" t="s">
        <v>1264</v>
      </c>
      <c r="G836" s="157" t="s">
        <v>1265</v>
      </c>
      <c r="H836" s="157" t="s">
        <v>1612</v>
      </c>
      <c r="I836" s="157" t="s">
        <v>1613</v>
      </c>
      <c r="J836" s="157" t="s">
        <v>1285</v>
      </c>
      <c r="K836" s="157" t="s">
        <v>1269</v>
      </c>
      <c r="L836" s="157" t="s">
        <v>1612</v>
      </c>
      <c r="M836" s="157" t="str">
        <f t="shared" si="22"/>
        <v>Instrument Cluster - Driver Information</v>
      </c>
      <c r="N836" s="157"/>
      <c r="O836" s="157"/>
      <c r="P836" s="159" t="s">
        <v>6578</v>
      </c>
      <c r="Q836" s="157"/>
      <c r="R836" s="157"/>
      <c r="S836" s="157"/>
      <c r="T836" s="157"/>
      <c r="U836" s="159" t="s">
        <v>2129</v>
      </c>
      <c r="V836" s="159" t="s">
        <v>2138</v>
      </c>
      <c r="W836" s="159" t="s">
        <v>2138</v>
      </c>
      <c r="X836" s="160">
        <v>0.7</v>
      </c>
      <c r="Y836" s="160">
        <v>0.7</v>
      </c>
      <c r="Z836" s="160">
        <v>0.5</v>
      </c>
      <c r="AA836" s="160">
        <v>0.5</v>
      </c>
    </row>
    <row r="837" spans="1:27" ht="18" customHeight="1" x14ac:dyDescent="0.25">
      <c r="A837" s="159">
        <v>3191</v>
      </c>
      <c r="B837" s="157" t="s">
        <v>63</v>
      </c>
      <c r="C837" s="157" t="s">
        <v>64</v>
      </c>
      <c r="D837" s="159" t="s">
        <v>327</v>
      </c>
      <c r="E837" s="157" t="s">
        <v>418</v>
      </c>
      <c r="F837" s="157" t="s">
        <v>1275</v>
      </c>
      <c r="G837" s="157" t="s">
        <v>1265</v>
      </c>
      <c r="H837" s="157" t="s">
        <v>1612</v>
      </c>
      <c r="I837" s="157" t="s">
        <v>1613</v>
      </c>
      <c r="J837" s="157" t="s">
        <v>1285</v>
      </c>
      <c r="K837" s="157" t="s">
        <v>1269</v>
      </c>
      <c r="L837" s="157" t="s">
        <v>1612</v>
      </c>
      <c r="M837" s="157" t="str">
        <f t="shared" si="22"/>
        <v>Instrument Cluster - Driver Information</v>
      </c>
      <c r="N837" s="157"/>
      <c r="O837" s="157"/>
      <c r="P837" s="159" t="s">
        <v>6578</v>
      </c>
      <c r="Q837" s="157"/>
      <c r="R837" s="157"/>
      <c r="S837" s="157"/>
      <c r="T837" s="157"/>
      <c r="U837" s="159" t="s">
        <v>2129</v>
      </c>
      <c r="V837" s="159" t="s">
        <v>2138</v>
      </c>
      <c r="W837" s="159" t="s">
        <v>2138</v>
      </c>
      <c r="X837" s="160">
        <v>0.7</v>
      </c>
      <c r="Y837" s="160">
        <v>0.7</v>
      </c>
      <c r="Z837" s="160">
        <v>0.5</v>
      </c>
      <c r="AA837" s="160">
        <v>0.5</v>
      </c>
    </row>
    <row r="838" spans="1:27" ht="18" customHeight="1" x14ac:dyDescent="0.25">
      <c r="A838" s="159">
        <v>3191</v>
      </c>
      <c r="B838" s="157" t="s">
        <v>63</v>
      </c>
      <c r="C838" s="157" t="s">
        <v>64</v>
      </c>
      <c r="D838" s="159" t="s">
        <v>422</v>
      </c>
      <c r="E838" s="157" t="s">
        <v>420</v>
      </c>
      <c r="F838" s="157" t="s">
        <v>1264</v>
      </c>
      <c r="G838" s="157" t="s">
        <v>1265</v>
      </c>
      <c r="H838" s="157" t="s">
        <v>1612</v>
      </c>
      <c r="I838" s="157" t="s">
        <v>1613</v>
      </c>
      <c r="J838" s="157" t="s">
        <v>1285</v>
      </c>
      <c r="K838" s="157" t="s">
        <v>1269</v>
      </c>
      <c r="L838" s="157" t="s">
        <v>1612</v>
      </c>
      <c r="M838" s="157" t="str">
        <f t="shared" si="22"/>
        <v>Instrument Cluster - Driver Information</v>
      </c>
      <c r="N838" s="157"/>
      <c r="O838" s="157"/>
      <c r="P838" s="159" t="s">
        <v>6578</v>
      </c>
      <c r="Q838" s="157"/>
      <c r="R838" s="157"/>
      <c r="S838" s="157"/>
      <c r="T838" s="157"/>
      <c r="U838" s="159" t="s">
        <v>2129</v>
      </c>
      <c r="V838" s="159" t="s">
        <v>2138</v>
      </c>
      <c r="W838" s="159" t="s">
        <v>2138</v>
      </c>
      <c r="X838" s="160">
        <v>0.7</v>
      </c>
      <c r="Y838" s="160">
        <v>0.7</v>
      </c>
      <c r="Z838" s="160">
        <v>0.5</v>
      </c>
      <c r="AA838" s="160">
        <v>0.5</v>
      </c>
    </row>
    <row r="839" spans="1:27" ht="18" customHeight="1" x14ac:dyDescent="0.25">
      <c r="A839" s="159">
        <v>3191</v>
      </c>
      <c r="B839" s="157" t="s">
        <v>63</v>
      </c>
      <c r="C839" s="157" t="s">
        <v>64</v>
      </c>
      <c r="D839" s="159" t="s">
        <v>425</v>
      </c>
      <c r="E839" s="157" t="s">
        <v>423</v>
      </c>
      <c r="F839" s="157" t="s">
        <v>1275</v>
      </c>
      <c r="G839" s="157" t="s">
        <v>1265</v>
      </c>
      <c r="H839" s="157" t="s">
        <v>1612</v>
      </c>
      <c r="I839" s="157" t="s">
        <v>1613</v>
      </c>
      <c r="J839" s="157" t="s">
        <v>1285</v>
      </c>
      <c r="K839" s="157" t="s">
        <v>1269</v>
      </c>
      <c r="L839" s="157" t="s">
        <v>1612</v>
      </c>
      <c r="M839" s="157" t="str">
        <f t="shared" si="22"/>
        <v>Instrument Cluster - Driver Information</v>
      </c>
      <c r="N839" s="157"/>
      <c r="O839" s="157"/>
      <c r="P839" s="159" t="s">
        <v>6578</v>
      </c>
      <c r="Q839" s="157"/>
      <c r="R839" s="157"/>
      <c r="S839" s="157"/>
      <c r="T839" s="157"/>
      <c r="U839" s="159" t="s">
        <v>2129</v>
      </c>
      <c r="V839" s="159" t="s">
        <v>2138</v>
      </c>
      <c r="W839" s="159" t="s">
        <v>2138</v>
      </c>
      <c r="X839" s="160">
        <v>0.7</v>
      </c>
      <c r="Y839" s="160">
        <v>0.7</v>
      </c>
      <c r="Z839" s="160">
        <v>0.5</v>
      </c>
      <c r="AA839" s="160">
        <v>0.5</v>
      </c>
    </row>
    <row r="840" spans="1:27" ht="18" customHeight="1" x14ac:dyDescent="0.25">
      <c r="A840" s="159">
        <v>3191</v>
      </c>
      <c r="B840" s="157" t="s">
        <v>63</v>
      </c>
      <c r="C840" s="157" t="s">
        <v>64</v>
      </c>
      <c r="D840" s="159" t="s">
        <v>491</v>
      </c>
      <c r="E840" s="157" t="s">
        <v>489</v>
      </c>
      <c r="F840" s="157" t="s">
        <v>1264</v>
      </c>
      <c r="G840" s="157" t="s">
        <v>1265</v>
      </c>
      <c r="H840" s="157" t="s">
        <v>1612</v>
      </c>
      <c r="I840" s="157" t="s">
        <v>1613</v>
      </c>
      <c r="J840" s="157" t="s">
        <v>1285</v>
      </c>
      <c r="K840" s="157" t="s">
        <v>1269</v>
      </c>
      <c r="L840" s="157" t="s">
        <v>1612</v>
      </c>
      <c r="M840" s="157" t="str">
        <f t="shared" si="22"/>
        <v>Instrument Cluster - Driver Information</v>
      </c>
      <c r="N840" s="157"/>
      <c r="O840" s="157"/>
      <c r="P840" s="159" t="s">
        <v>6578</v>
      </c>
      <c r="Q840" s="157"/>
      <c r="R840" s="157"/>
      <c r="S840" s="157"/>
      <c r="T840" s="157"/>
      <c r="U840" s="159" t="s">
        <v>2129</v>
      </c>
      <c r="V840" s="159" t="s">
        <v>2138</v>
      </c>
      <c r="W840" s="159" t="s">
        <v>2138</v>
      </c>
      <c r="X840" s="160">
        <v>0.7</v>
      </c>
      <c r="Y840" s="160">
        <v>0.7</v>
      </c>
      <c r="Z840" s="160">
        <v>0.5</v>
      </c>
      <c r="AA840" s="160">
        <v>0.5</v>
      </c>
    </row>
    <row r="841" spans="1:27" ht="18" customHeight="1" x14ac:dyDescent="0.25">
      <c r="A841" s="159">
        <v>3191</v>
      </c>
      <c r="B841" s="157" t="s">
        <v>63</v>
      </c>
      <c r="C841" s="157" t="s">
        <v>64</v>
      </c>
      <c r="D841" s="159" t="s">
        <v>616</v>
      </c>
      <c r="E841" s="157" t="s">
        <v>614</v>
      </c>
      <c r="F841" s="157" t="s">
        <v>1264</v>
      </c>
      <c r="G841" s="157" t="s">
        <v>1265</v>
      </c>
      <c r="H841" s="157" t="s">
        <v>1612</v>
      </c>
      <c r="I841" s="157" t="s">
        <v>1613</v>
      </c>
      <c r="J841" s="157" t="s">
        <v>1285</v>
      </c>
      <c r="K841" s="157" t="s">
        <v>1269</v>
      </c>
      <c r="L841" s="157" t="s">
        <v>1612</v>
      </c>
      <c r="M841" s="157" t="str">
        <f t="shared" si="22"/>
        <v>Instrument Cluster - Driver Information</v>
      </c>
      <c r="N841" s="157"/>
      <c r="O841" s="157"/>
      <c r="P841" s="159" t="s">
        <v>6578</v>
      </c>
      <c r="Q841" s="157"/>
      <c r="R841" s="157"/>
      <c r="S841" s="157"/>
      <c r="T841" s="157"/>
      <c r="U841" s="159" t="s">
        <v>2129</v>
      </c>
      <c r="V841" s="159" t="s">
        <v>2138</v>
      </c>
      <c r="W841" s="159" t="s">
        <v>2138</v>
      </c>
      <c r="X841" s="160">
        <v>0.7</v>
      </c>
      <c r="Y841" s="160">
        <v>0.7</v>
      </c>
      <c r="Z841" s="160">
        <v>0.5</v>
      </c>
      <c r="AA841" s="160">
        <v>0.5</v>
      </c>
    </row>
    <row r="842" spans="1:27" ht="18" customHeight="1" x14ac:dyDescent="0.25">
      <c r="A842" s="159">
        <v>3191</v>
      </c>
      <c r="B842" s="157" t="s">
        <v>63</v>
      </c>
      <c r="C842" s="157" t="s">
        <v>64</v>
      </c>
      <c r="D842" s="159" t="s">
        <v>645</v>
      </c>
      <c r="E842" s="157" t="s">
        <v>643</v>
      </c>
      <c r="F842" s="157" t="s">
        <v>1275</v>
      </c>
      <c r="G842" s="157" t="s">
        <v>1265</v>
      </c>
      <c r="H842" s="157" t="s">
        <v>1612</v>
      </c>
      <c r="I842" s="157" t="s">
        <v>1613</v>
      </c>
      <c r="J842" s="157" t="s">
        <v>1285</v>
      </c>
      <c r="K842" s="157" t="s">
        <v>1269</v>
      </c>
      <c r="L842" s="157" t="s">
        <v>1612</v>
      </c>
      <c r="M842" s="157" t="str">
        <f t="shared" ref="M842:M905" si="23">CONCATENATE(L842," - ",I842)</f>
        <v>Instrument Cluster - Driver Information</v>
      </c>
      <c r="N842" s="157"/>
      <c r="O842" s="157"/>
      <c r="P842" s="159" t="s">
        <v>6578</v>
      </c>
      <c r="Q842" s="157"/>
      <c r="R842" s="157"/>
      <c r="S842" s="157"/>
      <c r="T842" s="157"/>
      <c r="U842" s="159" t="s">
        <v>2129</v>
      </c>
      <c r="V842" s="159" t="s">
        <v>2138</v>
      </c>
      <c r="W842" s="159" t="s">
        <v>2138</v>
      </c>
      <c r="X842" s="160">
        <v>0.7</v>
      </c>
      <c r="Y842" s="160">
        <v>0.7</v>
      </c>
      <c r="Z842" s="160">
        <v>0.5</v>
      </c>
      <c r="AA842" s="160">
        <v>0.5</v>
      </c>
    </row>
    <row r="843" spans="1:27" ht="18" customHeight="1" x14ac:dyDescent="0.25">
      <c r="A843" s="159">
        <v>3191</v>
      </c>
      <c r="B843" s="157" t="s">
        <v>63</v>
      </c>
      <c r="C843" s="157" t="s">
        <v>64</v>
      </c>
      <c r="D843" s="159" t="s">
        <v>648</v>
      </c>
      <c r="E843" s="157" t="s">
        <v>646</v>
      </c>
      <c r="F843" s="157"/>
      <c r="G843" s="157" t="s">
        <v>1265</v>
      </c>
      <c r="H843" s="157" t="s">
        <v>1612</v>
      </c>
      <c r="I843" s="157" t="s">
        <v>1613</v>
      </c>
      <c r="J843" s="157" t="s">
        <v>1285</v>
      </c>
      <c r="K843" s="157" t="s">
        <v>1269</v>
      </c>
      <c r="L843" s="157" t="s">
        <v>1612</v>
      </c>
      <c r="M843" s="157" t="str">
        <f t="shared" si="23"/>
        <v>Instrument Cluster - Driver Information</v>
      </c>
      <c r="N843" s="157"/>
      <c r="O843" s="157"/>
      <c r="P843" s="159" t="s">
        <v>6578</v>
      </c>
      <c r="Q843" s="157"/>
      <c r="R843" s="157"/>
      <c r="S843" s="157"/>
      <c r="T843" s="157"/>
      <c r="U843" s="159" t="s">
        <v>2129</v>
      </c>
      <c r="V843" s="159" t="s">
        <v>2138</v>
      </c>
      <c r="W843" s="159" t="s">
        <v>2138</v>
      </c>
      <c r="X843" s="160">
        <v>0.7</v>
      </c>
      <c r="Y843" s="160">
        <v>0.7</v>
      </c>
      <c r="Z843" s="160">
        <v>0.5</v>
      </c>
      <c r="AA843" s="160">
        <v>0.5</v>
      </c>
    </row>
    <row r="844" spans="1:27" ht="18" customHeight="1" x14ac:dyDescent="0.25">
      <c r="A844" s="159">
        <v>3191</v>
      </c>
      <c r="B844" s="157" t="s">
        <v>63</v>
      </c>
      <c r="C844" s="157" t="s">
        <v>64</v>
      </c>
      <c r="D844" s="159" t="s">
        <v>651</v>
      </c>
      <c r="E844" s="157" t="s">
        <v>649</v>
      </c>
      <c r="F844" s="157"/>
      <c r="G844" s="157" t="s">
        <v>1265</v>
      </c>
      <c r="H844" s="157" t="s">
        <v>1612</v>
      </c>
      <c r="I844" s="157" t="s">
        <v>1613</v>
      </c>
      <c r="J844" s="157" t="s">
        <v>1285</v>
      </c>
      <c r="K844" s="157" t="s">
        <v>1269</v>
      </c>
      <c r="L844" s="157" t="s">
        <v>1612</v>
      </c>
      <c r="M844" s="157" t="str">
        <f t="shared" si="23"/>
        <v>Instrument Cluster - Driver Information</v>
      </c>
      <c r="N844" s="157"/>
      <c r="O844" s="157"/>
      <c r="P844" s="159" t="s">
        <v>6578</v>
      </c>
      <c r="Q844" s="157"/>
      <c r="R844" s="157"/>
      <c r="S844" s="157"/>
      <c r="T844" s="157"/>
      <c r="U844" s="159" t="s">
        <v>2129</v>
      </c>
      <c r="V844" s="159" t="s">
        <v>2138</v>
      </c>
      <c r="W844" s="159" t="s">
        <v>2138</v>
      </c>
      <c r="X844" s="160">
        <v>0.7</v>
      </c>
      <c r="Y844" s="160">
        <v>0.7</v>
      </c>
      <c r="Z844" s="160">
        <v>0.5</v>
      </c>
      <c r="AA844" s="160">
        <v>0.5</v>
      </c>
    </row>
    <row r="845" spans="1:27" ht="18" customHeight="1" x14ac:dyDescent="0.25">
      <c r="A845" s="159">
        <v>3191</v>
      </c>
      <c r="B845" s="157" t="s">
        <v>63</v>
      </c>
      <c r="C845" s="157" t="s">
        <v>64</v>
      </c>
      <c r="D845" s="159" t="s">
        <v>673</v>
      </c>
      <c r="E845" s="157" t="s">
        <v>671</v>
      </c>
      <c r="F845" s="157"/>
      <c r="G845" s="157" t="s">
        <v>1265</v>
      </c>
      <c r="H845" s="157" t="s">
        <v>1612</v>
      </c>
      <c r="I845" s="157" t="s">
        <v>1613</v>
      </c>
      <c r="J845" s="157" t="s">
        <v>1285</v>
      </c>
      <c r="K845" s="157" t="s">
        <v>1269</v>
      </c>
      <c r="L845" s="157" t="s">
        <v>1612</v>
      </c>
      <c r="M845" s="157" t="str">
        <f t="shared" si="23"/>
        <v>Instrument Cluster - Driver Information</v>
      </c>
      <c r="N845" s="157"/>
      <c r="O845" s="157"/>
      <c r="P845" s="159" t="s">
        <v>6578</v>
      </c>
      <c r="Q845" s="157"/>
      <c r="R845" s="157"/>
      <c r="S845" s="157"/>
      <c r="T845" s="157"/>
      <c r="U845" s="159" t="s">
        <v>2129</v>
      </c>
      <c r="V845" s="159" t="s">
        <v>2138</v>
      </c>
      <c r="W845" s="159" t="s">
        <v>2138</v>
      </c>
      <c r="X845" s="160">
        <v>0.7</v>
      </c>
      <c r="Y845" s="160">
        <v>0.7</v>
      </c>
      <c r="Z845" s="160">
        <v>0.5</v>
      </c>
      <c r="AA845" s="160">
        <v>0.5</v>
      </c>
    </row>
    <row r="846" spans="1:27" ht="18" customHeight="1" x14ac:dyDescent="0.25">
      <c r="A846" s="159">
        <v>3191</v>
      </c>
      <c r="B846" s="157" t="s">
        <v>63</v>
      </c>
      <c r="C846" s="157" t="s">
        <v>64</v>
      </c>
      <c r="D846" s="159" t="s">
        <v>696</v>
      </c>
      <c r="E846" s="157" t="s">
        <v>694</v>
      </c>
      <c r="F846" s="157" t="s">
        <v>1264</v>
      </c>
      <c r="G846" s="157" t="s">
        <v>1265</v>
      </c>
      <c r="H846" s="157" t="s">
        <v>1612</v>
      </c>
      <c r="I846" s="157" t="s">
        <v>1613</v>
      </c>
      <c r="J846" s="157" t="s">
        <v>1285</v>
      </c>
      <c r="K846" s="157" t="s">
        <v>1269</v>
      </c>
      <c r="L846" s="157" t="s">
        <v>1612</v>
      </c>
      <c r="M846" s="157" t="str">
        <f t="shared" si="23"/>
        <v>Instrument Cluster - Driver Information</v>
      </c>
      <c r="N846" s="157"/>
      <c r="O846" s="157"/>
      <c r="P846" s="159" t="s">
        <v>6578</v>
      </c>
      <c r="Q846" s="157"/>
      <c r="R846" s="157"/>
      <c r="S846" s="157"/>
      <c r="T846" s="157"/>
      <c r="U846" s="159" t="s">
        <v>2129</v>
      </c>
      <c r="V846" s="159" t="s">
        <v>2138</v>
      </c>
      <c r="W846" s="159" t="s">
        <v>2138</v>
      </c>
      <c r="X846" s="160">
        <v>0.7</v>
      </c>
      <c r="Y846" s="160">
        <v>0.7</v>
      </c>
      <c r="Z846" s="160">
        <v>0.5</v>
      </c>
      <c r="AA846" s="160">
        <v>0.5</v>
      </c>
    </row>
    <row r="847" spans="1:27" ht="18" customHeight="1" x14ac:dyDescent="0.25">
      <c r="A847" s="159">
        <v>3191</v>
      </c>
      <c r="B847" s="157" t="s">
        <v>63</v>
      </c>
      <c r="C847" s="157" t="s">
        <v>64</v>
      </c>
      <c r="D847" s="159" t="s">
        <v>240</v>
      </c>
      <c r="E847" s="157" t="s">
        <v>735</v>
      </c>
      <c r="F847" s="157"/>
      <c r="G847" s="157" t="s">
        <v>1265</v>
      </c>
      <c r="H847" s="157" t="s">
        <v>1612</v>
      </c>
      <c r="I847" s="157" t="s">
        <v>1613</v>
      </c>
      <c r="J847" s="157" t="s">
        <v>1285</v>
      </c>
      <c r="K847" s="157" t="s">
        <v>1269</v>
      </c>
      <c r="L847" s="157" t="s">
        <v>1612</v>
      </c>
      <c r="M847" s="157" t="str">
        <f t="shared" si="23"/>
        <v>Instrument Cluster - Driver Information</v>
      </c>
      <c r="N847" s="157"/>
      <c r="O847" s="157"/>
      <c r="P847" s="159" t="s">
        <v>6578</v>
      </c>
      <c r="Q847" s="157"/>
      <c r="R847" s="157"/>
      <c r="S847" s="157"/>
      <c r="T847" s="157"/>
      <c r="U847" s="159" t="s">
        <v>2129</v>
      </c>
      <c r="V847" s="159" t="s">
        <v>2138</v>
      </c>
      <c r="W847" s="159" t="s">
        <v>2138</v>
      </c>
      <c r="X847" s="160">
        <v>0.7</v>
      </c>
      <c r="Y847" s="160">
        <v>0.7</v>
      </c>
      <c r="Z847" s="160">
        <v>0.5</v>
      </c>
      <c r="AA847" s="160">
        <v>0.5</v>
      </c>
    </row>
    <row r="848" spans="1:27" ht="18" customHeight="1" x14ac:dyDescent="0.25">
      <c r="A848" s="159">
        <v>3191</v>
      </c>
      <c r="B848" s="157" t="s">
        <v>63</v>
      </c>
      <c r="C848" s="157" t="s">
        <v>64</v>
      </c>
      <c r="D848" s="159" t="s">
        <v>752</v>
      </c>
      <c r="E848" s="157" t="s">
        <v>750</v>
      </c>
      <c r="F848" s="157"/>
      <c r="G848" s="157" t="s">
        <v>1265</v>
      </c>
      <c r="H848" s="157" t="s">
        <v>1612</v>
      </c>
      <c r="I848" s="157" t="s">
        <v>1613</v>
      </c>
      <c r="J848" s="157" t="s">
        <v>1285</v>
      </c>
      <c r="K848" s="157" t="s">
        <v>1269</v>
      </c>
      <c r="L848" s="157" t="s">
        <v>1612</v>
      </c>
      <c r="M848" s="157" t="str">
        <f t="shared" si="23"/>
        <v>Instrument Cluster - Driver Information</v>
      </c>
      <c r="N848" s="157"/>
      <c r="O848" s="157"/>
      <c r="P848" s="159" t="s">
        <v>6578</v>
      </c>
      <c r="Q848" s="157"/>
      <c r="R848" s="157"/>
      <c r="S848" s="157"/>
      <c r="T848" s="157"/>
      <c r="U848" s="159" t="s">
        <v>2129</v>
      </c>
      <c r="V848" s="159" t="s">
        <v>2138</v>
      </c>
      <c r="W848" s="159" t="s">
        <v>2138</v>
      </c>
      <c r="X848" s="160">
        <v>0.7</v>
      </c>
      <c r="Y848" s="160">
        <v>0.7</v>
      </c>
      <c r="Z848" s="160">
        <v>0.5</v>
      </c>
      <c r="AA848" s="160">
        <v>0.5</v>
      </c>
    </row>
    <row r="849" spans="1:27" ht="18" customHeight="1" x14ac:dyDescent="0.25">
      <c r="A849" s="159">
        <v>3191</v>
      </c>
      <c r="B849" s="157" t="s">
        <v>63</v>
      </c>
      <c r="C849" s="157" t="s">
        <v>64</v>
      </c>
      <c r="D849" s="159" t="s">
        <v>755</v>
      </c>
      <c r="E849" s="157" t="s">
        <v>753</v>
      </c>
      <c r="F849" s="157"/>
      <c r="G849" s="157" t="s">
        <v>1265</v>
      </c>
      <c r="H849" s="157" t="s">
        <v>1612</v>
      </c>
      <c r="I849" s="157" t="s">
        <v>1613</v>
      </c>
      <c r="J849" s="157" t="s">
        <v>1285</v>
      </c>
      <c r="K849" s="157" t="s">
        <v>1269</v>
      </c>
      <c r="L849" s="157" t="s">
        <v>1612</v>
      </c>
      <c r="M849" s="157" t="str">
        <f t="shared" si="23"/>
        <v>Instrument Cluster - Driver Information</v>
      </c>
      <c r="N849" s="157"/>
      <c r="O849" s="157"/>
      <c r="P849" s="159" t="s">
        <v>6578</v>
      </c>
      <c r="Q849" s="157"/>
      <c r="R849" s="157"/>
      <c r="S849" s="157"/>
      <c r="T849" s="157"/>
      <c r="U849" s="159" t="s">
        <v>2129</v>
      </c>
      <c r="V849" s="159" t="s">
        <v>2138</v>
      </c>
      <c r="W849" s="159" t="s">
        <v>2138</v>
      </c>
      <c r="X849" s="160">
        <v>0.7</v>
      </c>
      <c r="Y849" s="160">
        <v>0.7</v>
      </c>
      <c r="Z849" s="160">
        <v>0.5</v>
      </c>
      <c r="AA849" s="160">
        <v>0.5</v>
      </c>
    </row>
    <row r="850" spans="1:27" ht="18" customHeight="1" x14ac:dyDescent="0.25">
      <c r="A850" s="159">
        <v>3191</v>
      </c>
      <c r="B850" s="157" t="s">
        <v>63</v>
      </c>
      <c r="C850" s="157" t="s">
        <v>64</v>
      </c>
      <c r="D850" s="159" t="s">
        <v>758</v>
      </c>
      <c r="E850" s="157" t="s">
        <v>756</v>
      </c>
      <c r="F850" s="157" t="s">
        <v>1277</v>
      </c>
      <c r="G850" s="157" t="s">
        <v>1265</v>
      </c>
      <c r="H850" s="157" t="s">
        <v>1612</v>
      </c>
      <c r="I850" s="157" t="s">
        <v>1613</v>
      </c>
      <c r="J850" s="157" t="s">
        <v>1285</v>
      </c>
      <c r="K850" s="157" t="s">
        <v>1269</v>
      </c>
      <c r="L850" s="157" t="s">
        <v>1612</v>
      </c>
      <c r="M850" s="157" t="str">
        <f t="shared" si="23"/>
        <v>Instrument Cluster - Driver Information</v>
      </c>
      <c r="N850" s="157"/>
      <c r="O850" s="157"/>
      <c r="P850" s="159" t="s">
        <v>6578</v>
      </c>
      <c r="Q850" s="157"/>
      <c r="R850" s="157"/>
      <c r="S850" s="157"/>
      <c r="T850" s="157"/>
      <c r="U850" s="159" t="s">
        <v>2129</v>
      </c>
      <c r="V850" s="159" t="s">
        <v>2138</v>
      </c>
      <c r="W850" s="159" t="s">
        <v>2138</v>
      </c>
      <c r="X850" s="160">
        <v>0.7</v>
      </c>
      <c r="Y850" s="160">
        <v>0.7</v>
      </c>
      <c r="Z850" s="160">
        <v>0.5</v>
      </c>
      <c r="AA850" s="160">
        <v>0.5</v>
      </c>
    </row>
    <row r="851" spans="1:27" ht="18" customHeight="1" x14ac:dyDescent="0.25">
      <c r="A851" s="159">
        <v>3191</v>
      </c>
      <c r="B851" s="157" t="s">
        <v>63</v>
      </c>
      <c r="C851" s="157" t="s">
        <v>64</v>
      </c>
      <c r="D851" s="159" t="s">
        <v>770</v>
      </c>
      <c r="E851" s="157" t="s">
        <v>768</v>
      </c>
      <c r="F851" s="157" t="s">
        <v>1275</v>
      </c>
      <c r="G851" s="157" t="s">
        <v>1265</v>
      </c>
      <c r="H851" s="157" t="s">
        <v>1612</v>
      </c>
      <c r="I851" s="157" t="s">
        <v>1613</v>
      </c>
      <c r="J851" s="157" t="s">
        <v>1285</v>
      </c>
      <c r="K851" s="157" t="s">
        <v>1269</v>
      </c>
      <c r="L851" s="157" t="s">
        <v>1612</v>
      </c>
      <c r="M851" s="157" t="str">
        <f t="shared" si="23"/>
        <v>Instrument Cluster - Driver Information</v>
      </c>
      <c r="N851" s="157"/>
      <c r="O851" s="157"/>
      <c r="P851" s="159" t="s">
        <v>6578</v>
      </c>
      <c r="Q851" s="157"/>
      <c r="R851" s="157"/>
      <c r="S851" s="157"/>
      <c r="T851" s="157"/>
      <c r="U851" s="159" t="s">
        <v>2129</v>
      </c>
      <c r="V851" s="159" t="s">
        <v>2138</v>
      </c>
      <c r="W851" s="159" t="s">
        <v>2138</v>
      </c>
      <c r="X851" s="160">
        <v>0.7</v>
      </c>
      <c r="Y851" s="160">
        <v>0.7</v>
      </c>
      <c r="Z851" s="160">
        <v>0.5</v>
      </c>
      <c r="AA851" s="160">
        <v>0.5</v>
      </c>
    </row>
    <row r="852" spans="1:27" ht="18" customHeight="1" x14ac:dyDescent="0.25">
      <c r="A852" s="159">
        <v>3191</v>
      </c>
      <c r="B852" s="157" t="s">
        <v>63</v>
      </c>
      <c r="C852" s="157" t="s">
        <v>64</v>
      </c>
      <c r="D852" s="159" t="s">
        <v>872</v>
      </c>
      <c r="E852" s="157" t="s">
        <v>870</v>
      </c>
      <c r="F852" s="157" t="s">
        <v>1381</v>
      </c>
      <c r="G852" s="157" t="s">
        <v>1265</v>
      </c>
      <c r="H852" s="157" t="s">
        <v>1612</v>
      </c>
      <c r="I852" s="157" t="s">
        <v>1613</v>
      </c>
      <c r="J852" s="157" t="s">
        <v>1285</v>
      </c>
      <c r="K852" s="157" t="s">
        <v>1269</v>
      </c>
      <c r="L852" s="157" t="s">
        <v>1612</v>
      </c>
      <c r="M852" s="157" t="str">
        <f t="shared" si="23"/>
        <v>Instrument Cluster - Driver Information</v>
      </c>
      <c r="N852" s="157"/>
      <c r="O852" s="157"/>
      <c r="P852" s="159" t="s">
        <v>6578</v>
      </c>
      <c r="Q852" s="157"/>
      <c r="R852" s="157"/>
      <c r="S852" s="157"/>
      <c r="T852" s="157"/>
      <c r="U852" s="159" t="s">
        <v>2129</v>
      </c>
      <c r="V852" s="159" t="s">
        <v>2138</v>
      </c>
      <c r="W852" s="159" t="s">
        <v>2138</v>
      </c>
      <c r="X852" s="160">
        <v>0.7</v>
      </c>
      <c r="Y852" s="160">
        <v>0.7</v>
      </c>
      <c r="Z852" s="160">
        <v>0.5</v>
      </c>
      <c r="AA852" s="160">
        <v>0.5</v>
      </c>
    </row>
    <row r="853" spans="1:27" ht="18" customHeight="1" x14ac:dyDescent="0.25">
      <c r="A853" s="159">
        <v>3191</v>
      </c>
      <c r="B853" s="157" t="s">
        <v>63</v>
      </c>
      <c r="C853" s="157" t="s">
        <v>64</v>
      </c>
      <c r="D853" s="159" t="s">
        <v>875</v>
      </c>
      <c r="E853" s="157" t="s">
        <v>873</v>
      </c>
      <c r="F853" s="157"/>
      <c r="G853" s="157" t="s">
        <v>1265</v>
      </c>
      <c r="H853" s="157" t="s">
        <v>1612</v>
      </c>
      <c r="I853" s="157" t="s">
        <v>1613</v>
      </c>
      <c r="J853" s="157" t="s">
        <v>1285</v>
      </c>
      <c r="K853" s="157" t="s">
        <v>1269</v>
      </c>
      <c r="L853" s="157" t="s">
        <v>1612</v>
      </c>
      <c r="M853" s="157" t="str">
        <f t="shared" si="23"/>
        <v>Instrument Cluster - Driver Information</v>
      </c>
      <c r="N853" s="157"/>
      <c r="O853" s="157"/>
      <c r="P853" s="159" t="s">
        <v>6578</v>
      </c>
      <c r="Q853" s="157"/>
      <c r="R853" s="157"/>
      <c r="S853" s="157"/>
      <c r="T853" s="157"/>
      <c r="U853" s="159" t="s">
        <v>2129</v>
      </c>
      <c r="V853" s="159" t="s">
        <v>2138</v>
      </c>
      <c r="W853" s="159" t="s">
        <v>2138</v>
      </c>
      <c r="X853" s="160">
        <v>0.7</v>
      </c>
      <c r="Y853" s="160">
        <v>0.7</v>
      </c>
      <c r="Z853" s="160">
        <v>0.5</v>
      </c>
      <c r="AA853" s="160">
        <v>0.5</v>
      </c>
    </row>
    <row r="854" spans="1:27" ht="18" customHeight="1" x14ac:dyDescent="0.25">
      <c r="A854" s="159">
        <v>3191</v>
      </c>
      <c r="B854" s="157" t="s">
        <v>63</v>
      </c>
      <c r="C854" s="157" t="s">
        <v>64</v>
      </c>
      <c r="D854" s="159" t="s">
        <v>878</v>
      </c>
      <c r="E854" s="157" t="s">
        <v>876</v>
      </c>
      <c r="F854" s="157" t="s">
        <v>1275</v>
      </c>
      <c r="G854" s="157" t="s">
        <v>1265</v>
      </c>
      <c r="H854" s="157" t="s">
        <v>1612</v>
      </c>
      <c r="I854" s="157" t="s">
        <v>1613</v>
      </c>
      <c r="J854" s="157" t="s">
        <v>1285</v>
      </c>
      <c r="K854" s="157" t="s">
        <v>1269</v>
      </c>
      <c r="L854" s="157" t="s">
        <v>1612</v>
      </c>
      <c r="M854" s="157" t="str">
        <f t="shared" si="23"/>
        <v>Instrument Cluster - Driver Information</v>
      </c>
      <c r="N854" s="157"/>
      <c r="O854" s="157"/>
      <c r="P854" s="159" t="s">
        <v>6578</v>
      </c>
      <c r="Q854" s="157"/>
      <c r="R854" s="157"/>
      <c r="S854" s="157"/>
      <c r="T854" s="157"/>
      <c r="U854" s="159" t="s">
        <v>2129</v>
      </c>
      <c r="V854" s="159" t="s">
        <v>2138</v>
      </c>
      <c r="W854" s="159" t="s">
        <v>2138</v>
      </c>
      <c r="X854" s="160">
        <v>0.7</v>
      </c>
      <c r="Y854" s="160">
        <v>0.7</v>
      </c>
      <c r="Z854" s="160">
        <v>0.5</v>
      </c>
      <c r="AA854" s="160">
        <v>0.5</v>
      </c>
    </row>
    <row r="855" spans="1:27" ht="18" customHeight="1" x14ac:dyDescent="0.25">
      <c r="A855" s="159">
        <v>3191</v>
      </c>
      <c r="B855" s="157" t="s">
        <v>63</v>
      </c>
      <c r="C855" s="157" t="s">
        <v>64</v>
      </c>
      <c r="D855" s="159" t="s">
        <v>881</v>
      </c>
      <c r="E855" s="157" t="s">
        <v>879</v>
      </c>
      <c r="F855" s="157" t="s">
        <v>1264</v>
      </c>
      <c r="G855" s="157" t="s">
        <v>1265</v>
      </c>
      <c r="H855" s="157" t="s">
        <v>1612</v>
      </c>
      <c r="I855" s="157" t="s">
        <v>1613</v>
      </c>
      <c r="J855" s="157" t="s">
        <v>1285</v>
      </c>
      <c r="K855" s="157" t="s">
        <v>1269</v>
      </c>
      <c r="L855" s="157" t="s">
        <v>1612</v>
      </c>
      <c r="M855" s="157" t="str">
        <f t="shared" si="23"/>
        <v>Instrument Cluster - Driver Information</v>
      </c>
      <c r="N855" s="157"/>
      <c r="O855" s="157"/>
      <c r="P855" s="159" t="s">
        <v>6578</v>
      </c>
      <c r="Q855" s="157"/>
      <c r="R855" s="157"/>
      <c r="S855" s="157"/>
      <c r="T855" s="157"/>
      <c r="U855" s="159" t="s">
        <v>2129</v>
      </c>
      <c r="V855" s="159" t="s">
        <v>2138</v>
      </c>
      <c r="W855" s="159" t="s">
        <v>2138</v>
      </c>
      <c r="X855" s="160">
        <v>0.7</v>
      </c>
      <c r="Y855" s="160">
        <v>0.7</v>
      </c>
      <c r="Z855" s="160">
        <v>0.5</v>
      </c>
      <c r="AA855" s="160">
        <v>0.5</v>
      </c>
    </row>
    <row r="856" spans="1:27" ht="18" customHeight="1" x14ac:dyDescent="0.25">
      <c r="A856" s="159">
        <v>3191</v>
      </c>
      <c r="B856" s="157" t="s">
        <v>63</v>
      </c>
      <c r="C856" s="157" t="s">
        <v>64</v>
      </c>
      <c r="D856" s="159" t="s">
        <v>923</v>
      </c>
      <c r="E856" s="157" t="s">
        <v>921</v>
      </c>
      <c r="F856" s="157" t="s">
        <v>1298</v>
      </c>
      <c r="G856" s="157" t="s">
        <v>1265</v>
      </c>
      <c r="H856" s="157" t="s">
        <v>1612</v>
      </c>
      <c r="I856" s="157" t="s">
        <v>1613</v>
      </c>
      <c r="J856" s="157" t="s">
        <v>1285</v>
      </c>
      <c r="K856" s="157" t="s">
        <v>1269</v>
      </c>
      <c r="L856" s="157" t="s">
        <v>1612</v>
      </c>
      <c r="M856" s="157" t="str">
        <f t="shared" si="23"/>
        <v>Instrument Cluster - Driver Information</v>
      </c>
      <c r="N856" s="157"/>
      <c r="O856" s="157"/>
      <c r="P856" s="159" t="s">
        <v>6578</v>
      </c>
      <c r="Q856" s="157"/>
      <c r="R856" s="157"/>
      <c r="S856" s="157"/>
      <c r="T856" s="157"/>
      <c r="U856" s="159" t="s">
        <v>2129</v>
      </c>
      <c r="V856" s="159" t="s">
        <v>2138</v>
      </c>
      <c r="W856" s="159" t="s">
        <v>2138</v>
      </c>
      <c r="X856" s="160">
        <v>0.7</v>
      </c>
      <c r="Y856" s="160">
        <v>0.7</v>
      </c>
      <c r="Z856" s="160">
        <v>0.5</v>
      </c>
      <c r="AA856" s="160">
        <v>0.5</v>
      </c>
    </row>
    <row r="857" spans="1:27" ht="18" customHeight="1" x14ac:dyDescent="0.25">
      <c r="A857" s="159">
        <v>3191</v>
      </c>
      <c r="B857" s="157" t="s">
        <v>63</v>
      </c>
      <c r="C857" s="157" t="s">
        <v>64</v>
      </c>
      <c r="D857" s="159" t="s">
        <v>926</v>
      </c>
      <c r="E857" s="157" t="s">
        <v>924</v>
      </c>
      <c r="F857" s="157"/>
      <c r="G857" s="157" t="s">
        <v>1265</v>
      </c>
      <c r="H857" s="157" t="s">
        <v>1612</v>
      </c>
      <c r="I857" s="157" t="s">
        <v>1613</v>
      </c>
      <c r="J857" s="157" t="s">
        <v>1285</v>
      </c>
      <c r="K857" s="157" t="s">
        <v>1269</v>
      </c>
      <c r="L857" s="157" t="s">
        <v>1612</v>
      </c>
      <c r="M857" s="157" t="str">
        <f t="shared" si="23"/>
        <v>Instrument Cluster - Driver Information</v>
      </c>
      <c r="N857" s="157"/>
      <c r="O857" s="157"/>
      <c r="P857" s="159" t="s">
        <v>6578</v>
      </c>
      <c r="Q857" s="157"/>
      <c r="R857" s="157"/>
      <c r="S857" s="157"/>
      <c r="T857" s="157"/>
      <c r="U857" s="159" t="s">
        <v>2129</v>
      </c>
      <c r="V857" s="159" t="s">
        <v>2138</v>
      </c>
      <c r="W857" s="159" t="s">
        <v>2138</v>
      </c>
      <c r="X857" s="160">
        <v>0.7</v>
      </c>
      <c r="Y857" s="160">
        <v>0.7</v>
      </c>
      <c r="Z857" s="160">
        <v>0.5</v>
      </c>
      <c r="AA857" s="160">
        <v>0.5</v>
      </c>
    </row>
    <row r="858" spans="1:27" ht="18" customHeight="1" x14ac:dyDescent="0.25">
      <c r="A858" s="159">
        <v>3191</v>
      </c>
      <c r="B858" s="157" t="s">
        <v>63</v>
      </c>
      <c r="C858" s="157" t="s">
        <v>64</v>
      </c>
      <c r="D858" s="159" t="s">
        <v>1147</v>
      </c>
      <c r="E858" s="157" t="s">
        <v>1145</v>
      </c>
      <c r="F858" s="157"/>
      <c r="G858" s="157" t="s">
        <v>1265</v>
      </c>
      <c r="H858" s="157" t="s">
        <v>1612</v>
      </c>
      <c r="I858" s="157" t="s">
        <v>1613</v>
      </c>
      <c r="J858" s="157" t="s">
        <v>1285</v>
      </c>
      <c r="K858" s="157" t="s">
        <v>1269</v>
      </c>
      <c r="L858" s="157" t="s">
        <v>1612</v>
      </c>
      <c r="M858" s="157" t="str">
        <f t="shared" si="23"/>
        <v>Instrument Cluster - Driver Information</v>
      </c>
      <c r="N858" s="157"/>
      <c r="O858" s="157"/>
      <c r="P858" s="159" t="s">
        <v>6578</v>
      </c>
      <c r="Q858" s="157"/>
      <c r="R858" s="157"/>
      <c r="S858" s="157"/>
      <c r="T858" s="157"/>
      <c r="U858" s="159" t="s">
        <v>2129</v>
      </c>
      <c r="V858" s="159" t="s">
        <v>2138</v>
      </c>
      <c r="W858" s="159" t="s">
        <v>2138</v>
      </c>
      <c r="X858" s="160">
        <v>0.7</v>
      </c>
      <c r="Y858" s="160">
        <v>0.7</v>
      </c>
      <c r="Z858" s="160">
        <v>0.5</v>
      </c>
      <c r="AA858" s="160">
        <v>0.5</v>
      </c>
    </row>
    <row r="859" spans="1:27" ht="18" customHeight="1" x14ac:dyDescent="0.25">
      <c r="A859" s="159">
        <v>3191</v>
      </c>
      <c r="B859" s="157" t="s">
        <v>280</v>
      </c>
      <c r="C859" s="157" t="s">
        <v>1241</v>
      </c>
      <c r="D859" s="159" t="s">
        <v>1244</v>
      </c>
      <c r="E859" s="157" t="s">
        <v>1242</v>
      </c>
      <c r="F859" s="157"/>
      <c r="G859" s="157" t="s">
        <v>1265</v>
      </c>
      <c r="H859" s="157" t="s">
        <v>1612</v>
      </c>
      <c r="I859" s="157" t="s">
        <v>1613</v>
      </c>
      <c r="J859" s="157" t="s">
        <v>1285</v>
      </c>
      <c r="K859" s="157" t="s">
        <v>1269</v>
      </c>
      <c r="L859" s="157" t="s">
        <v>1612</v>
      </c>
      <c r="M859" s="157" t="str">
        <f t="shared" si="23"/>
        <v>Instrument Cluster - Driver Information</v>
      </c>
      <c r="N859" s="157"/>
      <c r="O859" s="157"/>
      <c r="P859" s="159" t="s">
        <v>6578</v>
      </c>
      <c r="Q859" s="157"/>
      <c r="R859" s="157"/>
      <c r="S859" s="157"/>
      <c r="T859" s="157"/>
      <c r="U859" s="159" t="s">
        <v>2129</v>
      </c>
      <c r="V859" s="159" t="s">
        <v>2138</v>
      </c>
      <c r="W859" s="159" t="s">
        <v>2138</v>
      </c>
      <c r="X859" s="160">
        <v>0.7</v>
      </c>
      <c r="Y859" s="160">
        <v>0.7</v>
      </c>
      <c r="Z859" s="160">
        <v>0.5</v>
      </c>
      <c r="AA859" s="160">
        <v>0.5</v>
      </c>
    </row>
    <row r="860" spans="1:27" ht="18" customHeight="1" x14ac:dyDescent="0.25">
      <c r="A860" s="159">
        <v>3191</v>
      </c>
      <c r="B860" s="157" t="s">
        <v>280</v>
      </c>
      <c r="C860" s="157" t="s">
        <v>337</v>
      </c>
      <c r="D860" s="159" t="s">
        <v>340</v>
      </c>
      <c r="E860" s="157" t="s">
        <v>338</v>
      </c>
      <c r="F860" s="157" t="s">
        <v>1264</v>
      </c>
      <c r="G860" s="157" t="s">
        <v>1265</v>
      </c>
      <c r="H860" s="157" t="s">
        <v>1612</v>
      </c>
      <c r="I860" s="157" t="s">
        <v>1613</v>
      </c>
      <c r="J860" s="157" t="s">
        <v>1285</v>
      </c>
      <c r="K860" s="157" t="s">
        <v>1269</v>
      </c>
      <c r="L860" s="157" t="s">
        <v>1612</v>
      </c>
      <c r="M860" s="157" t="str">
        <f t="shared" si="23"/>
        <v>Instrument Cluster - Driver Information</v>
      </c>
      <c r="N860" s="157"/>
      <c r="O860" s="157"/>
      <c r="P860" s="159" t="s">
        <v>6578</v>
      </c>
      <c r="Q860" s="157"/>
      <c r="R860" s="157"/>
      <c r="S860" s="157"/>
      <c r="T860" s="157"/>
      <c r="U860" s="159" t="s">
        <v>2129</v>
      </c>
      <c r="V860" s="159" t="s">
        <v>2138</v>
      </c>
      <c r="W860" s="159" t="s">
        <v>2138</v>
      </c>
      <c r="X860" s="160">
        <v>0.7</v>
      </c>
      <c r="Y860" s="160">
        <v>0.7</v>
      </c>
      <c r="Z860" s="160">
        <v>0.5</v>
      </c>
      <c r="AA860" s="160">
        <v>0.5</v>
      </c>
    </row>
    <row r="861" spans="1:27" ht="18" customHeight="1" x14ac:dyDescent="0.25">
      <c r="A861" s="159">
        <v>3191</v>
      </c>
      <c r="B861" s="157" t="s">
        <v>266</v>
      </c>
      <c r="C861" s="157" t="s">
        <v>267</v>
      </c>
      <c r="D861" s="159" t="s">
        <v>270</v>
      </c>
      <c r="E861" s="157" t="s">
        <v>268</v>
      </c>
      <c r="F861" s="157"/>
      <c r="G861" s="157" t="s">
        <v>1265</v>
      </c>
      <c r="H861" s="157" t="s">
        <v>1612</v>
      </c>
      <c r="I861" s="157" t="s">
        <v>1613</v>
      </c>
      <c r="J861" s="157" t="s">
        <v>1285</v>
      </c>
      <c r="K861" s="157" t="s">
        <v>1269</v>
      </c>
      <c r="L861" s="157" t="s">
        <v>1612</v>
      </c>
      <c r="M861" s="157" t="str">
        <f t="shared" si="23"/>
        <v>Instrument Cluster - Driver Information</v>
      </c>
      <c r="N861" s="157"/>
      <c r="O861" s="157"/>
      <c r="P861" s="159" t="s">
        <v>6578</v>
      </c>
      <c r="Q861" s="157"/>
      <c r="R861" s="157"/>
      <c r="S861" s="157"/>
      <c r="T861" s="157"/>
      <c r="U861" s="159" t="s">
        <v>2129</v>
      </c>
      <c r="V861" s="159" t="s">
        <v>2138</v>
      </c>
      <c r="W861" s="159" t="s">
        <v>2138</v>
      </c>
      <c r="X861" s="160">
        <v>0.7</v>
      </c>
      <c r="Y861" s="160">
        <v>0.7</v>
      </c>
      <c r="Z861" s="160">
        <v>0.5</v>
      </c>
      <c r="AA861" s="160">
        <v>0.5</v>
      </c>
    </row>
    <row r="862" spans="1:27" ht="18" customHeight="1" x14ac:dyDescent="0.25">
      <c r="A862" s="159">
        <v>3191</v>
      </c>
      <c r="B862" s="157" t="s">
        <v>318</v>
      </c>
      <c r="C862" s="157" t="s">
        <v>433</v>
      </c>
      <c r="D862" s="159" t="s">
        <v>336</v>
      </c>
      <c r="E862" s="157" t="s">
        <v>1231</v>
      </c>
      <c r="F862" s="157" t="s">
        <v>1264</v>
      </c>
      <c r="G862" s="157" t="s">
        <v>1265</v>
      </c>
      <c r="H862" s="157" t="s">
        <v>1612</v>
      </c>
      <c r="I862" s="157" t="s">
        <v>1613</v>
      </c>
      <c r="J862" s="157" t="s">
        <v>1285</v>
      </c>
      <c r="K862" s="157" t="s">
        <v>1269</v>
      </c>
      <c r="L862" s="157" t="s">
        <v>1612</v>
      </c>
      <c r="M862" s="157" t="str">
        <f t="shared" si="23"/>
        <v>Instrument Cluster - Driver Information</v>
      </c>
      <c r="N862" s="157"/>
      <c r="O862" s="157"/>
      <c r="P862" s="159" t="s">
        <v>6578</v>
      </c>
      <c r="Q862" s="157"/>
      <c r="R862" s="157"/>
      <c r="S862" s="157"/>
      <c r="T862" s="157"/>
      <c r="U862" s="159" t="s">
        <v>2129</v>
      </c>
      <c r="V862" s="159" t="s">
        <v>2138</v>
      </c>
      <c r="W862" s="159" t="s">
        <v>2138</v>
      </c>
      <c r="X862" s="160">
        <v>0.7</v>
      </c>
      <c r="Y862" s="160">
        <v>0.7</v>
      </c>
      <c r="Z862" s="160">
        <v>0.5</v>
      </c>
      <c r="AA862" s="160">
        <v>0.5</v>
      </c>
    </row>
    <row r="863" spans="1:27" ht="18" customHeight="1" x14ac:dyDescent="0.25">
      <c r="A863" s="159">
        <v>3210</v>
      </c>
      <c r="B863" s="164" t="s">
        <v>266</v>
      </c>
      <c r="C863" s="164" t="s">
        <v>276</v>
      </c>
      <c r="D863" s="159" t="s">
        <v>303</v>
      </c>
      <c r="E863" s="164" t="s">
        <v>301</v>
      </c>
      <c r="F863" s="159"/>
      <c r="G863" s="157" t="s">
        <v>1349</v>
      </c>
      <c r="H863" s="157" t="s">
        <v>1350</v>
      </c>
      <c r="I863" s="157" t="s">
        <v>2060</v>
      </c>
      <c r="J863" s="157" t="s">
        <v>8298</v>
      </c>
      <c r="K863" s="157" t="s">
        <v>1554</v>
      </c>
      <c r="L863" s="157" t="s">
        <v>2059</v>
      </c>
      <c r="M863" s="157" t="str">
        <f t="shared" si="23"/>
        <v>Short/Mid Range Radar FL / Radar +8° - Distance Measurements</v>
      </c>
      <c r="N863" s="157"/>
      <c r="O863" s="157"/>
      <c r="P863" s="159" t="s">
        <v>3498</v>
      </c>
      <c r="Q863" s="157" t="s">
        <v>2115</v>
      </c>
      <c r="R863" s="157" t="s">
        <v>9535</v>
      </c>
      <c r="S863" s="157" t="s">
        <v>9536</v>
      </c>
      <c r="T863" s="157"/>
      <c r="U863" s="159" t="s">
        <v>2129</v>
      </c>
      <c r="V863" s="159" t="s">
        <v>2129</v>
      </c>
      <c r="W863" s="159" t="s">
        <v>2138</v>
      </c>
      <c r="X863" s="160">
        <v>1</v>
      </c>
      <c r="Y863" s="160">
        <v>1</v>
      </c>
      <c r="Z863" s="160">
        <v>1</v>
      </c>
      <c r="AA863" s="160">
        <v>1</v>
      </c>
    </row>
    <row r="864" spans="1:27" ht="18" customHeight="1" x14ac:dyDescent="0.25">
      <c r="A864" s="159">
        <v>3210</v>
      </c>
      <c r="B864" s="164" t="s">
        <v>266</v>
      </c>
      <c r="C864" s="164" t="s">
        <v>276</v>
      </c>
      <c r="D864" s="159" t="s">
        <v>310</v>
      </c>
      <c r="E864" s="164" t="s">
        <v>308</v>
      </c>
      <c r="F864" s="159"/>
      <c r="G864" s="157" t="s">
        <v>1349</v>
      </c>
      <c r="H864" s="157" t="s">
        <v>1350</v>
      </c>
      <c r="I864" s="157" t="s">
        <v>2060</v>
      </c>
      <c r="J864" s="157" t="s">
        <v>8298</v>
      </c>
      <c r="K864" s="157" t="s">
        <v>1554</v>
      </c>
      <c r="L864" s="157" t="s">
        <v>2059</v>
      </c>
      <c r="M864" s="157" t="str">
        <f t="shared" si="23"/>
        <v>Short/Mid Range Radar FL / Radar +8° - Distance Measurements</v>
      </c>
      <c r="N864" s="157"/>
      <c r="O864" s="157"/>
      <c r="P864" s="159" t="s">
        <v>3498</v>
      </c>
      <c r="Q864" s="157" t="s">
        <v>2115</v>
      </c>
      <c r="R864" s="157" t="s">
        <v>9535</v>
      </c>
      <c r="S864" s="157" t="s">
        <v>9536</v>
      </c>
      <c r="T864" s="157"/>
      <c r="U864" s="159" t="s">
        <v>2129</v>
      </c>
      <c r="V864" s="159" t="s">
        <v>2129</v>
      </c>
      <c r="W864" s="159" t="s">
        <v>2138</v>
      </c>
      <c r="X864" s="160">
        <v>1</v>
      </c>
      <c r="Y864" s="160">
        <v>1</v>
      </c>
      <c r="Z864" s="160">
        <v>1</v>
      </c>
      <c r="AA864" s="160">
        <v>1</v>
      </c>
    </row>
    <row r="865" spans="1:27" ht="18" customHeight="1" x14ac:dyDescent="0.25">
      <c r="A865" s="159">
        <v>3210</v>
      </c>
      <c r="B865" s="164" t="s">
        <v>266</v>
      </c>
      <c r="C865" s="164" t="s">
        <v>276</v>
      </c>
      <c r="D865" s="159" t="s">
        <v>686</v>
      </c>
      <c r="E865" s="164" t="s">
        <v>684</v>
      </c>
      <c r="F865" s="159"/>
      <c r="G865" s="157" t="s">
        <v>1349</v>
      </c>
      <c r="H865" s="157" t="s">
        <v>1350</v>
      </c>
      <c r="I865" s="157" t="s">
        <v>2060</v>
      </c>
      <c r="J865" s="157" t="s">
        <v>8298</v>
      </c>
      <c r="K865" s="157" t="s">
        <v>1554</v>
      </c>
      <c r="L865" s="157" t="s">
        <v>2059</v>
      </c>
      <c r="M865" s="157" t="str">
        <f t="shared" si="23"/>
        <v>Short/Mid Range Radar FL / Radar +8° - Distance Measurements</v>
      </c>
      <c r="N865" s="157"/>
      <c r="O865" s="157"/>
      <c r="P865" s="159" t="s">
        <v>3498</v>
      </c>
      <c r="Q865" s="157" t="s">
        <v>2115</v>
      </c>
      <c r="R865" s="157" t="s">
        <v>9535</v>
      </c>
      <c r="S865" s="157" t="s">
        <v>9536</v>
      </c>
      <c r="T865" s="157"/>
      <c r="U865" s="159" t="s">
        <v>2129</v>
      </c>
      <c r="V865" s="159" t="s">
        <v>2129</v>
      </c>
      <c r="W865" s="159" t="s">
        <v>2138</v>
      </c>
      <c r="X865" s="160">
        <v>1</v>
      </c>
      <c r="Y865" s="160">
        <v>1</v>
      </c>
      <c r="Z865" s="160">
        <v>1</v>
      </c>
      <c r="AA865" s="160">
        <v>1</v>
      </c>
    </row>
    <row r="866" spans="1:27" ht="18" customHeight="1" x14ac:dyDescent="0.25">
      <c r="A866" s="159">
        <v>3210</v>
      </c>
      <c r="B866" s="164" t="s">
        <v>266</v>
      </c>
      <c r="C866" s="164" t="s">
        <v>276</v>
      </c>
      <c r="D866" s="159" t="s">
        <v>726</v>
      </c>
      <c r="E866" s="164" t="s">
        <v>724</v>
      </c>
      <c r="F866" s="159"/>
      <c r="G866" s="157" t="s">
        <v>1349</v>
      </c>
      <c r="H866" s="157" t="s">
        <v>1350</v>
      </c>
      <c r="I866" s="157" t="s">
        <v>2060</v>
      </c>
      <c r="J866" s="157" t="s">
        <v>8298</v>
      </c>
      <c r="K866" s="157" t="s">
        <v>1554</v>
      </c>
      <c r="L866" s="157" t="s">
        <v>2059</v>
      </c>
      <c r="M866" s="157" t="str">
        <f t="shared" si="23"/>
        <v>Short/Mid Range Radar FL / Radar +8° - Distance Measurements</v>
      </c>
      <c r="N866" s="157"/>
      <c r="O866" s="157"/>
      <c r="P866" s="159" t="s">
        <v>3498</v>
      </c>
      <c r="Q866" s="157" t="s">
        <v>2115</v>
      </c>
      <c r="R866" s="157" t="s">
        <v>9535</v>
      </c>
      <c r="S866" s="157" t="s">
        <v>9536</v>
      </c>
      <c r="T866" s="157"/>
      <c r="U866" s="159" t="s">
        <v>2129</v>
      </c>
      <c r="V866" s="159" t="s">
        <v>2129</v>
      </c>
      <c r="W866" s="159" t="s">
        <v>2138</v>
      </c>
      <c r="X866" s="160">
        <v>1</v>
      </c>
      <c r="Y866" s="160">
        <v>1</v>
      </c>
      <c r="Z866" s="160">
        <v>1</v>
      </c>
      <c r="AA866" s="160">
        <v>1</v>
      </c>
    </row>
    <row r="867" spans="1:27" ht="18" customHeight="1" x14ac:dyDescent="0.25">
      <c r="A867" s="159">
        <v>3210</v>
      </c>
      <c r="B867" s="164" t="s">
        <v>266</v>
      </c>
      <c r="C867" s="164" t="s">
        <v>276</v>
      </c>
      <c r="D867" s="159" t="s">
        <v>304</v>
      </c>
      <c r="E867" s="164" t="s">
        <v>1239</v>
      </c>
      <c r="F867" s="159"/>
      <c r="G867" s="157" t="s">
        <v>1349</v>
      </c>
      <c r="H867" s="157" t="s">
        <v>1350</v>
      </c>
      <c r="I867" s="157" t="s">
        <v>2060</v>
      </c>
      <c r="J867" s="157" t="s">
        <v>8298</v>
      </c>
      <c r="K867" s="157" t="s">
        <v>1554</v>
      </c>
      <c r="L867" s="157" t="s">
        <v>2059</v>
      </c>
      <c r="M867" s="157" t="str">
        <f t="shared" si="23"/>
        <v>Short/Mid Range Radar FL / Radar +8° - Distance Measurements</v>
      </c>
      <c r="N867" s="157"/>
      <c r="O867" s="157"/>
      <c r="P867" s="159" t="s">
        <v>3498</v>
      </c>
      <c r="Q867" s="157" t="s">
        <v>2115</v>
      </c>
      <c r="R867" s="157" t="s">
        <v>9535</v>
      </c>
      <c r="S867" s="157" t="s">
        <v>9536</v>
      </c>
      <c r="T867" s="157"/>
      <c r="U867" s="159" t="s">
        <v>2129</v>
      </c>
      <c r="V867" s="159" t="s">
        <v>2129</v>
      </c>
      <c r="W867" s="159" t="s">
        <v>2138</v>
      </c>
      <c r="X867" s="160">
        <v>1</v>
      </c>
      <c r="Y867" s="160">
        <v>1</v>
      </c>
      <c r="Z867" s="160">
        <v>1</v>
      </c>
      <c r="AA867" s="160">
        <v>1</v>
      </c>
    </row>
    <row r="868" spans="1:27" ht="18" customHeight="1" x14ac:dyDescent="0.25">
      <c r="A868" s="159">
        <v>3210</v>
      </c>
      <c r="B868" s="164" t="s">
        <v>266</v>
      </c>
      <c r="C868" s="164" t="s">
        <v>1196</v>
      </c>
      <c r="D868" s="159" t="s">
        <v>1203</v>
      </c>
      <c r="E868" s="164" t="s">
        <v>1201</v>
      </c>
      <c r="F868" s="159"/>
      <c r="G868" s="157" t="s">
        <v>1349</v>
      </c>
      <c r="H868" s="157" t="s">
        <v>1350</v>
      </c>
      <c r="I868" s="157" t="s">
        <v>2060</v>
      </c>
      <c r="J868" s="157" t="s">
        <v>8298</v>
      </c>
      <c r="K868" s="157" t="s">
        <v>1554</v>
      </c>
      <c r="L868" s="157" t="s">
        <v>2059</v>
      </c>
      <c r="M868" s="157" t="str">
        <f t="shared" si="23"/>
        <v>Short/Mid Range Radar FL / Radar +8° - Distance Measurements</v>
      </c>
      <c r="N868" s="157"/>
      <c r="O868" s="157"/>
      <c r="P868" s="159" t="s">
        <v>3498</v>
      </c>
      <c r="Q868" s="157" t="s">
        <v>2115</v>
      </c>
      <c r="R868" s="157" t="s">
        <v>9535</v>
      </c>
      <c r="S868" s="157" t="s">
        <v>9536</v>
      </c>
      <c r="T868" s="157"/>
      <c r="U868" s="159" t="s">
        <v>2129</v>
      </c>
      <c r="V868" s="159" t="s">
        <v>2129</v>
      </c>
      <c r="W868" s="159" t="s">
        <v>2138</v>
      </c>
      <c r="X868" s="160">
        <v>1</v>
      </c>
      <c r="Y868" s="160">
        <v>1</v>
      </c>
      <c r="Z868" s="160">
        <v>1</v>
      </c>
      <c r="AA868" s="160">
        <v>1</v>
      </c>
    </row>
    <row r="869" spans="1:27" ht="18" customHeight="1" x14ac:dyDescent="0.25">
      <c r="A869" s="159">
        <v>3210</v>
      </c>
      <c r="B869" s="164" t="s">
        <v>266</v>
      </c>
      <c r="C869" s="164" t="s">
        <v>267</v>
      </c>
      <c r="D869" s="159" t="s">
        <v>270</v>
      </c>
      <c r="E869" s="164" t="s">
        <v>268</v>
      </c>
      <c r="F869" s="159"/>
      <c r="G869" s="157" t="s">
        <v>1349</v>
      </c>
      <c r="H869" s="157" t="s">
        <v>1350</v>
      </c>
      <c r="I869" s="157" t="s">
        <v>2060</v>
      </c>
      <c r="J869" s="157" t="s">
        <v>8298</v>
      </c>
      <c r="K869" s="157" t="s">
        <v>1554</v>
      </c>
      <c r="L869" s="157" t="s">
        <v>2059</v>
      </c>
      <c r="M869" s="157" t="str">
        <f t="shared" si="23"/>
        <v>Short/Mid Range Radar FL / Radar +8° - Distance Measurements</v>
      </c>
      <c r="N869" s="157"/>
      <c r="O869" s="157"/>
      <c r="P869" s="159" t="s">
        <v>3498</v>
      </c>
      <c r="Q869" s="157" t="s">
        <v>2115</v>
      </c>
      <c r="R869" s="157" t="s">
        <v>9535</v>
      </c>
      <c r="S869" s="157" t="s">
        <v>9536</v>
      </c>
      <c r="T869" s="157"/>
      <c r="U869" s="159" t="s">
        <v>2129</v>
      </c>
      <c r="V869" s="159" t="s">
        <v>2129</v>
      </c>
      <c r="W869" s="159" t="s">
        <v>2138</v>
      </c>
      <c r="X869" s="160">
        <v>1</v>
      </c>
      <c r="Y869" s="160">
        <v>1</v>
      </c>
      <c r="Z869" s="160">
        <v>1</v>
      </c>
      <c r="AA869" s="160">
        <v>1</v>
      </c>
    </row>
    <row r="870" spans="1:27" ht="18" customHeight="1" x14ac:dyDescent="0.25">
      <c r="A870" s="159">
        <v>3210</v>
      </c>
      <c r="B870" s="164" t="s">
        <v>266</v>
      </c>
      <c r="C870" s="164" t="s">
        <v>267</v>
      </c>
      <c r="D870" s="159" t="s">
        <v>951</v>
      </c>
      <c r="E870" s="164" t="s">
        <v>949</v>
      </c>
      <c r="F870" s="159"/>
      <c r="G870" s="157" t="s">
        <v>1349</v>
      </c>
      <c r="H870" s="157" t="s">
        <v>1350</v>
      </c>
      <c r="I870" s="157" t="s">
        <v>2060</v>
      </c>
      <c r="J870" s="157" t="s">
        <v>8298</v>
      </c>
      <c r="K870" s="157" t="s">
        <v>1554</v>
      </c>
      <c r="L870" s="157" t="s">
        <v>2059</v>
      </c>
      <c r="M870" s="157" t="str">
        <f t="shared" si="23"/>
        <v>Short/Mid Range Radar FL / Radar +8° - Distance Measurements</v>
      </c>
      <c r="N870" s="157"/>
      <c r="O870" s="157"/>
      <c r="P870" s="159" t="s">
        <v>3498</v>
      </c>
      <c r="Q870" s="157" t="s">
        <v>2115</v>
      </c>
      <c r="R870" s="157" t="s">
        <v>9535</v>
      </c>
      <c r="S870" s="157" t="s">
        <v>9536</v>
      </c>
      <c r="T870" s="157"/>
      <c r="U870" s="159" t="s">
        <v>2129</v>
      </c>
      <c r="V870" s="159" t="s">
        <v>2129</v>
      </c>
      <c r="W870" s="159" t="s">
        <v>2138</v>
      </c>
      <c r="X870" s="160">
        <v>1</v>
      </c>
      <c r="Y870" s="160">
        <v>1</v>
      </c>
      <c r="Z870" s="160">
        <v>1</v>
      </c>
      <c r="AA870" s="160">
        <v>1</v>
      </c>
    </row>
    <row r="871" spans="1:27" ht="18" customHeight="1" x14ac:dyDescent="0.25">
      <c r="A871" s="159">
        <v>3210</v>
      </c>
      <c r="B871" s="164" t="s">
        <v>266</v>
      </c>
      <c r="C871" s="164" t="s">
        <v>267</v>
      </c>
      <c r="D871" s="159" t="s">
        <v>271</v>
      </c>
      <c r="E871" s="164" t="s">
        <v>1219</v>
      </c>
      <c r="F871" s="159"/>
      <c r="G871" s="157" t="s">
        <v>1349</v>
      </c>
      <c r="H871" s="157" t="s">
        <v>1350</v>
      </c>
      <c r="I871" s="157" t="s">
        <v>2060</v>
      </c>
      <c r="J871" s="157" t="s">
        <v>8298</v>
      </c>
      <c r="K871" s="157" t="s">
        <v>1554</v>
      </c>
      <c r="L871" s="157" t="s">
        <v>2059</v>
      </c>
      <c r="M871" s="157" t="str">
        <f t="shared" si="23"/>
        <v>Short/Mid Range Radar FL / Radar +8° - Distance Measurements</v>
      </c>
      <c r="N871" s="157"/>
      <c r="O871" s="157"/>
      <c r="P871" s="159" t="s">
        <v>3498</v>
      </c>
      <c r="Q871" s="157" t="s">
        <v>2115</v>
      </c>
      <c r="R871" s="157" t="s">
        <v>9535</v>
      </c>
      <c r="S871" s="157" t="s">
        <v>9536</v>
      </c>
      <c r="T871" s="157"/>
      <c r="U871" s="159" t="s">
        <v>2129</v>
      </c>
      <c r="V871" s="159" t="s">
        <v>2129</v>
      </c>
      <c r="W871" s="159" t="s">
        <v>2138</v>
      </c>
      <c r="X871" s="160">
        <v>1</v>
      </c>
      <c r="Y871" s="160">
        <v>1</v>
      </c>
      <c r="Z871" s="160">
        <v>1</v>
      </c>
      <c r="AA871" s="160">
        <v>1</v>
      </c>
    </row>
    <row r="872" spans="1:27" ht="18" customHeight="1" x14ac:dyDescent="0.25">
      <c r="A872" s="159">
        <v>3210</v>
      </c>
      <c r="B872" s="164" t="s">
        <v>266</v>
      </c>
      <c r="C872" s="164" t="s">
        <v>294</v>
      </c>
      <c r="D872" s="159" t="s">
        <v>297</v>
      </c>
      <c r="E872" s="164" t="s">
        <v>295</v>
      </c>
      <c r="F872" s="159"/>
      <c r="G872" s="157" t="s">
        <v>1349</v>
      </c>
      <c r="H872" s="157" t="s">
        <v>1350</v>
      </c>
      <c r="I872" s="157" t="s">
        <v>2060</v>
      </c>
      <c r="J872" s="157" t="s">
        <v>8298</v>
      </c>
      <c r="K872" s="157" t="s">
        <v>1554</v>
      </c>
      <c r="L872" s="157" t="s">
        <v>2059</v>
      </c>
      <c r="M872" s="157" t="str">
        <f t="shared" si="23"/>
        <v>Short/Mid Range Radar FL / Radar +8° - Distance Measurements</v>
      </c>
      <c r="N872" s="157"/>
      <c r="O872" s="157"/>
      <c r="P872" s="159" t="s">
        <v>3498</v>
      </c>
      <c r="Q872" s="157" t="s">
        <v>2115</v>
      </c>
      <c r="R872" s="157" t="s">
        <v>9535</v>
      </c>
      <c r="S872" s="157" t="s">
        <v>9536</v>
      </c>
      <c r="T872" s="157"/>
      <c r="U872" s="159" t="s">
        <v>2129</v>
      </c>
      <c r="V872" s="159" t="s">
        <v>2129</v>
      </c>
      <c r="W872" s="159" t="s">
        <v>2138</v>
      </c>
      <c r="X872" s="160">
        <v>1</v>
      </c>
      <c r="Y872" s="160">
        <v>1</v>
      </c>
      <c r="Z872" s="160">
        <v>1</v>
      </c>
      <c r="AA872" s="160">
        <v>1</v>
      </c>
    </row>
    <row r="873" spans="1:27" ht="18" customHeight="1" x14ac:dyDescent="0.25">
      <c r="A873" s="159">
        <v>3210</v>
      </c>
      <c r="B873" s="164" t="s">
        <v>266</v>
      </c>
      <c r="C873" s="164" t="s">
        <v>294</v>
      </c>
      <c r="D873" s="159" t="s">
        <v>298</v>
      </c>
      <c r="E873" s="164" t="s">
        <v>299</v>
      </c>
      <c r="F873" s="159"/>
      <c r="G873" s="157" t="s">
        <v>1349</v>
      </c>
      <c r="H873" s="157" t="s">
        <v>1350</v>
      </c>
      <c r="I873" s="157" t="s">
        <v>2060</v>
      </c>
      <c r="J873" s="157" t="s">
        <v>8298</v>
      </c>
      <c r="K873" s="157" t="s">
        <v>1554</v>
      </c>
      <c r="L873" s="157" t="s">
        <v>2059</v>
      </c>
      <c r="M873" s="157" t="str">
        <f t="shared" si="23"/>
        <v>Short/Mid Range Radar FL / Radar +8° - Distance Measurements</v>
      </c>
      <c r="N873" s="157"/>
      <c r="O873" s="157"/>
      <c r="P873" s="159" t="s">
        <v>3498</v>
      </c>
      <c r="Q873" s="157" t="s">
        <v>2115</v>
      </c>
      <c r="R873" s="157" t="s">
        <v>9535</v>
      </c>
      <c r="S873" s="157" t="s">
        <v>9536</v>
      </c>
      <c r="T873" s="157"/>
      <c r="U873" s="159" t="s">
        <v>2129</v>
      </c>
      <c r="V873" s="159" t="s">
        <v>2129</v>
      </c>
      <c r="W873" s="159" t="s">
        <v>2138</v>
      </c>
      <c r="X873" s="160">
        <v>1</v>
      </c>
      <c r="Y873" s="160">
        <v>1</v>
      </c>
      <c r="Z873" s="160">
        <v>1</v>
      </c>
      <c r="AA873" s="160">
        <v>1</v>
      </c>
    </row>
    <row r="874" spans="1:27" ht="18" customHeight="1" x14ac:dyDescent="0.25">
      <c r="A874" s="159">
        <v>3210</v>
      </c>
      <c r="B874" s="164" t="s">
        <v>266</v>
      </c>
      <c r="C874" s="164" t="s">
        <v>294</v>
      </c>
      <c r="D874" s="159" t="s">
        <v>503</v>
      </c>
      <c r="E874" s="164" t="s">
        <v>501</v>
      </c>
      <c r="F874" s="159"/>
      <c r="G874" s="157" t="s">
        <v>1349</v>
      </c>
      <c r="H874" s="157" t="s">
        <v>1350</v>
      </c>
      <c r="I874" s="157" t="s">
        <v>2060</v>
      </c>
      <c r="J874" s="157" t="s">
        <v>8298</v>
      </c>
      <c r="K874" s="157" t="s">
        <v>1554</v>
      </c>
      <c r="L874" s="157" t="s">
        <v>2059</v>
      </c>
      <c r="M874" s="157" t="str">
        <f t="shared" si="23"/>
        <v>Short/Mid Range Radar FL / Radar +8° - Distance Measurements</v>
      </c>
      <c r="N874" s="157"/>
      <c r="O874" s="157"/>
      <c r="P874" s="159" t="s">
        <v>3498</v>
      </c>
      <c r="Q874" s="157" t="s">
        <v>2115</v>
      </c>
      <c r="R874" s="157" t="s">
        <v>9535</v>
      </c>
      <c r="S874" s="157" t="s">
        <v>9536</v>
      </c>
      <c r="T874" s="157"/>
      <c r="U874" s="159" t="s">
        <v>2129</v>
      </c>
      <c r="V874" s="159" t="s">
        <v>2129</v>
      </c>
      <c r="W874" s="159" t="s">
        <v>2138</v>
      </c>
      <c r="X874" s="160">
        <v>1</v>
      </c>
      <c r="Y874" s="160">
        <v>1</v>
      </c>
      <c r="Z874" s="160">
        <v>1</v>
      </c>
      <c r="AA874" s="160">
        <v>1</v>
      </c>
    </row>
    <row r="875" spans="1:27" ht="18" customHeight="1" x14ac:dyDescent="0.25">
      <c r="A875" s="159">
        <v>3210</v>
      </c>
      <c r="B875" s="164" t="s">
        <v>266</v>
      </c>
      <c r="C875" s="164" t="s">
        <v>294</v>
      </c>
      <c r="D875" s="159" t="s">
        <v>692</v>
      </c>
      <c r="E875" s="164" t="s">
        <v>690</v>
      </c>
      <c r="F875" s="159"/>
      <c r="G875" s="157" t="s">
        <v>1349</v>
      </c>
      <c r="H875" s="157" t="s">
        <v>1350</v>
      </c>
      <c r="I875" s="157" t="s">
        <v>2060</v>
      </c>
      <c r="J875" s="157" t="s">
        <v>8298</v>
      </c>
      <c r="K875" s="157" t="s">
        <v>1554</v>
      </c>
      <c r="L875" s="157" t="s">
        <v>2059</v>
      </c>
      <c r="M875" s="157" t="str">
        <f t="shared" si="23"/>
        <v>Short/Mid Range Radar FL / Radar +8° - Distance Measurements</v>
      </c>
      <c r="N875" s="157"/>
      <c r="O875" s="157"/>
      <c r="P875" s="159" t="s">
        <v>3498</v>
      </c>
      <c r="Q875" s="157" t="s">
        <v>2115</v>
      </c>
      <c r="R875" s="157" t="s">
        <v>9535</v>
      </c>
      <c r="S875" s="157" t="s">
        <v>9536</v>
      </c>
      <c r="T875" s="157"/>
      <c r="U875" s="159" t="s">
        <v>2129</v>
      </c>
      <c r="V875" s="159" t="s">
        <v>2129</v>
      </c>
      <c r="W875" s="159" t="s">
        <v>2138</v>
      </c>
      <c r="X875" s="160">
        <v>1</v>
      </c>
      <c r="Y875" s="160">
        <v>1</v>
      </c>
      <c r="Z875" s="160">
        <v>1</v>
      </c>
      <c r="AA875" s="160">
        <v>1</v>
      </c>
    </row>
    <row r="876" spans="1:27" ht="18" customHeight="1" x14ac:dyDescent="0.25">
      <c r="A876" s="159">
        <v>3210</v>
      </c>
      <c r="B876" s="164" t="s">
        <v>266</v>
      </c>
      <c r="C876" s="164" t="s">
        <v>294</v>
      </c>
      <c r="D876" s="159" t="s">
        <v>1177</v>
      </c>
      <c r="E876" s="164" t="s">
        <v>1175</v>
      </c>
      <c r="F876" s="159"/>
      <c r="G876" s="157" t="s">
        <v>1349</v>
      </c>
      <c r="H876" s="157" t="s">
        <v>1350</v>
      </c>
      <c r="I876" s="157" t="s">
        <v>2060</v>
      </c>
      <c r="J876" s="157" t="s">
        <v>8298</v>
      </c>
      <c r="K876" s="157" t="s">
        <v>1554</v>
      </c>
      <c r="L876" s="157" t="s">
        <v>2059</v>
      </c>
      <c r="M876" s="157" t="str">
        <f t="shared" si="23"/>
        <v>Short/Mid Range Radar FL / Radar +8° - Distance Measurements</v>
      </c>
      <c r="N876" s="157"/>
      <c r="O876" s="157"/>
      <c r="P876" s="159" t="s">
        <v>3498</v>
      </c>
      <c r="Q876" s="157" t="s">
        <v>2115</v>
      </c>
      <c r="R876" s="157" t="s">
        <v>9535</v>
      </c>
      <c r="S876" s="157" t="s">
        <v>9536</v>
      </c>
      <c r="T876" s="157"/>
      <c r="U876" s="159" t="s">
        <v>2129</v>
      </c>
      <c r="V876" s="159" t="s">
        <v>2129</v>
      </c>
      <c r="W876" s="159" t="s">
        <v>2138</v>
      </c>
      <c r="X876" s="160">
        <v>1</v>
      </c>
      <c r="Y876" s="160">
        <v>1</v>
      </c>
      <c r="Z876" s="160">
        <v>1</v>
      </c>
      <c r="AA876" s="160">
        <v>1</v>
      </c>
    </row>
    <row r="877" spans="1:27" ht="18" customHeight="1" x14ac:dyDescent="0.25">
      <c r="A877" s="159">
        <v>3210</v>
      </c>
      <c r="B877" s="164" t="s">
        <v>266</v>
      </c>
      <c r="C877" s="164" t="s">
        <v>294</v>
      </c>
      <c r="D877" s="159" t="s">
        <v>1178</v>
      </c>
      <c r="E877" s="164" t="s">
        <v>1179</v>
      </c>
      <c r="F877" s="159"/>
      <c r="G877" s="157" t="s">
        <v>1349</v>
      </c>
      <c r="H877" s="157" t="s">
        <v>1350</v>
      </c>
      <c r="I877" s="157" t="s">
        <v>2060</v>
      </c>
      <c r="J877" s="157" t="s">
        <v>8298</v>
      </c>
      <c r="K877" s="157" t="s">
        <v>1554</v>
      </c>
      <c r="L877" s="157" t="s">
        <v>2059</v>
      </c>
      <c r="M877" s="157" t="str">
        <f t="shared" si="23"/>
        <v>Short/Mid Range Radar FL / Radar +8° - Distance Measurements</v>
      </c>
      <c r="N877" s="157"/>
      <c r="O877" s="157"/>
      <c r="P877" s="159" t="s">
        <v>3498</v>
      </c>
      <c r="Q877" s="157" t="s">
        <v>2115</v>
      </c>
      <c r="R877" s="157" t="s">
        <v>9535</v>
      </c>
      <c r="S877" s="157" t="s">
        <v>9536</v>
      </c>
      <c r="T877" s="157"/>
      <c r="U877" s="159" t="s">
        <v>2129</v>
      </c>
      <c r="V877" s="159" t="s">
        <v>2129</v>
      </c>
      <c r="W877" s="159" t="s">
        <v>2138</v>
      </c>
      <c r="X877" s="160">
        <v>1</v>
      </c>
      <c r="Y877" s="160">
        <v>1</v>
      </c>
      <c r="Z877" s="160">
        <v>1</v>
      </c>
      <c r="AA877" s="160">
        <v>1</v>
      </c>
    </row>
    <row r="878" spans="1:27" ht="18" customHeight="1" x14ac:dyDescent="0.25">
      <c r="A878" s="159">
        <v>3210</v>
      </c>
      <c r="B878" s="164" t="s">
        <v>266</v>
      </c>
      <c r="C878" s="164" t="s">
        <v>294</v>
      </c>
      <c r="D878" s="159" t="s">
        <v>1207</v>
      </c>
      <c r="E878" s="164" t="s">
        <v>1205</v>
      </c>
      <c r="F878" s="159"/>
      <c r="G878" s="157" t="s">
        <v>1349</v>
      </c>
      <c r="H878" s="157" t="s">
        <v>1350</v>
      </c>
      <c r="I878" s="157" t="s">
        <v>2060</v>
      </c>
      <c r="J878" s="157" t="s">
        <v>8298</v>
      </c>
      <c r="K878" s="157" t="s">
        <v>1554</v>
      </c>
      <c r="L878" s="157" t="s">
        <v>2059</v>
      </c>
      <c r="M878" s="157" t="str">
        <f t="shared" si="23"/>
        <v>Short/Mid Range Radar FL / Radar +8° - Distance Measurements</v>
      </c>
      <c r="N878" s="157"/>
      <c r="O878" s="157"/>
      <c r="P878" s="159" t="s">
        <v>3498</v>
      </c>
      <c r="Q878" s="157" t="s">
        <v>2115</v>
      </c>
      <c r="R878" s="157" t="s">
        <v>9535</v>
      </c>
      <c r="S878" s="157" t="s">
        <v>9536</v>
      </c>
      <c r="T878" s="157"/>
      <c r="U878" s="159" t="s">
        <v>2129</v>
      </c>
      <c r="V878" s="159" t="s">
        <v>2129</v>
      </c>
      <c r="W878" s="159" t="s">
        <v>2138</v>
      </c>
      <c r="X878" s="160">
        <v>1</v>
      </c>
      <c r="Y878" s="160">
        <v>1</v>
      </c>
      <c r="Z878" s="160">
        <v>1</v>
      </c>
      <c r="AA878" s="160">
        <v>1</v>
      </c>
    </row>
    <row r="879" spans="1:27" ht="18" customHeight="1" x14ac:dyDescent="0.25">
      <c r="A879" s="159">
        <v>3210</v>
      </c>
      <c r="B879" s="164" t="s">
        <v>266</v>
      </c>
      <c r="C879" s="164" t="s">
        <v>514</v>
      </c>
      <c r="D879" s="159" t="s">
        <v>517</v>
      </c>
      <c r="E879" s="164" t="s">
        <v>515</v>
      </c>
      <c r="F879" s="159"/>
      <c r="G879" s="157" t="s">
        <v>1349</v>
      </c>
      <c r="H879" s="157" t="s">
        <v>1350</v>
      </c>
      <c r="I879" s="157" t="s">
        <v>2060</v>
      </c>
      <c r="J879" s="157" t="s">
        <v>8298</v>
      </c>
      <c r="K879" s="157" t="s">
        <v>1554</v>
      </c>
      <c r="L879" s="157" t="s">
        <v>2059</v>
      </c>
      <c r="M879" s="157" t="str">
        <f t="shared" si="23"/>
        <v>Short/Mid Range Radar FL / Radar +8° - Distance Measurements</v>
      </c>
      <c r="N879" s="157"/>
      <c r="O879" s="157"/>
      <c r="P879" s="159" t="s">
        <v>3498</v>
      </c>
      <c r="Q879" s="157" t="s">
        <v>2115</v>
      </c>
      <c r="R879" s="157" t="s">
        <v>9535</v>
      </c>
      <c r="S879" s="157" t="s">
        <v>9536</v>
      </c>
      <c r="T879" s="157"/>
      <c r="U879" s="159" t="s">
        <v>2129</v>
      </c>
      <c r="V879" s="159" t="s">
        <v>2129</v>
      </c>
      <c r="W879" s="159" t="s">
        <v>2138</v>
      </c>
      <c r="X879" s="160">
        <v>1</v>
      </c>
      <c r="Y879" s="160">
        <v>1</v>
      </c>
      <c r="Z879" s="160">
        <v>1</v>
      </c>
      <c r="AA879" s="160">
        <v>1</v>
      </c>
    </row>
    <row r="880" spans="1:27" ht="18" customHeight="1" x14ac:dyDescent="0.25">
      <c r="A880" s="159">
        <v>3210</v>
      </c>
      <c r="B880" s="164" t="s">
        <v>266</v>
      </c>
      <c r="C880" s="164" t="s">
        <v>514</v>
      </c>
      <c r="D880" s="159" t="s">
        <v>730</v>
      </c>
      <c r="E880" s="164" t="s">
        <v>728</v>
      </c>
      <c r="F880" s="159"/>
      <c r="G880" s="157" t="s">
        <v>1349</v>
      </c>
      <c r="H880" s="157" t="s">
        <v>1350</v>
      </c>
      <c r="I880" s="157" t="s">
        <v>2060</v>
      </c>
      <c r="J880" s="157" t="s">
        <v>8298</v>
      </c>
      <c r="K880" s="157" t="s">
        <v>1554</v>
      </c>
      <c r="L880" s="157" t="s">
        <v>2059</v>
      </c>
      <c r="M880" s="157" t="str">
        <f t="shared" si="23"/>
        <v>Short/Mid Range Radar FL / Radar +8° - Distance Measurements</v>
      </c>
      <c r="N880" s="157"/>
      <c r="O880" s="157"/>
      <c r="P880" s="159" t="s">
        <v>3498</v>
      </c>
      <c r="Q880" s="157" t="s">
        <v>2115</v>
      </c>
      <c r="R880" s="157" t="s">
        <v>9535</v>
      </c>
      <c r="S880" s="157" t="s">
        <v>9536</v>
      </c>
      <c r="T880" s="157"/>
      <c r="U880" s="159" t="s">
        <v>2129</v>
      </c>
      <c r="V880" s="159" t="s">
        <v>2129</v>
      </c>
      <c r="W880" s="159" t="s">
        <v>2138</v>
      </c>
      <c r="X880" s="160">
        <v>1</v>
      </c>
      <c r="Y880" s="160">
        <v>1</v>
      </c>
      <c r="Z880" s="160">
        <v>1</v>
      </c>
      <c r="AA880" s="160">
        <v>1</v>
      </c>
    </row>
    <row r="881" spans="1:27" ht="18" customHeight="1" x14ac:dyDescent="0.25">
      <c r="A881" s="159">
        <v>3210</v>
      </c>
      <c r="B881" s="164" t="s">
        <v>266</v>
      </c>
      <c r="C881" s="164" t="s">
        <v>514</v>
      </c>
      <c r="D881" s="159" t="s">
        <v>793</v>
      </c>
      <c r="E881" s="164" t="s">
        <v>791</v>
      </c>
      <c r="F881" s="159"/>
      <c r="G881" s="157" t="s">
        <v>1349</v>
      </c>
      <c r="H881" s="157" t="s">
        <v>1350</v>
      </c>
      <c r="I881" s="157" t="s">
        <v>2060</v>
      </c>
      <c r="J881" s="157" t="s">
        <v>8298</v>
      </c>
      <c r="K881" s="157" t="s">
        <v>1554</v>
      </c>
      <c r="L881" s="157" t="s">
        <v>2059</v>
      </c>
      <c r="M881" s="157" t="str">
        <f t="shared" si="23"/>
        <v>Short/Mid Range Radar FL / Radar +8° - Distance Measurements</v>
      </c>
      <c r="N881" s="157"/>
      <c r="O881" s="157"/>
      <c r="P881" s="159" t="s">
        <v>3498</v>
      </c>
      <c r="Q881" s="157" t="s">
        <v>2115</v>
      </c>
      <c r="R881" s="157" t="s">
        <v>9535</v>
      </c>
      <c r="S881" s="157" t="s">
        <v>9536</v>
      </c>
      <c r="T881" s="157"/>
      <c r="U881" s="159" t="s">
        <v>2129</v>
      </c>
      <c r="V881" s="159" t="s">
        <v>2129</v>
      </c>
      <c r="W881" s="159" t="s">
        <v>2138</v>
      </c>
      <c r="X881" s="160">
        <v>1</v>
      </c>
      <c r="Y881" s="160">
        <v>1</v>
      </c>
      <c r="Z881" s="160">
        <v>1</v>
      </c>
      <c r="AA881" s="160">
        <v>1</v>
      </c>
    </row>
    <row r="882" spans="1:27" ht="18" customHeight="1" x14ac:dyDescent="0.25">
      <c r="A882" s="159">
        <v>3210</v>
      </c>
      <c r="B882" s="164" t="s">
        <v>266</v>
      </c>
      <c r="C882" s="164" t="s">
        <v>514</v>
      </c>
      <c r="D882" s="159" t="s">
        <v>731</v>
      </c>
      <c r="E882" s="164" t="s">
        <v>795</v>
      </c>
      <c r="F882" s="159"/>
      <c r="G882" s="157" t="s">
        <v>1349</v>
      </c>
      <c r="H882" s="157" t="s">
        <v>1350</v>
      </c>
      <c r="I882" s="157" t="s">
        <v>2060</v>
      </c>
      <c r="J882" s="157" t="s">
        <v>8298</v>
      </c>
      <c r="K882" s="157" t="s">
        <v>1554</v>
      </c>
      <c r="L882" s="157" t="s">
        <v>2059</v>
      </c>
      <c r="M882" s="157" t="str">
        <f t="shared" si="23"/>
        <v>Short/Mid Range Radar FL / Radar +8° - Distance Measurements</v>
      </c>
      <c r="N882" s="157"/>
      <c r="O882" s="157"/>
      <c r="P882" s="159" t="s">
        <v>3498</v>
      </c>
      <c r="Q882" s="157" t="s">
        <v>2115</v>
      </c>
      <c r="R882" s="157" t="s">
        <v>9535</v>
      </c>
      <c r="S882" s="157" t="s">
        <v>9536</v>
      </c>
      <c r="T882" s="157"/>
      <c r="U882" s="159" t="s">
        <v>2129</v>
      </c>
      <c r="V882" s="159" t="s">
        <v>2129</v>
      </c>
      <c r="W882" s="159" t="s">
        <v>2138</v>
      </c>
      <c r="X882" s="160">
        <v>1</v>
      </c>
      <c r="Y882" s="160">
        <v>1</v>
      </c>
      <c r="Z882" s="160">
        <v>1</v>
      </c>
      <c r="AA882" s="160">
        <v>1</v>
      </c>
    </row>
    <row r="883" spans="1:27" ht="18" customHeight="1" x14ac:dyDescent="0.25">
      <c r="A883" s="159">
        <v>3210</v>
      </c>
      <c r="B883" s="164" t="s">
        <v>266</v>
      </c>
      <c r="C883" s="164" t="s">
        <v>514</v>
      </c>
      <c r="D883" s="159" t="s">
        <v>1170</v>
      </c>
      <c r="E883" s="164" t="s">
        <v>1168</v>
      </c>
      <c r="F883" s="159"/>
      <c r="G883" s="157" t="s">
        <v>1349</v>
      </c>
      <c r="H883" s="157" t="s">
        <v>1350</v>
      </c>
      <c r="I883" s="157" t="s">
        <v>2060</v>
      </c>
      <c r="J883" s="157" t="s">
        <v>8298</v>
      </c>
      <c r="K883" s="157" t="s">
        <v>1554</v>
      </c>
      <c r="L883" s="157" t="s">
        <v>2059</v>
      </c>
      <c r="M883" s="157" t="str">
        <f t="shared" si="23"/>
        <v>Short/Mid Range Radar FL / Radar +8° - Distance Measurements</v>
      </c>
      <c r="N883" s="157"/>
      <c r="O883" s="157"/>
      <c r="P883" s="159" t="s">
        <v>3498</v>
      </c>
      <c r="Q883" s="157" t="s">
        <v>2115</v>
      </c>
      <c r="R883" s="157" t="s">
        <v>9535</v>
      </c>
      <c r="S883" s="157" t="s">
        <v>9536</v>
      </c>
      <c r="T883" s="157"/>
      <c r="U883" s="159" t="s">
        <v>2129</v>
      </c>
      <c r="V883" s="159" t="s">
        <v>2129</v>
      </c>
      <c r="W883" s="159" t="s">
        <v>2138</v>
      </c>
      <c r="X883" s="160">
        <v>1</v>
      </c>
      <c r="Y883" s="160">
        <v>1</v>
      </c>
      <c r="Z883" s="160">
        <v>1</v>
      </c>
      <c r="AA883" s="160">
        <v>1</v>
      </c>
    </row>
    <row r="884" spans="1:27" ht="18" customHeight="1" x14ac:dyDescent="0.25">
      <c r="A884" s="159">
        <v>3210</v>
      </c>
      <c r="B884" s="164" t="s">
        <v>266</v>
      </c>
      <c r="C884" s="164" t="s">
        <v>514</v>
      </c>
      <c r="D884" s="159" t="s">
        <v>1171</v>
      </c>
      <c r="E884" s="164" t="s">
        <v>1223</v>
      </c>
      <c r="F884" s="159"/>
      <c r="G884" s="157" t="s">
        <v>1349</v>
      </c>
      <c r="H884" s="157" t="s">
        <v>1350</v>
      </c>
      <c r="I884" s="157" t="s">
        <v>2060</v>
      </c>
      <c r="J884" s="157" t="s">
        <v>8298</v>
      </c>
      <c r="K884" s="157" t="s">
        <v>1554</v>
      </c>
      <c r="L884" s="157" t="s">
        <v>2059</v>
      </c>
      <c r="M884" s="157" t="str">
        <f t="shared" si="23"/>
        <v>Short/Mid Range Radar FL / Radar +8° - Distance Measurements</v>
      </c>
      <c r="N884" s="157"/>
      <c r="O884" s="157"/>
      <c r="P884" s="159" t="s">
        <v>3498</v>
      </c>
      <c r="Q884" s="157" t="s">
        <v>2115</v>
      </c>
      <c r="R884" s="157" t="s">
        <v>9535</v>
      </c>
      <c r="S884" s="157" t="s">
        <v>9536</v>
      </c>
      <c r="T884" s="157"/>
      <c r="U884" s="159" t="s">
        <v>2129</v>
      </c>
      <c r="V884" s="159" t="s">
        <v>2129</v>
      </c>
      <c r="W884" s="159" t="s">
        <v>2138</v>
      </c>
      <c r="X884" s="160">
        <v>1</v>
      </c>
      <c r="Y884" s="160">
        <v>1</v>
      </c>
      <c r="Z884" s="160">
        <v>1</v>
      </c>
      <c r="AA884" s="160">
        <v>1</v>
      </c>
    </row>
    <row r="885" spans="1:27" ht="18" customHeight="1" x14ac:dyDescent="0.25">
      <c r="A885" s="159">
        <v>3210</v>
      </c>
      <c r="B885" s="164" t="s">
        <v>266</v>
      </c>
      <c r="C885" s="164" t="s">
        <v>519</v>
      </c>
      <c r="D885" s="159" t="s">
        <v>522</v>
      </c>
      <c r="E885" s="164" t="s">
        <v>520</v>
      </c>
      <c r="F885" s="159"/>
      <c r="G885" s="157" t="s">
        <v>1349</v>
      </c>
      <c r="H885" s="157" t="s">
        <v>1350</v>
      </c>
      <c r="I885" s="157" t="s">
        <v>2060</v>
      </c>
      <c r="J885" s="157" t="s">
        <v>8298</v>
      </c>
      <c r="K885" s="157" t="s">
        <v>1554</v>
      </c>
      <c r="L885" s="157" t="s">
        <v>2059</v>
      </c>
      <c r="M885" s="157" t="str">
        <f t="shared" si="23"/>
        <v>Short/Mid Range Radar FL / Radar +8° - Distance Measurements</v>
      </c>
      <c r="N885" s="157"/>
      <c r="O885" s="157"/>
      <c r="P885" s="159" t="s">
        <v>3498</v>
      </c>
      <c r="Q885" s="157" t="s">
        <v>2115</v>
      </c>
      <c r="R885" s="157" t="s">
        <v>9535</v>
      </c>
      <c r="S885" s="157" t="s">
        <v>9536</v>
      </c>
      <c r="T885" s="157"/>
      <c r="U885" s="159" t="s">
        <v>2129</v>
      </c>
      <c r="V885" s="159" t="s">
        <v>2129</v>
      </c>
      <c r="W885" s="159" t="s">
        <v>2138</v>
      </c>
      <c r="X885" s="160">
        <v>1</v>
      </c>
      <c r="Y885" s="160">
        <v>1</v>
      </c>
      <c r="Z885" s="160">
        <v>1</v>
      </c>
      <c r="AA885" s="160">
        <v>1</v>
      </c>
    </row>
    <row r="886" spans="1:27" ht="18" customHeight="1" x14ac:dyDescent="0.25">
      <c r="A886" s="159">
        <v>3210</v>
      </c>
      <c r="B886" s="164" t="s">
        <v>266</v>
      </c>
      <c r="C886" s="164" t="s">
        <v>519</v>
      </c>
      <c r="D886" s="159" t="s">
        <v>526</v>
      </c>
      <c r="E886" s="164" t="s">
        <v>524</v>
      </c>
      <c r="F886" s="159"/>
      <c r="G886" s="157" t="s">
        <v>1349</v>
      </c>
      <c r="H886" s="157" t="s">
        <v>1350</v>
      </c>
      <c r="I886" s="157" t="s">
        <v>2060</v>
      </c>
      <c r="J886" s="157" t="s">
        <v>8298</v>
      </c>
      <c r="K886" s="157" t="s">
        <v>1554</v>
      </c>
      <c r="L886" s="157" t="s">
        <v>2059</v>
      </c>
      <c r="M886" s="157" t="str">
        <f t="shared" si="23"/>
        <v>Short/Mid Range Radar FL / Radar +8° - Distance Measurements</v>
      </c>
      <c r="N886" s="157"/>
      <c r="O886" s="157"/>
      <c r="P886" s="159" t="s">
        <v>3498</v>
      </c>
      <c r="Q886" s="157" t="s">
        <v>2115</v>
      </c>
      <c r="R886" s="157" t="s">
        <v>9535</v>
      </c>
      <c r="S886" s="157" t="s">
        <v>9536</v>
      </c>
      <c r="T886" s="157"/>
      <c r="U886" s="159" t="s">
        <v>2129</v>
      </c>
      <c r="V886" s="159" t="s">
        <v>2129</v>
      </c>
      <c r="W886" s="159" t="s">
        <v>2138</v>
      </c>
      <c r="X886" s="160">
        <v>1</v>
      </c>
      <c r="Y886" s="160">
        <v>1</v>
      </c>
      <c r="Z886" s="160">
        <v>1</v>
      </c>
      <c r="AA886" s="160">
        <v>1</v>
      </c>
    </row>
    <row r="887" spans="1:27" ht="18" customHeight="1" x14ac:dyDescent="0.25">
      <c r="A887" s="159">
        <v>3210</v>
      </c>
      <c r="B887" s="164" t="s">
        <v>266</v>
      </c>
      <c r="C887" s="164" t="s">
        <v>519</v>
      </c>
      <c r="D887" s="159" t="s">
        <v>530</v>
      </c>
      <c r="E887" s="164" t="s">
        <v>528</v>
      </c>
      <c r="F887" s="159"/>
      <c r="G887" s="157" t="s">
        <v>1349</v>
      </c>
      <c r="H887" s="157" t="s">
        <v>1350</v>
      </c>
      <c r="I887" s="157" t="s">
        <v>2060</v>
      </c>
      <c r="J887" s="157" t="s">
        <v>8298</v>
      </c>
      <c r="K887" s="157" t="s">
        <v>1554</v>
      </c>
      <c r="L887" s="157" t="s">
        <v>2059</v>
      </c>
      <c r="M887" s="157" t="str">
        <f t="shared" si="23"/>
        <v>Short/Mid Range Radar FL / Radar +8° - Distance Measurements</v>
      </c>
      <c r="N887" s="157"/>
      <c r="O887" s="157"/>
      <c r="P887" s="159" t="s">
        <v>3498</v>
      </c>
      <c r="Q887" s="157" t="s">
        <v>2115</v>
      </c>
      <c r="R887" s="157" t="s">
        <v>9535</v>
      </c>
      <c r="S887" s="157" t="s">
        <v>9536</v>
      </c>
      <c r="T887" s="157"/>
      <c r="U887" s="159" t="s">
        <v>2129</v>
      </c>
      <c r="V887" s="159" t="s">
        <v>2129</v>
      </c>
      <c r="W887" s="159" t="s">
        <v>2138</v>
      </c>
      <c r="X887" s="160">
        <v>1</v>
      </c>
      <c r="Y887" s="160">
        <v>1</v>
      </c>
      <c r="Z887" s="160">
        <v>1</v>
      </c>
      <c r="AA887" s="160">
        <v>1</v>
      </c>
    </row>
    <row r="888" spans="1:27" ht="18" customHeight="1" x14ac:dyDescent="0.25">
      <c r="A888" s="159">
        <v>3210</v>
      </c>
      <c r="B888" s="164" t="s">
        <v>266</v>
      </c>
      <c r="C888" s="164" t="s">
        <v>519</v>
      </c>
      <c r="D888" s="159" t="s">
        <v>787</v>
      </c>
      <c r="E888" s="164" t="s">
        <v>785</v>
      </c>
      <c r="F888" s="159"/>
      <c r="G888" s="157" t="s">
        <v>1349</v>
      </c>
      <c r="H888" s="157" t="s">
        <v>1350</v>
      </c>
      <c r="I888" s="157" t="s">
        <v>2060</v>
      </c>
      <c r="J888" s="157" t="s">
        <v>8298</v>
      </c>
      <c r="K888" s="157" t="s">
        <v>1554</v>
      </c>
      <c r="L888" s="157" t="s">
        <v>2059</v>
      </c>
      <c r="M888" s="157" t="str">
        <f t="shared" si="23"/>
        <v>Short/Mid Range Radar FL / Radar +8° - Distance Measurements</v>
      </c>
      <c r="N888" s="157"/>
      <c r="O888" s="157"/>
      <c r="P888" s="159" t="s">
        <v>3498</v>
      </c>
      <c r="Q888" s="157" t="s">
        <v>2115</v>
      </c>
      <c r="R888" s="157" t="s">
        <v>9535</v>
      </c>
      <c r="S888" s="157" t="s">
        <v>9536</v>
      </c>
      <c r="T888" s="157"/>
      <c r="U888" s="159" t="s">
        <v>2129</v>
      </c>
      <c r="V888" s="159" t="s">
        <v>2129</v>
      </c>
      <c r="W888" s="159" t="s">
        <v>2138</v>
      </c>
      <c r="X888" s="160">
        <v>1</v>
      </c>
      <c r="Y888" s="160">
        <v>1</v>
      </c>
      <c r="Z888" s="160">
        <v>1</v>
      </c>
      <c r="AA888" s="160">
        <v>1</v>
      </c>
    </row>
    <row r="889" spans="1:27" ht="18" customHeight="1" x14ac:dyDescent="0.25">
      <c r="A889" s="159">
        <v>3210</v>
      </c>
      <c r="B889" s="164" t="s">
        <v>266</v>
      </c>
      <c r="C889" s="164" t="s">
        <v>519</v>
      </c>
      <c r="D889" s="159" t="s">
        <v>935</v>
      </c>
      <c r="E889" s="164" t="s">
        <v>933</v>
      </c>
      <c r="F889" s="159"/>
      <c r="G889" s="157" t="s">
        <v>1349</v>
      </c>
      <c r="H889" s="157" t="s">
        <v>1350</v>
      </c>
      <c r="I889" s="157" t="s">
        <v>2060</v>
      </c>
      <c r="J889" s="157" t="s">
        <v>8298</v>
      </c>
      <c r="K889" s="157" t="s">
        <v>1554</v>
      </c>
      <c r="L889" s="157" t="s">
        <v>2059</v>
      </c>
      <c r="M889" s="157" t="str">
        <f t="shared" si="23"/>
        <v>Short/Mid Range Radar FL / Radar +8° - Distance Measurements</v>
      </c>
      <c r="N889" s="157"/>
      <c r="O889" s="157"/>
      <c r="P889" s="159" t="s">
        <v>3498</v>
      </c>
      <c r="Q889" s="157" t="s">
        <v>2115</v>
      </c>
      <c r="R889" s="157" t="s">
        <v>9535</v>
      </c>
      <c r="S889" s="157" t="s">
        <v>9536</v>
      </c>
      <c r="T889" s="157"/>
      <c r="U889" s="159" t="s">
        <v>2129</v>
      </c>
      <c r="V889" s="159" t="s">
        <v>2129</v>
      </c>
      <c r="W889" s="159" t="s">
        <v>2138</v>
      </c>
      <c r="X889" s="160">
        <v>1</v>
      </c>
      <c r="Y889" s="160">
        <v>1</v>
      </c>
      <c r="Z889" s="160">
        <v>1</v>
      </c>
      <c r="AA889" s="160">
        <v>1</v>
      </c>
    </row>
    <row r="890" spans="1:27" ht="18" customHeight="1" x14ac:dyDescent="0.25">
      <c r="A890" s="159">
        <v>3210</v>
      </c>
      <c r="B890" s="164" t="s">
        <v>266</v>
      </c>
      <c r="C890" s="164" t="s">
        <v>519</v>
      </c>
      <c r="D890" s="159" t="s">
        <v>1151</v>
      </c>
      <c r="E890" s="164" t="s">
        <v>1149</v>
      </c>
      <c r="F890" s="159"/>
      <c r="G890" s="157" t="s">
        <v>1349</v>
      </c>
      <c r="H890" s="157" t="s">
        <v>1350</v>
      </c>
      <c r="I890" s="157" t="s">
        <v>2060</v>
      </c>
      <c r="J890" s="157" t="s">
        <v>8298</v>
      </c>
      <c r="K890" s="157" t="s">
        <v>1554</v>
      </c>
      <c r="L890" s="157" t="s">
        <v>2059</v>
      </c>
      <c r="M890" s="157" t="str">
        <f t="shared" si="23"/>
        <v>Short/Mid Range Radar FL / Radar +8° - Distance Measurements</v>
      </c>
      <c r="N890" s="157"/>
      <c r="O890" s="157"/>
      <c r="P890" s="159" t="s">
        <v>3498</v>
      </c>
      <c r="Q890" s="157" t="s">
        <v>2115</v>
      </c>
      <c r="R890" s="157" t="s">
        <v>9535</v>
      </c>
      <c r="S890" s="157" t="s">
        <v>9536</v>
      </c>
      <c r="T890" s="157"/>
      <c r="U890" s="159" t="s">
        <v>2129</v>
      </c>
      <c r="V890" s="159" t="s">
        <v>2129</v>
      </c>
      <c r="W890" s="159" t="s">
        <v>2138</v>
      </c>
      <c r="X890" s="160">
        <v>1</v>
      </c>
      <c r="Y890" s="160">
        <v>1</v>
      </c>
      <c r="Z890" s="160">
        <v>1</v>
      </c>
      <c r="AA890" s="160">
        <v>1</v>
      </c>
    </row>
    <row r="891" spans="1:27" ht="18" customHeight="1" x14ac:dyDescent="0.25">
      <c r="A891" s="159">
        <v>3210</v>
      </c>
      <c r="B891" s="164" t="s">
        <v>266</v>
      </c>
      <c r="C891" s="164" t="s">
        <v>519</v>
      </c>
      <c r="D891" s="159" t="s">
        <v>1159</v>
      </c>
      <c r="E891" s="164" t="s">
        <v>1157</v>
      </c>
      <c r="F891" s="159"/>
      <c r="G891" s="157" t="s">
        <v>1349</v>
      </c>
      <c r="H891" s="157" t="s">
        <v>1350</v>
      </c>
      <c r="I891" s="157" t="s">
        <v>2060</v>
      </c>
      <c r="J891" s="157" t="s">
        <v>8298</v>
      </c>
      <c r="K891" s="157" t="s">
        <v>1554</v>
      </c>
      <c r="L891" s="157" t="s">
        <v>2059</v>
      </c>
      <c r="M891" s="157" t="str">
        <f t="shared" si="23"/>
        <v>Short/Mid Range Radar FL / Radar +8° - Distance Measurements</v>
      </c>
      <c r="N891" s="157"/>
      <c r="O891" s="157"/>
      <c r="P891" s="159" t="s">
        <v>3498</v>
      </c>
      <c r="Q891" s="157" t="s">
        <v>2115</v>
      </c>
      <c r="R891" s="157" t="s">
        <v>9535</v>
      </c>
      <c r="S891" s="157" t="s">
        <v>9536</v>
      </c>
      <c r="T891" s="157"/>
      <c r="U891" s="159" t="s">
        <v>2129</v>
      </c>
      <c r="V891" s="159" t="s">
        <v>2129</v>
      </c>
      <c r="W891" s="159" t="s">
        <v>2138</v>
      </c>
      <c r="X891" s="160">
        <v>1</v>
      </c>
      <c r="Y891" s="160">
        <v>1</v>
      </c>
      <c r="Z891" s="160">
        <v>1</v>
      </c>
      <c r="AA891" s="160">
        <v>1</v>
      </c>
    </row>
    <row r="892" spans="1:27" ht="18" customHeight="1" x14ac:dyDescent="0.25">
      <c r="A892" s="159">
        <v>3211</v>
      </c>
      <c r="B892" s="164" t="s">
        <v>266</v>
      </c>
      <c r="C892" s="164" t="s">
        <v>276</v>
      </c>
      <c r="D892" s="159" t="s">
        <v>726</v>
      </c>
      <c r="E892" s="164" t="s">
        <v>724</v>
      </c>
      <c r="F892" s="159"/>
      <c r="G892" s="157" t="s">
        <v>1349</v>
      </c>
      <c r="H892" s="157" t="s">
        <v>1350</v>
      </c>
      <c r="I892" s="157" t="s">
        <v>2060</v>
      </c>
      <c r="J892" s="157" t="s">
        <v>8295</v>
      </c>
      <c r="K892" s="157" t="s">
        <v>1554</v>
      </c>
      <c r="L892" s="157" t="s">
        <v>2062</v>
      </c>
      <c r="M892" s="157" t="str">
        <f t="shared" si="23"/>
        <v>Short/Mid Range Radar R / Radar -86° - Distance Measurements</v>
      </c>
      <c r="N892" s="157"/>
      <c r="O892" s="157"/>
      <c r="P892" s="159" t="s">
        <v>2347</v>
      </c>
      <c r="Q892" s="157" t="s">
        <v>2115</v>
      </c>
      <c r="R892" s="157" t="s">
        <v>8292</v>
      </c>
      <c r="S892" s="157" t="s">
        <v>8627</v>
      </c>
      <c r="T892" s="157"/>
      <c r="U892" s="159" t="s">
        <v>2129</v>
      </c>
      <c r="V892" s="159" t="s">
        <v>2129</v>
      </c>
      <c r="W892" s="159" t="s">
        <v>2138</v>
      </c>
      <c r="X892" s="160">
        <v>1</v>
      </c>
      <c r="Y892" s="160">
        <v>1</v>
      </c>
      <c r="Z892" s="160">
        <v>1</v>
      </c>
      <c r="AA892" s="160">
        <v>1</v>
      </c>
    </row>
    <row r="893" spans="1:27" ht="18" customHeight="1" x14ac:dyDescent="0.25">
      <c r="A893" s="159">
        <v>3211</v>
      </c>
      <c r="B893" s="164" t="s">
        <v>266</v>
      </c>
      <c r="C893" s="164" t="s">
        <v>267</v>
      </c>
      <c r="D893" s="159" t="s">
        <v>270</v>
      </c>
      <c r="E893" s="164" t="s">
        <v>268</v>
      </c>
      <c r="F893" s="159"/>
      <c r="G893" s="157" t="s">
        <v>1349</v>
      </c>
      <c r="H893" s="157" t="s">
        <v>1350</v>
      </c>
      <c r="I893" s="157" t="s">
        <v>2060</v>
      </c>
      <c r="J893" s="157" t="s">
        <v>8295</v>
      </c>
      <c r="K893" s="157" t="s">
        <v>1554</v>
      </c>
      <c r="L893" s="157" t="s">
        <v>2062</v>
      </c>
      <c r="M893" s="157" t="str">
        <f t="shared" si="23"/>
        <v>Short/Mid Range Radar R / Radar -86° - Distance Measurements</v>
      </c>
      <c r="N893" s="157"/>
      <c r="O893" s="157"/>
      <c r="P893" s="159" t="s">
        <v>2347</v>
      </c>
      <c r="Q893" s="157" t="s">
        <v>2115</v>
      </c>
      <c r="R893" s="157" t="s">
        <v>8292</v>
      </c>
      <c r="S893" s="157" t="s">
        <v>8627</v>
      </c>
      <c r="T893" s="157"/>
      <c r="U893" s="159" t="s">
        <v>2129</v>
      </c>
      <c r="V893" s="159" t="s">
        <v>2129</v>
      </c>
      <c r="W893" s="159" t="s">
        <v>2138</v>
      </c>
      <c r="X893" s="160">
        <v>1</v>
      </c>
      <c r="Y893" s="160">
        <v>1</v>
      </c>
      <c r="Z893" s="160">
        <v>1</v>
      </c>
      <c r="AA893" s="160">
        <v>1</v>
      </c>
    </row>
    <row r="894" spans="1:27" ht="18" customHeight="1" x14ac:dyDescent="0.25">
      <c r="A894" s="159">
        <v>3211</v>
      </c>
      <c r="B894" s="164" t="s">
        <v>266</v>
      </c>
      <c r="C894" s="164" t="s">
        <v>294</v>
      </c>
      <c r="D894" s="159" t="s">
        <v>297</v>
      </c>
      <c r="E894" s="164" t="s">
        <v>295</v>
      </c>
      <c r="F894" s="159"/>
      <c r="G894" s="157" t="s">
        <v>1349</v>
      </c>
      <c r="H894" s="157" t="s">
        <v>1350</v>
      </c>
      <c r="I894" s="157" t="s">
        <v>2060</v>
      </c>
      <c r="J894" s="157" t="s">
        <v>8295</v>
      </c>
      <c r="K894" s="157" t="s">
        <v>1554</v>
      </c>
      <c r="L894" s="157" t="s">
        <v>2062</v>
      </c>
      <c r="M894" s="157" t="str">
        <f t="shared" si="23"/>
        <v>Short/Mid Range Radar R / Radar -86° - Distance Measurements</v>
      </c>
      <c r="N894" s="157"/>
      <c r="O894" s="157"/>
      <c r="P894" s="159" t="s">
        <v>2347</v>
      </c>
      <c r="Q894" s="157" t="s">
        <v>2115</v>
      </c>
      <c r="R894" s="157" t="s">
        <v>8292</v>
      </c>
      <c r="S894" s="157" t="s">
        <v>8627</v>
      </c>
      <c r="T894" s="157"/>
      <c r="U894" s="159" t="s">
        <v>2129</v>
      </c>
      <c r="V894" s="159" t="s">
        <v>2129</v>
      </c>
      <c r="W894" s="159" t="s">
        <v>2138</v>
      </c>
      <c r="X894" s="160">
        <v>1</v>
      </c>
      <c r="Y894" s="160">
        <v>1</v>
      </c>
      <c r="Z894" s="160">
        <v>1</v>
      </c>
      <c r="AA894" s="160">
        <v>1</v>
      </c>
    </row>
    <row r="895" spans="1:27" ht="18" customHeight="1" x14ac:dyDescent="0.25">
      <c r="A895" s="159">
        <v>3211</v>
      </c>
      <c r="B895" s="164" t="s">
        <v>266</v>
      </c>
      <c r="C895" s="164" t="s">
        <v>294</v>
      </c>
      <c r="D895" s="159" t="s">
        <v>298</v>
      </c>
      <c r="E895" s="164" t="s">
        <v>299</v>
      </c>
      <c r="F895" s="159"/>
      <c r="G895" s="157" t="s">
        <v>1349</v>
      </c>
      <c r="H895" s="157" t="s">
        <v>1350</v>
      </c>
      <c r="I895" s="157" t="s">
        <v>2060</v>
      </c>
      <c r="J895" s="157" t="s">
        <v>8295</v>
      </c>
      <c r="K895" s="157" t="s">
        <v>1554</v>
      </c>
      <c r="L895" s="157" t="s">
        <v>2062</v>
      </c>
      <c r="M895" s="157" t="str">
        <f t="shared" si="23"/>
        <v>Short/Mid Range Radar R / Radar -86° - Distance Measurements</v>
      </c>
      <c r="N895" s="157"/>
      <c r="O895" s="157"/>
      <c r="P895" s="159" t="s">
        <v>2347</v>
      </c>
      <c r="Q895" s="157" t="s">
        <v>2115</v>
      </c>
      <c r="R895" s="157" t="s">
        <v>8292</v>
      </c>
      <c r="S895" s="157" t="s">
        <v>8627</v>
      </c>
      <c r="T895" s="157"/>
      <c r="U895" s="159" t="s">
        <v>2129</v>
      </c>
      <c r="V895" s="159" t="s">
        <v>2129</v>
      </c>
      <c r="W895" s="159" t="s">
        <v>2138</v>
      </c>
      <c r="X895" s="160">
        <v>1</v>
      </c>
      <c r="Y895" s="160">
        <v>1</v>
      </c>
      <c r="Z895" s="160">
        <v>1</v>
      </c>
      <c r="AA895" s="160">
        <v>1</v>
      </c>
    </row>
    <row r="896" spans="1:27" ht="18" customHeight="1" x14ac:dyDescent="0.25">
      <c r="A896" s="159">
        <v>3211</v>
      </c>
      <c r="B896" s="164" t="s">
        <v>266</v>
      </c>
      <c r="C896" s="164" t="s">
        <v>294</v>
      </c>
      <c r="D896" s="159" t="s">
        <v>503</v>
      </c>
      <c r="E896" s="164" t="s">
        <v>501</v>
      </c>
      <c r="F896" s="159"/>
      <c r="G896" s="157" t="s">
        <v>1349</v>
      </c>
      <c r="H896" s="157" t="s">
        <v>1350</v>
      </c>
      <c r="I896" s="157" t="s">
        <v>2060</v>
      </c>
      <c r="J896" s="157" t="s">
        <v>8295</v>
      </c>
      <c r="K896" s="157" t="s">
        <v>1554</v>
      </c>
      <c r="L896" s="157" t="s">
        <v>2062</v>
      </c>
      <c r="M896" s="157" t="str">
        <f t="shared" si="23"/>
        <v>Short/Mid Range Radar R / Radar -86° - Distance Measurements</v>
      </c>
      <c r="N896" s="157"/>
      <c r="O896" s="157"/>
      <c r="P896" s="159" t="s">
        <v>2347</v>
      </c>
      <c r="Q896" s="157" t="s">
        <v>2115</v>
      </c>
      <c r="R896" s="157" t="s">
        <v>8292</v>
      </c>
      <c r="S896" s="157" t="s">
        <v>8627</v>
      </c>
      <c r="T896" s="157"/>
      <c r="U896" s="159" t="s">
        <v>2129</v>
      </c>
      <c r="V896" s="159" t="s">
        <v>2129</v>
      </c>
      <c r="W896" s="159" t="s">
        <v>2138</v>
      </c>
      <c r="X896" s="160">
        <v>1</v>
      </c>
      <c r="Y896" s="160">
        <v>1</v>
      </c>
      <c r="Z896" s="160">
        <v>1</v>
      </c>
      <c r="AA896" s="160">
        <v>1</v>
      </c>
    </row>
    <row r="897" spans="1:27" ht="18" customHeight="1" x14ac:dyDescent="0.25">
      <c r="A897" s="159">
        <v>3211</v>
      </c>
      <c r="B897" s="164" t="s">
        <v>266</v>
      </c>
      <c r="C897" s="164" t="s">
        <v>294</v>
      </c>
      <c r="D897" s="159" t="s">
        <v>692</v>
      </c>
      <c r="E897" s="164" t="s">
        <v>690</v>
      </c>
      <c r="F897" s="159"/>
      <c r="G897" s="157" t="s">
        <v>1349</v>
      </c>
      <c r="H897" s="157" t="s">
        <v>1350</v>
      </c>
      <c r="I897" s="157" t="s">
        <v>2060</v>
      </c>
      <c r="J897" s="157" t="s">
        <v>8295</v>
      </c>
      <c r="K897" s="157" t="s">
        <v>1554</v>
      </c>
      <c r="L897" s="157" t="s">
        <v>2062</v>
      </c>
      <c r="M897" s="157" t="str">
        <f t="shared" si="23"/>
        <v>Short/Mid Range Radar R / Radar -86° - Distance Measurements</v>
      </c>
      <c r="N897" s="157"/>
      <c r="O897" s="157"/>
      <c r="P897" s="159" t="s">
        <v>2347</v>
      </c>
      <c r="Q897" s="157" t="s">
        <v>2115</v>
      </c>
      <c r="R897" s="157" t="s">
        <v>8292</v>
      </c>
      <c r="S897" s="157" t="s">
        <v>8627</v>
      </c>
      <c r="T897" s="157"/>
      <c r="U897" s="159" t="s">
        <v>2129</v>
      </c>
      <c r="V897" s="159" t="s">
        <v>2129</v>
      </c>
      <c r="W897" s="159" t="s">
        <v>2138</v>
      </c>
      <c r="X897" s="160">
        <v>1</v>
      </c>
      <c r="Y897" s="160">
        <v>1</v>
      </c>
      <c r="Z897" s="160">
        <v>1</v>
      </c>
      <c r="AA897" s="160">
        <v>1</v>
      </c>
    </row>
    <row r="898" spans="1:27" ht="18" customHeight="1" x14ac:dyDescent="0.25">
      <c r="A898" s="159">
        <v>3211</v>
      </c>
      <c r="B898" s="164" t="s">
        <v>266</v>
      </c>
      <c r="C898" s="164" t="s">
        <v>294</v>
      </c>
      <c r="D898" s="159" t="s">
        <v>1177</v>
      </c>
      <c r="E898" s="164" t="s">
        <v>1175</v>
      </c>
      <c r="F898" s="159"/>
      <c r="G898" s="157" t="s">
        <v>1349</v>
      </c>
      <c r="H898" s="157" t="s">
        <v>1350</v>
      </c>
      <c r="I898" s="157" t="s">
        <v>2060</v>
      </c>
      <c r="J898" s="157" t="s">
        <v>8295</v>
      </c>
      <c r="K898" s="157" t="s">
        <v>1554</v>
      </c>
      <c r="L898" s="157" t="s">
        <v>2062</v>
      </c>
      <c r="M898" s="157" t="str">
        <f t="shared" si="23"/>
        <v>Short/Mid Range Radar R / Radar -86° - Distance Measurements</v>
      </c>
      <c r="N898" s="157"/>
      <c r="O898" s="157"/>
      <c r="P898" s="159" t="s">
        <v>2347</v>
      </c>
      <c r="Q898" s="157" t="s">
        <v>2115</v>
      </c>
      <c r="R898" s="157" t="s">
        <v>8292</v>
      </c>
      <c r="S898" s="157" t="s">
        <v>8627</v>
      </c>
      <c r="T898" s="157"/>
      <c r="U898" s="159" t="s">
        <v>2129</v>
      </c>
      <c r="V898" s="159" t="s">
        <v>2129</v>
      </c>
      <c r="W898" s="159" t="s">
        <v>2138</v>
      </c>
      <c r="X898" s="160">
        <v>1</v>
      </c>
      <c r="Y898" s="160">
        <v>1</v>
      </c>
      <c r="Z898" s="160">
        <v>1</v>
      </c>
      <c r="AA898" s="160">
        <v>1</v>
      </c>
    </row>
    <row r="899" spans="1:27" ht="18" customHeight="1" x14ac:dyDescent="0.25">
      <c r="A899" s="159">
        <v>3211</v>
      </c>
      <c r="B899" s="164" t="s">
        <v>266</v>
      </c>
      <c r="C899" s="164" t="s">
        <v>294</v>
      </c>
      <c r="D899" s="159" t="s">
        <v>1178</v>
      </c>
      <c r="E899" s="164" t="s">
        <v>1179</v>
      </c>
      <c r="F899" s="159"/>
      <c r="G899" s="157" t="s">
        <v>1349</v>
      </c>
      <c r="H899" s="157" t="s">
        <v>1350</v>
      </c>
      <c r="I899" s="157" t="s">
        <v>2060</v>
      </c>
      <c r="J899" s="157" t="s">
        <v>8295</v>
      </c>
      <c r="K899" s="157" t="s">
        <v>1554</v>
      </c>
      <c r="L899" s="157" t="s">
        <v>2062</v>
      </c>
      <c r="M899" s="157" t="str">
        <f t="shared" si="23"/>
        <v>Short/Mid Range Radar R / Radar -86° - Distance Measurements</v>
      </c>
      <c r="N899" s="157"/>
      <c r="O899" s="157"/>
      <c r="P899" s="159" t="s">
        <v>2347</v>
      </c>
      <c r="Q899" s="157" t="s">
        <v>2115</v>
      </c>
      <c r="R899" s="157" t="s">
        <v>8292</v>
      </c>
      <c r="S899" s="157" t="s">
        <v>8627</v>
      </c>
      <c r="T899" s="157"/>
      <c r="U899" s="159" t="s">
        <v>2129</v>
      </c>
      <c r="V899" s="159" t="s">
        <v>2129</v>
      </c>
      <c r="W899" s="159" t="s">
        <v>2138</v>
      </c>
      <c r="X899" s="160">
        <v>1</v>
      </c>
      <c r="Y899" s="160">
        <v>1</v>
      </c>
      <c r="Z899" s="160">
        <v>1</v>
      </c>
      <c r="AA899" s="160">
        <v>1</v>
      </c>
    </row>
    <row r="900" spans="1:27" ht="18" customHeight="1" x14ac:dyDescent="0.25">
      <c r="A900" s="159">
        <v>3211</v>
      </c>
      <c r="B900" s="164" t="s">
        <v>266</v>
      </c>
      <c r="C900" s="164" t="s">
        <v>294</v>
      </c>
      <c r="D900" s="159" t="s">
        <v>1207</v>
      </c>
      <c r="E900" s="164" t="s">
        <v>1205</v>
      </c>
      <c r="F900" s="159"/>
      <c r="G900" s="157" t="s">
        <v>1349</v>
      </c>
      <c r="H900" s="157" t="s">
        <v>1350</v>
      </c>
      <c r="I900" s="157" t="s">
        <v>2060</v>
      </c>
      <c r="J900" s="157" t="s">
        <v>8295</v>
      </c>
      <c r="K900" s="157" t="s">
        <v>1554</v>
      </c>
      <c r="L900" s="157" t="s">
        <v>2062</v>
      </c>
      <c r="M900" s="157" t="str">
        <f t="shared" si="23"/>
        <v>Short/Mid Range Radar R / Radar -86° - Distance Measurements</v>
      </c>
      <c r="N900" s="157"/>
      <c r="O900" s="157"/>
      <c r="P900" s="159" t="s">
        <v>2347</v>
      </c>
      <c r="Q900" s="157" t="s">
        <v>2115</v>
      </c>
      <c r="R900" s="157" t="s">
        <v>8292</v>
      </c>
      <c r="S900" s="157" t="s">
        <v>8627</v>
      </c>
      <c r="T900" s="157"/>
      <c r="U900" s="159" t="s">
        <v>2129</v>
      </c>
      <c r="V900" s="159" t="s">
        <v>2129</v>
      </c>
      <c r="W900" s="159" t="s">
        <v>2138</v>
      </c>
      <c r="X900" s="160">
        <v>1</v>
      </c>
      <c r="Y900" s="160">
        <v>1</v>
      </c>
      <c r="Z900" s="160">
        <v>1</v>
      </c>
      <c r="AA900" s="160">
        <v>1</v>
      </c>
    </row>
    <row r="901" spans="1:27" ht="18" customHeight="1" x14ac:dyDescent="0.25">
      <c r="A901" s="159">
        <v>3211</v>
      </c>
      <c r="B901" s="164" t="s">
        <v>266</v>
      </c>
      <c r="C901" s="164" t="s">
        <v>519</v>
      </c>
      <c r="D901" s="159" t="s">
        <v>522</v>
      </c>
      <c r="E901" s="164" t="s">
        <v>520</v>
      </c>
      <c r="F901" s="159"/>
      <c r="G901" s="157" t="s">
        <v>1349</v>
      </c>
      <c r="H901" s="157" t="s">
        <v>1350</v>
      </c>
      <c r="I901" s="157" t="s">
        <v>2060</v>
      </c>
      <c r="J901" s="157" t="s">
        <v>8295</v>
      </c>
      <c r="K901" s="157" t="s">
        <v>1554</v>
      </c>
      <c r="L901" s="157" t="s">
        <v>2062</v>
      </c>
      <c r="M901" s="157" t="str">
        <f t="shared" si="23"/>
        <v>Short/Mid Range Radar R / Radar -86° - Distance Measurements</v>
      </c>
      <c r="N901" s="157"/>
      <c r="O901" s="157"/>
      <c r="P901" s="159" t="s">
        <v>2347</v>
      </c>
      <c r="Q901" s="157" t="s">
        <v>2115</v>
      </c>
      <c r="R901" s="157" t="s">
        <v>8292</v>
      </c>
      <c r="S901" s="157" t="s">
        <v>8627</v>
      </c>
      <c r="T901" s="157"/>
      <c r="U901" s="159" t="s">
        <v>2129</v>
      </c>
      <c r="V901" s="159" t="s">
        <v>2129</v>
      </c>
      <c r="W901" s="159" t="s">
        <v>2138</v>
      </c>
      <c r="X901" s="160">
        <v>1</v>
      </c>
      <c r="Y901" s="160">
        <v>1</v>
      </c>
      <c r="Z901" s="160">
        <v>1</v>
      </c>
      <c r="AA901" s="160">
        <v>1</v>
      </c>
    </row>
    <row r="902" spans="1:27" ht="18" customHeight="1" x14ac:dyDescent="0.25">
      <c r="A902" s="159">
        <v>3211</v>
      </c>
      <c r="B902" s="164" t="s">
        <v>266</v>
      </c>
      <c r="C902" s="164" t="s">
        <v>519</v>
      </c>
      <c r="D902" s="159" t="s">
        <v>526</v>
      </c>
      <c r="E902" s="164" t="s">
        <v>524</v>
      </c>
      <c r="F902" s="159"/>
      <c r="G902" s="157" t="s">
        <v>1349</v>
      </c>
      <c r="H902" s="157" t="s">
        <v>1350</v>
      </c>
      <c r="I902" s="157" t="s">
        <v>2060</v>
      </c>
      <c r="J902" s="157" t="s">
        <v>8295</v>
      </c>
      <c r="K902" s="157" t="s">
        <v>1554</v>
      </c>
      <c r="L902" s="157" t="s">
        <v>2062</v>
      </c>
      <c r="M902" s="157" t="str">
        <f t="shared" si="23"/>
        <v>Short/Mid Range Radar R / Radar -86° - Distance Measurements</v>
      </c>
      <c r="N902" s="157"/>
      <c r="O902" s="157"/>
      <c r="P902" s="159" t="s">
        <v>2347</v>
      </c>
      <c r="Q902" s="157" t="s">
        <v>2115</v>
      </c>
      <c r="R902" s="157" t="s">
        <v>8292</v>
      </c>
      <c r="S902" s="157" t="s">
        <v>8627</v>
      </c>
      <c r="T902" s="157"/>
      <c r="U902" s="159" t="s">
        <v>2129</v>
      </c>
      <c r="V902" s="159" t="s">
        <v>2129</v>
      </c>
      <c r="W902" s="159" t="s">
        <v>2138</v>
      </c>
      <c r="X902" s="160">
        <v>1</v>
      </c>
      <c r="Y902" s="160">
        <v>1</v>
      </c>
      <c r="Z902" s="160">
        <v>1</v>
      </c>
      <c r="AA902" s="160">
        <v>1</v>
      </c>
    </row>
    <row r="903" spans="1:27" ht="18" customHeight="1" x14ac:dyDescent="0.25">
      <c r="A903" s="159">
        <v>3211</v>
      </c>
      <c r="B903" s="164" t="s">
        <v>266</v>
      </c>
      <c r="C903" s="164" t="s">
        <v>519</v>
      </c>
      <c r="D903" s="159" t="s">
        <v>530</v>
      </c>
      <c r="E903" s="164" t="s">
        <v>528</v>
      </c>
      <c r="F903" s="159"/>
      <c r="G903" s="157" t="s">
        <v>1349</v>
      </c>
      <c r="H903" s="157" t="s">
        <v>1350</v>
      </c>
      <c r="I903" s="157" t="s">
        <v>2060</v>
      </c>
      <c r="J903" s="157" t="s">
        <v>8295</v>
      </c>
      <c r="K903" s="157" t="s">
        <v>1554</v>
      </c>
      <c r="L903" s="157" t="s">
        <v>2062</v>
      </c>
      <c r="M903" s="157" t="str">
        <f t="shared" si="23"/>
        <v>Short/Mid Range Radar R / Radar -86° - Distance Measurements</v>
      </c>
      <c r="N903" s="157"/>
      <c r="O903" s="157"/>
      <c r="P903" s="159" t="s">
        <v>2347</v>
      </c>
      <c r="Q903" s="157" t="s">
        <v>2115</v>
      </c>
      <c r="R903" s="157" t="s">
        <v>8292</v>
      </c>
      <c r="S903" s="157" t="s">
        <v>8627</v>
      </c>
      <c r="T903" s="157"/>
      <c r="U903" s="159" t="s">
        <v>2129</v>
      </c>
      <c r="V903" s="159" t="s">
        <v>2129</v>
      </c>
      <c r="W903" s="159" t="s">
        <v>2138</v>
      </c>
      <c r="X903" s="160">
        <v>1</v>
      </c>
      <c r="Y903" s="160">
        <v>1</v>
      </c>
      <c r="Z903" s="160">
        <v>1</v>
      </c>
      <c r="AA903" s="160">
        <v>1</v>
      </c>
    </row>
    <row r="904" spans="1:27" ht="18" customHeight="1" x14ac:dyDescent="0.25">
      <c r="A904" s="159">
        <v>3211</v>
      </c>
      <c r="B904" s="164" t="s">
        <v>266</v>
      </c>
      <c r="C904" s="164" t="s">
        <v>519</v>
      </c>
      <c r="D904" s="159" t="s">
        <v>787</v>
      </c>
      <c r="E904" s="164" t="s">
        <v>785</v>
      </c>
      <c r="F904" s="159"/>
      <c r="G904" s="157" t="s">
        <v>1349</v>
      </c>
      <c r="H904" s="157" t="s">
        <v>1350</v>
      </c>
      <c r="I904" s="157" t="s">
        <v>2060</v>
      </c>
      <c r="J904" s="157" t="s">
        <v>8295</v>
      </c>
      <c r="K904" s="157" t="s">
        <v>1554</v>
      </c>
      <c r="L904" s="157" t="s">
        <v>2062</v>
      </c>
      <c r="M904" s="157" t="str">
        <f t="shared" si="23"/>
        <v>Short/Mid Range Radar R / Radar -86° - Distance Measurements</v>
      </c>
      <c r="N904" s="157"/>
      <c r="O904" s="157"/>
      <c r="P904" s="159" t="s">
        <v>2347</v>
      </c>
      <c r="Q904" s="157" t="s">
        <v>2115</v>
      </c>
      <c r="R904" s="157" t="s">
        <v>8292</v>
      </c>
      <c r="S904" s="157" t="s">
        <v>8627</v>
      </c>
      <c r="T904" s="157"/>
      <c r="U904" s="159" t="s">
        <v>2129</v>
      </c>
      <c r="V904" s="159" t="s">
        <v>2129</v>
      </c>
      <c r="W904" s="159" t="s">
        <v>2138</v>
      </c>
      <c r="X904" s="160">
        <v>1</v>
      </c>
      <c r="Y904" s="160">
        <v>1</v>
      </c>
      <c r="Z904" s="160">
        <v>1</v>
      </c>
      <c r="AA904" s="160">
        <v>1</v>
      </c>
    </row>
    <row r="905" spans="1:27" ht="18" customHeight="1" x14ac:dyDescent="0.25">
      <c r="A905" s="159">
        <v>3211</v>
      </c>
      <c r="B905" s="164" t="s">
        <v>266</v>
      </c>
      <c r="C905" s="164" t="s">
        <v>519</v>
      </c>
      <c r="D905" s="159" t="s">
        <v>935</v>
      </c>
      <c r="E905" s="164" t="s">
        <v>933</v>
      </c>
      <c r="F905" s="159"/>
      <c r="G905" s="157" t="s">
        <v>1349</v>
      </c>
      <c r="H905" s="157" t="s">
        <v>1350</v>
      </c>
      <c r="I905" s="157" t="s">
        <v>2060</v>
      </c>
      <c r="J905" s="157" t="s">
        <v>8295</v>
      </c>
      <c r="K905" s="157" t="s">
        <v>1554</v>
      </c>
      <c r="L905" s="157" t="s">
        <v>2062</v>
      </c>
      <c r="M905" s="157" t="str">
        <f t="shared" si="23"/>
        <v>Short/Mid Range Radar R / Radar -86° - Distance Measurements</v>
      </c>
      <c r="N905" s="157"/>
      <c r="O905" s="157"/>
      <c r="P905" s="159" t="s">
        <v>2347</v>
      </c>
      <c r="Q905" s="157" t="s">
        <v>2115</v>
      </c>
      <c r="R905" s="157" t="s">
        <v>8292</v>
      </c>
      <c r="S905" s="157" t="s">
        <v>8627</v>
      </c>
      <c r="T905" s="157"/>
      <c r="U905" s="159" t="s">
        <v>2129</v>
      </c>
      <c r="V905" s="159" t="s">
        <v>2129</v>
      </c>
      <c r="W905" s="159" t="s">
        <v>2138</v>
      </c>
      <c r="X905" s="160">
        <v>1</v>
      </c>
      <c r="Y905" s="160">
        <v>1</v>
      </c>
      <c r="Z905" s="160">
        <v>1</v>
      </c>
      <c r="AA905" s="160">
        <v>1</v>
      </c>
    </row>
    <row r="906" spans="1:27" ht="18" customHeight="1" x14ac:dyDescent="0.25">
      <c r="A906" s="159">
        <v>3211</v>
      </c>
      <c r="B906" s="164" t="s">
        <v>266</v>
      </c>
      <c r="C906" s="164" t="s">
        <v>519</v>
      </c>
      <c r="D906" s="159" t="s">
        <v>1151</v>
      </c>
      <c r="E906" s="164" t="s">
        <v>1149</v>
      </c>
      <c r="F906" s="159"/>
      <c r="G906" s="157" t="s">
        <v>1349</v>
      </c>
      <c r="H906" s="157" t="s">
        <v>1350</v>
      </c>
      <c r="I906" s="157" t="s">
        <v>2060</v>
      </c>
      <c r="J906" s="157" t="s">
        <v>8295</v>
      </c>
      <c r="K906" s="157" t="s">
        <v>1554</v>
      </c>
      <c r="L906" s="157" t="s">
        <v>2062</v>
      </c>
      <c r="M906" s="157" t="str">
        <f t="shared" ref="M906:M969" si="24">CONCATENATE(L906," - ",I906)</f>
        <v>Short/Mid Range Radar R / Radar -86° - Distance Measurements</v>
      </c>
      <c r="N906" s="157"/>
      <c r="O906" s="157"/>
      <c r="P906" s="159" t="s">
        <v>2347</v>
      </c>
      <c r="Q906" s="157" t="s">
        <v>2115</v>
      </c>
      <c r="R906" s="157" t="s">
        <v>8292</v>
      </c>
      <c r="S906" s="157" t="s">
        <v>8627</v>
      </c>
      <c r="T906" s="157"/>
      <c r="U906" s="159" t="s">
        <v>2129</v>
      </c>
      <c r="V906" s="159" t="s">
        <v>2129</v>
      </c>
      <c r="W906" s="159" t="s">
        <v>2138</v>
      </c>
      <c r="X906" s="160">
        <v>1</v>
      </c>
      <c r="Y906" s="160">
        <v>1</v>
      </c>
      <c r="Z906" s="160">
        <v>1</v>
      </c>
      <c r="AA906" s="160">
        <v>1</v>
      </c>
    </row>
    <row r="907" spans="1:27" ht="18" customHeight="1" x14ac:dyDescent="0.25">
      <c r="A907" s="159">
        <v>3211</v>
      </c>
      <c r="B907" s="164" t="s">
        <v>266</v>
      </c>
      <c r="C907" s="164" t="s">
        <v>519</v>
      </c>
      <c r="D907" s="159" t="s">
        <v>1159</v>
      </c>
      <c r="E907" s="164" t="s">
        <v>1157</v>
      </c>
      <c r="F907" s="159"/>
      <c r="G907" s="157" t="s">
        <v>1349</v>
      </c>
      <c r="H907" s="157" t="s">
        <v>1350</v>
      </c>
      <c r="I907" s="157" t="s">
        <v>2060</v>
      </c>
      <c r="J907" s="157" t="s">
        <v>8295</v>
      </c>
      <c r="K907" s="157" t="s">
        <v>1554</v>
      </c>
      <c r="L907" s="157" t="s">
        <v>2062</v>
      </c>
      <c r="M907" s="157" t="str">
        <f t="shared" si="24"/>
        <v>Short/Mid Range Radar R / Radar -86° - Distance Measurements</v>
      </c>
      <c r="N907" s="157"/>
      <c r="O907" s="157"/>
      <c r="P907" s="159" t="s">
        <v>2347</v>
      </c>
      <c r="Q907" s="157" t="s">
        <v>2115</v>
      </c>
      <c r="R907" s="157" t="s">
        <v>8292</v>
      </c>
      <c r="S907" s="157" t="s">
        <v>8627</v>
      </c>
      <c r="T907" s="157"/>
      <c r="U907" s="159" t="s">
        <v>2129</v>
      </c>
      <c r="V907" s="159" t="s">
        <v>2129</v>
      </c>
      <c r="W907" s="159" t="s">
        <v>2138</v>
      </c>
      <c r="X907" s="160">
        <v>1</v>
      </c>
      <c r="Y907" s="160">
        <v>1</v>
      </c>
      <c r="Z907" s="160">
        <v>1</v>
      </c>
      <c r="AA907" s="160">
        <v>1</v>
      </c>
    </row>
    <row r="908" spans="1:27" ht="18" customHeight="1" x14ac:dyDescent="0.25">
      <c r="A908" s="159">
        <v>3212</v>
      </c>
      <c r="B908" s="164" t="s">
        <v>266</v>
      </c>
      <c r="C908" s="164" t="s">
        <v>276</v>
      </c>
      <c r="D908" s="159" t="s">
        <v>726</v>
      </c>
      <c r="E908" s="164" t="s">
        <v>724</v>
      </c>
      <c r="F908" s="159"/>
      <c r="G908" s="157" t="s">
        <v>1349</v>
      </c>
      <c r="H908" s="157" t="s">
        <v>1350</v>
      </c>
      <c r="I908" s="157" t="s">
        <v>2060</v>
      </c>
      <c r="J908" s="157" t="s">
        <v>8295</v>
      </c>
      <c r="K908" s="157" t="s">
        <v>1554</v>
      </c>
      <c r="L908" s="157" t="s">
        <v>2063</v>
      </c>
      <c r="M908" s="157" t="str">
        <f t="shared" si="24"/>
        <v>Short/Mid Range Radar L / Radar +86° - Distance Measurements</v>
      </c>
      <c r="N908" s="157"/>
      <c r="O908" s="157"/>
      <c r="P908" s="159" t="s">
        <v>8146</v>
      </c>
      <c r="Q908" s="157" t="s">
        <v>2115</v>
      </c>
      <c r="R908" s="157" t="s">
        <v>8292</v>
      </c>
      <c r="S908" s="157" t="s">
        <v>8627</v>
      </c>
      <c r="T908" s="157"/>
      <c r="U908" s="159" t="s">
        <v>2129</v>
      </c>
      <c r="V908" s="159" t="s">
        <v>2129</v>
      </c>
      <c r="W908" s="159" t="s">
        <v>2138</v>
      </c>
      <c r="X908" s="160">
        <v>1</v>
      </c>
      <c r="Y908" s="160">
        <v>1</v>
      </c>
      <c r="Z908" s="160">
        <v>1</v>
      </c>
      <c r="AA908" s="160">
        <v>1</v>
      </c>
    </row>
    <row r="909" spans="1:27" ht="18" customHeight="1" x14ac:dyDescent="0.25">
      <c r="A909" s="159">
        <v>3212</v>
      </c>
      <c r="B909" s="164" t="s">
        <v>266</v>
      </c>
      <c r="C909" s="164" t="s">
        <v>267</v>
      </c>
      <c r="D909" s="159" t="s">
        <v>270</v>
      </c>
      <c r="E909" s="164" t="s">
        <v>268</v>
      </c>
      <c r="F909" s="159"/>
      <c r="G909" s="157" t="s">
        <v>1349</v>
      </c>
      <c r="H909" s="157" t="s">
        <v>1350</v>
      </c>
      <c r="I909" s="157" t="s">
        <v>2060</v>
      </c>
      <c r="J909" s="157" t="s">
        <v>8295</v>
      </c>
      <c r="K909" s="157" t="s">
        <v>1554</v>
      </c>
      <c r="L909" s="157" t="s">
        <v>2063</v>
      </c>
      <c r="M909" s="157" t="str">
        <f t="shared" si="24"/>
        <v>Short/Mid Range Radar L / Radar +86° - Distance Measurements</v>
      </c>
      <c r="N909" s="157"/>
      <c r="O909" s="157"/>
      <c r="P909" s="159" t="s">
        <v>8146</v>
      </c>
      <c r="Q909" s="157" t="s">
        <v>2115</v>
      </c>
      <c r="R909" s="157" t="s">
        <v>8292</v>
      </c>
      <c r="S909" s="157" t="s">
        <v>8627</v>
      </c>
      <c r="T909" s="157"/>
      <c r="U909" s="159" t="s">
        <v>2129</v>
      </c>
      <c r="V909" s="159" t="s">
        <v>2129</v>
      </c>
      <c r="W909" s="159" t="s">
        <v>2138</v>
      </c>
      <c r="X909" s="160">
        <v>1</v>
      </c>
      <c r="Y909" s="160">
        <v>1</v>
      </c>
      <c r="Z909" s="160">
        <v>1</v>
      </c>
      <c r="AA909" s="160">
        <v>1</v>
      </c>
    </row>
    <row r="910" spans="1:27" ht="18" customHeight="1" x14ac:dyDescent="0.25">
      <c r="A910" s="159">
        <v>3212</v>
      </c>
      <c r="B910" s="164" t="s">
        <v>266</v>
      </c>
      <c r="C910" s="164" t="s">
        <v>294</v>
      </c>
      <c r="D910" s="159" t="s">
        <v>297</v>
      </c>
      <c r="E910" s="164" t="s">
        <v>295</v>
      </c>
      <c r="F910" s="159"/>
      <c r="G910" s="157" t="s">
        <v>1349</v>
      </c>
      <c r="H910" s="157" t="s">
        <v>1350</v>
      </c>
      <c r="I910" s="157" t="s">
        <v>2060</v>
      </c>
      <c r="J910" s="157" t="s">
        <v>8295</v>
      </c>
      <c r="K910" s="157" t="s">
        <v>1554</v>
      </c>
      <c r="L910" s="157" t="s">
        <v>2063</v>
      </c>
      <c r="M910" s="157" t="str">
        <f t="shared" si="24"/>
        <v>Short/Mid Range Radar L / Radar +86° - Distance Measurements</v>
      </c>
      <c r="N910" s="157"/>
      <c r="O910" s="157"/>
      <c r="P910" s="159" t="s">
        <v>8146</v>
      </c>
      <c r="Q910" s="157" t="s">
        <v>2115</v>
      </c>
      <c r="R910" s="157" t="s">
        <v>8292</v>
      </c>
      <c r="S910" s="157" t="s">
        <v>8627</v>
      </c>
      <c r="T910" s="157"/>
      <c r="U910" s="159" t="s">
        <v>2129</v>
      </c>
      <c r="V910" s="159" t="s">
        <v>2129</v>
      </c>
      <c r="W910" s="159" t="s">
        <v>2138</v>
      </c>
      <c r="X910" s="160">
        <v>1</v>
      </c>
      <c r="Y910" s="160">
        <v>1</v>
      </c>
      <c r="Z910" s="160">
        <v>1</v>
      </c>
      <c r="AA910" s="160">
        <v>1</v>
      </c>
    </row>
    <row r="911" spans="1:27" ht="18" customHeight="1" x14ac:dyDescent="0.25">
      <c r="A911" s="159">
        <v>3212</v>
      </c>
      <c r="B911" s="164" t="s">
        <v>266</v>
      </c>
      <c r="C911" s="164" t="s">
        <v>294</v>
      </c>
      <c r="D911" s="159" t="s">
        <v>298</v>
      </c>
      <c r="E911" s="164" t="s">
        <v>299</v>
      </c>
      <c r="F911" s="159"/>
      <c r="G911" s="157" t="s">
        <v>1349</v>
      </c>
      <c r="H911" s="157" t="s">
        <v>1350</v>
      </c>
      <c r="I911" s="157" t="s">
        <v>2060</v>
      </c>
      <c r="J911" s="157" t="s">
        <v>8295</v>
      </c>
      <c r="K911" s="157" t="s">
        <v>1554</v>
      </c>
      <c r="L911" s="157" t="s">
        <v>2063</v>
      </c>
      <c r="M911" s="157" t="str">
        <f t="shared" si="24"/>
        <v>Short/Mid Range Radar L / Radar +86° - Distance Measurements</v>
      </c>
      <c r="N911" s="157"/>
      <c r="O911" s="157"/>
      <c r="P911" s="159" t="s">
        <v>8146</v>
      </c>
      <c r="Q911" s="157" t="s">
        <v>2115</v>
      </c>
      <c r="R911" s="157" t="s">
        <v>8292</v>
      </c>
      <c r="S911" s="157" t="s">
        <v>8627</v>
      </c>
      <c r="T911" s="157"/>
      <c r="U911" s="159" t="s">
        <v>2129</v>
      </c>
      <c r="V911" s="159" t="s">
        <v>2129</v>
      </c>
      <c r="W911" s="159" t="s">
        <v>2138</v>
      </c>
      <c r="X911" s="160">
        <v>1</v>
      </c>
      <c r="Y911" s="160">
        <v>1</v>
      </c>
      <c r="Z911" s="160">
        <v>1</v>
      </c>
      <c r="AA911" s="160">
        <v>1</v>
      </c>
    </row>
    <row r="912" spans="1:27" ht="18" customHeight="1" x14ac:dyDescent="0.25">
      <c r="A912" s="159">
        <v>3212</v>
      </c>
      <c r="B912" s="164" t="s">
        <v>266</v>
      </c>
      <c r="C912" s="164" t="s">
        <v>294</v>
      </c>
      <c r="D912" s="159" t="s">
        <v>503</v>
      </c>
      <c r="E912" s="164" t="s">
        <v>501</v>
      </c>
      <c r="F912" s="159"/>
      <c r="G912" s="157" t="s">
        <v>1349</v>
      </c>
      <c r="H912" s="157" t="s">
        <v>1350</v>
      </c>
      <c r="I912" s="157" t="s">
        <v>2060</v>
      </c>
      <c r="J912" s="157" t="s">
        <v>8295</v>
      </c>
      <c r="K912" s="157" t="s">
        <v>1554</v>
      </c>
      <c r="L912" s="157" t="s">
        <v>2063</v>
      </c>
      <c r="M912" s="157" t="str">
        <f t="shared" si="24"/>
        <v>Short/Mid Range Radar L / Radar +86° - Distance Measurements</v>
      </c>
      <c r="N912" s="157"/>
      <c r="O912" s="157"/>
      <c r="P912" s="159" t="s">
        <v>8146</v>
      </c>
      <c r="Q912" s="157" t="s">
        <v>2115</v>
      </c>
      <c r="R912" s="157" t="s">
        <v>8292</v>
      </c>
      <c r="S912" s="157" t="s">
        <v>8627</v>
      </c>
      <c r="T912" s="157"/>
      <c r="U912" s="159" t="s">
        <v>2129</v>
      </c>
      <c r="V912" s="159" t="s">
        <v>2129</v>
      </c>
      <c r="W912" s="159" t="s">
        <v>2138</v>
      </c>
      <c r="X912" s="160">
        <v>1</v>
      </c>
      <c r="Y912" s="160">
        <v>1</v>
      </c>
      <c r="Z912" s="160">
        <v>1</v>
      </c>
      <c r="AA912" s="160">
        <v>1</v>
      </c>
    </row>
    <row r="913" spans="1:27" ht="18" customHeight="1" x14ac:dyDescent="0.25">
      <c r="A913" s="159">
        <v>3212</v>
      </c>
      <c r="B913" s="164" t="s">
        <v>266</v>
      </c>
      <c r="C913" s="164" t="s">
        <v>294</v>
      </c>
      <c r="D913" s="159" t="s">
        <v>692</v>
      </c>
      <c r="E913" s="164" t="s">
        <v>690</v>
      </c>
      <c r="F913" s="159"/>
      <c r="G913" s="157" t="s">
        <v>1349</v>
      </c>
      <c r="H913" s="157" t="s">
        <v>1350</v>
      </c>
      <c r="I913" s="157" t="s">
        <v>2060</v>
      </c>
      <c r="J913" s="157" t="s">
        <v>8295</v>
      </c>
      <c r="K913" s="157" t="s">
        <v>1554</v>
      </c>
      <c r="L913" s="157" t="s">
        <v>2063</v>
      </c>
      <c r="M913" s="157" t="str">
        <f t="shared" si="24"/>
        <v>Short/Mid Range Radar L / Radar +86° - Distance Measurements</v>
      </c>
      <c r="N913" s="157"/>
      <c r="O913" s="157"/>
      <c r="P913" s="159" t="s">
        <v>8146</v>
      </c>
      <c r="Q913" s="157" t="s">
        <v>2115</v>
      </c>
      <c r="R913" s="157" t="s">
        <v>8292</v>
      </c>
      <c r="S913" s="157" t="s">
        <v>8627</v>
      </c>
      <c r="T913" s="157"/>
      <c r="U913" s="159" t="s">
        <v>2129</v>
      </c>
      <c r="V913" s="159" t="s">
        <v>2129</v>
      </c>
      <c r="W913" s="159" t="s">
        <v>2138</v>
      </c>
      <c r="X913" s="160">
        <v>1</v>
      </c>
      <c r="Y913" s="160">
        <v>1</v>
      </c>
      <c r="Z913" s="160">
        <v>1</v>
      </c>
      <c r="AA913" s="160">
        <v>1</v>
      </c>
    </row>
    <row r="914" spans="1:27" ht="18" customHeight="1" x14ac:dyDescent="0.25">
      <c r="A914" s="159">
        <v>3212</v>
      </c>
      <c r="B914" s="164" t="s">
        <v>266</v>
      </c>
      <c r="C914" s="164" t="s">
        <v>294</v>
      </c>
      <c r="D914" s="159" t="s">
        <v>1177</v>
      </c>
      <c r="E914" s="164" t="s">
        <v>1175</v>
      </c>
      <c r="F914" s="159"/>
      <c r="G914" s="157" t="s">
        <v>1349</v>
      </c>
      <c r="H914" s="157" t="s">
        <v>1350</v>
      </c>
      <c r="I914" s="157" t="s">
        <v>2060</v>
      </c>
      <c r="J914" s="157" t="s">
        <v>8295</v>
      </c>
      <c r="K914" s="157" t="s">
        <v>1554</v>
      </c>
      <c r="L914" s="157" t="s">
        <v>2063</v>
      </c>
      <c r="M914" s="157" t="str">
        <f t="shared" si="24"/>
        <v>Short/Mid Range Radar L / Radar +86° - Distance Measurements</v>
      </c>
      <c r="N914" s="157"/>
      <c r="O914" s="157"/>
      <c r="P914" s="159" t="s">
        <v>8146</v>
      </c>
      <c r="Q914" s="157" t="s">
        <v>2115</v>
      </c>
      <c r="R914" s="157" t="s">
        <v>8292</v>
      </c>
      <c r="S914" s="157" t="s">
        <v>8627</v>
      </c>
      <c r="T914" s="157"/>
      <c r="U914" s="159" t="s">
        <v>2129</v>
      </c>
      <c r="V914" s="159" t="s">
        <v>2129</v>
      </c>
      <c r="W914" s="159" t="s">
        <v>2138</v>
      </c>
      <c r="X914" s="160">
        <v>1</v>
      </c>
      <c r="Y914" s="160">
        <v>1</v>
      </c>
      <c r="Z914" s="160">
        <v>1</v>
      </c>
      <c r="AA914" s="160">
        <v>1</v>
      </c>
    </row>
    <row r="915" spans="1:27" ht="18" customHeight="1" x14ac:dyDescent="0.25">
      <c r="A915" s="159">
        <v>3212</v>
      </c>
      <c r="B915" s="164" t="s">
        <v>266</v>
      </c>
      <c r="C915" s="164" t="s">
        <v>294</v>
      </c>
      <c r="D915" s="159" t="s">
        <v>1178</v>
      </c>
      <c r="E915" s="164" t="s">
        <v>1179</v>
      </c>
      <c r="F915" s="159"/>
      <c r="G915" s="157" t="s">
        <v>1349</v>
      </c>
      <c r="H915" s="157" t="s">
        <v>1350</v>
      </c>
      <c r="I915" s="157" t="s">
        <v>2060</v>
      </c>
      <c r="J915" s="157" t="s">
        <v>8295</v>
      </c>
      <c r="K915" s="157" t="s">
        <v>1554</v>
      </c>
      <c r="L915" s="157" t="s">
        <v>2063</v>
      </c>
      <c r="M915" s="157" t="str">
        <f t="shared" si="24"/>
        <v>Short/Mid Range Radar L / Radar +86° - Distance Measurements</v>
      </c>
      <c r="N915" s="157"/>
      <c r="O915" s="157"/>
      <c r="P915" s="159" t="s">
        <v>8146</v>
      </c>
      <c r="Q915" s="157" t="s">
        <v>2115</v>
      </c>
      <c r="R915" s="157" t="s">
        <v>8292</v>
      </c>
      <c r="S915" s="157" t="s">
        <v>8627</v>
      </c>
      <c r="T915" s="157"/>
      <c r="U915" s="159" t="s">
        <v>2129</v>
      </c>
      <c r="V915" s="159" t="s">
        <v>2129</v>
      </c>
      <c r="W915" s="159" t="s">
        <v>2138</v>
      </c>
      <c r="X915" s="160">
        <v>1</v>
      </c>
      <c r="Y915" s="160">
        <v>1</v>
      </c>
      <c r="Z915" s="160">
        <v>1</v>
      </c>
      <c r="AA915" s="160">
        <v>1</v>
      </c>
    </row>
    <row r="916" spans="1:27" ht="18" customHeight="1" x14ac:dyDescent="0.25">
      <c r="A916" s="159">
        <v>3212</v>
      </c>
      <c r="B916" s="164" t="s">
        <v>266</v>
      </c>
      <c r="C916" s="164" t="s">
        <v>294</v>
      </c>
      <c r="D916" s="159" t="s">
        <v>1207</v>
      </c>
      <c r="E916" s="164" t="s">
        <v>1205</v>
      </c>
      <c r="F916" s="159"/>
      <c r="G916" s="157" t="s">
        <v>1349</v>
      </c>
      <c r="H916" s="157" t="s">
        <v>1350</v>
      </c>
      <c r="I916" s="157" t="s">
        <v>2060</v>
      </c>
      <c r="J916" s="157" t="s">
        <v>8295</v>
      </c>
      <c r="K916" s="157" t="s">
        <v>1554</v>
      </c>
      <c r="L916" s="157" t="s">
        <v>2063</v>
      </c>
      <c r="M916" s="157" t="str">
        <f t="shared" si="24"/>
        <v>Short/Mid Range Radar L / Radar +86° - Distance Measurements</v>
      </c>
      <c r="N916" s="157"/>
      <c r="O916" s="157"/>
      <c r="P916" s="159" t="s">
        <v>8146</v>
      </c>
      <c r="Q916" s="157" t="s">
        <v>2115</v>
      </c>
      <c r="R916" s="157" t="s">
        <v>8292</v>
      </c>
      <c r="S916" s="157" t="s">
        <v>8627</v>
      </c>
      <c r="T916" s="157"/>
      <c r="U916" s="159" t="s">
        <v>2129</v>
      </c>
      <c r="V916" s="159" t="s">
        <v>2129</v>
      </c>
      <c r="W916" s="159" t="s">
        <v>2138</v>
      </c>
      <c r="X916" s="160">
        <v>1</v>
      </c>
      <c r="Y916" s="160">
        <v>1</v>
      </c>
      <c r="Z916" s="160">
        <v>1</v>
      </c>
      <c r="AA916" s="160">
        <v>1</v>
      </c>
    </row>
    <row r="917" spans="1:27" ht="18" customHeight="1" x14ac:dyDescent="0.25">
      <c r="A917" s="159">
        <v>3212</v>
      </c>
      <c r="B917" s="164" t="s">
        <v>266</v>
      </c>
      <c r="C917" s="164" t="s">
        <v>519</v>
      </c>
      <c r="D917" s="159" t="s">
        <v>522</v>
      </c>
      <c r="E917" s="164" t="s">
        <v>520</v>
      </c>
      <c r="F917" s="159"/>
      <c r="G917" s="157" t="s">
        <v>1349</v>
      </c>
      <c r="H917" s="157" t="s">
        <v>1350</v>
      </c>
      <c r="I917" s="157" t="s">
        <v>2060</v>
      </c>
      <c r="J917" s="157" t="s">
        <v>8295</v>
      </c>
      <c r="K917" s="157" t="s">
        <v>1554</v>
      </c>
      <c r="L917" s="157" t="s">
        <v>2063</v>
      </c>
      <c r="M917" s="157" t="str">
        <f t="shared" si="24"/>
        <v>Short/Mid Range Radar L / Radar +86° - Distance Measurements</v>
      </c>
      <c r="N917" s="157"/>
      <c r="O917" s="157"/>
      <c r="P917" s="159" t="s">
        <v>8146</v>
      </c>
      <c r="Q917" s="157" t="s">
        <v>2115</v>
      </c>
      <c r="R917" s="157" t="s">
        <v>8292</v>
      </c>
      <c r="S917" s="157" t="s">
        <v>8627</v>
      </c>
      <c r="T917" s="157"/>
      <c r="U917" s="159" t="s">
        <v>2129</v>
      </c>
      <c r="V917" s="159" t="s">
        <v>2129</v>
      </c>
      <c r="W917" s="159" t="s">
        <v>2138</v>
      </c>
      <c r="X917" s="160">
        <v>1</v>
      </c>
      <c r="Y917" s="160">
        <v>1</v>
      </c>
      <c r="Z917" s="160">
        <v>1</v>
      </c>
      <c r="AA917" s="160">
        <v>1</v>
      </c>
    </row>
    <row r="918" spans="1:27" ht="18" customHeight="1" x14ac:dyDescent="0.25">
      <c r="A918" s="159">
        <v>3212</v>
      </c>
      <c r="B918" s="164" t="s">
        <v>266</v>
      </c>
      <c r="C918" s="164" t="s">
        <v>519</v>
      </c>
      <c r="D918" s="159" t="s">
        <v>526</v>
      </c>
      <c r="E918" s="164" t="s">
        <v>524</v>
      </c>
      <c r="F918" s="159"/>
      <c r="G918" s="157" t="s">
        <v>1349</v>
      </c>
      <c r="H918" s="157" t="s">
        <v>1350</v>
      </c>
      <c r="I918" s="157" t="s">
        <v>2060</v>
      </c>
      <c r="J918" s="157" t="s">
        <v>8295</v>
      </c>
      <c r="K918" s="157" t="s">
        <v>1554</v>
      </c>
      <c r="L918" s="157" t="s">
        <v>2063</v>
      </c>
      <c r="M918" s="157" t="str">
        <f t="shared" si="24"/>
        <v>Short/Mid Range Radar L / Radar +86° - Distance Measurements</v>
      </c>
      <c r="N918" s="157"/>
      <c r="O918" s="157"/>
      <c r="P918" s="159" t="s">
        <v>8146</v>
      </c>
      <c r="Q918" s="157" t="s">
        <v>2115</v>
      </c>
      <c r="R918" s="157" t="s">
        <v>8292</v>
      </c>
      <c r="S918" s="157" t="s">
        <v>8627</v>
      </c>
      <c r="T918" s="157"/>
      <c r="U918" s="159" t="s">
        <v>2129</v>
      </c>
      <c r="V918" s="159" t="s">
        <v>2129</v>
      </c>
      <c r="W918" s="159" t="s">
        <v>2138</v>
      </c>
      <c r="X918" s="160">
        <v>1</v>
      </c>
      <c r="Y918" s="160">
        <v>1</v>
      </c>
      <c r="Z918" s="160">
        <v>1</v>
      </c>
      <c r="AA918" s="160">
        <v>1</v>
      </c>
    </row>
    <row r="919" spans="1:27" ht="18" customHeight="1" x14ac:dyDescent="0.25">
      <c r="A919" s="159">
        <v>3212</v>
      </c>
      <c r="B919" s="164" t="s">
        <v>266</v>
      </c>
      <c r="C919" s="164" t="s">
        <v>519</v>
      </c>
      <c r="D919" s="159" t="s">
        <v>530</v>
      </c>
      <c r="E919" s="164" t="s">
        <v>528</v>
      </c>
      <c r="F919" s="159"/>
      <c r="G919" s="157" t="s">
        <v>1349</v>
      </c>
      <c r="H919" s="157" t="s">
        <v>1350</v>
      </c>
      <c r="I919" s="157" t="s">
        <v>2060</v>
      </c>
      <c r="J919" s="157" t="s">
        <v>8295</v>
      </c>
      <c r="K919" s="157" t="s">
        <v>1554</v>
      </c>
      <c r="L919" s="157" t="s">
        <v>2063</v>
      </c>
      <c r="M919" s="157" t="str">
        <f t="shared" si="24"/>
        <v>Short/Mid Range Radar L / Radar +86° - Distance Measurements</v>
      </c>
      <c r="N919" s="157"/>
      <c r="O919" s="157"/>
      <c r="P919" s="159" t="s">
        <v>8146</v>
      </c>
      <c r="Q919" s="157" t="s">
        <v>2115</v>
      </c>
      <c r="R919" s="157" t="s">
        <v>8292</v>
      </c>
      <c r="S919" s="157" t="s">
        <v>8627</v>
      </c>
      <c r="T919" s="157"/>
      <c r="U919" s="159" t="s">
        <v>2129</v>
      </c>
      <c r="V919" s="159" t="s">
        <v>2129</v>
      </c>
      <c r="W919" s="159" t="s">
        <v>2138</v>
      </c>
      <c r="X919" s="160">
        <v>1</v>
      </c>
      <c r="Y919" s="160">
        <v>1</v>
      </c>
      <c r="Z919" s="160">
        <v>1</v>
      </c>
      <c r="AA919" s="160">
        <v>1</v>
      </c>
    </row>
    <row r="920" spans="1:27" ht="18" customHeight="1" x14ac:dyDescent="0.25">
      <c r="A920" s="159">
        <v>3212</v>
      </c>
      <c r="B920" s="164" t="s">
        <v>266</v>
      </c>
      <c r="C920" s="164" t="s">
        <v>519</v>
      </c>
      <c r="D920" s="159" t="s">
        <v>787</v>
      </c>
      <c r="E920" s="164" t="s">
        <v>785</v>
      </c>
      <c r="F920" s="159"/>
      <c r="G920" s="157" t="s">
        <v>1349</v>
      </c>
      <c r="H920" s="157" t="s">
        <v>1350</v>
      </c>
      <c r="I920" s="157" t="s">
        <v>2060</v>
      </c>
      <c r="J920" s="157" t="s">
        <v>8295</v>
      </c>
      <c r="K920" s="157" t="s">
        <v>1554</v>
      </c>
      <c r="L920" s="157" t="s">
        <v>2063</v>
      </c>
      <c r="M920" s="157" t="str">
        <f t="shared" si="24"/>
        <v>Short/Mid Range Radar L / Radar +86° - Distance Measurements</v>
      </c>
      <c r="N920" s="157"/>
      <c r="O920" s="157"/>
      <c r="P920" s="159" t="s">
        <v>8146</v>
      </c>
      <c r="Q920" s="157" t="s">
        <v>2115</v>
      </c>
      <c r="R920" s="157" t="s">
        <v>8292</v>
      </c>
      <c r="S920" s="157" t="s">
        <v>8627</v>
      </c>
      <c r="T920" s="157"/>
      <c r="U920" s="159" t="s">
        <v>2129</v>
      </c>
      <c r="V920" s="159" t="s">
        <v>2129</v>
      </c>
      <c r="W920" s="159" t="s">
        <v>2138</v>
      </c>
      <c r="X920" s="160">
        <v>1</v>
      </c>
      <c r="Y920" s="160">
        <v>1</v>
      </c>
      <c r="Z920" s="160">
        <v>1</v>
      </c>
      <c r="AA920" s="160">
        <v>1</v>
      </c>
    </row>
    <row r="921" spans="1:27" ht="18" customHeight="1" x14ac:dyDescent="0.25">
      <c r="A921" s="159">
        <v>3212</v>
      </c>
      <c r="B921" s="164" t="s">
        <v>266</v>
      </c>
      <c r="C921" s="164" t="s">
        <v>519</v>
      </c>
      <c r="D921" s="159" t="s">
        <v>935</v>
      </c>
      <c r="E921" s="164" t="s">
        <v>933</v>
      </c>
      <c r="F921" s="159"/>
      <c r="G921" s="157" t="s">
        <v>1349</v>
      </c>
      <c r="H921" s="157" t="s">
        <v>1350</v>
      </c>
      <c r="I921" s="157" t="s">
        <v>2060</v>
      </c>
      <c r="J921" s="157" t="s">
        <v>8295</v>
      </c>
      <c r="K921" s="157" t="s">
        <v>1554</v>
      </c>
      <c r="L921" s="157" t="s">
        <v>2063</v>
      </c>
      <c r="M921" s="157" t="str">
        <f t="shared" si="24"/>
        <v>Short/Mid Range Radar L / Radar +86° - Distance Measurements</v>
      </c>
      <c r="N921" s="157"/>
      <c r="O921" s="157"/>
      <c r="P921" s="159" t="s">
        <v>8146</v>
      </c>
      <c r="Q921" s="157" t="s">
        <v>2115</v>
      </c>
      <c r="R921" s="157" t="s">
        <v>8292</v>
      </c>
      <c r="S921" s="157" t="s">
        <v>8627</v>
      </c>
      <c r="T921" s="157"/>
      <c r="U921" s="159" t="s">
        <v>2129</v>
      </c>
      <c r="V921" s="159" t="s">
        <v>2129</v>
      </c>
      <c r="W921" s="159" t="s">
        <v>2138</v>
      </c>
      <c r="X921" s="160">
        <v>1</v>
      </c>
      <c r="Y921" s="160">
        <v>1</v>
      </c>
      <c r="Z921" s="160">
        <v>1</v>
      </c>
      <c r="AA921" s="160">
        <v>1</v>
      </c>
    </row>
    <row r="922" spans="1:27" ht="18" customHeight="1" x14ac:dyDescent="0.25">
      <c r="A922" s="159">
        <v>3212</v>
      </c>
      <c r="B922" s="164" t="s">
        <v>266</v>
      </c>
      <c r="C922" s="164" t="s">
        <v>519</v>
      </c>
      <c r="D922" s="159" t="s">
        <v>1151</v>
      </c>
      <c r="E922" s="164" t="s">
        <v>1149</v>
      </c>
      <c r="F922" s="159"/>
      <c r="G922" s="157" t="s">
        <v>1349</v>
      </c>
      <c r="H922" s="157" t="s">
        <v>1350</v>
      </c>
      <c r="I922" s="157" t="s">
        <v>2060</v>
      </c>
      <c r="J922" s="157" t="s">
        <v>8295</v>
      </c>
      <c r="K922" s="157" t="s">
        <v>1554</v>
      </c>
      <c r="L922" s="157" t="s">
        <v>2063</v>
      </c>
      <c r="M922" s="157" t="str">
        <f t="shared" si="24"/>
        <v>Short/Mid Range Radar L / Radar +86° - Distance Measurements</v>
      </c>
      <c r="N922" s="157"/>
      <c r="O922" s="157"/>
      <c r="P922" s="159" t="s">
        <v>8146</v>
      </c>
      <c r="Q922" s="157" t="s">
        <v>2115</v>
      </c>
      <c r="R922" s="157" t="s">
        <v>8292</v>
      </c>
      <c r="S922" s="157" t="s">
        <v>8627</v>
      </c>
      <c r="T922" s="157"/>
      <c r="U922" s="159" t="s">
        <v>2129</v>
      </c>
      <c r="V922" s="159" t="s">
        <v>2129</v>
      </c>
      <c r="W922" s="159" t="s">
        <v>2138</v>
      </c>
      <c r="X922" s="160">
        <v>1</v>
      </c>
      <c r="Y922" s="160">
        <v>1</v>
      </c>
      <c r="Z922" s="160">
        <v>1</v>
      </c>
      <c r="AA922" s="160">
        <v>1</v>
      </c>
    </row>
    <row r="923" spans="1:27" ht="18" customHeight="1" x14ac:dyDescent="0.25">
      <c r="A923" s="159">
        <v>3212</v>
      </c>
      <c r="B923" s="164" t="s">
        <v>266</v>
      </c>
      <c r="C923" s="164" t="s">
        <v>519</v>
      </c>
      <c r="D923" s="159" t="s">
        <v>1159</v>
      </c>
      <c r="E923" s="164" t="s">
        <v>1157</v>
      </c>
      <c r="F923" s="159"/>
      <c r="G923" s="157" t="s">
        <v>1349</v>
      </c>
      <c r="H923" s="157" t="s">
        <v>1350</v>
      </c>
      <c r="I923" s="157" t="s">
        <v>2060</v>
      </c>
      <c r="J923" s="157" t="s">
        <v>8295</v>
      </c>
      <c r="K923" s="157" t="s">
        <v>1554</v>
      </c>
      <c r="L923" s="157" t="s">
        <v>2063</v>
      </c>
      <c r="M923" s="157" t="str">
        <f t="shared" si="24"/>
        <v>Short/Mid Range Radar L / Radar +86° - Distance Measurements</v>
      </c>
      <c r="N923" s="157"/>
      <c r="O923" s="157"/>
      <c r="P923" s="159" t="s">
        <v>8146</v>
      </c>
      <c r="Q923" s="157" t="s">
        <v>2115</v>
      </c>
      <c r="R923" s="157" t="s">
        <v>8292</v>
      </c>
      <c r="S923" s="157" t="s">
        <v>8627</v>
      </c>
      <c r="T923" s="157"/>
      <c r="U923" s="159" t="s">
        <v>2129</v>
      </c>
      <c r="V923" s="159" t="s">
        <v>2129</v>
      </c>
      <c r="W923" s="159" t="s">
        <v>2138</v>
      </c>
      <c r="X923" s="160">
        <v>1</v>
      </c>
      <c r="Y923" s="160">
        <v>1</v>
      </c>
      <c r="Z923" s="160">
        <v>1</v>
      </c>
      <c r="AA923" s="160">
        <v>1</v>
      </c>
    </row>
    <row r="924" spans="1:27" ht="18" customHeight="1" x14ac:dyDescent="0.25">
      <c r="A924" s="159">
        <v>3213</v>
      </c>
      <c r="B924" s="164" t="s">
        <v>266</v>
      </c>
      <c r="C924" s="164" t="s">
        <v>276</v>
      </c>
      <c r="D924" s="159" t="s">
        <v>726</v>
      </c>
      <c r="E924" s="164" t="s">
        <v>724</v>
      </c>
      <c r="F924" s="159"/>
      <c r="G924" s="157" t="s">
        <v>1349</v>
      </c>
      <c r="H924" s="157" t="s">
        <v>1350</v>
      </c>
      <c r="I924" s="157" t="s">
        <v>2060</v>
      </c>
      <c r="J924" s="157" t="s">
        <v>8295</v>
      </c>
      <c r="K924" s="157" t="s">
        <v>1554</v>
      </c>
      <c r="L924" s="157" t="s">
        <v>2061</v>
      </c>
      <c r="M924" s="157" t="str">
        <f t="shared" si="24"/>
        <v>Short/Mid Range Radar R / Radar -97° - Distance Measurements</v>
      </c>
      <c r="N924" s="157"/>
      <c r="O924" s="157"/>
      <c r="P924" s="159" t="s">
        <v>2347</v>
      </c>
      <c r="Q924" s="157" t="s">
        <v>2115</v>
      </c>
      <c r="R924" s="157" t="s">
        <v>8292</v>
      </c>
      <c r="S924" s="157" t="s">
        <v>8627</v>
      </c>
      <c r="T924" s="157"/>
      <c r="U924" s="159" t="s">
        <v>2129</v>
      </c>
      <c r="V924" s="159" t="s">
        <v>2129</v>
      </c>
      <c r="W924" s="159" t="s">
        <v>2138</v>
      </c>
      <c r="X924" s="160">
        <v>1</v>
      </c>
      <c r="Y924" s="160">
        <v>1</v>
      </c>
      <c r="Z924" s="160">
        <v>1</v>
      </c>
      <c r="AA924" s="160">
        <v>1</v>
      </c>
    </row>
    <row r="925" spans="1:27" ht="18" customHeight="1" x14ac:dyDescent="0.25">
      <c r="A925" s="159">
        <v>3213</v>
      </c>
      <c r="B925" s="164" t="s">
        <v>266</v>
      </c>
      <c r="C925" s="164" t="s">
        <v>267</v>
      </c>
      <c r="D925" s="159" t="s">
        <v>270</v>
      </c>
      <c r="E925" s="164" t="s">
        <v>268</v>
      </c>
      <c r="F925" s="159"/>
      <c r="G925" s="157" t="s">
        <v>1349</v>
      </c>
      <c r="H925" s="157" t="s">
        <v>1350</v>
      </c>
      <c r="I925" s="157" t="s">
        <v>2060</v>
      </c>
      <c r="J925" s="157" t="s">
        <v>8295</v>
      </c>
      <c r="K925" s="157" t="s">
        <v>1554</v>
      </c>
      <c r="L925" s="157" t="s">
        <v>2061</v>
      </c>
      <c r="M925" s="157" t="str">
        <f t="shared" si="24"/>
        <v>Short/Mid Range Radar R / Radar -97° - Distance Measurements</v>
      </c>
      <c r="N925" s="157"/>
      <c r="O925" s="157"/>
      <c r="P925" s="159" t="s">
        <v>2347</v>
      </c>
      <c r="Q925" s="157" t="s">
        <v>2115</v>
      </c>
      <c r="R925" s="157" t="s">
        <v>8292</v>
      </c>
      <c r="S925" s="157" t="s">
        <v>8627</v>
      </c>
      <c r="T925" s="157"/>
      <c r="U925" s="159" t="s">
        <v>2129</v>
      </c>
      <c r="V925" s="159" t="s">
        <v>2129</v>
      </c>
      <c r="W925" s="159" t="s">
        <v>2138</v>
      </c>
      <c r="X925" s="160">
        <v>1</v>
      </c>
      <c r="Y925" s="160">
        <v>1</v>
      </c>
      <c r="Z925" s="160">
        <v>1</v>
      </c>
      <c r="AA925" s="160">
        <v>1</v>
      </c>
    </row>
    <row r="926" spans="1:27" ht="18" customHeight="1" x14ac:dyDescent="0.25">
      <c r="A926" s="159">
        <v>3213</v>
      </c>
      <c r="B926" s="164" t="s">
        <v>266</v>
      </c>
      <c r="C926" s="164" t="s">
        <v>294</v>
      </c>
      <c r="D926" s="159" t="s">
        <v>297</v>
      </c>
      <c r="E926" s="164" t="s">
        <v>295</v>
      </c>
      <c r="F926" s="159"/>
      <c r="G926" s="157" t="s">
        <v>1349</v>
      </c>
      <c r="H926" s="157" t="s">
        <v>1350</v>
      </c>
      <c r="I926" s="157" t="s">
        <v>2060</v>
      </c>
      <c r="J926" s="157" t="s">
        <v>8295</v>
      </c>
      <c r="K926" s="157" t="s">
        <v>1554</v>
      </c>
      <c r="L926" s="157" t="s">
        <v>2061</v>
      </c>
      <c r="M926" s="157" t="str">
        <f t="shared" si="24"/>
        <v>Short/Mid Range Radar R / Radar -97° - Distance Measurements</v>
      </c>
      <c r="N926" s="157"/>
      <c r="O926" s="157"/>
      <c r="P926" s="159" t="s">
        <v>2347</v>
      </c>
      <c r="Q926" s="157" t="s">
        <v>2115</v>
      </c>
      <c r="R926" s="157" t="s">
        <v>8292</v>
      </c>
      <c r="S926" s="157" t="s">
        <v>8627</v>
      </c>
      <c r="T926" s="157"/>
      <c r="U926" s="159" t="s">
        <v>2129</v>
      </c>
      <c r="V926" s="159" t="s">
        <v>2129</v>
      </c>
      <c r="W926" s="159" t="s">
        <v>2138</v>
      </c>
      <c r="X926" s="160">
        <v>1</v>
      </c>
      <c r="Y926" s="160">
        <v>1</v>
      </c>
      <c r="Z926" s="160">
        <v>1</v>
      </c>
      <c r="AA926" s="160">
        <v>1</v>
      </c>
    </row>
    <row r="927" spans="1:27" ht="18" customHeight="1" x14ac:dyDescent="0.25">
      <c r="A927" s="159">
        <v>3213</v>
      </c>
      <c r="B927" s="164" t="s">
        <v>266</v>
      </c>
      <c r="C927" s="164" t="s">
        <v>294</v>
      </c>
      <c r="D927" s="159" t="s">
        <v>298</v>
      </c>
      <c r="E927" s="164" t="s">
        <v>299</v>
      </c>
      <c r="F927" s="159"/>
      <c r="G927" s="157" t="s">
        <v>1349</v>
      </c>
      <c r="H927" s="157" t="s">
        <v>1350</v>
      </c>
      <c r="I927" s="157" t="s">
        <v>2060</v>
      </c>
      <c r="J927" s="157" t="s">
        <v>8295</v>
      </c>
      <c r="K927" s="157" t="s">
        <v>1554</v>
      </c>
      <c r="L927" s="157" t="s">
        <v>2061</v>
      </c>
      <c r="M927" s="157" t="str">
        <f t="shared" si="24"/>
        <v>Short/Mid Range Radar R / Radar -97° - Distance Measurements</v>
      </c>
      <c r="N927" s="157"/>
      <c r="O927" s="157"/>
      <c r="P927" s="159" t="s">
        <v>2347</v>
      </c>
      <c r="Q927" s="157" t="s">
        <v>2115</v>
      </c>
      <c r="R927" s="157" t="s">
        <v>8292</v>
      </c>
      <c r="S927" s="157" t="s">
        <v>8627</v>
      </c>
      <c r="T927" s="157"/>
      <c r="U927" s="159" t="s">
        <v>2129</v>
      </c>
      <c r="V927" s="159" t="s">
        <v>2129</v>
      </c>
      <c r="W927" s="159" t="s">
        <v>2138</v>
      </c>
      <c r="X927" s="160">
        <v>1</v>
      </c>
      <c r="Y927" s="160">
        <v>1</v>
      </c>
      <c r="Z927" s="160">
        <v>1</v>
      </c>
      <c r="AA927" s="160">
        <v>1</v>
      </c>
    </row>
    <row r="928" spans="1:27" ht="18" customHeight="1" x14ac:dyDescent="0.25">
      <c r="A928" s="159">
        <v>3213</v>
      </c>
      <c r="B928" s="164" t="s">
        <v>266</v>
      </c>
      <c r="C928" s="164" t="s">
        <v>294</v>
      </c>
      <c r="D928" s="159" t="s">
        <v>503</v>
      </c>
      <c r="E928" s="164" t="s">
        <v>501</v>
      </c>
      <c r="F928" s="159"/>
      <c r="G928" s="157" t="s">
        <v>1349</v>
      </c>
      <c r="H928" s="157" t="s">
        <v>1350</v>
      </c>
      <c r="I928" s="157" t="s">
        <v>2060</v>
      </c>
      <c r="J928" s="157" t="s">
        <v>8295</v>
      </c>
      <c r="K928" s="157" t="s">
        <v>1554</v>
      </c>
      <c r="L928" s="157" t="s">
        <v>2061</v>
      </c>
      <c r="M928" s="157" t="str">
        <f t="shared" si="24"/>
        <v>Short/Mid Range Radar R / Radar -97° - Distance Measurements</v>
      </c>
      <c r="N928" s="157"/>
      <c r="O928" s="157"/>
      <c r="P928" s="159" t="s">
        <v>2347</v>
      </c>
      <c r="Q928" s="157" t="s">
        <v>2115</v>
      </c>
      <c r="R928" s="157" t="s">
        <v>8292</v>
      </c>
      <c r="S928" s="157" t="s">
        <v>8627</v>
      </c>
      <c r="T928" s="157"/>
      <c r="U928" s="159" t="s">
        <v>2129</v>
      </c>
      <c r="V928" s="159" t="s">
        <v>2129</v>
      </c>
      <c r="W928" s="159" t="s">
        <v>2138</v>
      </c>
      <c r="X928" s="160">
        <v>1</v>
      </c>
      <c r="Y928" s="160">
        <v>1</v>
      </c>
      <c r="Z928" s="160">
        <v>1</v>
      </c>
      <c r="AA928" s="160">
        <v>1</v>
      </c>
    </row>
    <row r="929" spans="1:27" ht="18" customHeight="1" x14ac:dyDescent="0.25">
      <c r="A929" s="159">
        <v>3213</v>
      </c>
      <c r="B929" s="164" t="s">
        <v>266</v>
      </c>
      <c r="C929" s="164" t="s">
        <v>294</v>
      </c>
      <c r="D929" s="159" t="s">
        <v>692</v>
      </c>
      <c r="E929" s="164" t="s">
        <v>690</v>
      </c>
      <c r="F929" s="159"/>
      <c r="G929" s="157" t="s">
        <v>1349</v>
      </c>
      <c r="H929" s="157" t="s">
        <v>1350</v>
      </c>
      <c r="I929" s="157" t="s">
        <v>2060</v>
      </c>
      <c r="J929" s="157" t="s">
        <v>8295</v>
      </c>
      <c r="K929" s="157" t="s">
        <v>1554</v>
      </c>
      <c r="L929" s="157" t="s">
        <v>2061</v>
      </c>
      <c r="M929" s="157" t="str">
        <f t="shared" si="24"/>
        <v>Short/Mid Range Radar R / Radar -97° - Distance Measurements</v>
      </c>
      <c r="N929" s="157"/>
      <c r="O929" s="157"/>
      <c r="P929" s="159" t="s">
        <v>2347</v>
      </c>
      <c r="Q929" s="157" t="s">
        <v>2115</v>
      </c>
      <c r="R929" s="157" t="s">
        <v>8292</v>
      </c>
      <c r="S929" s="157" t="s">
        <v>8627</v>
      </c>
      <c r="T929" s="157"/>
      <c r="U929" s="159" t="s">
        <v>2129</v>
      </c>
      <c r="V929" s="159" t="s">
        <v>2129</v>
      </c>
      <c r="W929" s="159" t="s">
        <v>2138</v>
      </c>
      <c r="X929" s="160">
        <v>1</v>
      </c>
      <c r="Y929" s="160">
        <v>1</v>
      </c>
      <c r="Z929" s="160">
        <v>1</v>
      </c>
      <c r="AA929" s="160">
        <v>1</v>
      </c>
    </row>
    <row r="930" spans="1:27" ht="18" customHeight="1" x14ac:dyDescent="0.25">
      <c r="A930" s="159">
        <v>3213</v>
      </c>
      <c r="B930" s="164" t="s">
        <v>266</v>
      </c>
      <c r="C930" s="164" t="s">
        <v>294</v>
      </c>
      <c r="D930" s="159" t="s">
        <v>1177</v>
      </c>
      <c r="E930" s="164" t="s">
        <v>1175</v>
      </c>
      <c r="F930" s="159"/>
      <c r="G930" s="157" t="s">
        <v>1349</v>
      </c>
      <c r="H930" s="157" t="s">
        <v>1350</v>
      </c>
      <c r="I930" s="157" t="s">
        <v>2060</v>
      </c>
      <c r="J930" s="157" t="s">
        <v>8295</v>
      </c>
      <c r="K930" s="157" t="s">
        <v>1554</v>
      </c>
      <c r="L930" s="157" t="s">
        <v>2061</v>
      </c>
      <c r="M930" s="157" t="str">
        <f t="shared" si="24"/>
        <v>Short/Mid Range Radar R / Radar -97° - Distance Measurements</v>
      </c>
      <c r="N930" s="157"/>
      <c r="O930" s="157"/>
      <c r="P930" s="159" t="s">
        <v>2347</v>
      </c>
      <c r="Q930" s="157" t="s">
        <v>2115</v>
      </c>
      <c r="R930" s="157" t="s">
        <v>8292</v>
      </c>
      <c r="S930" s="157" t="s">
        <v>8627</v>
      </c>
      <c r="T930" s="157"/>
      <c r="U930" s="159" t="s">
        <v>2129</v>
      </c>
      <c r="V930" s="159" t="s">
        <v>2129</v>
      </c>
      <c r="W930" s="159" t="s">
        <v>2138</v>
      </c>
      <c r="X930" s="160">
        <v>1</v>
      </c>
      <c r="Y930" s="160">
        <v>1</v>
      </c>
      <c r="Z930" s="160">
        <v>1</v>
      </c>
      <c r="AA930" s="160">
        <v>1</v>
      </c>
    </row>
    <row r="931" spans="1:27" ht="18" customHeight="1" x14ac:dyDescent="0.25">
      <c r="A931" s="159">
        <v>3213</v>
      </c>
      <c r="B931" s="164" t="s">
        <v>266</v>
      </c>
      <c r="C931" s="164" t="s">
        <v>294</v>
      </c>
      <c r="D931" s="159" t="s">
        <v>1178</v>
      </c>
      <c r="E931" s="164" t="s">
        <v>1179</v>
      </c>
      <c r="F931" s="159"/>
      <c r="G931" s="157" t="s">
        <v>1349</v>
      </c>
      <c r="H931" s="157" t="s">
        <v>1350</v>
      </c>
      <c r="I931" s="157" t="s">
        <v>2060</v>
      </c>
      <c r="J931" s="157" t="s">
        <v>8295</v>
      </c>
      <c r="K931" s="157" t="s">
        <v>1554</v>
      </c>
      <c r="L931" s="157" t="s">
        <v>2061</v>
      </c>
      <c r="M931" s="157" t="str">
        <f t="shared" si="24"/>
        <v>Short/Mid Range Radar R / Radar -97° - Distance Measurements</v>
      </c>
      <c r="N931" s="157"/>
      <c r="O931" s="157"/>
      <c r="P931" s="159" t="s">
        <v>2347</v>
      </c>
      <c r="Q931" s="157" t="s">
        <v>2115</v>
      </c>
      <c r="R931" s="157" t="s">
        <v>8292</v>
      </c>
      <c r="S931" s="157" t="s">
        <v>8627</v>
      </c>
      <c r="T931" s="157"/>
      <c r="U931" s="159" t="s">
        <v>2129</v>
      </c>
      <c r="V931" s="159" t="s">
        <v>2129</v>
      </c>
      <c r="W931" s="159" t="s">
        <v>2138</v>
      </c>
      <c r="X931" s="160">
        <v>1</v>
      </c>
      <c r="Y931" s="160">
        <v>1</v>
      </c>
      <c r="Z931" s="160">
        <v>1</v>
      </c>
      <c r="AA931" s="160">
        <v>1</v>
      </c>
    </row>
    <row r="932" spans="1:27" ht="18" customHeight="1" x14ac:dyDescent="0.25">
      <c r="A932" s="159">
        <v>3213</v>
      </c>
      <c r="B932" s="164" t="s">
        <v>266</v>
      </c>
      <c r="C932" s="164" t="s">
        <v>294</v>
      </c>
      <c r="D932" s="159" t="s">
        <v>1207</v>
      </c>
      <c r="E932" s="164" t="s">
        <v>1205</v>
      </c>
      <c r="F932" s="159"/>
      <c r="G932" s="157" t="s">
        <v>1349</v>
      </c>
      <c r="H932" s="157" t="s">
        <v>1350</v>
      </c>
      <c r="I932" s="157" t="s">
        <v>2060</v>
      </c>
      <c r="J932" s="157" t="s">
        <v>8295</v>
      </c>
      <c r="K932" s="157" t="s">
        <v>1554</v>
      </c>
      <c r="L932" s="157" t="s">
        <v>2061</v>
      </c>
      <c r="M932" s="157" t="str">
        <f t="shared" si="24"/>
        <v>Short/Mid Range Radar R / Radar -97° - Distance Measurements</v>
      </c>
      <c r="N932" s="157"/>
      <c r="O932" s="157"/>
      <c r="P932" s="159" t="s">
        <v>2347</v>
      </c>
      <c r="Q932" s="157" t="s">
        <v>2115</v>
      </c>
      <c r="R932" s="157" t="s">
        <v>8292</v>
      </c>
      <c r="S932" s="157" t="s">
        <v>8627</v>
      </c>
      <c r="T932" s="157"/>
      <c r="U932" s="159" t="s">
        <v>2129</v>
      </c>
      <c r="V932" s="159" t="s">
        <v>2129</v>
      </c>
      <c r="W932" s="159" t="s">
        <v>2138</v>
      </c>
      <c r="X932" s="160">
        <v>1</v>
      </c>
      <c r="Y932" s="160">
        <v>1</v>
      </c>
      <c r="Z932" s="160">
        <v>1</v>
      </c>
      <c r="AA932" s="160">
        <v>1</v>
      </c>
    </row>
    <row r="933" spans="1:27" ht="18" customHeight="1" x14ac:dyDescent="0.25">
      <c r="A933" s="159">
        <v>3213</v>
      </c>
      <c r="B933" s="164" t="s">
        <v>266</v>
      </c>
      <c r="C933" s="164" t="s">
        <v>519</v>
      </c>
      <c r="D933" s="159" t="s">
        <v>522</v>
      </c>
      <c r="E933" s="164" t="s">
        <v>520</v>
      </c>
      <c r="F933" s="159"/>
      <c r="G933" s="157" t="s">
        <v>1349</v>
      </c>
      <c r="H933" s="157" t="s">
        <v>1350</v>
      </c>
      <c r="I933" s="157" t="s">
        <v>2060</v>
      </c>
      <c r="J933" s="157" t="s">
        <v>8295</v>
      </c>
      <c r="K933" s="157" t="s">
        <v>1554</v>
      </c>
      <c r="L933" s="157" t="s">
        <v>2061</v>
      </c>
      <c r="M933" s="157" t="str">
        <f t="shared" si="24"/>
        <v>Short/Mid Range Radar R / Radar -97° - Distance Measurements</v>
      </c>
      <c r="N933" s="157"/>
      <c r="O933" s="157"/>
      <c r="P933" s="159" t="s">
        <v>2347</v>
      </c>
      <c r="Q933" s="157" t="s">
        <v>2115</v>
      </c>
      <c r="R933" s="157" t="s">
        <v>8292</v>
      </c>
      <c r="S933" s="157" t="s">
        <v>8627</v>
      </c>
      <c r="T933" s="157"/>
      <c r="U933" s="159" t="s">
        <v>2129</v>
      </c>
      <c r="V933" s="159" t="s">
        <v>2129</v>
      </c>
      <c r="W933" s="159" t="s">
        <v>2138</v>
      </c>
      <c r="X933" s="160">
        <v>1</v>
      </c>
      <c r="Y933" s="160">
        <v>1</v>
      </c>
      <c r="Z933" s="160">
        <v>1</v>
      </c>
      <c r="AA933" s="160">
        <v>1</v>
      </c>
    </row>
    <row r="934" spans="1:27" ht="18" customHeight="1" x14ac:dyDescent="0.25">
      <c r="A934" s="159">
        <v>3213</v>
      </c>
      <c r="B934" s="164" t="s">
        <v>266</v>
      </c>
      <c r="C934" s="164" t="s">
        <v>519</v>
      </c>
      <c r="D934" s="159" t="s">
        <v>526</v>
      </c>
      <c r="E934" s="164" t="s">
        <v>524</v>
      </c>
      <c r="F934" s="159"/>
      <c r="G934" s="157" t="s">
        <v>1349</v>
      </c>
      <c r="H934" s="157" t="s">
        <v>1350</v>
      </c>
      <c r="I934" s="157" t="s">
        <v>2060</v>
      </c>
      <c r="J934" s="157" t="s">
        <v>8295</v>
      </c>
      <c r="K934" s="157" t="s">
        <v>1554</v>
      </c>
      <c r="L934" s="157" t="s">
        <v>2061</v>
      </c>
      <c r="M934" s="157" t="str">
        <f t="shared" si="24"/>
        <v>Short/Mid Range Radar R / Radar -97° - Distance Measurements</v>
      </c>
      <c r="N934" s="157"/>
      <c r="O934" s="157"/>
      <c r="P934" s="159" t="s">
        <v>2347</v>
      </c>
      <c r="Q934" s="157" t="s">
        <v>2115</v>
      </c>
      <c r="R934" s="157" t="s">
        <v>8292</v>
      </c>
      <c r="S934" s="157" t="s">
        <v>8627</v>
      </c>
      <c r="T934" s="157"/>
      <c r="U934" s="159" t="s">
        <v>2129</v>
      </c>
      <c r="V934" s="159" t="s">
        <v>2129</v>
      </c>
      <c r="W934" s="159" t="s">
        <v>2138</v>
      </c>
      <c r="X934" s="160">
        <v>1</v>
      </c>
      <c r="Y934" s="160">
        <v>1</v>
      </c>
      <c r="Z934" s="160">
        <v>1</v>
      </c>
      <c r="AA934" s="160">
        <v>1</v>
      </c>
    </row>
    <row r="935" spans="1:27" ht="18" customHeight="1" x14ac:dyDescent="0.25">
      <c r="A935" s="159">
        <v>3213</v>
      </c>
      <c r="B935" s="164" t="s">
        <v>266</v>
      </c>
      <c r="C935" s="164" t="s">
        <v>519</v>
      </c>
      <c r="D935" s="159" t="s">
        <v>530</v>
      </c>
      <c r="E935" s="164" t="s">
        <v>528</v>
      </c>
      <c r="F935" s="159"/>
      <c r="G935" s="157" t="s">
        <v>1349</v>
      </c>
      <c r="H935" s="157" t="s">
        <v>1350</v>
      </c>
      <c r="I935" s="157" t="s">
        <v>2060</v>
      </c>
      <c r="J935" s="157" t="s">
        <v>8295</v>
      </c>
      <c r="K935" s="157" t="s">
        <v>1554</v>
      </c>
      <c r="L935" s="157" t="s">
        <v>2061</v>
      </c>
      <c r="M935" s="157" t="str">
        <f t="shared" si="24"/>
        <v>Short/Mid Range Radar R / Radar -97° - Distance Measurements</v>
      </c>
      <c r="N935" s="157"/>
      <c r="O935" s="157"/>
      <c r="P935" s="159" t="s">
        <v>2347</v>
      </c>
      <c r="Q935" s="157" t="s">
        <v>2115</v>
      </c>
      <c r="R935" s="157" t="s">
        <v>8292</v>
      </c>
      <c r="S935" s="157" t="s">
        <v>8627</v>
      </c>
      <c r="T935" s="157"/>
      <c r="U935" s="159" t="s">
        <v>2129</v>
      </c>
      <c r="V935" s="159" t="s">
        <v>2129</v>
      </c>
      <c r="W935" s="159" t="s">
        <v>2138</v>
      </c>
      <c r="X935" s="160">
        <v>1</v>
      </c>
      <c r="Y935" s="160">
        <v>1</v>
      </c>
      <c r="Z935" s="160">
        <v>1</v>
      </c>
      <c r="AA935" s="160">
        <v>1</v>
      </c>
    </row>
    <row r="936" spans="1:27" ht="18" customHeight="1" x14ac:dyDescent="0.25">
      <c r="A936" s="159">
        <v>3213</v>
      </c>
      <c r="B936" s="164" t="s">
        <v>266</v>
      </c>
      <c r="C936" s="164" t="s">
        <v>519</v>
      </c>
      <c r="D936" s="159" t="s">
        <v>787</v>
      </c>
      <c r="E936" s="164" t="s">
        <v>785</v>
      </c>
      <c r="F936" s="159"/>
      <c r="G936" s="157" t="s">
        <v>1349</v>
      </c>
      <c r="H936" s="157" t="s">
        <v>1350</v>
      </c>
      <c r="I936" s="157" t="s">
        <v>2060</v>
      </c>
      <c r="J936" s="157" t="s">
        <v>8295</v>
      </c>
      <c r="K936" s="157" t="s">
        <v>1554</v>
      </c>
      <c r="L936" s="157" t="s">
        <v>2061</v>
      </c>
      <c r="M936" s="157" t="str">
        <f t="shared" si="24"/>
        <v>Short/Mid Range Radar R / Radar -97° - Distance Measurements</v>
      </c>
      <c r="N936" s="157"/>
      <c r="O936" s="157"/>
      <c r="P936" s="159" t="s">
        <v>2347</v>
      </c>
      <c r="Q936" s="157" t="s">
        <v>2115</v>
      </c>
      <c r="R936" s="157" t="s">
        <v>8292</v>
      </c>
      <c r="S936" s="157" t="s">
        <v>8627</v>
      </c>
      <c r="T936" s="157"/>
      <c r="U936" s="159" t="s">
        <v>2129</v>
      </c>
      <c r="V936" s="159" t="s">
        <v>2129</v>
      </c>
      <c r="W936" s="159" t="s">
        <v>2138</v>
      </c>
      <c r="X936" s="160">
        <v>1</v>
      </c>
      <c r="Y936" s="160">
        <v>1</v>
      </c>
      <c r="Z936" s="160">
        <v>1</v>
      </c>
      <c r="AA936" s="160">
        <v>1</v>
      </c>
    </row>
    <row r="937" spans="1:27" ht="18" customHeight="1" x14ac:dyDescent="0.25">
      <c r="A937" s="159">
        <v>3213</v>
      </c>
      <c r="B937" s="164" t="s">
        <v>266</v>
      </c>
      <c r="C937" s="164" t="s">
        <v>519</v>
      </c>
      <c r="D937" s="159" t="s">
        <v>935</v>
      </c>
      <c r="E937" s="164" t="s">
        <v>933</v>
      </c>
      <c r="F937" s="159"/>
      <c r="G937" s="157" t="s">
        <v>1349</v>
      </c>
      <c r="H937" s="157" t="s">
        <v>1350</v>
      </c>
      <c r="I937" s="157" t="s">
        <v>2060</v>
      </c>
      <c r="J937" s="157" t="s">
        <v>8295</v>
      </c>
      <c r="K937" s="157" t="s">
        <v>1554</v>
      </c>
      <c r="L937" s="157" t="s">
        <v>2061</v>
      </c>
      <c r="M937" s="157" t="str">
        <f t="shared" si="24"/>
        <v>Short/Mid Range Radar R / Radar -97° - Distance Measurements</v>
      </c>
      <c r="N937" s="157"/>
      <c r="O937" s="157"/>
      <c r="P937" s="159" t="s">
        <v>2347</v>
      </c>
      <c r="Q937" s="157" t="s">
        <v>2115</v>
      </c>
      <c r="R937" s="157" t="s">
        <v>8292</v>
      </c>
      <c r="S937" s="157" t="s">
        <v>8627</v>
      </c>
      <c r="T937" s="157"/>
      <c r="U937" s="159" t="s">
        <v>2129</v>
      </c>
      <c r="V937" s="159" t="s">
        <v>2129</v>
      </c>
      <c r="W937" s="159" t="s">
        <v>2138</v>
      </c>
      <c r="X937" s="160">
        <v>1</v>
      </c>
      <c r="Y937" s="160">
        <v>1</v>
      </c>
      <c r="Z937" s="160">
        <v>1</v>
      </c>
      <c r="AA937" s="160">
        <v>1</v>
      </c>
    </row>
    <row r="938" spans="1:27" ht="18" customHeight="1" x14ac:dyDescent="0.25">
      <c r="A938" s="159">
        <v>3213</v>
      </c>
      <c r="B938" s="164" t="s">
        <v>266</v>
      </c>
      <c r="C938" s="164" t="s">
        <v>519</v>
      </c>
      <c r="D938" s="159" t="s">
        <v>1151</v>
      </c>
      <c r="E938" s="164" t="s">
        <v>1149</v>
      </c>
      <c r="F938" s="159"/>
      <c r="G938" s="157" t="s">
        <v>1349</v>
      </c>
      <c r="H938" s="157" t="s">
        <v>1350</v>
      </c>
      <c r="I938" s="157" t="s">
        <v>2060</v>
      </c>
      <c r="J938" s="157" t="s">
        <v>8295</v>
      </c>
      <c r="K938" s="157" t="s">
        <v>1554</v>
      </c>
      <c r="L938" s="157" t="s">
        <v>2061</v>
      </c>
      <c r="M938" s="157" t="str">
        <f t="shared" si="24"/>
        <v>Short/Mid Range Radar R / Radar -97° - Distance Measurements</v>
      </c>
      <c r="N938" s="157"/>
      <c r="O938" s="157"/>
      <c r="P938" s="159" t="s">
        <v>2347</v>
      </c>
      <c r="Q938" s="157" t="s">
        <v>2115</v>
      </c>
      <c r="R938" s="157" t="s">
        <v>8292</v>
      </c>
      <c r="S938" s="157" t="s">
        <v>8627</v>
      </c>
      <c r="T938" s="157"/>
      <c r="U938" s="159" t="s">
        <v>2129</v>
      </c>
      <c r="V938" s="159" t="s">
        <v>2129</v>
      </c>
      <c r="W938" s="159" t="s">
        <v>2138</v>
      </c>
      <c r="X938" s="160">
        <v>1</v>
      </c>
      <c r="Y938" s="160">
        <v>1</v>
      </c>
      <c r="Z938" s="160">
        <v>1</v>
      </c>
      <c r="AA938" s="160">
        <v>1</v>
      </c>
    </row>
    <row r="939" spans="1:27" ht="18" customHeight="1" x14ac:dyDescent="0.25">
      <c r="A939" s="159">
        <v>3213</v>
      </c>
      <c r="B939" s="164" t="s">
        <v>266</v>
      </c>
      <c r="C939" s="164" t="s">
        <v>519</v>
      </c>
      <c r="D939" s="159" t="s">
        <v>1159</v>
      </c>
      <c r="E939" s="164" t="s">
        <v>1157</v>
      </c>
      <c r="F939" s="159"/>
      <c r="G939" s="157" t="s">
        <v>1349</v>
      </c>
      <c r="H939" s="157" t="s">
        <v>1350</v>
      </c>
      <c r="I939" s="157" t="s">
        <v>2060</v>
      </c>
      <c r="J939" s="157" t="s">
        <v>8295</v>
      </c>
      <c r="K939" s="157" t="s">
        <v>1554</v>
      </c>
      <c r="L939" s="157" t="s">
        <v>2061</v>
      </c>
      <c r="M939" s="157" t="str">
        <f t="shared" si="24"/>
        <v>Short/Mid Range Radar R / Radar -97° - Distance Measurements</v>
      </c>
      <c r="N939" s="157"/>
      <c r="O939" s="157"/>
      <c r="P939" s="159" t="s">
        <v>2347</v>
      </c>
      <c r="Q939" s="157" t="s">
        <v>2115</v>
      </c>
      <c r="R939" s="157" t="s">
        <v>8292</v>
      </c>
      <c r="S939" s="157" t="s">
        <v>8627</v>
      </c>
      <c r="T939" s="157"/>
      <c r="U939" s="159" t="s">
        <v>2129</v>
      </c>
      <c r="V939" s="159" t="s">
        <v>2129</v>
      </c>
      <c r="W939" s="159" t="s">
        <v>2138</v>
      </c>
      <c r="X939" s="160">
        <v>1</v>
      </c>
      <c r="Y939" s="160">
        <v>1</v>
      </c>
      <c r="Z939" s="160">
        <v>1</v>
      </c>
      <c r="AA939" s="160">
        <v>1</v>
      </c>
    </row>
    <row r="940" spans="1:27" ht="18" customHeight="1" x14ac:dyDescent="0.25">
      <c r="A940" s="159">
        <v>3214</v>
      </c>
      <c r="B940" s="164" t="s">
        <v>266</v>
      </c>
      <c r="C940" s="164" t="s">
        <v>276</v>
      </c>
      <c r="D940" s="159" t="s">
        <v>303</v>
      </c>
      <c r="E940" s="164" t="s">
        <v>301</v>
      </c>
      <c r="F940" s="159"/>
      <c r="G940" s="157" t="s">
        <v>1349</v>
      </c>
      <c r="H940" s="157" t="s">
        <v>1350</v>
      </c>
      <c r="I940" s="157" t="s">
        <v>2060</v>
      </c>
      <c r="J940" s="157" t="s">
        <v>8298</v>
      </c>
      <c r="K940" s="157" t="s">
        <v>1554</v>
      </c>
      <c r="L940" s="157" t="s">
        <v>2059</v>
      </c>
      <c r="M940" s="157" t="str">
        <f t="shared" si="24"/>
        <v>Short/Mid Range Radar FL / Radar +8° - Distance Measurements</v>
      </c>
      <c r="N940" s="157"/>
      <c r="O940" s="157"/>
      <c r="P940" s="159" t="s">
        <v>3498</v>
      </c>
      <c r="Q940" s="157" t="s">
        <v>2115</v>
      </c>
      <c r="R940" s="157" t="s">
        <v>8292</v>
      </c>
      <c r="S940" s="157" t="s">
        <v>8627</v>
      </c>
      <c r="T940" s="157"/>
      <c r="U940" s="159" t="s">
        <v>2129</v>
      </c>
      <c r="V940" s="159" t="s">
        <v>2129</v>
      </c>
      <c r="W940" s="159" t="s">
        <v>2138</v>
      </c>
      <c r="X940" s="160">
        <v>1</v>
      </c>
      <c r="Y940" s="160">
        <v>1</v>
      </c>
      <c r="Z940" s="160">
        <v>1</v>
      </c>
      <c r="AA940" s="160">
        <v>1</v>
      </c>
    </row>
    <row r="941" spans="1:27" ht="18" customHeight="1" x14ac:dyDescent="0.25">
      <c r="A941" s="159">
        <v>3214</v>
      </c>
      <c r="B941" s="164" t="s">
        <v>266</v>
      </c>
      <c r="C941" s="164" t="s">
        <v>276</v>
      </c>
      <c r="D941" s="159" t="s">
        <v>310</v>
      </c>
      <c r="E941" s="164" t="s">
        <v>308</v>
      </c>
      <c r="F941" s="159"/>
      <c r="G941" s="157" t="s">
        <v>1349</v>
      </c>
      <c r="H941" s="157" t="s">
        <v>1350</v>
      </c>
      <c r="I941" s="157" t="s">
        <v>2060</v>
      </c>
      <c r="J941" s="157" t="s">
        <v>8298</v>
      </c>
      <c r="K941" s="157" t="s">
        <v>1554</v>
      </c>
      <c r="L941" s="157" t="s">
        <v>2059</v>
      </c>
      <c r="M941" s="157" t="str">
        <f t="shared" si="24"/>
        <v>Short/Mid Range Radar FL / Radar +8° - Distance Measurements</v>
      </c>
      <c r="N941" s="157"/>
      <c r="O941" s="157"/>
      <c r="P941" s="159" t="s">
        <v>3498</v>
      </c>
      <c r="Q941" s="157" t="s">
        <v>2115</v>
      </c>
      <c r="R941" s="157" t="s">
        <v>8292</v>
      </c>
      <c r="S941" s="157" t="s">
        <v>8627</v>
      </c>
      <c r="T941" s="157"/>
      <c r="U941" s="159" t="s">
        <v>2129</v>
      </c>
      <c r="V941" s="159" t="s">
        <v>2129</v>
      </c>
      <c r="W941" s="159" t="s">
        <v>2138</v>
      </c>
      <c r="X941" s="160">
        <v>1</v>
      </c>
      <c r="Y941" s="160">
        <v>1</v>
      </c>
      <c r="Z941" s="160">
        <v>1</v>
      </c>
      <c r="AA941" s="160">
        <v>1</v>
      </c>
    </row>
    <row r="942" spans="1:27" ht="18" customHeight="1" x14ac:dyDescent="0.25">
      <c r="A942" s="159">
        <v>3214</v>
      </c>
      <c r="B942" s="164" t="s">
        <v>266</v>
      </c>
      <c r="C942" s="164" t="s">
        <v>276</v>
      </c>
      <c r="D942" s="159" t="s">
        <v>686</v>
      </c>
      <c r="E942" s="164" t="s">
        <v>684</v>
      </c>
      <c r="F942" s="159"/>
      <c r="G942" s="157" t="s">
        <v>1349</v>
      </c>
      <c r="H942" s="157" t="s">
        <v>1350</v>
      </c>
      <c r="I942" s="157" t="s">
        <v>2060</v>
      </c>
      <c r="J942" s="157" t="s">
        <v>8298</v>
      </c>
      <c r="K942" s="157" t="s">
        <v>1554</v>
      </c>
      <c r="L942" s="157" t="s">
        <v>2059</v>
      </c>
      <c r="M942" s="157" t="str">
        <f t="shared" si="24"/>
        <v>Short/Mid Range Radar FL / Radar +8° - Distance Measurements</v>
      </c>
      <c r="N942" s="157"/>
      <c r="O942" s="157"/>
      <c r="P942" s="159" t="s">
        <v>3498</v>
      </c>
      <c r="Q942" s="157" t="s">
        <v>2115</v>
      </c>
      <c r="R942" s="157" t="s">
        <v>8292</v>
      </c>
      <c r="S942" s="157" t="s">
        <v>8627</v>
      </c>
      <c r="T942" s="157"/>
      <c r="U942" s="159" t="s">
        <v>2129</v>
      </c>
      <c r="V942" s="159" t="s">
        <v>2129</v>
      </c>
      <c r="W942" s="159" t="s">
        <v>2138</v>
      </c>
      <c r="X942" s="160">
        <v>1</v>
      </c>
      <c r="Y942" s="160">
        <v>1</v>
      </c>
      <c r="Z942" s="160">
        <v>1</v>
      </c>
      <c r="AA942" s="160">
        <v>1</v>
      </c>
    </row>
    <row r="943" spans="1:27" ht="18" customHeight="1" x14ac:dyDescent="0.25">
      <c r="A943" s="159">
        <v>3214</v>
      </c>
      <c r="B943" s="164" t="s">
        <v>266</v>
      </c>
      <c r="C943" s="164" t="s">
        <v>276</v>
      </c>
      <c r="D943" s="159" t="s">
        <v>726</v>
      </c>
      <c r="E943" s="164" t="s">
        <v>724</v>
      </c>
      <c r="F943" s="159"/>
      <c r="G943" s="157" t="s">
        <v>1349</v>
      </c>
      <c r="H943" s="157" t="s">
        <v>1350</v>
      </c>
      <c r="I943" s="157" t="s">
        <v>2060</v>
      </c>
      <c r="J943" s="157" t="s">
        <v>8298</v>
      </c>
      <c r="K943" s="157" t="s">
        <v>1554</v>
      </c>
      <c r="L943" s="157" t="s">
        <v>2059</v>
      </c>
      <c r="M943" s="157" t="str">
        <f t="shared" si="24"/>
        <v>Short/Mid Range Radar FL / Radar +8° - Distance Measurements</v>
      </c>
      <c r="N943" s="157"/>
      <c r="O943" s="157"/>
      <c r="P943" s="159" t="s">
        <v>3498</v>
      </c>
      <c r="Q943" s="157" t="s">
        <v>2115</v>
      </c>
      <c r="R943" s="157" t="s">
        <v>8292</v>
      </c>
      <c r="S943" s="157" t="s">
        <v>8627</v>
      </c>
      <c r="T943" s="157"/>
      <c r="U943" s="159" t="s">
        <v>2129</v>
      </c>
      <c r="V943" s="159" t="s">
        <v>2129</v>
      </c>
      <c r="W943" s="159" t="s">
        <v>2138</v>
      </c>
      <c r="X943" s="160">
        <v>1</v>
      </c>
      <c r="Y943" s="160">
        <v>1</v>
      </c>
      <c r="Z943" s="160">
        <v>1</v>
      </c>
      <c r="AA943" s="160">
        <v>1</v>
      </c>
    </row>
    <row r="944" spans="1:27" ht="18" customHeight="1" x14ac:dyDescent="0.25">
      <c r="A944" s="159">
        <v>3214</v>
      </c>
      <c r="B944" s="164" t="s">
        <v>266</v>
      </c>
      <c r="C944" s="164" t="s">
        <v>276</v>
      </c>
      <c r="D944" s="159" t="s">
        <v>304</v>
      </c>
      <c r="E944" s="164" t="s">
        <v>1239</v>
      </c>
      <c r="F944" s="159"/>
      <c r="G944" s="157" t="s">
        <v>1349</v>
      </c>
      <c r="H944" s="157" t="s">
        <v>1350</v>
      </c>
      <c r="I944" s="157" t="s">
        <v>2060</v>
      </c>
      <c r="J944" s="157" t="s">
        <v>8298</v>
      </c>
      <c r="K944" s="157" t="s">
        <v>1554</v>
      </c>
      <c r="L944" s="157" t="s">
        <v>2059</v>
      </c>
      <c r="M944" s="157" t="str">
        <f t="shared" si="24"/>
        <v>Short/Mid Range Radar FL / Radar +8° - Distance Measurements</v>
      </c>
      <c r="N944" s="157"/>
      <c r="O944" s="157"/>
      <c r="P944" s="159" t="s">
        <v>3498</v>
      </c>
      <c r="Q944" s="157" t="s">
        <v>2115</v>
      </c>
      <c r="R944" s="157" t="s">
        <v>8292</v>
      </c>
      <c r="S944" s="157" t="s">
        <v>8627</v>
      </c>
      <c r="T944" s="157"/>
      <c r="U944" s="159" t="s">
        <v>2129</v>
      </c>
      <c r="V944" s="159" t="s">
        <v>2129</v>
      </c>
      <c r="W944" s="159" t="s">
        <v>2138</v>
      </c>
      <c r="X944" s="160">
        <v>1</v>
      </c>
      <c r="Y944" s="160">
        <v>1</v>
      </c>
      <c r="Z944" s="160">
        <v>1</v>
      </c>
      <c r="AA944" s="160">
        <v>1</v>
      </c>
    </row>
    <row r="945" spans="1:27" ht="18" customHeight="1" x14ac:dyDescent="0.25">
      <c r="A945" s="159">
        <v>3214</v>
      </c>
      <c r="B945" s="164" t="s">
        <v>266</v>
      </c>
      <c r="C945" s="164" t="s">
        <v>1196</v>
      </c>
      <c r="D945" s="159" t="s">
        <v>1203</v>
      </c>
      <c r="E945" s="164" t="s">
        <v>1201</v>
      </c>
      <c r="F945" s="159"/>
      <c r="G945" s="157" t="s">
        <v>1349</v>
      </c>
      <c r="H945" s="157" t="s">
        <v>1350</v>
      </c>
      <c r="I945" s="157" t="s">
        <v>2060</v>
      </c>
      <c r="J945" s="157" t="s">
        <v>8298</v>
      </c>
      <c r="K945" s="157" t="s">
        <v>1554</v>
      </c>
      <c r="L945" s="157" t="s">
        <v>2059</v>
      </c>
      <c r="M945" s="157" t="str">
        <f t="shared" si="24"/>
        <v>Short/Mid Range Radar FL / Radar +8° - Distance Measurements</v>
      </c>
      <c r="N945" s="157"/>
      <c r="O945" s="157"/>
      <c r="P945" s="159" t="s">
        <v>3498</v>
      </c>
      <c r="Q945" s="157" t="s">
        <v>2115</v>
      </c>
      <c r="R945" s="157" t="s">
        <v>8292</v>
      </c>
      <c r="S945" s="157" t="s">
        <v>8627</v>
      </c>
      <c r="T945" s="157"/>
      <c r="U945" s="159" t="s">
        <v>2129</v>
      </c>
      <c r="V945" s="159" t="s">
        <v>2129</v>
      </c>
      <c r="W945" s="159" t="s">
        <v>2138</v>
      </c>
      <c r="X945" s="160">
        <v>1</v>
      </c>
      <c r="Y945" s="160">
        <v>1</v>
      </c>
      <c r="Z945" s="160">
        <v>1</v>
      </c>
      <c r="AA945" s="160">
        <v>1</v>
      </c>
    </row>
    <row r="946" spans="1:27" ht="18" customHeight="1" x14ac:dyDescent="0.25">
      <c r="A946" s="159">
        <v>3214</v>
      </c>
      <c r="B946" s="164" t="s">
        <v>266</v>
      </c>
      <c r="C946" s="164" t="s">
        <v>267</v>
      </c>
      <c r="D946" s="159" t="s">
        <v>270</v>
      </c>
      <c r="E946" s="164" t="s">
        <v>268</v>
      </c>
      <c r="F946" s="159"/>
      <c r="G946" s="157" t="s">
        <v>1349</v>
      </c>
      <c r="H946" s="157" t="s">
        <v>1350</v>
      </c>
      <c r="I946" s="157" t="s">
        <v>2060</v>
      </c>
      <c r="J946" s="157" t="s">
        <v>8298</v>
      </c>
      <c r="K946" s="157" t="s">
        <v>1554</v>
      </c>
      <c r="L946" s="157" t="s">
        <v>2059</v>
      </c>
      <c r="M946" s="157" t="str">
        <f t="shared" si="24"/>
        <v>Short/Mid Range Radar FL / Radar +8° - Distance Measurements</v>
      </c>
      <c r="N946" s="157"/>
      <c r="O946" s="157"/>
      <c r="P946" s="159" t="s">
        <v>3498</v>
      </c>
      <c r="Q946" s="157" t="s">
        <v>2115</v>
      </c>
      <c r="R946" s="157" t="s">
        <v>8292</v>
      </c>
      <c r="S946" s="157" t="s">
        <v>8627</v>
      </c>
      <c r="T946" s="157"/>
      <c r="U946" s="159" t="s">
        <v>2129</v>
      </c>
      <c r="V946" s="159" t="s">
        <v>2129</v>
      </c>
      <c r="W946" s="159" t="s">
        <v>2138</v>
      </c>
      <c r="X946" s="160">
        <v>1</v>
      </c>
      <c r="Y946" s="160">
        <v>1</v>
      </c>
      <c r="Z946" s="160">
        <v>1</v>
      </c>
      <c r="AA946" s="160">
        <v>1</v>
      </c>
    </row>
    <row r="947" spans="1:27" ht="18" customHeight="1" x14ac:dyDescent="0.25">
      <c r="A947" s="159">
        <v>3214</v>
      </c>
      <c r="B947" s="164" t="s">
        <v>266</v>
      </c>
      <c r="C947" s="164" t="s">
        <v>267</v>
      </c>
      <c r="D947" s="159" t="s">
        <v>951</v>
      </c>
      <c r="E947" s="164" t="s">
        <v>949</v>
      </c>
      <c r="F947" s="159"/>
      <c r="G947" s="157" t="s">
        <v>1349</v>
      </c>
      <c r="H947" s="157" t="s">
        <v>1350</v>
      </c>
      <c r="I947" s="157" t="s">
        <v>2060</v>
      </c>
      <c r="J947" s="157" t="s">
        <v>8298</v>
      </c>
      <c r="K947" s="157" t="s">
        <v>1554</v>
      </c>
      <c r="L947" s="157" t="s">
        <v>2059</v>
      </c>
      <c r="M947" s="157" t="str">
        <f t="shared" si="24"/>
        <v>Short/Mid Range Radar FL / Radar +8° - Distance Measurements</v>
      </c>
      <c r="N947" s="157"/>
      <c r="O947" s="157"/>
      <c r="P947" s="159" t="s">
        <v>3498</v>
      </c>
      <c r="Q947" s="157" t="s">
        <v>2115</v>
      </c>
      <c r="R947" s="157" t="s">
        <v>8292</v>
      </c>
      <c r="S947" s="157" t="s">
        <v>8627</v>
      </c>
      <c r="T947" s="157"/>
      <c r="U947" s="159" t="s">
        <v>2129</v>
      </c>
      <c r="V947" s="159" t="s">
        <v>2129</v>
      </c>
      <c r="W947" s="159" t="s">
        <v>2138</v>
      </c>
      <c r="X947" s="160">
        <v>1</v>
      </c>
      <c r="Y947" s="160">
        <v>1</v>
      </c>
      <c r="Z947" s="160">
        <v>1</v>
      </c>
      <c r="AA947" s="160">
        <v>1</v>
      </c>
    </row>
    <row r="948" spans="1:27" ht="18" customHeight="1" x14ac:dyDescent="0.25">
      <c r="A948" s="159">
        <v>3214</v>
      </c>
      <c r="B948" s="164" t="s">
        <v>266</v>
      </c>
      <c r="C948" s="164" t="s">
        <v>267</v>
      </c>
      <c r="D948" s="159" t="s">
        <v>271</v>
      </c>
      <c r="E948" s="164" t="s">
        <v>1219</v>
      </c>
      <c r="F948" s="159"/>
      <c r="G948" s="157" t="s">
        <v>1349</v>
      </c>
      <c r="H948" s="157" t="s">
        <v>1350</v>
      </c>
      <c r="I948" s="157" t="s">
        <v>2060</v>
      </c>
      <c r="J948" s="157" t="s">
        <v>8298</v>
      </c>
      <c r="K948" s="157" t="s">
        <v>1554</v>
      </c>
      <c r="L948" s="157" t="s">
        <v>2059</v>
      </c>
      <c r="M948" s="157" t="str">
        <f t="shared" si="24"/>
        <v>Short/Mid Range Radar FL / Radar +8° - Distance Measurements</v>
      </c>
      <c r="N948" s="157"/>
      <c r="O948" s="157"/>
      <c r="P948" s="159" t="s">
        <v>3498</v>
      </c>
      <c r="Q948" s="157" t="s">
        <v>2115</v>
      </c>
      <c r="R948" s="157" t="s">
        <v>8292</v>
      </c>
      <c r="S948" s="157" t="s">
        <v>8627</v>
      </c>
      <c r="T948" s="157"/>
      <c r="U948" s="159" t="s">
        <v>2129</v>
      </c>
      <c r="V948" s="159" t="s">
        <v>2129</v>
      </c>
      <c r="W948" s="159" t="s">
        <v>2138</v>
      </c>
      <c r="X948" s="160">
        <v>1</v>
      </c>
      <c r="Y948" s="160">
        <v>1</v>
      </c>
      <c r="Z948" s="160">
        <v>1</v>
      </c>
      <c r="AA948" s="160">
        <v>1</v>
      </c>
    </row>
    <row r="949" spans="1:27" ht="18" customHeight="1" x14ac:dyDescent="0.25">
      <c r="A949" s="159">
        <v>3214</v>
      </c>
      <c r="B949" s="164" t="s">
        <v>266</v>
      </c>
      <c r="C949" s="164" t="s">
        <v>294</v>
      </c>
      <c r="D949" s="159" t="s">
        <v>297</v>
      </c>
      <c r="E949" s="164" t="s">
        <v>295</v>
      </c>
      <c r="F949" s="159"/>
      <c r="G949" s="157" t="s">
        <v>1349</v>
      </c>
      <c r="H949" s="157" t="s">
        <v>1350</v>
      </c>
      <c r="I949" s="157" t="s">
        <v>2060</v>
      </c>
      <c r="J949" s="157" t="s">
        <v>8298</v>
      </c>
      <c r="K949" s="157" t="s">
        <v>1554</v>
      </c>
      <c r="L949" s="157" t="s">
        <v>2059</v>
      </c>
      <c r="M949" s="157" t="str">
        <f t="shared" si="24"/>
        <v>Short/Mid Range Radar FL / Radar +8° - Distance Measurements</v>
      </c>
      <c r="N949" s="157"/>
      <c r="O949" s="157"/>
      <c r="P949" s="159" t="s">
        <v>3498</v>
      </c>
      <c r="Q949" s="157" t="s">
        <v>2115</v>
      </c>
      <c r="R949" s="157" t="s">
        <v>8292</v>
      </c>
      <c r="S949" s="157" t="s">
        <v>8627</v>
      </c>
      <c r="T949" s="157"/>
      <c r="U949" s="159" t="s">
        <v>2129</v>
      </c>
      <c r="V949" s="159" t="s">
        <v>2129</v>
      </c>
      <c r="W949" s="159" t="s">
        <v>2138</v>
      </c>
      <c r="X949" s="160">
        <v>1</v>
      </c>
      <c r="Y949" s="160">
        <v>1</v>
      </c>
      <c r="Z949" s="160">
        <v>1</v>
      </c>
      <c r="AA949" s="160">
        <v>1</v>
      </c>
    </row>
    <row r="950" spans="1:27" ht="18" customHeight="1" x14ac:dyDescent="0.25">
      <c r="A950" s="159">
        <v>3214</v>
      </c>
      <c r="B950" s="164" t="s">
        <v>266</v>
      </c>
      <c r="C950" s="164" t="s">
        <v>294</v>
      </c>
      <c r="D950" s="159" t="s">
        <v>298</v>
      </c>
      <c r="E950" s="164" t="s">
        <v>299</v>
      </c>
      <c r="F950" s="159"/>
      <c r="G950" s="157" t="s">
        <v>1349</v>
      </c>
      <c r="H950" s="157" t="s">
        <v>1350</v>
      </c>
      <c r="I950" s="157" t="s">
        <v>2060</v>
      </c>
      <c r="J950" s="157" t="s">
        <v>8298</v>
      </c>
      <c r="K950" s="157" t="s">
        <v>1554</v>
      </c>
      <c r="L950" s="157" t="s">
        <v>2059</v>
      </c>
      <c r="M950" s="157" t="str">
        <f t="shared" si="24"/>
        <v>Short/Mid Range Radar FL / Radar +8° - Distance Measurements</v>
      </c>
      <c r="N950" s="157"/>
      <c r="O950" s="157"/>
      <c r="P950" s="159" t="s">
        <v>3498</v>
      </c>
      <c r="Q950" s="157" t="s">
        <v>2115</v>
      </c>
      <c r="R950" s="157" t="s">
        <v>8292</v>
      </c>
      <c r="S950" s="157" t="s">
        <v>8627</v>
      </c>
      <c r="T950" s="157"/>
      <c r="U950" s="159" t="s">
        <v>2129</v>
      </c>
      <c r="V950" s="159" t="s">
        <v>2129</v>
      </c>
      <c r="W950" s="159" t="s">
        <v>2138</v>
      </c>
      <c r="X950" s="160">
        <v>1</v>
      </c>
      <c r="Y950" s="160">
        <v>1</v>
      </c>
      <c r="Z950" s="160">
        <v>1</v>
      </c>
      <c r="AA950" s="160">
        <v>1</v>
      </c>
    </row>
    <row r="951" spans="1:27" ht="18" customHeight="1" x14ac:dyDescent="0.25">
      <c r="A951" s="159">
        <v>3214</v>
      </c>
      <c r="B951" s="164" t="s">
        <v>266</v>
      </c>
      <c r="C951" s="164" t="s">
        <v>294</v>
      </c>
      <c r="D951" s="159" t="s">
        <v>503</v>
      </c>
      <c r="E951" s="164" t="s">
        <v>501</v>
      </c>
      <c r="F951" s="159"/>
      <c r="G951" s="157" t="s">
        <v>1349</v>
      </c>
      <c r="H951" s="157" t="s">
        <v>1350</v>
      </c>
      <c r="I951" s="157" t="s">
        <v>2060</v>
      </c>
      <c r="J951" s="157" t="s">
        <v>8298</v>
      </c>
      <c r="K951" s="157" t="s">
        <v>1554</v>
      </c>
      <c r="L951" s="157" t="s">
        <v>2059</v>
      </c>
      <c r="M951" s="157" t="str">
        <f t="shared" si="24"/>
        <v>Short/Mid Range Radar FL / Radar +8° - Distance Measurements</v>
      </c>
      <c r="N951" s="157"/>
      <c r="O951" s="157"/>
      <c r="P951" s="159" t="s">
        <v>3498</v>
      </c>
      <c r="Q951" s="157" t="s">
        <v>2115</v>
      </c>
      <c r="R951" s="157" t="s">
        <v>8292</v>
      </c>
      <c r="S951" s="157" t="s">
        <v>8627</v>
      </c>
      <c r="T951" s="157"/>
      <c r="U951" s="159" t="s">
        <v>2129</v>
      </c>
      <c r="V951" s="159" t="s">
        <v>2129</v>
      </c>
      <c r="W951" s="159" t="s">
        <v>2138</v>
      </c>
      <c r="X951" s="160">
        <v>1</v>
      </c>
      <c r="Y951" s="160">
        <v>1</v>
      </c>
      <c r="Z951" s="160">
        <v>1</v>
      </c>
      <c r="AA951" s="160">
        <v>1</v>
      </c>
    </row>
    <row r="952" spans="1:27" ht="18" customHeight="1" x14ac:dyDescent="0.25">
      <c r="A952" s="159">
        <v>3214</v>
      </c>
      <c r="B952" s="164" t="s">
        <v>266</v>
      </c>
      <c r="C952" s="164" t="s">
        <v>294</v>
      </c>
      <c r="D952" s="159" t="s">
        <v>692</v>
      </c>
      <c r="E952" s="164" t="s">
        <v>690</v>
      </c>
      <c r="F952" s="159"/>
      <c r="G952" s="157" t="s">
        <v>1349</v>
      </c>
      <c r="H952" s="157" t="s">
        <v>1350</v>
      </c>
      <c r="I952" s="157" t="s">
        <v>2060</v>
      </c>
      <c r="J952" s="157" t="s">
        <v>8298</v>
      </c>
      <c r="K952" s="157" t="s">
        <v>1554</v>
      </c>
      <c r="L952" s="157" t="s">
        <v>2059</v>
      </c>
      <c r="M952" s="157" t="str">
        <f t="shared" si="24"/>
        <v>Short/Mid Range Radar FL / Radar +8° - Distance Measurements</v>
      </c>
      <c r="N952" s="157"/>
      <c r="O952" s="157"/>
      <c r="P952" s="159" t="s">
        <v>3498</v>
      </c>
      <c r="Q952" s="157" t="s">
        <v>2115</v>
      </c>
      <c r="R952" s="157" t="s">
        <v>8292</v>
      </c>
      <c r="S952" s="157" t="s">
        <v>8627</v>
      </c>
      <c r="T952" s="157"/>
      <c r="U952" s="159" t="s">
        <v>2129</v>
      </c>
      <c r="V952" s="159" t="s">
        <v>2129</v>
      </c>
      <c r="W952" s="159" t="s">
        <v>2138</v>
      </c>
      <c r="X952" s="160">
        <v>1</v>
      </c>
      <c r="Y952" s="160">
        <v>1</v>
      </c>
      <c r="Z952" s="160">
        <v>1</v>
      </c>
      <c r="AA952" s="160">
        <v>1</v>
      </c>
    </row>
    <row r="953" spans="1:27" ht="18" customHeight="1" x14ac:dyDescent="0.25">
      <c r="A953" s="159">
        <v>3214</v>
      </c>
      <c r="B953" s="164" t="s">
        <v>266</v>
      </c>
      <c r="C953" s="164" t="s">
        <v>294</v>
      </c>
      <c r="D953" s="159" t="s">
        <v>1177</v>
      </c>
      <c r="E953" s="164" t="s">
        <v>1175</v>
      </c>
      <c r="F953" s="159"/>
      <c r="G953" s="157" t="s">
        <v>1349</v>
      </c>
      <c r="H953" s="157" t="s">
        <v>1350</v>
      </c>
      <c r="I953" s="157" t="s">
        <v>2060</v>
      </c>
      <c r="J953" s="157" t="s">
        <v>8298</v>
      </c>
      <c r="K953" s="157" t="s">
        <v>1554</v>
      </c>
      <c r="L953" s="157" t="s">
        <v>2059</v>
      </c>
      <c r="M953" s="157" t="str">
        <f t="shared" si="24"/>
        <v>Short/Mid Range Radar FL / Radar +8° - Distance Measurements</v>
      </c>
      <c r="N953" s="157"/>
      <c r="O953" s="157"/>
      <c r="P953" s="159" t="s">
        <v>3498</v>
      </c>
      <c r="Q953" s="157" t="s">
        <v>2115</v>
      </c>
      <c r="R953" s="157" t="s">
        <v>8292</v>
      </c>
      <c r="S953" s="157" t="s">
        <v>8627</v>
      </c>
      <c r="T953" s="157"/>
      <c r="U953" s="159" t="s">
        <v>2129</v>
      </c>
      <c r="V953" s="159" t="s">
        <v>2129</v>
      </c>
      <c r="W953" s="159" t="s">
        <v>2138</v>
      </c>
      <c r="X953" s="160">
        <v>1</v>
      </c>
      <c r="Y953" s="160">
        <v>1</v>
      </c>
      <c r="Z953" s="160">
        <v>1</v>
      </c>
      <c r="AA953" s="160">
        <v>1</v>
      </c>
    </row>
    <row r="954" spans="1:27" ht="18" customHeight="1" x14ac:dyDescent="0.25">
      <c r="A954" s="159">
        <v>3214</v>
      </c>
      <c r="B954" s="164" t="s">
        <v>266</v>
      </c>
      <c r="C954" s="164" t="s">
        <v>294</v>
      </c>
      <c r="D954" s="159" t="s">
        <v>1178</v>
      </c>
      <c r="E954" s="164" t="s">
        <v>1179</v>
      </c>
      <c r="F954" s="159"/>
      <c r="G954" s="157" t="s">
        <v>1349</v>
      </c>
      <c r="H954" s="157" t="s">
        <v>1350</v>
      </c>
      <c r="I954" s="157" t="s">
        <v>2060</v>
      </c>
      <c r="J954" s="157" t="s">
        <v>8298</v>
      </c>
      <c r="K954" s="157" t="s">
        <v>1554</v>
      </c>
      <c r="L954" s="157" t="s">
        <v>2059</v>
      </c>
      <c r="M954" s="157" t="str">
        <f t="shared" si="24"/>
        <v>Short/Mid Range Radar FL / Radar +8° - Distance Measurements</v>
      </c>
      <c r="N954" s="157"/>
      <c r="O954" s="157"/>
      <c r="P954" s="159" t="s">
        <v>3498</v>
      </c>
      <c r="Q954" s="157" t="s">
        <v>2115</v>
      </c>
      <c r="R954" s="157" t="s">
        <v>8292</v>
      </c>
      <c r="S954" s="157" t="s">
        <v>8627</v>
      </c>
      <c r="T954" s="157"/>
      <c r="U954" s="159" t="s">
        <v>2129</v>
      </c>
      <c r="V954" s="159" t="s">
        <v>2129</v>
      </c>
      <c r="W954" s="159" t="s">
        <v>2138</v>
      </c>
      <c r="X954" s="160">
        <v>1</v>
      </c>
      <c r="Y954" s="160">
        <v>1</v>
      </c>
      <c r="Z954" s="160">
        <v>1</v>
      </c>
      <c r="AA954" s="160">
        <v>1</v>
      </c>
    </row>
    <row r="955" spans="1:27" ht="18" customHeight="1" x14ac:dyDescent="0.25">
      <c r="A955" s="159">
        <v>3214</v>
      </c>
      <c r="B955" s="164" t="s">
        <v>266</v>
      </c>
      <c r="C955" s="164" t="s">
        <v>294</v>
      </c>
      <c r="D955" s="159" t="s">
        <v>1207</v>
      </c>
      <c r="E955" s="164" t="s">
        <v>1205</v>
      </c>
      <c r="F955" s="159"/>
      <c r="G955" s="157" t="s">
        <v>1349</v>
      </c>
      <c r="H955" s="157" t="s">
        <v>1350</v>
      </c>
      <c r="I955" s="157" t="s">
        <v>2060</v>
      </c>
      <c r="J955" s="157" t="s">
        <v>8298</v>
      </c>
      <c r="K955" s="157" t="s">
        <v>1554</v>
      </c>
      <c r="L955" s="157" t="s">
        <v>2059</v>
      </c>
      <c r="M955" s="157" t="str">
        <f t="shared" si="24"/>
        <v>Short/Mid Range Radar FL / Radar +8° - Distance Measurements</v>
      </c>
      <c r="N955" s="157"/>
      <c r="O955" s="157"/>
      <c r="P955" s="159" t="s">
        <v>3498</v>
      </c>
      <c r="Q955" s="157" t="s">
        <v>2115</v>
      </c>
      <c r="R955" s="157" t="s">
        <v>8292</v>
      </c>
      <c r="S955" s="157" t="s">
        <v>8627</v>
      </c>
      <c r="T955" s="157"/>
      <c r="U955" s="159" t="s">
        <v>2129</v>
      </c>
      <c r="V955" s="159" t="s">
        <v>2129</v>
      </c>
      <c r="W955" s="159" t="s">
        <v>2138</v>
      </c>
      <c r="X955" s="160">
        <v>1</v>
      </c>
      <c r="Y955" s="160">
        <v>1</v>
      </c>
      <c r="Z955" s="160">
        <v>1</v>
      </c>
      <c r="AA955" s="160">
        <v>1</v>
      </c>
    </row>
    <row r="956" spans="1:27" ht="18" customHeight="1" x14ac:dyDescent="0.25">
      <c r="A956" s="159">
        <v>3214</v>
      </c>
      <c r="B956" s="164" t="s">
        <v>266</v>
      </c>
      <c r="C956" s="164" t="s">
        <v>514</v>
      </c>
      <c r="D956" s="159" t="s">
        <v>517</v>
      </c>
      <c r="E956" s="164" t="s">
        <v>515</v>
      </c>
      <c r="F956" s="159"/>
      <c r="G956" s="157" t="s">
        <v>1349</v>
      </c>
      <c r="H956" s="157" t="s">
        <v>1350</v>
      </c>
      <c r="I956" s="157" t="s">
        <v>2060</v>
      </c>
      <c r="J956" s="157" t="s">
        <v>8298</v>
      </c>
      <c r="K956" s="157" t="s">
        <v>1554</v>
      </c>
      <c r="L956" s="157" t="s">
        <v>2059</v>
      </c>
      <c r="M956" s="157" t="str">
        <f t="shared" si="24"/>
        <v>Short/Mid Range Radar FL / Radar +8° - Distance Measurements</v>
      </c>
      <c r="N956" s="157"/>
      <c r="O956" s="157"/>
      <c r="P956" s="159" t="s">
        <v>3498</v>
      </c>
      <c r="Q956" s="157" t="s">
        <v>2115</v>
      </c>
      <c r="R956" s="157" t="s">
        <v>8292</v>
      </c>
      <c r="S956" s="157" t="s">
        <v>8627</v>
      </c>
      <c r="T956" s="157"/>
      <c r="U956" s="159" t="s">
        <v>2129</v>
      </c>
      <c r="V956" s="159" t="s">
        <v>2129</v>
      </c>
      <c r="W956" s="159" t="s">
        <v>2138</v>
      </c>
      <c r="X956" s="160">
        <v>1</v>
      </c>
      <c r="Y956" s="160">
        <v>1</v>
      </c>
      <c r="Z956" s="160">
        <v>1</v>
      </c>
      <c r="AA956" s="160">
        <v>1</v>
      </c>
    </row>
    <row r="957" spans="1:27" ht="18" customHeight="1" x14ac:dyDescent="0.25">
      <c r="A957" s="159">
        <v>3214</v>
      </c>
      <c r="B957" s="164" t="s">
        <v>266</v>
      </c>
      <c r="C957" s="164" t="s">
        <v>514</v>
      </c>
      <c r="D957" s="159" t="s">
        <v>730</v>
      </c>
      <c r="E957" s="164" t="s">
        <v>728</v>
      </c>
      <c r="F957" s="159"/>
      <c r="G957" s="157" t="s">
        <v>1349</v>
      </c>
      <c r="H957" s="157" t="s">
        <v>1350</v>
      </c>
      <c r="I957" s="157" t="s">
        <v>2060</v>
      </c>
      <c r="J957" s="157" t="s">
        <v>8298</v>
      </c>
      <c r="K957" s="157" t="s">
        <v>1554</v>
      </c>
      <c r="L957" s="157" t="s">
        <v>2059</v>
      </c>
      <c r="M957" s="157" t="str">
        <f t="shared" si="24"/>
        <v>Short/Mid Range Radar FL / Radar +8° - Distance Measurements</v>
      </c>
      <c r="N957" s="157"/>
      <c r="O957" s="157"/>
      <c r="P957" s="159" t="s">
        <v>3498</v>
      </c>
      <c r="Q957" s="157" t="s">
        <v>2115</v>
      </c>
      <c r="R957" s="157" t="s">
        <v>8292</v>
      </c>
      <c r="S957" s="157" t="s">
        <v>8627</v>
      </c>
      <c r="T957" s="157"/>
      <c r="U957" s="159" t="s">
        <v>2129</v>
      </c>
      <c r="V957" s="159" t="s">
        <v>2129</v>
      </c>
      <c r="W957" s="159" t="s">
        <v>2138</v>
      </c>
      <c r="X957" s="160">
        <v>1</v>
      </c>
      <c r="Y957" s="160">
        <v>1</v>
      </c>
      <c r="Z957" s="160">
        <v>1</v>
      </c>
      <c r="AA957" s="160">
        <v>1</v>
      </c>
    </row>
    <row r="958" spans="1:27" ht="18" customHeight="1" x14ac:dyDescent="0.25">
      <c r="A958" s="159">
        <v>3214</v>
      </c>
      <c r="B958" s="164" t="s">
        <v>266</v>
      </c>
      <c r="C958" s="164" t="s">
        <v>514</v>
      </c>
      <c r="D958" s="159" t="s">
        <v>793</v>
      </c>
      <c r="E958" s="164" t="s">
        <v>791</v>
      </c>
      <c r="F958" s="159"/>
      <c r="G958" s="157" t="s">
        <v>1349</v>
      </c>
      <c r="H958" s="157" t="s">
        <v>1350</v>
      </c>
      <c r="I958" s="157" t="s">
        <v>2060</v>
      </c>
      <c r="J958" s="157" t="s">
        <v>8298</v>
      </c>
      <c r="K958" s="157" t="s">
        <v>1554</v>
      </c>
      <c r="L958" s="157" t="s">
        <v>2059</v>
      </c>
      <c r="M958" s="157" t="str">
        <f t="shared" si="24"/>
        <v>Short/Mid Range Radar FL / Radar +8° - Distance Measurements</v>
      </c>
      <c r="N958" s="157"/>
      <c r="O958" s="157"/>
      <c r="P958" s="159" t="s">
        <v>3498</v>
      </c>
      <c r="Q958" s="157" t="s">
        <v>2115</v>
      </c>
      <c r="R958" s="157" t="s">
        <v>8292</v>
      </c>
      <c r="S958" s="157" t="s">
        <v>8627</v>
      </c>
      <c r="T958" s="157"/>
      <c r="U958" s="159" t="s">
        <v>2129</v>
      </c>
      <c r="V958" s="159" t="s">
        <v>2129</v>
      </c>
      <c r="W958" s="159" t="s">
        <v>2138</v>
      </c>
      <c r="X958" s="160">
        <v>1</v>
      </c>
      <c r="Y958" s="160">
        <v>1</v>
      </c>
      <c r="Z958" s="160">
        <v>1</v>
      </c>
      <c r="AA958" s="160">
        <v>1</v>
      </c>
    </row>
    <row r="959" spans="1:27" ht="18" customHeight="1" x14ac:dyDescent="0.25">
      <c r="A959" s="159">
        <v>3214</v>
      </c>
      <c r="B959" s="164" t="s">
        <v>266</v>
      </c>
      <c r="C959" s="164" t="s">
        <v>514</v>
      </c>
      <c r="D959" s="159" t="s">
        <v>731</v>
      </c>
      <c r="E959" s="164" t="s">
        <v>795</v>
      </c>
      <c r="F959" s="159"/>
      <c r="G959" s="157" t="s">
        <v>1349</v>
      </c>
      <c r="H959" s="157" t="s">
        <v>1350</v>
      </c>
      <c r="I959" s="157" t="s">
        <v>2060</v>
      </c>
      <c r="J959" s="157" t="s">
        <v>8298</v>
      </c>
      <c r="K959" s="157" t="s">
        <v>1554</v>
      </c>
      <c r="L959" s="157" t="s">
        <v>2059</v>
      </c>
      <c r="M959" s="157" t="str">
        <f t="shared" si="24"/>
        <v>Short/Mid Range Radar FL / Radar +8° - Distance Measurements</v>
      </c>
      <c r="N959" s="157"/>
      <c r="O959" s="157"/>
      <c r="P959" s="159" t="s">
        <v>3498</v>
      </c>
      <c r="Q959" s="157" t="s">
        <v>2115</v>
      </c>
      <c r="R959" s="157" t="s">
        <v>8292</v>
      </c>
      <c r="S959" s="157" t="s">
        <v>8627</v>
      </c>
      <c r="T959" s="157"/>
      <c r="U959" s="159" t="s">
        <v>2129</v>
      </c>
      <c r="V959" s="159" t="s">
        <v>2129</v>
      </c>
      <c r="W959" s="159" t="s">
        <v>2138</v>
      </c>
      <c r="X959" s="160">
        <v>1</v>
      </c>
      <c r="Y959" s="160">
        <v>1</v>
      </c>
      <c r="Z959" s="160">
        <v>1</v>
      </c>
      <c r="AA959" s="160">
        <v>1</v>
      </c>
    </row>
    <row r="960" spans="1:27" ht="18" customHeight="1" x14ac:dyDescent="0.25">
      <c r="A960" s="159">
        <v>3214</v>
      </c>
      <c r="B960" s="164" t="s">
        <v>266</v>
      </c>
      <c r="C960" s="164" t="s">
        <v>514</v>
      </c>
      <c r="D960" s="159" t="s">
        <v>1170</v>
      </c>
      <c r="E960" s="164" t="s">
        <v>1168</v>
      </c>
      <c r="F960" s="159"/>
      <c r="G960" s="157" t="s">
        <v>1349</v>
      </c>
      <c r="H960" s="157" t="s">
        <v>1350</v>
      </c>
      <c r="I960" s="157" t="s">
        <v>2060</v>
      </c>
      <c r="J960" s="157" t="s">
        <v>8298</v>
      </c>
      <c r="K960" s="157" t="s">
        <v>1554</v>
      </c>
      <c r="L960" s="157" t="s">
        <v>2059</v>
      </c>
      <c r="M960" s="157" t="str">
        <f t="shared" si="24"/>
        <v>Short/Mid Range Radar FL / Radar +8° - Distance Measurements</v>
      </c>
      <c r="N960" s="157"/>
      <c r="O960" s="157"/>
      <c r="P960" s="159" t="s">
        <v>3498</v>
      </c>
      <c r="Q960" s="157" t="s">
        <v>2115</v>
      </c>
      <c r="R960" s="157" t="s">
        <v>8292</v>
      </c>
      <c r="S960" s="157" t="s">
        <v>8627</v>
      </c>
      <c r="T960" s="157"/>
      <c r="U960" s="159" t="s">
        <v>2129</v>
      </c>
      <c r="V960" s="159" t="s">
        <v>2129</v>
      </c>
      <c r="W960" s="159" t="s">
        <v>2138</v>
      </c>
      <c r="X960" s="160">
        <v>1</v>
      </c>
      <c r="Y960" s="160">
        <v>1</v>
      </c>
      <c r="Z960" s="160">
        <v>1</v>
      </c>
      <c r="AA960" s="160">
        <v>1</v>
      </c>
    </row>
    <row r="961" spans="1:27" ht="18" customHeight="1" x14ac:dyDescent="0.25">
      <c r="A961" s="159">
        <v>3214</v>
      </c>
      <c r="B961" s="164" t="s">
        <v>266</v>
      </c>
      <c r="C961" s="164" t="s">
        <v>514</v>
      </c>
      <c r="D961" s="159" t="s">
        <v>1171</v>
      </c>
      <c r="E961" s="164" t="s">
        <v>1223</v>
      </c>
      <c r="F961" s="159"/>
      <c r="G961" s="157" t="s">
        <v>1349</v>
      </c>
      <c r="H961" s="157" t="s">
        <v>1350</v>
      </c>
      <c r="I961" s="157" t="s">
        <v>2060</v>
      </c>
      <c r="J961" s="157" t="s">
        <v>8298</v>
      </c>
      <c r="K961" s="157" t="s">
        <v>1554</v>
      </c>
      <c r="L961" s="157" t="s">
        <v>2059</v>
      </c>
      <c r="M961" s="157" t="str">
        <f t="shared" si="24"/>
        <v>Short/Mid Range Radar FL / Radar +8° - Distance Measurements</v>
      </c>
      <c r="N961" s="157"/>
      <c r="O961" s="157"/>
      <c r="P961" s="159" t="s">
        <v>3498</v>
      </c>
      <c r="Q961" s="157" t="s">
        <v>2115</v>
      </c>
      <c r="R961" s="157" t="s">
        <v>8292</v>
      </c>
      <c r="S961" s="157" t="s">
        <v>8627</v>
      </c>
      <c r="T961" s="157"/>
      <c r="U961" s="159" t="s">
        <v>2129</v>
      </c>
      <c r="V961" s="159" t="s">
        <v>2129</v>
      </c>
      <c r="W961" s="159" t="s">
        <v>2138</v>
      </c>
      <c r="X961" s="160">
        <v>1</v>
      </c>
      <c r="Y961" s="160">
        <v>1</v>
      </c>
      <c r="Z961" s="160">
        <v>1</v>
      </c>
      <c r="AA961" s="160">
        <v>1</v>
      </c>
    </row>
    <row r="962" spans="1:27" ht="18" customHeight="1" x14ac:dyDescent="0.25">
      <c r="A962" s="159">
        <v>3214</v>
      </c>
      <c r="B962" s="164" t="s">
        <v>266</v>
      </c>
      <c r="C962" s="164" t="s">
        <v>519</v>
      </c>
      <c r="D962" s="159" t="s">
        <v>522</v>
      </c>
      <c r="E962" s="164" t="s">
        <v>520</v>
      </c>
      <c r="F962" s="159"/>
      <c r="G962" s="157" t="s">
        <v>1349</v>
      </c>
      <c r="H962" s="157" t="s">
        <v>1350</v>
      </c>
      <c r="I962" s="157" t="s">
        <v>2060</v>
      </c>
      <c r="J962" s="157" t="s">
        <v>8298</v>
      </c>
      <c r="K962" s="157" t="s">
        <v>1554</v>
      </c>
      <c r="L962" s="157" t="s">
        <v>2059</v>
      </c>
      <c r="M962" s="157" t="str">
        <f t="shared" si="24"/>
        <v>Short/Mid Range Radar FL / Radar +8° - Distance Measurements</v>
      </c>
      <c r="N962" s="157"/>
      <c r="O962" s="157"/>
      <c r="P962" s="159" t="s">
        <v>3498</v>
      </c>
      <c r="Q962" s="157" t="s">
        <v>2115</v>
      </c>
      <c r="R962" s="157" t="s">
        <v>8292</v>
      </c>
      <c r="S962" s="157" t="s">
        <v>8627</v>
      </c>
      <c r="T962" s="157"/>
      <c r="U962" s="159" t="s">
        <v>2129</v>
      </c>
      <c r="V962" s="159" t="s">
        <v>2129</v>
      </c>
      <c r="W962" s="159" t="s">
        <v>2138</v>
      </c>
      <c r="X962" s="160">
        <v>1</v>
      </c>
      <c r="Y962" s="160">
        <v>1</v>
      </c>
      <c r="Z962" s="160">
        <v>1</v>
      </c>
      <c r="AA962" s="160">
        <v>1</v>
      </c>
    </row>
    <row r="963" spans="1:27" ht="18" customHeight="1" x14ac:dyDescent="0.25">
      <c r="A963" s="159">
        <v>3214</v>
      </c>
      <c r="B963" s="164" t="s">
        <v>266</v>
      </c>
      <c r="C963" s="164" t="s">
        <v>519</v>
      </c>
      <c r="D963" s="159" t="s">
        <v>526</v>
      </c>
      <c r="E963" s="164" t="s">
        <v>524</v>
      </c>
      <c r="F963" s="159"/>
      <c r="G963" s="157" t="s">
        <v>1349</v>
      </c>
      <c r="H963" s="157" t="s">
        <v>1350</v>
      </c>
      <c r="I963" s="157" t="s">
        <v>2060</v>
      </c>
      <c r="J963" s="157" t="s">
        <v>8298</v>
      </c>
      <c r="K963" s="157" t="s">
        <v>1554</v>
      </c>
      <c r="L963" s="157" t="s">
        <v>2059</v>
      </c>
      <c r="M963" s="157" t="str">
        <f t="shared" si="24"/>
        <v>Short/Mid Range Radar FL / Radar +8° - Distance Measurements</v>
      </c>
      <c r="N963" s="157"/>
      <c r="O963" s="157"/>
      <c r="P963" s="159" t="s">
        <v>3498</v>
      </c>
      <c r="Q963" s="157" t="s">
        <v>2115</v>
      </c>
      <c r="R963" s="157" t="s">
        <v>8292</v>
      </c>
      <c r="S963" s="157" t="s">
        <v>8627</v>
      </c>
      <c r="T963" s="157"/>
      <c r="U963" s="159" t="s">
        <v>2129</v>
      </c>
      <c r="V963" s="159" t="s">
        <v>2129</v>
      </c>
      <c r="W963" s="159" t="s">
        <v>2138</v>
      </c>
      <c r="X963" s="160">
        <v>1</v>
      </c>
      <c r="Y963" s="160">
        <v>1</v>
      </c>
      <c r="Z963" s="160">
        <v>1</v>
      </c>
      <c r="AA963" s="160">
        <v>1</v>
      </c>
    </row>
    <row r="964" spans="1:27" ht="18" customHeight="1" x14ac:dyDescent="0.25">
      <c r="A964" s="159">
        <v>3214</v>
      </c>
      <c r="B964" s="164" t="s">
        <v>266</v>
      </c>
      <c r="C964" s="164" t="s">
        <v>519</v>
      </c>
      <c r="D964" s="159" t="s">
        <v>530</v>
      </c>
      <c r="E964" s="164" t="s">
        <v>528</v>
      </c>
      <c r="F964" s="159"/>
      <c r="G964" s="157" t="s">
        <v>1349</v>
      </c>
      <c r="H964" s="157" t="s">
        <v>1350</v>
      </c>
      <c r="I964" s="157" t="s">
        <v>2060</v>
      </c>
      <c r="J964" s="157" t="s">
        <v>8298</v>
      </c>
      <c r="K964" s="157" t="s">
        <v>1554</v>
      </c>
      <c r="L964" s="157" t="s">
        <v>2059</v>
      </c>
      <c r="M964" s="157" t="str">
        <f t="shared" si="24"/>
        <v>Short/Mid Range Radar FL / Radar +8° - Distance Measurements</v>
      </c>
      <c r="N964" s="157"/>
      <c r="O964" s="157"/>
      <c r="P964" s="159" t="s">
        <v>3498</v>
      </c>
      <c r="Q964" s="157" t="s">
        <v>2115</v>
      </c>
      <c r="R964" s="157" t="s">
        <v>8292</v>
      </c>
      <c r="S964" s="157" t="s">
        <v>8627</v>
      </c>
      <c r="T964" s="157"/>
      <c r="U964" s="159" t="s">
        <v>2129</v>
      </c>
      <c r="V964" s="159" t="s">
        <v>2129</v>
      </c>
      <c r="W964" s="159" t="s">
        <v>2138</v>
      </c>
      <c r="X964" s="160">
        <v>1</v>
      </c>
      <c r="Y964" s="160">
        <v>1</v>
      </c>
      <c r="Z964" s="160">
        <v>1</v>
      </c>
      <c r="AA964" s="160">
        <v>1</v>
      </c>
    </row>
    <row r="965" spans="1:27" ht="18" customHeight="1" x14ac:dyDescent="0.25">
      <c r="A965" s="159">
        <v>3214</v>
      </c>
      <c r="B965" s="164" t="s">
        <v>266</v>
      </c>
      <c r="C965" s="164" t="s">
        <v>519</v>
      </c>
      <c r="D965" s="159" t="s">
        <v>787</v>
      </c>
      <c r="E965" s="164" t="s">
        <v>785</v>
      </c>
      <c r="F965" s="159"/>
      <c r="G965" s="157" t="s">
        <v>1349</v>
      </c>
      <c r="H965" s="157" t="s">
        <v>1350</v>
      </c>
      <c r="I965" s="157" t="s">
        <v>2060</v>
      </c>
      <c r="J965" s="157" t="s">
        <v>8298</v>
      </c>
      <c r="K965" s="157" t="s">
        <v>1554</v>
      </c>
      <c r="L965" s="157" t="s">
        <v>2059</v>
      </c>
      <c r="M965" s="157" t="str">
        <f t="shared" si="24"/>
        <v>Short/Mid Range Radar FL / Radar +8° - Distance Measurements</v>
      </c>
      <c r="N965" s="157"/>
      <c r="O965" s="157"/>
      <c r="P965" s="159" t="s">
        <v>3498</v>
      </c>
      <c r="Q965" s="157" t="s">
        <v>2115</v>
      </c>
      <c r="R965" s="157" t="s">
        <v>8292</v>
      </c>
      <c r="S965" s="157" t="s">
        <v>8627</v>
      </c>
      <c r="T965" s="157"/>
      <c r="U965" s="159" t="s">
        <v>2129</v>
      </c>
      <c r="V965" s="159" t="s">
        <v>2129</v>
      </c>
      <c r="W965" s="159" t="s">
        <v>2138</v>
      </c>
      <c r="X965" s="160">
        <v>1</v>
      </c>
      <c r="Y965" s="160">
        <v>1</v>
      </c>
      <c r="Z965" s="160">
        <v>1</v>
      </c>
      <c r="AA965" s="160">
        <v>1</v>
      </c>
    </row>
    <row r="966" spans="1:27" ht="18" customHeight="1" x14ac:dyDescent="0.25">
      <c r="A966" s="159">
        <v>3214</v>
      </c>
      <c r="B966" s="164" t="s">
        <v>266</v>
      </c>
      <c r="C966" s="164" t="s">
        <v>519</v>
      </c>
      <c r="D966" s="159" t="s">
        <v>935</v>
      </c>
      <c r="E966" s="164" t="s">
        <v>933</v>
      </c>
      <c r="F966" s="159"/>
      <c r="G966" s="157" t="s">
        <v>1349</v>
      </c>
      <c r="H966" s="157" t="s">
        <v>1350</v>
      </c>
      <c r="I966" s="157" t="s">
        <v>2060</v>
      </c>
      <c r="J966" s="157" t="s">
        <v>8298</v>
      </c>
      <c r="K966" s="157" t="s">
        <v>1554</v>
      </c>
      <c r="L966" s="157" t="s">
        <v>2059</v>
      </c>
      <c r="M966" s="157" t="str">
        <f t="shared" si="24"/>
        <v>Short/Mid Range Radar FL / Radar +8° - Distance Measurements</v>
      </c>
      <c r="N966" s="157"/>
      <c r="O966" s="157"/>
      <c r="P966" s="159" t="s">
        <v>3498</v>
      </c>
      <c r="Q966" s="157" t="s">
        <v>2115</v>
      </c>
      <c r="R966" s="157" t="s">
        <v>8292</v>
      </c>
      <c r="S966" s="157" t="s">
        <v>8627</v>
      </c>
      <c r="T966" s="157"/>
      <c r="U966" s="159" t="s">
        <v>2129</v>
      </c>
      <c r="V966" s="159" t="s">
        <v>2129</v>
      </c>
      <c r="W966" s="159" t="s">
        <v>2138</v>
      </c>
      <c r="X966" s="160">
        <v>1</v>
      </c>
      <c r="Y966" s="160">
        <v>1</v>
      </c>
      <c r="Z966" s="160">
        <v>1</v>
      </c>
      <c r="AA966" s="160">
        <v>1</v>
      </c>
    </row>
    <row r="967" spans="1:27" ht="18" customHeight="1" x14ac:dyDescent="0.25">
      <c r="A967" s="159">
        <v>3214</v>
      </c>
      <c r="B967" s="164" t="s">
        <v>266</v>
      </c>
      <c r="C967" s="164" t="s">
        <v>519</v>
      </c>
      <c r="D967" s="159" t="s">
        <v>1151</v>
      </c>
      <c r="E967" s="164" t="s">
        <v>1149</v>
      </c>
      <c r="F967" s="159"/>
      <c r="G967" s="157" t="s">
        <v>1349</v>
      </c>
      <c r="H967" s="157" t="s">
        <v>1350</v>
      </c>
      <c r="I967" s="157" t="s">
        <v>2060</v>
      </c>
      <c r="J967" s="157" t="s">
        <v>8298</v>
      </c>
      <c r="K967" s="157" t="s">
        <v>1554</v>
      </c>
      <c r="L967" s="157" t="s">
        <v>2059</v>
      </c>
      <c r="M967" s="157" t="str">
        <f t="shared" si="24"/>
        <v>Short/Mid Range Radar FL / Radar +8° - Distance Measurements</v>
      </c>
      <c r="N967" s="157"/>
      <c r="O967" s="157"/>
      <c r="P967" s="159" t="s">
        <v>3498</v>
      </c>
      <c r="Q967" s="157" t="s">
        <v>2115</v>
      </c>
      <c r="R967" s="157" t="s">
        <v>8292</v>
      </c>
      <c r="S967" s="157" t="s">
        <v>8627</v>
      </c>
      <c r="T967" s="157"/>
      <c r="U967" s="159" t="s">
        <v>2129</v>
      </c>
      <c r="V967" s="159" t="s">
        <v>2129</v>
      </c>
      <c r="W967" s="159" t="s">
        <v>2138</v>
      </c>
      <c r="X967" s="160">
        <v>1</v>
      </c>
      <c r="Y967" s="160">
        <v>1</v>
      </c>
      <c r="Z967" s="160">
        <v>1</v>
      </c>
      <c r="AA967" s="160">
        <v>1</v>
      </c>
    </row>
    <row r="968" spans="1:27" ht="18" customHeight="1" x14ac:dyDescent="0.25">
      <c r="A968" s="159">
        <v>3214</v>
      </c>
      <c r="B968" s="164" t="s">
        <v>266</v>
      </c>
      <c r="C968" s="164" t="s">
        <v>519</v>
      </c>
      <c r="D968" s="159" t="s">
        <v>1159</v>
      </c>
      <c r="E968" s="164" t="s">
        <v>1157</v>
      </c>
      <c r="F968" s="159"/>
      <c r="G968" s="157" t="s">
        <v>1349</v>
      </c>
      <c r="H968" s="157" t="s">
        <v>1350</v>
      </c>
      <c r="I968" s="157" t="s">
        <v>2060</v>
      </c>
      <c r="J968" s="157" t="s">
        <v>8298</v>
      </c>
      <c r="K968" s="157" t="s">
        <v>1554</v>
      </c>
      <c r="L968" s="157" t="s">
        <v>2059</v>
      </c>
      <c r="M968" s="157" t="str">
        <f t="shared" si="24"/>
        <v>Short/Mid Range Radar FL / Radar +8° - Distance Measurements</v>
      </c>
      <c r="N968" s="157"/>
      <c r="O968" s="157"/>
      <c r="P968" s="159" t="s">
        <v>3498</v>
      </c>
      <c r="Q968" s="157" t="s">
        <v>2115</v>
      </c>
      <c r="R968" s="157" t="s">
        <v>8292</v>
      </c>
      <c r="S968" s="157" t="s">
        <v>8627</v>
      </c>
      <c r="T968" s="157"/>
      <c r="U968" s="159" t="s">
        <v>2129</v>
      </c>
      <c r="V968" s="159" t="s">
        <v>2129</v>
      </c>
      <c r="W968" s="159" t="s">
        <v>2138</v>
      </c>
      <c r="X968" s="160">
        <v>1</v>
      </c>
      <c r="Y968" s="160">
        <v>1</v>
      </c>
      <c r="Z968" s="160">
        <v>1</v>
      </c>
      <c r="AA968" s="160">
        <v>1</v>
      </c>
    </row>
    <row r="969" spans="1:27" ht="18" customHeight="1" x14ac:dyDescent="0.25">
      <c r="A969" s="159">
        <v>3215</v>
      </c>
      <c r="B969" s="164" t="s">
        <v>266</v>
      </c>
      <c r="C969" s="164" t="s">
        <v>276</v>
      </c>
      <c r="D969" s="159" t="s">
        <v>303</v>
      </c>
      <c r="E969" s="164" t="s">
        <v>301</v>
      </c>
      <c r="F969" s="159"/>
      <c r="G969" s="157" t="s">
        <v>1349</v>
      </c>
      <c r="H969" s="157" t="s">
        <v>1350</v>
      </c>
      <c r="I969" s="157" t="s">
        <v>2060</v>
      </c>
      <c r="J969" s="157" t="s">
        <v>8298</v>
      </c>
      <c r="K969" s="157" t="s">
        <v>1554</v>
      </c>
      <c r="L969" s="157" t="s">
        <v>2058</v>
      </c>
      <c r="M969" s="157" t="str">
        <f t="shared" si="24"/>
        <v>Short/Mid Range Radar FR / Radar -8° - Distance Measurements</v>
      </c>
      <c r="N969" s="157"/>
      <c r="O969" s="157"/>
      <c r="P969" s="159" t="s">
        <v>3516</v>
      </c>
      <c r="Q969" s="157" t="s">
        <v>2115</v>
      </c>
      <c r="R969" s="168" t="s">
        <v>9535</v>
      </c>
      <c r="S969" s="168" t="s">
        <v>9536</v>
      </c>
      <c r="T969" s="157"/>
      <c r="U969" s="159" t="s">
        <v>2129</v>
      </c>
      <c r="V969" s="159" t="s">
        <v>2129</v>
      </c>
      <c r="W969" s="159" t="s">
        <v>2138</v>
      </c>
      <c r="X969" s="160">
        <v>1</v>
      </c>
      <c r="Y969" s="160">
        <v>1</v>
      </c>
      <c r="Z969" s="160">
        <v>1</v>
      </c>
      <c r="AA969" s="160">
        <v>1</v>
      </c>
    </row>
    <row r="970" spans="1:27" ht="18" customHeight="1" x14ac:dyDescent="0.25">
      <c r="A970" s="159">
        <v>3215</v>
      </c>
      <c r="B970" s="164" t="s">
        <v>266</v>
      </c>
      <c r="C970" s="164" t="s">
        <v>276</v>
      </c>
      <c r="D970" s="159" t="s">
        <v>310</v>
      </c>
      <c r="E970" s="164" t="s">
        <v>308</v>
      </c>
      <c r="F970" s="159"/>
      <c r="G970" s="157" t="s">
        <v>1349</v>
      </c>
      <c r="H970" s="157" t="s">
        <v>1350</v>
      </c>
      <c r="I970" s="157" t="s">
        <v>2060</v>
      </c>
      <c r="J970" s="157" t="s">
        <v>8298</v>
      </c>
      <c r="K970" s="157" t="s">
        <v>1554</v>
      </c>
      <c r="L970" s="157" t="s">
        <v>2058</v>
      </c>
      <c r="M970" s="157" t="str">
        <f t="shared" ref="M970:M1033" si="25">CONCATENATE(L970," - ",I970)</f>
        <v>Short/Mid Range Radar FR / Radar -8° - Distance Measurements</v>
      </c>
      <c r="N970" s="157"/>
      <c r="O970" s="157"/>
      <c r="P970" s="159" t="s">
        <v>3516</v>
      </c>
      <c r="Q970" s="157" t="s">
        <v>2115</v>
      </c>
      <c r="R970" s="168" t="s">
        <v>9535</v>
      </c>
      <c r="S970" s="168" t="s">
        <v>9536</v>
      </c>
      <c r="T970" s="157"/>
      <c r="U970" s="159" t="s">
        <v>2129</v>
      </c>
      <c r="V970" s="159" t="s">
        <v>2129</v>
      </c>
      <c r="W970" s="159" t="s">
        <v>2138</v>
      </c>
      <c r="X970" s="160">
        <v>1</v>
      </c>
      <c r="Y970" s="160">
        <v>1</v>
      </c>
      <c r="Z970" s="160">
        <v>1</v>
      </c>
      <c r="AA970" s="160">
        <v>1</v>
      </c>
    </row>
    <row r="971" spans="1:27" ht="18" customHeight="1" x14ac:dyDescent="0.25">
      <c r="A971" s="159">
        <v>3215</v>
      </c>
      <c r="B971" s="164" t="s">
        <v>266</v>
      </c>
      <c r="C971" s="164" t="s">
        <v>276</v>
      </c>
      <c r="D971" s="159" t="s">
        <v>686</v>
      </c>
      <c r="E971" s="164" t="s">
        <v>684</v>
      </c>
      <c r="F971" s="159"/>
      <c r="G971" s="157" t="s">
        <v>1349</v>
      </c>
      <c r="H971" s="157" t="s">
        <v>1350</v>
      </c>
      <c r="I971" s="157" t="s">
        <v>2060</v>
      </c>
      <c r="J971" s="157" t="s">
        <v>8298</v>
      </c>
      <c r="K971" s="157" t="s">
        <v>1554</v>
      </c>
      <c r="L971" s="157" t="s">
        <v>2058</v>
      </c>
      <c r="M971" s="157" t="str">
        <f t="shared" si="25"/>
        <v>Short/Mid Range Radar FR / Radar -8° - Distance Measurements</v>
      </c>
      <c r="N971" s="157"/>
      <c r="O971" s="157"/>
      <c r="P971" s="159" t="s">
        <v>3516</v>
      </c>
      <c r="Q971" s="157" t="s">
        <v>2115</v>
      </c>
      <c r="R971" s="168" t="s">
        <v>9535</v>
      </c>
      <c r="S971" s="168" t="s">
        <v>9536</v>
      </c>
      <c r="T971" s="157"/>
      <c r="U971" s="159" t="s">
        <v>2129</v>
      </c>
      <c r="V971" s="159" t="s">
        <v>2129</v>
      </c>
      <c r="W971" s="159" t="s">
        <v>2138</v>
      </c>
      <c r="X971" s="160">
        <v>1</v>
      </c>
      <c r="Y971" s="160">
        <v>1</v>
      </c>
      <c r="Z971" s="160">
        <v>1</v>
      </c>
      <c r="AA971" s="160">
        <v>1</v>
      </c>
    </row>
    <row r="972" spans="1:27" ht="18" customHeight="1" x14ac:dyDescent="0.25">
      <c r="A972" s="159">
        <v>3215</v>
      </c>
      <c r="B972" s="164" t="s">
        <v>266</v>
      </c>
      <c r="C972" s="164" t="s">
        <v>276</v>
      </c>
      <c r="D972" s="159" t="s">
        <v>726</v>
      </c>
      <c r="E972" s="164" t="s">
        <v>724</v>
      </c>
      <c r="F972" s="159"/>
      <c r="G972" s="157" t="s">
        <v>1349</v>
      </c>
      <c r="H972" s="157" t="s">
        <v>1350</v>
      </c>
      <c r="I972" s="157" t="s">
        <v>2060</v>
      </c>
      <c r="J972" s="157" t="s">
        <v>8298</v>
      </c>
      <c r="K972" s="157" t="s">
        <v>1554</v>
      </c>
      <c r="L972" s="157" t="s">
        <v>2058</v>
      </c>
      <c r="M972" s="157" t="str">
        <f t="shared" si="25"/>
        <v>Short/Mid Range Radar FR / Radar -8° - Distance Measurements</v>
      </c>
      <c r="N972" s="157"/>
      <c r="O972" s="157"/>
      <c r="P972" s="159" t="s">
        <v>3516</v>
      </c>
      <c r="Q972" s="157" t="s">
        <v>2115</v>
      </c>
      <c r="R972" s="168" t="s">
        <v>9535</v>
      </c>
      <c r="S972" s="168" t="s">
        <v>9536</v>
      </c>
      <c r="T972" s="157"/>
      <c r="U972" s="159" t="s">
        <v>2129</v>
      </c>
      <c r="V972" s="159" t="s">
        <v>2129</v>
      </c>
      <c r="W972" s="159" t="s">
        <v>2138</v>
      </c>
      <c r="X972" s="160">
        <v>1</v>
      </c>
      <c r="Y972" s="160">
        <v>1</v>
      </c>
      <c r="Z972" s="160">
        <v>1</v>
      </c>
      <c r="AA972" s="160">
        <v>1</v>
      </c>
    </row>
    <row r="973" spans="1:27" ht="18" customHeight="1" x14ac:dyDescent="0.25">
      <c r="A973" s="159">
        <v>3215</v>
      </c>
      <c r="B973" s="164" t="s">
        <v>266</v>
      </c>
      <c r="C973" s="164" t="s">
        <v>276</v>
      </c>
      <c r="D973" s="159" t="s">
        <v>304</v>
      </c>
      <c r="E973" s="164" t="s">
        <v>1239</v>
      </c>
      <c r="F973" s="159"/>
      <c r="G973" s="157" t="s">
        <v>1349</v>
      </c>
      <c r="H973" s="157" t="s">
        <v>1350</v>
      </c>
      <c r="I973" s="157" t="s">
        <v>2060</v>
      </c>
      <c r="J973" s="157" t="s">
        <v>8298</v>
      </c>
      <c r="K973" s="157" t="s">
        <v>1554</v>
      </c>
      <c r="L973" s="157" t="s">
        <v>2058</v>
      </c>
      <c r="M973" s="157" t="str">
        <f t="shared" si="25"/>
        <v>Short/Mid Range Radar FR / Radar -8° - Distance Measurements</v>
      </c>
      <c r="N973" s="157"/>
      <c r="O973" s="157"/>
      <c r="P973" s="159" t="s">
        <v>3516</v>
      </c>
      <c r="Q973" s="157" t="s">
        <v>2115</v>
      </c>
      <c r="R973" s="168" t="s">
        <v>9535</v>
      </c>
      <c r="S973" s="168" t="s">
        <v>9536</v>
      </c>
      <c r="T973" s="157"/>
      <c r="U973" s="159" t="s">
        <v>2129</v>
      </c>
      <c r="V973" s="159" t="s">
        <v>2129</v>
      </c>
      <c r="W973" s="159" t="s">
        <v>2138</v>
      </c>
      <c r="X973" s="160">
        <v>1</v>
      </c>
      <c r="Y973" s="160">
        <v>1</v>
      </c>
      <c r="Z973" s="160">
        <v>1</v>
      </c>
      <c r="AA973" s="160">
        <v>1</v>
      </c>
    </row>
    <row r="974" spans="1:27" ht="18" customHeight="1" x14ac:dyDescent="0.25">
      <c r="A974" s="159">
        <v>3215</v>
      </c>
      <c r="B974" s="164" t="s">
        <v>266</v>
      </c>
      <c r="C974" s="164" t="s">
        <v>1196</v>
      </c>
      <c r="D974" s="159" t="s">
        <v>1203</v>
      </c>
      <c r="E974" s="164" t="s">
        <v>1201</v>
      </c>
      <c r="F974" s="159"/>
      <c r="G974" s="157" t="s">
        <v>1349</v>
      </c>
      <c r="H974" s="157" t="s">
        <v>1350</v>
      </c>
      <c r="I974" s="157" t="s">
        <v>2060</v>
      </c>
      <c r="J974" s="157" t="s">
        <v>8298</v>
      </c>
      <c r="K974" s="157" t="s">
        <v>1554</v>
      </c>
      <c r="L974" s="157" t="s">
        <v>2058</v>
      </c>
      <c r="M974" s="157" t="str">
        <f t="shared" si="25"/>
        <v>Short/Mid Range Radar FR / Radar -8° - Distance Measurements</v>
      </c>
      <c r="N974" s="157"/>
      <c r="O974" s="157"/>
      <c r="P974" s="159" t="s">
        <v>3516</v>
      </c>
      <c r="Q974" s="157" t="s">
        <v>2115</v>
      </c>
      <c r="R974" s="168" t="s">
        <v>9535</v>
      </c>
      <c r="S974" s="168" t="s">
        <v>9536</v>
      </c>
      <c r="T974" s="157"/>
      <c r="U974" s="159" t="s">
        <v>2129</v>
      </c>
      <c r="V974" s="159" t="s">
        <v>2129</v>
      </c>
      <c r="W974" s="159" t="s">
        <v>2138</v>
      </c>
      <c r="X974" s="160">
        <v>1</v>
      </c>
      <c r="Y974" s="160">
        <v>1</v>
      </c>
      <c r="Z974" s="160">
        <v>1</v>
      </c>
      <c r="AA974" s="160">
        <v>1</v>
      </c>
    </row>
    <row r="975" spans="1:27" ht="18" customHeight="1" x14ac:dyDescent="0.25">
      <c r="A975" s="159">
        <v>3215</v>
      </c>
      <c r="B975" s="164" t="s">
        <v>266</v>
      </c>
      <c r="C975" s="164" t="s">
        <v>267</v>
      </c>
      <c r="D975" s="159" t="s">
        <v>270</v>
      </c>
      <c r="E975" s="164" t="s">
        <v>268</v>
      </c>
      <c r="F975" s="159"/>
      <c r="G975" s="157" t="s">
        <v>1349</v>
      </c>
      <c r="H975" s="157" t="s">
        <v>1350</v>
      </c>
      <c r="I975" s="157" t="s">
        <v>2060</v>
      </c>
      <c r="J975" s="157" t="s">
        <v>8298</v>
      </c>
      <c r="K975" s="157" t="s">
        <v>1554</v>
      </c>
      <c r="L975" s="157" t="s">
        <v>2058</v>
      </c>
      <c r="M975" s="157" t="str">
        <f t="shared" si="25"/>
        <v>Short/Mid Range Radar FR / Radar -8° - Distance Measurements</v>
      </c>
      <c r="N975" s="157"/>
      <c r="O975" s="157"/>
      <c r="P975" s="159" t="s">
        <v>3516</v>
      </c>
      <c r="Q975" s="157" t="s">
        <v>2115</v>
      </c>
      <c r="R975" s="168" t="s">
        <v>9535</v>
      </c>
      <c r="S975" s="168" t="s">
        <v>9536</v>
      </c>
      <c r="T975" s="157"/>
      <c r="U975" s="159" t="s">
        <v>2129</v>
      </c>
      <c r="V975" s="159" t="s">
        <v>2129</v>
      </c>
      <c r="W975" s="159" t="s">
        <v>2138</v>
      </c>
      <c r="X975" s="160">
        <v>1</v>
      </c>
      <c r="Y975" s="160">
        <v>1</v>
      </c>
      <c r="Z975" s="160">
        <v>1</v>
      </c>
      <c r="AA975" s="160">
        <v>1</v>
      </c>
    </row>
    <row r="976" spans="1:27" ht="18" customHeight="1" x14ac:dyDescent="0.25">
      <c r="A976" s="159">
        <v>3215</v>
      </c>
      <c r="B976" s="164" t="s">
        <v>266</v>
      </c>
      <c r="C976" s="164" t="s">
        <v>267</v>
      </c>
      <c r="D976" s="159" t="s">
        <v>951</v>
      </c>
      <c r="E976" s="164" t="s">
        <v>949</v>
      </c>
      <c r="F976" s="159"/>
      <c r="G976" s="157" t="s">
        <v>1349</v>
      </c>
      <c r="H976" s="157" t="s">
        <v>1350</v>
      </c>
      <c r="I976" s="157" t="s">
        <v>2060</v>
      </c>
      <c r="J976" s="157" t="s">
        <v>8298</v>
      </c>
      <c r="K976" s="157" t="s">
        <v>1554</v>
      </c>
      <c r="L976" s="157" t="s">
        <v>2058</v>
      </c>
      <c r="M976" s="157" t="str">
        <f t="shared" si="25"/>
        <v>Short/Mid Range Radar FR / Radar -8° - Distance Measurements</v>
      </c>
      <c r="N976" s="157"/>
      <c r="O976" s="157"/>
      <c r="P976" s="159" t="s">
        <v>3516</v>
      </c>
      <c r="Q976" s="157" t="s">
        <v>2115</v>
      </c>
      <c r="R976" s="168" t="s">
        <v>9535</v>
      </c>
      <c r="S976" s="168" t="s">
        <v>9536</v>
      </c>
      <c r="T976" s="157"/>
      <c r="U976" s="159" t="s">
        <v>2129</v>
      </c>
      <c r="V976" s="159" t="s">
        <v>2129</v>
      </c>
      <c r="W976" s="159" t="s">
        <v>2138</v>
      </c>
      <c r="X976" s="160">
        <v>1</v>
      </c>
      <c r="Y976" s="160">
        <v>1</v>
      </c>
      <c r="Z976" s="160">
        <v>1</v>
      </c>
      <c r="AA976" s="160">
        <v>1</v>
      </c>
    </row>
    <row r="977" spans="1:27" ht="18" customHeight="1" x14ac:dyDescent="0.25">
      <c r="A977" s="159">
        <v>3215</v>
      </c>
      <c r="B977" s="164" t="s">
        <v>266</v>
      </c>
      <c r="C977" s="164" t="s">
        <v>267</v>
      </c>
      <c r="D977" s="159" t="s">
        <v>271</v>
      </c>
      <c r="E977" s="164" t="s">
        <v>1219</v>
      </c>
      <c r="F977" s="159"/>
      <c r="G977" s="157" t="s">
        <v>1349</v>
      </c>
      <c r="H977" s="157" t="s">
        <v>1350</v>
      </c>
      <c r="I977" s="157" t="s">
        <v>2060</v>
      </c>
      <c r="J977" s="157" t="s">
        <v>8298</v>
      </c>
      <c r="K977" s="157" t="s">
        <v>1554</v>
      </c>
      <c r="L977" s="157" t="s">
        <v>2058</v>
      </c>
      <c r="M977" s="157" t="str">
        <f t="shared" si="25"/>
        <v>Short/Mid Range Radar FR / Radar -8° - Distance Measurements</v>
      </c>
      <c r="N977" s="157"/>
      <c r="O977" s="157"/>
      <c r="P977" s="159" t="s">
        <v>3516</v>
      </c>
      <c r="Q977" s="157" t="s">
        <v>2115</v>
      </c>
      <c r="R977" s="168" t="s">
        <v>9535</v>
      </c>
      <c r="S977" s="168" t="s">
        <v>9536</v>
      </c>
      <c r="T977" s="157"/>
      <c r="U977" s="159" t="s">
        <v>2129</v>
      </c>
      <c r="V977" s="159" t="s">
        <v>2129</v>
      </c>
      <c r="W977" s="159" t="s">
        <v>2138</v>
      </c>
      <c r="X977" s="160">
        <v>1</v>
      </c>
      <c r="Y977" s="160">
        <v>1</v>
      </c>
      <c r="Z977" s="160">
        <v>1</v>
      </c>
      <c r="AA977" s="160">
        <v>1</v>
      </c>
    </row>
    <row r="978" spans="1:27" ht="18" customHeight="1" x14ac:dyDescent="0.25">
      <c r="A978" s="159">
        <v>3215</v>
      </c>
      <c r="B978" s="164" t="s">
        <v>266</v>
      </c>
      <c r="C978" s="164" t="s">
        <v>294</v>
      </c>
      <c r="D978" s="159" t="s">
        <v>297</v>
      </c>
      <c r="E978" s="164" t="s">
        <v>295</v>
      </c>
      <c r="F978" s="159"/>
      <c r="G978" s="157" t="s">
        <v>1349</v>
      </c>
      <c r="H978" s="157" t="s">
        <v>1350</v>
      </c>
      <c r="I978" s="157" t="s">
        <v>2060</v>
      </c>
      <c r="J978" s="157" t="s">
        <v>8298</v>
      </c>
      <c r="K978" s="157" t="s">
        <v>1554</v>
      </c>
      <c r="L978" s="157" t="s">
        <v>2058</v>
      </c>
      <c r="M978" s="157" t="str">
        <f t="shared" si="25"/>
        <v>Short/Mid Range Radar FR / Radar -8° - Distance Measurements</v>
      </c>
      <c r="N978" s="157"/>
      <c r="O978" s="157"/>
      <c r="P978" s="159" t="s">
        <v>3516</v>
      </c>
      <c r="Q978" s="157" t="s">
        <v>2115</v>
      </c>
      <c r="R978" s="168" t="s">
        <v>9535</v>
      </c>
      <c r="S978" s="168" t="s">
        <v>9536</v>
      </c>
      <c r="T978" s="157"/>
      <c r="U978" s="159" t="s">
        <v>2129</v>
      </c>
      <c r="V978" s="159" t="s">
        <v>2129</v>
      </c>
      <c r="W978" s="159" t="s">
        <v>2138</v>
      </c>
      <c r="X978" s="160">
        <v>1</v>
      </c>
      <c r="Y978" s="160">
        <v>1</v>
      </c>
      <c r="Z978" s="160">
        <v>1</v>
      </c>
      <c r="AA978" s="160">
        <v>1</v>
      </c>
    </row>
    <row r="979" spans="1:27" ht="18" customHeight="1" x14ac:dyDescent="0.25">
      <c r="A979" s="159">
        <v>3215</v>
      </c>
      <c r="B979" s="164" t="s">
        <v>266</v>
      </c>
      <c r="C979" s="164" t="s">
        <v>294</v>
      </c>
      <c r="D979" s="159" t="s">
        <v>298</v>
      </c>
      <c r="E979" s="164" t="s">
        <v>299</v>
      </c>
      <c r="F979" s="159"/>
      <c r="G979" s="157" t="s">
        <v>1349</v>
      </c>
      <c r="H979" s="157" t="s">
        <v>1350</v>
      </c>
      <c r="I979" s="157" t="s">
        <v>2060</v>
      </c>
      <c r="J979" s="157" t="s">
        <v>8298</v>
      </c>
      <c r="K979" s="157" t="s">
        <v>1554</v>
      </c>
      <c r="L979" s="157" t="s">
        <v>2058</v>
      </c>
      <c r="M979" s="157" t="str">
        <f t="shared" si="25"/>
        <v>Short/Mid Range Radar FR / Radar -8° - Distance Measurements</v>
      </c>
      <c r="N979" s="157"/>
      <c r="O979" s="157"/>
      <c r="P979" s="159" t="s">
        <v>3516</v>
      </c>
      <c r="Q979" s="157" t="s">
        <v>2115</v>
      </c>
      <c r="R979" s="168" t="s">
        <v>9535</v>
      </c>
      <c r="S979" s="168" t="s">
        <v>9536</v>
      </c>
      <c r="T979" s="157"/>
      <c r="U979" s="159" t="s">
        <v>2129</v>
      </c>
      <c r="V979" s="159" t="s">
        <v>2129</v>
      </c>
      <c r="W979" s="159" t="s">
        <v>2138</v>
      </c>
      <c r="X979" s="160">
        <v>1</v>
      </c>
      <c r="Y979" s="160">
        <v>1</v>
      </c>
      <c r="Z979" s="160">
        <v>1</v>
      </c>
      <c r="AA979" s="160">
        <v>1</v>
      </c>
    </row>
    <row r="980" spans="1:27" ht="18" customHeight="1" x14ac:dyDescent="0.25">
      <c r="A980" s="159">
        <v>3215</v>
      </c>
      <c r="B980" s="164" t="s">
        <v>266</v>
      </c>
      <c r="C980" s="164" t="s">
        <v>294</v>
      </c>
      <c r="D980" s="159" t="s">
        <v>503</v>
      </c>
      <c r="E980" s="164" t="s">
        <v>501</v>
      </c>
      <c r="F980" s="159"/>
      <c r="G980" s="157" t="s">
        <v>1349</v>
      </c>
      <c r="H980" s="157" t="s">
        <v>1350</v>
      </c>
      <c r="I980" s="157" t="s">
        <v>2060</v>
      </c>
      <c r="J980" s="157" t="s">
        <v>8298</v>
      </c>
      <c r="K980" s="157" t="s">
        <v>1554</v>
      </c>
      <c r="L980" s="157" t="s">
        <v>2058</v>
      </c>
      <c r="M980" s="157" t="str">
        <f t="shared" si="25"/>
        <v>Short/Mid Range Radar FR / Radar -8° - Distance Measurements</v>
      </c>
      <c r="N980" s="157"/>
      <c r="O980" s="157"/>
      <c r="P980" s="159" t="s">
        <v>3516</v>
      </c>
      <c r="Q980" s="157" t="s">
        <v>2115</v>
      </c>
      <c r="R980" s="168" t="s">
        <v>9535</v>
      </c>
      <c r="S980" s="168" t="s">
        <v>9536</v>
      </c>
      <c r="T980" s="157"/>
      <c r="U980" s="159" t="s">
        <v>2129</v>
      </c>
      <c r="V980" s="159" t="s">
        <v>2129</v>
      </c>
      <c r="W980" s="159" t="s">
        <v>2138</v>
      </c>
      <c r="X980" s="160">
        <v>1</v>
      </c>
      <c r="Y980" s="160">
        <v>1</v>
      </c>
      <c r="Z980" s="160">
        <v>1</v>
      </c>
      <c r="AA980" s="160">
        <v>1</v>
      </c>
    </row>
    <row r="981" spans="1:27" ht="18" customHeight="1" x14ac:dyDescent="0.25">
      <c r="A981" s="159">
        <v>3215</v>
      </c>
      <c r="B981" s="164" t="s">
        <v>266</v>
      </c>
      <c r="C981" s="164" t="s">
        <v>294</v>
      </c>
      <c r="D981" s="159" t="s">
        <v>692</v>
      </c>
      <c r="E981" s="164" t="s">
        <v>690</v>
      </c>
      <c r="F981" s="159"/>
      <c r="G981" s="157" t="s">
        <v>1349</v>
      </c>
      <c r="H981" s="157" t="s">
        <v>1350</v>
      </c>
      <c r="I981" s="157" t="s">
        <v>2060</v>
      </c>
      <c r="J981" s="157" t="s">
        <v>8298</v>
      </c>
      <c r="K981" s="157" t="s">
        <v>1554</v>
      </c>
      <c r="L981" s="157" t="s">
        <v>2058</v>
      </c>
      <c r="M981" s="157" t="str">
        <f t="shared" si="25"/>
        <v>Short/Mid Range Radar FR / Radar -8° - Distance Measurements</v>
      </c>
      <c r="N981" s="157"/>
      <c r="O981" s="157"/>
      <c r="P981" s="159" t="s">
        <v>3516</v>
      </c>
      <c r="Q981" s="157" t="s">
        <v>2115</v>
      </c>
      <c r="R981" s="168" t="s">
        <v>9535</v>
      </c>
      <c r="S981" s="168" t="s">
        <v>9536</v>
      </c>
      <c r="T981" s="157"/>
      <c r="U981" s="159" t="s">
        <v>2129</v>
      </c>
      <c r="V981" s="159" t="s">
        <v>2129</v>
      </c>
      <c r="W981" s="159" t="s">
        <v>2138</v>
      </c>
      <c r="X981" s="160">
        <v>1</v>
      </c>
      <c r="Y981" s="160">
        <v>1</v>
      </c>
      <c r="Z981" s="160">
        <v>1</v>
      </c>
      <c r="AA981" s="160">
        <v>1</v>
      </c>
    </row>
    <row r="982" spans="1:27" ht="18" customHeight="1" x14ac:dyDescent="0.25">
      <c r="A982" s="159">
        <v>3215</v>
      </c>
      <c r="B982" s="164" t="s">
        <v>266</v>
      </c>
      <c r="C982" s="164" t="s">
        <v>294</v>
      </c>
      <c r="D982" s="159" t="s">
        <v>1177</v>
      </c>
      <c r="E982" s="164" t="s">
        <v>1175</v>
      </c>
      <c r="F982" s="159"/>
      <c r="G982" s="157" t="s">
        <v>1349</v>
      </c>
      <c r="H982" s="157" t="s">
        <v>1350</v>
      </c>
      <c r="I982" s="157" t="s">
        <v>2060</v>
      </c>
      <c r="J982" s="157" t="s">
        <v>8298</v>
      </c>
      <c r="K982" s="157" t="s">
        <v>1554</v>
      </c>
      <c r="L982" s="157" t="s">
        <v>2058</v>
      </c>
      <c r="M982" s="157" t="str">
        <f t="shared" si="25"/>
        <v>Short/Mid Range Radar FR / Radar -8° - Distance Measurements</v>
      </c>
      <c r="N982" s="157"/>
      <c r="O982" s="157"/>
      <c r="P982" s="159" t="s">
        <v>3516</v>
      </c>
      <c r="Q982" s="157" t="s">
        <v>2115</v>
      </c>
      <c r="R982" s="168" t="s">
        <v>9535</v>
      </c>
      <c r="S982" s="168" t="s">
        <v>9536</v>
      </c>
      <c r="T982" s="157"/>
      <c r="U982" s="159" t="s">
        <v>2129</v>
      </c>
      <c r="V982" s="159" t="s">
        <v>2129</v>
      </c>
      <c r="W982" s="159" t="s">
        <v>2138</v>
      </c>
      <c r="X982" s="160">
        <v>1</v>
      </c>
      <c r="Y982" s="160">
        <v>1</v>
      </c>
      <c r="Z982" s="160">
        <v>1</v>
      </c>
      <c r="AA982" s="160">
        <v>1</v>
      </c>
    </row>
    <row r="983" spans="1:27" ht="18" customHeight="1" x14ac:dyDescent="0.25">
      <c r="A983" s="159">
        <v>3215</v>
      </c>
      <c r="B983" s="164" t="s">
        <v>266</v>
      </c>
      <c r="C983" s="164" t="s">
        <v>294</v>
      </c>
      <c r="D983" s="159" t="s">
        <v>1178</v>
      </c>
      <c r="E983" s="164" t="s">
        <v>1179</v>
      </c>
      <c r="F983" s="159"/>
      <c r="G983" s="157" t="s">
        <v>1349</v>
      </c>
      <c r="H983" s="157" t="s">
        <v>1350</v>
      </c>
      <c r="I983" s="157" t="s">
        <v>2060</v>
      </c>
      <c r="J983" s="157" t="s">
        <v>8298</v>
      </c>
      <c r="K983" s="157" t="s">
        <v>1554</v>
      </c>
      <c r="L983" s="157" t="s">
        <v>2058</v>
      </c>
      <c r="M983" s="157" t="str">
        <f t="shared" si="25"/>
        <v>Short/Mid Range Radar FR / Radar -8° - Distance Measurements</v>
      </c>
      <c r="N983" s="157"/>
      <c r="O983" s="157"/>
      <c r="P983" s="159" t="s">
        <v>3516</v>
      </c>
      <c r="Q983" s="157" t="s">
        <v>2115</v>
      </c>
      <c r="R983" s="168" t="s">
        <v>9535</v>
      </c>
      <c r="S983" s="168" t="s">
        <v>9536</v>
      </c>
      <c r="T983" s="157"/>
      <c r="U983" s="159" t="s">
        <v>2129</v>
      </c>
      <c r="V983" s="159" t="s">
        <v>2129</v>
      </c>
      <c r="W983" s="159" t="s">
        <v>2138</v>
      </c>
      <c r="X983" s="160">
        <v>1</v>
      </c>
      <c r="Y983" s="160">
        <v>1</v>
      </c>
      <c r="Z983" s="160">
        <v>1</v>
      </c>
      <c r="AA983" s="160">
        <v>1</v>
      </c>
    </row>
    <row r="984" spans="1:27" ht="18" customHeight="1" x14ac:dyDescent="0.25">
      <c r="A984" s="159">
        <v>3215</v>
      </c>
      <c r="B984" s="164" t="s">
        <v>266</v>
      </c>
      <c r="C984" s="164" t="s">
        <v>294</v>
      </c>
      <c r="D984" s="159" t="s">
        <v>1207</v>
      </c>
      <c r="E984" s="164" t="s">
        <v>1205</v>
      </c>
      <c r="F984" s="159"/>
      <c r="G984" s="157" t="s">
        <v>1349</v>
      </c>
      <c r="H984" s="157" t="s">
        <v>1350</v>
      </c>
      <c r="I984" s="157" t="s">
        <v>2060</v>
      </c>
      <c r="J984" s="157" t="s">
        <v>8298</v>
      </c>
      <c r="K984" s="157" t="s">
        <v>1554</v>
      </c>
      <c r="L984" s="157" t="s">
        <v>2058</v>
      </c>
      <c r="M984" s="157" t="str">
        <f t="shared" si="25"/>
        <v>Short/Mid Range Radar FR / Radar -8° - Distance Measurements</v>
      </c>
      <c r="N984" s="157"/>
      <c r="O984" s="157"/>
      <c r="P984" s="159" t="s">
        <v>3516</v>
      </c>
      <c r="Q984" s="157" t="s">
        <v>2115</v>
      </c>
      <c r="R984" s="168" t="s">
        <v>9535</v>
      </c>
      <c r="S984" s="168" t="s">
        <v>9536</v>
      </c>
      <c r="T984" s="157"/>
      <c r="U984" s="159" t="s">
        <v>2129</v>
      </c>
      <c r="V984" s="159" t="s">
        <v>2129</v>
      </c>
      <c r="W984" s="159" t="s">
        <v>2138</v>
      </c>
      <c r="X984" s="160">
        <v>1</v>
      </c>
      <c r="Y984" s="160">
        <v>1</v>
      </c>
      <c r="Z984" s="160">
        <v>1</v>
      </c>
      <c r="AA984" s="160">
        <v>1</v>
      </c>
    </row>
    <row r="985" spans="1:27" ht="18" customHeight="1" x14ac:dyDescent="0.25">
      <c r="A985" s="159">
        <v>3215</v>
      </c>
      <c r="B985" s="164" t="s">
        <v>266</v>
      </c>
      <c r="C985" s="164" t="s">
        <v>514</v>
      </c>
      <c r="D985" s="159" t="s">
        <v>517</v>
      </c>
      <c r="E985" s="164" t="s">
        <v>515</v>
      </c>
      <c r="F985" s="159"/>
      <c r="G985" s="157" t="s">
        <v>1349</v>
      </c>
      <c r="H985" s="157" t="s">
        <v>1350</v>
      </c>
      <c r="I985" s="157" t="s">
        <v>2060</v>
      </c>
      <c r="J985" s="157" t="s">
        <v>8298</v>
      </c>
      <c r="K985" s="157" t="s">
        <v>1554</v>
      </c>
      <c r="L985" s="157" t="s">
        <v>2058</v>
      </c>
      <c r="M985" s="157" t="str">
        <f t="shared" si="25"/>
        <v>Short/Mid Range Radar FR / Radar -8° - Distance Measurements</v>
      </c>
      <c r="N985" s="157"/>
      <c r="O985" s="157"/>
      <c r="P985" s="159" t="s">
        <v>3516</v>
      </c>
      <c r="Q985" s="157" t="s">
        <v>2115</v>
      </c>
      <c r="R985" s="168" t="s">
        <v>9535</v>
      </c>
      <c r="S985" s="168" t="s">
        <v>9536</v>
      </c>
      <c r="T985" s="157"/>
      <c r="U985" s="159" t="s">
        <v>2129</v>
      </c>
      <c r="V985" s="159" t="s">
        <v>2129</v>
      </c>
      <c r="W985" s="159" t="s">
        <v>2138</v>
      </c>
      <c r="X985" s="160">
        <v>1</v>
      </c>
      <c r="Y985" s="160">
        <v>1</v>
      </c>
      <c r="Z985" s="160">
        <v>1</v>
      </c>
      <c r="AA985" s="160">
        <v>1</v>
      </c>
    </row>
    <row r="986" spans="1:27" ht="18" customHeight="1" x14ac:dyDescent="0.25">
      <c r="A986" s="159">
        <v>3215</v>
      </c>
      <c r="B986" s="164" t="s">
        <v>266</v>
      </c>
      <c r="C986" s="164" t="s">
        <v>514</v>
      </c>
      <c r="D986" s="159" t="s">
        <v>730</v>
      </c>
      <c r="E986" s="164" t="s">
        <v>728</v>
      </c>
      <c r="F986" s="159"/>
      <c r="G986" s="157" t="s">
        <v>1349</v>
      </c>
      <c r="H986" s="157" t="s">
        <v>1350</v>
      </c>
      <c r="I986" s="157" t="s">
        <v>2060</v>
      </c>
      <c r="J986" s="157" t="s">
        <v>8298</v>
      </c>
      <c r="K986" s="157" t="s">
        <v>1554</v>
      </c>
      <c r="L986" s="157" t="s">
        <v>2058</v>
      </c>
      <c r="M986" s="157" t="str">
        <f t="shared" si="25"/>
        <v>Short/Mid Range Radar FR / Radar -8° - Distance Measurements</v>
      </c>
      <c r="N986" s="157"/>
      <c r="O986" s="157"/>
      <c r="P986" s="159" t="s">
        <v>3516</v>
      </c>
      <c r="Q986" s="157" t="s">
        <v>2115</v>
      </c>
      <c r="R986" s="168" t="s">
        <v>9535</v>
      </c>
      <c r="S986" s="168" t="s">
        <v>9536</v>
      </c>
      <c r="T986" s="157"/>
      <c r="U986" s="159" t="s">
        <v>2129</v>
      </c>
      <c r="V986" s="159" t="s">
        <v>2129</v>
      </c>
      <c r="W986" s="159" t="s">
        <v>2138</v>
      </c>
      <c r="X986" s="160">
        <v>1</v>
      </c>
      <c r="Y986" s="160">
        <v>1</v>
      </c>
      <c r="Z986" s="160">
        <v>1</v>
      </c>
      <c r="AA986" s="160">
        <v>1</v>
      </c>
    </row>
    <row r="987" spans="1:27" ht="18" customHeight="1" x14ac:dyDescent="0.25">
      <c r="A987" s="159">
        <v>3215</v>
      </c>
      <c r="B987" s="164" t="s">
        <v>266</v>
      </c>
      <c r="C987" s="164" t="s">
        <v>514</v>
      </c>
      <c r="D987" s="159" t="s">
        <v>793</v>
      </c>
      <c r="E987" s="164" t="s">
        <v>791</v>
      </c>
      <c r="F987" s="159"/>
      <c r="G987" s="157" t="s">
        <v>1349</v>
      </c>
      <c r="H987" s="157" t="s">
        <v>1350</v>
      </c>
      <c r="I987" s="157" t="s">
        <v>2060</v>
      </c>
      <c r="J987" s="157" t="s">
        <v>8298</v>
      </c>
      <c r="K987" s="157" t="s">
        <v>1554</v>
      </c>
      <c r="L987" s="157" t="s">
        <v>2058</v>
      </c>
      <c r="M987" s="157" t="str">
        <f t="shared" si="25"/>
        <v>Short/Mid Range Radar FR / Radar -8° - Distance Measurements</v>
      </c>
      <c r="N987" s="157"/>
      <c r="O987" s="157"/>
      <c r="P987" s="159" t="s">
        <v>3516</v>
      </c>
      <c r="Q987" s="157" t="s">
        <v>2115</v>
      </c>
      <c r="R987" s="168" t="s">
        <v>9535</v>
      </c>
      <c r="S987" s="168" t="s">
        <v>9536</v>
      </c>
      <c r="T987" s="157"/>
      <c r="U987" s="159" t="s">
        <v>2129</v>
      </c>
      <c r="V987" s="159" t="s">
        <v>2129</v>
      </c>
      <c r="W987" s="159" t="s">
        <v>2138</v>
      </c>
      <c r="X987" s="160">
        <v>1</v>
      </c>
      <c r="Y987" s="160">
        <v>1</v>
      </c>
      <c r="Z987" s="160">
        <v>1</v>
      </c>
      <c r="AA987" s="160">
        <v>1</v>
      </c>
    </row>
    <row r="988" spans="1:27" ht="18" customHeight="1" x14ac:dyDescent="0.25">
      <c r="A988" s="159">
        <v>3215</v>
      </c>
      <c r="B988" s="164" t="s">
        <v>266</v>
      </c>
      <c r="C988" s="164" t="s">
        <v>514</v>
      </c>
      <c r="D988" s="159" t="s">
        <v>731</v>
      </c>
      <c r="E988" s="164" t="s">
        <v>795</v>
      </c>
      <c r="F988" s="159"/>
      <c r="G988" s="157" t="s">
        <v>1349</v>
      </c>
      <c r="H988" s="157" t="s">
        <v>1350</v>
      </c>
      <c r="I988" s="157" t="s">
        <v>2060</v>
      </c>
      <c r="J988" s="157" t="s">
        <v>8298</v>
      </c>
      <c r="K988" s="157" t="s">
        <v>1554</v>
      </c>
      <c r="L988" s="157" t="s">
        <v>2058</v>
      </c>
      <c r="M988" s="157" t="str">
        <f t="shared" si="25"/>
        <v>Short/Mid Range Radar FR / Radar -8° - Distance Measurements</v>
      </c>
      <c r="N988" s="157"/>
      <c r="O988" s="157"/>
      <c r="P988" s="159" t="s">
        <v>3516</v>
      </c>
      <c r="Q988" s="157" t="s">
        <v>2115</v>
      </c>
      <c r="R988" s="168" t="s">
        <v>9535</v>
      </c>
      <c r="S988" s="168" t="s">
        <v>9536</v>
      </c>
      <c r="T988" s="157"/>
      <c r="U988" s="159" t="s">
        <v>2129</v>
      </c>
      <c r="V988" s="159" t="s">
        <v>2129</v>
      </c>
      <c r="W988" s="159" t="s">
        <v>2138</v>
      </c>
      <c r="X988" s="160">
        <v>1</v>
      </c>
      <c r="Y988" s="160">
        <v>1</v>
      </c>
      <c r="Z988" s="160">
        <v>1</v>
      </c>
      <c r="AA988" s="160">
        <v>1</v>
      </c>
    </row>
    <row r="989" spans="1:27" ht="18" customHeight="1" x14ac:dyDescent="0.25">
      <c r="A989" s="159">
        <v>3215</v>
      </c>
      <c r="B989" s="164" t="s">
        <v>266</v>
      </c>
      <c r="C989" s="164" t="s">
        <v>514</v>
      </c>
      <c r="D989" s="159" t="s">
        <v>1170</v>
      </c>
      <c r="E989" s="164" t="s">
        <v>1168</v>
      </c>
      <c r="F989" s="159"/>
      <c r="G989" s="157" t="s">
        <v>1349</v>
      </c>
      <c r="H989" s="157" t="s">
        <v>1350</v>
      </c>
      <c r="I989" s="157" t="s">
        <v>2060</v>
      </c>
      <c r="J989" s="157" t="s">
        <v>8298</v>
      </c>
      <c r="K989" s="157" t="s">
        <v>1554</v>
      </c>
      <c r="L989" s="157" t="s">
        <v>2058</v>
      </c>
      <c r="M989" s="157" t="str">
        <f t="shared" si="25"/>
        <v>Short/Mid Range Radar FR / Radar -8° - Distance Measurements</v>
      </c>
      <c r="N989" s="157"/>
      <c r="O989" s="157"/>
      <c r="P989" s="159" t="s">
        <v>3516</v>
      </c>
      <c r="Q989" s="157" t="s">
        <v>2115</v>
      </c>
      <c r="R989" s="168" t="s">
        <v>9535</v>
      </c>
      <c r="S989" s="168" t="s">
        <v>9536</v>
      </c>
      <c r="T989" s="157"/>
      <c r="U989" s="159" t="s">
        <v>2129</v>
      </c>
      <c r="V989" s="159" t="s">
        <v>2129</v>
      </c>
      <c r="W989" s="159" t="s">
        <v>2138</v>
      </c>
      <c r="X989" s="160">
        <v>1</v>
      </c>
      <c r="Y989" s="160">
        <v>1</v>
      </c>
      <c r="Z989" s="160">
        <v>1</v>
      </c>
      <c r="AA989" s="160">
        <v>1</v>
      </c>
    </row>
    <row r="990" spans="1:27" ht="18" customHeight="1" x14ac:dyDescent="0.25">
      <c r="A990" s="159">
        <v>3215</v>
      </c>
      <c r="B990" s="164" t="s">
        <v>266</v>
      </c>
      <c r="C990" s="164" t="s">
        <v>514</v>
      </c>
      <c r="D990" s="159" t="s">
        <v>1171</v>
      </c>
      <c r="E990" s="164" t="s">
        <v>1223</v>
      </c>
      <c r="F990" s="159"/>
      <c r="G990" s="157" t="s">
        <v>1349</v>
      </c>
      <c r="H990" s="157" t="s">
        <v>1350</v>
      </c>
      <c r="I990" s="157" t="s">
        <v>2060</v>
      </c>
      <c r="J990" s="157" t="s">
        <v>8298</v>
      </c>
      <c r="K990" s="157" t="s">
        <v>1554</v>
      </c>
      <c r="L990" s="157" t="s">
        <v>2058</v>
      </c>
      <c r="M990" s="157" t="str">
        <f t="shared" si="25"/>
        <v>Short/Mid Range Radar FR / Radar -8° - Distance Measurements</v>
      </c>
      <c r="N990" s="157"/>
      <c r="O990" s="157"/>
      <c r="P990" s="159" t="s">
        <v>3516</v>
      </c>
      <c r="Q990" s="157" t="s">
        <v>2115</v>
      </c>
      <c r="R990" s="168" t="s">
        <v>9535</v>
      </c>
      <c r="S990" s="168" t="s">
        <v>9536</v>
      </c>
      <c r="T990" s="157"/>
      <c r="U990" s="159" t="s">
        <v>2129</v>
      </c>
      <c r="V990" s="159" t="s">
        <v>2129</v>
      </c>
      <c r="W990" s="159" t="s">
        <v>2138</v>
      </c>
      <c r="X990" s="160">
        <v>1</v>
      </c>
      <c r="Y990" s="160">
        <v>1</v>
      </c>
      <c r="Z990" s="160">
        <v>1</v>
      </c>
      <c r="AA990" s="160">
        <v>1</v>
      </c>
    </row>
    <row r="991" spans="1:27" ht="18" customHeight="1" x14ac:dyDescent="0.25">
      <c r="A991" s="159">
        <v>3215</v>
      </c>
      <c r="B991" s="164" t="s">
        <v>266</v>
      </c>
      <c r="C991" s="164" t="s">
        <v>519</v>
      </c>
      <c r="D991" s="159" t="s">
        <v>522</v>
      </c>
      <c r="E991" s="164" t="s">
        <v>520</v>
      </c>
      <c r="F991" s="159"/>
      <c r="G991" s="157" t="s">
        <v>1349</v>
      </c>
      <c r="H991" s="157" t="s">
        <v>1350</v>
      </c>
      <c r="I991" s="157" t="s">
        <v>2060</v>
      </c>
      <c r="J991" s="157" t="s">
        <v>8298</v>
      </c>
      <c r="K991" s="157" t="s">
        <v>1554</v>
      </c>
      <c r="L991" s="157" t="s">
        <v>2058</v>
      </c>
      <c r="M991" s="157" t="str">
        <f t="shared" si="25"/>
        <v>Short/Mid Range Radar FR / Radar -8° - Distance Measurements</v>
      </c>
      <c r="N991" s="157"/>
      <c r="O991" s="157"/>
      <c r="P991" s="159" t="s">
        <v>3516</v>
      </c>
      <c r="Q991" s="157" t="s">
        <v>2115</v>
      </c>
      <c r="R991" s="168" t="s">
        <v>9535</v>
      </c>
      <c r="S991" s="168" t="s">
        <v>9536</v>
      </c>
      <c r="T991" s="157"/>
      <c r="U991" s="159" t="s">
        <v>2129</v>
      </c>
      <c r="V991" s="159" t="s">
        <v>2129</v>
      </c>
      <c r="W991" s="159" t="s">
        <v>2138</v>
      </c>
      <c r="X991" s="160">
        <v>1</v>
      </c>
      <c r="Y991" s="160">
        <v>1</v>
      </c>
      <c r="Z991" s="160">
        <v>1</v>
      </c>
      <c r="AA991" s="160">
        <v>1</v>
      </c>
    </row>
    <row r="992" spans="1:27" ht="18" customHeight="1" x14ac:dyDescent="0.25">
      <c r="A992" s="159">
        <v>3215</v>
      </c>
      <c r="B992" s="164" t="s">
        <v>266</v>
      </c>
      <c r="C992" s="164" t="s">
        <v>519</v>
      </c>
      <c r="D992" s="159" t="s">
        <v>526</v>
      </c>
      <c r="E992" s="164" t="s">
        <v>524</v>
      </c>
      <c r="F992" s="159"/>
      <c r="G992" s="157" t="s">
        <v>1349</v>
      </c>
      <c r="H992" s="157" t="s">
        <v>1350</v>
      </c>
      <c r="I992" s="157" t="s">
        <v>2060</v>
      </c>
      <c r="J992" s="157" t="s">
        <v>8298</v>
      </c>
      <c r="K992" s="157" t="s">
        <v>1554</v>
      </c>
      <c r="L992" s="157" t="s">
        <v>2058</v>
      </c>
      <c r="M992" s="157" t="str">
        <f t="shared" si="25"/>
        <v>Short/Mid Range Radar FR / Radar -8° - Distance Measurements</v>
      </c>
      <c r="N992" s="157"/>
      <c r="O992" s="157"/>
      <c r="P992" s="159" t="s">
        <v>3516</v>
      </c>
      <c r="Q992" s="157" t="s">
        <v>2115</v>
      </c>
      <c r="R992" s="168" t="s">
        <v>9535</v>
      </c>
      <c r="S992" s="168" t="s">
        <v>9536</v>
      </c>
      <c r="T992" s="157"/>
      <c r="U992" s="159" t="s">
        <v>2129</v>
      </c>
      <c r="V992" s="159" t="s">
        <v>2129</v>
      </c>
      <c r="W992" s="159" t="s">
        <v>2138</v>
      </c>
      <c r="X992" s="160">
        <v>1</v>
      </c>
      <c r="Y992" s="160">
        <v>1</v>
      </c>
      <c r="Z992" s="160">
        <v>1</v>
      </c>
      <c r="AA992" s="160">
        <v>1</v>
      </c>
    </row>
    <row r="993" spans="1:27" ht="18" customHeight="1" x14ac:dyDescent="0.25">
      <c r="A993" s="159">
        <v>3215</v>
      </c>
      <c r="B993" s="164" t="s">
        <v>266</v>
      </c>
      <c r="C993" s="164" t="s">
        <v>519</v>
      </c>
      <c r="D993" s="159" t="s">
        <v>530</v>
      </c>
      <c r="E993" s="164" t="s">
        <v>528</v>
      </c>
      <c r="F993" s="159"/>
      <c r="G993" s="157" t="s">
        <v>1349</v>
      </c>
      <c r="H993" s="157" t="s">
        <v>1350</v>
      </c>
      <c r="I993" s="157" t="s">
        <v>2060</v>
      </c>
      <c r="J993" s="157" t="s">
        <v>8298</v>
      </c>
      <c r="K993" s="157" t="s">
        <v>1554</v>
      </c>
      <c r="L993" s="157" t="s">
        <v>2058</v>
      </c>
      <c r="M993" s="157" t="str">
        <f t="shared" si="25"/>
        <v>Short/Mid Range Radar FR / Radar -8° - Distance Measurements</v>
      </c>
      <c r="N993" s="157"/>
      <c r="O993" s="157"/>
      <c r="P993" s="159" t="s">
        <v>3516</v>
      </c>
      <c r="Q993" s="157" t="s">
        <v>2115</v>
      </c>
      <c r="R993" s="168" t="s">
        <v>9535</v>
      </c>
      <c r="S993" s="168" t="s">
        <v>9536</v>
      </c>
      <c r="T993" s="157"/>
      <c r="U993" s="159" t="s">
        <v>2129</v>
      </c>
      <c r="V993" s="159" t="s">
        <v>2129</v>
      </c>
      <c r="W993" s="159" t="s">
        <v>2138</v>
      </c>
      <c r="X993" s="160">
        <v>1</v>
      </c>
      <c r="Y993" s="160">
        <v>1</v>
      </c>
      <c r="Z993" s="160">
        <v>1</v>
      </c>
      <c r="AA993" s="160">
        <v>1</v>
      </c>
    </row>
    <row r="994" spans="1:27" ht="18" customHeight="1" x14ac:dyDescent="0.25">
      <c r="A994" s="159">
        <v>3215</v>
      </c>
      <c r="B994" s="164" t="s">
        <v>266</v>
      </c>
      <c r="C994" s="164" t="s">
        <v>519</v>
      </c>
      <c r="D994" s="159" t="s">
        <v>787</v>
      </c>
      <c r="E994" s="164" t="s">
        <v>785</v>
      </c>
      <c r="F994" s="159"/>
      <c r="G994" s="157" t="s">
        <v>1349</v>
      </c>
      <c r="H994" s="157" t="s">
        <v>1350</v>
      </c>
      <c r="I994" s="157" t="s">
        <v>2060</v>
      </c>
      <c r="J994" s="157" t="s">
        <v>8298</v>
      </c>
      <c r="K994" s="157" t="s">
        <v>1554</v>
      </c>
      <c r="L994" s="157" t="s">
        <v>2058</v>
      </c>
      <c r="M994" s="157" t="str">
        <f t="shared" si="25"/>
        <v>Short/Mid Range Radar FR / Radar -8° - Distance Measurements</v>
      </c>
      <c r="N994" s="157"/>
      <c r="O994" s="157"/>
      <c r="P994" s="159" t="s">
        <v>3516</v>
      </c>
      <c r="Q994" s="157" t="s">
        <v>2115</v>
      </c>
      <c r="R994" s="168" t="s">
        <v>9535</v>
      </c>
      <c r="S994" s="168" t="s">
        <v>9536</v>
      </c>
      <c r="T994" s="157"/>
      <c r="U994" s="159" t="s">
        <v>2129</v>
      </c>
      <c r="V994" s="159" t="s">
        <v>2129</v>
      </c>
      <c r="W994" s="159" t="s">
        <v>2138</v>
      </c>
      <c r="X994" s="160">
        <v>1</v>
      </c>
      <c r="Y994" s="160">
        <v>1</v>
      </c>
      <c r="Z994" s="160">
        <v>1</v>
      </c>
      <c r="AA994" s="160">
        <v>1</v>
      </c>
    </row>
    <row r="995" spans="1:27" ht="18" customHeight="1" x14ac:dyDescent="0.25">
      <c r="A995" s="159">
        <v>3215</v>
      </c>
      <c r="B995" s="164" t="s">
        <v>266</v>
      </c>
      <c r="C995" s="164" t="s">
        <v>519</v>
      </c>
      <c r="D995" s="159" t="s">
        <v>935</v>
      </c>
      <c r="E995" s="164" t="s">
        <v>933</v>
      </c>
      <c r="F995" s="159"/>
      <c r="G995" s="157" t="s">
        <v>1349</v>
      </c>
      <c r="H995" s="157" t="s">
        <v>1350</v>
      </c>
      <c r="I995" s="157" t="s">
        <v>2060</v>
      </c>
      <c r="J995" s="157" t="s">
        <v>8298</v>
      </c>
      <c r="K995" s="157" t="s">
        <v>1554</v>
      </c>
      <c r="L995" s="157" t="s">
        <v>2058</v>
      </c>
      <c r="M995" s="157" t="str">
        <f t="shared" si="25"/>
        <v>Short/Mid Range Radar FR / Radar -8° - Distance Measurements</v>
      </c>
      <c r="N995" s="157"/>
      <c r="O995" s="157"/>
      <c r="P995" s="159" t="s">
        <v>3516</v>
      </c>
      <c r="Q995" s="157" t="s">
        <v>2115</v>
      </c>
      <c r="R995" s="168" t="s">
        <v>9535</v>
      </c>
      <c r="S995" s="168" t="s">
        <v>9536</v>
      </c>
      <c r="T995" s="157"/>
      <c r="U995" s="159" t="s">
        <v>2129</v>
      </c>
      <c r="V995" s="159" t="s">
        <v>2129</v>
      </c>
      <c r="W995" s="159" t="s">
        <v>2138</v>
      </c>
      <c r="X995" s="160">
        <v>1</v>
      </c>
      <c r="Y995" s="160">
        <v>1</v>
      </c>
      <c r="Z995" s="160">
        <v>1</v>
      </c>
      <c r="AA995" s="160">
        <v>1</v>
      </c>
    </row>
    <row r="996" spans="1:27" ht="18" customHeight="1" x14ac:dyDescent="0.25">
      <c r="A996" s="159">
        <v>3215</v>
      </c>
      <c r="B996" s="164" t="s">
        <v>266</v>
      </c>
      <c r="C996" s="164" t="s">
        <v>519</v>
      </c>
      <c r="D996" s="159" t="s">
        <v>1151</v>
      </c>
      <c r="E996" s="164" t="s">
        <v>1149</v>
      </c>
      <c r="F996" s="159"/>
      <c r="G996" s="157" t="s">
        <v>1349</v>
      </c>
      <c r="H996" s="157" t="s">
        <v>1350</v>
      </c>
      <c r="I996" s="157" t="s">
        <v>2060</v>
      </c>
      <c r="J996" s="157" t="s">
        <v>8298</v>
      </c>
      <c r="K996" s="157" t="s">
        <v>1554</v>
      </c>
      <c r="L996" s="157" t="s">
        <v>2058</v>
      </c>
      <c r="M996" s="157" t="str">
        <f t="shared" si="25"/>
        <v>Short/Mid Range Radar FR / Radar -8° - Distance Measurements</v>
      </c>
      <c r="N996" s="157"/>
      <c r="O996" s="157"/>
      <c r="P996" s="159" t="s">
        <v>3516</v>
      </c>
      <c r="Q996" s="157" t="s">
        <v>2115</v>
      </c>
      <c r="R996" s="168" t="s">
        <v>9535</v>
      </c>
      <c r="S996" s="168" t="s">
        <v>9536</v>
      </c>
      <c r="T996" s="157"/>
      <c r="U996" s="159" t="s">
        <v>2129</v>
      </c>
      <c r="V996" s="159" t="s">
        <v>2129</v>
      </c>
      <c r="W996" s="159" t="s">
        <v>2138</v>
      </c>
      <c r="X996" s="160">
        <v>1</v>
      </c>
      <c r="Y996" s="160">
        <v>1</v>
      </c>
      <c r="Z996" s="160">
        <v>1</v>
      </c>
      <c r="AA996" s="160">
        <v>1</v>
      </c>
    </row>
    <row r="997" spans="1:27" ht="18" customHeight="1" x14ac:dyDescent="0.25">
      <c r="A997" s="159">
        <v>3215</v>
      </c>
      <c r="B997" s="164" t="s">
        <v>266</v>
      </c>
      <c r="C997" s="164" t="s">
        <v>519</v>
      </c>
      <c r="D997" s="159" t="s">
        <v>1159</v>
      </c>
      <c r="E997" s="164" t="s">
        <v>1157</v>
      </c>
      <c r="F997" s="159"/>
      <c r="G997" s="157" t="s">
        <v>1349</v>
      </c>
      <c r="H997" s="157" t="s">
        <v>1350</v>
      </c>
      <c r="I997" s="157" t="s">
        <v>2060</v>
      </c>
      <c r="J997" s="157" t="s">
        <v>8298</v>
      </c>
      <c r="K997" s="157" t="s">
        <v>1554</v>
      </c>
      <c r="L997" s="157" t="s">
        <v>2058</v>
      </c>
      <c r="M997" s="157" t="str">
        <f t="shared" si="25"/>
        <v>Short/Mid Range Radar FR / Radar -8° - Distance Measurements</v>
      </c>
      <c r="N997" s="157"/>
      <c r="O997" s="157"/>
      <c r="P997" s="159" t="s">
        <v>3516</v>
      </c>
      <c r="Q997" s="157" t="s">
        <v>2115</v>
      </c>
      <c r="R997" s="168" t="s">
        <v>9535</v>
      </c>
      <c r="S997" s="168" t="s">
        <v>9536</v>
      </c>
      <c r="T997" s="157"/>
      <c r="U997" s="159" t="s">
        <v>2129</v>
      </c>
      <c r="V997" s="159" t="s">
        <v>2129</v>
      </c>
      <c r="W997" s="159" t="s">
        <v>2138</v>
      </c>
      <c r="X997" s="160">
        <v>1</v>
      </c>
      <c r="Y997" s="160">
        <v>1</v>
      </c>
      <c r="Z997" s="160">
        <v>1</v>
      </c>
      <c r="AA997" s="160">
        <v>1</v>
      </c>
    </row>
    <row r="998" spans="1:27" ht="18" customHeight="1" x14ac:dyDescent="0.25">
      <c r="A998" s="159">
        <v>3216</v>
      </c>
      <c r="B998" s="164" t="s">
        <v>266</v>
      </c>
      <c r="C998" s="164" t="s">
        <v>276</v>
      </c>
      <c r="D998" s="159" t="s">
        <v>726</v>
      </c>
      <c r="E998" s="164" t="s">
        <v>724</v>
      </c>
      <c r="F998" s="159"/>
      <c r="G998" s="157" t="s">
        <v>1349</v>
      </c>
      <c r="H998" s="157" t="s">
        <v>1418</v>
      </c>
      <c r="I998" s="157" t="s">
        <v>1349</v>
      </c>
      <c r="J998" s="157" t="s">
        <v>8301</v>
      </c>
      <c r="K998" s="157" t="s">
        <v>1554</v>
      </c>
      <c r="L998" s="157" t="s">
        <v>2057</v>
      </c>
      <c r="M998" s="157" t="str">
        <f t="shared" si="25"/>
        <v>Long Range Radar Front / Radar 0° - Drive Assistance</v>
      </c>
      <c r="N998" s="157"/>
      <c r="O998" s="157"/>
      <c r="P998" s="159" t="s">
        <v>5746</v>
      </c>
      <c r="Q998" s="157" t="s">
        <v>2115</v>
      </c>
      <c r="R998" s="157" t="s">
        <v>8292</v>
      </c>
      <c r="S998" s="157" t="s">
        <v>8627</v>
      </c>
      <c r="T998" s="157"/>
      <c r="U998" s="159" t="s">
        <v>2138</v>
      </c>
      <c r="V998" s="159" t="s">
        <v>2138</v>
      </c>
      <c r="W998" s="159" t="s">
        <v>2138</v>
      </c>
      <c r="X998" s="160">
        <v>1</v>
      </c>
      <c r="Y998" s="160">
        <v>1</v>
      </c>
      <c r="Z998" s="160">
        <v>1</v>
      </c>
      <c r="AA998" s="160">
        <v>1</v>
      </c>
    </row>
    <row r="999" spans="1:27" ht="18" customHeight="1" x14ac:dyDescent="0.25">
      <c r="A999" s="159">
        <v>3216</v>
      </c>
      <c r="B999" s="164" t="s">
        <v>266</v>
      </c>
      <c r="C999" s="164" t="s">
        <v>1196</v>
      </c>
      <c r="D999" s="159" t="s">
        <v>1203</v>
      </c>
      <c r="E999" s="164" t="s">
        <v>1201</v>
      </c>
      <c r="F999" s="159"/>
      <c r="G999" s="157" t="s">
        <v>1349</v>
      </c>
      <c r="H999" s="157" t="s">
        <v>1418</v>
      </c>
      <c r="I999" s="157" t="s">
        <v>1349</v>
      </c>
      <c r="J999" s="157" t="s">
        <v>8301</v>
      </c>
      <c r="K999" s="157" t="s">
        <v>1554</v>
      </c>
      <c r="L999" s="157" t="s">
        <v>2057</v>
      </c>
      <c r="M999" s="157" t="str">
        <f t="shared" si="25"/>
        <v>Long Range Radar Front / Radar 0° - Drive Assistance</v>
      </c>
      <c r="N999" s="157"/>
      <c r="O999" s="157"/>
      <c r="P999" s="159" t="s">
        <v>5746</v>
      </c>
      <c r="Q999" s="157" t="s">
        <v>2115</v>
      </c>
      <c r="R999" s="157" t="s">
        <v>8292</v>
      </c>
      <c r="S999" s="157" t="s">
        <v>8627</v>
      </c>
      <c r="T999" s="157"/>
      <c r="U999" s="159" t="s">
        <v>2129</v>
      </c>
      <c r="V999" s="159" t="s">
        <v>2138</v>
      </c>
      <c r="W999" s="159" t="s">
        <v>2138</v>
      </c>
      <c r="X999" s="160">
        <v>1</v>
      </c>
      <c r="Y999" s="160">
        <v>1</v>
      </c>
      <c r="Z999" s="160">
        <v>1</v>
      </c>
      <c r="AA999" s="160">
        <v>1</v>
      </c>
    </row>
    <row r="1000" spans="1:27" ht="18" customHeight="1" x14ac:dyDescent="0.25">
      <c r="A1000" s="159">
        <v>3216</v>
      </c>
      <c r="B1000" s="164" t="s">
        <v>266</v>
      </c>
      <c r="C1000" s="164" t="s">
        <v>267</v>
      </c>
      <c r="D1000" s="159" t="s">
        <v>951</v>
      </c>
      <c r="E1000" s="164" t="s">
        <v>949</v>
      </c>
      <c r="F1000" s="159"/>
      <c r="G1000" s="157" t="s">
        <v>1349</v>
      </c>
      <c r="H1000" s="157" t="s">
        <v>1418</v>
      </c>
      <c r="I1000" s="157" t="s">
        <v>1349</v>
      </c>
      <c r="J1000" s="157" t="s">
        <v>8301</v>
      </c>
      <c r="K1000" s="157" t="s">
        <v>1554</v>
      </c>
      <c r="L1000" s="157" t="s">
        <v>2057</v>
      </c>
      <c r="M1000" s="157" t="str">
        <f t="shared" si="25"/>
        <v>Long Range Radar Front / Radar 0° - Drive Assistance</v>
      </c>
      <c r="N1000" s="157"/>
      <c r="O1000" s="157"/>
      <c r="P1000" s="159" t="s">
        <v>5746</v>
      </c>
      <c r="Q1000" s="157" t="s">
        <v>2115</v>
      </c>
      <c r="R1000" s="157" t="s">
        <v>8292</v>
      </c>
      <c r="S1000" s="157" t="s">
        <v>8627</v>
      </c>
      <c r="T1000" s="157"/>
      <c r="U1000" s="159" t="s">
        <v>2138</v>
      </c>
      <c r="V1000" s="159" t="s">
        <v>2138</v>
      </c>
      <c r="W1000" s="159" t="s">
        <v>2138</v>
      </c>
      <c r="X1000" s="160">
        <v>1</v>
      </c>
      <c r="Y1000" s="160">
        <v>1</v>
      </c>
      <c r="Z1000" s="160">
        <v>1</v>
      </c>
      <c r="AA1000" s="160">
        <v>1</v>
      </c>
    </row>
    <row r="1001" spans="1:27" ht="18" customHeight="1" x14ac:dyDescent="0.25">
      <c r="A1001" s="159">
        <v>3216</v>
      </c>
      <c r="B1001" s="164" t="s">
        <v>266</v>
      </c>
      <c r="C1001" s="164" t="s">
        <v>267</v>
      </c>
      <c r="D1001" s="159" t="s">
        <v>271</v>
      </c>
      <c r="E1001" s="164" t="s">
        <v>1219</v>
      </c>
      <c r="F1001" s="159"/>
      <c r="G1001" s="157" t="s">
        <v>1349</v>
      </c>
      <c r="H1001" s="157" t="s">
        <v>1418</v>
      </c>
      <c r="I1001" s="157" t="s">
        <v>1349</v>
      </c>
      <c r="J1001" s="157" t="s">
        <v>8301</v>
      </c>
      <c r="K1001" s="157" t="s">
        <v>1554</v>
      </c>
      <c r="L1001" s="157" t="s">
        <v>2057</v>
      </c>
      <c r="M1001" s="157" t="str">
        <f t="shared" si="25"/>
        <v>Long Range Radar Front / Radar 0° - Drive Assistance</v>
      </c>
      <c r="N1001" s="157"/>
      <c r="O1001" s="157"/>
      <c r="P1001" s="159" t="s">
        <v>5746</v>
      </c>
      <c r="Q1001" s="157" t="s">
        <v>2115</v>
      </c>
      <c r="R1001" s="157" t="s">
        <v>8292</v>
      </c>
      <c r="S1001" s="157" t="s">
        <v>8627</v>
      </c>
      <c r="T1001" s="157"/>
      <c r="U1001" s="159" t="s">
        <v>2138</v>
      </c>
      <c r="V1001" s="159" t="s">
        <v>2138</v>
      </c>
      <c r="W1001" s="159" t="s">
        <v>2138</v>
      </c>
      <c r="X1001" s="160">
        <v>1</v>
      </c>
      <c r="Y1001" s="160">
        <v>1</v>
      </c>
      <c r="Z1001" s="160">
        <v>1</v>
      </c>
      <c r="AA1001" s="160">
        <v>1</v>
      </c>
    </row>
    <row r="1002" spans="1:27" ht="18" customHeight="1" x14ac:dyDescent="0.25">
      <c r="A1002" s="159">
        <v>3216</v>
      </c>
      <c r="B1002" s="164" t="s">
        <v>266</v>
      </c>
      <c r="C1002" s="164" t="s">
        <v>294</v>
      </c>
      <c r="D1002" s="159" t="s">
        <v>297</v>
      </c>
      <c r="E1002" s="164" t="s">
        <v>295</v>
      </c>
      <c r="F1002" s="159"/>
      <c r="G1002" s="157" t="s">
        <v>1349</v>
      </c>
      <c r="H1002" s="157" t="s">
        <v>1418</v>
      </c>
      <c r="I1002" s="157" t="s">
        <v>1349</v>
      </c>
      <c r="J1002" s="157" t="s">
        <v>8301</v>
      </c>
      <c r="K1002" s="157" t="s">
        <v>1554</v>
      </c>
      <c r="L1002" s="157" t="s">
        <v>2057</v>
      </c>
      <c r="M1002" s="157" t="str">
        <f t="shared" si="25"/>
        <v>Long Range Radar Front / Radar 0° - Drive Assistance</v>
      </c>
      <c r="N1002" s="157"/>
      <c r="O1002" s="157"/>
      <c r="P1002" s="159" t="s">
        <v>5746</v>
      </c>
      <c r="Q1002" s="157" t="s">
        <v>2115</v>
      </c>
      <c r="R1002" s="157" t="s">
        <v>8292</v>
      </c>
      <c r="S1002" s="157" t="s">
        <v>8627</v>
      </c>
      <c r="T1002" s="157"/>
      <c r="U1002" s="159" t="s">
        <v>2138</v>
      </c>
      <c r="V1002" s="159" t="s">
        <v>2138</v>
      </c>
      <c r="W1002" s="159" t="s">
        <v>2138</v>
      </c>
      <c r="X1002" s="160">
        <v>1</v>
      </c>
      <c r="Y1002" s="160">
        <v>1</v>
      </c>
      <c r="Z1002" s="160">
        <v>1</v>
      </c>
      <c r="AA1002" s="160">
        <v>1</v>
      </c>
    </row>
    <row r="1003" spans="1:27" ht="18" customHeight="1" x14ac:dyDescent="0.25">
      <c r="A1003" s="159">
        <v>3216</v>
      </c>
      <c r="B1003" s="164" t="s">
        <v>266</v>
      </c>
      <c r="C1003" s="164" t="s">
        <v>294</v>
      </c>
      <c r="D1003" s="159" t="s">
        <v>298</v>
      </c>
      <c r="E1003" s="164" t="s">
        <v>299</v>
      </c>
      <c r="F1003" s="159"/>
      <c r="G1003" s="157" t="s">
        <v>1349</v>
      </c>
      <c r="H1003" s="157" t="s">
        <v>1418</v>
      </c>
      <c r="I1003" s="157" t="s">
        <v>1349</v>
      </c>
      <c r="J1003" s="157" t="s">
        <v>8301</v>
      </c>
      <c r="K1003" s="157" t="s">
        <v>1554</v>
      </c>
      <c r="L1003" s="157" t="s">
        <v>2057</v>
      </c>
      <c r="M1003" s="157" t="str">
        <f t="shared" si="25"/>
        <v>Long Range Radar Front / Radar 0° - Drive Assistance</v>
      </c>
      <c r="N1003" s="157"/>
      <c r="O1003" s="157"/>
      <c r="P1003" s="159" t="s">
        <v>5746</v>
      </c>
      <c r="Q1003" s="157" t="s">
        <v>2115</v>
      </c>
      <c r="R1003" s="157" t="s">
        <v>8292</v>
      </c>
      <c r="S1003" s="157" t="s">
        <v>8627</v>
      </c>
      <c r="T1003" s="157"/>
      <c r="U1003" s="159" t="s">
        <v>2138</v>
      </c>
      <c r="V1003" s="159" t="s">
        <v>2138</v>
      </c>
      <c r="W1003" s="159" t="s">
        <v>2138</v>
      </c>
      <c r="X1003" s="160">
        <v>1</v>
      </c>
      <c r="Y1003" s="160">
        <v>1</v>
      </c>
      <c r="Z1003" s="160">
        <v>1</v>
      </c>
      <c r="AA1003" s="160">
        <v>1</v>
      </c>
    </row>
    <row r="1004" spans="1:27" ht="18" customHeight="1" x14ac:dyDescent="0.25">
      <c r="A1004" s="159">
        <v>3216</v>
      </c>
      <c r="B1004" s="164" t="s">
        <v>266</v>
      </c>
      <c r="C1004" s="164" t="s">
        <v>294</v>
      </c>
      <c r="D1004" s="159" t="s">
        <v>503</v>
      </c>
      <c r="E1004" s="164" t="s">
        <v>501</v>
      </c>
      <c r="F1004" s="159"/>
      <c r="G1004" s="157" t="s">
        <v>1349</v>
      </c>
      <c r="H1004" s="157" t="s">
        <v>1418</v>
      </c>
      <c r="I1004" s="157" t="s">
        <v>1349</v>
      </c>
      <c r="J1004" s="157" t="s">
        <v>8301</v>
      </c>
      <c r="K1004" s="157" t="s">
        <v>1554</v>
      </c>
      <c r="L1004" s="157" t="s">
        <v>2057</v>
      </c>
      <c r="M1004" s="157" t="str">
        <f t="shared" si="25"/>
        <v>Long Range Radar Front / Radar 0° - Drive Assistance</v>
      </c>
      <c r="N1004" s="157"/>
      <c r="O1004" s="157"/>
      <c r="P1004" s="159" t="s">
        <v>5746</v>
      </c>
      <c r="Q1004" s="157" t="s">
        <v>2115</v>
      </c>
      <c r="R1004" s="157" t="s">
        <v>8292</v>
      </c>
      <c r="S1004" s="157" t="s">
        <v>8627</v>
      </c>
      <c r="T1004" s="157"/>
      <c r="U1004" s="159" t="s">
        <v>2138</v>
      </c>
      <c r="V1004" s="159" t="s">
        <v>2138</v>
      </c>
      <c r="W1004" s="159" t="s">
        <v>2138</v>
      </c>
      <c r="X1004" s="160">
        <v>1</v>
      </c>
      <c r="Y1004" s="160">
        <v>1</v>
      </c>
      <c r="Z1004" s="160">
        <v>1</v>
      </c>
      <c r="AA1004" s="160">
        <v>1</v>
      </c>
    </row>
    <row r="1005" spans="1:27" ht="18" customHeight="1" x14ac:dyDescent="0.25">
      <c r="A1005" s="159">
        <v>3216</v>
      </c>
      <c r="B1005" s="164" t="s">
        <v>266</v>
      </c>
      <c r="C1005" s="164" t="s">
        <v>294</v>
      </c>
      <c r="D1005" s="159" t="s">
        <v>692</v>
      </c>
      <c r="E1005" s="164" t="s">
        <v>690</v>
      </c>
      <c r="F1005" s="159"/>
      <c r="G1005" s="157" t="s">
        <v>1349</v>
      </c>
      <c r="H1005" s="157" t="s">
        <v>1418</v>
      </c>
      <c r="I1005" s="157" t="s">
        <v>1349</v>
      </c>
      <c r="J1005" s="157" t="s">
        <v>8301</v>
      </c>
      <c r="K1005" s="157" t="s">
        <v>1554</v>
      </c>
      <c r="L1005" s="157" t="s">
        <v>2057</v>
      </c>
      <c r="M1005" s="157" t="str">
        <f t="shared" si="25"/>
        <v>Long Range Radar Front / Radar 0° - Drive Assistance</v>
      </c>
      <c r="N1005" s="157"/>
      <c r="O1005" s="157"/>
      <c r="P1005" s="159" t="s">
        <v>5746</v>
      </c>
      <c r="Q1005" s="157" t="s">
        <v>2115</v>
      </c>
      <c r="R1005" s="157" t="s">
        <v>8292</v>
      </c>
      <c r="S1005" s="157" t="s">
        <v>8627</v>
      </c>
      <c r="T1005" s="157"/>
      <c r="U1005" s="159" t="s">
        <v>2138</v>
      </c>
      <c r="V1005" s="159" t="s">
        <v>2138</v>
      </c>
      <c r="W1005" s="159" t="s">
        <v>2138</v>
      </c>
      <c r="X1005" s="160">
        <v>1</v>
      </c>
      <c r="Y1005" s="160">
        <v>1</v>
      </c>
      <c r="Z1005" s="160">
        <v>1</v>
      </c>
      <c r="AA1005" s="160">
        <v>1</v>
      </c>
    </row>
    <row r="1006" spans="1:27" ht="18" customHeight="1" x14ac:dyDescent="0.25">
      <c r="A1006" s="159">
        <v>3216</v>
      </c>
      <c r="B1006" s="164" t="s">
        <v>266</v>
      </c>
      <c r="C1006" s="164" t="s">
        <v>294</v>
      </c>
      <c r="D1006" s="159" t="s">
        <v>1177</v>
      </c>
      <c r="E1006" s="164" t="s">
        <v>1175</v>
      </c>
      <c r="F1006" s="159"/>
      <c r="G1006" s="157" t="s">
        <v>1349</v>
      </c>
      <c r="H1006" s="157" t="s">
        <v>1418</v>
      </c>
      <c r="I1006" s="157" t="s">
        <v>1349</v>
      </c>
      <c r="J1006" s="157" t="s">
        <v>8301</v>
      </c>
      <c r="K1006" s="157" t="s">
        <v>1554</v>
      </c>
      <c r="L1006" s="157" t="s">
        <v>2057</v>
      </c>
      <c r="M1006" s="157" t="str">
        <f t="shared" si="25"/>
        <v>Long Range Radar Front / Radar 0° - Drive Assistance</v>
      </c>
      <c r="N1006" s="157"/>
      <c r="O1006" s="157"/>
      <c r="P1006" s="159" t="s">
        <v>5746</v>
      </c>
      <c r="Q1006" s="157" t="s">
        <v>2115</v>
      </c>
      <c r="R1006" s="157" t="s">
        <v>8292</v>
      </c>
      <c r="S1006" s="157" t="s">
        <v>8627</v>
      </c>
      <c r="T1006" s="157"/>
      <c r="U1006" s="159" t="s">
        <v>2138</v>
      </c>
      <c r="V1006" s="159" t="s">
        <v>2138</v>
      </c>
      <c r="W1006" s="159" t="s">
        <v>2138</v>
      </c>
      <c r="X1006" s="160">
        <v>1</v>
      </c>
      <c r="Y1006" s="160">
        <v>1</v>
      </c>
      <c r="Z1006" s="160">
        <v>1</v>
      </c>
      <c r="AA1006" s="160">
        <v>1</v>
      </c>
    </row>
    <row r="1007" spans="1:27" ht="18" customHeight="1" x14ac:dyDescent="0.25">
      <c r="A1007" s="159">
        <v>3216</v>
      </c>
      <c r="B1007" s="164" t="s">
        <v>266</v>
      </c>
      <c r="C1007" s="164" t="s">
        <v>294</v>
      </c>
      <c r="D1007" s="159" t="s">
        <v>1178</v>
      </c>
      <c r="E1007" s="164" t="s">
        <v>1179</v>
      </c>
      <c r="F1007" s="159"/>
      <c r="G1007" s="157" t="s">
        <v>1349</v>
      </c>
      <c r="H1007" s="157" t="s">
        <v>1418</v>
      </c>
      <c r="I1007" s="157" t="s">
        <v>1349</v>
      </c>
      <c r="J1007" s="157" t="s">
        <v>8301</v>
      </c>
      <c r="K1007" s="157" t="s">
        <v>1554</v>
      </c>
      <c r="L1007" s="157" t="s">
        <v>2057</v>
      </c>
      <c r="M1007" s="157" t="str">
        <f t="shared" si="25"/>
        <v>Long Range Radar Front / Radar 0° - Drive Assistance</v>
      </c>
      <c r="N1007" s="157"/>
      <c r="O1007" s="157"/>
      <c r="P1007" s="159" t="s">
        <v>5746</v>
      </c>
      <c r="Q1007" s="157" t="s">
        <v>2115</v>
      </c>
      <c r="R1007" s="157" t="s">
        <v>8292</v>
      </c>
      <c r="S1007" s="157" t="s">
        <v>8627</v>
      </c>
      <c r="T1007" s="157"/>
      <c r="U1007" s="159" t="s">
        <v>2138</v>
      </c>
      <c r="V1007" s="159" t="s">
        <v>2138</v>
      </c>
      <c r="W1007" s="159" t="s">
        <v>2138</v>
      </c>
      <c r="X1007" s="160">
        <v>1</v>
      </c>
      <c r="Y1007" s="160">
        <v>1</v>
      </c>
      <c r="Z1007" s="160">
        <v>1</v>
      </c>
      <c r="AA1007" s="160">
        <v>1</v>
      </c>
    </row>
    <row r="1008" spans="1:27" ht="18" customHeight="1" x14ac:dyDescent="0.25">
      <c r="A1008" s="159">
        <v>3216</v>
      </c>
      <c r="B1008" s="164" t="s">
        <v>266</v>
      </c>
      <c r="C1008" s="164" t="s">
        <v>294</v>
      </c>
      <c r="D1008" s="159" t="s">
        <v>1207</v>
      </c>
      <c r="E1008" s="164" t="s">
        <v>1205</v>
      </c>
      <c r="F1008" s="159"/>
      <c r="G1008" s="157" t="s">
        <v>1349</v>
      </c>
      <c r="H1008" s="157" t="s">
        <v>1418</v>
      </c>
      <c r="I1008" s="157" t="s">
        <v>1349</v>
      </c>
      <c r="J1008" s="157" t="s">
        <v>8301</v>
      </c>
      <c r="K1008" s="157" t="s">
        <v>1554</v>
      </c>
      <c r="L1008" s="157" t="s">
        <v>2057</v>
      </c>
      <c r="M1008" s="157" t="str">
        <f t="shared" si="25"/>
        <v>Long Range Radar Front / Radar 0° - Drive Assistance</v>
      </c>
      <c r="N1008" s="157"/>
      <c r="O1008" s="157"/>
      <c r="P1008" s="159" t="s">
        <v>5746</v>
      </c>
      <c r="Q1008" s="157" t="s">
        <v>2115</v>
      </c>
      <c r="R1008" s="157" t="s">
        <v>8292</v>
      </c>
      <c r="S1008" s="157" t="s">
        <v>8627</v>
      </c>
      <c r="T1008" s="157"/>
      <c r="U1008" s="159" t="s">
        <v>2138</v>
      </c>
      <c r="V1008" s="159" t="s">
        <v>2138</v>
      </c>
      <c r="W1008" s="159" t="s">
        <v>2138</v>
      </c>
      <c r="X1008" s="160">
        <v>1</v>
      </c>
      <c r="Y1008" s="160">
        <v>1</v>
      </c>
      <c r="Z1008" s="160">
        <v>1</v>
      </c>
      <c r="AA1008" s="160">
        <v>1</v>
      </c>
    </row>
    <row r="1009" spans="1:27" ht="18" customHeight="1" x14ac:dyDescent="0.25">
      <c r="A1009" s="159">
        <v>3216</v>
      </c>
      <c r="B1009" s="164" t="s">
        <v>266</v>
      </c>
      <c r="C1009" s="164" t="s">
        <v>519</v>
      </c>
      <c r="D1009" s="159" t="s">
        <v>522</v>
      </c>
      <c r="E1009" s="164" t="s">
        <v>520</v>
      </c>
      <c r="F1009" s="159"/>
      <c r="G1009" s="157" t="s">
        <v>1349</v>
      </c>
      <c r="H1009" s="157" t="s">
        <v>1418</v>
      </c>
      <c r="I1009" s="157" t="s">
        <v>1349</v>
      </c>
      <c r="J1009" s="157" t="s">
        <v>8301</v>
      </c>
      <c r="K1009" s="157" t="s">
        <v>1554</v>
      </c>
      <c r="L1009" s="157" t="s">
        <v>2057</v>
      </c>
      <c r="M1009" s="157" t="str">
        <f t="shared" si="25"/>
        <v>Long Range Radar Front / Radar 0° - Drive Assistance</v>
      </c>
      <c r="N1009" s="157"/>
      <c r="O1009" s="157"/>
      <c r="P1009" s="159" t="s">
        <v>5746</v>
      </c>
      <c r="Q1009" s="157" t="s">
        <v>2115</v>
      </c>
      <c r="R1009" s="157" t="s">
        <v>8292</v>
      </c>
      <c r="S1009" s="157" t="s">
        <v>8627</v>
      </c>
      <c r="T1009" s="157"/>
      <c r="U1009" s="159" t="s">
        <v>2138</v>
      </c>
      <c r="V1009" s="159" t="s">
        <v>2138</v>
      </c>
      <c r="W1009" s="159" t="s">
        <v>2138</v>
      </c>
      <c r="X1009" s="160">
        <v>1</v>
      </c>
      <c r="Y1009" s="160">
        <v>1</v>
      </c>
      <c r="Z1009" s="160">
        <v>1</v>
      </c>
      <c r="AA1009" s="160">
        <v>1</v>
      </c>
    </row>
    <row r="1010" spans="1:27" ht="18" customHeight="1" x14ac:dyDescent="0.25">
      <c r="A1010" s="159">
        <v>3216</v>
      </c>
      <c r="B1010" s="164" t="s">
        <v>266</v>
      </c>
      <c r="C1010" s="164" t="s">
        <v>519</v>
      </c>
      <c r="D1010" s="159" t="s">
        <v>526</v>
      </c>
      <c r="E1010" s="164" t="s">
        <v>524</v>
      </c>
      <c r="F1010" s="159"/>
      <c r="G1010" s="157" t="s">
        <v>1349</v>
      </c>
      <c r="H1010" s="157" t="s">
        <v>1418</v>
      </c>
      <c r="I1010" s="157" t="s">
        <v>1349</v>
      </c>
      <c r="J1010" s="157" t="s">
        <v>8301</v>
      </c>
      <c r="K1010" s="157" t="s">
        <v>1554</v>
      </c>
      <c r="L1010" s="157" t="s">
        <v>2057</v>
      </c>
      <c r="M1010" s="157" t="str">
        <f t="shared" si="25"/>
        <v>Long Range Radar Front / Radar 0° - Drive Assistance</v>
      </c>
      <c r="N1010" s="157"/>
      <c r="O1010" s="157"/>
      <c r="P1010" s="159" t="s">
        <v>5746</v>
      </c>
      <c r="Q1010" s="157" t="s">
        <v>2115</v>
      </c>
      <c r="R1010" s="157" t="s">
        <v>8292</v>
      </c>
      <c r="S1010" s="157" t="s">
        <v>8627</v>
      </c>
      <c r="T1010" s="157"/>
      <c r="U1010" s="159" t="s">
        <v>2138</v>
      </c>
      <c r="V1010" s="159" t="s">
        <v>2138</v>
      </c>
      <c r="W1010" s="159" t="s">
        <v>2138</v>
      </c>
      <c r="X1010" s="160">
        <v>1</v>
      </c>
      <c r="Y1010" s="160">
        <v>1</v>
      </c>
      <c r="Z1010" s="160">
        <v>1</v>
      </c>
      <c r="AA1010" s="160">
        <v>1</v>
      </c>
    </row>
    <row r="1011" spans="1:27" ht="18" customHeight="1" x14ac:dyDescent="0.25">
      <c r="A1011" s="159">
        <v>3216</v>
      </c>
      <c r="B1011" s="164" t="s">
        <v>266</v>
      </c>
      <c r="C1011" s="164" t="s">
        <v>519</v>
      </c>
      <c r="D1011" s="159" t="s">
        <v>530</v>
      </c>
      <c r="E1011" s="164" t="s">
        <v>528</v>
      </c>
      <c r="F1011" s="159"/>
      <c r="G1011" s="157" t="s">
        <v>1349</v>
      </c>
      <c r="H1011" s="157" t="s">
        <v>1418</v>
      </c>
      <c r="I1011" s="157" t="s">
        <v>1349</v>
      </c>
      <c r="J1011" s="157" t="s">
        <v>8301</v>
      </c>
      <c r="K1011" s="157" t="s">
        <v>1554</v>
      </c>
      <c r="L1011" s="157" t="s">
        <v>2057</v>
      </c>
      <c r="M1011" s="157" t="str">
        <f t="shared" si="25"/>
        <v>Long Range Radar Front / Radar 0° - Drive Assistance</v>
      </c>
      <c r="N1011" s="157"/>
      <c r="O1011" s="157"/>
      <c r="P1011" s="159" t="s">
        <v>5746</v>
      </c>
      <c r="Q1011" s="157" t="s">
        <v>2115</v>
      </c>
      <c r="R1011" s="157" t="s">
        <v>8292</v>
      </c>
      <c r="S1011" s="157" t="s">
        <v>8627</v>
      </c>
      <c r="T1011" s="157"/>
      <c r="U1011" s="159" t="s">
        <v>2138</v>
      </c>
      <c r="V1011" s="159" t="s">
        <v>2138</v>
      </c>
      <c r="W1011" s="159" t="s">
        <v>2138</v>
      </c>
      <c r="X1011" s="160">
        <v>1</v>
      </c>
      <c r="Y1011" s="160">
        <v>1</v>
      </c>
      <c r="Z1011" s="160">
        <v>1</v>
      </c>
      <c r="AA1011" s="160">
        <v>1</v>
      </c>
    </row>
    <row r="1012" spans="1:27" ht="18" customHeight="1" x14ac:dyDescent="0.25">
      <c r="A1012" s="159">
        <v>3216</v>
      </c>
      <c r="B1012" s="164" t="s">
        <v>266</v>
      </c>
      <c r="C1012" s="164" t="s">
        <v>519</v>
      </c>
      <c r="D1012" s="159" t="s">
        <v>787</v>
      </c>
      <c r="E1012" s="164" t="s">
        <v>785</v>
      </c>
      <c r="F1012" s="159"/>
      <c r="G1012" s="157" t="s">
        <v>1349</v>
      </c>
      <c r="H1012" s="157" t="s">
        <v>1418</v>
      </c>
      <c r="I1012" s="157" t="s">
        <v>1349</v>
      </c>
      <c r="J1012" s="157" t="s">
        <v>8301</v>
      </c>
      <c r="K1012" s="157" t="s">
        <v>1554</v>
      </c>
      <c r="L1012" s="157" t="s">
        <v>2057</v>
      </c>
      <c r="M1012" s="157" t="str">
        <f t="shared" si="25"/>
        <v>Long Range Radar Front / Radar 0° - Drive Assistance</v>
      </c>
      <c r="N1012" s="157"/>
      <c r="O1012" s="157"/>
      <c r="P1012" s="159" t="s">
        <v>5746</v>
      </c>
      <c r="Q1012" s="157" t="s">
        <v>2115</v>
      </c>
      <c r="R1012" s="157" t="s">
        <v>8292</v>
      </c>
      <c r="S1012" s="157" t="s">
        <v>8627</v>
      </c>
      <c r="T1012" s="157"/>
      <c r="U1012" s="159" t="s">
        <v>2138</v>
      </c>
      <c r="V1012" s="159" t="s">
        <v>2138</v>
      </c>
      <c r="W1012" s="159" t="s">
        <v>2138</v>
      </c>
      <c r="X1012" s="160">
        <v>1</v>
      </c>
      <c r="Y1012" s="160">
        <v>1</v>
      </c>
      <c r="Z1012" s="160">
        <v>1</v>
      </c>
      <c r="AA1012" s="160">
        <v>1</v>
      </c>
    </row>
    <row r="1013" spans="1:27" ht="18" customHeight="1" x14ac:dyDescent="0.25">
      <c r="A1013" s="159">
        <v>3216</v>
      </c>
      <c r="B1013" s="164" t="s">
        <v>266</v>
      </c>
      <c r="C1013" s="164" t="s">
        <v>519</v>
      </c>
      <c r="D1013" s="159" t="s">
        <v>935</v>
      </c>
      <c r="E1013" s="164" t="s">
        <v>933</v>
      </c>
      <c r="F1013" s="159"/>
      <c r="G1013" s="157" t="s">
        <v>1349</v>
      </c>
      <c r="H1013" s="157" t="s">
        <v>1418</v>
      </c>
      <c r="I1013" s="157" t="s">
        <v>1349</v>
      </c>
      <c r="J1013" s="157" t="s">
        <v>8301</v>
      </c>
      <c r="K1013" s="157" t="s">
        <v>1554</v>
      </c>
      <c r="L1013" s="157" t="s">
        <v>2057</v>
      </c>
      <c r="M1013" s="157" t="str">
        <f t="shared" si="25"/>
        <v>Long Range Radar Front / Radar 0° - Drive Assistance</v>
      </c>
      <c r="N1013" s="157"/>
      <c r="O1013" s="157"/>
      <c r="P1013" s="159" t="s">
        <v>5746</v>
      </c>
      <c r="Q1013" s="157" t="s">
        <v>2115</v>
      </c>
      <c r="R1013" s="157" t="s">
        <v>8292</v>
      </c>
      <c r="S1013" s="157" t="s">
        <v>8627</v>
      </c>
      <c r="T1013" s="157"/>
      <c r="U1013" s="159" t="s">
        <v>2138</v>
      </c>
      <c r="V1013" s="159" t="s">
        <v>2138</v>
      </c>
      <c r="W1013" s="159" t="s">
        <v>2138</v>
      </c>
      <c r="X1013" s="160">
        <v>1</v>
      </c>
      <c r="Y1013" s="160">
        <v>1</v>
      </c>
      <c r="Z1013" s="160">
        <v>1</v>
      </c>
      <c r="AA1013" s="160">
        <v>1</v>
      </c>
    </row>
    <row r="1014" spans="1:27" ht="18" customHeight="1" x14ac:dyDescent="0.25">
      <c r="A1014" s="159">
        <v>3216</v>
      </c>
      <c r="B1014" s="164" t="s">
        <v>266</v>
      </c>
      <c r="C1014" s="164" t="s">
        <v>519</v>
      </c>
      <c r="D1014" s="159" t="s">
        <v>1151</v>
      </c>
      <c r="E1014" s="164" t="s">
        <v>1149</v>
      </c>
      <c r="F1014" s="159"/>
      <c r="G1014" s="157" t="s">
        <v>1349</v>
      </c>
      <c r="H1014" s="157" t="s">
        <v>1418</v>
      </c>
      <c r="I1014" s="157" t="s">
        <v>1349</v>
      </c>
      <c r="J1014" s="157" t="s">
        <v>8301</v>
      </c>
      <c r="K1014" s="157" t="s">
        <v>1554</v>
      </c>
      <c r="L1014" s="157" t="s">
        <v>2057</v>
      </c>
      <c r="M1014" s="157" t="str">
        <f t="shared" si="25"/>
        <v>Long Range Radar Front / Radar 0° - Drive Assistance</v>
      </c>
      <c r="N1014" s="157"/>
      <c r="O1014" s="157"/>
      <c r="P1014" s="159" t="s">
        <v>5746</v>
      </c>
      <c r="Q1014" s="157" t="s">
        <v>2115</v>
      </c>
      <c r="R1014" s="157" t="s">
        <v>8292</v>
      </c>
      <c r="S1014" s="157" t="s">
        <v>8627</v>
      </c>
      <c r="T1014" s="157"/>
      <c r="U1014" s="159" t="s">
        <v>2138</v>
      </c>
      <c r="V1014" s="159" t="s">
        <v>2138</v>
      </c>
      <c r="W1014" s="159" t="s">
        <v>2138</v>
      </c>
      <c r="X1014" s="160">
        <v>1</v>
      </c>
      <c r="Y1014" s="160">
        <v>1</v>
      </c>
      <c r="Z1014" s="160">
        <v>1</v>
      </c>
      <c r="AA1014" s="160">
        <v>1</v>
      </c>
    </row>
    <row r="1015" spans="1:27" ht="18" customHeight="1" x14ac:dyDescent="0.25">
      <c r="A1015" s="159">
        <v>3216</v>
      </c>
      <c r="B1015" s="164" t="s">
        <v>266</v>
      </c>
      <c r="C1015" s="164" t="s">
        <v>519</v>
      </c>
      <c r="D1015" s="159" t="s">
        <v>1159</v>
      </c>
      <c r="E1015" s="164" t="s">
        <v>1157</v>
      </c>
      <c r="F1015" s="159"/>
      <c r="G1015" s="157" t="s">
        <v>1349</v>
      </c>
      <c r="H1015" s="157" t="s">
        <v>1418</v>
      </c>
      <c r="I1015" s="157" t="s">
        <v>1349</v>
      </c>
      <c r="J1015" s="157" t="s">
        <v>8301</v>
      </c>
      <c r="K1015" s="157" t="s">
        <v>1554</v>
      </c>
      <c r="L1015" s="157" t="s">
        <v>2057</v>
      </c>
      <c r="M1015" s="157" t="str">
        <f t="shared" si="25"/>
        <v>Long Range Radar Front / Radar 0° - Drive Assistance</v>
      </c>
      <c r="N1015" s="157"/>
      <c r="O1015" s="157"/>
      <c r="P1015" s="159" t="s">
        <v>5746</v>
      </c>
      <c r="Q1015" s="157" t="s">
        <v>2115</v>
      </c>
      <c r="R1015" s="157" t="s">
        <v>8292</v>
      </c>
      <c r="S1015" s="157" t="s">
        <v>8627</v>
      </c>
      <c r="T1015" s="157"/>
      <c r="U1015" s="159" t="s">
        <v>2138</v>
      </c>
      <c r="V1015" s="159" t="s">
        <v>2138</v>
      </c>
      <c r="W1015" s="159" t="s">
        <v>2138</v>
      </c>
      <c r="X1015" s="160">
        <v>1</v>
      </c>
      <c r="Y1015" s="160">
        <v>1</v>
      </c>
      <c r="Z1015" s="160">
        <v>1</v>
      </c>
      <c r="AA1015" s="160">
        <v>1</v>
      </c>
    </row>
    <row r="1016" spans="1:27" ht="18" customHeight="1" x14ac:dyDescent="0.25">
      <c r="A1016" s="159">
        <v>3217</v>
      </c>
      <c r="B1016" s="164" t="s">
        <v>266</v>
      </c>
      <c r="C1016" s="164" t="s">
        <v>276</v>
      </c>
      <c r="D1016" s="159" t="s">
        <v>303</v>
      </c>
      <c r="E1016" s="164" t="s">
        <v>301</v>
      </c>
      <c r="F1016" s="159"/>
      <c r="G1016" s="157" t="s">
        <v>1349</v>
      </c>
      <c r="H1016" s="157" t="s">
        <v>1350</v>
      </c>
      <c r="I1016" s="157" t="s">
        <v>2060</v>
      </c>
      <c r="J1016" s="157" t="s">
        <v>8298</v>
      </c>
      <c r="K1016" s="157" t="s">
        <v>1554</v>
      </c>
      <c r="L1016" s="157" t="s">
        <v>2058</v>
      </c>
      <c r="M1016" s="157" t="str">
        <f t="shared" si="25"/>
        <v>Short/Mid Range Radar FR / Radar -8° - Distance Measurements</v>
      </c>
      <c r="N1016" s="157"/>
      <c r="O1016" s="157"/>
      <c r="P1016" s="159" t="s">
        <v>3516</v>
      </c>
      <c r="Q1016" s="157" t="s">
        <v>2115</v>
      </c>
      <c r="R1016" s="157" t="s">
        <v>8292</v>
      </c>
      <c r="S1016" s="157" t="s">
        <v>8627</v>
      </c>
      <c r="T1016" s="157"/>
      <c r="U1016" s="159" t="s">
        <v>2129</v>
      </c>
      <c r="V1016" s="159" t="s">
        <v>2129</v>
      </c>
      <c r="W1016" s="159" t="s">
        <v>2138</v>
      </c>
      <c r="X1016" s="160">
        <v>1</v>
      </c>
      <c r="Y1016" s="160">
        <v>1</v>
      </c>
      <c r="Z1016" s="160">
        <v>1</v>
      </c>
      <c r="AA1016" s="160">
        <v>1</v>
      </c>
    </row>
    <row r="1017" spans="1:27" ht="18" customHeight="1" x14ac:dyDescent="0.25">
      <c r="A1017" s="159">
        <v>3217</v>
      </c>
      <c r="B1017" s="164" t="s">
        <v>266</v>
      </c>
      <c r="C1017" s="164" t="s">
        <v>276</v>
      </c>
      <c r="D1017" s="159" t="s">
        <v>310</v>
      </c>
      <c r="E1017" s="164" t="s">
        <v>308</v>
      </c>
      <c r="F1017" s="159"/>
      <c r="G1017" s="157" t="s">
        <v>1349</v>
      </c>
      <c r="H1017" s="157" t="s">
        <v>1350</v>
      </c>
      <c r="I1017" s="157" t="s">
        <v>2060</v>
      </c>
      <c r="J1017" s="157" t="s">
        <v>8298</v>
      </c>
      <c r="K1017" s="157" t="s">
        <v>1554</v>
      </c>
      <c r="L1017" s="157" t="s">
        <v>2058</v>
      </c>
      <c r="M1017" s="157" t="str">
        <f t="shared" si="25"/>
        <v>Short/Mid Range Radar FR / Radar -8° - Distance Measurements</v>
      </c>
      <c r="N1017" s="157"/>
      <c r="O1017" s="157"/>
      <c r="P1017" s="159" t="s">
        <v>3516</v>
      </c>
      <c r="Q1017" s="157" t="s">
        <v>2115</v>
      </c>
      <c r="R1017" s="157" t="s">
        <v>8292</v>
      </c>
      <c r="S1017" s="157" t="s">
        <v>8627</v>
      </c>
      <c r="T1017" s="157"/>
      <c r="U1017" s="159" t="s">
        <v>2129</v>
      </c>
      <c r="V1017" s="159" t="s">
        <v>2129</v>
      </c>
      <c r="W1017" s="159" t="s">
        <v>2138</v>
      </c>
      <c r="X1017" s="160">
        <v>1</v>
      </c>
      <c r="Y1017" s="160">
        <v>1</v>
      </c>
      <c r="Z1017" s="160">
        <v>1</v>
      </c>
      <c r="AA1017" s="160">
        <v>1</v>
      </c>
    </row>
    <row r="1018" spans="1:27" ht="18" customHeight="1" x14ac:dyDescent="0.25">
      <c r="A1018" s="159">
        <v>3217</v>
      </c>
      <c r="B1018" s="164" t="s">
        <v>266</v>
      </c>
      <c r="C1018" s="164" t="s">
        <v>276</v>
      </c>
      <c r="D1018" s="159" t="s">
        <v>686</v>
      </c>
      <c r="E1018" s="164" t="s">
        <v>684</v>
      </c>
      <c r="F1018" s="159"/>
      <c r="G1018" s="157" t="s">
        <v>1349</v>
      </c>
      <c r="H1018" s="157" t="s">
        <v>1350</v>
      </c>
      <c r="I1018" s="157" t="s">
        <v>2060</v>
      </c>
      <c r="J1018" s="157" t="s">
        <v>8298</v>
      </c>
      <c r="K1018" s="157" t="s">
        <v>1554</v>
      </c>
      <c r="L1018" s="157" t="s">
        <v>2058</v>
      </c>
      <c r="M1018" s="157" t="str">
        <f t="shared" si="25"/>
        <v>Short/Mid Range Radar FR / Radar -8° - Distance Measurements</v>
      </c>
      <c r="N1018" s="157"/>
      <c r="O1018" s="157"/>
      <c r="P1018" s="159" t="s">
        <v>3516</v>
      </c>
      <c r="Q1018" s="157" t="s">
        <v>2115</v>
      </c>
      <c r="R1018" s="157" t="s">
        <v>8292</v>
      </c>
      <c r="S1018" s="157" t="s">
        <v>8627</v>
      </c>
      <c r="T1018" s="157"/>
      <c r="U1018" s="159" t="s">
        <v>2129</v>
      </c>
      <c r="V1018" s="159" t="s">
        <v>2129</v>
      </c>
      <c r="W1018" s="159" t="s">
        <v>2138</v>
      </c>
      <c r="X1018" s="160">
        <v>1</v>
      </c>
      <c r="Y1018" s="160">
        <v>1</v>
      </c>
      <c r="Z1018" s="160">
        <v>1</v>
      </c>
      <c r="AA1018" s="160">
        <v>1</v>
      </c>
    </row>
    <row r="1019" spans="1:27" ht="18" customHeight="1" x14ac:dyDescent="0.25">
      <c r="A1019" s="159">
        <v>3217</v>
      </c>
      <c r="B1019" s="164" t="s">
        <v>266</v>
      </c>
      <c r="C1019" s="164" t="s">
        <v>276</v>
      </c>
      <c r="D1019" s="159" t="s">
        <v>726</v>
      </c>
      <c r="E1019" s="164" t="s">
        <v>724</v>
      </c>
      <c r="F1019" s="159"/>
      <c r="G1019" s="157" t="s">
        <v>1349</v>
      </c>
      <c r="H1019" s="157" t="s">
        <v>1350</v>
      </c>
      <c r="I1019" s="157" t="s">
        <v>2060</v>
      </c>
      <c r="J1019" s="157" t="s">
        <v>8298</v>
      </c>
      <c r="K1019" s="157" t="s">
        <v>1554</v>
      </c>
      <c r="L1019" s="157" t="s">
        <v>2058</v>
      </c>
      <c r="M1019" s="157" t="str">
        <f t="shared" si="25"/>
        <v>Short/Mid Range Radar FR / Radar -8° - Distance Measurements</v>
      </c>
      <c r="N1019" s="157"/>
      <c r="O1019" s="157"/>
      <c r="P1019" s="159" t="s">
        <v>3516</v>
      </c>
      <c r="Q1019" s="157" t="s">
        <v>2115</v>
      </c>
      <c r="R1019" s="157" t="s">
        <v>8292</v>
      </c>
      <c r="S1019" s="157" t="s">
        <v>8627</v>
      </c>
      <c r="T1019" s="157"/>
      <c r="U1019" s="159" t="s">
        <v>2129</v>
      </c>
      <c r="V1019" s="159" t="s">
        <v>2129</v>
      </c>
      <c r="W1019" s="159" t="s">
        <v>2138</v>
      </c>
      <c r="X1019" s="160">
        <v>1</v>
      </c>
      <c r="Y1019" s="160">
        <v>1</v>
      </c>
      <c r="Z1019" s="160">
        <v>1</v>
      </c>
      <c r="AA1019" s="160">
        <v>1</v>
      </c>
    </row>
    <row r="1020" spans="1:27" ht="18" customHeight="1" x14ac:dyDescent="0.25">
      <c r="A1020" s="159">
        <v>3217</v>
      </c>
      <c r="B1020" s="164" t="s">
        <v>266</v>
      </c>
      <c r="C1020" s="164" t="s">
        <v>276</v>
      </c>
      <c r="D1020" s="159" t="s">
        <v>304</v>
      </c>
      <c r="E1020" s="164" t="s">
        <v>1239</v>
      </c>
      <c r="F1020" s="159"/>
      <c r="G1020" s="157" t="s">
        <v>1349</v>
      </c>
      <c r="H1020" s="157" t="s">
        <v>1350</v>
      </c>
      <c r="I1020" s="157" t="s">
        <v>2060</v>
      </c>
      <c r="J1020" s="157" t="s">
        <v>8298</v>
      </c>
      <c r="K1020" s="157" t="s">
        <v>1554</v>
      </c>
      <c r="L1020" s="157" t="s">
        <v>2058</v>
      </c>
      <c r="M1020" s="157" t="str">
        <f t="shared" si="25"/>
        <v>Short/Mid Range Radar FR / Radar -8° - Distance Measurements</v>
      </c>
      <c r="N1020" s="157"/>
      <c r="O1020" s="157"/>
      <c r="P1020" s="159" t="s">
        <v>3516</v>
      </c>
      <c r="Q1020" s="157" t="s">
        <v>2115</v>
      </c>
      <c r="R1020" s="157" t="s">
        <v>8292</v>
      </c>
      <c r="S1020" s="157" t="s">
        <v>8627</v>
      </c>
      <c r="T1020" s="157"/>
      <c r="U1020" s="159" t="s">
        <v>2129</v>
      </c>
      <c r="V1020" s="159" t="s">
        <v>2129</v>
      </c>
      <c r="W1020" s="159" t="s">
        <v>2138</v>
      </c>
      <c r="X1020" s="160">
        <v>1</v>
      </c>
      <c r="Y1020" s="160">
        <v>1</v>
      </c>
      <c r="Z1020" s="160">
        <v>1</v>
      </c>
      <c r="AA1020" s="160">
        <v>1</v>
      </c>
    </row>
    <row r="1021" spans="1:27" ht="18" customHeight="1" x14ac:dyDescent="0.25">
      <c r="A1021" s="159">
        <v>3217</v>
      </c>
      <c r="B1021" s="164" t="s">
        <v>266</v>
      </c>
      <c r="C1021" s="164" t="s">
        <v>1196</v>
      </c>
      <c r="D1021" s="159" t="s">
        <v>1203</v>
      </c>
      <c r="E1021" s="164" t="s">
        <v>1201</v>
      </c>
      <c r="F1021" s="159"/>
      <c r="G1021" s="157" t="s">
        <v>1349</v>
      </c>
      <c r="H1021" s="157" t="s">
        <v>1350</v>
      </c>
      <c r="I1021" s="157" t="s">
        <v>2060</v>
      </c>
      <c r="J1021" s="157" t="s">
        <v>8298</v>
      </c>
      <c r="K1021" s="157" t="s">
        <v>1554</v>
      </c>
      <c r="L1021" s="157" t="s">
        <v>2058</v>
      </c>
      <c r="M1021" s="157" t="str">
        <f t="shared" si="25"/>
        <v>Short/Mid Range Radar FR / Radar -8° - Distance Measurements</v>
      </c>
      <c r="N1021" s="157"/>
      <c r="O1021" s="157"/>
      <c r="P1021" s="159" t="s">
        <v>3516</v>
      </c>
      <c r="Q1021" s="157" t="s">
        <v>2115</v>
      </c>
      <c r="R1021" s="157" t="s">
        <v>8292</v>
      </c>
      <c r="S1021" s="157" t="s">
        <v>8627</v>
      </c>
      <c r="T1021" s="157"/>
      <c r="U1021" s="159" t="s">
        <v>2129</v>
      </c>
      <c r="V1021" s="159" t="s">
        <v>2129</v>
      </c>
      <c r="W1021" s="159" t="s">
        <v>2138</v>
      </c>
      <c r="X1021" s="160">
        <v>1</v>
      </c>
      <c r="Y1021" s="160">
        <v>1</v>
      </c>
      <c r="Z1021" s="160">
        <v>1</v>
      </c>
      <c r="AA1021" s="160">
        <v>1</v>
      </c>
    </row>
    <row r="1022" spans="1:27" ht="18" customHeight="1" x14ac:dyDescent="0.25">
      <c r="A1022" s="159">
        <v>3217</v>
      </c>
      <c r="B1022" s="164" t="s">
        <v>266</v>
      </c>
      <c r="C1022" s="164" t="s">
        <v>267</v>
      </c>
      <c r="D1022" s="159" t="s">
        <v>270</v>
      </c>
      <c r="E1022" s="164" t="s">
        <v>268</v>
      </c>
      <c r="F1022" s="159"/>
      <c r="G1022" s="157" t="s">
        <v>1349</v>
      </c>
      <c r="H1022" s="157" t="s">
        <v>1350</v>
      </c>
      <c r="I1022" s="157" t="s">
        <v>2060</v>
      </c>
      <c r="J1022" s="157" t="s">
        <v>8298</v>
      </c>
      <c r="K1022" s="157" t="s">
        <v>1554</v>
      </c>
      <c r="L1022" s="157" t="s">
        <v>2058</v>
      </c>
      <c r="M1022" s="157" t="str">
        <f t="shared" si="25"/>
        <v>Short/Mid Range Radar FR / Radar -8° - Distance Measurements</v>
      </c>
      <c r="N1022" s="157"/>
      <c r="O1022" s="157"/>
      <c r="P1022" s="159" t="s">
        <v>3516</v>
      </c>
      <c r="Q1022" s="157" t="s">
        <v>2115</v>
      </c>
      <c r="R1022" s="157" t="s">
        <v>8292</v>
      </c>
      <c r="S1022" s="157" t="s">
        <v>8627</v>
      </c>
      <c r="T1022" s="157"/>
      <c r="U1022" s="159" t="s">
        <v>2129</v>
      </c>
      <c r="V1022" s="159" t="s">
        <v>2129</v>
      </c>
      <c r="W1022" s="159" t="s">
        <v>2138</v>
      </c>
      <c r="X1022" s="160">
        <v>1</v>
      </c>
      <c r="Y1022" s="160">
        <v>1</v>
      </c>
      <c r="Z1022" s="160">
        <v>1</v>
      </c>
      <c r="AA1022" s="160">
        <v>1</v>
      </c>
    </row>
    <row r="1023" spans="1:27" ht="18" customHeight="1" x14ac:dyDescent="0.25">
      <c r="A1023" s="159">
        <v>3217</v>
      </c>
      <c r="B1023" s="164" t="s">
        <v>266</v>
      </c>
      <c r="C1023" s="164" t="s">
        <v>267</v>
      </c>
      <c r="D1023" s="159" t="s">
        <v>951</v>
      </c>
      <c r="E1023" s="164" t="s">
        <v>949</v>
      </c>
      <c r="F1023" s="159"/>
      <c r="G1023" s="157" t="s">
        <v>1349</v>
      </c>
      <c r="H1023" s="157" t="s">
        <v>1350</v>
      </c>
      <c r="I1023" s="157" t="s">
        <v>2060</v>
      </c>
      <c r="J1023" s="157" t="s">
        <v>8298</v>
      </c>
      <c r="K1023" s="157" t="s">
        <v>1554</v>
      </c>
      <c r="L1023" s="157" t="s">
        <v>2058</v>
      </c>
      <c r="M1023" s="157" t="str">
        <f t="shared" si="25"/>
        <v>Short/Mid Range Radar FR / Radar -8° - Distance Measurements</v>
      </c>
      <c r="N1023" s="157"/>
      <c r="O1023" s="157"/>
      <c r="P1023" s="159" t="s">
        <v>3516</v>
      </c>
      <c r="Q1023" s="157" t="s">
        <v>2115</v>
      </c>
      <c r="R1023" s="157" t="s">
        <v>8292</v>
      </c>
      <c r="S1023" s="157" t="s">
        <v>8627</v>
      </c>
      <c r="T1023" s="157"/>
      <c r="U1023" s="159" t="s">
        <v>2129</v>
      </c>
      <c r="V1023" s="159" t="s">
        <v>2129</v>
      </c>
      <c r="W1023" s="159" t="s">
        <v>2138</v>
      </c>
      <c r="X1023" s="160">
        <v>1</v>
      </c>
      <c r="Y1023" s="160">
        <v>1</v>
      </c>
      <c r="Z1023" s="160">
        <v>1</v>
      </c>
      <c r="AA1023" s="160">
        <v>1</v>
      </c>
    </row>
    <row r="1024" spans="1:27" ht="18" customHeight="1" x14ac:dyDescent="0.25">
      <c r="A1024" s="159">
        <v>3217</v>
      </c>
      <c r="B1024" s="164" t="s">
        <v>266</v>
      </c>
      <c r="C1024" s="164" t="s">
        <v>267</v>
      </c>
      <c r="D1024" s="159" t="s">
        <v>271</v>
      </c>
      <c r="E1024" s="164" t="s">
        <v>1219</v>
      </c>
      <c r="F1024" s="159"/>
      <c r="G1024" s="157" t="s">
        <v>1349</v>
      </c>
      <c r="H1024" s="157" t="s">
        <v>1350</v>
      </c>
      <c r="I1024" s="157" t="s">
        <v>2060</v>
      </c>
      <c r="J1024" s="157" t="s">
        <v>8298</v>
      </c>
      <c r="K1024" s="157" t="s">
        <v>1554</v>
      </c>
      <c r="L1024" s="157" t="s">
        <v>2058</v>
      </c>
      <c r="M1024" s="157" t="str">
        <f t="shared" si="25"/>
        <v>Short/Mid Range Radar FR / Radar -8° - Distance Measurements</v>
      </c>
      <c r="N1024" s="157"/>
      <c r="O1024" s="157"/>
      <c r="P1024" s="159" t="s">
        <v>3516</v>
      </c>
      <c r="Q1024" s="157" t="s">
        <v>2115</v>
      </c>
      <c r="R1024" s="157" t="s">
        <v>8292</v>
      </c>
      <c r="S1024" s="157" t="s">
        <v>8627</v>
      </c>
      <c r="T1024" s="157"/>
      <c r="U1024" s="159" t="s">
        <v>2129</v>
      </c>
      <c r="V1024" s="159" t="s">
        <v>2129</v>
      </c>
      <c r="W1024" s="159" t="s">
        <v>2138</v>
      </c>
      <c r="X1024" s="160">
        <v>1</v>
      </c>
      <c r="Y1024" s="160">
        <v>1</v>
      </c>
      <c r="Z1024" s="160">
        <v>1</v>
      </c>
      <c r="AA1024" s="160">
        <v>1</v>
      </c>
    </row>
    <row r="1025" spans="1:27" ht="18" customHeight="1" x14ac:dyDescent="0.25">
      <c r="A1025" s="159">
        <v>3217</v>
      </c>
      <c r="B1025" s="164" t="s">
        <v>266</v>
      </c>
      <c r="C1025" s="164" t="s">
        <v>294</v>
      </c>
      <c r="D1025" s="159" t="s">
        <v>297</v>
      </c>
      <c r="E1025" s="164" t="s">
        <v>295</v>
      </c>
      <c r="F1025" s="159"/>
      <c r="G1025" s="157" t="s">
        <v>1349</v>
      </c>
      <c r="H1025" s="157" t="s">
        <v>1350</v>
      </c>
      <c r="I1025" s="157" t="s">
        <v>2060</v>
      </c>
      <c r="J1025" s="157" t="s">
        <v>8298</v>
      </c>
      <c r="K1025" s="157" t="s">
        <v>1554</v>
      </c>
      <c r="L1025" s="157" t="s">
        <v>2058</v>
      </c>
      <c r="M1025" s="157" t="str">
        <f t="shared" si="25"/>
        <v>Short/Mid Range Radar FR / Radar -8° - Distance Measurements</v>
      </c>
      <c r="N1025" s="157"/>
      <c r="O1025" s="157"/>
      <c r="P1025" s="159" t="s">
        <v>3516</v>
      </c>
      <c r="Q1025" s="157" t="s">
        <v>2115</v>
      </c>
      <c r="R1025" s="157" t="s">
        <v>8292</v>
      </c>
      <c r="S1025" s="157" t="s">
        <v>8627</v>
      </c>
      <c r="T1025" s="157"/>
      <c r="U1025" s="159" t="s">
        <v>2129</v>
      </c>
      <c r="V1025" s="159" t="s">
        <v>2129</v>
      </c>
      <c r="W1025" s="159" t="s">
        <v>2138</v>
      </c>
      <c r="X1025" s="160">
        <v>1</v>
      </c>
      <c r="Y1025" s="160">
        <v>1</v>
      </c>
      <c r="Z1025" s="160">
        <v>1</v>
      </c>
      <c r="AA1025" s="160">
        <v>1</v>
      </c>
    </row>
    <row r="1026" spans="1:27" ht="18" customHeight="1" x14ac:dyDescent="0.25">
      <c r="A1026" s="159">
        <v>3217</v>
      </c>
      <c r="B1026" s="164" t="s">
        <v>266</v>
      </c>
      <c r="C1026" s="164" t="s">
        <v>294</v>
      </c>
      <c r="D1026" s="159" t="s">
        <v>298</v>
      </c>
      <c r="E1026" s="164" t="s">
        <v>299</v>
      </c>
      <c r="F1026" s="159"/>
      <c r="G1026" s="157" t="s">
        <v>1349</v>
      </c>
      <c r="H1026" s="157" t="s">
        <v>1350</v>
      </c>
      <c r="I1026" s="157" t="s">
        <v>2060</v>
      </c>
      <c r="J1026" s="157" t="s">
        <v>8298</v>
      </c>
      <c r="K1026" s="157" t="s">
        <v>1554</v>
      </c>
      <c r="L1026" s="157" t="s">
        <v>2058</v>
      </c>
      <c r="M1026" s="157" t="str">
        <f t="shared" si="25"/>
        <v>Short/Mid Range Radar FR / Radar -8° - Distance Measurements</v>
      </c>
      <c r="N1026" s="157"/>
      <c r="O1026" s="157"/>
      <c r="P1026" s="159" t="s">
        <v>3516</v>
      </c>
      <c r="Q1026" s="157" t="s">
        <v>2115</v>
      </c>
      <c r="R1026" s="157" t="s">
        <v>8292</v>
      </c>
      <c r="S1026" s="157" t="s">
        <v>8627</v>
      </c>
      <c r="T1026" s="157"/>
      <c r="U1026" s="159" t="s">
        <v>2129</v>
      </c>
      <c r="V1026" s="159" t="s">
        <v>2129</v>
      </c>
      <c r="W1026" s="159" t="s">
        <v>2138</v>
      </c>
      <c r="X1026" s="160">
        <v>1</v>
      </c>
      <c r="Y1026" s="160">
        <v>1</v>
      </c>
      <c r="Z1026" s="160">
        <v>1</v>
      </c>
      <c r="AA1026" s="160">
        <v>1</v>
      </c>
    </row>
    <row r="1027" spans="1:27" ht="18" customHeight="1" x14ac:dyDescent="0.25">
      <c r="A1027" s="159">
        <v>3217</v>
      </c>
      <c r="B1027" s="164" t="s">
        <v>266</v>
      </c>
      <c r="C1027" s="164" t="s">
        <v>294</v>
      </c>
      <c r="D1027" s="159" t="s">
        <v>503</v>
      </c>
      <c r="E1027" s="164" t="s">
        <v>501</v>
      </c>
      <c r="F1027" s="159"/>
      <c r="G1027" s="157" t="s">
        <v>1349</v>
      </c>
      <c r="H1027" s="157" t="s">
        <v>1350</v>
      </c>
      <c r="I1027" s="157" t="s">
        <v>2060</v>
      </c>
      <c r="J1027" s="157" t="s">
        <v>8298</v>
      </c>
      <c r="K1027" s="157" t="s">
        <v>1554</v>
      </c>
      <c r="L1027" s="157" t="s">
        <v>2058</v>
      </c>
      <c r="M1027" s="157" t="str">
        <f t="shared" si="25"/>
        <v>Short/Mid Range Radar FR / Radar -8° - Distance Measurements</v>
      </c>
      <c r="N1027" s="157"/>
      <c r="O1027" s="157"/>
      <c r="P1027" s="159" t="s">
        <v>3516</v>
      </c>
      <c r="Q1027" s="157" t="s">
        <v>2115</v>
      </c>
      <c r="R1027" s="157" t="s">
        <v>8292</v>
      </c>
      <c r="S1027" s="157" t="s">
        <v>8627</v>
      </c>
      <c r="T1027" s="157"/>
      <c r="U1027" s="159" t="s">
        <v>2129</v>
      </c>
      <c r="V1027" s="159" t="s">
        <v>2129</v>
      </c>
      <c r="W1027" s="159" t="s">
        <v>2138</v>
      </c>
      <c r="X1027" s="160">
        <v>1</v>
      </c>
      <c r="Y1027" s="160">
        <v>1</v>
      </c>
      <c r="Z1027" s="160">
        <v>1</v>
      </c>
      <c r="AA1027" s="160">
        <v>1</v>
      </c>
    </row>
    <row r="1028" spans="1:27" ht="18" customHeight="1" x14ac:dyDescent="0.25">
      <c r="A1028" s="159">
        <v>3217</v>
      </c>
      <c r="B1028" s="164" t="s">
        <v>266</v>
      </c>
      <c r="C1028" s="164" t="s">
        <v>294</v>
      </c>
      <c r="D1028" s="159" t="s">
        <v>692</v>
      </c>
      <c r="E1028" s="164" t="s">
        <v>690</v>
      </c>
      <c r="F1028" s="159"/>
      <c r="G1028" s="157" t="s">
        <v>1349</v>
      </c>
      <c r="H1028" s="157" t="s">
        <v>1350</v>
      </c>
      <c r="I1028" s="157" t="s">
        <v>2060</v>
      </c>
      <c r="J1028" s="157" t="s">
        <v>8298</v>
      </c>
      <c r="K1028" s="157" t="s">
        <v>1554</v>
      </c>
      <c r="L1028" s="157" t="s">
        <v>2058</v>
      </c>
      <c r="M1028" s="157" t="str">
        <f t="shared" si="25"/>
        <v>Short/Mid Range Radar FR / Radar -8° - Distance Measurements</v>
      </c>
      <c r="N1028" s="157"/>
      <c r="O1028" s="157"/>
      <c r="P1028" s="159" t="s">
        <v>3516</v>
      </c>
      <c r="Q1028" s="157" t="s">
        <v>2115</v>
      </c>
      <c r="R1028" s="157" t="s">
        <v>8292</v>
      </c>
      <c r="S1028" s="157" t="s">
        <v>8627</v>
      </c>
      <c r="T1028" s="157"/>
      <c r="U1028" s="159" t="s">
        <v>2129</v>
      </c>
      <c r="V1028" s="159" t="s">
        <v>2129</v>
      </c>
      <c r="W1028" s="159" t="s">
        <v>2138</v>
      </c>
      <c r="X1028" s="160">
        <v>1</v>
      </c>
      <c r="Y1028" s="160">
        <v>1</v>
      </c>
      <c r="Z1028" s="160">
        <v>1</v>
      </c>
      <c r="AA1028" s="160">
        <v>1</v>
      </c>
    </row>
    <row r="1029" spans="1:27" ht="18" customHeight="1" x14ac:dyDescent="0.25">
      <c r="A1029" s="159">
        <v>3217</v>
      </c>
      <c r="B1029" s="164" t="s">
        <v>266</v>
      </c>
      <c r="C1029" s="164" t="s">
        <v>294</v>
      </c>
      <c r="D1029" s="159" t="s">
        <v>1177</v>
      </c>
      <c r="E1029" s="164" t="s">
        <v>1175</v>
      </c>
      <c r="F1029" s="159"/>
      <c r="G1029" s="157" t="s">
        <v>1349</v>
      </c>
      <c r="H1029" s="157" t="s">
        <v>1350</v>
      </c>
      <c r="I1029" s="157" t="s">
        <v>2060</v>
      </c>
      <c r="J1029" s="157" t="s">
        <v>8298</v>
      </c>
      <c r="K1029" s="157" t="s">
        <v>1554</v>
      </c>
      <c r="L1029" s="157" t="s">
        <v>2058</v>
      </c>
      <c r="M1029" s="157" t="str">
        <f t="shared" si="25"/>
        <v>Short/Mid Range Radar FR / Radar -8° - Distance Measurements</v>
      </c>
      <c r="N1029" s="157"/>
      <c r="O1029" s="157"/>
      <c r="P1029" s="159" t="s">
        <v>3516</v>
      </c>
      <c r="Q1029" s="157" t="s">
        <v>2115</v>
      </c>
      <c r="R1029" s="157" t="s">
        <v>8292</v>
      </c>
      <c r="S1029" s="157" t="s">
        <v>8627</v>
      </c>
      <c r="T1029" s="157"/>
      <c r="U1029" s="159" t="s">
        <v>2129</v>
      </c>
      <c r="V1029" s="159" t="s">
        <v>2129</v>
      </c>
      <c r="W1029" s="159" t="s">
        <v>2138</v>
      </c>
      <c r="X1029" s="160">
        <v>1</v>
      </c>
      <c r="Y1029" s="160">
        <v>1</v>
      </c>
      <c r="Z1029" s="160">
        <v>1</v>
      </c>
      <c r="AA1029" s="160">
        <v>1</v>
      </c>
    </row>
    <row r="1030" spans="1:27" ht="18" customHeight="1" x14ac:dyDescent="0.25">
      <c r="A1030" s="159">
        <v>3217</v>
      </c>
      <c r="B1030" s="164" t="s">
        <v>266</v>
      </c>
      <c r="C1030" s="164" t="s">
        <v>294</v>
      </c>
      <c r="D1030" s="159" t="s">
        <v>1178</v>
      </c>
      <c r="E1030" s="164" t="s">
        <v>1179</v>
      </c>
      <c r="F1030" s="159"/>
      <c r="G1030" s="157" t="s">
        <v>1349</v>
      </c>
      <c r="H1030" s="157" t="s">
        <v>1350</v>
      </c>
      <c r="I1030" s="157" t="s">
        <v>2060</v>
      </c>
      <c r="J1030" s="157" t="s">
        <v>8298</v>
      </c>
      <c r="K1030" s="157" t="s">
        <v>1554</v>
      </c>
      <c r="L1030" s="157" t="s">
        <v>2058</v>
      </c>
      <c r="M1030" s="157" t="str">
        <f t="shared" si="25"/>
        <v>Short/Mid Range Radar FR / Radar -8° - Distance Measurements</v>
      </c>
      <c r="N1030" s="157"/>
      <c r="O1030" s="157"/>
      <c r="P1030" s="159" t="s">
        <v>3516</v>
      </c>
      <c r="Q1030" s="157" t="s">
        <v>2115</v>
      </c>
      <c r="R1030" s="157" t="s">
        <v>8292</v>
      </c>
      <c r="S1030" s="157" t="s">
        <v>8627</v>
      </c>
      <c r="T1030" s="157"/>
      <c r="U1030" s="159" t="s">
        <v>2129</v>
      </c>
      <c r="V1030" s="159" t="s">
        <v>2129</v>
      </c>
      <c r="W1030" s="159" t="s">
        <v>2138</v>
      </c>
      <c r="X1030" s="160">
        <v>1</v>
      </c>
      <c r="Y1030" s="160">
        <v>1</v>
      </c>
      <c r="Z1030" s="160">
        <v>1</v>
      </c>
      <c r="AA1030" s="160">
        <v>1</v>
      </c>
    </row>
    <row r="1031" spans="1:27" ht="18" customHeight="1" x14ac:dyDescent="0.25">
      <c r="A1031" s="159">
        <v>3217</v>
      </c>
      <c r="B1031" s="164" t="s">
        <v>266</v>
      </c>
      <c r="C1031" s="164" t="s">
        <v>294</v>
      </c>
      <c r="D1031" s="159" t="s">
        <v>1207</v>
      </c>
      <c r="E1031" s="164" t="s">
        <v>1205</v>
      </c>
      <c r="F1031" s="159"/>
      <c r="G1031" s="157" t="s">
        <v>1349</v>
      </c>
      <c r="H1031" s="157" t="s">
        <v>1350</v>
      </c>
      <c r="I1031" s="157" t="s">
        <v>2060</v>
      </c>
      <c r="J1031" s="157" t="s">
        <v>8298</v>
      </c>
      <c r="K1031" s="157" t="s">
        <v>1554</v>
      </c>
      <c r="L1031" s="157" t="s">
        <v>2058</v>
      </c>
      <c r="M1031" s="157" t="str">
        <f t="shared" si="25"/>
        <v>Short/Mid Range Radar FR / Radar -8° - Distance Measurements</v>
      </c>
      <c r="N1031" s="157"/>
      <c r="O1031" s="157"/>
      <c r="P1031" s="159" t="s">
        <v>3516</v>
      </c>
      <c r="Q1031" s="157" t="s">
        <v>2115</v>
      </c>
      <c r="R1031" s="157" t="s">
        <v>8292</v>
      </c>
      <c r="S1031" s="157" t="s">
        <v>8627</v>
      </c>
      <c r="T1031" s="157"/>
      <c r="U1031" s="159" t="s">
        <v>2129</v>
      </c>
      <c r="V1031" s="159" t="s">
        <v>2129</v>
      </c>
      <c r="W1031" s="159" t="s">
        <v>2138</v>
      </c>
      <c r="X1031" s="160">
        <v>1</v>
      </c>
      <c r="Y1031" s="160">
        <v>1</v>
      </c>
      <c r="Z1031" s="160">
        <v>1</v>
      </c>
      <c r="AA1031" s="160">
        <v>1</v>
      </c>
    </row>
    <row r="1032" spans="1:27" ht="18" customHeight="1" x14ac:dyDescent="0.25">
      <c r="A1032" s="159">
        <v>3217</v>
      </c>
      <c r="B1032" s="164" t="s">
        <v>266</v>
      </c>
      <c r="C1032" s="164" t="s">
        <v>514</v>
      </c>
      <c r="D1032" s="159" t="s">
        <v>517</v>
      </c>
      <c r="E1032" s="164" t="s">
        <v>515</v>
      </c>
      <c r="F1032" s="159"/>
      <c r="G1032" s="157" t="s">
        <v>1349</v>
      </c>
      <c r="H1032" s="157" t="s">
        <v>1350</v>
      </c>
      <c r="I1032" s="157" t="s">
        <v>2060</v>
      </c>
      <c r="J1032" s="157" t="s">
        <v>8298</v>
      </c>
      <c r="K1032" s="157" t="s">
        <v>1554</v>
      </c>
      <c r="L1032" s="157" t="s">
        <v>2058</v>
      </c>
      <c r="M1032" s="157" t="str">
        <f t="shared" si="25"/>
        <v>Short/Mid Range Radar FR / Radar -8° - Distance Measurements</v>
      </c>
      <c r="N1032" s="157"/>
      <c r="O1032" s="157"/>
      <c r="P1032" s="159" t="s">
        <v>3516</v>
      </c>
      <c r="Q1032" s="157" t="s">
        <v>2115</v>
      </c>
      <c r="R1032" s="157" t="s">
        <v>8292</v>
      </c>
      <c r="S1032" s="157" t="s">
        <v>8627</v>
      </c>
      <c r="T1032" s="157"/>
      <c r="U1032" s="159" t="s">
        <v>2129</v>
      </c>
      <c r="V1032" s="159" t="s">
        <v>2129</v>
      </c>
      <c r="W1032" s="159" t="s">
        <v>2138</v>
      </c>
      <c r="X1032" s="160">
        <v>1</v>
      </c>
      <c r="Y1032" s="160">
        <v>1</v>
      </c>
      <c r="Z1032" s="160">
        <v>1</v>
      </c>
      <c r="AA1032" s="160">
        <v>1</v>
      </c>
    </row>
    <row r="1033" spans="1:27" ht="18" customHeight="1" x14ac:dyDescent="0.25">
      <c r="A1033" s="159">
        <v>3217</v>
      </c>
      <c r="B1033" s="164" t="s">
        <v>266</v>
      </c>
      <c r="C1033" s="164" t="s">
        <v>514</v>
      </c>
      <c r="D1033" s="159" t="s">
        <v>730</v>
      </c>
      <c r="E1033" s="164" t="s">
        <v>728</v>
      </c>
      <c r="F1033" s="159"/>
      <c r="G1033" s="157" t="s">
        <v>1349</v>
      </c>
      <c r="H1033" s="157" t="s">
        <v>1350</v>
      </c>
      <c r="I1033" s="157" t="s">
        <v>2060</v>
      </c>
      <c r="J1033" s="157" t="s">
        <v>8298</v>
      </c>
      <c r="K1033" s="157" t="s">
        <v>1554</v>
      </c>
      <c r="L1033" s="157" t="s">
        <v>2058</v>
      </c>
      <c r="M1033" s="157" t="str">
        <f t="shared" si="25"/>
        <v>Short/Mid Range Radar FR / Radar -8° - Distance Measurements</v>
      </c>
      <c r="N1033" s="157"/>
      <c r="O1033" s="157"/>
      <c r="P1033" s="159" t="s">
        <v>3516</v>
      </c>
      <c r="Q1033" s="157" t="s">
        <v>2115</v>
      </c>
      <c r="R1033" s="157" t="s">
        <v>8292</v>
      </c>
      <c r="S1033" s="157" t="s">
        <v>8627</v>
      </c>
      <c r="T1033" s="157"/>
      <c r="U1033" s="159" t="s">
        <v>2129</v>
      </c>
      <c r="V1033" s="159" t="s">
        <v>2129</v>
      </c>
      <c r="W1033" s="159" t="s">
        <v>2138</v>
      </c>
      <c r="X1033" s="160">
        <v>1</v>
      </c>
      <c r="Y1033" s="160">
        <v>1</v>
      </c>
      <c r="Z1033" s="160">
        <v>1</v>
      </c>
      <c r="AA1033" s="160">
        <v>1</v>
      </c>
    </row>
    <row r="1034" spans="1:27" ht="18" customHeight="1" x14ac:dyDescent="0.25">
      <c r="A1034" s="159">
        <v>3217</v>
      </c>
      <c r="B1034" s="164" t="s">
        <v>266</v>
      </c>
      <c r="C1034" s="164" t="s">
        <v>514</v>
      </c>
      <c r="D1034" s="159" t="s">
        <v>793</v>
      </c>
      <c r="E1034" s="164" t="s">
        <v>791</v>
      </c>
      <c r="F1034" s="159"/>
      <c r="G1034" s="157" t="s">
        <v>1349</v>
      </c>
      <c r="H1034" s="157" t="s">
        <v>1350</v>
      </c>
      <c r="I1034" s="157" t="s">
        <v>2060</v>
      </c>
      <c r="J1034" s="157" t="s">
        <v>8298</v>
      </c>
      <c r="K1034" s="157" t="s">
        <v>1554</v>
      </c>
      <c r="L1034" s="157" t="s">
        <v>2058</v>
      </c>
      <c r="M1034" s="157" t="str">
        <f t="shared" ref="M1034:M1097" si="26">CONCATENATE(L1034," - ",I1034)</f>
        <v>Short/Mid Range Radar FR / Radar -8° - Distance Measurements</v>
      </c>
      <c r="N1034" s="157"/>
      <c r="O1034" s="157"/>
      <c r="P1034" s="159" t="s">
        <v>3516</v>
      </c>
      <c r="Q1034" s="157" t="s">
        <v>2115</v>
      </c>
      <c r="R1034" s="157" t="s">
        <v>8292</v>
      </c>
      <c r="S1034" s="157" t="s">
        <v>8627</v>
      </c>
      <c r="T1034" s="157"/>
      <c r="U1034" s="159" t="s">
        <v>2129</v>
      </c>
      <c r="V1034" s="159" t="s">
        <v>2129</v>
      </c>
      <c r="W1034" s="159" t="s">
        <v>2138</v>
      </c>
      <c r="X1034" s="160">
        <v>1</v>
      </c>
      <c r="Y1034" s="160">
        <v>1</v>
      </c>
      <c r="Z1034" s="160">
        <v>1</v>
      </c>
      <c r="AA1034" s="160">
        <v>1</v>
      </c>
    </row>
    <row r="1035" spans="1:27" ht="18" customHeight="1" x14ac:dyDescent="0.25">
      <c r="A1035" s="159">
        <v>3217</v>
      </c>
      <c r="B1035" s="164" t="s">
        <v>266</v>
      </c>
      <c r="C1035" s="164" t="s">
        <v>514</v>
      </c>
      <c r="D1035" s="159" t="s">
        <v>731</v>
      </c>
      <c r="E1035" s="164" t="s">
        <v>795</v>
      </c>
      <c r="F1035" s="159"/>
      <c r="G1035" s="157" t="s">
        <v>1349</v>
      </c>
      <c r="H1035" s="157" t="s">
        <v>1350</v>
      </c>
      <c r="I1035" s="157" t="s">
        <v>2060</v>
      </c>
      <c r="J1035" s="157" t="s">
        <v>8298</v>
      </c>
      <c r="K1035" s="157" t="s">
        <v>1554</v>
      </c>
      <c r="L1035" s="157" t="s">
        <v>2058</v>
      </c>
      <c r="M1035" s="157" t="str">
        <f t="shared" si="26"/>
        <v>Short/Mid Range Radar FR / Radar -8° - Distance Measurements</v>
      </c>
      <c r="N1035" s="157"/>
      <c r="O1035" s="157"/>
      <c r="P1035" s="159" t="s">
        <v>3516</v>
      </c>
      <c r="Q1035" s="157" t="s">
        <v>2115</v>
      </c>
      <c r="R1035" s="157" t="s">
        <v>8292</v>
      </c>
      <c r="S1035" s="157" t="s">
        <v>8627</v>
      </c>
      <c r="T1035" s="157"/>
      <c r="U1035" s="159" t="s">
        <v>2129</v>
      </c>
      <c r="V1035" s="159" t="s">
        <v>2129</v>
      </c>
      <c r="W1035" s="159" t="s">
        <v>2138</v>
      </c>
      <c r="X1035" s="160">
        <v>1</v>
      </c>
      <c r="Y1035" s="160">
        <v>1</v>
      </c>
      <c r="Z1035" s="160">
        <v>1</v>
      </c>
      <c r="AA1035" s="160">
        <v>1</v>
      </c>
    </row>
    <row r="1036" spans="1:27" ht="18" customHeight="1" x14ac:dyDescent="0.25">
      <c r="A1036" s="159">
        <v>3217</v>
      </c>
      <c r="B1036" s="164" t="s">
        <v>266</v>
      </c>
      <c r="C1036" s="164" t="s">
        <v>514</v>
      </c>
      <c r="D1036" s="159" t="s">
        <v>1170</v>
      </c>
      <c r="E1036" s="164" t="s">
        <v>1168</v>
      </c>
      <c r="F1036" s="159"/>
      <c r="G1036" s="157" t="s">
        <v>1349</v>
      </c>
      <c r="H1036" s="157" t="s">
        <v>1350</v>
      </c>
      <c r="I1036" s="157" t="s">
        <v>2060</v>
      </c>
      <c r="J1036" s="157" t="s">
        <v>8298</v>
      </c>
      <c r="K1036" s="157" t="s">
        <v>1554</v>
      </c>
      <c r="L1036" s="157" t="s">
        <v>2058</v>
      </c>
      <c r="M1036" s="157" t="str">
        <f t="shared" si="26"/>
        <v>Short/Mid Range Radar FR / Radar -8° - Distance Measurements</v>
      </c>
      <c r="N1036" s="157"/>
      <c r="O1036" s="157"/>
      <c r="P1036" s="159" t="s">
        <v>3516</v>
      </c>
      <c r="Q1036" s="157" t="s">
        <v>2115</v>
      </c>
      <c r="R1036" s="157" t="s">
        <v>8292</v>
      </c>
      <c r="S1036" s="157" t="s">
        <v>8627</v>
      </c>
      <c r="T1036" s="157"/>
      <c r="U1036" s="159" t="s">
        <v>2129</v>
      </c>
      <c r="V1036" s="159" t="s">
        <v>2129</v>
      </c>
      <c r="W1036" s="159" t="s">
        <v>2138</v>
      </c>
      <c r="X1036" s="160">
        <v>1</v>
      </c>
      <c r="Y1036" s="160">
        <v>1</v>
      </c>
      <c r="Z1036" s="160">
        <v>1</v>
      </c>
      <c r="AA1036" s="160">
        <v>1</v>
      </c>
    </row>
    <row r="1037" spans="1:27" ht="18" customHeight="1" x14ac:dyDescent="0.25">
      <c r="A1037" s="159">
        <v>3217</v>
      </c>
      <c r="B1037" s="164" t="s">
        <v>266</v>
      </c>
      <c r="C1037" s="164" t="s">
        <v>514</v>
      </c>
      <c r="D1037" s="159" t="s">
        <v>1171</v>
      </c>
      <c r="E1037" s="164" t="s">
        <v>1223</v>
      </c>
      <c r="F1037" s="159"/>
      <c r="G1037" s="157" t="s">
        <v>1349</v>
      </c>
      <c r="H1037" s="157" t="s">
        <v>1350</v>
      </c>
      <c r="I1037" s="157" t="s">
        <v>2060</v>
      </c>
      <c r="J1037" s="157" t="s">
        <v>8298</v>
      </c>
      <c r="K1037" s="157" t="s">
        <v>1554</v>
      </c>
      <c r="L1037" s="157" t="s">
        <v>2058</v>
      </c>
      <c r="M1037" s="157" t="str">
        <f t="shared" si="26"/>
        <v>Short/Mid Range Radar FR / Radar -8° - Distance Measurements</v>
      </c>
      <c r="N1037" s="157"/>
      <c r="O1037" s="157"/>
      <c r="P1037" s="159" t="s">
        <v>3516</v>
      </c>
      <c r="Q1037" s="157" t="s">
        <v>2115</v>
      </c>
      <c r="R1037" s="157" t="s">
        <v>8292</v>
      </c>
      <c r="S1037" s="157" t="s">
        <v>8627</v>
      </c>
      <c r="T1037" s="157"/>
      <c r="U1037" s="159" t="s">
        <v>2129</v>
      </c>
      <c r="V1037" s="159" t="s">
        <v>2129</v>
      </c>
      <c r="W1037" s="159" t="s">
        <v>2138</v>
      </c>
      <c r="X1037" s="160">
        <v>1</v>
      </c>
      <c r="Y1037" s="160">
        <v>1</v>
      </c>
      <c r="Z1037" s="160">
        <v>1</v>
      </c>
      <c r="AA1037" s="160">
        <v>1</v>
      </c>
    </row>
    <row r="1038" spans="1:27" ht="18" customHeight="1" x14ac:dyDescent="0.25">
      <c r="A1038" s="159">
        <v>3217</v>
      </c>
      <c r="B1038" s="164" t="s">
        <v>266</v>
      </c>
      <c r="C1038" s="164" t="s">
        <v>519</v>
      </c>
      <c r="D1038" s="159" t="s">
        <v>522</v>
      </c>
      <c r="E1038" s="164" t="s">
        <v>520</v>
      </c>
      <c r="F1038" s="159"/>
      <c r="G1038" s="157" t="s">
        <v>1349</v>
      </c>
      <c r="H1038" s="157" t="s">
        <v>1350</v>
      </c>
      <c r="I1038" s="157" t="s">
        <v>2060</v>
      </c>
      <c r="J1038" s="157" t="s">
        <v>8298</v>
      </c>
      <c r="K1038" s="157" t="s">
        <v>1554</v>
      </c>
      <c r="L1038" s="157" t="s">
        <v>2058</v>
      </c>
      <c r="M1038" s="157" t="str">
        <f t="shared" si="26"/>
        <v>Short/Mid Range Radar FR / Radar -8° - Distance Measurements</v>
      </c>
      <c r="N1038" s="157"/>
      <c r="O1038" s="157"/>
      <c r="P1038" s="159" t="s">
        <v>3516</v>
      </c>
      <c r="Q1038" s="157" t="s">
        <v>2115</v>
      </c>
      <c r="R1038" s="157" t="s">
        <v>8292</v>
      </c>
      <c r="S1038" s="157" t="s">
        <v>8627</v>
      </c>
      <c r="T1038" s="157"/>
      <c r="U1038" s="159" t="s">
        <v>2129</v>
      </c>
      <c r="V1038" s="159" t="s">
        <v>2129</v>
      </c>
      <c r="W1038" s="159" t="s">
        <v>2138</v>
      </c>
      <c r="X1038" s="160">
        <v>1</v>
      </c>
      <c r="Y1038" s="160">
        <v>1</v>
      </c>
      <c r="Z1038" s="160">
        <v>1</v>
      </c>
      <c r="AA1038" s="160">
        <v>1</v>
      </c>
    </row>
    <row r="1039" spans="1:27" ht="18" customHeight="1" x14ac:dyDescent="0.25">
      <c r="A1039" s="159">
        <v>3217</v>
      </c>
      <c r="B1039" s="164" t="s">
        <v>266</v>
      </c>
      <c r="C1039" s="164" t="s">
        <v>519</v>
      </c>
      <c r="D1039" s="159" t="s">
        <v>526</v>
      </c>
      <c r="E1039" s="164" t="s">
        <v>524</v>
      </c>
      <c r="F1039" s="159"/>
      <c r="G1039" s="157" t="s">
        <v>1349</v>
      </c>
      <c r="H1039" s="157" t="s">
        <v>1350</v>
      </c>
      <c r="I1039" s="157" t="s">
        <v>2060</v>
      </c>
      <c r="J1039" s="157" t="s">
        <v>8298</v>
      </c>
      <c r="K1039" s="157" t="s">
        <v>1554</v>
      </c>
      <c r="L1039" s="157" t="s">
        <v>2058</v>
      </c>
      <c r="M1039" s="157" t="str">
        <f t="shared" si="26"/>
        <v>Short/Mid Range Radar FR / Radar -8° - Distance Measurements</v>
      </c>
      <c r="N1039" s="157"/>
      <c r="O1039" s="157"/>
      <c r="P1039" s="159" t="s">
        <v>3516</v>
      </c>
      <c r="Q1039" s="157" t="s">
        <v>2115</v>
      </c>
      <c r="R1039" s="157" t="s">
        <v>8292</v>
      </c>
      <c r="S1039" s="157" t="s">
        <v>8627</v>
      </c>
      <c r="T1039" s="157"/>
      <c r="U1039" s="159" t="s">
        <v>2129</v>
      </c>
      <c r="V1039" s="159" t="s">
        <v>2129</v>
      </c>
      <c r="W1039" s="159" t="s">
        <v>2138</v>
      </c>
      <c r="X1039" s="160">
        <v>1</v>
      </c>
      <c r="Y1039" s="160">
        <v>1</v>
      </c>
      <c r="Z1039" s="160">
        <v>1</v>
      </c>
      <c r="AA1039" s="160">
        <v>1</v>
      </c>
    </row>
    <row r="1040" spans="1:27" ht="18" customHeight="1" x14ac:dyDescent="0.25">
      <c r="A1040" s="159">
        <v>3217</v>
      </c>
      <c r="B1040" s="164" t="s">
        <v>266</v>
      </c>
      <c r="C1040" s="164" t="s">
        <v>519</v>
      </c>
      <c r="D1040" s="159" t="s">
        <v>530</v>
      </c>
      <c r="E1040" s="164" t="s">
        <v>528</v>
      </c>
      <c r="F1040" s="159"/>
      <c r="G1040" s="157" t="s">
        <v>1349</v>
      </c>
      <c r="H1040" s="157" t="s">
        <v>1350</v>
      </c>
      <c r="I1040" s="157" t="s">
        <v>2060</v>
      </c>
      <c r="J1040" s="157" t="s">
        <v>8298</v>
      </c>
      <c r="K1040" s="157" t="s">
        <v>1554</v>
      </c>
      <c r="L1040" s="157" t="s">
        <v>2058</v>
      </c>
      <c r="M1040" s="157" t="str">
        <f t="shared" si="26"/>
        <v>Short/Mid Range Radar FR / Radar -8° - Distance Measurements</v>
      </c>
      <c r="N1040" s="157"/>
      <c r="O1040" s="157"/>
      <c r="P1040" s="159" t="s">
        <v>3516</v>
      </c>
      <c r="Q1040" s="157" t="s">
        <v>2115</v>
      </c>
      <c r="R1040" s="157" t="s">
        <v>8292</v>
      </c>
      <c r="S1040" s="157" t="s">
        <v>8627</v>
      </c>
      <c r="T1040" s="157"/>
      <c r="U1040" s="159" t="s">
        <v>2129</v>
      </c>
      <c r="V1040" s="159" t="s">
        <v>2129</v>
      </c>
      <c r="W1040" s="159" t="s">
        <v>2138</v>
      </c>
      <c r="X1040" s="160">
        <v>1</v>
      </c>
      <c r="Y1040" s="160">
        <v>1</v>
      </c>
      <c r="Z1040" s="160">
        <v>1</v>
      </c>
      <c r="AA1040" s="160">
        <v>1</v>
      </c>
    </row>
    <row r="1041" spans="1:27" ht="18" customHeight="1" x14ac:dyDescent="0.25">
      <c r="A1041" s="159">
        <v>3217</v>
      </c>
      <c r="B1041" s="164" t="s">
        <v>266</v>
      </c>
      <c r="C1041" s="164" t="s">
        <v>519</v>
      </c>
      <c r="D1041" s="159" t="s">
        <v>787</v>
      </c>
      <c r="E1041" s="164" t="s">
        <v>785</v>
      </c>
      <c r="F1041" s="159"/>
      <c r="G1041" s="157" t="s">
        <v>1349</v>
      </c>
      <c r="H1041" s="157" t="s">
        <v>1350</v>
      </c>
      <c r="I1041" s="157" t="s">
        <v>2060</v>
      </c>
      <c r="J1041" s="157" t="s">
        <v>8298</v>
      </c>
      <c r="K1041" s="157" t="s">
        <v>1554</v>
      </c>
      <c r="L1041" s="157" t="s">
        <v>2058</v>
      </c>
      <c r="M1041" s="157" t="str">
        <f t="shared" si="26"/>
        <v>Short/Mid Range Radar FR / Radar -8° - Distance Measurements</v>
      </c>
      <c r="N1041" s="157"/>
      <c r="O1041" s="157"/>
      <c r="P1041" s="159" t="s">
        <v>3516</v>
      </c>
      <c r="Q1041" s="157" t="s">
        <v>2115</v>
      </c>
      <c r="R1041" s="157" t="s">
        <v>8292</v>
      </c>
      <c r="S1041" s="157" t="s">
        <v>8627</v>
      </c>
      <c r="T1041" s="157"/>
      <c r="U1041" s="159" t="s">
        <v>2129</v>
      </c>
      <c r="V1041" s="159" t="s">
        <v>2129</v>
      </c>
      <c r="W1041" s="159" t="s">
        <v>2138</v>
      </c>
      <c r="X1041" s="160">
        <v>1</v>
      </c>
      <c r="Y1041" s="160">
        <v>1</v>
      </c>
      <c r="Z1041" s="160">
        <v>1</v>
      </c>
      <c r="AA1041" s="160">
        <v>1</v>
      </c>
    </row>
    <row r="1042" spans="1:27" ht="18" customHeight="1" x14ac:dyDescent="0.25">
      <c r="A1042" s="159">
        <v>3217</v>
      </c>
      <c r="B1042" s="164" t="s">
        <v>266</v>
      </c>
      <c r="C1042" s="164" t="s">
        <v>519</v>
      </c>
      <c r="D1042" s="159" t="s">
        <v>935</v>
      </c>
      <c r="E1042" s="164" t="s">
        <v>933</v>
      </c>
      <c r="F1042" s="159"/>
      <c r="G1042" s="157" t="s">
        <v>1349</v>
      </c>
      <c r="H1042" s="157" t="s">
        <v>1350</v>
      </c>
      <c r="I1042" s="157" t="s">
        <v>2060</v>
      </c>
      <c r="J1042" s="157" t="s">
        <v>8298</v>
      </c>
      <c r="K1042" s="157" t="s">
        <v>1554</v>
      </c>
      <c r="L1042" s="157" t="s">
        <v>2058</v>
      </c>
      <c r="M1042" s="157" t="str">
        <f t="shared" si="26"/>
        <v>Short/Mid Range Radar FR / Radar -8° - Distance Measurements</v>
      </c>
      <c r="N1042" s="157"/>
      <c r="O1042" s="157"/>
      <c r="P1042" s="159" t="s">
        <v>3516</v>
      </c>
      <c r="Q1042" s="157" t="s">
        <v>2115</v>
      </c>
      <c r="R1042" s="157" t="s">
        <v>8292</v>
      </c>
      <c r="S1042" s="157" t="s">
        <v>8627</v>
      </c>
      <c r="T1042" s="157"/>
      <c r="U1042" s="159" t="s">
        <v>2129</v>
      </c>
      <c r="V1042" s="159" t="s">
        <v>2129</v>
      </c>
      <c r="W1042" s="159" t="s">
        <v>2138</v>
      </c>
      <c r="X1042" s="160">
        <v>1</v>
      </c>
      <c r="Y1042" s="160">
        <v>1</v>
      </c>
      <c r="Z1042" s="160">
        <v>1</v>
      </c>
      <c r="AA1042" s="160">
        <v>1</v>
      </c>
    </row>
    <row r="1043" spans="1:27" ht="18" customHeight="1" x14ac:dyDescent="0.25">
      <c r="A1043" s="159">
        <v>3217</v>
      </c>
      <c r="B1043" s="164" t="s">
        <v>266</v>
      </c>
      <c r="C1043" s="164" t="s">
        <v>519</v>
      </c>
      <c r="D1043" s="159" t="s">
        <v>1151</v>
      </c>
      <c r="E1043" s="164" t="s">
        <v>1149</v>
      </c>
      <c r="F1043" s="159"/>
      <c r="G1043" s="157" t="s">
        <v>1349</v>
      </c>
      <c r="H1043" s="157" t="s">
        <v>1350</v>
      </c>
      <c r="I1043" s="157" t="s">
        <v>2060</v>
      </c>
      <c r="J1043" s="157" t="s">
        <v>8298</v>
      </c>
      <c r="K1043" s="157" t="s">
        <v>1554</v>
      </c>
      <c r="L1043" s="157" t="s">
        <v>2058</v>
      </c>
      <c r="M1043" s="157" t="str">
        <f t="shared" si="26"/>
        <v>Short/Mid Range Radar FR / Radar -8° - Distance Measurements</v>
      </c>
      <c r="N1043" s="157"/>
      <c r="O1043" s="157"/>
      <c r="P1043" s="159" t="s">
        <v>3516</v>
      </c>
      <c r="Q1043" s="157" t="s">
        <v>2115</v>
      </c>
      <c r="R1043" s="157" t="s">
        <v>8292</v>
      </c>
      <c r="S1043" s="157" t="s">
        <v>8627</v>
      </c>
      <c r="T1043" s="157"/>
      <c r="U1043" s="159" t="s">
        <v>2129</v>
      </c>
      <c r="V1043" s="159" t="s">
        <v>2129</v>
      </c>
      <c r="W1043" s="159" t="s">
        <v>2138</v>
      </c>
      <c r="X1043" s="160">
        <v>1</v>
      </c>
      <c r="Y1043" s="160">
        <v>1</v>
      </c>
      <c r="Z1043" s="160">
        <v>1</v>
      </c>
      <c r="AA1043" s="160">
        <v>1</v>
      </c>
    </row>
    <row r="1044" spans="1:27" ht="18" customHeight="1" x14ac:dyDescent="0.25">
      <c r="A1044" s="159">
        <v>3217</v>
      </c>
      <c r="B1044" s="164" t="s">
        <v>266</v>
      </c>
      <c r="C1044" s="164" t="s">
        <v>519</v>
      </c>
      <c r="D1044" s="159" t="s">
        <v>1159</v>
      </c>
      <c r="E1044" s="164" t="s">
        <v>1157</v>
      </c>
      <c r="F1044" s="159"/>
      <c r="G1044" s="157" t="s">
        <v>1349</v>
      </c>
      <c r="H1044" s="157" t="s">
        <v>1350</v>
      </c>
      <c r="I1044" s="157" t="s">
        <v>2060</v>
      </c>
      <c r="J1044" s="157" t="s">
        <v>8298</v>
      </c>
      <c r="K1044" s="157" t="s">
        <v>1554</v>
      </c>
      <c r="L1044" s="157" t="s">
        <v>2058</v>
      </c>
      <c r="M1044" s="157" t="str">
        <f t="shared" si="26"/>
        <v>Short/Mid Range Radar FR / Radar -8° - Distance Measurements</v>
      </c>
      <c r="N1044" s="157"/>
      <c r="O1044" s="157"/>
      <c r="P1044" s="159" t="s">
        <v>3516</v>
      </c>
      <c r="Q1044" s="157" t="s">
        <v>2115</v>
      </c>
      <c r="R1044" s="157" t="s">
        <v>8292</v>
      </c>
      <c r="S1044" s="157" t="s">
        <v>8627</v>
      </c>
      <c r="T1044" s="157"/>
      <c r="U1044" s="159" t="s">
        <v>2129</v>
      </c>
      <c r="V1044" s="159" t="s">
        <v>2129</v>
      </c>
      <c r="W1044" s="159" t="s">
        <v>2138</v>
      </c>
      <c r="X1044" s="160">
        <v>1</v>
      </c>
      <c r="Y1044" s="160">
        <v>1</v>
      </c>
      <c r="Z1044" s="160">
        <v>1</v>
      </c>
      <c r="AA1044" s="160">
        <v>1</v>
      </c>
    </row>
    <row r="1045" spans="1:27" ht="18" customHeight="1" x14ac:dyDescent="0.25">
      <c r="A1045" s="159">
        <v>3218</v>
      </c>
      <c r="B1045" s="164" t="s">
        <v>266</v>
      </c>
      <c r="C1045" s="164" t="s">
        <v>276</v>
      </c>
      <c r="D1045" s="159" t="s">
        <v>726</v>
      </c>
      <c r="E1045" s="164" t="s">
        <v>724</v>
      </c>
      <c r="F1045" s="159"/>
      <c r="G1045" s="157" t="s">
        <v>1349</v>
      </c>
      <c r="H1045" s="157" t="s">
        <v>1350</v>
      </c>
      <c r="I1045" s="157" t="s">
        <v>2060</v>
      </c>
      <c r="J1045" s="157" t="s">
        <v>8295</v>
      </c>
      <c r="K1045" s="157" t="s">
        <v>1554</v>
      </c>
      <c r="L1045" s="157" t="s">
        <v>2064</v>
      </c>
      <c r="M1045" s="157" t="str">
        <f t="shared" si="26"/>
        <v>Short/Mid Range Radar L / Radar +97° - Distance Measurements</v>
      </c>
      <c r="N1045" s="157"/>
      <c r="O1045" s="157"/>
      <c r="P1045" s="159" t="s">
        <v>8146</v>
      </c>
      <c r="Q1045" s="157" t="s">
        <v>2115</v>
      </c>
      <c r="R1045" s="157" t="s">
        <v>8292</v>
      </c>
      <c r="S1045" s="157" t="s">
        <v>8627</v>
      </c>
      <c r="T1045" s="157"/>
      <c r="U1045" s="159" t="s">
        <v>2129</v>
      </c>
      <c r="V1045" s="159" t="s">
        <v>2129</v>
      </c>
      <c r="W1045" s="159" t="s">
        <v>2138</v>
      </c>
      <c r="X1045" s="160">
        <v>1</v>
      </c>
      <c r="Y1045" s="160">
        <v>1</v>
      </c>
      <c r="Z1045" s="160">
        <v>1</v>
      </c>
      <c r="AA1045" s="160">
        <v>1</v>
      </c>
    </row>
    <row r="1046" spans="1:27" ht="18" customHeight="1" x14ac:dyDescent="0.25">
      <c r="A1046" s="159">
        <v>3218</v>
      </c>
      <c r="B1046" s="164" t="s">
        <v>266</v>
      </c>
      <c r="C1046" s="164" t="s">
        <v>267</v>
      </c>
      <c r="D1046" s="159" t="s">
        <v>270</v>
      </c>
      <c r="E1046" s="164" t="s">
        <v>268</v>
      </c>
      <c r="F1046" s="159"/>
      <c r="G1046" s="157" t="s">
        <v>1349</v>
      </c>
      <c r="H1046" s="157" t="s">
        <v>1350</v>
      </c>
      <c r="I1046" s="157" t="s">
        <v>2060</v>
      </c>
      <c r="J1046" s="157" t="s">
        <v>8295</v>
      </c>
      <c r="K1046" s="157" t="s">
        <v>1554</v>
      </c>
      <c r="L1046" s="157" t="s">
        <v>2064</v>
      </c>
      <c r="M1046" s="157" t="str">
        <f t="shared" si="26"/>
        <v>Short/Mid Range Radar L / Radar +97° - Distance Measurements</v>
      </c>
      <c r="N1046" s="157"/>
      <c r="O1046" s="157"/>
      <c r="P1046" s="159" t="s">
        <v>8146</v>
      </c>
      <c r="Q1046" s="157" t="s">
        <v>2115</v>
      </c>
      <c r="R1046" s="157" t="s">
        <v>8292</v>
      </c>
      <c r="S1046" s="157" t="s">
        <v>8627</v>
      </c>
      <c r="T1046" s="157"/>
      <c r="U1046" s="159" t="s">
        <v>2129</v>
      </c>
      <c r="V1046" s="159" t="s">
        <v>2129</v>
      </c>
      <c r="W1046" s="159" t="s">
        <v>2138</v>
      </c>
      <c r="X1046" s="160">
        <v>1</v>
      </c>
      <c r="Y1046" s="160">
        <v>1</v>
      </c>
      <c r="Z1046" s="160">
        <v>1</v>
      </c>
      <c r="AA1046" s="160">
        <v>1</v>
      </c>
    </row>
    <row r="1047" spans="1:27" ht="18" customHeight="1" x14ac:dyDescent="0.25">
      <c r="A1047" s="159">
        <v>3218</v>
      </c>
      <c r="B1047" s="164" t="s">
        <v>266</v>
      </c>
      <c r="C1047" s="164" t="s">
        <v>294</v>
      </c>
      <c r="D1047" s="159" t="s">
        <v>297</v>
      </c>
      <c r="E1047" s="164" t="s">
        <v>295</v>
      </c>
      <c r="F1047" s="159"/>
      <c r="G1047" s="157" t="s">
        <v>1349</v>
      </c>
      <c r="H1047" s="157" t="s">
        <v>1350</v>
      </c>
      <c r="I1047" s="157" t="s">
        <v>2060</v>
      </c>
      <c r="J1047" s="157" t="s">
        <v>8295</v>
      </c>
      <c r="K1047" s="157" t="s">
        <v>1554</v>
      </c>
      <c r="L1047" s="157" t="s">
        <v>2064</v>
      </c>
      <c r="M1047" s="157" t="str">
        <f t="shared" si="26"/>
        <v>Short/Mid Range Radar L / Radar +97° - Distance Measurements</v>
      </c>
      <c r="N1047" s="157"/>
      <c r="O1047" s="157"/>
      <c r="P1047" s="159" t="s">
        <v>8146</v>
      </c>
      <c r="Q1047" s="157" t="s">
        <v>2115</v>
      </c>
      <c r="R1047" s="157" t="s">
        <v>8292</v>
      </c>
      <c r="S1047" s="157" t="s">
        <v>8627</v>
      </c>
      <c r="T1047" s="157"/>
      <c r="U1047" s="159" t="s">
        <v>2129</v>
      </c>
      <c r="V1047" s="159" t="s">
        <v>2129</v>
      </c>
      <c r="W1047" s="159" t="s">
        <v>2138</v>
      </c>
      <c r="X1047" s="160">
        <v>1</v>
      </c>
      <c r="Y1047" s="160">
        <v>1</v>
      </c>
      <c r="Z1047" s="160">
        <v>1</v>
      </c>
      <c r="AA1047" s="160">
        <v>1</v>
      </c>
    </row>
    <row r="1048" spans="1:27" ht="18" customHeight="1" x14ac:dyDescent="0.25">
      <c r="A1048" s="159">
        <v>3218</v>
      </c>
      <c r="B1048" s="164" t="s">
        <v>266</v>
      </c>
      <c r="C1048" s="164" t="s">
        <v>294</v>
      </c>
      <c r="D1048" s="159" t="s">
        <v>298</v>
      </c>
      <c r="E1048" s="164" t="s">
        <v>299</v>
      </c>
      <c r="F1048" s="159"/>
      <c r="G1048" s="157" t="s">
        <v>1349</v>
      </c>
      <c r="H1048" s="157" t="s">
        <v>1350</v>
      </c>
      <c r="I1048" s="157" t="s">
        <v>2060</v>
      </c>
      <c r="J1048" s="157" t="s">
        <v>8295</v>
      </c>
      <c r="K1048" s="157" t="s">
        <v>1554</v>
      </c>
      <c r="L1048" s="157" t="s">
        <v>2064</v>
      </c>
      <c r="M1048" s="157" t="str">
        <f t="shared" si="26"/>
        <v>Short/Mid Range Radar L / Radar +97° - Distance Measurements</v>
      </c>
      <c r="N1048" s="157"/>
      <c r="O1048" s="157"/>
      <c r="P1048" s="159" t="s">
        <v>8146</v>
      </c>
      <c r="Q1048" s="157" t="s">
        <v>2115</v>
      </c>
      <c r="R1048" s="157" t="s">
        <v>8292</v>
      </c>
      <c r="S1048" s="157" t="s">
        <v>8627</v>
      </c>
      <c r="T1048" s="157"/>
      <c r="U1048" s="159" t="s">
        <v>2129</v>
      </c>
      <c r="V1048" s="159" t="s">
        <v>2129</v>
      </c>
      <c r="W1048" s="159" t="s">
        <v>2138</v>
      </c>
      <c r="X1048" s="160">
        <v>1</v>
      </c>
      <c r="Y1048" s="160">
        <v>1</v>
      </c>
      <c r="Z1048" s="160">
        <v>1</v>
      </c>
      <c r="AA1048" s="160">
        <v>1</v>
      </c>
    </row>
    <row r="1049" spans="1:27" ht="18" customHeight="1" x14ac:dyDescent="0.25">
      <c r="A1049" s="159">
        <v>3218</v>
      </c>
      <c r="B1049" s="164" t="s">
        <v>266</v>
      </c>
      <c r="C1049" s="164" t="s">
        <v>294</v>
      </c>
      <c r="D1049" s="159" t="s">
        <v>503</v>
      </c>
      <c r="E1049" s="164" t="s">
        <v>501</v>
      </c>
      <c r="F1049" s="159"/>
      <c r="G1049" s="157" t="s">
        <v>1349</v>
      </c>
      <c r="H1049" s="157" t="s">
        <v>1350</v>
      </c>
      <c r="I1049" s="157" t="s">
        <v>2060</v>
      </c>
      <c r="J1049" s="157" t="s">
        <v>8295</v>
      </c>
      <c r="K1049" s="157" t="s">
        <v>1554</v>
      </c>
      <c r="L1049" s="157" t="s">
        <v>2064</v>
      </c>
      <c r="M1049" s="157" t="str">
        <f t="shared" si="26"/>
        <v>Short/Mid Range Radar L / Radar +97° - Distance Measurements</v>
      </c>
      <c r="N1049" s="157"/>
      <c r="O1049" s="157"/>
      <c r="P1049" s="159" t="s">
        <v>8146</v>
      </c>
      <c r="Q1049" s="157" t="s">
        <v>2115</v>
      </c>
      <c r="R1049" s="157" t="s">
        <v>8292</v>
      </c>
      <c r="S1049" s="157" t="s">
        <v>8627</v>
      </c>
      <c r="T1049" s="157"/>
      <c r="U1049" s="159" t="s">
        <v>2129</v>
      </c>
      <c r="V1049" s="159" t="s">
        <v>2129</v>
      </c>
      <c r="W1049" s="159" t="s">
        <v>2138</v>
      </c>
      <c r="X1049" s="160">
        <v>1</v>
      </c>
      <c r="Y1049" s="160">
        <v>1</v>
      </c>
      <c r="Z1049" s="160">
        <v>1</v>
      </c>
      <c r="AA1049" s="160">
        <v>1</v>
      </c>
    </row>
    <row r="1050" spans="1:27" ht="18" customHeight="1" x14ac:dyDescent="0.25">
      <c r="A1050" s="159">
        <v>3218</v>
      </c>
      <c r="B1050" s="164" t="s">
        <v>266</v>
      </c>
      <c r="C1050" s="164" t="s">
        <v>294</v>
      </c>
      <c r="D1050" s="159" t="s">
        <v>692</v>
      </c>
      <c r="E1050" s="164" t="s">
        <v>690</v>
      </c>
      <c r="F1050" s="159"/>
      <c r="G1050" s="157" t="s">
        <v>1349</v>
      </c>
      <c r="H1050" s="157" t="s">
        <v>1350</v>
      </c>
      <c r="I1050" s="157" t="s">
        <v>2060</v>
      </c>
      <c r="J1050" s="157" t="s">
        <v>8295</v>
      </c>
      <c r="K1050" s="157" t="s">
        <v>1554</v>
      </c>
      <c r="L1050" s="157" t="s">
        <v>2064</v>
      </c>
      <c r="M1050" s="157" t="str">
        <f t="shared" si="26"/>
        <v>Short/Mid Range Radar L / Radar +97° - Distance Measurements</v>
      </c>
      <c r="N1050" s="157"/>
      <c r="O1050" s="157"/>
      <c r="P1050" s="159" t="s">
        <v>8146</v>
      </c>
      <c r="Q1050" s="157" t="s">
        <v>2115</v>
      </c>
      <c r="R1050" s="157" t="s">
        <v>8292</v>
      </c>
      <c r="S1050" s="157" t="s">
        <v>8627</v>
      </c>
      <c r="T1050" s="157"/>
      <c r="U1050" s="159" t="s">
        <v>2129</v>
      </c>
      <c r="V1050" s="159" t="s">
        <v>2129</v>
      </c>
      <c r="W1050" s="159" t="s">
        <v>2138</v>
      </c>
      <c r="X1050" s="160">
        <v>1</v>
      </c>
      <c r="Y1050" s="160">
        <v>1</v>
      </c>
      <c r="Z1050" s="160">
        <v>1</v>
      </c>
      <c r="AA1050" s="160">
        <v>1</v>
      </c>
    </row>
    <row r="1051" spans="1:27" ht="18" customHeight="1" x14ac:dyDescent="0.25">
      <c r="A1051" s="159">
        <v>3218</v>
      </c>
      <c r="B1051" s="164" t="s">
        <v>266</v>
      </c>
      <c r="C1051" s="164" t="s">
        <v>294</v>
      </c>
      <c r="D1051" s="159" t="s">
        <v>1177</v>
      </c>
      <c r="E1051" s="164" t="s">
        <v>1175</v>
      </c>
      <c r="F1051" s="159"/>
      <c r="G1051" s="157" t="s">
        <v>1349</v>
      </c>
      <c r="H1051" s="157" t="s">
        <v>1350</v>
      </c>
      <c r="I1051" s="157" t="s">
        <v>2060</v>
      </c>
      <c r="J1051" s="157" t="s">
        <v>8295</v>
      </c>
      <c r="K1051" s="157" t="s">
        <v>1554</v>
      </c>
      <c r="L1051" s="157" t="s">
        <v>2064</v>
      </c>
      <c r="M1051" s="157" t="str">
        <f t="shared" si="26"/>
        <v>Short/Mid Range Radar L / Radar +97° - Distance Measurements</v>
      </c>
      <c r="N1051" s="157"/>
      <c r="O1051" s="157"/>
      <c r="P1051" s="159" t="s">
        <v>8146</v>
      </c>
      <c r="Q1051" s="157" t="s">
        <v>2115</v>
      </c>
      <c r="R1051" s="157" t="s">
        <v>8292</v>
      </c>
      <c r="S1051" s="157" t="s">
        <v>8627</v>
      </c>
      <c r="T1051" s="157"/>
      <c r="U1051" s="159" t="s">
        <v>2129</v>
      </c>
      <c r="V1051" s="159" t="s">
        <v>2129</v>
      </c>
      <c r="W1051" s="159" t="s">
        <v>2138</v>
      </c>
      <c r="X1051" s="160">
        <v>1</v>
      </c>
      <c r="Y1051" s="160">
        <v>1</v>
      </c>
      <c r="Z1051" s="160">
        <v>1</v>
      </c>
      <c r="AA1051" s="160">
        <v>1</v>
      </c>
    </row>
    <row r="1052" spans="1:27" ht="18" customHeight="1" x14ac:dyDescent="0.25">
      <c r="A1052" s="159">
        <v>3218</v>
      </c>
      <c r="B1052" s="164" t="s">
        <v>266</v>
      </c>
      <c r="C1052" s="164" t="s">
        <v>294</v>
      </c>
      <c r="D1052" s="159" t="s">
        <v>1178</v>
      </c>
      <c r="E1052" s="164" t="s">
        <v>1179</v>
      </c>
      <c r="F1052" s="159"/>
      <c r="G1052" s="157" t="s">
        <v>1349</v>
      </c>
      <c r="H1052" s="157" t="s">
        <v>1350</v>
      </c>
      <c r="I1052" s="157" t="s">
        <v>2060</v>
      </c>
      <c r="J1052" s="157" t="s">
        <v>8295</v>
      </c>
      <c r="K1052" s="157" t="s">
        <v>1554</v>
      </c>
      <c r="L1052" s="157" t="s">
        <v>2064</v>
      </c>
      <c r="M1052" s="157" t="str">
        <f t="shared" si="26"/>
        <v>Short/Mid Range Radar L / Radar +97° - Distance Measurements</v>
      </c>
      <c r="N1052" s="157"/>
      <c r="O1052" s="157"/>
      <c r="P1052" s="159" t="s">
        <v>8146</v>
      </c>
      <c r="Q1052" s="157" t="s">
        <v>2115</v>
      </c>
      <c r="R1052" s="157" t="s">
        <v>8292</v>
      </c>
      <c r="S1052" s="157" t="s">
        <v>8627</v>
      </c>
      <c r="T1052" s="157"/>
      <c r="U1052" s="159" t="s">
        <v>2129</v>
      </c>
      <c r="V1052" s="159" t="s">
        <v>2129</v>
      </c>
      <c r="W1052" s="159" t="s">
        <v>2138</v>
      </c>
      <c r="X1052" s="160">
        <v>1</v>
      </c>
      <c r="Y1052" s="160">
        <v>1</v>
      </c>
      <c r="Z1052" s="160">
        <v>1</v>
      </c>
      <c r="AA1052" s="160">
        <v>1</v>
      </c>
    </row>
    <row r="1053" spans="1:27" ht="18" customHeight="1" x14ac:dyDescent="0.25">
      <c r="A1053" s="159">
        <v>3218</v>
      </c>
      <c r="B1053" s="164" t="s">
        <v>266</v>
      </c>
      <c r="C1053" s="164" t="s">
        <v>294</v>
      </c>
      <c r="D1053" s="159" t="s">
        <v>1207</v>
      </c>
      <c r="E1053" s="164" t="s">
        <v>1205</v>
      </c>
      <c r="F1053" s="159"/>
      <c r="G1053" s="157" t="s">
        <v>1349</v>
      </c>
      <c r="H1053" s="157" t="s">
        <v>1350</v>
      </c>
      <c r="I1053" s="157" t="s">
        <v>2060</v>
      </c>
      <c r="J1053" s="157" t="s">
        <v>8295</v>
      </c>
      <c r="K1053" s="157" t="s">
        <v>1554</v>
      </c>
      <c r="L1053" s="157" t="s">
        <v>2064</v>
      </c>
      <c r="M1053" s="157" t="str">
        <f t="shared" si="26"/>
        <v>Short/Mid Range Radar L / Radar +97° - Distance Measurements</v>
      </c>
      <c r="N1053" s="157"/>
      <c r="O1053" s="157"/>
      <c r="P1053" s="159" t="s">
        <v>8146</v>
      </c>
      <c r="Q1053" s="157" t="s">
        <v>2115</v>
      </c>
      <c r="R1053" s="157" t="s">
        <v>8292</v>
      </c>
      <c r="S1053" s="157" t="s">
        <v>8627</v>
      </c>
      <c r="T1053" s="157"/>
      <c r="U1053" s="159" t="s">
        <v>2129</v>
      </c>
      <c r="V1053" s="159" t="s">
        <v>2129</v>
      </c>
      <c r="W1053" s="159" t="s">
        <v>2138</v>
      </c>
      <c r="X1053" s="160">
        <v>1</v>
      </c>
      <c r="Y1053" s="160">
        <v>1</v>
      </c>
      <c r="Z1053" s="160">
        <v>1</v>
      </c>
      <c r="AA1053" s="160">
        <v>1</v>
      </c>
    </row>
    <row r="1054" spans="1:27" ht="18" customHeight="1" x14ac:dyDescent="0.25">
      <c r="A1054" s="159">
        <v>3218</v>
      </c>
      <c r="B1054" s="164" t="s">
        <v>266</v>
      </c>
      <c r="C1054" s="164" t="s">
        <v>519</v>
      </c>
      <c r="D1054" s="159" t="s">
        <v>522</v>
      </c>
      <c r="E1054" s="164" t="s">
        <v>520</v>
      </c>
      <c r="F1054" s="159"/>
      <c r="G1054" s="157" t="s">
        <v>1349</v>
      </c>
      <c r="H1054" s="157" t="s">
        <v>1350</v>
      </c>
      <c r="I1054" s="157" t="s">
        <v>2060</v>
      </c>
      <c r="J1054" s="157" t="s">
        <v>8295</v>
      </c>
      <c r="K1054" s="157" t="s">
        <v>1554</v>
      </c>
      <c r="L1054" s="157" t="s">
        <v>2064</v>
      </c>
      <c r="M1054" s="157" t="str">
        <f t="shared" si="26"/>
        <v>Short/Mid Range Radar L / Radar +97° - Distance Measurements</v>
      </c>
      <c r="N1054" s="157"/>
      <c r="O1054" s="157"/>
      <c r="P1054" s="159" t="s">
        <v>8146</v>
      </c>
      <c r="Q1054" s="157" t="s">
        <v>2115</v>
      </c>
      <c r="R1054" s="157" t="s">
        <v>8292</v>
      </c>
      <c r="S1054" s="157" t="s">
        <v>8627</v>
      </c>
      <c r="T1054" s="157"/>
      <c r="U1054" s="159" t="s">
        <v>2129</v>
      </c>
      <c r="V1054" s="159" t="s">
        <v>2129</v>
      </c>
      <c r="W1054" s="159" t="s">
        <v>2138</v>
      </c>
      <c r="X1054" s="160">
        <v>1</v>
      </c>
      <c r="Y1054" s="160">
        <v>1</v>
      </c>
      <c r="Z1054" s="160">
        <v>1</v>
      </c>
      <c r="AA1054" s="160">
        <v>1</v>
      </c>
    </row>
    <row r="1055" spans="1:27" ht="18" customHeight="1" x14ac:dyDescent="0.25">
      <c r="A1055" s="159">
        <v>3218</v>
      </c>
      <c r="B1055" s="164" t="s">
        <v>266</v>
      </c>
      <c r="C1055" s="164" t="s">
        <v>519</v>
      </c>
      <c r="D1055" s="159" t="s">
        <v>526</v>
      </c>
      <c r="E1055" s="164" t="s">
        <v>524</v>
      </c>
      <c r="F1055" s="159"/>
      <c r="G1055" s="157" t="s">
        <v>1349</v>
      </c>
      <c r="H1055" s="157" t="s">
        <v>1350</v>
      </c>
      <c r="I1055" s="157" t="s">
        <v>2060</v>
      </c>
      <c r="J1055" s="157" t="s">
        <v>8295</v>
      </c>
      <c r="K1055" s="157" t="s">
        <v>1554</v>
      </c>
      <c r="L1055" s="157" t="s">
        <v>2064</v>
      </c>
      <c r="M1055" s="157" t="str">
        <f t="shared" si="26"/>
        <v>Short/Mid Range Radar L / Radar +97° - Distance Measurements</v>
      </c>
      <c r="N1055" s="157"/>
      <c r="O1055" s="157"/>
      <c r="P1055" s="159" t="s">
        <v>8146</v>
      </c>
      <c r="Q1055" s="157" t="s">
        <v>2115</v>
      </c>
      <c r="R1055" s="157" t="s">
        <v>8292</v>
      </c>
      <c r="S1055" s="157" t="s">
        <v>8627</v>
      </c>
      <c r="T1055" s="157"/>
      <c r="U1055" s="159" t="s">
        <v>2129</v>
      </c>
      <c r="V1055" s="159" t="s">
        <v>2129</v>
      </c>
      <c r="W1055" s="159" t="s">
        <v>2138</v>
      </c>
      <c r="X1055" s="160">
        <v>1</v>
      </c>
      <c r="Y1055" s="160">
        <v>1</v>
      </c>
      <c r="Z1055" s="160">
        <v>1</v>
      </c>
      <c r="AA1055" s="160">
        <v>1</v>
      </c>
    </row>
    <row r="1056" spans="1:27" ht="18" customHeight="1" x14ac:dyDescent="0.25">
      <c r="A1056" s="159">
        <v>3218</v>
      </c>
      <c r="B1056" s="164" t="s">
        <v>266</v>
      </c>
      <c r="C1056" s="164" t="s">
        <v>519</v>
      </c>
      <c r="D1056" s="159" t="s">
        <v>530</v>
      </c>
      <c r="E1056" s="164" t="s">
        <v>528</v>
      </c>
      <c r="F1056" s="159"/>
      <c r="G1056" s="157" t="s">
        <v>1349</v>
      </c>
      <c r="H1056" s="157" t="s">
        <v>1350</v>
      </c>
      <c r="I1056" s="157" t="s">
        <v>2060</v>
      </c>
      <c r="J1056" s="157" t="s">
        <v>8295</v>
      </c>
      <c r="K1056" s="157" t="s">
        <v>1554</v>
      </c>
      <c r="L1056" s="157" t="s">
        <v>2064</v>
      </c>
      <c r="M1056" s="157" t="str">
        <f t="shared" si="26"/>
        <v>Short/Mid Range Radar L / Radar +97° - Distance Measurements</v>
      </c>
      <c r="N1056" s="157"/>
      <c r="O1056" s="157"/>
      <c r="P1056" s="159" t="s">
        <v>8146</v>
      </c>
      <c r="Q1056" s="157" t="s">
        <v>2115</v>
      </c>
      <c r="R1056" s="157" t="s">
        <v>8292</v>
      </c>
      <c r="S1056" s="157" t="s">
        <v>8627</v>
      </c>
      <c r="T1056" s="157"/>
      <c r="U1056" s="159" t="s">
        <v>2129</v>
      </c>
      <c r="V1056" s="159" t="s">
        <v>2129</v>
      </c>
      <c r="W1056" s="159" t="s">
        <v>2138</v>
      </c>
      <c r="X1056" s="160">
        <v>1</v>
      </c>
      <c r="Y1056" s="160">
        <v>1</v>
      </c>
      <c r="Z1056" s="160">
        <v>1</v>
      </c>
      <c r="AA1056" s="160">
        <v>1</v>
      </c>
    </row>
    <row r="1057" spans="1:27" ht="18" customHeight="1" x14ac:dyDescent="0.25">
      <c r="A1057" s="159">
        <v>3218</v>
      </c>
      <c r="B1057" s="164" t="s">
        <v>266</v>
      </c>
      <c r="C1057" s="164" t="s">
        <v>519</v>
      </c>
      <c r="D1057" s="159" t="s">
        <v>787</v>
      </c>
      <c r="E1057" s="164" t="s">
        <v>785</v>
      </c>
      <c r="F1057" s="159"/>
      <c r="G1057" s="157" t="s">
        <v>1349</v>
      </c>
      <c r="H1057" s="157" t="s">
        <v>1350</v>
      </c>
      <c r="I1057" s="157" t="s">
        <v>2060</v>
      </c>
      <c r="J1057" s="157" t="s">
        <v>8295</v>
      </c>
      <c r="K1057" s="157" t="s">
        <v>1554</v>
      </c>
      <c r="L1057" s="157" t="s">
        <v>2064</v>
      </c>
      <c r="M1057" s="157" t="str">
        <f t="shared" si="26"/>
        <v>Short/Mid Range Radar L / Radar +97° - Distance Measurements</v>
      </c>
      <c r="N1057" s="157"/>
      <c r="O1057" s="157"/>
      <c r="P1057" s="159" t="s">
        <v>8146</v>
      </c>
      <c r="Q1057" s="157" t="s">
        <v>2115</v>
      </c>
      <c r="R1057" s="157" t="s">
        <v>8292</v>
      </c>
      <c r="S1057" s="157" t="s">
        <v>8627</v>
      </c>
      <c r="T1057" s="157"/>
      <c r="U1057" s="159" t="s">
        <v>2129</v>
      </c>
      <c r="V1057" s="159" t="s">
        <v>2129</v>
      </c>
      <c r="W1057" s="159" t="s">
        <v>2138</v>
      </c>
      <c r="X1057" s="160">
        <v>1</v>
      </c>
      <c r="Y1057" s="160">
        <v>1</v>
      </c>
      <c r="Z1057" s="160">
        <v>1</v>
      </c>
      <c r="AA1057" s="160">
        <v>1</v>
      </c>
    </row>
    <row r="1058" spans="1:27" ht="18" customHeight="1" x14ac:dyDescent="0.25">
      <c r="A1058" s="159">
        <v>3218</v>
      </c>
      <c r="B1058" s="164" t="s">
        <v>266</v>
      </c>
      <c r="C1058" s="164" t="s">
        <v>519</v>
      </c>
      <c r="D1058" s="159" t="s">
        <v>935</v>
      </c>
      <c r="E1058" s="164" t="s">
        <v>933</v>
      </c>
      <c r="F1058" s="159"/>
      <c r="G1058" s="157" t="s">
        <v>1349</v>
      </c>
      <c r="H1058" s="157" t="s">
        <v>1350</v>
      </c>
      <c r="I1058" s="157" t="s">
        <v>2060</v>
      </c>
      <c r="J1058" s="157" t="s">
        <v>8295</v>
      </c>
      <c r="K1058" s="157" t="s">
        <v>1554</v>
      </c>
      <c r="L1058" s="157" t="s">
        <v>2064</v>
      </c>
      <c r="M1058" s="157" t="str">
        <f t="shared" si="26"/>
        <v>Short/Mid Range Radar L / Radar +97° - Distance Measurements</v>
      </c>
      <c r="N1058" s="157"/>
      <c r="O1058" s="157"/>
      <c r="P1058" s="159" t="s">
        <v>8146</v>
      </c>
      <c r="Q1058" s="157" t="s">
        <v>2115</v>
      </c>
      <c r="R1058" s="157" t="s">
        <v>8292</v>
      </c>
      <c r="S1058" s="157" t="s">
        <v>8627</v>
      </c>
      <c r="T1058" s="157"/>
      <c r="U1058" s="159" t="s">
        <v>2129</v>
      </c>
      <c r="V1058" s="159" t="s">
        <v>2129</v>
      </c>
      <c r="W1058" s="159" t="s">
        <v>2138</v>
      </c>
      <c r="X1058" s="160">
        <v>1</v>
      </c>
      <c r="Y1058" s="160">
        <v>1</v>
      </c>
      <c r="Z1058" s="160">
        <v>1</v>
      </c>
      <c r="AA1058" s="160">
        <v>1</v>
      </c>
    </row>
    <row r="1059" spans="1:27" ht="18" customHeight="1" x14ac:dyDescent="0.25">
      <c r="A1059" s="159">
        <v>3218</v>
      </c>
      <c r="B1059" s="164" t="s">
        <v>266</v>
      </c>
      <c r="C1059" s="164" t="s">
        <v>519</v>
      </c>
      <c r="D1059" s="159" t="s">
        <v>1151</v>
      </c>
      <c r="E1059" s="164" t="s">
        <v>1149</v>
      </c>
      <c r="F1059" s="159"/>
      <c r="G1059" s="157" t="s">
        <v>1349</v>
      </c>
      <c r="H1059" s="157" t="s">
        <v>1350</v>
      </c>
      <c r="I1059" s="157" t="s">
        <v>2060</v>
      </c>
      <c r="J1059" s="157" t="s">
        <v>8295</v>
      </c>
      <c r="K1059" s="157" t="s">
        <v>1554</v>
      </c>
      <c r="L1059" s="157" t="s">
        <v>2064</v>
      </c>
      <c r="M1059" s="157" t="str">
        <f t="shared" si="26"/>
        <v>Short/Mid Range Radar L / Radar +97° - Distance Measurements</v>
      </c>
      <c r="N1059" s="157"/>
      <c r="O1059" s="157"/>
      <c r="P1059" s="159" t="s">
        <v>8146</v>
      </c>
      <c r="Q1059" s="157" t="s">
        <v>2115</v>
      </c>
      <c r="R1059" s="157" t="s">
        <v>8292</v>
      </c>
      <c r="S1059" s="157" t="s">
        <v>8627</v>
      </c>
      <c r="T1059" s="157"/>
      <c r="U1059" s="159" t="s">
        <v>2129</v>
      </c>
      <c r="V1059" s="159" t="s">
        <v>2129</v>
      </c>
      <c r="W1059" s="159" t="s">
        <v>2138</v>
      </c>
      <c r="X1059" s="160">
        <v>1</v>
      </c>
      <c r="Y1059" s="160">
        <v>1</v>
      </c>
      <c r="Z1059" s="160">
        <v>1</v>
      </c>
      <c r="AA1059" s="160">
        <v>1</v>
      </c>
    </row>
    <row r="1060" spans="1:27" ht="18" customHeight="1" x14ac:dyDescent="0.25">
      <c r="A1060" s="159">
        <v>3218</v>
      </c>
      <c r="B1060" s="164" t="s">
        <v>266</v>
      </c>
      <c r="C1060" s="164" t="s">
        <v>519</v>
      </c>
      <c r="D1060" s="159" t="s">
        <v>1159</v>
      </c>
      <c r="E1060" s="164" t="s">
        <v>1157</v>
      </c>
      <c r="F1060" s="159"/>
      <c r="G1060" s="157" t="s">
        <v>1349</v>
      </c>
      <c r="H1060" s="157" t="s">
        <v>1350</v>
      </c>
      <c r="I1060" s="157" t="s">
        <v>2060</v>
      </c>
      <c r="J1060" s="157" t="s">
        <v>8295</v>
      </c>
      <c r="K1060" s="157" t="s">
        <v>1554</v>
      </c>
      <c r="L1060" s="157" t="s">
        <v>2064</v>
      </c>
      <c r="M1060" s="157" t="str">
        <f t="shared" si="26"/>
        <v>Short/Mid Range Radar L / Radar +97° - Distance Measurements</v>
      </c>
      <c r="N1060" s="157"/>
      <c r="O1060" s="157"/>
      <c r="P1060" s="159" t="s">
        <v>8146</v>
      </c>
      <c r="Q1060" s="157" t="s">
        <v>2115</v>
      </c>
      <c r="R1060" s="157" t="s">
        <v>8292</v>
      </c>
      <c r="S1060" s="157" t="s">
        <v>8627</v>
      </c>
      <c r="T1060" s="157"/>
      <c r="U1060" s="159" t="s">
        <v>2129</v>
      </c>
      <c r="V1060" s="159" t="s">
        <v>2129</v>
      </c>
      <c r="W1060" s="159" t="s">
        <v>2138</v>
      </c>
      <c r="X1060" s="160">
        <v>1</v>
      </c>
      <c r="Y1060" s="160">
        <v>1</v>
      </c>
      <c r="Z1060" s="160">
        <v>1</v>
      </c>
      <c r="AA1060" s="160">
        <v>1</v>
      </c>
    </row>
    <row r="1061" spans="1:27" ht="18" customHeight="1" x14ac:dyDescent="0.25">
      <c r="A1061" s="159">
        <v>3219</v>
      </c>
      <c r="B1061" s="164" t="s">
        <v>266</v>
      </c>
      <c r="C1061" s="164" t="s">
        <v>276</v>
      </c>
      <c r="D1061" s="159" t="s">
        <v>726</v>
      </c>
      <c r="E1061" s="164" t="s">
        <v>724</v>
      </c>
      <c r="F1061" s="159"/>
      <c r="G1061" s="157" t="s">
        <v>1349</v>
      </c>
      <c r="H1061" s="157" t="s">
        <v>1350</v>
      </c>
      <c r="I1061" s="157" t="s">
        <v>1614</v>
      </c>
      <c r="J1061" s="157" t="s">
        <v>8302</v>
      </c>
      <c r="K1061" s="157" t="s">
        <v>1615</v>
      </c>
      <c r="L1061" s="157" t="s">
        <v>1616</v>
      </c>
      <c r="M1061" s="157" t="str">
        <f t="shared" si="26"/>
        <v>Lidar_LRL - Environment Mapping</v>
      </c>
      <c r="N1061" s="157"/>
      <c r="O1061" s="157"/>
      <c r="P1061" s="159" t="s">
        <v>5749</v>
      </c>
      <c r="Q1061" s="157" t="s">
        <v>2115</v>
      </c>
      <c r="R1061" s="157" t="s">
        <v>8599</v>
      </c>
      <c r="S1061" s="157" t="s">
        <v>8612</v>
      </c>
      <c r="T1061" s="157"/>
      <c r="U1061" s="159" t="s">
        <v>2129</v>
      </c>
      <c r="V1061" s="159" t="s">
        <v>2129</v>
      </c>
      <c r="W1061" s="159" t="s">
        <v>2129</v>
      </c>
      <c r="X1061" s="160">
        <v>1</v>
      </c>
      <c r="Y1061" s="160">
        <v>1</v>
      </c>
      <c r="Z1061" s="160">
        <v>1</v>
      </c>
      <c r="AA1061" s="160">
        <v>1</v>
      </c>
    </row>
    <row r="1062" spans="1:27" ht="18" customHeight="1" x14ac:dyDescent="0.25">
      <c r="A1062" s="159">
        <v>3219</v>
      </c>
      <c r="B1062" s="164" t="s">
        <v>266</v>
      </c>
      <c r="C1062" s="164" t="s">
        <v>294</v>
      </c>
      <c r="D1062" s="159" t="s">
        <v>297</v>
      </c>
      <c r="E1062" s="164" t="s">
        <v>295</v>
      </c>
      <c r="F1062" s="159"/>
      <c r="G1062" s="157" t="s">
        <v>1349</v>
      </c>
      <c r="H1062" s="157" t="s">
        <v>1350</v>
      </c>
      <c r="I1062" s="157" t="s">
        <v>1614</v>
      </c>
      <c r="J1062" s="157" t="s">
        <v>8302</v>
      </c>
      <c r="K1062" s="157" t="s">
        <v>1615</v>
      </c>
      <c r="L1062" s="157" t="s">
        <v>1616</v>
      </c>
      <c r="M1062" s="157" t="str">
        <f t="shared" si="26"/>
        <v>Lidar_LRL - Environment Mapping</v>
      </c>
      <c r="N1062" s="157"/>
      <c r="O1062" s="157"/>
      <c r="P1062" s="159" t="s">
        <v>5749</v>
      </c>
      <c r="Q1062" s="157" t="s">
        <v>2115</v>
      </c>
      <c r="R1062" s="157" t="s">
        <v>8599</v>
      </c>
      <c r="S1062" s="157" t="s">
        <v>8612</v>
      </c>
      <c r="T1062" s="157"/>
      <c r="U1062" s="159" t="s">
        <v>2129</v>
      </c>
      <c r="V1062" s="159" t="s">
        <v>2129</v>
      </c>
      <c r="W1062" s="159" t="s">
        <v>2129</v>
      </c>
      <c r="X1062" s="160">
        <v>1</v>
      </c>
      <c r="Y1062" s="160">
        <v>1</v>
      </c>
      <c r="Z1062" s="160">
        <v>1</v>
      </c>
      <c r="AA1062" s="160">
        <v>1</v>
      </c>
    </row>
    <row r="1063" spans="1:27" ht="18" customHeight="1" x14ac:dyDescent="0.25">
      <c r="A1063" s="159">
        <v>3219</v>
      </c>
      <c r="B1063" s="164" t="s">
        <v>266</v>
      </c>
      <c r="C1063" s="164" t="s">
        <v>294</v>
      </c>
      <c r="D1063" s="159" t="s">
        <v>298</v>
      </c>
      <c r="E1063" s="164" t="s">
        <v>299</v>
      </c>
      <c r="F1063" s="159"/>
      <c r="G1063" s="157" t="s">
        <v>1349</v>
      </c>
      <c r="H1063" s="157" t="s">
        <v>1350</v>
      </c>
      <c r="I1063" s="157" t="s">
        <v>1614</v>
      </c>
      <c r="J1063" s="157" t="s">
        <v>8302</v>
      </c>
      <c r="K1063" s="157" t="s">
        <v>1615</v>
      </c>
      <c r="L1063" s="157" t="s">
        <v>1616</v>
      </c>
      <c r="M1063" s="157" t="str">
        <f t="shared" si="26"/>
        <v>Lidar_LRL - Environment Mapping</v>
      </c>
      <c r="N1063" s="157"/>
      <c r="O1063" s="157"/>
      <c r="P1063" s="159" t="s">
        <v>5749</v>
      </c>
      <c r="Q1063" s="157" t="s">
        <v>2115</v>
      </c>
      <c r="R1063" s="157" t="s">
        <v>8599</v>
      </c>
      <c r="S1063" s="157" t="s">
        <v>8612</v>
      </c>
      <c r="T1063" s="157"/>
      <c r="U1063" s="159" t="s">
        <v>2129</v>
      </c>
      <c r="V1063" s="159" t="s">
        <v>2129</v>
      </c>
      <c r="W1063" s="159" t="s">
        <v>2129</v>
      </c>
      <c r="X1063" s="160">
        <v>1</v>
      </c>
      <c r="Y1063" s="160">
        <v>1</v>
      </c>
      <c r="Z1063" s="160">
        <v>1</v>
      </c>
      <c r="AA1063" s="160">
        <v>1</v>
      </c>
    </row>
    <row r="1064" spans="1:27" ht="18" customHeight="1" x14ac:dyDescent="0.25">
      <c r="A1064" s="159">
        <v>3219</v>
      </c>
      <c r="B1064" s="164" t="s">
        <v>266</v>
      </c>
      <c r="C1064" s="164" t="s">
        <v>294</v>
      </c>
      <c r="D1064" s="159" t="s">
        <v>503</v>
      </c>
      <c r="E1064" s="164" t="s">
        <v>501</v>
      </c>
      <c r="F1064" s="159"/>
      <c r="G1064" s="157" t="s">
        <v>1349</v>
      </c>
      <c r="H1064" s="157" t="s">
        <v>1350</v>
      </c>
      <c r="I1064" s="157" t="s">
        <v>1614</v>
      </c>
      <c r="J1064" s="157" t="s">
        <v>8302</v>
      </c>
      <c r="K1064" s="157" t="s">
        <v>1615</v>
      </c>
      <c r="L1064" s="157" t="s">
        <v>1616</v>
      </c>
      <c r="M1064" s="157" t="str">
        <f t="shared" si="26"/>
        <v>Lidar_LRL - Environment Mapping</v>
      </c>
      <c r="N1064" s="157"/>
      <c r="O1064" s="157"/>
      <c r="P1064" s="159" t="s">
        <v>5749</v>
      </c>
      <c r="Q1064" s="157" t="s">
        <v>2115</v>
      </c>
      <c r="R1064" s="157" t="s">
        <v>8599</v>
      </c>
      <c r="S1064" s="157" t="s">
        <v>8612</v>
      </c>
      <c r="T1064" s="157"/>
      <c r="U1064" s="159" t="s">
        <v>2129</v>
      </c>
      <c r="V1064" s="159" t="s">
        <v>2129</v>
      </c>
      <c r="W1064" s="159" t="s">
        <v>2129</v>
      </c>
      <c r="X1064" s="160">
        <v>1</v>
      </c>
      <c r="Y1064" s="160">
        <v>1</v>
      </c>
      <c r="Z1064" s="160">
        <v>1</v>
      </c>
      <c r="AA1064" s="160">
        <v>1</v>
      </c>
    </row>
    <row r="1065" spans="1:27" ht="18" customHeight="1" x14ac:dyDescent="0.25">
      <c r="A1065" s="159">
        <v>3219</v>
      </c>
      <c r="B1065" s="164" t="s">
        <v>266</v>
      </c>
      <c r="C1065" s="164" t="s">
        <v>294</v>
      </c>
      <c r="D1065" s="159" t="s">
        <v>692</v>
      </c>
      <c r="E1065" s="164" t="s">
        <v>690</v>
      </c>
      <c r="F1065" s="159"/>
      <c r="G1065" s="157" t="s">
        <v>1349</v>
      </c>
      <c r="H1065" s="157" t="s">
        <v>1350</v>
      </c>
      <c r="I1065" s="157" t="s">
        <v>1614</v>
      </c>
      <c r="J1065" s="157" t="s">
        <v>8302</v>
      </c>
      <c r="K1065" s="157" t="s">
        <v>1615</v>
      </c>
      <c r="L1065" s="157" t="s">
        <v>1616</v>
      </c>
      <c r="M1065" s="157" t="str">
        <f t="shared" si="26"/>
        <v>Lidar_LRL - Environment Mapping</v>
      </c>
      <c r="N1065" s="157"/>
      <c r="O1065" s="157"/>
      <c r="P1065" s="159" t="s">
        <v>5749</v>
      </c>
      <c r="Q1065" s="157" t="s">
        <v>2115</v>
      </c>
      <c r="R1065" s="157" t="s">
        <v>8599</v>
      </c>
      <c r="S1065" s="157" t="s">
        <v>8612</v>
      </c>
      <c r="T1065" s="157"/>
      <c r="U1065" s="159" t="s">
        <v>2129</v>
      </c>
      <c r="V1065" s="159" t="s">
        <v>2129</v>
      </c>
      <c r="W1065" s="159" t="s">
        <v>2129</v>
      </c>
      <c r="X1065" s="160">
        <v>1</v>
      </c>
      <c r="Y1065" s="160">
        <v>1</v>
      </c>
      <c r="Z1065" s="160">
        <v>1</v>
      </c>
      <c r="AA1065" s="160">
        <v>1</v>
      </c>
    </row>
    <row r="1066" spans="1:27" ht="18" customHeight="1" x14ac:dyDescent="0.25">
      <c r="A1066" s="159">
        <v>3219</v>
      </c>
      <c r="B1066" s="164" t="s">
        <v>266</v>
      </c>
      <c r="C1066" s="164" t="s">
        <v>294</v>
      </c>
      <c r="D1066" s="159" t="s">
        <v>1177</v>
      </c>
      <c r="E1066" s="164" t="s">
        <v>1175</v>
      </c>
      <c r="F1066" s="159"/>
      <c r="G1066" s="157" t="s">
        <v>1349</v>
      </c>
      <c r="H1066" s="157" t="s">
        <v>1350</v>
      </c>
      <c r="I1066" s="157" t="s">
        <v>1614</v>
      </c>
      <c r="J1066" s="157" t="s">
        <v>8302</v>
      </c>
      <c r="K1066" s="157" t="s">
        <v>1615</v>
      </c>
      <c r="L1066" s="157" t="s">
        <v>1616</v>
      </c>
      <c r="M1066" s="157" t="str">
        <f t="shared" si="26"/>
        <v>Lidar_LRL - Environment Mapping</v>
      </c>
      <c r="N1066" s="157"/>
      <c r="O1066" s="157"/>
      <c r="P1066" s="159" t="s">
        <v>5749</v>
      </c>
      <c r="Q1066" s="157" t="s">
        <v>2115</v>
      </c>
      <c r="R1066" s="157" t="s">
        <v>8599</v>
      </c>
      <c r="S1066" s="157" t="s">
        <v>8612</v>
      </c>
      <c r="T1066" s="157"/>
      <c r="U1066" s="159" t="s">
        <v>2129</v>
      </c>
      <c r="V1066" s="159" t="s">
        <v>2129</v>
      </c>
      <c r="W1066" s="159" t="s">
        <v>2129</v>
      </c>
      <c r="X1066" s="160">
        <v>1</v>
      </c>
      <c r="Y1066" s="160">
        <v>1</v>
      </c>
      <c r="Z1066" s="160">
        <v>1</v>
      </c>
      <c r="AA1066" s="160">
        <v>1</v>
      </c>
    </row>
    <row r="1067" spans="1:27" ht="18" customHeight="1" x14ac:dyDescent="0.25">
      <c r="A1067" s="159">
        <v>3219</v>
      </c>
      <c r="B1067" s="164" t="s">
        <v>266</v>
      </c>
      <c r="C1067" s="164" t="s">
        <v>294</v>
      </c>
      <c r="D1067" s="159" t="s">
        <v>1178</v>
      </c>
      <c r="E1067" s="164" t="s">
        <v>1179</v>
      </c>
      <c r="F1067" s="159"/>
      <c r="G1067" s="157" t="s">
        <v>1349</v>
      </c>
      <c r="H1067" s="157" t="s">
        <v>1350</v>
      </c>
      <c r="I1067" s="157" t="s">
        <v>1614</v>
      </c>
      <c r="J1067" s="157" t="s">
        <v>8302</v>
      </c>
      <c r="K1067" s="157" t="s">
        <v>1615</v>
      </c>
      <c r="L1067" s="157" t="s">
        <v>1616</v>
      </c>
      <c r="M1067" s="157" t="str">
        <f t="shared" si="26"/>
        <v>Lidar_LRL - Environment Mapping</v>
      </c>
      <c r="N1067" s="157"/>
      <c r="O1067" s="157"/>
      <c r="P1067" s="159" t="s">
        <v>5749</v>
      </c>
      <c r="Q1067" s="157" t="s">
        <v>2115</v>
      </c>
      <c r="R1067" s="157" t="s">
        <v>8599</v>
      </c>
      <c r="S1067" s="157" t="s">
        <v>8612</v>
      </c>
      <c r="T1067" s="157"/>
      <c r="U1067" s="159" t="s">
        <v>2129</v>
      </c>
      <c r="V1067" s="159" t="s">
        <v>2129</v>
      </c>
      <c r="W1067" s="159" t="s">
        <v>2129</v>
      </c>
      <c r="X1067" s="160">
        <v>1</v>
      </c>
      <c r="Y1067" s="160">
        <v>1</v>
      </c>
      <c r="Z1067" s="160">
        <v>1</v>
      </c>
      <c r="AA1067" s="160">
        <v>1</v>
      </c>
    </row>
    <row r="1068" spans="1:27" ht="18" customHeight="1" x14ac:dyDescent="0.25">
      <c r="A1068" s="159">
        <v>3219</v>
      </c>
      <c r="B1068" s="164" t="s">
        <v>266</v>
      </c>
      <c r="C1068" s="164" t="s">
        <v>294</v>
      </c>
      <c r="D1068" s="159" t="s">
        <v>1207</v>
      </c>
      <c r="E1068" s="164" t="s">
        <v>1205</v>
      </c>
      <c r="F1068" s="159"/>
      <c r="G1068" s="157" t="s">
        <v>1349</v>
      </c>
      <c r="H1068" s="157" t="s">
        <v>1350</v>
      </c>
      <c r="I1068" s="157" t="s">
        <v>1614</v>
      </c>
      <c r="J1068" s="157" t="s">
        <v>8302</v>
      </c>
      <c r="K1068" s="157" t="s">
        <v>1615</v>
      </c>
      <c r="L1068" s="157" t="s">
        <v>1616</v>
      </c>
      <c r="M1068" s="157" t="str">
        <f t="shared" si="26"/>
        <v>Lidar_LRL - Environment Mapping</v>
      </c>
      <c r="N1068" s="157"/>
      <c r="O1068" s="157"/>
      <c r="P1068" s="159" t="s">
        <v>5749</v>
      </c>
      <c r="Q1068" s="157" t="s">
        <v>2115</v>
      </c>
      <c r="R1068" s="157" t="s">
        <v>8599</v>
      </c>
      <c r="S1068" s="157" t="s">
        <v>8612</v>
      </c>
      <c r="T1068" s="157"/>
      <c r="U1068" s="159" t="s">
        <v>2129</v>
      </c>
      <c r="V1068" s="159" t="s">
        <v>2129</v>
      </c>
      <c r="W1068" s="159" t="s">
        <v>2129</v>
      </c>
      <c r="X1068" s="160">
        <v>1</v>
      </c>
      <c r="Y1068" s="160">
        <v>1</v>
      </c>
      <c r="Z1068" s="160">
        <v>1</v>
      </c>
      <c r="AA1068" s="160">
        <v>1</v>
      </c>
    </row>
    <row r="1069" spans="1:27" ht="18" customHeight="1" x14ac:dyDescent="0.25">
      <c r="A1069" s="159">
        <v>3219</v>
      </c>
      <c r="B1069" s="164" t="s">
        <v>266</v>
      </c>
      <c r="C1069" s="164" t="s">
        <v>519</v>
      </c>
      <c r="D1069" s="159" t="s">
        <v>522</v>
      </c>
      <c r="E1069" s="164" t="s">
        <v>520</v>
      </c>
      <c r="F1069" s="159"/>
      <c r="G1069" s="157" t="s">
        <v>1349</v>
      </c>
      <c r="H1069" s="157" t="s">
        <v>1350</v>
      </c>
      <c r="I1069" s="157" t="s">
        <v>1614</v>
      </c>
      <c r="J1069" s="157" t="s">
        <v>8302</v>
      </c>
      <c r="K1069" s="157" t="s">
        <v>1615</v>
      </c>
      <c r="L1069" s="157" t="s">
        <v>1616</v>
      </c>
      <c r="M1069" s="157" t="str">
        <f t="shared" si="26"/>
        <v>Lidar_LRL - Environment Mapping</v>
      </c>
      <c r="N1069" s="157"/>
      <c r="O1069" s="157"/>
      <c r="P1069" s="159" t="s">
        <v>5749</v>
      </c>
      <c r="Q1069" s="157" t="s">
        <v>2115</v>
      </c>
      <c r="R1069" s="157" t="s">
        <v>8599</v>
      </c>
      <c r="S1069" s="157" t="s">
        <v>8612</v>
      </c>
      <c r="T1069" s="157"/>
      <c r="U1069" s="159" t="s">
        <v>2129</v>
      </c>
      <c r="V1069" s="159" t="s">
        <v>2129</v>
      </c>
      <c r="W1069" s="159" t="s">
        <v>2129</v>
      </c>
      <c r="X1069" s="160">
        <v>1</v>
      </c>
      <c r="Y1069" s="160">
        <v>1</v>
      </c>
      <c r="Z1069" s="160">
        <v>1</v>
      </c>
      <c r="AA1069" s="160">
        <v>1</v>
      </c>
    </row>
    <row r="1070" spans="1:27" ht="18" customHeight="1" x14ac:dyDescent="0.25">
      <c r="A1070" s="159">
        <v>3219</v>
      </c>
      <c r="B1070" s="164" t="s">
        <v>266</v>
      </c>
      <c r="C1070" s="164" t="s">
        <v>519</v>
      </c>
      <c r="D1070" s="159" t="s">
        <v>526</v>
      </c>
      <c r="E1070" s="164" t="s">
        <v>524</v>
      </c>
      <c r="F1070" s="159"/>
      <c r="G1070" s="157" t="s">
        <v>1349</v>
      </c>
      <c r="H1070" s="157" t="s">
        <v>1350</v>
      </c>
      <c r="I1070" s="157" t="s">
        <v>1614</v>
      </c>
      <c r="J1070" s="157" t="s">
        <v>8302</v>
      </c>
      <c r="K1070" s="157" t="s">
        <v>1615</v>
      </c>
      <c r="L1070" s="157" t="s">
        <v>1616</v>
      </c>
      <c r="M1070" s="157" t="str">
        <f t="shared" si="26"/>
        <v>Lidar_LRL - Environment Mapping</v>
      </c>
      <c r="N1070" s="157"/>
      <c r="O1070" s="157"/>
      <c r="P1070" s="159" t="s">
        <v>5749</v>
      </c>
      <c r="Q1070" s="157" t="s">
        <v>2115</v>
      </c>
      <c r="R1070" s="157" t="s">
        <v>8599</v>
      </c>
      <c r="S1070" s="157" t="s">
        <v>8612</v>
      </c>
      <c r="T1070" s="157"/>
      <c r="U1070" s="159" t="s">
        <v>2129</v>
      </c>
      <c r="V1070" s="159" t="s">
        <v>2129</v>
      </c>
      <c r="W1070" s="159" t="s">
        <v>2129</v>
      </c>
      <c r="X1070" s="160">
        <v>1</v>
      </c>
      <c r="Y1070" s="160">
        <v>1</v>
      </c>
      <c r="Z1070" s="160">
        <v>1</v>
      </c>
      <c r="AA1070" s="160">
        <v>1</v>
      </c>
    </row>
    <row r="1071" spans="1:27" ht="18" customHeight="1" x14ac:dyDescent="0.25">
      <c r="A1071" s="159">
        <v>3219</v>
      </c>
      <c r="B1071" s="164" t="s">
        <v>266</v>
      </c>
      <c r="C1071" s="164" t="s">
        <v>519</v>
      </c>
      <c r="D1071" s="159" t="s">
        <v>530</v>
      </c>
      <c r="E1071" s="164" t="s">
        <v>528</v>
      </c>
      <c r="F1071" s="159"/>
      <c r="G1071" s="157" t="s">
        <v>1349</v>
      </c>
      <c r="H1071" s="157" t="s">
        <v>1350</v>
      </c>
      <c r="I1071" s="157" t="s">
        <v>1614</v>
      </c>
      <c r="J1071" s="157" t="s">
        <v>8302</v>
      </c>
      <c r="K1071" s="157" t="s">
        <v>1615</v>
      </c>
      <c r="L1071" s="157" t="s">
        <v>1616</v>
      </c>
      <c r="M1071" s="157" t="str">
        <f t="shared" si="26"/>
        <v>Lidar_LRL - Environment Mapping</v>
      </c>
      <c r="N1071" s="157"/>
      <c r="O1071" s="157"/>
      <c r="P1071" s="159" t="s">
        <v>5749</v>
      </c>
      <c r="Q1071" s="157" t="s">
        <v>2115</v>
      </c>
      <c r="R1071" s="157" t="s">
        <v>8599</v>
      </c>
      <c r="S1071" s="157" t="s">
        <v>8612</v>
      </c>
      <c r="T1071" s="157"/>
      <c r="U1071" s="159" t="s">
        <v>2129</v>
      </c>
      <c r="V1071" s="159" t="s">
        <v>2129</v>
      </c>
      <c r="W1071" s="159" t="s">
        <v>2129</v>
      </c>
      <c r="X1071" s="160">
        <v>1</v>
      </c>
      <c r="Y1071" s="160">
        <v>1</v>
      </c>
      <c r="Z1071" s="160">
        <v>1</v>
      </c>
      <c r="AA1071" s="160">
        <v>1</v>
      </c>
    </row>
    <row r="1072" spans="1:27" ht="18" customHeight="1" x14ac:dyDescent="0.25">
      <c r="A1072" s="159">
        <v>3219</v>
      </c>
      <c r="B1072" s="164" t="s">
        <v>266</v>
      </c>
      <c r="C1072" s="164" t="s">
        <v>519</v>
      </c>
      <c r="D1072" s="159" t="s">
        <v>787</v>
      </c>
      <c r="E1072" s="164" t="s">
        <v>785</v>
      </c>
      <c r="F1072" s="159"/>
      <c r="G1072" s="157" t="s">
        <v>1349</v>
      </c>
      <c r="H1072" s="157" t="s">
        <v>1350</v>
      </c>
      <c r="I1072" s="157" t="s">
        <v>1614</v>
      </c>
      <c r="J1072" s="157" t="s">
        <v>8302</v>
      </c>
      <c r="K1072" s="157" t="s">
        <v>1615</v>
      </c>
      <c r="L1072" s="157" t="s">
        <v>1616</v>
      </c>
      <c r="M1072" s="157" t="str">
        <f t="shared" si="26"/>
        <v>Lidar_LRL - Environment Mapping</v>
      </c>
      <c r="N1072" s="157"/>
      <c r="O1072" s="157"/>
      <c r="P1072" s="159" t="s">
        <v>5749</v>
      </c>
      <c r="Q1072" s="157" t="s">
        <v>2115</v>
      </c>
      <c r="R1072" s="157" t="s">
        <v>8599</v>
      </c>
      <c r="S1072" s="157" t="s">
        <v>8612</v>
      </c>
      <c r="T1072" s="157"/>
      <c r="U1072" s="159" t="s">
        <v>2129</v>
      </c>
      <c r="V1072" s="159" t="s">
        <v>2129</v>
      </c>
      <c r="W1072" s="159" t="s">
        <v>2129</v>
      </c>
      <c r="X1072" s="160">
        <v>1</v>
      </c>
      <c r="Y1072" s="160">
        <v>1</v>
      </c>
      <c r="Z1072" s="160">
        <v>1</v>
      </c>
      <c r="AA1072" s="160">
        <v>1</v>
      </c>
    </row>
    <row r="1073" spans="1:27" ht="18" customHeight="1" x14ac:dyDescent="0.25">
      <c r="A1073" s="159">
        <v>3219</v>
      </c>
      <c r="B1073" s="164" t="s">
        <v>266</v>
      </c>
      <c r="C1073" s="164" t="s">
        <v>519</v>
      </c>
      <c r="D1073" s="159" t="s">
        <v>935</v>
      </c>
      <c r="E1073" s="164" t="s">
        <v>933</v>
      </c>
      <c r="F1073" s="159"/>
      <c r="G1073" s="157" t="s">
        <v>1349</v>
      </c>
      <c r="H1073" s="157" t="s">
        <v>1350</v>
      </c>
      <c r="I1073" s="157" t="s">
        <v>1614</v>
      </c>
      <c r="J1073" s="157" t="s">
        <v>8302</v>
      </c>
      <c r="K1073" s="157" t="s">
        <v>1615</v>
      </c>
      <c r="L1073" s="157" t="s">
        <v>1616</v>
      </c>
      <c r="M1073" s="157" t="str">
        <f t="shared" si="26"/>
        <v>Lidar_LRL - Environment Mapping</v>
      </c>
      <c r="N1073" s="157"/>
      <c r="O1073" s="157"/>
      <c r="P1073" s="159" t="s">
        <v>5749</v>
      </c>
      <c r="Q1073" s="157" t="s">
        <v>2115</v>
      </c>
      <c r="R1073" s="157" t="s">
        <v>8599</v>
      </c>
      <c r="S1073" s="157" t="s">
        <v>8612</v>
      </c>
      <c r="T1073" s="157"/>
      <c r="U1073" s="159" t="s">
        <v>2129</v>
      </c>
      <c r="V1073" s="159" t="s">
        <v>2129</v>
      </c>
      <c r="W1073" s="159" t="s">
        <v>2129</v>
      </c>
      <c r="X1073" s="160">
        <v>1</v>
      </c>
      <c r="Y1073" s="160">
        <v>1</v>
      </c>
      <c r="Z1073" s="160">
        <v>1</v>
      </c>
      <c r="AA1073" s="160">
        <v>1</v>
      </c>
    </row>
    <row r="1074" spans="1:27" ht="18" customHeight="1" x14ac:dyDescent="0.25">
      <c r="A1074" s="159">
        <v>3219</v>
      </c>
      <c r="B1074" s="164" t="s">
        <v>266</v>
      </c>
      <c r="C1074" s="164" t="s">
        <v>519</v>
      </c>
      <c r="D1074" s="159" t="s">
        <v>1151</v>
      </c>
      <c r="E1074" s="164" t="s">
        <v>1149</v>
      </c>
      <c r="F1074" s="159"/>
      <c r="G1074" s="157" t="s">
        <v>1349</v>
      </c>
      <c r="H1074" s="157" t="s">
        <v>1350</v>
      </c>
      <c r="I1074" s="157" t="s">
        <v>1614</v>
      </c>
      <c r="J1074" s="157" t="s">
        <v>8302</v>
      </c>
      <c r="K1074" s="157" t="s">
        <v>1615</v>
      </c>
      <c r="L1074" s="157" t="s">
        <v>1616</v>
      </c>
      <c r="M1074" s="157" t="str">
        <f t="shared" si="26"/>
        <v>Lidar_LRL - Environment Mapping</v>
      </c>
      <c r="N1074" s="157"/>
      <c r="O1074" s="157"/>
      <c r="P1074" s="159" t="s">
        <v>5749</v>
      </c>
      <c r="Q1074" s="157" t="s">
        <v>2115</v>
      </c>
      <c r="R1074" s="157" t="s">
        <v>8599</v>
      </c>
      <c r="S1074" s="157" t="s">
        <v>8612</v>
      </c>
      <c r="T1074" s="157"/>
      <c r="U1074" s="159" t="s">
        <v>2129</v>
      </c>
      <c r="V1074" s="159" t="s">
        <v>2129</v>
      </c>
      <c r="W1074" s="159" t="s">
        <v>2129</v>
      </c>
      <c r="X1074" s="160">
        <v>1</v>
      </c>
      <c r="Y1074" s="160">
        <v>1</v>
      </c>
      <c r="Z1074" s="160">
        <v>1</v>
      </c>
      <c r="AA1074" s="160">
        <v>1</v>
      </c>
    </row>
    <row r="1075" spans="1:27" ht="18" customHeight="1" x14ac:dyDescent="0.25">
      <c r="A1075" s="159">
        <v>3219</v>
      </c>
      <c r="B1075" s="164" t="s">
        <v>266</v>
      </c>
      <c r="C1075" s="164" t="s">
        <v>519</v>
      </c>
      <c r="D1075" s="159" t="s">
        <v>1159</v>
      </c>
      <c r="E1075" s="164" t="s">
        <v>1157</v>
      </c>
      <c r="F1075" s="159"/>
      <c r="G1075" s="157" t="s">
        <v>1349</v>
      </c>
      <c r="H1075" s="157" t="s">
        <v>1350</v>
      </c>
      <c r="I1075" s="157" t="s">
        <v>1614</v>
      </c>
      <c r="J1075" s="157" t="s">
        <v>8302</v>
      </c>
      <c r="K1075" s="157" t="s">
        <v>1615</v>
      </c>
      <c r="L1075" s="157" t="s">
        <v>1616</v>
      </c>
      <c r="M1075" s="157" t="str">
        <f t="shared" si="26"/>
        <v>Lidar_LRL - Environment Mapping</v>
      </c>
      <c r="N1075" s="157"/>
      <c r="O1075" s="157"/>
      <c r="P1075" s="159" t="s">
        <v>5749</v>
      </c>
      <c r="Q1075" s="157" t="s">
        <v>2115</v>
      </c>
      <c r="R1075" s="157" t="s">
        <v>8599</v>
      </c>
      <c r="S1075" s="157" t="s">
        <v>8612</v>
      </c>
      <c r="T1075" s="157"/>
      <c r="U1075" s="159" t="s">
        <v>2129</v>
      </c>
      <c r="V1075" s="159" t="s">
        <v>2129</v>
      </c>
      <c r="W1075" s="159" t="s">
        <v>2129</v>
      </c>
      <c r="X1075" s="160">
        <v>1</v>
      </c>
      <c r="Y1075" s="160">
        <v>1</v>
      </c>
      <c r="Z1075" s="160">
        <v>1</v>
      </c>
      <c r="AA1075" s="160">
        <v>1</v>
      </c>
    </row>
    <row r="1076" spans="1:27" ht="18" customHeight="1" x14ac:dyDescent="0.25">
      <c r="A1076" s="159">
        <v>3220</v>
      </c>
      <c r="B1076" s="164" t="s">
        <v>266</v>
      </c>
      <c r="C1076" s="164" t="s">
        <v>276</v>
      </c>
      <c r="D1076" s="159" t="s">
        <v>726</v>
      </c>
      <c r="E1076" s="164" t="s">
        <v>724</v>
      </c>
      <c r="F1076" s="159"/>
      <c r="G1076" s="157" t="s">
        <v>1349</v>
      </c>
      <c r="H1076" s="157" t="s">
        <v>1350</v>
      </c>
      <c r="I1076" s="157" t="s">
        <v>1614</v>
      </c>
      <c r="J1076" s="157" t="s">
        <v>8302</v>
      </c>
      <c r="K1076" s="157" t="s">
        <v>1615</v>
      </c>
      <c r="L1076" s="157" t="s">
        <v>1617</v>
      </c>
      <c r="M1076" s="157" t="str">
        <f t="shared" si="26"/>
        <v>Lidar_SRL1 - Environment Mapping</v>
      </c>
      <c r="N1076" s="157"/>
      <c r="O1076" s="157"/>
      <c r="P1076" s="167" t="s">
        <v>3456</v>
      </c>
      <c r="Q1076" s="157" t="s">
        <v>2115</v>
      </c>
      <c r="R1076" s="157" t="s">
        <v>8599</v>
      </c>
      <c r="S1076" s="157" t="s">
        <v>8612</v>
      </c>
      <c r="T1076" s="157"/>
      <c r="U1076" s="159" t="s">
        <v>2129</v>
      </c>
      <c r="V1076" s="159" t="s">
        <v>2129</v>
      </c>
      <c r="W1076" s="159" t="s">
        <v>2129</v>
      </c>
      <c r="X1076" s="160">
        <v>1</v>
      </c>
      <c r="Y1076" s="160">
        <v>1</v>
      </c>
      <c r="Z1076" s="160">
        <v>1</v>
      </c>
      <c r="AA1076" s="160">
        <v>1</v>
      </c>
    </row>
    <row r="1077" spans="1:27" ht="18" customHeight="1" x14ac:dyDescent="0.25">
      <c r="A1077" s="159">
        <v>3220</v>
      </c>
      <c r="B1077" s="164" t="s">
        <v>266</v>
      </c>
      <c r="C1077" s="164" t="s">
        <v>294</v>
      </c>
      <c r="D1077" s="159" t="s">
        <v>297</v>
      </c>
      <c r="E1077" s="164" t="s">
        <v>295</v>
      </c>
      <c r="F1077" s="159"/>
      <c r="G1077" s="157" t="s">
        <v>1349</v>
      </c>
      <c r="H1077" s="157" t="s">
        <v>1350</v>
      </c>
      <c r="I1077" s="157" t="s">
        <v>1614</v>
      </c>
      <c r="J1077" s="157" t="s">
        <v>8302</v>
      </c>
      <c r="K1077" s="157" t="s">
        <v>1615</v>
      </c>
      <c r="L1077" s="157" t="s">
        <v>1617</v>
      </c>
      <c r="M1077" s="157" t="str">
        <f t="shared" si="26"/>
        <v>Lidar_SRL1 - Environment Mapping</v>
      </c>
      <c r="N1077" s="157"/>
      <c r="O1077" s="157"/>
      <c r="P1077" s="167" t="s">
        <v>3456</v>
      </c>
      <c r="Q1077" s="157" t="s">
        <v>2115</v>
      </c>
      <c r="R1077" s="157" t="s">
        <v>8599</v>
      </c>
      <c r="S1077" s="157" t="s">
        <v>8612</v>
      </c>
      <c r="T1077" s="157"/>
      <c r="U1077" s="159" t="s">
        <v>2129</v>
      </c>
      <c r="V1077" s="159" t="s">
        <v>2129</v>
      </c>
      <c r="W1077" s="159" t="s">
        <v>2129</v>
      </c>
      <c r="X1077" s="160">
        <v>1</v>
      </c>
      <c r="Y1077" s="160">
        <v>1</v>
      </c>
      <c r="Z1077" s="160">
        <v>1</v>
      </c>
      <c r="AA1077" s="160">
        <v>1</v>
      </c>
    </row>
    <row r="1078" spans="1:27" ht="18" customHeight="1" x14ac:dyDescent="0.25">
      <c r="A1078" s="159">
        <v>3220</v>
      </c>
      <c r="B1078" s="164" t="s">
        <v>266</v>
      </c>
      <c r="C1078" s="164" t="s">
        <v>294</v>
      </c>
      <c r="D1078" s="159" t="s">
        <v>298</v>
      </c>
      <c r="E1078" s="164" t="s">
        <v>299</v>
      </c>
      <c r="F1078" s="159"/>
      <c r="G1078" s="157" t="s">
        <v>1349</v>
      </c>
      <c r="H1078" s="157" t="s">
        <v>1350</v>
      </c>
      <c r="I1078" s="157" t="s">
        <v>1614</v>
      </c>
      <c r="J1078" s="157" t="s">
        <v>8302</v>
      </c>
      <c r="K1078" s="157" t="s">
        <v>1615</v>
      </c>
      <c r="L1078" s="157" t="s">
        <v>1617</v>
      </c>
      <c r="M1078" s="157" t="str">
        <f t="shared" si="26"/>
        <v>Lidar_SRL1 - Environment Mapping</v>
      </c>
      <c r="N1078" s="157"/>
      <c r="O1078" s="157"/>
      <c r="P1078" s="167" t="s">
        <v>3456</v>
      </c>
      <c r="Q1078" s="157" t="s">
        <v>2115</v>
      </c>
      <c r="R1078" s="157" t="s">
        <v>8599</v>
      </c>
      <c r="S1078" s="157" t="s">
        <v>8612</v>
      </c>
      <c r="T1078" s="157"/>
      <c r="U1078" s="159" t="s">
        <v>2129</v>
      </c>
      <c r="V1078" s="159" t="s">
        <v>2129</v>
      </c>
      <c r="W1078" s="159" t="s">
        <v>2129</v>
      </c>
      <c r="X1078" s="160">
        <v>1</v>
      </c>
      <c r="Y1078" s="160">
        <v>1</v>
      </c>
      <c r="Z1078" s="160">
        <v>1</v>
      </c>
      <c r="AA1078" s="160">
        <v>1</v>
      </c>
    </row>
    <row r="1079" spans="1:27" ht="18" customHeight="1" x14ac:dyDescent="0.25">
      <c r="A1079" s="159">
        <v>3220</v>
      </c>
      <c r="B1079" s="164" t="s">
        <v>266</v>
      </c>
      <c r="C1079" s="164" t="s">
        <v>294</v>
      </c>
      <c r="D1079" s="159" t="s">
        <v>503</v>
      </c>
      <c r="E1079" s="164" t="s">
        <v>501</v>
      </c>
      <c r="F1079" s="159"/>
      <c r="G1079" s="157" t="s">
        <v>1349</v>
      </c>
      <c r="H1079" s="157" t="s">
        <v>1350</v>
      </c>
      <c r="I1079" s="157" t="s">
        <v>1614</v>
      </c>
      <c r="J1079" s="157" t="s">
        <v>8302</v>
      </c>
      <c r="K1079" s="157" t="s">
        <v>1615</v>
      </c>
      <c r="L1079" s="157" t="s">
        <v>1617</v>
      </c>
      <c r="M1079" s="157" t="str">
        <f t="shared" si="26"/>
        <v>Lidar_SRL1 - Environment Mapping</v>
      </c>
      <c r="N1079" s="157"/>
      <c r="O1079" s="157"/>
      <c r="P1079" s="167" t="s">
        <v>3456</v>
      </c>
      <c r="Q1079" s="157" t="s">
        <v>2115</v>
      </c>
      <c r="R1079" s="157" t="s">
        <v>8599</v>
      </c>
      <c r="S1079" s="157" t="s">
        <v>8612</v>
      </c>
      <c r="T1079" s="157"/>
      <c r="U1079" s="159" t="s">
        <v>2129</v>
      </c>
      <c r="V1079" s="159" t="s">
        <v>2129</v>
      </c>
      <c r="W1079" s="159" t="s">
        <v>2129</v>
      </c>
      <c r="X1079" s="160">
        <v>1</v>
      </c>
      <c r="Y1079" s="160">
        <v>1</v>
      </c>
      <c r="Z1079" s="160">
        <v>1</v>
      </c>
      <c r="AA1079" s="160">
        <v>1</v>
      </c>
    </row>
    <row r="1080" spans="1:27" ht="18" customHeight="1" x14ac:dyDescent="0.25">
      <c r="A1080" s="159">
        <v>3220</v>
      </c>
      <c r="B1080" s="164" t="s">
        <v>266</v>
      </c>
      <c r="C1080" s="164" t="s">
        <v>294</v>
      </c>
      <c r="D1080" s="159" t="s">
        <v>692</v>
      </c>
      <c r="E1080" s="164" t="s">
        <v>690</v>
      </c>
      <c r="F1080" s="159"/>
      <c r="G1080" s="157" t="s">
        <v>1349</v>
      </c>
      <c r="H1080" s="157" t="s">
        <v>1350</v>
      </c>
      <c r="I1080" s="157" t="s">
        <v>1614</v>
      </c>
      <c r="J1080" s="157" t="s">
        <v>8302</v>
      </c>
      <c r="K1080" s="157" t="s">
        <v>1615</v>
      </c>
      <c r="L1080" s="157" t="s">
        <v>1617</v>
      </c>
      <c r="M1080" s="157" t="str">
        <f t="shared" si="26"/>
        <v>Lidar_SRL1 - Environment Mapping</v>
      </c>
      <c r="N1080" s="157"/>
      <c r="O1080" s="157"/>
      <c r="P1080" s="167" t="s">
        <v>3456</v>
      </c>
      <c r="Q1080" s="157" t="s">
        <v>2115</v>
      </c>
      <c r="R1080" s="157" t="s">
        <v>8599</v>
      </c>
      <c r="S1080" s="157" t="s">
        <v>8612</v>
      </c>
      <c r="T1080" s="157"/>
      <c r="U1080" s="159" t="s">
        <v>2129</v>
      </c>
      <c r="V1080" s="159" t="s">
        <v>2129</v>
      </c>
      <c r="W1080" s="159" t="s">
        <v>2129</v>
      </c>
      <c r="X1080" s="160">
        <v>1</v>
      </c>
      <c r="Y1080" s="160">
        <v>1</v>
      </c>
      <c r="Z1080" s="160">
        <v>1</v>
      </c>
      <c r="AA1080" s="160">
        <v>1</v>
      </c>
    </row>
    <row r="1081" spans="1:27" ht="18" customHeight="1" x14ac:dyDescent="0.25">
      <c r="A1081" s="159">
        <v>3220</v>
      </c>
      <c r="B1081" s="164" t="s">
        <v>266</v>
      </c>
      <c r="C1081" s="164" t="s">
        <v>294</v>
      </c>
      <c r="D1081" s="159" t="s">
        <v>1177</v>
      </c>
      <c r="E1081" s="164" t="s">
        <v>1175</v>
      </c>
      <c r="F1081" s="159"/>
      <c r="G1081" s="157" t="s">
        <v>1349</v>
      </c>
      <c r="H1081" s="157" t="s">
        <v>1350</v>
      </c>
      <c r="I1081" s="157" t="s">
        <v>1614</v>
      </c>
      <c r="J1081" s="157" t="s">
        <v>8302</v>
      </c>
      <c r="K1081" s="157" t="s">
        <v>1615</v>
      </c>
      <c r="L1081" s="157" t="s">
        <v>1617</v>
      </c>
      <c r="M1081" s="157" t="str">
        <f t="shared" si="26"/>
        <v>Lidar_SRL1 - Environment Mapping</v>
      </c>
      <c r="N1081" s="157"/>
      <c r="O1081" s="157"/>
      <c r="P1081" s="167" t="s">
        <v>3456</v>
      </c>
      <c r="Q1081" s="157" t="s">
        <v>2115</v>
      </c>
      <c r="R1081" s="157" t="s">
        <v>8599</v>
      </c>
      <c r="S1081" s="157" t="s">
        <v>8612</v>
      </c>
      <c r="T1081" s="157"/>
      <c r="U1081" s="159" t="s">
        <v>2129</v>
      </c>
      <c r="V1081" s="159" t="s">
        <v>2129</v>
      </c>
      <c r="W1081" s="159" t="s">
        <v>2129</v>
      </c>
      <c r="X1081" s="160">
        <v>1</v>
      </c>
      <c r="Y1081" s="160">
        <v>1</v>
      </c>
      <c r="Z1081" s="160">
        <v>1</v>
      </c>
      <c r="AA1081" s="160">
        <v>1</v>
      </c>
    </row>
    <row r="1082" spans="1:27" ht="18" customHeight="1" x14ac:dyDescent="0.25">
      <c r="A1082" s="159">
        <v>3220</v>
      </c>
      <c r="B1082" s="164" t="s">
        <v>266</v>
      </c>
      <c r="C1082" s="164" t="s">
        <v>294</v>
      </c>
      <c r="D1082" s="159" t="s">
        <v>1178</v>
      </c>
      <c r="E1082" s="164" t="s">
        <v>1179</v>
      </c>
      <c r="F1082" s="159"/>
      <c r="G1082" s="157" t="s">
        <v>1349</v>
      </c>
      <c r="H1082" s="157" t="s">
        <v>1350</v>
      </c>
      <c r="I1082" s="157" t="s">
        <v>1614</v>
      </c>
      <c r="J1082" s="157" t="s">
        <v>8302</v>
      </c>
      <c r="K1082" s="157" t="s">
        <v>1615</v>
      </c>
      <c r="L1082" s="157" t="s">
        <v>1617</v>
      </c>
      <c r="M1082" s="157" t="str">
        <f t="shared" si="26"/>
        <v>Lidar_SRL1 - Environment Mapping</v>
      </c>
      <c r="N1082" s="157"/>
      <c r="O1082" s="157"/>
      <c r="P1082" s="167" t="s">
        <v>3456</v>
      </c>
      <c r="Q1082" s="157" t="s">
        <v>2115</v>
      </c>
      <c r="R1082" s="157" t="s">
        <v>8599</v>
      </c>
      <c r="S1082" s="157" t="s">
        <v>8612</v>
      </c>
      <c r="T1082" s="157"/>
      <c r="U1082" s="159" t="s">
        <v>2129</v>
      </c>
      <c r="V1082" s="159" t="s">
        <v>2129</v>
      </c>
      <c r="W1082" s="159" t="s">
        <v>2129</v>
      </c>
      <c r="X1082" s="160">
        <v>1</v>
      </c>
      <c r="Y1082" s="160">
        <v>1</v>
      </c>
      <c r="Z1082" s="160">
        <v>1</v>
      </c>
      <c r="AA1082" s="160">
        <v>1</v>
      </c>
    </row>
    <row r="1083" spans="1:27" ht="18" customHeight="1" x14ac:dyDescent="0.25">
      <c r="A1083" s="159">
        <v>3220</v>
      </c>
      <c r="B1083" s="164" t="s">
        <v>266</v>
      </c>
      <c r="C1083" s="164" t="s">
        <v>294</v>
      </c>
      <c r="D1083" s="159" t="s">
        <v>1207</v>
      </c>
      <c r="E1083" s="164" t="s">
        <v>1205</v>
      </c>
      <c r="F1083" s="159"/>
      <c r="G1083" s="157" t="s">
        <v>1349</v>
      </c>
      <c r="H1083" s="157" t="s">
        <v>1350</v>
      </c>
      <c r="I1083" s="157" t="s">
        <v>1614</v>
      </c>
      <c r="J1083" s="157" t="s">
        <v>8302</v>
      </c>
      <c r="K1083" s="157" t="s">
        <v>1615</v>
      </c>
      <c r="L1083" s="157" t="s">
        <v>1617</v>
      </c>
      <c r="M1083" s="157" t="str">
        <f t="shared" si="26"/>
        <v>Lidar_SRL1 - Environment Mapping</v>
      </c>
      <c r="N1083" s="157"/>
      <c r="O1083" s="157"/>
      <c r="P1083" s="167" t="s">
        <v>3456</v>
      </c>
      <c r="Q1083" s="157" t="s">
        <v>2115</v>
      </c>
      <c r="R1083" s="157" t="s">
        <v>8599</v>
      </c>
      <c r="S1083" s="157" t="s">
        <v>8612</v>
      </c>
      <c r="T1083" s="157"/>
      <c r="U1083" s="159" t="s">
        <v>2129</v>
      </c>
      <c r="V1083" s="159" t="s">
        <v>2129</v>
      </c>
      <c r="W1083" s="159" t="s">
        <v>2129</v>
      </c>
      <c r="X1083" s="160">
        <v>1</v>
      </c>
      <c r="Y1083" s="160">
        <v>1</v>
      </c>
      <c r="Z1083" s="160">
        <v>1</v>
      </c>
      <c r="AA1083" s="160">
        <v>1</v>
      </c>
    </row>
    <row r="1084" spans="1:27" ht="18" customHeight="1" x14ac:dyDescent="0.25">
      <c r="A1084" s="159">
        <v>3220</v>
      </c>
      <c r="B1084" s="164" t="s">
        <v>266</v>
      </c>
      <c r="C1084" s="164" t="s">
        <v>519</v>
      </c>
      <c r="D1084" s="159" t="s">
        <v>522</v>
      </c>
      <c r="E1084" s="164" t="s">
        <v>520</v>
      </c>
      <c r="F1084" s="159"/>
      <c r="G1084" s="157" t="s">
        <v>1349</v>
      </c>
      <c r="H1084" s="157" t="s">
        <v>1350</v>
      </c>
      <c r="I1084" s="157" t="s">
        <v>1614</v>
      </c>
      <c r="J1084" s="157" t="s">
        <v>8302</v>
      </c>
      <c r="K1084" s="157" t="s">
        <v>1615</v>
      </c>
      <c r="L1084" s="157" t="s">
        <v>1617</v>
      </c>
      <c r="M1084" s="157" t="str">
        <f t="shared" si="26"/>
        <v>Lidar_SRL1 - Environment Mapping</v>
      </c>
      <c r="N1084" s="157"/>
      <c r="O1084" s="157"/>
      <c r="P1084" s="167" t="s">
        <v>3456</v>
      </c>
      <c r="Q1084" s="157" t="s">
        <v>2115</v>
      </c>
      <c r="R1084" s="157" t="s">
        <v>8599</v>
      </c>
      <c r="S1084" s="157" t="s">
        <v>8612</v>
      </c>
      <c r="T1084" s="157"/>
      <c r="U1084" s="159" t="s">
        <v>2129</v>
      </c>
      <c r="V1084" s="159" t="s">
        <v>2129</v>
      </c>
      <c r="W1084" s="159" t="s">
        <v>2129</v>
      </c>
      <c r="X1084" s="160">
        <v>1</v>
      </c>
      <c r="Y1084" s="160">
        <v>1</v>
      </c>
      <c r="Z1084" s="160">
        <v>1</v>
      </c>
      <c r="AA1084" s="160">
        <v>1</v>
      </c>
    </row>
    <row r="1085" spans="1:27" ht="18" customHeight="1" x14ac:dyDescent="0.25">
      <c r="A1085" s="159">
        <v>3220</v>
      </c>
      <c r="B1085" s="164" t="s">
        <v>266</v>
      </c>
      <c r="C1085" s="164" t="s">
        <v>519</v>
      </c>
      <c r="D1085" s="159" t="s">
        <v>526</v>
      </c>
      <c r="E1085" s="164" t="s">
        <v>524</v>
      </c>
      <c r="F1085" s="159"/>
      <c r="G1085" s="157" t="s">
        <v>1349</v>
      </c>
      <c r="H1085" s="157" t="s">
        <v>1350</v>
      </c>
      <c r="I1085" s="157" t="s">
        <v>1614</v>
      </c>
      <c r="J1085" s="157" t="s">
        <v>8302</v>
      </c>
      <c r="K1085" s="157" t="s">
        <v>1615</v>
      </c>
      <c r="L1085" s="157" t="s">
        <v>1617</v>
      </c>
      <c r="M1085" s="157" t="str">
        <f t="shared" si="26"/>
        <v>Lidar_SRL1 - Environment Mapping</v>
      </c>
      <c r="N1085" s="157"/>
      <c r="O1085" s="157"/>
      <c r="P1085" s="167" t="s">
        <v>3456</v>
      </c>
      <c r="Q1085" s="157" t="s">
        <v>2115</v>
      </c>
      <c r="R1085" s="157" t="s">
        <v>8599</v>
      </c>
      <c r="S1085" s="157" t="s">
        <v>8612</v>
      </c>
      <c r="T1085" s="157"/>
      <c r="U1085" s="159" t="s">
        <v>2129</v>
      </c>
      <c r="V1085" s="159" t="s">
        <v>2129</v>
      </c>
      <c r="W1085" s="159" t="s">
        <v>2129</v>
      </c>
      <c r="X1085" s="160">
        <v>1</v>
      </c>
      <c r="Y1085" s="160">
        <v>1</v>
      </c>
      <c r="Z1085" s="160">
        <v>1</v>
      </c>
      <c r="AA1085" s="160">
        <v>1</v>
      </c>
    </row>
    <row r="1086" spans="1:27" ht="18" customHeight="1" x14ac:dyDescent="0.25">
      <c r="A1086" s="159">
        <v>3220</v>
      </c>
      <c r="B1086" s="164" t="s">
        <v>266</v>
      </c>
      <c r="C1086" s="164" t="s">
        <v>519</v>
      </c>
      <c r="D1086" s="159" t="s">
        <v>530</v>
      </c>
      <c r="E1086" s="164" t="s">
        <v>528</v>
      </c>
      <c r="F1086" s="159"/>
      <c r="G1086" s="157" t="s">
        <v>1349</v>
      </c>
      <c r="H1086" s="157" t="s">
        <v>1350</v>
      </c>
      <c r="I1086" s="157" t="s">
        <v>1614</v>
      </c>
      <c r="J1086" s="157" t="s">
        <v>8302</v>
      </c>
      <c r="K1086" s="157" t="s">
        <v>1615</v>
      </c>
      <c r="L1086" s="157" t="s">
        <v>1617</v>
      </c>
      <c r="M1086" s="157" t="str">
        <f t="shared" si="26"/>
        <v>Lidar_SRL1 - Environment Mapping</v>
      </c>
      <c r="N1086" s="157"/>
      <c r="O1086" s="157"/>
      <c r="P1086" s="167" t="s">
        <v>3456</v>
      </c>
      <c r="Q1086" s="157" t="s">
        <v>2115</v>
      </c>
      <c r="R1086" s="157" t="s">
        <v>8599</v>
      </c>
      <c r="S1086" s="157" t="s">
        <v>8612</v>
      </c>
      <c r="T1086" s="157"/>
      <c r="U1086" s="159" t="s">
        <v>2129</v>
      </c>
      <c r="V1086" s="159" t="s">
        <v>2129</v>
      </c>
      <c r="W1086" s="159" t="s">
        <v>2129</v>
      </c>
      <c r="X1086" s="160">
        <v>1</v>
      </c>
      <c r="Y1086" s="160">
        <v>1</v>
      </c>
      <c r="Z1086" s="160">
        <v>1</v>
      </c>
      <c r="AA1086" s="160">
        <v>1</v>
      </c>
    </row>
    <row r="1087" spans="1:27" ht="18" customHeight="1" x14ac:dyDescent="0.25">
      <c r="A1087" s="159">
        <v>3220</v>
      </c>
      <c r="B1087" s="164" t="s">
        <v>266</v>
      </c>
      <c r="C1087" s="164" t="s">
        <v>519</v>
      </c>
      <c r="D1087" s="159" t="s">
        <v>787</v>
      </c>
      <c r="E1087" s="164" t="s">
        <v>785</v>
      </c>
      <c r="F1087" s="159"/>
      <c r="G1087" s="157" t="s">
        <v>1349</v>
      </c>
      <c r="H1087" s="157" t="s">
        <v>1350</v>
      </c>
      <c r="I1087" s="157" t="s">
        <v>1614</v>
      </c>
      <c r="J1087" s="157" t="s">
        <v>8302</v>
      </c>
      <c r="K1087" s="157" t="s">
        <v>1615</v>
      </c>
      <c r="L1087" s="157" t="s">
        <v>1617</v>
      </c>
      <c r="M1087" s="157" t="str">
        <f t="shared" si="26"/>
        <v>Lidar_SRL1 - Environment Mapping</v>
      </c>
      <c r="N1087" s="157"/>
      <c r="O1087" s="157"/>
      <c r="P1087" s="167" t="s">
        <v>3456</v>
      </c>
      <c r="Q1087" s="157" t="s">
        <v>2115</v>
      </c>
      <c r="R1087" s="157" t="s">
        <v>8599</v>
      </c>
      <c r="S1087" s="157" t="s">
        <v>8612</v>
      </c>
      <c r="T1087" s="157"/>
      <c r="U1087" s="159" t="s">
        <v>2129</v>
      </c>
      <c r="V1087" s="159" t="s">
        <v>2129</v>
      </c>
      <c r="W1087" s="159" t="s">
        <v>2129</v>
      </c>
      <c r="X1087" s="160">
        <v>1</v>
      </c>
      <c r="Y1087" s="160">
        <v>1</v>
      </c>
      <c r="Z1087" s="160">
        <v>1</v>
      </c>
      <c r="AA1087" s="160">
        <v>1</v>
      </c>
    </row>
    <row r="1088" spans="1:27" ht="18" customHeight="1" x14ac:dyDescent="0.25">
      <c r="A1088" s="159">
        <v>3220</v>
      </c>
      <c r="B1088" s="164" t="s">
        <v>266</v>
      </c>
      <c r="C1088" s="164" t="s">
        <v>519</v>
      </c>
      <c r="D1088" s="159" t="s">
        <v>935</v>
      </c>
      <c r="E1088" s="164" t="s">
        <v>933</v>
      </c>
      <c r="F1088" s="159"/>
      <c r="G1088" s="157" t="s">
        <v>1349</v>
      </c>
      <c r="H1088" s="157" t="s">
        <v>1350</v>
      </c>
      <c r="I1088" s="157" t="s">
        <v>1614</v>
      </c>
      <c r="J1088" s="157" t="s">
        <v>8302</v>
      </c>
      <c r="K1088" s="157" t="s">
        <v>1615</v>
      </c>
      <c r="L1088" s="157" t="s">
        <v>1617</v>
      </c>
      <c r="M1088" s="157" t="str">
        <f t="shared" si="26"/>
        <v>Lidar_SRL1 - Environment Mapping</v>
      </c>
      <c r="N1088" s="157"/>
      <c r="O1088" s="157"/>
      <c r="P1088" s="167" t="s">
        <v>3456</v>
      </c>
      <c r="Q1088" s="157" t="s">
        <v>2115</v>
      </c>
      <c r="R1088" s="157" t="s">
        <v>8599</v>
      </c>
      <c r="S1088" s="157" t="s">
        <v>8612</v>
      </c>
      <c r="T1088" s="157"/>
      <c r="U1088" s="159" t="s">
        <v>2129</v>
      </c>
      <c r="V1088" s="159" t="s">
        <v>2129</v>
      </c>
      <c r="W1088" s="159" t="s">
        <v>2129</v>
      </c>
      <c r="X1088" s="160">
        <v>1</v>
      </c>
      <c r="Y1088" s="160">
        <v>1</v>
      </c>
      <c r="Z1088" s="160">
        <v>1</v>
      </c>
      <c r="AA1088" s="160">
        <v>1</v>
      </c>
    </row>
    <row r="1089" spans="1:27" ht="18" customHeight="1" x14ac:dyDescent="0.25">
      <c r="A1089" s="159">
        <v>3220</v>
      </c>
      <c r="B1089" s="164" t="s">
        <v>266</v>
      </c>
      <c r="C1089" s="164" t="s">
        <v>519</v>
      </c>
      <c r="D1089" s="159" t="s">
        <v>1151</v>
      </c>
      <c r="E1089" s="164" t="s">
        <v>1149</v>
      </c>
      <c r="F1089" s="159"/>
      <c r="G1089" s="157" t="s">
        <v>1349</v>
      </c>
      <c r="H1089" s="157" t="s">
        <v>1350</v>
      </c>
      <c r="I1089" s="157" t="s">
        <v>1614</v>
      </c>
      <c r="J1089" s="157" t="s">
        <v>8302</v>
      </c>
      <c r="K1089" s="157" t="s">
        <v>1615</v>
      </c>
      <c r="L1089" s="157" t="s">
        <v>1617</v>
      </c>
      <c r="M1089" s="157" t="str">
        <f t="shared" si="26"/>
        <v>Lidar_SRL1 - Environment Mapping</v>
      </c>
      <c r="N1089" s="157"/>
      <c r="O1089" s="157"/>
      <c r="P1089" s="167" t="s">
        <v>3456</v>
      </c>
      <c r="Q1089" s="157" t="s">
        <v>2115</v>
      </c>
      <c r="R1089" s="157" t="s">
        <v>8599</v>
      </c>
      <c r="S1089" s="157" t="s">
        <v>8612</v>
      </c>
      <c r="T1089" s="157"/>
      <c r="U1089" s="159" t="s">
        <v>2129</v>
      </c>
      <c r="V1089" s="159" t="s">
        <v>2129</v>
      </c>
      <c r="W1089" s="159" t="s">
        <v>2129</v>
      </c>
      <c r="X1089" s="160">
        <v>1</v>
      </c>
      <c r="Y1089" s="160">
        <v>1</v>
      </c>
      <c r="Z1089" s="160">
        <v>1</v>
      </c>
      <c r="AA1089" s="160">
        <v>1</v>
      </c>
    </row>
    <row r="1090" spans="1:27" ht="18" customHeight="1" x14ac:dyDescent="0.25">
      <c r="A1090" s="159">
        <v>3220</v>
      </c>
      <c r="B1090" s="164" t="s">
        <v>266</v>
      </c>
      <c r="C1090" s="164" t="s">
        <v>519</v>
      </c>
      <c r="D1090" s="159" t="s">
        <v>1159</v>
      </c>
      <c r="E1090" s="164" t="s">
        <v>1157</v>
      </c>
      <c r="F1090" s="159"/>
      <c r="G1090" s="157" t="s">
        <v>1349</v>
      </c>
      <c r="H1090" s="157" t="s">
        <v>1350</v>
      </c>
      <c r="I1090" s="157" t="s">
        <v>1614</v>
      </c>
      <c r="J1090" s="157" t="s">
        <v>8302</v>
      </c>
      <c r="K1090" s="157" t="s">
        <v>1615</v>
      </c>
      <c r="L1090" s="157" t="s">
        <v>1617</v>
      </c>
      <c r="M1090" s="157" t="str">
        <f t="shared" si="26"/>
        <v>Lidar_SRL1 - Environment Mapping</v>
      </c>
      <c r="N1090" s="157"/>
      <c r="O1090" s="157"/>
      <c r="P1090" s="167" t="s">
        <v>3456</v>
      </c>
      <c r="Q1090" s="157" t="s">
        <v>2115</v>
      </c>
      <c r="R1090" s="157" t="s">
        <v>8599</v>
      </c>
      <c r="S1090" s="157" t="s">
        <v>8612</v>
      </c>
      <c r="T1090" s="157"/>
      <c r="U1090" s="159" t="s">
        <v>2129</v>
      </c>
      <c r="V1090" s="159" t="s">
        <v>2129</v>
      </c>
      <c r="W1090" s="159" t="s">
        <v>2129</v>
      </c>
      <c r="X1090" s="160">
        <v>1</v>
      </c>
      <c r="Y1090" s="160">
        <v>1</v>
      </c>
      <c r="Z1090" s="160">
        <v>1</v>
      </c>
      <c r="AA1090" s="160">
        <v>1</v>
      </c>
    </row>
    <row r="1091" spans="1:27" ht="18" customHeight="1" x14ac:dyDescent="0.25">
      <c r="A1091" s="159">
        <v>3221</v>
      </c>
      <c r="B1091" s="164" t="s">
        <v>266</v>
      </c>
      <c r="C1091" s="164" t="s">
        <v>276</v>
      </c>
      <c r="D1091" s="159" t="s">
        <v>726</v>
      </c>
      <c r="E1091" s="164" t="s">
        <v>724</v>
      </c>
      <c r="F1091" s="159"/>
      <c r="G1091" s="157" t="s">
        <v>1349</v>
      </c>
      <c r="H1091" s="157" t="s">
        <v>1350</v>
      </c>
      <c r="I1091" s="157" t="s">
        <v>1614</v>
      </c>
      <c r="J1091" s="157" t="s">
        <v>8302</v>
      </c>
      <c r="K1091" s="157" t="s">
        <v>1615</v>
      </c>
      <c r="L1091" s="157" t="s">
        <v>1618</v>
      </c>
      <c r="M1091" s="157" t="str">
        <f t="shared" si="26"/>
        <v>Lidar_SRL5 - Environment Mapping</v>
      </c>
      <c r="N1091" s="157"/>
      <c r="O1091" s="157"/>
      <c r="P1091" s="167" t="s">
        <v>7391</v>
      </c>
      <c r="Q1091" s="157" t="s">
        <v>2115</v>
      </c>
      <c r="R1091" s="157" t="s">
        <v>8599</v>
      </c>
      <c r="S1091" s="157" t="s">
        <v>8612</v>
      </c>
      <c r="T1091" s="157"/>
      <c r="U1091" s="159" t="s">
        <v>2129</v>
      </c>
      <c r="V1091" s="159" t="s">
        <v>2129</v>
      </c>
      <c r="W1091" s="159" t="s">
        <v>2129</v>
      </c>
      <c r="X1091" s="160">
        <v>1</v>
      </c>
      <c r="Y1091" s="160">
        <v>1</v>
      </c>
      <c r="Z1091" s="160">
        <v>1</v>
      </c>
      <c r="AA1091" s="160">
        <v>1</v>
      </c>
    </row>
    <row r="1092" spans="1:27" ht="18" customHeight="1" x14ac:dyDescent="0.25">
      <c r="A1092" s="159">
        <v>3221</v>
      </c>
      <c r="B1092" s="164" t="s">
        <v>266</v>
      </c>
      <c r="C1092" s="164" t="s">
        <v>294</v>
      </c>
      <c r="D1092" s="159" t="s">
        <v>297</v>
      </c>
      <c r="E1092" s="164" t="s">
        <v>295</v>
      </c>
      <c r="F1092" s="159"/>
      <c r="G1092" s="157" t="s">
        <v>1349</v>
      </c>
      <c r="H1092" s="157" t="s">
        <v>1350</v>
      </c>
      <c r="I1092" s="157" t="s">
        <v>1614</v>
      </c>
      <c r="J1092" s="157" t="s">
        <v>8302</v>
      </c>
      <c r="K1092" s="157" t="s">
        <v>1615</v>
      </c>
      <c r="L1092" s="157" t="s">
        <v>1618</v>
      </c>
      <c r="M1092" s="157" t="str">
        <f t="shared" si="26"/>
        <v>Lidar_SRL5 - Environment Mapping</v>
      </c>
      <c r="N1092" s="157"/>
      <c r="O1092" s="157"/>
      <c r="P1092" s="167" t="s">
        <v>7391</v>
      </c>
      <c r="Q1092" s="157" t="s">
        <v>2115</v>
      </c>
      <c r="R1092" s="157" t="s">
        <v>8599</v>
      </c>
      <c r="S1092" s="157" t="s">
        <v>8612</v>
      </c>
      <c r="T1092" s="157"/>
      <c r="U1092" s="159" t="s">
        <v>2129</v>
      </c>
      <c r="V1092" s="159" t="s">
        <v>2129</v>
      </c>
      <c r="W1092" s="159" t="s">
        <v>2129</v>
      </c>
      <c r="X1092" s="160">
        <v>1</v>
      </c>
      <c r="Y1092" s="160">
        <v>1</v>
      </c>
      <c r="Z1092" s="160">
        <v>1</v>
      </c>
      <c r="AA1092" s="160">
        <v>1</v>
      </c>
    </row>
    <row r="1093" spans="1:27" ht="18" customHeight="1" x14ac:dyDescent="0.25">
      <c r="A1093" s="159">
        <v>3221</v>
      </c>
      <c r="B1093" s="164" t="s">
        <v>266</v>
      </c>
      <c r="C1093" s="164" t="s">
        <v>294</v>
      </c>
      <c r="D1093" s="159" t="s">
        <v>298</v>
      </c>
      <c r="E1093" s="164" t="s">
        <v>299</v>
      </c>
      <c r="F1093" s="159"/>
      <c r="G1093" s="157" t="s">
        <v>1349</v>
      </c>
      <c r="H1093" s="157" t="s">
        <v>1350</v>
      </c>
      <c r="I1093" s="157" t="s">
        <v>1614</v>
      </c>
      <c r="J1093" s="157" t="s">
        <v>8302</v>
      </c>
      <c r="K1093" s="157" t="s">
        <v>1615</v>
      </c>
      <c r="L1093" s="157" t="s">
        <v>1618</v>
      </c>
      <c r="M1093" s="157" t="str">
        <f t="shared" si="26"/>
        <v>Lidar_SRL5 - Environment Mapping</v>
      </c>
      <c r="N1093" s="157"/>
      <c r="O1093" s="157"/>
      <c r="P1093" s="167" t="s">
        <v>7391</v>
      </c>
      <c r="Q1093" s="157" t="s">
        <v>2115</v>
      </c>
      <c r="R1093" s="157" t="s">
        <v>8599</v>
      </c>
      <c r="S1093" s="157" t="s">
        <v>8612</v>
      </c>
      <c r="T1093" s="157"/>
      <c r="U1093" s="159" t="s">
        <v>2129</v>
      </c>
      <c r="V1093" s="159" t="s">
        <v>2129</v>
      </c>
      <c r="W1093" s="159" t="s">
        <v>2129</v>
      </c>
      <c r="X1093" s="160">
        <v>1</v>
      </c>
      <c r="Y1093" s="160">
        <v>1</v>
      </c>
      <c r="Z1093" s="160">
        <v>1</v>
      </c>
      <c r="AA1093" s="160">
        <v>1</v>
      </c>
    </row>
    <row r="1094" spans="1:27" ht="18" customHeight="1" x14ac:dyDescent="0.25">
      <c r="A1094" s="159">
        <v>3221</v>
      </c>
      <c r="B1094" s="164" t="s">
        <v>266</v>
      </c>
      <c r="C1094" s="164" t="s">
        <v>294</v>
      </c>
      <c r="D1094" s="159" t="s">
        <v>503</v>
      </c>
      <c r="E1094" s="164" t="s">
        <v>501</v>
      </c>
      <c r="F1094" s="159"/>
      <c r="G1094" s="157" t="s">
        <v>1349</v>
      </c>
      <c r="H1094" s="157" t="s">
        <v>1350</v>
      </c>
      <c r="I1094" s="157" t="s">
        <v>1614</v>
      </c>
      <c r="J1094" s="157" t="s">
        <v>8302</v>
      </c>
      <c r="K1094" s="157" t="s">
        <v>1615</v>
      </c>
      <c r="L1094" s="157" t="s">
        <v>1618</v>
      </c>
      <c r="M1094" s="157" t="str">
        <f t="shared" si="26"/>
        <v>Lidar_SRL5 - Environment Mapping</v>
      </c>
      <c r="N1094" s="157"/>
      <c r="O1094" s="157"/>
      <c r="P1094" s="167" t="s">
        <v>7391</v>
      </c>
      <c r="Q1094" s="157" t="s">
        <v>2115</v>
      </c>
      <c r="R1094" s="157" t="s">
        <v>8599</v>
      </c>
      <c r="S1094" s="157" t="s">
        <v>8612</v>
      </c>
      <c r="T1094" s="157"/>
      <c r="U1094" s="159" t="s">
        <v>2129</v>
      </c>
      <c r="V1094" s="159" t="s">
        <v>2129</v>
      </c>
      <c r="W1094" s="159" t="s">
        <v>2129</v>
      </c>
      <c r="X1094" s="160">
        <v>1</v>
      </c>
      <c r="Y1094" s="160">
        <v>1</v>
      </c>
      <c r="Z1094" s="160">
        <v>1</v>
      </c>
      <c r="AA1094" s="160">
        <v>1</v>
      </c>
    </row>
    <row r="1095" spans="1:27" ht="18" customHeight="1" x14ac:dyDescent="0.25">
      <c r="A1095" s="159">
        <v>3221</v>
      </c>
      <c r="B1095" s="164" t="s">
        <v>266</v>
      </c>
      <c r="C1095" s="164" t="s">
        <v>294</v>
      </c>
      <c r="D1095" s="159" t="s">
        <v>692</v>
      </c>
      <c r="E1095" s="164" t="s">
        <v>690</v>
      </c>
      <c r="F1095" s="159"/>
      <c r="G1095" s="157" t="s">
        <v>1349</v>
      </c>
      <c r="H1095" s="157" t="s">
        <v>1350</v>
      </c>
      <c r="I1095" s="157" t="s">
        <v>1614</v>
      </c>
      <c r="J1095" s="157" t="s">
        <v>8302</v>
      </c>
      <c r="K1095" s="157" t="s">
        <v>1615</v>
      </c>
      <c r="L1095" s="157" t="s">
        <v>1618</v>
      </c>
      <c r="M1095" s="157" t="str">
        <f t="shared" si="26"/>
        <v>Lidar_SRL5 - Environment Mapping</v>
      </c>
      <c r="N1095" s="157"/>
      <c r="O1095" s="157"/>
      <c r="P1095" s="167" t="s">
        <v>7391</v>
      </c>
      <c r="Q1095" s="157" t="s">
        <v>2115</v>
      </c>
      <c r="R1095" s="157" t="s">
        <v>8599</v>
      </c>
      <c r="S1095" s="157" t="s">
        <v>8612</v>
      </c>
      <c r="T1095" s="157"/>
      <c r="U1095" s="159" t="s">
        <v>2129</v>
      </c>
      <c r="V1095" s="159" t="s">
        <v>2129</v>
      </c>
      <c r="W1095" s="159" t="s">
        <v>2129</v>
      </c>
      <c r="X1095" s="160">
        <v>1</v>
      </c>
      <c r="Y1095" s="160">
        <v>1</v>
      </c>
      <c r="Z1095" s="160">
        <v>1</v>
      </c>
      <c r="AA1095" s="160">
        <v>1</v>
      </c>
    </row>
    <row r="1096" spans="1:27" ht="18" customHeight="1" x14ac:dyDescent="0.25">
      <c r="A1096" s="159">
        <v>3221</v>
      </c>
      <c r="B1096" s="164" t="s">
        <v>266</v>
      </c>
      <c r="C1096" s="164" t="s">
        <v>294</v>
      </c>
      <c r="D1096" s="159" t="s">
        <v>1177</v>
      </c>
      <c r="E1096" s="164" t="s">
        <v>1175</v>
      </c>
      <c r="F1096" s="159"/>
      <c r="G1096" s="157" t="s">
        <v>1349</v>
      </c>
      <c r="H1096" s="157" t="s">
        <v>1350</v>
      </c>
      <c r="I1096" s="157" t="s">
        <v>1614</v>
      </c>
      <c r="J1096" s="157" t="s">
        <v>8302</v>
      </c>
      <c r="K1096" s="157" t="s">
        <v>1615</v>
      </c>
      <c r="L1096" s="157" t="s">
        <v>1618</v>
      </c>
      <c r="M1096" s="157" t="str">
        <f t="shared" si="26"/>
        <v>Lidar_SRL5 - Environment Mapping</v>
      </c>
      <c r="N1096" s="157"/>
      <c r="O1096" s="157"/>
      <c r="P1096" s="167" t="s">
        <v>7391</v>
      </c>
      <c r="Q1096" s="157" t="s">
        <v>2115</v>
      </c>
      <c r="R1096" s="157" t="s">
        <v>8599</v>
      </c>
      <c r="S1096" s="157" t="s">
        <v>8612</v>
      </c>
      <c r="T1096" s="157"/>
      <c r="U1096" s="159" t="s">
        <v>2129</v>
      </c>
      <c r="V1096" s="159" t="s">
        <v>2129</v>
      </c>
      <c r="W1096" s="159" t="s">
        <v>2129</v>
      </c>
      <c r="X1096" s="160">
        <v>1</v>
      </c>
      <c r="Y1096" s="160">
        <v>1</v>
      </c>
      <c r="Z1096" s="160">
        <v>1</v>
      </c>
      <c r="AA1096" s="160">
        <v>1</v>
      </c>
    </row>
    <row r="1097" spans="1:27" ht="18" customHeight="1" x14ac:dyDescent="0.25">
      <c r="A1097" s="159">
        <v>3221</v>
      </c>
      <c r="B1097" s="164" t="s">
        <v>266</v>
      </c>
      <c r="C1097" s="164" t="s">
        <v>294</v>
      </c>
      <c r="D1097" s="159" t="s">
        <v>1178</v>
      </c>
      <c r="E1097" s="164" t="s">
        <v>1179</v>
      </c>
      <c r="F1097" s="159"/>
      <c r="G1097" s="157" t="s">
        <v>1349</v>
      </c>
      <c r="H1097" s="157" t="s">
        <v>1350</v>
      </c>
      <c r="I1097" s="157" t="s">
        <v>1614</v>
      </c>
      <c r="J1097" s="157" t="s">
        <v>8302</v>
      </c>
      <c r="K1097" s="157" t="s">
        <v>1615</v>
      </c>
      <c r="L1097" s="157" t="s">
        <v>1618</v>
      </c>
      <c r="M1097" s="157" t="str">
        <f t="shared" si="26"/>
        <v>Lidar_SRL5 - Environment Mapping</v>
      </c>
      <c r="N1097" s="157"/>
      <c r="O1097" s="157"/>
      <c r="P1097" s="167" t="s">
        <v>7391</v>
      </c>
      <c r="Q1097" s="157" t="s">
        <v>2115</v>
      </c>
      <c r="R1097" s="157" t="s">
        <v>8599</v>
      </c>
      <c r="S1097" s="157" t="s">
        <v>8612</v>
      </c>
      <c r="T1097" s="157"/>
      <c r="U1097" s="159" t="s">
        <v>2129</v>
      </c>
      <c r="V1097" s="159" t="s">
        <v>2129</v>
      </c>
      <c r="W1097" s="159" t="s">
        <v>2129</v>
      </c>
      <c r="X1097" s="160">
        <v>1</v>
      </c>
      <c r="Y1097" s="160">
        <v>1</v>
      </c>
      <c r="Z1097" s="160">
        <v>1</v>
      </c>
      <c r="AA1097" s="160">
        <v>1</v>
      </c>
    </row>
    <row r="1098" spans="1:27" ht="18" customHeight="1" x14ac:dyDescent="0.25">
      <c r="A1098" s="159">
        <v>3221</v>
      </c>
      <c r="B1098" s="164" t="s">
        <v>266</v>
      </c>
      <c r="C1098" s="164" t="s">
        <v>294</v>
      </c>
      <c r="D1098" s="159" t="s">
        <v>1207</v>
      </c>
      <c r="E1098" s="164" t="s">
        <v>1205</v>
      </c>
      <c r="F1098" s="159"/>
      <c r="G1098" s="157" t="s">
        <v>1349</v>
      </c>
      <c r="H1098" s="157" t="s">
        <v>1350</v>
      </c>
      <c r="I1098" s="157" t="s">
        <v>1614</v>
      </c>
      <c r="J1098" s="157" t="s">
        <v>8302</v>
      </c>
      <c r="K1098" s="157" t="s">
        <v>1615</v>
      </c>
      <c r="L1098" s="157" t="s">
        <v>1618</v>
      </c>
      <c r="M1098" s="157" t="str">
        <f t="shared" ref="M1098:M1161" si="27">CONCATENATE(L1098," - ",I1098)</f>
        <v>Lidar_SRL5 - Environment Mapping</v>
      </c>
      <c r="N1098" s="157"/>
      <c r="O1098" s="157"/>
      <c r="P1098" s="167" t="s">
        <v>7391</v>
      </c>
      <c r="Q1098" s="157" t="s">
        <v>2115</v>
      </c>
      <c r="R1098" s="157" t="s">
        <v>8599</v>
      </c>
      <c r="S1098" s="157" t="s">
        <v>8612</v>
      </c>
      <c r="T1098" s="157"/>
      <c r="U1098" s="159" t="s">
        <v>2129</v>
      </c>
      <c r="V1098" s="159" t="s">
        <v>2129</v>
      </c>
      <c r="W1098" s="159" t="s">
        <v>2129</v>
      </c>
      <c r="X1098" s="160">
        <v>1</v>
      </c>
      <c r="Y1098" s="160">
        <v>1</v>
      </c>
      <c r="Z1098" s="160">
        <v>1</v>
      </c>
      <c r="AA1098" s="160">
        <v>1</v>
      </c>
    </row>
    <row r="1099" spans="1:27" ht="18" customHeight="1" x14ac:dyDescent="0.25">
      <c r="A1099" s="159">
        <v>3221</v>
      </c>
      <c r="B1099" s="164" t="s">
        <v>266</v>
      </c>
      <c r="C1099" s="164" t="s">
        <v>519</v>
      </c>
      <c r="D1099" s="159" t="s">
        <v>522</v>
      </c>
      <c r="E1099" s="164" t="s">
        <v>520</v>
      </c>
      <c r="F1099" s="159"/>
      <c r="G1099" s="157" t="s">
        <v>1349</v>
      </c>
      <c r="H1099" s="157" t="s">
        <v>1350</v>
      </c>
      <c r="I1099" s="157" t="s">
        <v>1614</v>
      </c>
      <c r="J1099" s="157" t="s">
        <v>8302</v>
      </c>
      <c r="K1099" s="157" t="s">
        <v>1615</v>
      </c>
      <c r="L1099" s="157" t="s">
        <v>1618</v>
      </c>
      <c r="M1099" s="157" t="str">
        <f t="shared" si="27"/>
        <v>Lidar_SRL5 - Environment Mapping</v>
      </c>
      <c r="N1099" s="157"/>
      <c r="O1099" s="157"/>
      <c r="P1099" s="167" t="s">
        <v>7391</v>
      </c>
      <c r="Q1099" s="157" t="s">
        <v>2115</v>
      </c>
      <c r="R1099" s="157" t="s">
        <v>8599</v>
      </c>
      <c r="S1099" s="157" t="s">
        <v>8612</v>
      </c>
      <c r="T1099" s="157"/>
      <c r="U1099" s="159" t="s">
        <v>2129</v>
      </c>
      <c r="V1099" s="159" t="s">
        <v>2129</v>
      </c>
      <c r="W1099" s="159" t="s">
        <v>2129</v>
      </c>
      <c r="X1099" s="160">
        <v>1</v>
      </c>
      <c r="Y1099" s="160">
        <v>1</v>
      </c>
      <c r="Z1099" s="160">
        <v>1</v>
      </c>
      <c r="AA1099" s="160">
        <v>1</v>
      </c>
    </row>
    <row r="1100" spans="1:27" ht="18" customHeight="1" x14ac:dyDescent="0.25">
      <c r="A1100" s="159">
        <v>3221</v>
      </c>
      <c r="B1100" s="164" t="s">
        <v>266</v>
      </c>
      <c r="C1100" s="164" t="s">
        <v>519</v>
      </c>
      <c r="D1100" s="159" t="s">
        <v>526</v>
      </c>
      <c r="E1100" s="164" t="s">
        <v>524</v>
      </c>
      <c r="F1100" s="159"/>
      <c r="G1100" s="157" t="s">
        <v>1349</v>
      </c>
      <c r="H1100" s="157" t="s">
        <v>1350</v>
      </c>
      <c r="I1100" s="157" t="s">
        <v>1614</v>
      </c>
      <c r="J1100" s="157" t="s">
        <v>8302</v>
      </c>
      <c r="K1100" s="157" t="s">
        <v>1615</v>
      </c>
      <c r="L1100" s="157" t="s">
        <v>1618</v>
      </c>
      <c r="M1100" s="157" t="str">
        <f t="shared" si="27"/>
        <v>Lidar_SRL5 - Environment Mapping</v>
      </c>
      <c r="N1100" s="157"/>
      <c r="O1100" s="157"/>
      <c r="P1100" s="167" t="s">
        <v>7391</v>
      </c>
      <c r="Q1100" s="157" t="s">
        <v>2115</v>
      </c>
      <c r="R1100" s="157" t="s">
        <v>8599</v>
      </c>
      <c r="S1100" s="157" t="s">
        <v>8612</v>
      </c>
      <c r="T1100" s="157"/>
      <c r="U1100" s="159" t="s">
        <v>2129</v>
      </c>
      <c r="V1100" s="159" t="s">
        <v>2129</v>
      </c>
      <c r="W1100" s="159" t="s">
        <v>2129</v>
      </c>
      <c r="X1100" s="160">
        <v>1</v>
      </c>
      <c r="Y1100" s="160">
        <v>1</v>
      </c>
      <c r="Z1100" s="160">
        <v>1</v>
      </c>
      <c r="AA1100" s="160">
        <v>1</v>
      </c>
    </row>
    <row r="1101" spans="1:27" ht="18" customHeight="1" x14ac:dyDescent="0.25">
      <c r="A1101" s="159">
        <v>3221</v>
      </c>
      <c r="B1101" s="164" t="s">
        <v>266</v>
      </c>
      <c r="C1101" s="164" t="s">
        <v>519</v>
      </c>
      <c r="D1101" s="159" t="s">
        <v>530</v>
      </c>
      <c r="E1101" s="164" t="s">
        <v>528</v>
      </c>
      <c r="F1101" s="159"/>
      <c r="G1101" s="157" t="s">
        <v>1349</v>
      </c>
      <c r="H1101" s="157" t="s">
        <v>1350</v>
      </c>
      <c r="I1101" s="157" t="s">
        <v>1614</v>
      </c>
      <c r="J1101" s="157" t="s">
        <v>8302</v>
      </c>
      <c r="K1101" s="157" t="s">
        <v>1615</v>
      </c>
      <c r="L1101" s="157" t="s">
        <v>1618</v>
      </c>
      <c r="M1101" s="157" t="str">
        <f t="shared" si="27"/>
        <v>Lidar_SRL5 - Environment Mapping</v>
      </c>
      <c r="N1101" s="157"/>
      <c r="O1101" s="157"/>
      <c r="P1101" s="167" t="s">
        <v>7391</v>
      </c>
      <c r="Q1101" s="157" t="s">
        <v>2115</v>
      </c>
      <c r="R1101" s="157" t="s">
        <v>8599</v>
      </c>
      <c r="S1101" s="157" t="s">
        <v>8612</v>
      </c>
      <c r="T1101" s="157"/>
      <c r="U1101" s="159" t="s">
        <v>2129</v>
      </c>
      <c r="V1101" s="159" t="s">
        <v>2129</v>
      </c>
      <c r="W1101" s="159" t="s">
        <v>2129</v>
      </c>
      <c r="X1101" s="160">
        <v>1</v>
      </c>
      <c r="Y1101" s="160">
        <v>1</v>
      </c>
      <c r="Z1101" s="160">
        <v>1</v>
      </c>
      <c r="AA1101" s="160">
        <v>1</v>
      </c>
    </row>
    <row r="1102" spans="1:27" ht="18" customHeight="1" x14ac:dyDescent="0.25">
      <c r="A1102" s="159">
        <v>3221</v>
      </c>
      <c r="B1102" s="164" t="s">
        <v>266</v>
      </c>
      <c r="C1102" s="164" t="s">
        <v>519</v>
      </c>
      <c r="D1102" s="159" t="s">
        <v>787</v>
      </c>
      <c r="E1102" s="164" t="s">
        <v>785</v>
      </c>
      <c r="F1102" s="159"/>
      <c r="G1102" s="157" t="s">
        <v>1349</v>
      </c>
      <c r="H1102" s="157" t="s">
        <v>1350</v>
      </c>
      <c r="I1102" s="157" t="s">
        <v>1614</v>
      </c>
      <c r="J1102" s="157" t="s">
        <v>8302</v>
      </c>
      <c r="K1102" s="157" t="s">
        <v>1615</v>
      </c>
      <c r="L1102" s="157" t="s">
        <v>1618</v>
      </c>
      <c r="M1102" s="157" t="str">
        <f t="shared" si="27"/>
        <v>Lidar_SRL5 - Environment Mapping</v>
      </c>
      <c r="N1102" s="157"/>
      <c r="O1102" s="157"/>
      <c r="P1102" s="167" t="s">
        <v>7391</v>
      </c>
      <c r="Q1102" s="157" t="s">
        <v>2115</v>
      </c>
      <c r="R1102" s="157" t="s">
        <v>8599</v>
      </c>
      <c r="S1102" s="157" t="s">
        <v>8612</v>
      </c>
      <c r="T1102" s="157"/>
      <c r="U1102" s="159" t="s">
        <v>2129</v>
      </c>
      <c r="V1102" s="159" t="s">
        <v>2129</v>
      </c>
      <c r="W1102" s="159" t="s">
        <v>2129</v>
      </c>
      <c r="X1102" s="160">
        <v>1</v>
      </c>
      <c r="Y1102" s="160">
        <v>1</v>
      </c>
      <c r="Z1102" s="160">
        <v>1</v>
      </c>
      <c r="AA1102" s="160">
        <v>1</v>
      </c>
    </row>
    <row r="1103" spans="1:27" ht="18" customHeight="1" x14ac:dyDescent="0.25">
      <c r="A1103" s="159">
        <v>3221</v>
      </c>
      <c r="B1103" s="164" t="s">
        <v>266</v>
      </c>
      <c r="C1103" s="164" t="s">
        <v>519</v>
      </c>
      <c r="D1103" s="159" t="s">
        <v>935</v>
      </c>
      <c r="E1103" s="164" t="s">
        <v>933</v>
      </c>
      <c r="F1103" s="159"/>
      <c r="G1103" s="157" t="s">
        <v>1349</v>
      </c>
      <c r="H1103" s="157" t="s">
        <v>1350</v>
      </c>
      <c r="I1103" s="157" t="s">
        <v>1614</v>
      </c>
      <c r="J1103" s="157" t="s">
        <v>8302</v>
      </c>
      <c r="K1103" s="157" t="s">
        <v>1615</v>
      </c>
      <c r="L1103" s="157" t="s">
        <v>1618</v>
      </c>
      <c r="M1103" s="157" t="str">
        <f t="shared" si="27"/>
        <v>Lidar_SRL5 - Environment Mapping</v>
      </c>
      <c r="N1103" s="157"/>
      <c r="O1103" s="157"/>
      <c r="P1103" s="167" t="s">
        <v>7391</v>
      </c>
      <c r="Q1103" s="157" t="s">
        <v>2115</v>
      </c>
      <c r="R1103" s="157" t="s">
        <v>8599</v>
      </c>
      <c r="S1103" s="157" t="s">
        <v>8612</v>
      </c>
      <c r="T1103" s="157"/>
      <c r="U1103" s="159" t="s">
        <v>2129</v>
      </c>
      <c r="V1103" s="159" t="s">
        <v>2129</v>
      </c>
      <c r="W1103" s="159" t="s">
        <v>2129</v>
      </c>
      <c r="X1103" s="160">
        <v>1</v>
      </c>
      <c r="Y1103" s="160">
        <v>1</v>
      </c>
      <c r="Z1103" s="160">
        <v>1</v>
      </c>
      <c r="AA1103" s="160">
        <v>1</v>
      </c>
    </row>
    <row r="1104" spans="1:27" ht="18" customHeight="1" x14ac:dyDescent="0.25">
      <c r="A1104" s="159">
        <v>3221</v>
      </c>
      <c r="B1104" s="164" t="s">
        <v>266</v>
      </c>
      <c r="C1104" s="164" t="s">
        <v>519</v>
      </c>
      <c r="D1104" s="159" t="s">
        <v>1151</v>
      </c>
      <c r="E1104" s="164" t="s">
        <v>1149</v>
      </c>
      <c r="F1104" s="159"/>
      <c r="G1104" s="157" t="s">
        <v>1349</v>
      </c>
      <c r="H1104" s="157" t="s">
        <v>1350</v>
      </c>
      <c r="I1104" s="157" t="s">
        <v>1614</v>
      </c>
      <c r="J1104" s="157" t="s">
        <v>8302</v>
      </c>
      <c r="K1104" s="157" t="s">
        <v>1615</v>
      </c>
      <c r="L1104" s="157" t="s">
        <v>1618</v>
      </c>
      <c r="M1104" s="157" t="str">
        <f t="shared" si="27"/>
        <v>Lidar_SRL5 - Environment Mapping</v>
      </c>
      <c r="N1104" s="157"/>
      <c r="O1104" s="157"/>
      <c r="P1104" s="167" t="s">
        <v>7391</v>
      </c>
      <c r="Q1104" s="157" t="s">
        <v>2115</v>
      </c>
      <c r="R1104" s="157" t="s">
        <v>8599</v>
      </c>
      <c r="S1104" s="157" t="s">
        <v>8612</v>
      </c>
      <c r="T1104" s="157"/>
      <c r="U1104" s="159" t="s">
        <v>2129</v>
      </c>
      <c r="V1104" s="159" t="s">
        <v>2129</v>
      </c>
      <c r="W1104" s="159" t="s">
        <v>2129</v>
      </c>
      <c r="X1104" s="160">
        <v>1</v>
      </c>
      <c r="Y1104" s="160">
        <v>1</v>
      </c>
      <c r="Z1104" s="160">
        <v>1</v>
      </c>
      <c r="AA1104" s="160">
        <v>1</v>
      </c>
    </row>
    <row r="1105" spans="1:27" ht="18" customHeight="1" x14ac:dyDescent="0.25">
      <c r="A1105" s="159">
        <v>3221</v>
      </c>
      <c r="B1105" s="164" t="s">
        <v>266</v>
      </c>
      <c r="C1105" s="164" t="s">
        <v>519</v>
      </c>
      <c r="D1105" s="159" t="s">
        <v>1159</v>
      </c>
      <c r="E1105" s="164" t="s">
        <v>1157</v>
      </c>
      <c r="F1105" s="159"/>
      <c r="G1105" s="157" t="s">
        <v>1349</v>
      </c>
      <c r="H1105" s="157" t="s">
        <v>1350</v>
      </c>
      <c r="I1105" s="157" t="s">
        <v>1614</v>
      </c>
      <c r="J1105" s="157" t="s">
        <v>8302</v>
      </c>
      <c r="K1105" s="157" t="s">
        <v>1615</v>
      </c>
      <c r="L1105" s="157" t="s">
        <v>1618</v>
      </c>
      <c r="M1105" s="157" t="str">
        <f t="shared" si="27"/>
        <v>Lidar_SRL5 - Environment Mapping</v>
      </c>
      <c r="N1105" s="157"/>
      <c r="O1105" s="157"/>
      <c r="P1105" s="167" t="s">
        <v>7391</v>
      </c>
      <c r="Q1105" s="157" t="s">
        <v>2115</v>
      </c>
      <c r="R1105" s="157" t="s">
        <v>8599</v>
      </c>
      <c r="S1105" s="157" t="s">
        <v>8612</v>
      </c>
      <c r="T1105" s="157"/>
      <c r="U1105" s="159" t="s">
        <v>2129</v>
      </c>
      <c r="V1105" s="159" t="s">
        <v>2129</v>
      </c>
      <c r="W1105" s="159" t="s">
        <v>2129</v>
      </c>
      <c r="X1105" s="160">
        <v>1</v>
      </c>
      <c r="Y1105" s="160">
        <v>1</v>
      </c>
      <c r="Z1105" s="160">
        <v>1</v>
      </c>
      <c r="AA1105" s="160">
        <v>1</v>
      </c>
    </row>
    <row r="1106" spans="1:27" ht="18" customHeight="1" x14ac:dyDescent="0.25">
      <c r="A1106" s="159">
        <v>3222</v>
      </c>
      <c r="B1106" s="164" t="s">
        <v>266</v>
      </c>
      <c r="C1106" s="164" t="s">
        <v>276</v>
      </c>
      <c r="D1106" s="159" t="s">
        <v>726</v>
      </c>
      <c r="E1106" s="164" t="s">
        <v>724</v>
      </c>
      <c r="F1106" s="159"/>
      <c r="G1106" s="157" t="s">
        <v>1349</v>
      </c>
      <c r="H1106" s="157" t="s">
        <v>1350</v>
      </c>
      <c r="I1106" s="157" t="s">
        <v>1619</v>
      </c>
      <c r="J1106" s="157" t="s">
        <v>8295</v>
      </c>
      <c r="K1106" s="157" t="s">
        <v>1352</v>
      </c>
      <c r="L1106" s="157" t="s">
        <v>1620</v>
      </c>
      <c r="M1106" s="157" t="str">
        <f t="shared" si="27"/>
        <v>Camera_NFC1 - Short Range View</v>
      </c>
      <c r="N1106" s="157"/>
      <c r="O1106" s="157"/>
      <c r="P1106" s="167" t="s">
        <v>3456</v>
      </c>
      <c r="Q1106" s="157" t="s">
        <v>2115</v>
      </c>
      <c r="R1106" s="157" t="s">
        <v>8291</v>
      </c>
      <c r="S1106" s="157" t="s">
        <v>8604</v>
      </c>
      <c r="T1106" s="157"/>
      <c r="U1106" s="159" t="s">
        <v>2129</v>
      </c>
      <c r="V1106" s="159" t="s">
        <v>2129</v>
      </c>
      <c r="W1106" s="159" t="s">
        <v>2138</v>
      </c>
      <c r="X1106" s="160">
        <v>1</v>
      </c>
      <c r="Y1106" s="160">
        <v>1</v>
      </c>
      <c r="Z1106" s="160">
        <v>1</v>
      </c>
      <c r="AA1106" s="160">
        <v>1</v>
      </c>
    </row>
    <row r="1107" spans="1:27" ht="18" customHeight="1" x14ac:dyDescent="0.25">
      <c r="A1107" s="159">
        <v>3222</v>
      </c>
      <c r="B1107" s="164" t="s">
        <v>266</v>
      </c>
      <c r="C1107" s="164" t="s">
        <v>276</v>
      </c>
      <c r="D1107" s="159" t="s">
        <v>734</v>
      </c>
      <c r="E1107" s="164" t="s">
        <v>732</v>
      </c>
      <c r="F1107" s="159"/>
      <c r="G1107" s="157" t="s">
        <v>1349</v>
      </c>
      <c r="H1107" s="157" t="s">
        <v>1350</v>
      </c>
      <c r="I1107" s="157" t="s">
        <v>1619</v>
      </c>
      <c r="J1107" s="157" t="s">
        <v>8295</v>
      </c>
      <c r="K1107" s="157" t="s">
        <v>1352</v>
      </c>
      <c r="L1107" s="157" t="s">
        <v>1620</v>
      </c>
      <c r="M1107" s="157" t="str">
        <f t="shared" si="27"/>
        <v>Camera_NFC1 - Short Range View</v>
      </c>
      <c r="N1107" s="157"/>
      <c r="O1107" s="157"/>
      <c r="P1107" s="167" t="s">
        <v>3456</v>
      </c>
      <c r="Q1107" s="157" t="s">
        <v>2115</v>
      </c>
      <c r="R1107" s="157" t="s">
        <v>8291</v>
      </c>
      <c r="S1107" s="157" t="s">
        <v>8604</v>
      </c>
      <c r="T1107" s="157"/>
      <c r="U1107" s="159" t="s">
        <v>2129</v>
      </c>
      <c r="V1107" s="159" t="s">
        <v>2129</v>
      </c>
      <c r="W1107" s="159" t="s">
        <v>2138</v>
      </c>
      <c r="X1107" s="160">
        <v>1</v>
      </c>
      <c r="Y1107" s="160">
        <v>1</v>
      </c>
      <c r="Z1107" s="160">
        <v>1</v>
      </c>
      <c r="AA1107" s="160">
        <v>1</v>
      </c>
    </row>
    <row r="1108" spans="1:27" ht="18" customHeight="1" x14ac:dyDescent="0.25">
      <c r="A1108" s="159">
        <v>3222</v>
      </c>
      <c r="B1108" s="164" t="s">
        <v>266</v>
      </c>
      <c r="C1108" s="164" t="s">
        <v>294</v>
      </c>
      <c r="D1108" s="159" t="s">
        <v>297</v>
      </c>
      <c r="E1108" s="164" t="s">
        <v>295</v>
      </c>
      <c r="F1108" s="159"/>
      <c r="G1108" s="157" t="s">
        <v>1349</v>
      </c>
      <c r="H1108" s="157" t="s">
        <v>1350</v>
      </c>
      <c r="I1108" s="157" t="s">
        <v>1619</v>
      </c>
      <c r="J1108" s="157" t="s">
        <v>8295</v>
      </c>
      <c r="K1108" s="157" t="s">
        <v>1352</v>
      </c>
      <c r="L1108" s="157" t="s">
        <v>1620</v>
      </c>
      <c r="M1108" s="157" t="str">
        <f t="shared" si="27"/>
        <v>Camera_NFC1 - Short Range View</v>
      </c>
      <c r="N1108" s="157"/>
      <c r="O1108" s="157"/>
      <c r="P1108" s="167" t="s">
        <v>3456</v>
      </c>
      <c r="Q1108" s="157" t="s">
        <v>2115</v>
      </c>
      <c r="R1108" s="157" t="s">
        <v>8291</v>
      </c>
      <c r="S1108" s="157" t="s">
        <v>8604</v>
      </c>
      <c r="T1108" s="157"/>
      <c r="U1108" s="159" t="s">
        <v>2129</v>
      </c>
      <c r="V1108" s="159" t="s">
        <v>2129</v>
      </c>
      <c r="W1108" s="159" t="s">
        <v>2138</v>
      </c>
      <c r="X1108" s="160">
        <v>1</v>
      </c>
      <c r="Y1108" s="160">
        <v>1</v>
      </c>
      <c r="Z1108" s="160">
        <v>1</v>
      </c>
      <c r="AA1108" s="160">
        <v>1</v>
      </c>
    </row>
    <row r="1109" spans="1:27" ht="18" customHeight="1" x14ac:dyDescent="0.25">
      <c r="A1109" s="159">
        <v>3222</v>
      </c>
      <c r="B1109" s="164" t="s">
        <v>266</v>
      </c>
      <c r="C1109" s="164" t="s">
        <v>294</v>
      </c>
      <c r="D1109" s="159" t="s">
        <v>298</v>
      </c>
      <c r="E1109" s="164" t="s">
        <v>299</v>
      </c>
      <c r="F1109" s="159"/>
      <c r="G1109" s="157" t="s">
        <v>1349</v>
      </c>
      <c r="H1109" s="157" t="s">
        <v>1350</v>
      </c>
      <c r="I1109" s="157" t="s">
        <v>1619</v>
      </c>
      <c r="J1109" s="157" t="s">
        <v>8295</v>
      </c>
      <c r="K1109" s="157" t="s">
        <v>1352</v>
      </c>
      <c r="L1109" s="157" t="s">
        <v>1620</v>
      </c>
      <c r="M1109" s="157" t="str">
        <f t="shared" si="27"/>
        <v>Camera_NFC1 - Short Range View</v>
      </c>
      <c r="N1109" s="157"/>
      <c r="O1109" s="157"/>
      <c r="P1109" s="167" t="s">
        <v>3456</v>
      </c>
      <c r="Q1109" s="157" t="s">
        <v>2115</v>
      </c>
      <c r="R1109" s="157" t="s">
        <v>8291</v>
      </c>
      <c r="S1109" s="157" t="s">
        <v>8604</v>
      </c>
      <c r="T1109" s="157"/>
      <c r="U1109" s="159" t="s">
        <v>2129</v>
      </c>
      <c r="V1109" s="159" t="s">
        <v>2129</v>
      </c>
      <c r="W1109" s="159" t="s">
        <v>2138</v>
      </c>
      <c r="X1109" s="160">
        <v>1</v>
      </c>
      <c r="Y1109" s="160">
        <v>1</v>
      </c>
      <c r="Z1109" s="160">
        <v>1</v>
      </c>
      <c r="AA1109" s="160">
        <v>1</v>
      </c>
    </row>
    <row r="1110" spans="1:27" ht="18" customHeight="1" x14ac:dyDescent="0.25">
      <c r="A1110" s="159">
        <v>3222</v>
      </c>
      <c r="B1110" s="164" t="s">
        <v>266</v>
      </c>
      <c r="C1110" s="164" t="s">
        <v>294</v>
      </c>
      <c r="D1110" s="159" t="s">
        <v>503</v>
      </c>
      <c r="E1110" s="164" t="s">
        <v>501</v>
      </c>
      <c r="F1110" s="159"/>
      <c r="G1110" s="157" t="s">
        <v>1349</v>
      </c>
      <c r="H1110" s="157" t="s">
        <v>1350</v>
      </c>
      <c r="I1110" s="157" t="s">
        <v>1619</v>
      </c>
      <c r="J1110" s="157" t="s">
        <v>8295</v>
      </c>
      <c r="K1110" s="157" t="s">
        <v>1352</v>
      </c>
      <c r="L1110" s="157" t="s">
        <v>1620</v>
      </c>
      <c r="M1110" s="157" t="str">
        <f t="shared" si="27"/>
        <v>Camera_NFC1 - Short Range View</v>
      </c>
      <c r="N1110" s="157"/>
      <c r="O1110" s="157"/>
      <c r="P1110" s="167" t="s">
        <v>3456</v>
      </c>
      <c r="Q1110" s="157" t="s">
        <v>2115</v>
      </c>
      <c r="R1110" s="157" t="s">
        <v>8291</v>
      </c>
      <c r="S1110" s="157" t="s">
        <v>8604</v>
      </c>
      <c r="T1110" s="157"/>
      <c r="U1110" s="159" t="s">
        <v>2129</v>
      </c>
      <c r="V1110" s="159" t="s">
        <v>2129</v>
      </c>
      <c r="W1110" s="159" t="s">
        <v>2138</v>
      </c>
      <c r="X1110" s="160">
        <v>1</v>
      </c>
      <c r="Y1110" s="160">
        <v>1</v>
      </c>
      <c r="Z1110" s="160">
        <v>1</v>
      </c>
      <c r="AA1110" s="160">
        <v>1</v>
      </c>
    </row>
    <row r="1111" spans="1:27" ht="18" customHeight="1" x14ac:dyDescent="0.25">
      <c r="A1111" s="159">
        <v>3222</v>
      </c>
      <c r="B1111" s="164" t="s">
        <v>266</v>
      </c>
      <c r="C1111" s="164" t="s">
        <v>294</v>
      </c>
      <c r="D1111" s="159" t="s">
        <v>692</v>
      </c>
      <c r="E1111" s="164" t="s">
        <v>690</v>
      </c>
      <c r="F1111" s="159"/>
      <c r="G1111" s="157" t="s">
        <v>1349</v>
      </c>
      <c r="H1111" s="157" t="s">
        <v>1350</v>
      </c>
      <c r="I1111" s="157" t="s">
        <v>1619</v>
      </c>
      <c r="J1111" s="157" t="s">
        <v>8295</v>
      </c>
      <c r="K1111" s="157" t="s">
        <v>1352</v>
      </c>
      <c r="L1111" s="157" t="s">
        <v>1620</v>
      </c>
      <c r="M1111" s="157" t="str">
        <f t="shared" si="27"/>
        <v>Camera_NFC1 - Short Range View</v>
      </c>
      <c r="N1111" s="157"/>
      <c r="O1111" s="157"/>
      <c r="P1111" s="167" t="s">
        <v>3456</v>
      </c>
      <c r="Q1111" s="157" t="s">
        <v>2115</v>
      </c>
      <c r="R1111" s="157" t="s">
        <v>8291</v>
      </c>
      <c r="S1111" s="157" t="s">
        <v>8604</v>
      </c>
      <c r="T1111" s="157"/>
      <c r="U1111" s="159" t="s">
        <v>2129</v>
      </c>
      <c r="V1111" s="159" t="s">
        <v>2129</v>
      </c>
      <c r="W1111" s="159" t="s">
        <v>2138</v>
      </c>
      <c r="X1111" s="160">
        <v>1</v>
      </c>
      <c r="Y1111" s="160">
        <v>1</v>
      </c>
      <c r="Z1111" s="160">
        <v>1</v>
      </c>
      <c r="AA1111" s="160">
        <v>1</v>
      </c>
    </row>
    <row r="1112" spans="1:27" ht="18" customHeight="1" x14ac:dyDescent="0.25">
      <c r="A1112" s="159">
        <v>3222</v>
      </c>
      <c r="B1112" s="164" t="s">
        <v>266</v>
      </c>
      <c r="C1112" s="164" t="s">
        <v>294</v>
      </c>
      <c r="D1112" s="159" t="s">
        <v>1177</v>
      </c>
      <c r="E1112" s="164" t="s">
        <v>1175</v>
      </c>
      <c r="F1112" s="159"/>
      <c r="G1112" s="157" t="s">
        <v>1349</v>
      </c>
      <c r="H1112" s="157" t="s">
        <v>1350</v>
      </c>
      <c r="I1112" s="157" t="s">
        <v>1619</v>
      </c>
      <c r="J1112" s="157" t="s">
        <v>8295</v>
      </c>
      <c r="K1112" s="157" t="s">
        <v>1352</v>
      </c>
      <c r="L1112" s="157" t="s">
        <v>1620</v>
      </c>
      <c r="M1112" s="157" t="str">
        <f t="shared" si="27"/>
        <v>Camera_NFC1 - Short Range View</v>
      </c>
      <c r="N1112" s="157"/>
      <c r="O1112" s="157"/>
      <c r="P1112" s="167" t="s">
        <v>3456</v>
      </c>
      <c r="Q1112" s="157" t="s">
        <v>2115</v>
      </c>
      <c r="R1112" s="157" t="s">
        <v>8291</v>
      </c>
      <c r="S1112" s="157" t="s">
        <v>8604</v>
      </c>
      <c r="T1112" s="157"/>
      <c r="U1112" s="159" t="s">
        <v>2129</v>
      </c>
      <c r="V1112" s="159" t="s">
        <v>2129</v>
      </c>
      <c r="W1112" s="159" t="s">
        <v>2138</v>
      </c>
      <c r="X1112" s="160">
        <v>1</v>
      </c>
      <c r="Y1112" s="160">
        <v>1</v>
      </c>
      <c r="Z1112" s="160">
        <v>1</v>
      </c>
      <c r="AA1112" s="160">
        <v>1</v>
      </c>
    </row>
    <row r="1113" spans="1:27" ht="18" customHeight="1" x14ac:dyDescent="0.25">
      <c r="A1113" s="159">
        <v>3222</v>
      </c>
      <c r="B1113" s="164" t="s">
        <v>266</v>
      </c>
      <c r="C1113" s="164" t="s">
        <v>294</v>
      </c>
      <c r="D1113" s="159" t="s">
        <v>1178</v>
      </c>
      <c r="E1113" s="164" t="s">
        <v>1179</v>
      </c>
      <c r="F1113" s="159"/>
      <c r="G1113" s="157" t="s">
        <v>1349</v>
      </c>
      <c r="H1113" s="157" t="s">
        <v>1350</v>
      </c>
      <c r="I1113" s="157" t="s">
        <v>1619</v>
      </c>
      <c r="J1113" s="157" t="s">
        <v>8295</v>
      </c>
      <c r="K1113" s="157" t="s">
        <v>1352</v>
      </c>
      <c r="L1113" s="157" t="s">
        <v>1620</v>
      </c>
      <c r="M1113" s="157" t="str">
        <f t="shared" si="27"/>
        <v>Camera_NFC1 - Short Range View</v>
      </c>
      <c r="N1113" s="157"/>
      <c r="O1113" s="157"/>
      <c r="P1113" s="167" t="s">
        <v>3456</v>
      </c>
      <c r="Q1113" s="157" t="s">
        <v>2115</v>
      </c>
      <c r="R1113" s="157" t="s">
        <v>8291</v>
      </c>
      <c r="S1113" s="157" t="s">
        <v>8604</v>
      </c>
      <c r="T1113" s="157"/>
      <c r="U1113" s="159" t="s">
        <v>2129</v>
      </c>
      <c r="V1113" s="159" t="s">
        <v>2129</v>
      </c>
      <c r="W1113" s="159" t="s">
        <v>2138</v>
      </c>
      <c r="X1113" s="160">
        <v>1</v>
      </c>
      <c r="Y1113" s="160">
        <v>1</v>
      </c>
      <c r="Z1113" s="160">
        <v>1</v>
      </c>
      <c r="AA1113" s="160">
        <v>1</v>
      </c>
    </row>
    <row r="1114" spans="1:27" ht="18" customHeight="1" x14ac:dyDescent="0.25">
      <c r="A1114" s="159">
        <v>3222</v>
      </c>
      <c r="B1114" s="164" t="s">
        <v>266</v>
      </c>
      <c r="C1114" s="164" t="s">
        <v>294</v>
      </c>
      <c r="D1114" s="159" t="s">
        <v>1207</v>
      </c>
      <c r="E1114" s="164" t="s">
        <v>1205</v>
      </c>
      <c r="F1114" s="159"/>
      <c r="G1114" s="157" t="s">
        <v>1349</v>
      </c>
      <c r="H1114" s="157" t="s">
        <v>1350</v>
      </c>
      <c r="I1114" s="157" t="s">
        <v>1619</v>
      </c>
      <c r="J1114" s="157" t="s">
        <v>8295</v>
      </c>
      <c r="K1114" s="157" t="s">
        <v>1352</v>
      </c>
      <c r="L1114" s="157" t="s">
        <v>1620</v>
      </c>
      <c r="M1114" s="157" t="str">
        <f t="shared" si="27"/>
        <v>Camera_NFC1 - Short Range View</v>
      </c>
      <c r="N1114" s="157"/>
      <c r="O1114" s="157"/>
      <c r="P1114" s="167" t="s">
        <v>3456</v>
      </c>
      <c r="Q1114" s="157" t="s">
        <v>2115</v>
      </c>
      <c r="R1114" s="157" t="s">
        <v>8291</v>
      </c>
      <c r="S1114" s="157" t="s">
        <v>8604</v>
      </c>
      <c r="T1114" s="157"/>
      <c r="U1114" s="159" t="s">
        <v>2129</v>
      </c>
      <c r="V1114" s="159" t="s">
        <v>2129</v>
      </c>
      <c r="W1114" s="159" t="s">
        <v>2138</v>
      </c>
      <c r="X1114" s="160">
        <v>1</v>
      </c>
      <c r="Y1114" s="160">
        <v>1</v>
      </c>
      <c r="Z1114" s="160">
        <v>1</v>
      </c>
      <c r="AA1114" s="160">
        <v>1</v>
      </c>
    </row>
    <row r="1115" spans="1:27" ht="18" customHeight="1" x14ac:dyDescent="0.25">
      <c r="A1115" s="159">
        <v>3222</v>
      </c>
      <c r="B1115" s="164" t="s">
        <v>266</v>
      </c>
      <c r="C1115" s="164" t="s">
        <v>519</v>
      </c>
      <c r="D1115" s="159" t="s">
        <v>522</v>
      </c>
      <c r="E1115" s="164" t="s">
        <v>520</v>
      </c>
      <c r="F1115" s="159"/>
      <c r="G1115" s="157" t="s">
        <v>1349</v>
      </c>
      <c r="H1115" s="157" t="s">
        <v>1350</v>
      </c>
      <c r="I1115" s="157" t="s">
        <v>1619</v>
      </c>
      <c r="J1115" s="157" t="s">
        <v>8295</v>
      </c>
      <c r="K1115" s="157" t="s">
        <v>1352</v>
      </c>
      <c r="L1115" s="157" t="s">
        <v>1620</v>
      </c>
      <c r="M1115" s="157" t="str">
        <f t="shared" si="27"/>
        <v>Camera_NFC1 - Short Range View</v>
      </c>
      <c r="N1115" s="157"/>
      <c r="O1115" s="157"/>
      <c r="P1115" s="167" t="s">
        <v>3456</v>
      </c>
      <c r="Q1115" s="157" t="s">
        <v>2115</v>
      </c>
      <c r="R1115" s="157" t="s">
        <v>8291</v>
      </c>
      <c r="S1115" s="157" t="s">
        <v>8604</v>
      </c>
      <c r="T1115" s="157"/>
      <c r="U1115" s="159" t="s">
        <v>2129</v>
      </c>
      <c r="V1115" s="159" t="s">
        <v>2129</v>
      </c>
      <c r="W1115" s="159" t="s">
        <v>2138</v>
      </c>
      <c r="X1115" s="160">
        <v>1</v>
      </c>
      <c r="Y1115" s="160">
        <v>1</v>
      </c>
      <c r="Z1115" s="160">
        <v>1</v>
      </c>
      <c r="AA1115" s="160">
        <v>1</v>
      </c>
    </row>
    <row r="1116" spans="1:27" ht="18" customHeight="1" x14ac:dyDescent="0.25">
      <c r="A1116" s="159">
        <v>3222</v>
      </c>
      <c r="B1116" s="164" t="s">
        <v>266</v>
      </c>
      <c r="C1116" s="164" t="s">
        <v>519</v>
      </c>
      <c r="D1116" s="159" t="s">
        <v>526</v>
      </c>
      <c r="E1116" s="164" t="s">
        <v>524</v>
      </c>
      <c r="F1116" s="159"/>
      <c r="G1116" s="157" t="s">
        <v>1349</v>
      </c>
      <c r="H1116" s="157" t="s">
        <v>1350</v>
      </c>
      <c r="I1116" s="157" t="s">
        <v>1619</v>
      </c>
      <c r="J1116" s="157" t="s">
        <v>8295</v>
      </c>
      <c r="K1116" s="157" t="s">
        <v>1352</v>
      </c>
      <c r="L1116" s="157" t="s">
        <v>1620</v>
      </c>
      <c r="M1116" s="157" t="str">
        <f t="shared" si="27"/>
        <v>Camera_NFC1 - Short Range View</v>
      </c>
      <c r="N1116" s="157"/>
      <c r="O1116" s="157"/>
      <c r="P1116" s="167" t="s">
        <v>3456</v>
      </c>
      <c r="Q1116" s="157" t="s">
        <v>2115</v>
      </c>
      <c r="R1116" s="157" t="s">
        <v>8291</v>
      </c>
      <c r="S1116" s="157" t="s">
        <v>8604</v>
      </c>
      <c r="T1116" s="157"/>
      <c r="U1116" s="159" t="s">
        <v>2129</v>
      </c>
      <c r="V1116" s="159" t="s">
        <v>2129</v>
      </c>
      <c r="W1116" s="159" t="s">
        <v>2138</v>
      </c>
      <c r="X1116" s="160">
        <v>1</v>
      </c>
      <c r="Y1116" s="160">
        <v>1</v>
      </c>
      <c r="Z1116" s="160">
        <v>1</v>
      </c>
      <c r="AA1116" s="160">
        <v>1</v>
      </c>
    </row>
    <row r="1117" spans="1:27" ht="18" customHeight="1" x14ac:dyDescent="0.25">
      <c r="A1117" s="159">
        <v>3222</v>
      </c>
      <c r="B1117" s="164" t="s">
        <v>266</v>
      </c>
      <c r="C1117" s="164" t="s">
        <v>519</v>
      </c>
      <c r="D1117" s="159" t="s">
        <v>530</v>
      </c>
      <c r="E1117" s="164" t="s">
        <v>528</v>
      </c>
      <c r="F1117" s="159"/>
      <c r="G1117" s="157" t="s">
        <v>1349</v>
      </c>
      <c r="H1117" s="157" t="s">
        <v>1350</v>
      </c>
      <c r="I1117" s="157" t="s">
        <v>1619</v>
      </c>
      <c r="J1117" s="157" t="s">
        <v>8295</v>
      </c>
      <c r="K1117" s="157" t="s">
        <v>1352</v>
      </c>
      <c r="L1117" s="157" t="s">
        <v>1620</v>
      </c>
      <c r="M1117" s="157" t="str">
        <f t="shared" si="27"/>
        <v>Camera_NFC1 - Short Range View</v>
      </c>
      <c r="N1117" s="157"/>
      <c r="O1117" s="157"/>
      <c r="P1117" s="167" t="s">
        <v>3456</v>
      </c>
      <c r="Q1117" s="157" t="s">
        <v>2115</v>
      </c>
      <c r="R1117" s="157" t="s">
        <v>8291</v>
      </c>
      <c r="S1117" s="157" t="s">
        <v>8604</v>
      </c>
      <c r="T1117" s="157"/>
      <c r="U1117" s="159" t="s">
        <v>2129</v>
      </c>
      <c r="V1117" s="159" t="s">
        <v>2129</v>
      </c>
      <c r="W1117" s="159" t="s">
        <v>2138</v>
      </c>
      <c r="X1117" s="160">
        <v>1</v>
      </c>
      <c r="Y1117" s="160">
        <v>1</v>
      </c>
      <c r="Z1117" s="160">
        <v>1</v>
      </c>
      <c r="AA1117" s="160">
        <v>1</v>
      </c>
    </row>
    <row r="1118" spans="1:27" ht="18" customHeight="1" x14ac:dyDescent="0.25">
      <c r="A1118" s="159">
        <v>3222</v>
      </c>
      <c r="B1118" s="164" t="s">
        <v>266</v>
      </c>
      <c r="C1118" s="164" t="s">
        <v>519</v>
      </c>
      <c r="D1118" s="159" t="s">
        <v>787</v>
      </c>
      <c r="E1118" s="164" t="s">
        <v>785</v>
      </c>
      <c r="F1118" s="159"/>
      <c r="G1118" s="157" t="s">
        <v>1349</v>
      </c>
      <c r="H1118" s="157" t="s">
        <v>1350</v>
      </c>
      <c r="I1118" s="157" t="s">
        <v>1619</v>
      </c>
      <c r="J1118" s="157" t="s">
        <v>8295</v>
      </c>
      <c r="K1118" s="157" t="s">
        <v>1352</v>
      </c>
      <c r="L1118" s="157" t="s">
        <v>1620</v>
      </c>
      <c r="M1118" s="157" t="str">
        <f t="shared" si="27"/>
        <v>Camera_NFC1 - Short Range View</v>
      </c>
      <c r="N1118" s="157"/>
      <c r="O1118" s="157"/>
      <c r="P1118" s="167" t="s">
        <v>3456</v>
      </c>
      <c r="Q1118" s="157" t="s">
        <v>2115</v>
      </c>
      <c r="R1118" s="157" t="s">
        <v>8291</v>
      </c>
      <c r="S1118" s="157" t="s">
        <v>8604</v>
      </c>
      <c r="T1118" s="157"/>
      <c r="U1118" s="159" t="s">
        <v>2129</v>
      </c>
      <c r="V1118" s="159" t="s">
        <v>2129</v>
      </c>
      <c r="W1118" s="159" t="s">
        <v>2138</v>
      </c>
      <c r="X1118" s="160">
        <v>1</v>
      </c>
      <c r="Y1118" s="160">
        <v>1</v>
      </c>
      <c r="Z1118" s="160">
        <v>1</v>
      </c>
      <c r="AA1118" s="160">
        <v>1</v>
      </c>
    </row>
    <row r="1119" spans="1:27" ht="18" customHeight="1" x14ac:dyDescent="0.25">
      <c r="A1119" s="159">
        <v>3222</v>
      </c>
      <c r="B1119" s="164" t="s">
        <v>266</v>
      </c>
      <c r="C1119" s="164" t="s">
        <v>519</v>
      </c>
      <c r="D1119" s="159" t="s">
        <v>935</v>
      </c>
      <c r="E1119" s="164" t="s">
        <v>933</v>
      </c>
      <c r="F1119" s="159"/>
      <c r="G1119" s="157" t="s">
        <v>1349</v>
      </c>
      <c r="H1119" s="157" t="s">
        <v>1350</v>
      </c>
      <c r="I1119" s="157" t="s">
        <v>1619</v>
      </c>
      <c r="J1119" s="157" t="s">
        <v>8295</v>
      </c>
      <c r="K1119" s="157" t="s">
        <v>1352</v>
      </c>
      <c r="L1119" s="157" t="s">
        <v>1620</v>
      </c>
      <c r="M1119" s="157" t="str">
        <f t="shared" si="27"/>
        <v>Camera_NFC1 - Short Range View</v>
      </c>
      <c r="N1119" s="157"/>
      <c r="O1119" s="157"/>
      <c r="P1119" s="167" t="s">
        <v>3456</v>
      </c>
      <c r="Q1119" s="157" t="s">
        <v>2115</v>
      </c>
      <c r="R1119" s="157" t="s">
        <v>8291</v>
      </c>
      <c r="S1119" s="157" t="s">
        <v>8604</v>
      </c>
      <c r="T1119" s="157"/>
      <c r="U1119" s="159" t="s">
        <v>2129</v>
      </c>
      <c r="V1119" s="159" t="s">
        <v>2129</v>
      </c>
      <c r="W1119" s="159" t="s">
        <v>2138</v>
      </c>
      <c r="X1119" s="160">
        <v>1</v>
      </c>
      <c r="Y1119" s="160">
        <v>1</v>
      </c>
      <c r="Z1119" s="160">
        <v>1</v>
      </c>
      <c r="AA1119" s="160">
        <v>1</v>
      </c>
    </row>
    <row r="1120" spans="1:27" ht="18" customHeight="1" x14ac:dyDescent="0.25">
      <c r="A1120" s="159">
        <v>3222</v>
      </c>
      <c r="B1120" s="164" t="s">
        <v>266</v>
      </c>
      <c r="C1120" s="164" t="s">
        <v>519</v>
      </c>
      <c r="D1120" s="159" t="s">
        <v>1151</v>
      </c>
      <c r="E1120" s="164" t="s">
        <v>1149</v>
      </c>
      <c r="F1120" s="159"/>
      <c r="G1120" s="157" t="s">
        <v>1349</v>
      </c>
      <c r="H1120" s="157" t="s">
        <v>1350</v>
      </c>
      <c r="I1120" s="157" t="s">
        <v>1619</v>
      </c>
      <c r="J1120" s="157" t="s">
        <v>8295</v>
      </c>
      <c r="K1120" s="157" t="s">
        <v>1352</v>
      </c>
      <c r="L1120" s="157" t="s">
        <v>1620</v>
      </c>
      <c r="M1120" s="157" t="str">
        <f t="shared" si="27"/>
        <v>Camera_NFC1 - Short Range View</v>
      </c>
      <c r="N1120" s="157"/>
      <c r="O1120" s="157"/>
      <c r="P1120" s="167" t="s">
        <v>3456</v>
      </c>
      <c r="Q1120" s="157" t="s">
        <v>2115</v>
      </c>
      <c r="R1120" s="157" t="s">
        <v>8291</v>
      </c>
      <c r="S1120" s="157" t="s">
        <v>8604</v>
      </c>
      <c r="T1120" s="157"/>
      <c r="U1120" s="159" t="s">
        <v>2129</v>
      </c>
      <c r="V1120" s="159" t="s">
        <v>2129</v>
      </c>
      <c r="W1120" s="159" t="s">
        <v>2138</v>
      </c>
      <c r="X1120" s="160">
        <v>1</v>
      </c>
      <c r="Y1120" s="160">
        <v>1</v>
      </c>
      <c r="Z1120" s="160">
        <v>1</v>
      </c>
      <c r="AA1120" s="160">
        <v>1</v>
      </c>
    </row>
    <row r="1121" spans="1:27" ht="18" customHeight="1" x14ac:dyDescent="0.25">
      <c r="A1121" s="159">
        <v>3222</v>
      </c>
      <c r="B1121" s="164" t="s">
        <v>266</v>
      </c>
      <c r="C1121" s="164" t="s">
        <v>519</v>
      </c>
      <c r="D1121" s="159" t="s">
        <v>1159</v>
      </c>
      <c r="E1121" s="164" t="s">
        <v>1157</v>
      </c>
      <c r="F1121" s="159"/>
      <c r="G1121" s="157" t="s">
        <v>1349</v>
      </c>
      <c r="H1121" s="157" t="s">
        <v>1350</v>
      </c>
      <c r="I1121" s="157" t="s">
        <v>1619</v>
      </c>
      <c r="J1121" s="157" t="s">
        <v>8295</v>
      </c>
      <c r="K1121" s="157" t="s">
        <v>1352</v>
      </c>
      <c r="L1121" s="157" t="s">
        <v>1620</v>
      </c>
      <c r="M1121" s="157" t="str">
        <f t="shared" si="27"/>
        <v>Camera_NFC1 - Short Range View</v>
      </c>
      <c r="N1121" s="157"/>
      <c r="O1121" s="157"/>
      <c r="P1121" s="167" t="s">
        <v>3456</v>
      </c>
      <c r="Q1121" s="157" t="s">
        <v>2115</v>
      </c>
      <c r="R1121" s="157" t="s">
        <v>8291</v>
      </c>
      <c r="S1121" s="157" t="s">
        <v>8604</v>
      </c>
      <c r="T1121" s="157"/>
      <c r="U1121" s="159" t="s">
        <v>2129</v>
      </c>
      <c r="V1121" s="159" t="s">
        <v>2129</v>
      </c>
      <c r="W1121" s="159" t="s">
        <v>2138</v>
      </c>
      <c r="X1121" s="160">
        <v>1</v>
      </c>
      <c r="Y1121" s="160">
        <v>1</v>
      </c>
      <c r="Z1121" s="160">
        <v>1</v>
      </c>
      <c r="AA1121" s="160">
        <v>1</v>
      </c>
    </row>
    <row r="1122" spans="1:27" ht="18" customHeight="1" x14ac:dyDescent="0.25">
      <c r="A1122" s="159">
        <v>3223</v>
      </c>
      <c r="B1122" s="164" t="s">
        <v>29</v>
      </c>
      <c r="C1122" s="164" t="s">
        <v>113</v>
      </c>
      <c r="D1122" s="159" t="s">
        <v>439</v>
      </c>
      <c r="E1122" s="164" t="s">
        <v>437</v>
      </c>
      <c r="F1122" s="159"/>
      <c r="G1122" s="157" t="s">
        <v>1349</v>
      </c>
      <c r="H1122" s="157" t="s">
        <v>1350</v>
      </c>
      <c r="I1122" s="157" t="s">
        <v>1619</v>
      </c>
      <c r="J1122" s="157" t="s">
        <v>8295</v>
      </c>
      <c r="K1122" s="157" t="s">
        <v>1352</v>
      </c>
      <c r="L1122" s="157" t="s">
        <v>1621</v>
      </c>
      <c r="M1122" s="157" t="str">
        <f t="shared" si="27"/>
        <v>Camera_NFC2 - Short Range View</v>
      </c>
      <c r="N1122" s="157"/>
      <c r="O1122" s="157"/>
      <c r="P1122" s="159" t="s">
        <v>2311</v>
      </c>
      <c r="Q1122" s="157" t="s">
        <v>2115</v>
      </c>
      <c r="R1122" s="157" t="s">
        <v>8291</v>
      </c>
      <c r="S1122" s="157" t="s">
        <v>8604</v>
      </c>
      <c r="T1122" s="157"/>
      <c r="U1122" s="159" t="s">
        <v>2129</v>
      </c>
      <c r="V1122" s="159" t="s">
        <v>2129</v>
      </c>
      <c r="W1122" s="159" t="s">
        <v>2138</v>
      </c>
      <c r="X1122" s="160">
        <v>1</v>
      </c>
      <c r="Y1122" s="160">
        <v>1</v>
      </c>
      <c r="Z1122" s="160">
        <v>1</v>
      </c>
      <c r="AA1122" s="160">
        <v>1</v>
      </c>
    </row>
    <row r="1123" spans="1:27" ht="18" customHeight="1" x14ac:dyDescent="0.25">
      <c r="A1123" s="159">
        <v>3223</v>
      </c>
      <c r="B1123" s="164" t="s">
        <v>266</v>
      </c>
      <c r="C1123" s="164" t="s">
        <v>276</v>
      </c>
      <c r="D1123" s="159" t="s">
        <v>726</v>
      </c>
      <c r="E1123" s="164" t="s">
        <v>724</v>
      </c>
      <c r="F1123" s="159"/>
      <c r="G1123" s="157" t="s">
        <v>1349</v>
      </c>
      <c r="H1123" s="157" t="s">
        <v>1350</v>
      </c>
      <c r="I1123" s="157" t="s">
        <v>1619</v>
      </c>
      <c r="J1123" s="157" t="s">
        <v>8295</v>
      </c>
      <c r="K1123" s="157" t="s">
        <v>1352</v>
      </c>
      <c r="L1123" s="157" t="s">
        <v>1621</v>
      </c>
      <c r="M1123" s="157" t="str">
        <f t="shared" si="27"/>
        <v>Camera_NFC2 - Short Range View</v>
      </c>
      <c r="N1123" s="157"/>
      <c r="O1123" s="157"/>
      <c r="P1123" s="159" t="s">
        <v>2311</v>
      </c>
      <c r="Q1123" s="157" t="s">
        <v>2115</v>
      </c>
      <c r="R1123" s="157" t="s">
        <v>8291</v>
      </c>
      <c r="S1123" s="157" t="s">
        <v>8604</v>
      </c>
      <c r="T1123" s="157"/>
      <c r="U1123" s="159" t="s">
        <v>2129</v>
      </c>
      <c r="V1123" s="159" t="s">
        <v>2129</v>
      </c>
      <c r="W1123" s="159" t="s">
        <v>2138</v>
      </c>
      <c r="X1123" s="160">
        <v>1</v>
      </c>
      <c r="Y1123" s="160">
        <v>1</v>
      </c>
      <c r="Z1123" s="160">
        <v>1</v>
      </c>
      <c r="AA1123" s="160">
        <v>1</v>
      </c>
    </row>
    <row r="1124" spans="1:27" ht="18" customHeight="1" x14ac:dyDescent="0.25">
      <c r="A1124" s="159">
        <v>3223</v>
      </c>
      <c r="B1124" s="164" t="s">
        <v>266</v>
      </c>
      <c r="C1124" s="164" t="s">
        <v>276</v>
      </c>
      <c r="D1124" s="159" t="s">
        <v>734</v>
      </c>
      <c r="E1124" s="164" t="s">
        <v>732</v>
      </c>
      <c r="F1124" s="159"/>
      <c r="G1124" s="157" t="s">
        <v>1349</v>
      </c>
      <c r="H1124" s="157" t="s">
        <v>1350</v>
      </c>
      <c r="I1124" s="157" t="s">
        <v>1619</v>
      </c>
      <c r="J1124" s="157" t="s">
        <v>8295</v>
      </c>
      <c r="K1124" s="157" t="s">
        <v>1352</v>
      </c>
      <c r="L1124" s="157" t="s">
        <v>1621</v>
      </c>
      <c r="M1124" s="157" t="str">
        <f t="shared" si="27"/>
        <v>Camera_NFC2 - Short Range View</v>
      </c>
      <c r="N1124" s="157"/>
      <c r="O1124" s="157"/>
      <c r="P1124" s="159" t="s">
        <v>2311</v>
      </c>
      <c r="Q1124" s="157" t="s">
        <v>2115</v>
      </c>
      <c r="R1124" s="157" t="s">
        <v>8291</v>
      </c>
      <c r="S1124" s="157" t="s">
        <v>8604</v>
      </c>
      <c r="T1124" s="157"/>
      <c r="U1124" s="159" t="s">
        <v>2129</v>
      </c>
      <c r="V1124" s="159" t="s">
        <v>2129</v>
      </c>
      <c r="W1124" s="159" t="s">
        <v>2138</v>
      </c>
      <c r="X1124" s="160">
        <v>1</v>
      </c>
      <c r="Y1124" s="160">
        <v>1</v>
      </c>
      <c r="Z1124" s="160">
        <v>1</v>
      </c>
      <c r="AA1124" s="160">
        <v>1</v>
      </c>
    </row>
    <row r="1125" spans="1:27" ht="18" customHeight="1" x14ac:dyDescent="0.25">
      <c r="A1125" s="159">
        <v>3223</v>
      </c>
      <c r="B1125" s="164" t="s">
        <v>266</v>
      </c>
      <c r="C1125" s="164" t="s">
        <v>294</v>
      </c>
      <c r="D1125" s="159" t="s">
        <v>297</v>
      </c>
      <c r="E1125" s="164" t="s">
        <v>295</v>
      </c>
      <c r="F1125" s="159"/>
      <c r="G1125" s="157" t="s">
        <v>1349</v>
      </c>
      <c r="H1125" s="157" t="s">
        <v>1350</v>
      </c>
      <c r="I1125" s="157" t="s">
        <v>1619</v>
      </c>
      <c r="J1125" s="157" t="s">
        <v>8295</v>
      </c>
      <c r="K1125" s="157" t="s">
        <v>1352</v>
      </c>
      <c r="L1125" s="157" t="s">
        <v>1621</v>
      </c>
      <c r="M1125" s="157" t="str">
        <f t="shared" si="27"/>
        <v>Camera_NFC2 - Short Range View</v>
      </c>
      <c r="N1125" s="157"/>
      <c r="O1125" s="157"/>
      <c r="P1125" s="159" t="s">
        <v>2311</v>
      </c>
      <c r="Q1125" s="157" t="s">
        <v>2115</v>
      </c>
      <c r="R1125" s="157" t="s">
        <v>8291</v>
      </c>
      <c r="S1125" s="157" t="s">
        <v>8604</v>
      </c>
      <c r="T1125" s="157"/>
      <c r="U1125" s="159" t="s">
        <v>2129</v>
      </c>
      <c r="V1125" s="159" t="s">
        <v>2129</v>
      </c>
      <c r="W1125" s="159" t="s">
        <v>2138</v>
      </c>
      <c r="X1125" s="160">
        <v>1</v>
      </c>
      <c r="Y1125" s="160">
        <v>1</v>
      </c>
      <c r="Z1125" s="160">
        <v>1</v>
      </c>
      <c r="AA1125" s="160">
        <v>1</v>
      </c>
    </row>
    <row r="1126" spans="1:27" ht="18" customHeight="1" x14ac:dyDescent="0.25">
      <c r="A1126" s="159">
        <v>3223</v>
      </c>
      <c r="B1126" s="164" t="s">
        <v>266</v>
      </c>
      <c r="C1126" s="164" t="s">
        <v>294</v>
      </c>
      <c r="D1126" s="159" t="s">
        <v>298</v>
      </c>
      <c r="E1126" s="164" t="s">
        <v>299</v>
      </c>
      <c r="F1126" s="159"/>
      <c r="G1126" s="157" t="s">
        <v>1349</v>
      </c>
      <c r="H1126" s="157" t="s">
        <v>1350</v>
      </c>
      <c r="I1126" s="157" t="s">
        <v>1619</v>
      </c>
      <c r="J1126" s="157" t="s">
        <v>8295</v>
      </c>
      <c r="K1126" s="157" t="s">
        <v>1352</v>
      </c>
      <c r="L1126" s="157" t="s">
        <v>1621</v>
      </c>
      <c r="M1126" s="157" t="str">
        <f t="shared" si="27"/>
        <v>Camera_NFC2 - Short Range View</v>
      </c>
      <c r="N1126" s="157"/>
      <c r="O1126" s="157"/>
      <c r="P1126" s="159" t="s">
        <v>2311</v>
      </c>
      <c r="Q1126" s="157" t="s">
        <v>2115</v>
      </c>
      <c r="R1126" s="157" t="s">
        <v>8291</v>
      </c>
      <c r="S1126" s="157" t="s">
        <v>8604</v>
      </c>
      <c r="T1126" s="157"/>
      <c r="U1126" s="159" t="s">
        <v>2129</v>
      </c>
      <c r="V1126" s="159" t="s">
        <v>2129</v>
      </c>
      <c r="W1126" s="159" t="s">
        <v>2138</v>
      </c>
      <c r="X1126" s="160">
        <v>1</v>
      </c>
      <c r="Y1126" s="160">
        <v>1</v>
      </c>
      <c r="Z1126" s="160">
        <v>1</v>
      </c>
      <c r="AA1126" s="160">
        <v>1</v>
      </c>
    </row>
    <row r="1127" spans="1:27" ht="18" customHeight="1" x14ac:dyDescent="0.25">
      <c r="A1127" s="159">
        <v>3223</v>
      </c>
      <c r="B1127" s="164" t="s">
        <v>266</v>
      </c>
      <c r="C1127" s="164" t="s">
        <v>294</v>
      </c>
      <c r="D1127" s="159" t="s">
        <v>503</v>
      </c>
      <c r="E1127" s="164" t="s">
        <v>501</v>
      </c>
      <c r="F1127" s="159"/>
      <c r="G1127" s="157" t="s">
        <v>1349</v>
      </c>
      <c r="H1127" s="157" t="s">
        <v>1350</v>
      </c>
      <c r="I1127" s="157" t="s">
        <v>1619</v>
      </c>
      <c r="J1127" s="157" t="s">
        <v>8295</v>
      </c>
      <c r="K1127" s="157" t="s">
        <v>1352</v>
      </c>
      <c r="L1127" s="157" t="s">
        <v>1621</v>
      </c>
      <c r="M1127" s="157" t="str">
        <f t="shared" si="27"/>
        <v>Camera_NFC2 - Short Range View</v>
      </c>
      <c r="N1127" s="157"/>
      <c r="O1127" s="157"/>
      <c r="P1127" s="159" t="s">
        <v>2311</v>
      </c>
      <c r="Q1127" s="157" t="s">
        <v>2115</v>
      </c>
      <c r="R1127" s="157" t="s">
        <v>8291</v>
      </c>
      <c r="S1127" s="157" t="s">
        <v>8604</v>
      </c>
      <c r="T1127" s="157"/>
      <c r="U1127" s="159" t="s">
        <v>2129</v>
      </c>
      <c r="V1127" s="159" t="s">
        <v>2129</v>
      </c>
      <c r="W1127" s="159" t="s">
        <v>2138</v>
      </c>
      <c r="X1127" s="160">
        <v>1</v>
      </c>
      <c r="Y1127" s="160">
        <v>1</v>
      </c>
      <c r="Z1127" s="160">
        <v>1</v>
      </c>
      <c r="AA1127" s="160">
        <v>1</v>
      </c>
    </row>
    <row r="1128" spans="1:27" ht="18" customHeight="1" x14ac:dyDescent="0.25">
      <c r="A1128" s="159">
        <v>3223</v>
      </c>
      <c r="B1128" s="164" t="s">
        <v>266</v>
      </c>
      <c r="C1128" s="164" t="s">
        <v>294</v>
      </c>
      <c r="D1128" s="159" t="s">
        <v>692</v>
      </c>
      <c r="E1128" s="164" t="s">
        <v>690</v>
      </c>
      <c r="F1128" s="159"/>
      <c r="G1128" s="157" t="s">
        <v>1349</v>
      </c>
      <c r="H1128" s="157" t="s">
        <v>1350</v>
      </c>
      <c r="I1128" s="157" t="s">
        <v>1619</v>
      </c>
      <c r="J1128" s="157" t="s">
        <v>8295</v>
      </c>
      <c r="K1128" s="157" t="s">
        <v>1352</v>
      </c>
      <c r="L1128" s="157" t="s">
        <v>1621</v>
      </c>
      <c r="M1128" s="157" t="str">
        <f t="shared" si="27"/>
        <v>Camera_NFC2 - Short Range View</v>
      </c>
      <c r="N1128" s="157"/>
      <c r="O1128" s="157"/>
      <c r="P1128" s="159" t="s">
        <v>2311</v>
      </c>
      <c r="Q1128" s="157" t="s">
        <v>2115</v>
      </c>
      <c r="R1128" s="157" t="s">
        <v>8291</v>
      </c>
      <c r="S1128" s="157" t="s">
        <v>8604</v>
      </c>
      <c r="T1128" s="157"/>
      <c r="U1128" s="159" t="s">
        <v>2129</v>
      </c>
      <c r="V1128" s="159" t="s">
        <v>2129</v>
      </c>
      <c r="W1128" s="159" t="s">
        <v>2138</v>
      </c>
      <c r="X1128" s="160">
        <v>1</v>
      </c>
      <c r="Y1128" s="160">
        <v>1</v>
      </c>
      <c r="Z1128" s="160">
        <v>1</v>
      </c>
      <c r="AA1128" s="160">
        <v>1</v>
      </c>
    </row>
    <row r="1129" spans="1:27" ht="18" customHeight="1" x14ac:dyDescent="0.25">
      <c r="A1129" s="159">
        <v>3223</v>
      </c>
      <c r="B1129" s="164" t="s">
        <v>266</v>
      </c>
      <c r="C1129" s="164" t="s">
        <v>294</v>
      </c>
      <c r="D1129" s="159" t="s">
        <v>1177</v>
      </c>
      <c r="E1129" s="164" t="s">
        <v>1175</v>
      </c>
      <c r="F1129" s="159"/>
      <c r="G1129" s="157" t="s">
        <v>1349</v>
      </c>
      <c r="H1129" s="157" t="s">
        <v>1350</v>
      </c>
      <c r="I1129" s="157" t="s">
        <v>1619</v>
      </c>
      <c r="J1129" s="157" t="s">
        <v>8295</v>
      </c>
      <c r="K1129" s="157" t="s">
        <v>1352</v>
      </c>
      <c r="L1129" s="157" t="s">
        <v>1621</v>
      </c>
      <c r="M1129" s="157" t="str">
        <f t="shared" si="27"/>
        <v>Camera_NFC2 - Short Range View</v>
      </c>
      <c r="N1129" s="157"/>
      <c r="O1129" s="157"/>
      <c r="P1129" s="159" t="s">
        <v>2311</v>
      </c>
      <c r="Q1129" s="157" t="s">
        <v>2115</v>
      </c>
      <c r="R1129" s="157" t="s">
        <v>8291</v>
      </c>
      <c r="S1129" s="157" t="s">
        <v>8604</v>
      </c>
      <c r="T1129" s="157"/>
      <c r="U1129" s="159" t="s">
        <v>2129</v>
      </c>
      <c r="V1129" s="159" t="s">
        <v>2129</v>
      </c>
      <c r="W1129" s="159" t="s">
        <v>2138</v>
      </c>
      <c r="X1129" s="160">
        <v>1</v>
      </c>
      <c r="Y1129" s="160">
        <v>1</v>
      </c>
      <c r="Z1129" s="160">
        <v>1</v>
      </c>
      <c r="AA1129" s="160">
        <v>1</v>
      </c>
    </row>
    <row r="1130" spans="1:27" ht="18" customHeight="1" x14ac:dyDescent="0.25">
      <c r="A1130" s="159">
        <v>3223</v>
      </c>
      <c r="B1130" s="164" t="s">
        <v>266</v>
      </c>
      <c r="C1130" s="164" t="s">
        <v>294</v>
      </c>
      <c r="D1130" s="159" t="s">
        <v>1178</v>
      </c>
      <c r="E1130" s="164" t="s">
        <v>1179</v>
      </c>
      <c r="F1130" s="159"/>
      <c r="G1130" s="157" t="s">
        <v>1349</v>
      </c>
      <c r="H1130" s="157" t="s">
        <v>1350</v>
      </c>
      <c r="I1130" s="157" t="s">
        <v>1619</v>
      </c>
      <c r="J1130" s="157" t="s">
        <v>8295</v>
      </c>
      <c r="K1130" s="157" t="s">
        <v>1352</v>
      </c>
      <c r="L1130" s="157" t="s">
        <v>1621</v>
      </c>
      <c r="M1130" s="157" t="str">
        <f t="shared" si="27"/>
        <v>Camera_NFC2 - Short Range View</v>
      </c>
      <c r="N1130" s="157"/>
      <c r="O1130" s="157"/>
      <c r="P1130" s="159" t="s">
        <v>2311</v>
      </c>
      <c r="Q1130" s="157" t="s">
        <v>2115</v>
      </c>
      <c r="R1130" s="157" t="s">
        <v>8291</v>
      </c>
      <c r="S1130" s="157" t="s">
        <v>8604</v>
      </c>
      <c r="T1130" s="157"/>
      <c r="U1130" s="159" t="s">
        <v>2129</v>
      </c>
      <c r="V1130" s="159" t="s">
        <v>2129</v>
      </c>
      <c r="W1130" s="159" t="s">
        <v>2138</v>
      </c>
      <c r="X1130" s="160">
        <v>1</v>
      </c>
      <c r="Y1130" s="160">
        <v>1</v>
      </c>
      <c r="Z1130" s="160">
        <v>1</v>
      </c>
      <c r="AA1130" s="160">
        <v>1</v>
      </c>
    </row>
    <row r="1131" spans="1:27" ht="18" customHeight="1" x14ac:dyDescent="0.25">
      <c r="A1131" s="159">
        <v>3223</v>
      </c>
      <c r="B1131" s="164" t="s">
        <v>266</v>
      </c>
      <c r="C1131" s="164" t="s">
        <v>294</v>
      </c>
      <c r="D1131" s="159" t="s">
        <v>1207</v>
      </c>
      <c r="E1131" s="164" t="s">
        <v>1205</v>
      </c>
      <c r="F1131" s="159"/>
      <c r="G1131" s="157" t="s">
        <v>1349</v>
      </c>
      <c r="H1131" s="157" t="s">
        <v>1350</v>
      </c>
      <c r="I1131" s="157" t="s">
        <v>1619</v>
      </c>
      <c r="J1131" s="157" t="s">
        <v>8295</v>
      </c>
      <c r="K1131" s="157" t="s">
        <v>1352</v>
      </c>
      <c r="L1131" s="157" t="s">
        <v>1621</v>
      </c>
      <c r="M1131" s="157" t="str">
        <f t="shared" si="27"/>
        <v>Camera_NFC2 - Short Range View</v>
      </c>
      <c r="N1131" s="157"/>
      <c r="O1131" s="157"/>
      <c r="P1131" s="159" t="s">
        <v>2311</v>
      </c>
      <c r="Q1131" s="157" t="s">
        <v>2115</v>
      </c>
      <c r="R1131" s="157" t="s">
        <v>8291</v>
      </c>
      <c r="S1131" s="157" t="s">
        <v>8604</v>
      </c>
      <c r="T1131" s="157"/>
      <c r="U1131" s="159" t="s">
        <v>2129</v>
      </c>
      <c r="V1131" s="159" t="s">
        <v>2129</v>
      </c>
      <c r="W1131" s="159" t="s">
        <v>2138</v>
      </c>
      <c r="X1131" s="160">
        <v>1</v>
      </c>
      <c r="Y1131" s="160">
        <v>1</v>
      </c>
      <c r="Z1131" s="160">
        <v>1</v>
      </c>
      <c r="AA1131" s="160">
        <v>1</v>
      </c>
    </row>
    <row r="1132" spans="1:27" ht="18" customHeight="1" x14ac:dyDescent="0.25">
      <c r="A1132" s="159">
        <v>3223</v>
      </c>
      <c r="B1132" s="164" t="s">
        <v>266</v>
      </c>
      <c r="C1132" s="164" t="s">
        <v>519</v>
      </c>
      <c r="D1132" s="159" t="s">
        <v>522</v>
      </c>
      <c r="E1132" s="164" t="s">
        <v>520</v>
      </c>
      <c r="F1132" s="159"/>
      <c r="G1132" s="157" t="s">
        <v>1349</v>
      </c>
      <c r="H1132" s="157" t="s">
        <v>1350</v>
      </c>
      <c r="I1132" s="157" t="s">
        <v>1619</v>
      </c>
      <c r="J1132" s="157" t="s">
        <v>8295</v>
      </c>
      <c r="K1132" s="157" t="s">
        <v>1352</v>
      </c>
      <c r="L1132" s="157" t="s">
        <v>1621</v>
      </c>
      <c r="M1132" s="157" t="str">
        <f t="shared" si="27"/>
        <v>Camera_NFC2 - Short Range View</v>
      </c>
      <c r="N1132" s="157"/>
      <c r="O1132" s="157"/>
      <c r="P1132" s="159" t="s">
        <v>2311</v>
      </c>
      <c r="Q1132" s="157" t="s">
        <v>2115</v>
      </c>
      <c r="R1132" s="157" t="s">
        <v>8291</v>
      </c>
      <c r="S1132" s="157" t="s">
        <v>8604</v>
      </c>
      <c r="T1132" s="157"/>
      <c r="U1132" s="159" t="s">
        <v>2129</v>
      </c>
      <c r="V1132" s="159" t="s">
        <v>2129</v>
      </c>
      <c r="W1132" s="159" t="s">
        <v>2138</v>
      </c>
      <c r="X1132" s="160">
        <v>1</v>
      </c>
      <c r="Y1132" s="160">
        <v>1</v>
      </c>
      <c r="Z1132" s="160">
        <v>1</v>
      </c>
      <c r="AA1132" s="160">
        <v>1</v>
      </c>
    </row>
    <row r="1133" spans="1:27" ht="18" customHeight="1" x14ac:dyDescent="0.25">
      <c r="A1133" s="159">
        <v>3223</v>
      </c>
      <c r="B1133" s="164" t="s">
        <v>266</v>
      </c>
      <c r="C1133" s="164" t="s">
        <v>519</v>
      </c>
      <c r="D1133" s="159" t="s">
        <v>526</v>
      </c>
      <c r="E1133" s="164" t="s">
        <v>524</v>
      </c>
      <c r="F1133" s="159"/>
      <c r="G1133" s="157" t="s">
        <v>1349</v>
      </c>
      <c r="H1133" s="157" t="s">
        <v>1350</v>
      </c>
      <c r="I1133" s="157" t="s">
        <v>1619</v>
      </c>
      <c r="J1133" s="157" t="s">
        <v>8295</v>
      </c>
      <c r="K1133" s="157" t="s">
        <v>1352</v>
      </c>
      <c r="L1133" s="157" t="s">
        <v>1621</v>
      </c>
      <c r="M1133" s="157" t="str">
        <f t="shared" si="27"/>
        <v>Camera_NFC2 - Short Range View</v>
      </c>
      <c r="N1133" s="157"/>
      <c r="O1133" s="157"/>
      <c r="P1133" s="159" t="s">
        <v>2311</v>
      </c>
      <c r="Q1133" s="157" t="s">
        <v>2115</v>
      </c>
      <c r="R1133" s="157" t="s">
        <v>8291</v>
      </c>
      <c r="S1133" s="157" t="s">
        <v>8604</v>
      </c>
      <c r="T1133" s="157"/>
      <c r="U1133" s="159" t="s">
        <v>2129</v>
      </c>
      <c r="V1133" s="159" t="s">
        <v>2129</v>
      </c>
      <c r="W1133" s="159" t="s">
        <v>2138</v>
      </c>
      <c r="X1133" s="160">
        <v>1</v>
      </c>
      <c r="Y1133" s="160">
        <v>1</v>
      </c>
      <c r="Z1133" s="160">
        <v>1</v>
      </c>
      <c r="AA1133" s="160">
        <v>1</v>
      </c>
    </row>
    <row r="1134" spans="1:27" ht="18" customHeight="1" x14ac:dyDescent="0.25">
      <c r="A1134" s="159">
        <v>3223</v>
      </c>
      <c r="B1134" s="164" t="s">
        <v>266</v>
      </c>
      <c r="C1134" s="164" t="s">
        <v>519</v>
      </c>
      <c r="D1134" s="159" t="s">
        <v>530</v>
      </c>
      <c r="E1134" s="164" t="s">
        <v>528</v>
      </c>
      <c r="F1134" s="159"/>
      <c r="G1134" s="157" t="s">
        <v>1349</v>
      </c>
      <c r="H1134" s="157" t="s">
        <v>1350</v>
      </c>
      <c r="I1134" s="157" t="s">
        <v>1619</v>
      </c>
      <c r="J1134" s="157" t="s">
        <v>8295</v>
      </c>
      <c r="K1134" s="157" t="s">
        <v>1352</v>
      </c>
      <c r="L1134" s="157" t="s">
        <v>1621</v>
      </c>
      <c r="M1134" s="157" t="str">
        <f t="shared" si="27"/>
        <v>Camera_NFC2 - Short Range View</v>
      </c>
      <c r="N1134" s="157"/>
      <c r="O1134" s="157"/>
      <c r="P1134" s="159" t="s">
        <v>2311</v>
      </c>
      <c r="Q1134" s="157" t="s">
        <v>2115</v>
      </c>
      <c r="R1134" s="157" t="s">
        <v>8291</v>
      </c>
      <c r="S1134" s="157" t="s">
        <v>8604</v>
      </c>
      <c r="T1134" s="157"/>
      <c r="U1134" s="159" t="s">
        <v>2129</v>
      </c>
      <c r="V1134" s="159" t="s">
        <v>2129</v>
      </c>
      <c r="W1134" s="159" t="s">
        <v>2138</v>
      </c>
      <c r="X1134" s="160">
        <v>1</v>
      </c>
      <c r="Y1134" s="160">
        <v>1</v>
      </c>
      <c r="Z1134" s="160">
        <v>1</v>
      </c>
      <c r="AA1134" s="160">
        <v>1</v>
      </c>
    </row>
    <row r="1135" spans="1:27" ht="18" customHeight="1" x14ac:dyDescent="0.25">
      <c r="A1135" s="159">
        <v>3223</v>
      </c>
      <c r="B1135" s="164" t="s">
        <v>266</v>
      </c>
      <c r="C1135" s="164" t="s">
        <v>519</v>
      </c>
      <c r="D1135" s="159" t="s">
        <v>787</v>
      </c>
      <c r="E1135" s="164" t="s">
        <v>785</v>
      </c>
      <c r="F1135" s="159"/>
      <c r="G1135" s="157" t="s">
        <v>1349</v>
      </c>
      <c r="H1135" s="157" t="s">
        <v>1350</v>
      </c>
      <c r="I1135" s="157" t="s">
        <v>1619</v>
      </c>
      <c r="J1135" s="157" t="s">
        <v>8295</v>
      </c>
      <c r="K1135" s="157" t="s">
        <v>1352</v>
      </c>
      <c r="L1135" s="157" t="s">
        <v>1621</v>
      </c>
      <c r="M1135" s="157" t="str">
        <f t="shared" si="27"/>
        <v>Camera_NFC2 - Short Range View</v>
      </c>
      <c r="N1135" s="157"/>
      <c r="O1135" s="157"/>
      <c r="P1135" s="159" t="s">
        <v>2311</v>
      </c>
      <c r="Q1135" s="157" t="s">
        <v>2115</v>
      </c>
      <c r="R1135" s="157" t="s">
        <v>8291</v>
      </c>
      <c r="S1135" s="157" t="s">
        <v>8604</v>
      </c>
      <c r="T1135" s="157"/>
      <c r="U1135" s="159" t="s">
        <v>2129</v>
      </c>
      <c r="V1135" s="159" t="s">
        <v>2129</v>
      </c>
      <c r="W1135" s="159" t="s">
        <v>2138</v>
      </c>
      <c r="X1135" s="160">
        <v>1</v>
      </c>
      <c r="Y1135" s="160">
        <v>1</v>
      </c>
      <c r="Z1135" s="160">
        <v>1</v>
      </c>
      <c r="AA1135" s="160">
        <v>1</v>
      </c>
    </row>
    <row r="1136" spans="1:27" ht="18" customHeight="1" x14ac:dyDescent="0.25">
      <c r="A1136" s="159">
        <v>3223</v>
      </c>
      <c r="B1136" s="164" t="s">
        <v>266</v>
      </c>
      <c r="C1136" s="164" t="s">
        <v>519</v>
      </c>
      <c r="D1136" s="159" t="s">
        <v>935</v>
      </c>
      <c r="E1136" s="164" t="s">
        <v>933</v>
      </c>
      <c r="F1136" s="159"/>
      <c r="G1136" s="157" t="s">
        <v>1349</v>
      </c>
      <c r="H1136" s="157" t="s">
        <v>1350</v>
      </c>
      <c r="I1136" s="157" t="s">
        <v>1619</v>
      </c>
      <c r="J1136" s="157" t="s">
        <v>8295</v>
      </c>
      <c r="K1136" s="157" t="s">
        <v>1352</v>
      </c>
      <c r="L1136" s="157" t="s">
        <v>1621</v>
      </c>
      <c r="M1136" s="157" t="str">
        <f t="shared" si="27"/>
        <v>Camera_NFC2 - Short Range View</v>
      </c>
      <c r="N1136" s="157"/>
      <c r="O1136" s="157"/>
      <c r="P1136" s="159" t="s">
        <v>2311</v>
      </c>
      <c r="Q1136" s="157" t="s">
        <v>2115</v>
      </c>
      <c r="R1136" s="157" t="s">
        <v>8291</v>
      </c>
      <c r="S1136" s="157" t="s">
        <v>8604</v>
      </c>
      <c r="T1136" s="157"/>
      <c r="U1136" s="159" t="s">
        <v>2129</v>
      </c>
      <c r="V1136" s="159" t="s">
        <v>2129</v>
      </c>
      <c r="W1136" s="159" t="s">
        <v>2138</v>
      </c>
      <c r="X1136" s="160">
        <v>1</v>
      </c>
      <c r="Y1136" s="160">
        <v>1</v>
      </c>
      <c r="Z1136" s="160">
        <v>1</v>
      </c>
      <c r="AA1136" s="160">
        <v>1</v>
      </c>
    </row>
    <row r="1137" spans="1:27" ht="18" customHeight="1" x14ac:dyDescent="0.25">
      <c r="A1137" s="159">
        <v>3223</v>
      </c>
      <c r="B1137" s="164" t="s">
        <v>266</v>
      </c>
      <c r="C1137" s="164" t="s">
        <v>519</v>
      </c>
      <c r="D1137" s="159" t="s">
        <v>1151</v>
      </c>
      <c r="E1137" s="164" t="s">
        <v>1149</v>
      </c>
      <c r="F1137" s="159"/>
      <c r="G1137" s="157" t="s">
        <v>1349</v>
      </c>
      <c r="H1137" s="157" t="s">
        <v>1350</v>
      </c>
      <c r="I1137" s="157" t="s">
        <v>1619</v>
      </c>
      <c r="J1137" s="157" t="s">
        <v>8295</v>
      </c>
      <c r="K1137" s="157" t="s">
        <v>1352</v>
      </c>
      <c r="L1137" s="157" t="s">
        <v>1621</v>
      </c>
      <c r="M1137" s="157" t="str">
        <f t="shared" si="27"/>
        <v>Camera_NFC2 - Short Range View</v>
      </c>
      <c r="N1137" s="157"/>
      <c r="O1137" s="157"/>
      <c r="P1137" s="159" t="s">
        <v>2311</v>
      </c>
      <c r="Q1137" s="157" t="s">
        <v>2115</v>
      </c>
      <c r="R1137" s="157" t="s">
        <v>8291</v>
      </c>
      <c r="S1137" s="157" t="s">
        <v>8604</v>
      </c>
      <c r="T1137" s="157"/>
      <c r="U1137" s="159" t="s">
        <v>2129</v>
      </c>
      <c r="V1137" s="159" t="s">
        <v>2129</v>
      </c>
      <c r="W1137" s="159" t="s">
        <v>2138</v>
      </c>
      <c r="X1137" s="160">
        <v>1</v>
      </c>
      <c r="Y1137" s="160">
        <v>1</v>
      </c>
      <c r="Z1137" s="160">
        <v>1</v>
      </c>
      <c r="AA1137" s="160">
        <v>1</v>
      </c>
    </row>
    <row r="1138" spans="1:27" ht="18" customHeight="1" x14ac:dyDescent="0.25">
      <c r="A1138" s="159">
        <v>3223</v>
      </c>
      <c r="B1138" s="164" t="s">
        <v>266</v>
      </c>
      <c r="C1138" s="164" t="s">
        <v>519</v>
      </c>
      <c r="D1138" s="159" t="s">
        <v>1159</v>
      </c>
      <c r="E1138" s="164" t="s">
        <v>1157</v>
      </c>
      <c r="F1138" s="159"/>
      <c r="G1138" s="157" t="s">
        <v>1349</v>
      </c>
      <c r="H1138" s="157" t="s">
        <v>1350</v>
      </c>
      <c r="I1138" s="157" t="s">
        <v>1619</v>
      </c>
      <c r="J1138" s="157" t="s">
        <v>8295</v>
      </c>
      <c r="K1138" s="157" t="s">
        <v>1352</v>
      </c>
      <c r="L1138" s="157" t="s">
        <v>1621</v>
      </c>
      <c r="M1138" s="157" t="str">
        <f t="shared" si="27"/>
        <v>Camera_NFC2 - Short Range View</v>
      </c>
      <c r="N1138" s="157"/>
      <c r="O1138" s="157"/>
      <c r="P1138" s="159" t="s">
        <v>2311</v>
      </c>
      <c r="Q1138" s="157" t="s">
        <v>2115</v>
      </c>
      <c r="R1138" s="157" t="s">
        <v>8291</v>
      </c>
      <c r="S1138" s="157" t="s">
        <v>8604</v>
      </c>
      <c r="T1138" s="157"/>
      <c r="U1138" s="159" t="s">
        <v>2129</v>
      </c>
      <c r="V1138" s="159" t="s">
        <v>2129</v>
      </c>
      <c r="W1138" s="159" t="s">
        <v>2138</v>
      </c>
      <c r="X1138" s="160">
        <v>1</v>
      </c>
      <c r="Y1138" s="160">
        <v>1</v>
      </c>
      <c r="Z1138" s="160">
        <v>1</v>
      </c>
      <c r="AA1138" s="160">
        <v>1</v>
      </c>
    </row>
    <row r="1139" spans="1:27" ht="18" customHeight="1" x14ac:dyDescent="0.25">
      <c r="A1139" s="159">
        <v>3224</v>
      </c>
      <c r="B1139" s="164" t="s">
        <v>29</v>
      </c>
      <c r="C1139" s="164" t="s">
        <v>113</v>
      </c>
      <c r="D1139" s="159" t="s">
        <v>439</v>
      </c>
      <c r="E1139" s="164" t="s">
        <v>437</v>
      </c>
      <c r="F1139" s="159"/>
      <c r="G1139" s="157" t="s">
        <v>1349</v>
      </c>
      <c r="H1139" s="157" t="s">
        <v>1350</v>
      </c>
      <c r="I1139" s="157" t="s">
        <v>1619</v>
      </c>
      <c r="J1139" s="157" t="s">
        <v>8295</v>
      </c>
      <c r="K1139" s="157" t="s">
        <v>1352</v>
      </c>
      <c r="L1139" s="157" t="s">
        <v>1622</v>
      </c>
      <c r="M1139" s="157" t="str">
        <f t="shared" si="27"/>
        <v>Camera_NFC3 - Short Range View</v>
      </c>
      <c r="N1139" s="157"/>
      <c r="O1139" s="157"/>
      <c r="P1139" s="159" t="s">
        <v>5819</v>
      </c>
      <c r="Q1139" s="157" t="s">
        <v>2115</v>
      </c>
      <c r="R1139" s="157" t="s">
        <v>8291</v>
      </c>
      <c r="S1139" s="157" t="s">
        <v>8604</v>
      </c>
      <c r="T1139" s="157"/>
      <c r="U1139" s="159" t="s">
        <v>2129</v>
      </c>
      <c r="V1139" s="159" t="s">
        <v>2129</v>
      </c>
      <c r="W1139" s="159" t="s">
        <v>2138</v>
      </c>
      <c r="X1139" s="160">
        <v>1</v>
      </c>
      <c r="Y1139" s="160">
        <v>1</v>
      </c>
      <c r="Z1139" s="160">
        <v>1</v>
      </c>
      <c r="AA1139" s="160">
        <v>1</v>
      </c>
    </row>
    <row r="1140" spans="1:27" ht="18" customHeight="1" x14ac:dyDescent="0.25">
      <c r="A1140" s="159">
        <v>3224</v>
      </c>
      <c r="B1140" s="164" t="s">
        <v>266</v>
      </c>
      <c r="C1140" s="164" t="s">
        <v>276</v>
      </c>
      <c r="D1140" s="159" t="s">
        <v>726</v>
      </c>
      <c r="E1140" s="164" t="s">
        <v>724</v>
      </c>
      <c r="F1140" s="159"/>
      <c r="G1140" s="157" t="s">
        <v>1349</v>
      </c>
      <c r="H1140" s="157" t="s">
        <v>1350</v>
      </c>
      <c r="I1140" s="157" t="s">
        <v>1619</v>
      </c>
      <c r="J1140" s="157" t="s">
        <v>8295</v>
      </c>
      <c r="K1140" s="157" t="s">
        <v>1352</v>
      </c>
      <c r="L1140" s="157" t="s">
        <v>1622</v>
      </c>
      <c r="M1140" s="157" t="str">
        <f t="shared" si="27"/>
        <v>Camera_NFC3 - Short Range View</v>
      </c>
      <c r="N1140" s="157"/>
      <c r="O1140" s="157"/>
      <c r="P1140" s="159" t="s">
        <v>5819</v>
      </c>
      <c r="Q1140" s="157" t="s">
        <v>2115</v>
      </c>
      <c r="R1140" s="157" t="s">
        <v>8291</v>
      </c>
      <c r="S1140" s="157" t="s">
        <v>8604</v>
      </c>
      <c r="T1140" s="157"/>
      <c r="U1140" s="159" t="s">
        <v>2129</v>
      </c>
      <c r="V1140" s="159" t="s">
        <v>2129</v>
      </c>
      <c r="W1140" s="159" t="s">
        <v>2138</v>
      </c>
      <c r="X1140" s="160">
        <v>1</v>
      </c>
      <c r="Y1140" s="160">
        <v>1</v>
      </c>
      <c r="Z1140" s="160">
        <v>1</v>
      </c>
      <c r="AA1140" s="160">
        <v>1</v>
      </c>
    </row>
    <row r="1141" spans="1:27" ht="18" customHeight="1" x14ac:dyDescent="0.25">
      <c r="A1141" s="159">
        <v>3224</v>
      </c>
      <c r="B1141" s="164" t="s">
        <v>266</v>
      </c>
      <c r="C1141" s="164" t="s">
        <v>276</v>
      </c>
      <c r="D1141" s="159" t="s">
        <v>734</v>
      </c>
      <c r="E1141" s="164" t="s">
        <v>732</v>
      </c>
      <c r="F1141" s="159"/>
      <c r="G1141" s="157" t="s">
        <v>1349</v>
      </c>
      <c r="H1141" s="157" t="s">
        <v>1350</v>
      </c>
      <c r="I1141" s="157" t="s">
        <v>1619</v>
      </c>
      <c r="J1141" s="157" t="s">
        <v>8295</v>
      </c>
      <c r="K1141" s="157" t="s">
        <v>1352</v>
      </c>
      <c r="L1141" s="157" t="s">
        <v>1622</v>
      </c>
      <c r="M1141" s="157" t="str">
        <f t="shared" si="27"/>
        <v>Camera_NFC3 - Short Range View</v>
      </c>
      <c r="N1141" s="157"/>
      <c r="O1141" s="157"/>
      <c r="P1141" s="159" t="s">
        <v>5819</v>
      </c>
      <c r="Q1141" s="157" t="s">
        <v>2115</v>
      </c>
      <c r="R1141" s="157" t="s">
        <v>8291</v>
      </c>
      <c r="S1141" s="157" t="s">
        <v>8604</v>
      </c>
      <c r="T1141" s="157"/>
      <c r="U1141" s="159" t="s">
        <v>2129</v>
      </c>
      <c r="V1141" s="159" t="s">
        <v>2129</v>
      </c>
      <c r="W1141" s="159" t="s">
        <v>2138</v>
      </c>
      <c r="X1141" s="160">
        <v>1</v>
      </c>
      <c r="Y1141" s="160">
        <v>1</v>
      </c>
      <c r="Z1141" s="160">
        <v>1</v>
      </c>
      <c r="AA1141" s="160">
        <v>1</v>
      </c>
    </row>
    <row r="1142" spans="1:27" ht="18" customHeight="1" x14ac:dyDescent="0.25">
      <c r="A1142" s="159">
        <v>3224</v>
      </c>
      <c r="B1142" s="164" t="s">
        <v>266</v>
      </c>
      <c r="C1142" s="164" t="s">
        <v>294</v>
      </c>
      <c r="D1142" s="159" t="s">
        <v>297</v>
      </c>
      <c r="E1142" s="164" t="s">
        <v>295</v>
      </c>
      <c r="F1142" s="159"/>
      <c r="G1142" s="157" t="s">
        <v>1349</v>
      </c>
      <c r="H1142" s="157" t="s">
        <v>1350</v>
      </c>
      <c r="I1142" s="157" t="s">
        <v>1619</v>
      </c>
      <c r="J1142" s="157" t="s">
        <v>8295</v>
      </c>
      <c r="K1142" s="157" t="s">
        <v>1352</v>
      </c>
      <c r="L1142" s="157" t="s">
        <v>1622</v>
      </c>
      <c r="M1142" s="157" t="str">
        <f t="shared" si="27"/>
        <v>Camera_NFC3 - Short Range View</v>
      </c>
      <c r="N1142" s="157"/>
      <c r="O1142" s="157"/>
      <c r="P1142" s="159" t="s">
        <v>5819</v>
      </c>
      <c r="Q1142" s="157" t="s">
        <v>2115</v>
      </c>
      <c r="R1142" s="157" t="s">
        <v>8291</v>
      </c>
      <c r="S1142" s="157" t="s">
        <v>8604</v>
      </c>
      <c r="T1142" s="157"/>
      <c r="U1142" s="159" t="s">
        <v>2129</v>
      </c>
      <c r="V1142" s="159" t="s">
        <v>2129</v>
      </c>
      <c r="W1142" s="159" t="s">
        <v>2138</v>
      </c>
      <c r="X1142" s="160">
        <v>1</v>
      </c>
      <c r="Y1142" s="160">
        <v>1</v>
      </c>
      <c r="Z1142" s="160">
        <v>1</v>
      </c>
      <c r="AA1142" s="160">
        <v>1</v>
      </c>
    </row>
    <row r="1143" spans="1:27" ht="18" customHeight="1" x14ac:dyDescent="0.25">
      <c r="A1143" s="159">
        <v>3224</v>
      </c>
      <c r="B1143" s="164" t="s">
        <v>266</v>
      </c>
      <c r="C1143" s="164" t="s">
        <v>294</v>
      </c>
      <c r="D1143" s="159" t="s">
        <v>298</v>
      </c>
      <c r="E1143" s="164" t="s">
        <v>299</v>
      </c>
      <c r="F1143" s="159"/>
      <c r="G1143" s="157" t="s">
        <v>1349</v>
      </c>
      <c r="H1143" s="157" t="s">
        <v>1350</v>
      </c>
      <c r="I1143" s="157" t="s">
        <v>1619</v>
      </c>
      <c r="J1143" s="157" t="s">
        <v>8295</v>
      </c>
      <c r="K1143" s="157" t="s">
        <v>1352</v>
      </c>
      <c r="L1143" s="157" t="s">
        <v>1622</v>
      </c>
      <c r="M1143" s="157" t="str">
        <f t="shared" si="27"/>
        <v>Camera_NFC3 - Short Range View</v>
      </c>
      <c r="N1143" s="157"/>
      <c r="O1143" s="157"/>
      <c r="P1143" s="159" t="s">
        <v>5819</v>
      </c>
      <c r="Q1143" s="157" t="s">
        <v>2115</v>
      </c>
      <c r="R1143" s="157" t="s">
        <v>8291</v>
      </c>
      <c r="S1143" s="157" t="s">
        <v>8604</v>
      </c>
      <c r="T1143" s="157"/>
      <c r="U1143" s="159" t="s">
        <v>2129</v>
      </c>
      <c r="V1143" s="159" t="s">
        <v>2129</v>
      </c>
      <c r="W1143" s="159" t="s">
        <v>2138</v>
      </c>
      <c r="X1143" s="160">
        <v>1</v>
      </c>
      <c r="Y1143" s="160">
        <v>1</v>
      </c>
      <c r="Z1143" s="160">
        <v>1</v>
      </c>
      <c r="AA1143" s="160">
        <v>1</v>
      </c>
    </row>
    <row r="1144" spans="1:27" ht="18" customHeight="1" x14ac:dyDescent="0.25">
      <c r="A1144" s="159">
        <v>3224</v>
      </c>
      <c r="B1144" s="164" t="s">
        <v>266</v>
      </c>
      <c r="C1144" s="164" t="s">
        <v>294</v>
      </c>
      <c r="D1144" s="159" t="s">
        <v>503</v>
      </c>
      <c r="E1144" s="164" t="s">
        <v>501</v>
      </c>
      <c r="F1144" s="159"/>
      <c r="G1144" s="157" t="s">
        <v>1349</v>
      </c>
      <c r="H1144" s="157" t="s">
        <v>1350</v>
      </c>
      <c r="I1144" s="157" t="s">
        <v>1619</v>
      </c>
      <c r="J1144" s="157" t="s">
        <v>8295</v>
      </c>
      <c r="K1144" s="157" t="s">
        <v>1352</v>
      </c>
      <c r="L1144" s="157" t="s">
        <v>1622</v>
      </c>
      <c r="M1144" s="157" t="str">
        <f t="shared" si="27"/>
        <v>Camera_NFC3 - Short Range View</v>
      </c>
      <c r="N1144" s="157"/>
      <c r="O1144" s="157"/>
      <c r="P1144" s="159" t="s">
        <v>5819</v>
      </c>
      <c r="Q1144" s="157" t="s">
        <v>2115</v>
      </c>
      <c r="R1144" s="157" t="s">
        <v>8291</v>
      </c>
      <c r="S1144" s="157" t="s">
        <v>8604</v>
      </c>
      <c r="T1144" s="157"/>
      <c r="U1144" s="159" t="s">
        <v>2129</v>
      </c>
      <c r="V1144" s="159" t="s">
        <v>2129</v>
      </c>
      <c r="W1144" s="159" t="s">
        <v>2138</v>
      </c>
      <c r="X1144" s="160">
        <v>1</v>
      </c>
      <c r="Y1144" s="160">
        <v>1</v>
      </c>
      <c r="Z1144" s="160">
        <v>1</v>
      </c>
      <c r="AA1144" s="160">
        <v>1</v>
      </c>
    </row>
    <row r="1145" spans="1:27" ht="18" customHeight="1" x14ac:dyDescent="0.25">
      <c r="A1145" s="159">
        <v>3224</v>
      </c>
      <c r="B1145" s="164" t="s">
        <v>266</v>
      </c>
      <c r="C1145" s="164" t="s">
        <v>294</v>
      </c>
      <c r="D1145" s="159" t="s">
        <v>692</v>
      </c>
      <c r="E1145" s="164" t="s">
        <v>690</v>
      </c>
      <c r="F1145" s="159"/>
      <c r="G1145" s="157" t="s">
        <v>1349</v>
      </c>
      <c r="H1145" s="157" t="s">
        <v>1350</v>
      </c>
      <c r="I1145" s="157" t="s">
        <v>1619</v>
      </c>
      <c r="J1145" s="157" t="s">
        <v>8295</v>
      </c>
      <c r="K1145" s="157" t="s">
        <v>1352</v>
      </c>
      <c r="L1145" s="157" t="s">
        <v>1622</v>
      </c>
      <c r="M1145" s="157" t="str">
        <f t="shared" si="27"/>
        <v>Camera_NFC3 - Short Range View</v>
      </c>
      <c r="N1145" s="157"/>
      <c r="O1145" s="157"/>
      <c r="P1145" s="159" t="s">
        <v>5819</v>
      </c>
      <c r="Q1145" s="157" t="s">
        <v>2115</v>
      </c>
      <c r="R1145" s="157" t="s">
        <v>8291</v>
      </c>
      <c r="S1145" s="157" t="s">
        <v>8604</v>
      </c>
      <c r="T1145" s="157"/>
      <c r="U1145" s="159" t="s">
        <v>2129</v>
      </c>
      <c r="V1145" s="159" t="s">
        <v>2129</v>
      </c>
      <c r="W1145" s="159" t="s">
        <v>2138</v>
      </c>
      <c r="X1145" s="160">
        <v>1</v>
      </c>
      <c r="Y1145" s="160">
        <v>1</v>
      </c>
      <c r="Z1145" s="160">
        <v>1</v>
      </c>
      <c r="AA1145" s="160">
        <v>1</v>
      </c>
    </row>
    <row r="1146" spans="1:27" ht="18" customHeight="1" x14ac:dyDescent="0.25">
      <c r="A1146" s="159">
        <v>3224</v>
      </c>
      <c r="B1146" s="164" t="s">
        <v>266</v>
      </c>
      <c r="C1146" s="164" t="s">
        <v>294</v>
      </c>
      <c r="D1146" s="159" t="s">
        <v>1177</v>
      </c>
      <c r="E1146" s="164" t="s">
        <v>1175</v>
      </c>
      <c r="F1146" s="159"/>
      <c r="G1146" s="157" t="s">
        <v>1349</v>
      </c>
      <c r="H1146" s="157" t="s">
        <v>1350</v>
      </c>
      <c r="I1146" s="157" t="s">
        <v>1619</v>
      </c>
      <c r="J1146" s="157" t="s">
        <v>8295</v>
      </c>
      <c r="K1146" s="157" t="s">
        <v>1352</v>
      </c>
      <c r="L1146" s="157" t="s">
        <v>1622</v>
      </c>
      <c r="M1146" s="157" t="str">
        <f t="shared" si="27"/>
        <v>Camera_NFC3 - Short Range View</v>
      </c>
      <c r="N1146" s="157"/>
      <c r="O1146" s="157"/>
      <c r="P1146" s="159" t="s">
        <v>5819</v>
      </c>
      <c r="Q1146" s="157" t="s">
        <v>2115</v>
      </c>
      <c r="R1146" s="157" t="s">
        <v>8291</v>
      </c>
      <c r="S1146" s="157" t="s">
        <v>8604</v>
      </c>
      <c r="T1146" s="157"/>
      <c r="U1146" s="159" t="s">
        <v>2129</v>
      </c>
      <c r="V1146" s="159" t="s">
        <v>2129</v>
      </c>
      <c r="W1146" s="159" t="s">
        <v>2138</v>
      </c>
      <c r="X1146" s="160">
        <v>1</v>
      </c>
      <c r="Y1146" s="160">
        <v>1</v>
      </c>
      <c r="Z1146" s="160">
        <v>1</v>
      </c>
      <c r="AA1146" s="160">
        <v>1</v>
      </c>
    </row>
    <row r="1147" spans="1:27" ht="18" customHeight="1" x14ac:dyDescent="0.25">
      <c r="A1147" s="159">
        <v>3224</v>
      </c>
      <c r="B1147" s="164" t="s">
        <v>266</v>
      </c>
      <c r="C1147" s="164" t="s">
        <v>294</v>
      </c>
      <c r="D1147" s="159" t="s">
        <v>1178</v>
      </c>
      <c r="E1147" s="164" t="s">
        <v>1179</v>
      </c>
      <c r="F1147" s="159"/>
      <c r="G1147" s="157" t="s">
        <v>1349</v>
      </c>
      <c r="H1147" s="157" t="s">
        <v>1350</v>
      </c>
      <c r="I1147" s="157" t="s">
        <v>1619</v>
      </c>
      <c r="J1147" s="157" t="s">
        <v>8295</v>
      </c>
      <c r="K1147" s="157" t="s">
        <v>1352</v>
      </c>
      <c r="L1147" s="157" t="s">
        <v>1622</v>
      </c>
      <c r="M1147" s="157" t="str">
        <f t="shared" si="27"/>
        <v>Camera_NFC3 - Short Range View</v>
      </c>
      <c r="N1147" s="157"/>
      <c r="O1147" s="157"/>
      <c r="P1147" s="159" t="s">
        <v>5819</v>
      </c>
      <c r="Q1147" s="157" t="s">
        <v>2115</v>
      </c>
      <c r="R1147" s="157" t="s">
        <v>8291</v>
      </c>
      <c r="S1147" s="157" t="s">
        <v>8604</v>
      </c>
      <c r="T1147" s="157"/>
      <c r="U1147" s="159" t="s">
        <v>2129</v>
      </c>
      <c r="V1147" s="159" t="s">
        <v>2129</v>
      </c>
      <c r="W1147" s="159" t="s">
        <v>2138</v>
      </c>
      <c r="X1147" s="160">
        <v>1</v>
      </c>
      <c r="Y1147" s="160">
        <v>1</v>
      </c>
      <c r="Z1147" s="160">
        <v>1</v>
      </c>
      <c r="AA1147" s="160">
        <v>1</v>
      </c>
    </row>
    <row r="1148" spans="1:27" ht="18" customHeight="1" x14ac:dyDescent="0.25">
      <c r="A1148" s="159">
        <v>3224</v>
      </c>
      <c r="B1148" s="164" t="s">
        <v>266</v>
      </c>
      <c r="C1148" s="164" t="s">
        <v>294</v>
      </c>
      <c r="D1148" s="159" t="s">
        <v>1207</v>
      </c>
      <c r="E1148" s="164" t="s">
        <v>1205</v>
      </c>
      <c r="F1148" s="159"/>
      <c r="G1148" s="157" t="s">
        <v>1349</v>
      </c>
      <c r="H1148" s="157" t="s">
        <v>1350</v>
      </c>
      <c r="I1148" s="157" t="s">
        <v>1619</v>
      </c>
      <c r="J1148" s="157" t="s">
        <v>8295</v>
      </c>
      <c r="K1148" s="157" t="s">
        <v>1352</v>
      </c>
      <c r="L1148" s="157" t="s">
        <v>1622</v>
      </c>
      <c r="M1148" s="157" t="str">
        <f t="shared" si="27"/>
        <v>Camera_NFC3 - Short Range View</v>
      </c>
      <c r="N1148" s="157"/>
      <c r="O1148" s="157"/>
      <c r="P1148" s="159" t="s">
        <v>5819</v>
      </c>
      <c r="Q1148" s="157" t="s">
        <v>2115</v>
      </c>
      <c r="R1148" s="157" t="s">
        <v>8291</v>
      </c>
      <c r="S1148" s="157" t="s">
        <v>8604</v>
      </c>
      <c r="T1148" s="157"/>
      <c r="U1148" s="159" t="s">
        <v>2129</v>
      </c>
      <c r="V1148" s="159" t="s">
        <v>2129</v>
      </c>
      <c r="W1148" s="159" t="s">
        <v>2138</v>
      </c>
      <c r="X1148" s="160">
        <v>1</v>
      </c>
      <c r="Y1148" s="160">
        <v>1</v>
      </c>
      <c r="Z1148" s="160">
        <v>1</v>
      </c>
      <c r="AA1148" s="160">
        <v>1</v>
      </c>
    </row>
    <row r="1149" spans="1:27" ht="18" customHeight="1" x14ac:dyDescent="0.25">
      <c r="A1149" s="159">
        <v>3224</v>
      </c>
      <c r="B1149" s="164" t="s">
        <v>266</v>
      </c>
      <c r="C1149" s="164" t="s">
        <v>519</v>
      </c>
      <c r="D1149" s="159" t="s">
        <v>522</v>
      </c>
      <c r="E1149" s="164" t="s">
        <v>520</v>
      </c>
      <c r="F1149" s="159"/>
      <c r="G1149" s="157" t="s">
        <v>1349</v>
      </c>
      <c r="H1149" s="157" t="s">
        <v>1350</v>
      </c>
      <c r="I1149" s="157" t="s">
        <v>1619</v>
      </c>
      <c r="J1149" s="157" t="s">
        <v>8295</v>
      </c>
      <c r="K1149" s="157" t="s">
        <v>1352</v>
      </c>
      <c r="L1149" s="157" t="s">
        <v>1622</v>
      </c>
      <c r="M1149" s="157" t="str">
        <f t="shared" si="27"/>
        <v>Camera_NFC3 - Short Range View</v>
      </c>
      <c r="N1149" s="157"/>
      <c r="O1149" s="157"/>
      <c r="P1149" s="159" t="s">
        <v>5819</v>
      </c>
      <c r="Q1149" s="157" t="s">
        <v>2115</v>
      </c>
      <c r="R1149" s="157" t="s">
        <v>8291</v>
      </c>
      <c r="S1149" s="157" t="s">
        <v>8604</v>
      </c>
      <c r="T1149" s="157"/>
      <c r="U1149" s="159" t="s">
        <v>2129</v>
      </c>
      <c r="V1149" s="159" t="s">
        <v>2129</v>
      </c>
      <c r="W1149" s="159" t="s">
        <v>2138</v>
      </c>
      <c r="X1149" s="160">
        <v>1</v>
      </c>
      <c r="Y1149" s="160">
        <v>1</v>
      </c>
      <c r="Z1149" s="160">
        <v>1</v>
      </c>
      <c r="AA1149" s="160">
        <v>1</v>
      </c>
    </row>
    <row r="1150" spans="1:27" ht="18" customHeight="1" x14ac:dyDescent="0.25">
      <c r="A1150" s="159">
        <v>3224</v>
      </c>
      <c r="B1150" s="164" t="s">
        <v>266</v>
      </c>
      <c r="C1150" s="164" t="s">
        <v>519</v>
      </c>
      <c r="D1150" s="159" t="s">
        <v>526</v>
      </c>
      <c r="E1150" s="164" t="s">
        <v>524</v>
      </c>
      <c r="F1150" s="159"/>
      <c r="G1150" s="157" t="s">
        <v>1349</v>
      </c>
      <c r="H1150" s="157" t="s">
        <v>1350</v>
      </c>
      <c r="I1150" s="157" t="s">
        <v>1619</v>
      </c>
      <c r="J1150" s="157" t="s">
        <v>8295</v>
      </c>
      <c r="K1150" s="157" t="s">
        <v>1352</v>
      </c>
      <c r="L1150" s="157" t="s">
        <v>1622</v>
      </c>
      <c r="M1150" s="157" t="str">
        <f t="shared" si="27"/>
        <v>Camera_NFC3 - Short Range View</v>
      </c>
      <c r="N1150" s="157"/>
      <c r="O1150" s="157"/>
      <c r="P1150" s="159" t="s">
        <v>5819</v>
      </c>
      <c r="Q1150" s="157" t="s">
        <v>2115</v>
      </c>
      <c r="R1150" s="157" t="s">
        <v>8291</v>
      </c>
      <c r="S1150" s="157" t="s">
        <v>8604</v>
      </c>
      <c r="T1150" s="157"/>
      <c r="U1150" s="159" t="s">
        <v>2129</v>
      </c>
      <c r="V1150" s="159" t="s">
        <v>2129</v>
      </c>
      <c r="W1150" s="159" t="s">
        <v>2138</v>
      </c>
      <c r="X1150" s="160">
        <v>1</v>
      </c>
      <c r="Y1150" s="160">
        <v>1</v>
      </c>
      <c r="Z1150" s="160">
        <v>1</v>
      </c>
      <c r="AA1150" s="160">
        <v>1</v>
      </c>
    </row>
    <row r="1151" spans="1:27" ht="18" customHeight="1" x14ac:dyDescent="0.25">
      <c r="A1151" s="159">
        <v>3224</v>
      </c>
      <c r="B1151" s="164" t="s">
        <v>266</v>
      </c>
      <c r="C1151" s="164" t="s">
        <v>519</v>
      </c>
      <c r="D1151" s="159" t="s">
        <v>530</v>
      </c>
      <c r="E1151" s="164" t="s">
        <v>528</v>
      </c>
      <c r="F1151" s="159"/>
      <c r="G1151" s="157" t="s">
        <v>1349</v>
      </c>
      <c r="H1151" s="157" t="s">
        <v>1350</v>
      </c>
      <c r="I1151" s="157" t="s">
        <v>1619</v>
      </c>
      <c r="J1151" s="157" t="s">
        <v>8295</v>
      </c>
      <c r="K1151" s="157" t="s">
        <v>1352</v>
      </c>
      <c r="L1151" s="157" t="s">
        <v>1622</v>
      </c>
      <c r="M1151" s="157" t="str">
        <f t="shared" si="27"/>
        <v>Camera_NFC3 - Short Range View</v>
      </c>
      <c r="N1151" s="157"/>
      <c r="O1151" s="157"/>
      <c r="P1151" s="159" t="s">
        <v>5819</v>
      </c>
      <c r="Q1151" s="157" t="s">
        <v>2115</v>
      </c>
      <c r="R1151" s="157" t="s">
        <v>8291</v>
      </c>
      <c r="S1151" s="157" t="s">
        <v>8604</v>
      </c>
      <c r="T1151" s="157"/>
      <c r="U1151" s="159" t="s">
        <v>2129</v>
      </c>
      <c r="V1151" s="159" t="s">
        <v>2129</v>
      </c>
      <c r="W1151" s="159" t="s">
        <v>2138</v>
      </c>
      <c r="X1151" s="160">
        <v>1</v>
      </c>
      <c r="Y1151" s="160">
        <v>1</v>
      </c>
      <c r="Z1151" s="160">
        <v>1</v>
      </c>
      <c r="AA1151" s="160">
        <v>1</v>
      </c>
    </row>
    <row r="1152" spans="1:27" ht="18" customHeight="1" x14ac:dyDescent="0.25">
      <c r="A1152" s="159">
        <v>3224</v>
      </c>
      <c r="B1152" s="164" t="s">
        <v>266</v>
      </c>
      <c r="C1152" s="164" t="s">
        <v>519</v>
      </c>
      <c r="D1152" s="159" t="s">
        <v>787</v>
      </c>
      <c r="E1152" s="164" t="s">
        <v>785</v>
      </c>
      <c r="F1152" s="159"/>
      <c r="G1152" s="157" t="s">
        <v>1349</v>
      </c>
      <c r="H1152" s="157" t="s">
        <v>1350</v>
      </c>
      <c r="I1152" s="157" t="s">
        <v>1619</v>
      </c>
      <c r="J1152" s="157" t="s">
        <v>8295</v>
      </c>
      <c r="K1152" s="157" t="s">
        <v>1352</v>
      </c>
      <c r="L1152" s="157" t="s">
        <v>1622</v>
      </c>
      <c r="M1152" s="157" t="str">
        <f t="shared" si="27"/>
        <v>Camera_NFC3 - Short Range View</v>
      </c>
      <c r="N1152" s="157"/>
      <c r="O1152" s="157"/>
      <c r="P1152" s="159" t="s">
        <v>5819</v>
      </c>
      <c r="Q1152" s="157" t="s">
        <v>2115</v>
      </c>
      <c r="R1152" s="157" t="s">
        <v>8291</v>
      </c>
      <c r="S1152" s="157" t="s">
        <v>8604</v>
      </c>
      <c r="T1152" s="157"/>
      <c r="U1152" s="159" t="s">
        <v>2129</v>
      </c>
      <c r="V1152" s="159" t="s">
        <v>2129</v>
      </c>
      <c r="W1152" s="159" t="s">
        <v>2138</v>
      </c>
      <c r="X1152" s="160">
        <v>1</v>
      </c>
      <c r="Y1152" s="160">
        <v>1</v>
      </c>
      <c r="Z1152" s="160">
        <v>1</v>
      </c>
      <c r="AA1152" s="160">
        <v>1</v>
      </c>
    </row>
    <row r="1153" spans="1:27" ht="18" customHeight="1" x14ac:dyDescent="0.25">
      <c r="A1153" s="159">
        <v>3224</v>
      </c>
      <c r="B1153" s="164" t="s">
        <v>266</v>
      </c>
      <c r="C1153" s="164" t="s">
        <v>519</v>
      </c>
      <c r="D1153" s="159" t="s">
        <v>935</v>
      </c>
      <c r="E1153" s="164" t="s">
        <v>933</v>
      </c>
      <c r="F1153" s="159"/>
      <c r="G1153" s="157" t="s">
        <v>1349</v>
      </c>
      <c r="H1153" s="157" t="s">
        <v>1350</v>
      </c>
      <c r="I1153" s="157" t="s">
        <v>1619</v>
      </c>
      <c r="J1153" s="157" t="s">
        <v>8295</v>
      </c>
      <c r="K1153" s="157" t="s">
        <v>1352</v>
      </c>
      <c r="L1153" s="157" t="s">
        <v>1622</v>
      </c>
      <c r="M1153" s="157" t="str">
        <f t="shared" si="27"/>
        <v>Camera_NFC3 - Short Range View</v>
      </c>
      <c r="N1153" s="157"/>
      <c r="O1153" s="157"/>
      <c r="P1153" s="159" t="s">
        <v>5819</v>
      </c>
      <c r="Q1153" s="157" t="s">
        <v>2115</v>
      </c>
      <c r="R1153" s="157" t="s">
        <v>8291</v>
      </c>
      <c r="S1153" s="157" t="s">
        <v>8604</v>
      </c>
      <c r="T1153" s="157"/>
      <c r="U1153" s="159" t="s">
        <v>2129</v>
      </c>
      <c r="V1153" s="159" t="s">
        <v>2129</v>
      </c>
      <c r="W1153" s="159" t="s">
        <v>2138</v>
      </c>
      <c r="X1153" s="160">
        <v>1</v>
      </c>
      <c r="Y1153" s="160">
        <v>1</v>
      </c>
      <c r="Z1153" s="160">
        <v>1</v>
      </c>
      <c r="AA1153" s="160">
        <v>1</v>
      </c>
    </row>
    <row r="1154" spans="1:27" ht="18" customHeight="1" x14ac:dyDescent="0.25">
      <c r="A1154" s="159">
        <v>3224</v>
      </c>
      <c r="B1154" s="164" t="s">
        <v>266</v>
      </c>
      <c r="C1154" s="164" t="s">
        <v>519</v>
      </c>
      <c r="D1154" s="159" t="s">
        <v>1151</v>
      </c>
      <c r="E1154" s="164" t="s">
        <v>1149</v>
      </c>
      <c r="F1154" s="159"/>
      <c r="G1154" s="157" t="s">
        <v>1349</v>
      </c>
      <c r="H1154" s="157" t="s">
        <v>1350</v>
      </c>
      <c r="I1154" s="157" t="s">
        <v>1619</v>
      </c>
      <c r="J1154" s="157" t="s">
        <v>8295</v>
      </c>
      <c r="K1154" s="157" t="s">
        <v>1352</v>
      </c>
      <c r="L1154" s="157" t="s">
        <v>1622</v>
      </c>
      <c r="M1154" s="157" t="str">
        <f t="shared" si="27"/>
        <v>Camera_NFC3 - Short Range View</v>
      </c>
      <c r="N1154" s="157"/>
      <c r="O1154" s="157"/>
      <c r="P1154" s="159" t="s">
        <v>5819</v>
      </c>
      <c r="Q1154" s="157" t="s">
        <v>2115</v>
      </c>
      <c r="R1154" s="157" t="s">
        <v>8291</v>
      </c>
      <c r="S1154" s="157" t="s">
        <v>8604</v>
      </c>
      <c r="T1154" s="157"/>
      <c r="U1154" s="159" t="s">
        <v>2129</v>
      </c>
      <c r="V1154" s="159" t="s">
        <v>2129</v>
      </c>
      <c r="W1154" s="159" t="s">
        <v>2138</v>
      </c>
      <c r="X1154" s="160">
        <v>1</v>
      </c>
      <c r="Y1154" s="160">
        <v>1</v>
      </c>
      <c r="Z1154" s="160">
        <v>1</v>
      </c>
      <c r="AA1154" s="160">
        <v>1</v>
      </c>
    </row>
    <row r="1155" spans="1:27" ht="18" customHeight="1" x14ac:dyDescent="0.25">
      <c r="A1155" s="159">
        <v>3224</v>
      </c>
      <c r="B1155" s="164" t="s">
        <v>266</v>
      </c>
      <c r="C1155" s="164" t="s">
        <v>519</v>
      </c>
      <c r="D1155" s="159" t="s">
        <v>1159</v>
      </c>
      <c r="E1155" s="164" t="s">
        <v>1157</v>
      </c>
      <c r="F1155" s="159"/>
      <c r="G1155" s="157" t="s">
        <v>1349</v>
      </c>
      <c r="H1155" s="157" t="s">
        <v>1350</v>
      </c>
      <c r="I1155" s="157" t="s">
        <v>1619</v>
      </c>
      <c r="J1155" s="157" t="s">
        <v>8295</v>
      </c>
      <c r="K1155" s="157" t="s">
        <v>1352</v>
      </c>
      <c r="L1155" s="157" t="s">
        <v>1622</v>
      </c>
      <c r="M1155" s="157" t="str">
        <f t="shared" si="27"/>
        <v>Camera_NFC3 - Short Range View</v>
      </c>
      <c r="N1155" s="157"/>
      <c r="O1155" s="157"/>
      <c r="P1155" s="159" t="s">
        <v>5819</v>
      </c>
      <c r="Q1155" s="157" t="s">
        <v>2115</v>
      </c>
      <c r="R1155" s="157" t="s">
        <v>8291</v>
      </c>
      <c r="S1155" s="157" t="s">
        <v>8604</v>
      </c>
      <c r="T1155" s="157"/>
      <c r="U1155" s="159" t="s">
        <v>2129</v>
      </c>
      <c r="V1155" s="159" t="s">
        <v>2129</v>
      </c>
      <c r="W1155" s="159" t="s">
        <v>2138</v>
      </c>
      <c r="X1155" s="160">
        <v>1</v>
      </c>
      <c r="Y1155" s="160">
        <v>1</v>
      </c>
      <c r="Z1155" s="160">
        <v>1</v>
      </c>
      <c r="AA1155" s="160">
        <v>1</v>
      </c>
    </row>
    <row r="1156" spans="1:27" ht="18" customHeight="1" x14ac:dyDescent="0.25">
      <c r="A1156" s="159">
        <v>3225</v>
      </c>
      <c r="B1156" s="164" t="s">
        <v>29</v>
      </c>
      <c r="C1156" s="164" t="s">
        <v>113</v>
      </c>
      <c r="D1156" s="159" t="s">
        <v>439</v>
      </c>
      <c r="E1156" s="164" t="s">
        <v>437</v>
      </c>
      <c r="F1156" s="159"/>
      <c r="G1156" s="157" t="s">
        <v>1349</v>
      </c>
      <c r="H1156" s="157" t="s">
        <v>1350</v>
      </c>
      <c r="I1156" s="157" t="s">
        <v>1619</v>
      </c>
      <c r="J1156" s="157" t="s">
        <v>8295</v>
      </c>
      <c r="K1156" s="157" t="s">
        <v>1352</v>
      </c>
      <c r="L1156" s="157" t="s">
        <v>1623</v>
      </c>
      <c r="M1156" s="157" t="str">
        <f t="shared" si="27"/>
        <v>Camera_NFC4 - Short Range View</v>
      </c>
      <c r="N1156" s="157"/>
      <c r="O1156" s="157"/>
      <c r="P1156" s="159" t="s">
        <v>8147</v>
      </c>
      <c r="Q1156" s="157" t="s">
        <v>2115</v>
      </c>
      <c r="R1156" s="157" t="s">
        <v>8291</v>
      </c>
      <c r="S1156" s="157" t="s">
        <v>8604</v>
      </c>
      <c r="T1156" s="157"/>
      <c r="U1156" s="159" t="s">
        <v>2129</v>
      </c>
      <c r="V1156" s="159" t="s">
        <v>2129</v>
      </c>
      <c r="W1156" s="159" t="s">
        <v>2138</v>
      </c>
      <c r="X1156" s="160">
        <v>1</v>
      </c>
      <c r="Y1156" s="160">
        <v>1</v>
      </c>
      <c r="Z1156" s="160">
        <v>1</v>
      </c>
      <c r="AA1156" s="160">
        <v>1</v>
      </c>
    </row>
    <row r="1157" spans="1:27" ht="18" customHeight="1" x14ac:dyDescent="0.25">
      <c r="A1157" s="159">
        <v>3225</v>
      </c>
      <c r="B1157" s="164" t="s">
        <v>266</v>
      </c>
      <c r="C1157" s="164" t="s">
        <v>276</v>
      </c>
      <c r="D1157" s="159" t="s">
        <v>726</v>
      </c>
      <c r="E1157" s="164" t="s">
        <v>724</v>
      </c>
      <c r="F1157" s="159"/>
      <c r="G1157" s="157" t="s">
        <v>1349</v>
      </c>
      <c r="H1157" s="157" t="s">
        <v>1350</v>
      </c>
      <c r="I1157" s="157" t="s">
        <v>1619</v>
      </c>
      <c r="J1157" s="157" t="s">
        <v>8295</v>
      </c>
      <c r="K1157" s="157" t="s">
        <v>1352</v>
      </c>
      <c r="L1157" s="157" t="s">
        <v>1623</v>
      </c>
      <c r="M1157" s="157" t="str">
        <f t="shared" si="27"/>
        <v>Camera_NFC4 - Short Range View</v>
      </c>
      <c r="N1157" s="157"/>
      <c r="O1157" s="157"/>
      <c r="P1157" s="159" t="s">
        <v>8147</v>
      </c>
      <c r="Q1157" s="157" t="s">
        <v>2115</v>
      </c>
      <c r="R1157" s="157" t="s">
        <v>8291</v>
      </c>
      <c r="S1157" s="157" t="s">
        <v>8604</v>
      </c>
      <c r="T1157" s="157"/>
      <c r="U1157" s="159" t="s">
        <v>2129</v>
      </c>
      <c r="V1157" s="159" t="s">
        <v>2129</v>
      </c>
      <c r="W1157" s="159" t="s">
        <v>2138</v>
      </c>
      <c r="X1157" s="160">
        <v>1</v>
      </c>
      <c r="Y1157" s="160">
        <v>1</v>
      </c>
      <c r="Z1157" s="160">
        <v>1</v>
      </c>
      <c r="AA1157" s="160">
        <v>1</v>
      </c>
    </row>
    <row r="1158" spans="1:27" ht="18" customHeight="1" x14ac:dyDescent="0.25">
      <c r="A1158" s="159">
        <v>3225</v>
      </c>
      <c r="B1158" s="164" t="s">
        <v>266</v>
      </c>
      <c r="C1158" s="164" t="s">
        <v>276</v>
      </c>
      <c r="D1158" s="159" t="s">
        <v>734</v>
      </c>
      <c r="E1158" s="164" t="s">
        <v>732</v>
      </c>
      <c r="F1158" s="159"/>
      <c r="G1158" s="157" t="s">
        <v>1349</v>
      </c>
      <c r="H1158" s="157" t="s">
        <v>1350</v>
      </c>
      <c r="I1158" s="157" t="s">
        <v>1619</v>
      </c>
      <c r="J1158" s="157" t="s">
        <v>8295</v>
      </c>
      <c r="K1158" s="157" t="s">
        <v>1352</v>
      </c>
      <c r="L1158" s="157" t="s">
        <v>1623</v>
      </c>
      <c r="M1158" s="157" t="str">
        <f t="shared" si="27"/>
        <v>Camera_NFC4 - Short Range View</v>
      </c>
      <c r="N1158" s="157"/>
      <c r="O1158" s="157"/>
      <c r="P1158" s="159" t="s">
        <v>8147</v>
      </c>
      <c r="Q1158" s="157" t="s">
        <v>2115</v>
      </c>
      <c r="R1158" s="157" t="s">
        <v>8291</v>
      </c>
      <c r="S1158" s="157" t="s">
        <v>8604</v>
      </c>
      <c r="T1158" s="157"/>
      <c r="U1158" s="159" t="s">
        <v>2129</v>
      </c>
      <c r="V1158" s="159" t="s">
        <v>2129</v>
      </c>
      <c r="W1158" s="159" t="s">
        <v>2138</v>
      </c>
      <c r="X1158" s="160">
        <v>1</v>
      </c>
      <c r="Y1158" s="160">
        <v>1</v>
      </c>
      <c r="Z1158" s="160">
        <v>1</v>
      </c>
      <c r="AA1158" s="160">
        <v>1</v>
      </c>
    </row>
    <row r="1159" spans="1:27" ht="18" customHeight="1" x14ac:dyDescent="0.25">
      <c r="A1159" s="159">
        <v>3225</v>
      </c>
      <c r="B1159" s="164" t="s">
        <v>266</v>
      </c>
      <c r="C1159" s="164" t="s">
        <v>294</v>
      </c>
      <c r="D1159" s="159" t="s">
        <v>297</v>
      </c>
      <c r="E1159" s="164" t="s">
        <v>295</v>
      </c>
      <c r="F1159" s="159"/>
      <c r="G1159" s="157" t="s">
        <v>1349</v>
      </c>
      <c r="H1159" s="157" t="s">
        <v>1350</v>
      </c>
      <c r="I1159" s="157" t="s">
        <v>1619</v>
      </c>
      <c r="J1159" s="157" t="s">
        <v>8295</v>
      </c>
      <c r="K1159" s="157" t="s">
        <v>1352</v>
      </c>
      <c r="L1159" s="157" t="s">
        <v>1623</v>
      </c>
      <c r="M1159" s="157" t="str">
        <f t="shared" si="27"/>
        <v>Camera_NFC4 - Short Range View</v>
      </c>
      <c r="N1159" s="157"/>
      <c r="O1159" s="157"/>
      <c r="P1159" s="159" t="s">
        <v>8147</v>
      </c>
      <c r="Q1159" s="157" t="s">
        <v>2115</v>
      </c>
      <c r="R1159" s="157" t="s">
        <v>8291</v>
      </c>
      <c r="S1159" s="157" t="s">
        <v>8604</v>
      </c>
      <c r="T1159" s="157"/>
      <c r="U1159" s="159" t="s">
        <v>2129</v>
      </c>
      <c r="V1159" s="159" t="s">
        <v>2129</v>
      </c>
      <c r="W1159" s="159" t="s">
        <v>2138</v>
      </c>
      <c r="X1159" s="160">
        <v>1</v>
      </c>
      <c r="Y1159" s="160">
        <v>1</v>
      </c>
      <c r="Z1159" s="160">
        <v>1</v>
      </c>
      <c r="AA1159" s="160">
        <v>1</v>
      </c>
    </row>
    <row r="1160" spans="1:27" ht="18" customHeight="1" x14ac:dyDescent="0.25">
      <c r="A1160" s="159">
        <v>3225</v>
      </c>
      <c r="B1160" s="164" t="s">
        <v>266</v>
      </c>
      <c r="C1160" s="164" t="s">
        <v>294</v>
      </c>
      <c r="D1160" s="159" t="s">
        <v>298</v>
      </c>
      <c r="E1160" s="164" t="s">
        <v>299</v>
      </c>
      <c r="F1160" s="159"/>
      <c r="G1160" s="157" t="s">
        <v>1349</v>
      </c>
      <c r="H1160" s="157" t="s">
        <v>1350</v>
      </c>
      <c r="I1160" s="157" t="s">
        <v>1619</v>
      </c>
      <c r="J1160" s="157" t="s">
        <v>8295</v>
      </c>
      <c r="K1160" s="157" t="s">
        <v>1352</v>
      </c>
      <c r="L1160" s="157" t="s">
        <v>1623</v>
      </c>
      <c r="M1160" s="157" t="str">
        <f t="shared" si="27"/>
        <v>Camera_NFC4 - Short Range View</v>
      </c>
      <c r="N1160" s="157"/>
      <c r="O1160" s="157"/>
      <c r="P1160" s="159" t="s">
        <v>8147</v>
      </c>
      <c r="Q1160" s="157" t="s">
        <v>2115</v>
      </c>
      <c r="R1160" s="157" t="s">
        <v>8291</v>
      </c>
      <c r="S1160" s="157" t="s">
        <v>8604</v>
      </c>
      <c r="T1160" s="157"/>
      <c r="U1160" s="159" t="s">
        <v>2129</v>
      </c>
      <c r="V1160" s="159" t="s">
        <v>2129</v>
      </c>
      <c r="W1160" s="159" t="s">
        <v>2138</v>
      </c>
      <c r="X1160" s="160">
        <v>1</v>
      </c>
      <c r="Y1160" s="160">
        <v>1</v>
      </c>
      <c r="Z1160" s="160">
        <v>1</v>
      </c>
      <c r="AA1160" s="160">
        <v>1</v>
      </c>
    </row>
    <row r="1161" spans="1:27" ht="18" customHeight="1" x14ac:dyDescent="0.25">
      <c r="A1161" s="159">
        <v>3225</v>
      </c>
      <c r="B1161" s="164" t="s">
        <v>266</v>
      </c>
      <c r="C1161" s="164" t="s">
        <v>294</v>
      </c>
      <c r="D1161" s="159" t="s">
        <v>503</v>
      </c>
      <c r="E1161" s="164" t="s">
        <v>501</v>
      </c>
      <c r="F1161" s="159"/>
      <c r="G1161" s="157" t="s">
        <v>1349</v>
      </c>
      <c r="H1161" s="157" t="s">
        <v>1350</v>
      </c>
      <c r="I1161" s="157" t="s">
        <v>1619</v>
      </c>
      <c r="J1161" s="157" t="s">
        <v>8295</v>
      </c>
      <c r="K1161" s="157" t="s">
        <v>1352</v>
      </c>
      <c r="L1161" s="157" t="s">
        <v>1623</v>
      </c>
      <c r="M1161" s="157" t="str">
        <f t="shared" si="27"/>
        <v>Camera_NFC4 - Short Range View</v>
      </c>
      <c r="N1161" s="157"/>
      <c r="O1161" s="157"/>
      <c r="P1161" s="159" t="s">
        <v>8147</v>
      </c>
      <c r="Q1161" s="157" t="s">
        <v>2115</v>
      </c>
      <c r="R1161" s="157" t="s">
        <v>8291</v>
      </c>
      <c r="S1161" s="157" t="s">
        <v>8604</v>
      </c>
      <c r="T1161" s="157"/>
      <c r="U1161" s="159" t="s">
        <v>2129</v>
      </c>
      <c r="V1161" s="159" t="s">
        <v>2129</v>
      </c>
      <c r="W1161" s="159" t="s">
        <v>2138</v>
      </c>
      <c r="X1161" s="160">
        <v>1</v>
      </c>
      <c r="Y1161" s="160">
        <v>1</v>
      </c>
      <c r="Z1161" s="160">
        <v>1</v>
      </c>
      <c r="AA1161" s="160">
        <v>1</v>
      </c>
    </row>
    <row r="1162" spans="1:27" ht="18" customHeight="1" x14ac:dyDescent="0.25">
      <c r="A1162" s="159">
        <v>3225</v>
      </c>
      <c r="B1162" s="164" t="s">
        <v>266</v>
      </c>
      <c r="C1162" s="164" t="s">
        <v>294</v>
      </c>
      <c r="D1162" s="159" t="s">
        <v>692</v>
      </c>
      <c r="E1162" s="164" t="s">
        <v>690</v>
      </c>
      <c r="F1162" s="159"/>
      <c r="G1162" s="157" t="s">
        <v>1349</v>
      </c>
      <c r="H1162" s="157" t="s">
        <v>1350</v>
      </c>
      <c r="I1162" s="157" t="s">
        <v>1619</v>
      </c>
      <c r="J1162" s="157" t="s">
        <v>8295</v>
      </c>
      <c r="K1162" s="157" t="s">
        <v>1352</v>
      </c>
      <c r="L1162" s="157" t="s">
        <v>1623</v>
      </c>
      <c r="M1162" s="157" t="str">
        <f t="shared" ref="M1162:M1225" si="28">CONCATENATE(L1162," - ",I1162)</f>
        <v>Camera_NFC4 - Short Range View</v>
      </c>
      <c r="N1162" s="157"/>
      <c r="O1162" s="157"/>
      <c r="P1162" s="159" t="s">
        <v>8147</v>
      </c>
      <c r="Q1162" s="157" t="s">
        <v>2115</v>
      </c>
      <c r="R1162" s="157" t="s">
        <v>8291</v>
      </c>
      <c r="S1162" s="157" t="s">
        <v>8604</v>
      </c>
      <c r="T1162" s="157"/>
      <c r="U1162" s="159" t="s">
        <v>2129</v>
      </c>
      <c r="V1162" s="159" t="s">
        <v>2129</v>
      </c>
      <c r="W1162" s="159" t="s">
        <v>2138</v>
      </c>
      <c r="X1162" s="160">
        <v>1</v>
      </c>
      <c r="Y1162" s="160">
        <v>1</v>
      </c>
      <c r="Z1162" s="160">
        <v>1</v>
      </c>
      <c r="AA1162" s="160">
        <v>1</v>
      </c>
    </row>
    <row r="1163" spans="1:27" ht="18" customHeight="1" x14ac:dyDescent="0.25">
      <c r="A1163" s="159">
        <v>3225</v>
      </c>
      <c r="B1163" s="164" t="s">
        <v>266</v>
      </c>
      <c r="C1163" s="164" t="s">
        <v>294</v>
      </c>
      <c r="D1163" s="159" t="s">
        <v>1177</v>
      </c>
      <c r="E1163" s="164" t="s">
        <v>1175</v>
      </c>
      <c r="F1163" s="159"/>
      <c r="G1163" s="157" t="s">
        <v>1349</v>
      </c>
      <c r="H1163" s="157" t="s">
        <v>1350</v>
      </c>
      <c r="I1163" s="157" t="s">
        <v>1619</v>
      </c>
      <c r="J1163" s="157" t="s">
        <v>8295</v>
      </c>
      <c r="K1163" s="157" t="s">
        <v>1352</v>
      </c>
      <c r="L1163" s="157" t="s">
        <v>1623</v>
      </c>
      <c r="M1163" s="157" t="str">
        <f t="shared" si="28"/>
        <v>Camera_NFC4 - Short Range View</v>
      </c>
      <c r="N1163" s="157"/>
      <c r="O1163" s="157"/>
      <c r="P1163" s="159" t="s">
        <v>8147</v>
      </c>
      <c r="Q1163" s="157" t="s">
        <v>2115</v>
      </c>
      <c r="R1163" s="157" t="s">
        <v>8291</v>
      </c>
      <c r="S1163" s="157" t="s">
        <v>8604</v>
      </c>
      <c r="T1163" s="157"/>
      <c r="U1163" s="159" t="s">
        <v>2129</v>
      </c>
      <c r="V1163" s="159" t="s">
        <v>2129</v>
      </c>
      <c r="W1163" s="159" t="s">
        <v>2138</v>
      </c>
      <c r="X1163" s="160">
        <v>1</v>
      </c>
      <c r="Y1163" s="160">
        <v>1</v>
      </c>
      <c r="Z1163" s="160">
        <v>1</v>
      </c>
      <c r="AA1163" s="160">
        <v>1</v>
      </c>
    </row>
    <row r="1164" spans="1:27" ht="18" customHeight="1" x14ac:dyDescent="0.25">
      <c r="A1164" s="159">
        <v>3225</v>
      </c>
      <c r="B1164" s="164" t="s">
        <v>266</v>
      </c>
      <c r="C1164" s="164" t="s">
        <v>294</v>
      </c>
      <c r="D1164" s="159" t="s">
        <v>1178</v>
      </c>
      <c r="E1164" s="164" t="s">
        <v>1179</v>
      </c>
      <c r="F1164" s="159"/>
      <c r="G1164" s="157" t="s">
        <v>1349</v>
      </c>
      <c r="H1164" s="157" t="s">
        <v>1350</v>
      </c>
      <c r="I1164" s="157" t="s">
        <v>1619</v>
      </c>
      <c r="J1164" s="157" t="s">
        <v>8295</v>
      </c>
      <c r="K1164" s="157" t="s">
        <v>1352</v>
      </c>
      <c r="L1164" s="157" t="s">
        <v>1623</v>
      </c>
      <c r="M1164" s="157" t="str">
        <f t="shared" si="28"/>
        <v>Camera_NFC4 - Short Range View</v>
      </c>
      <c r="N1164" s="157"/>
      <c r="O1164" s="157"/>
      <c r="P1164" s="159" t="s">
        <v>8147</v>
      </c>
      <c r="Q1164" s="157" t="s">
        <v>2115</v>
      </c>
      <c r="R1164" s="157" t="s">
        <v>8291</v>
      </c>
      <c r="S1164" s="157" t="s">
        <v>8604</v>
      </c>
      <c r="T1164" s="157"/>
      <c r="U1164" s="159" t="s">
        <v>2129</v>
      </c>
      <c r="V1164" s="159" t="s">
        <v>2129</v>
      </c>
      <c r="W1164" s="159" t="s">
        <v>2138</v>
      </c>
      <c r="X1164" s="160">
        <v>1</v>
      </c>
      <c r="Y1164" s="160">
        <v>1</v>
      </c>
      <c r="Z1164" s="160">
        <v>1</v>
      </c>
      <c r="AA1164" s="160">
        <v>1</v>
      </c>
    </row>
    <row r="1165" spans="1:27" ht="18" customHeight="1" x14ac:dyDescent="0.25">
      <c r="A1165" s="159">
        <v>3225</v>
      </c>
      <c r="B1165" s="164" t="s">
        <v>266</v>
      </c>
      <c r="C1165" s="164" t="s">
        <v>294</v>
      </c>
      <c r="D1165" s="159" t="s">
        <v>1207</v>
      </c>
      <c r="E1165" s="164" t="s">
        <v>1205</v>
      </c>
      <c r="F1165" s="159"/>
      <c r="G1165" s="157" t="s">
        <v>1349</v>
      </c>
      <c r="H1165" s="157" t="s">
        <v>1350</v>
      </c>
      <c r="I1165" s="157" t="s">
        <v>1619</v>
      </c>
      <c r="J1165" s="157" t="s">
        <v>8295</v>
      </c>
      <c r="K1165" s="157" t="s">
        <v>1352</v>
      </c>
      <c r="L1165" s="157" t="s">
        <v>1623</v>
      </c>
      <c r="M1165" s="157" t="str">
        <f t="shared" si="28"/>
        <v>Camera_NFC4 - Short Range View</v>
      </c>
      <c r="N1165" s="157"/>
      <c r="O1165" s="157"/>
      <c r="P1165" s="159" t="s">
        <v>8147</v>
      </c>
      <c r="Q1165" s="157" t="s">
        <v>2115</v>
      </c>
      <c r="R1165" s="157" t="s">
        <v>8291</v>
      </c>
      <c r="S1165" s="157" t="s">
        <v>8604</v>
      </c>
      <c r="T1165" s="157"/>
      <c r="U1165" s="159" t="s">
        <v>2129</v>
      </c>
      <c r="V1165" s="159" t="s">
        <v>2129</v>
      </c>
      <c r="W1165" s="159" t="s">
        <v>2138</v>
      </c>
      <c r="X1165" s="160">
        <v>1</v>
      </c>
      <c r="Y1165" s="160">
        <v>1</v>
      </c>
      <c r="Z1165" s="160">
        <v>1</v>
      </c>
      <c r="AA1165" s="160">
        <v>1</v>
      </c>
    </row>
    <row r="1166" spans="1:27" ht="18" customHeight="1" x14ac:dyDescent="0.25">
      <c r="A1166" s="159">
        <v>3225</v>
      </c>
      <c r="B1166" s="164" t="s">
        <v>266</v>
      </c>
      <c r="C1166" s="164" t="s">
        <v>519</v>
      </c>
      <c r="D1166" s="159" t="s">
        <v>522</v>
      </c>
      <c r="E1166" s="164" t="s">
        <v>520</v>
      </c>
      <c r="F1166" s="159"/>
      <c r="G1166" s="157" t="s">
        <v>1349</v>
      </c>
      <c r="H1166" s="157" t="s">
        <v>1350</v>
      </c>
      <c r="I1166" s="157" t="s">
        <v>1619</v>
      </c>
      <c r="J1166" s="157" t="s">
        <v>8295</v>
      </c>
      <c r="K1166" s="157" t="s">
        <v>1352</v>
      </c>
      <c r="L1166" s="157" t="s">
        <v>1623</v>
      </c>
      <c r="M1166" s="157" t="str">
        <f t="shared" si="28"/>
        <v>Camera_NFC4 - Short Range View</v>
      </c>
      <c r="N1166" s="157"/>
      <c r="O1166" s="157"/>
      <c r="P1166" s="159" t="s">
        <v>8147</v>
      </c>
      <c r="Q1166" s="157" t="s">
        <v>2115</v>
      </c>
      <c r="R1166" s="157" t="s">
        <v>8291</v>
      </c>
      <c r="S1166" s="157" t="s">
        <v>8604</v>
      </c>
      <c r="T1166" s="157"/>
      <c r="U1166" s="159" t="s">
        <v>2129</v>
      </c>
      <c r="V1166" s="159" t="s">
        <v>2129</v>
      </c>
      <c r="W1166" s="159" t="s">
        <v>2138</v>
      </c>
      <c r="X1166" s="160">
        <v>1</v>
      </c>
      <c r="Y1166" s="160">
        <v>1</v>
      </c>
      <c r="Z1166" s="160">
        <v>1</v>
      </c>
      <c r="AA1166" s="160">
        <v>1</v>
      </c>
    </row>
    <row r="1167" spans="1:27" ht="18" customHeight="1" x14ac:dyDescent="0.25">
      <c r="A1167" s="159">
        <v>3225</v>
      </c>
      <c r="B1167" s="164" t="s">
        <v>266</v>
      </c>
      <c r="C1167" s="164" t="s">
        <v>519</v>
      </c>
      <c r="D1167" s="159" t="s">
        <v>526</v>
      </c>
      <c r="E1167" s="164" t="s">
        <v>524</v>
      </c>
      <c r="F1167" s="159"/>
      <c r="G1167" s="157" t="s">
        <v>1349</v>
      </c>
      <c r="H1167" s="157" t="s">
        <v>1350</v>
      </c>
      <c r="I1167" s="157" t="s">
        <v>1619</v>
      </c>
      <c r="J1167" s="157" t="s">
        <v>8295</v>
      </c>
      <c r="K1167" s="157" t="s">
        <v>1352</v>
      </c>
      <c r="L1167" s="157" t="s">
        <v>1623</v>
      </c>
      <c r="M1167" s="157" t="str">
        <f t="shared" si="28"/>
        <v>Camera_NFC4 - Short Range View</v>
      </c>
      <c r="N1167" s="157"/>
      <c r="O1167" s="157"/>
      <c r="P1167" s="159" t="s">
        <v>8147</v>
      </c>
      <c r="Q1167" s="157" t="s">
        <v>2115</v>
      </c>
      <c r="R1167" s="157" t="s">
        <v>8291</v>
      </c>
      <c r="S1167" s="157" t="s">
        <v>8604</v>
      </c>
      <c r="T1167" s="157"/>
      <c r="U1167" s="159" t="s">
        <v>2129</v>
      </c>
      <c r="V1167" s="159" t="s">
        <v>2129</v>
      </c>
      <c r="W1167" s="159" t="s">
        <v>2138</v>
      </c>
      <c r="X1167" s="160">
        <v>1</v>
      </c>
      <c r="Y1167" s="160">
        <v>1</v>
      </c>
      <c r="Z1167" s="160">
        <v>1</v>
      </c>
      <c r="AA1167" s="160">
        <v>1</v>
      </c>
    </row>
    <row r="1168" spans="1:27" ht="18" customHeight="1" x14ac:dyDescent="0.25">
      <c r="A1168" s="159">
        <v>3225</v>
      </c>
      <c r="B1168" s="164" t="s">
        <v>266</v>
      </c>
      <c r="C1168" s="164" t="s">
        <v>519</v>
      </c>
      <c r="D1168" s="159" t="s">
        <v>530</v>
      </c>
      <c r="E1168" s="164" t="s">
        <v>528</v>
      </c>
      <c r="F1168" s="159"/>
      <c r="G1168" s="157" t="s">
        <v>1349</v>
      </c>
      <c r="H1168" s="157" t="s">
        <v>1350</v>
      </c>
      <c r="I1168" s="157" t="s">
        <v>1619</v>
      </c>
      <c r="J1168" s="157" t="s">
        <v>8295</v>
      </c>
      <c r="K1168" s="157" t="s">
        <v>1352</v>
      </c>
      <c r="L1168" s="157" t="s">
        <v>1623</v>
      </c>
      <c r="M1168" s="157" t="str">
        <f t="shared" si="28"/>
        <v>Camera_NFC4 - Short Range View</v>
      </c>
      <c r="N1168" s="157"/>
      <c r="O1168" s="157"/>
      <c r="P1168" s="159" t="s">
        <v>8147</v>
      </c>
      <c r="Q1168" s="157" t="s">
        <v>2115</v>
      </c>
      <c r="R1168" s="157" t="s">
        <v>8291</v>
      </c>
      <c r="S1168" s="157" t="s">
        <v>8604</v>
      </c>
      <c r="T1168" s="157"/>
      <c r="U1168" s="159" t="s">
        <v>2129</v>
      </c>
      <c r="V1168" s="159" t="s">
        <v>2129</v>
      </c>
      <c r="W1168" s="159" t="s">
        <v>2138</v>
      </c>
      <c r="X1168" s="160">
        <v>1</v>
      </c>
      <c r="Y1168" s="160">
        <v>1</v>
      </c>
      <c r="Z1168" s="160">
        <v>1</v>
      </c>
      <c r="AA1168" s="160">
        <v>1</v>
      </c>
    </row>
    <row r="1169" spans="1:27" ht="18" customHeight="1" x14ac:dyDescent="0.25">
      <c r="A1169" s="159">
        <v>3225</v>
      </c>
      <c r="B1169" s="164" t="s">
        <v>266</v>
      </c>
      <c r="C1169" s="164" t="s">
        <v>519</v>
      </c>
      <c r="D1169" s="159" t="s">
        <v>787</v>
      </c>
      <c r="E1169" s="164" t="s">
        <v>785</v>
      </c>
      <c r="F1169" s="159"/>
      <c r="G1169" s="157" t="s">
        <v>1349</v>
      </c>
      <c r="H1169" s="157" t="s">
        <v>1350</v>
      </c>
      <c r="I1169" s="157" t="s">
        <v>1619</v>
      </c>
      <c r="J1169" s="157" t="s">
        <v>8295</v>
      </c>
      <c r="K1169" s="157" t="s">
        <v>1352</v>
      </c>
      <c r="L1169" s="157" t="s">
        <v>1623</v>
      </c>
      <c r="M1169" s="157" t="str">
        <f t="shared" si="28"/>
        <v>Camera_NFC4 - Short Range View</v>
      </c>
      <c r="N1169" s="157"/>
      <c r="O1169" s="157"/>
      <c r="P1169" s="159" t="s">
        <v>8147</v>
      </c>
      <c r="Q1169" s="157" t="s">
        <v>2115</v>
      </c>
      <c r="R1169" s="157" t="s">
        <v>8291</v>
      </c>
      <c r="S1169" s="157" t="s">
        <v>8604</v>
      </c>
      <c r="T1169" s="157"/>
      <c r="U1169" s="159" t="s">
        <v>2129</v>
      </c>
      <c r="V1169" s="159" t="s">
        <v>2129</v>
      </c>
      <c r="W1169" s="159" t="s">
        <v>2138</v>
      </c>
      <c r="X1169" s="160">
        <v>1</v>
      </c>
      <c r="Y1169" s="160">
        <v>1</v>
      </c>
      <c r="Z1169" s="160">
        <v>1</v>
      </c>
      <c r="AA1169" s="160">
        <v>1</v>
      </c>
    </row>
    <row r="1170" spans="1:27" ht="18" customHeight="1" x14ac:dyDescent="0.25">
      <c r="A1170" s="159">
        <v>3225</v>
      </c>
      <c r="B1170" s="164" t="s">
        <v>266</v>
      </c>
      <c r="C1170" s="164" t="s">
        <v>519</v>
      </c>
      <c r="D1170" s="159" t="s">
        <v>935</v>
      </c>
      <c r="E1170" s="164" t="s">
        <v>933</v>
      </c>
      <c r="F1170" s="159"/>
      <c r="G1170" s="157" t="s">
        <v>1349</v>
      </c>
      <c r="H1170" s="157" t="s">
        <v>1350</v>
      </c>
      <c r="I1170" s="157" t="s">
        <v>1619</v>
      </c>
      <c r="J1170" s="157" t="s">
        <v>8295</v>
      </c>
      <c r="K1170" s="157" t="s">
        <v>1352</v>
      </c>
      <c r="L1170" s="157" t="s">
        <v>1623</v>
      </c>
      <c r="M1170" s="157" t="str">
        <f t="shared" si="28"/>
        <v>Camera_NFC4 - Short Range View</v>
      </c>
      <c r="N1170" s="157"/>
      <c r="O1170" s="157"/>
      <c r="P1170" s="159" t="s">
        <v>8147</v>
      </c>
      <c r="Q1170" s="157" t="s">
        <v>2115</v>
      </c>
      <c r="R1170" s="157" t="s">
        <v>8291</v>
      </c>
      <c r="S1170" s="157" t="s">
        <v>8604</v>
      </c>
      <c r="T1170" s="157"/>
      <c r="U1170" s="159" t="s">
        <v>2129</v>
      </c>
      <c r="V1170" s="159" t="s">
        <v>2129</v>
      </c>
      <c r="W1170" s="159" t="s">
        <v>2138</v>
      </c>
      <c r="X1170" s="160">
        <v>1</v>
      </c>
      <c r="Y1170" s="160">
        <v>1</v>
      </c>
      <c r="Z1170" s="160">
        <v>1</v>
      </c>
      <c r="AA1170" s="160">
        <v>1</v>
      </c>
    </row>
    <row r="1171" spans="1:27" ht="18" customHeight="1" x14ac:dyDescent="0.25">
      <c r="A1171" s="159">
        <v>3225</v>
      </c>
      <c r="B1171" s="164" t="s">
        <v>266</v>
      </c>
      <c r="C1171" s="164" t="s">
        <v>519</v>
      </c>
      <c r="D1171" s="159" t="s">
        <v>1151</v>
      </c>
      <c r="E1171" s="164" t="s">
        <v>1149</v>
      </c>
      <c r="F1171" s="159"/>
      <c r="G1171" s="157" t="s">
        <v>1349</v>
      </c>
      <c r="H1171" s="157" t="s">
        <v>1350</v>
      </c>
      <c r="I1171" s="157" t="s">
        <v>1619</v>
      </c>
      <c r="J1171" s="157" t="s">
        <v>8295</v>
      </c>
      <c r="K1171" s="157" t="s">
        <v>1352</v>
      </c>
      <c r="L1171" s="157" t="s">
        <v>1623</v>
      </c>
      <c r="M1171" s="157" t="str">
        <f t="shared" si="28"/>
        <v>Camera_NFC4 - Short Range View</v>
      </c>
      <c r="N1171" s="157"/>
      <c r="O1171" s="157"/>
      <c r="P1171" s="159" t="s">
        <v>8147</v>
      </c>
      <c r="Q1171" s="157" t="s">
        <v>2115</v>
      </c>
      <c r="R1171" s="157" t="s">
        <v>8291</v>
      </c>
      <c r="S1171" s="157" t="s">
        <v>8604</v>
      </c>
      <c r="T1171" s="157"/>
      <c r="U1171" s="159" t="s">
        <v>2129</v>
      </c>
      <c r="V1171" s="159" t="s">
        <v>2129</v>
      </c>
      <c r="W1171" s="159" t="s">
        <v>2138</v>
      </c>
      <c r="X1171" s="160">
        <v>1</v>
      </c>
      <c r="Y1171" s="160">
        <v>1</v>
      </c>
      <c r="Z1171" s="160">
        <v>1</v>
      </c>
      <c r="AA1171" s="160">
        <v>1</v>
      </c>
    </row>
    <row r="1172" spans="1:27" ht="18" customHeight="1" x14ac:dyDescent="0.25">
      <c r="A1172" s="159">
        <v>3225</v>
      </c>
      <c r="B1172" s="164" t="s">
        <v>266</v>
      </c>
      <c r="C1172" s="164" t="s">
        <v>519</v>
      </c>
      <c r="D1172" s="159" t="s">
        <v>1159</v>
      </c>
      <c r="E1172" s="164" t="s">
        <v>1157</v>
      </c>
      <c r="F1172" s="159"/>
      <c r="G1172" s="157" t="s">
        <v>1349</v>
      </c>
      <c r="H1172" s="157" t="s">
        <v>1350</v>
      </c>
      <c r="I1172" s="157" t="s">
        <v>1619</v>
      </c>
      <c r="J1172" s="157" t="s">
        <v>8295</v>
      </c>
      <c r="K1172" s="157" t="s">
        <v>1352</v>
      </c>
      <c r="L1172" s="157" t="s">
        <v>1623</v>
      </c>
      <c r="M1172" s="157" t="str">
        <f t="shared" si="28"/>
        <v>Camera_NFC4 - Short Range View</v>
      </c>
      <c r="N1172" s="157"/>
      <c r="O1172" s="157"/>
      <c r="P1172" s="159" t="s">
        <v>8147</v>
      </c>
      <c r="Q1172" s="157" t="s">
        <v>2115</v>
      </c>
      <c r="R1172" s="157" t="s">
        <v>8291</v>
      </c>
      <c r="S1172" s="157" t="s">
        <v>8604</v>
      </c>
      <c r="T1172" s="157"/>
      <c r="U1172" s="159" t="s">
        <v>2129</v>
      </c>
      <c r="V1172" s="159" t="s">
        <v>2129</v>
      </c>
      <c r="W1172" s="159" t="s">
        <v>2138</v>
      </c>
      <c r="X1172" s="160">
        <v>1</v>
      </c>
      <c r="Y1172" s="160">
        <v>1</v>
      </c>
      <c r="Z1172" s="160">
        <v>1</v>
      </c>
      <c r="AA1172" s="160">
        <v>1</v>
      </c>
    </row>
    <row r="1173" spans="1:27" ht="18" customHeight="1" x14ac:dyDescent="0.25">
      <c r="A1173" s="159">
        <v>3226</v>
      </c>
      <c r="B1173" s="164" t="s">
        <v>266</v>
      </c>
      <c r="C1173" s="164" t="s">
        <v>276</v>
      </c>
      <c r="D1173" s="159" t="s">
        <v>726</v>
      </c>
      <c r="E1173" s="164" t="s">
        <v>724</v>
      </c>
      <c r="F1173" s="159"/>
      <c r="G1173" s="157" t="s">
        <v>1349</v>
      </c>
      <c r="H1173" s="157" t="s">
        <v>1350</v>
      </c>
      <c r="I1173" s="157" t="s">
        <v>1619</v>
      </c>
      <c r="J1173" s="157" t="s">
        <v>8295</v>
      </c>
      <c r="K1173" s="157" t="s">
        <v>1352</v>
      </c>
      <c r="L1173" s="157" t="s">
        <v>1624</v>
      </c>
      <c r="M1173" s="157" t="str">
        <f t="shared" si="28"/>
        <v>Camera_NFC5 - Short Range View</v>
      </c>
      <c r="N1173" s="157"/>
      <c r="O1173" s="157"/>
      <c r="P1173" s="167" t="s">
        <v>7391</v>
      </c>
      <c r="Q1173" s="157" t="s">
        <v>2115</v>
      </c>
      <c r="R1173" s="157" t="s">
        <v>8291</v>
      </c>
      <c r="S1173" s="157" t="s">
        <v>8604</v>
      </c>
      <c r="T1173" s="157"/>
      <c r="U1173" s="159" t="s">
        <v>2129</v>
      </c>
      <c r="V1173" s="159" t="s">
        <v>2129</v>
      </c>
      <c r="W1173" s="159" t="s">
        <v>2138</v>
      </c>
      <c r="X1173" s="160">
        <v>1</v>
      </c>
      <c r="Y1173" s="160">
        <v>1</v>
      </c>
      <c r="Z1173" s="160">
        <v>1</v>
      </c>
      <c r="AA1173" s="160">
        <v>1</v>
      </c>
    </row>
    <row r="1174" spans="1:27" ht="18" customHeight="1" x14ac:dyDescent="0.25">
      <c r="A1174" s="159">
        <v>3226</v>
      </c>
      <c r="B1174" s="164" t="s">
        <v>266</v>
      </c>
      <c r="C1174" s="164" t="s">
        <v>276</v>
      </c>
      <c r="D1174" s="159" t="s">
        <v>734</v>
      </c>
      <c r="E1174" s="164" t="s">
        <v>732</v>
      </c>
      <c r="F1174" s="159"/>
      <c r="G1174" s="157" t="s">
        <v>1349</v>
      </c>
      <c r="H1174" s="157" t="s">
        <v>1350</v>
      </c>
      <c r="I1174" s="157" t="s">
        <v>1619</v>
      </c>
      <c r="J1174" s="157" t="s">
        <v>8295</v>
      </c>
      <c r="K1174" s="157" t="s">
        <v>1352</v>
      </c>
      <c r="L1174" s="157" t="s">
        <v>1624</v>
      </c>
      <c r="M1174" s="157" t="str">
        <f t="shared" si="28"/>
        <v>Camera_NFC5 - Short Range View</v>
      </c>
      <c r="N1174" s="157"/>
      <c r="O1174" s="157"/>
      <c r="P1174" s="167" t="s">
        <v>7391</v>
      </c>
      <c r="Q1174" s="157" t="s">
        <v>2115</v>
      </c>
      <c r="R1174" s="157" t="s">
        <v>8291</v>
      </c>
      <c r="S1174" s="157" t="s">
        <v>8604</v>
      </c>
      <c r="T1174" s="157"/>
      <c r="U1174" s="159" t="s">
        <v>2129</v>
      </c>
      <c r="V1174" s="159" t="s">
        <v>2129</v>
      </c>
      <c r="W1174" s="159" t="s">
        <v>2138</v>
      </c>
      <c r="X1174" s="160">
        <v>1</v>
      </c>
      <c r="Y1174" s="160">
        <v>1</v>
      </c>
      <c r="Z1174" s="160">
        <v>1</v>
      </c>
      <c r="AA1174" s="160">
        <v>1</v>
      </c>
    </row>
    <row r="1175" spans="1:27" ht="18" customHeight="1" x14ac:dyDescent="0.25">
      <c r="A1175" s="159">
        <v>3226</v>
      </c>
      <c r="B1175" s="164" t="s">
        <v>266</v>
      </c>
      <c r="C1175" s="164" t="s">
        <v>294</v>
      </c>
      <c r="D1175" s="159" t="s">
        <v>297</v>
      </c>
      <c r="E1175" s="164" t="s">
        <v>295</v>
      </c>
      <c r="F1175" s="159"/>
      <c r="G1175" s="157" t="s">
        <v>1349</v>
      </c>
      <c r="H1175" s="157" t="s">
        <v>1350</v>
      </c>
      <c r="I1175" s="157" t="s">
        <v>1619</v>
      </c>
      <c r="J1175" s="157" t="s">
        <v>8295</v>
      </c>
      <c r="K1175" s="157" t="s">
        <v>1352</v>
      </c>
      <c r="L1175" s="157" t="s">
        <v>1624</v>
      </c>
      <c r="M1175" s="157" t="str">
        <f t="shared" si="28"/>
        <v>Camera_NFC5 - Short Range View</v>
      </c>
      <c r="N1175" s="157"/>
      <c r="O1175" s="157"/>
      <c r="P1175" s="167" t="s">
        <v>7391</v>
      </c>
      <c r="Q1175" s="157" t="s">
        <v>2115</v>
      </c>
      <c r="R1175" s="157" t="s">
        <v>8291</v>
      </c>
      <c r="S1175" s="157" t="s">
        <v>8604</v>
      </c>
      <c r="T1175" s="157"/>
      <c r="U1175" s="159" t="s">
        <v>2129</v>
      </c>
      <c r="V1175" s="159" t="s">
        <v>2129</v>
      </c>
      <c r="W1175" s="159" t="s">
        <v>2138</v>
      </c>
      <c r="X1175" s="160">
        <v>1</v>
      </c>
      <c r="Y1175" s="160">
        <v>1</v>
      </c>
      <c r="Z1175" s="160">
        <v>1</v>
      </c>
      <c r="AA1175" s="160">
        <v>1</v>
      </c>
    </row>
    <row r="1176" spans="1:27" ht="18" customHeight="1" x14ac:dyDescent="0.25">
      <c r="A1176" s="159">
        <v>3226</v>
      </c>
      <c r="B1176" s="164" t="s">
        <v>266</v>
      </c>
      <c r="C1176" s="164" t="s">
        <v>294</v>
      </c>
      <c r="D1176" s="159" t="s">
        <v>298</v>
      </c>
      <c r="E1176" s="164" t="s">
        <v>299</v>
      </c>
      <c r="F1176" s="159"/>
      <c r="G1176" s="157" t="s">
        <v>1349</v>
      </c>
      <c r="H1176" s="157" t="s">
        <v>1350</v>
      </c>
      <c r="I1176" s="157" t="s">
        <v>1619</v>
      </c>
      <c r="J1176" s="157" t="s">
        <v>8295</v>
      </c>
      <c r="K1176" s="157" t="s">
        <v>1352</v>
      </c>
      <c r="L1176" s="157" t="s">
        <v>1624</v>
      </c>
      <c r="M1176" s="157" t="str">
        <f t="shared" si="28"/>
        <v>Camera_NFC5 - Short Range View</v>
      </c>
      <c r="N1176" s="157"/>
      <c r="O1176" s="157"/>
      <c r="P1176" s="167" t="s">
        <v>7391</v>
      </c>
      <c r="Q1176" s="157" t="s">
        <v>2115</v>
      </c>
      <c r="R1176" s="157" t="s">
        <v>8291</v>
      </c>
      <c r="S1176" s="157" t="s">
        <v>8604</v>
      </c>
      <c r="T1176" s="157"/>
      <c r="U1176" s="159" t="s">
        <v>2129</v>
      </c>
      <c r="V1176" s="159" t="s">
        <v>2129</v>
      </c>
      <c r="W1176" s="159" t="s">
        <v>2138</v>
      </c>
      <c r="X1176" s="160">
        <v>1</v>
      </c>
      <c r="Y1176" s="160">
        <v>1</v>
      </c>
      <c r="Z1176" s="160">
        <v>1</v>
      </c>
      <c r="AA1176" s="160">
        <v>1</v>
      </c>
    </row>
    <row r="1177" spans="1:27" ht="18" customHeight="1" x14ac:dyDescent="0.25">
      <c r="A1177" s="159">
        <v>3226</v>
      </c>
      <c r="B1177" s="164" t="s">
        <v>266</v>
      </c>
      <c r="C1177" s="164" t="s">
        <v>294</v>
      </c>
      <c r="D1177" s="159" t="s">
        <v>503</v>
      </c>
      <c r="E1177" s="164" t="s">
        <v>501</v>
      </c>
      <c r="F1177" s="159"/>
      <c r="G1177" s="157" t="s">
        <v>1349</v>
      </c>
      <c r="H1177" s="157" t="s">
        <v>1350</v>
      </c>
      <c r="I1177" s="157" t="s">
        <v>1619</v>
      </c>
      <c r="J1177" s="157" t="s">
        <v>8295</v>
      </c>
      <c r="K1177" s="157" t="s">
        <v>1352</v>
      </c>
      <c r="L1177" s="157" t="s">
        <v>1624</v>
      </c>
      <c r="M1177" s="157" t="str">
        <f t="shared" si="28"/>
        <v>Camera_NFC5 - Short Range View</v>
      </c>
      <c r="N1177" s="157"/>
      <c r="O1177" s="157"/>
      <c r="P1177" s="167" t="s">
        <v>7391</v>
      </c>
      <c r="Q1177" s="157" t="s">
        <v>2115</v>
      </c>
      <c r="R1177" s="157" t="s">
        <v>8291</v>
      </c>
      <c r="S1177" s="157" t="s">
        <v>8604</v>
      </c>
      <c r="T1177" s="157"/>
      <c r="U1177" s="159" t="s">
        <v>2129</v>
      </c>
      <c r="V1177" s="159" t="s">
        <v>2129</v>
      </c>
      <c r="W1177" s="159" t="s">
        <v>2138</v>
      </c>
      <c r="X1177" s="160">
        <v>1</v>
      </c>
      <c r="Y1177" s="160">
        <v>1</v>
      </c>
      <c r="Z1177" s="160">
        <v>1</v>
      </c>
      <c r="AA1177" s="160">
        <v>1</v>
      </c>
    </row>
    <row r="1178" spans="1:27" ht="18" customHeight="1" x14ac:dyDescent="0.25">
      <c r="A1178" s="159">
        <v>3226</v>
      </c>
      <c r="B1178" s="164" t="s">
        <v>266</v>
      </c>
      <c r="C1178" s="164" t="s">
        <v>294</v>
      </c>
      <c r="D1178" s="159" t="s">
        <v>692</v>
      </c>
      <c r="E1178" s="164" t="s">
        <v>690</v>
      </c>
      <c r="F1178" s="159"/>
      <c r="G1178" s="157" t="s">
        <v>1349</v>
      </c>
      <c r="H1178" s="157" t="s">
        <v>1350</v>
      </c>
      <c r="I1178" s="157" t="s">
        <v>1619</v>
      </c>
      <c r="J1178" s="157" t="s">
        <v>8295</v>
      </c>
      <c r="K1178" s="157" t="s">
        <v>1352</v>
      </c>
      <c r="L1178" s="157" t="s">
        <v>1624</v>
      </c>
      <c r="M1178" s="157" t="str">
        <f t="shared" si="28"/>
        <v>Camera_NFC5 - Short Range View</v>
      </c>
      <c r="N1178" s="157"/>
      <c r="O1178" s="157"/>
      <c r="P1178" s="167" t="s">
        <v>7391</v>
      </c>
      <c r="Q1178" s="157" t="s">
        <v>2115</v>
      </c>
      <c r="R1178" s="157" t="s">
        <v>8291</v>
      </c>
      <c r="S1178" s="157" t="s">
        <v>8604</v>
      </c>
      <c r="T1178" s="157"/>
      <c r="U1178" s="159" t="s">
        <v>2129</v>
      </c>
      <c r="V1178" s="159" t="s">
        <v>2129</v>
      </c>
      <c r="W1178" s="159" t="s">
        <v>2138</v>
      </c>
      <c r="X1178" s="160">
        <v>1</v>
      </c>
      <c r="Y1178" s="160">
        <v>1</v>
      </c>
      <c r="Z1178" s="160">
        <v>1</v>
      </c>
      <c r="AA1178" s="160">
        <v>1</v>
      </c>
    </row>
    <row r="1179" spans="1:27" ht="18" customHeight="1" x14ac:dyDescent="0.25">
      <c r="A1179" s="159">
        <v>3226</v>
      </c>
      <c r="B1179" s="164" t="s">
        <v>266</v>
      </c>
      <c r="C1179" s="164" t="s">
        <v>294</v>
      </c>
      <c r="D1179" s="159" t="s">
        <v>1177</v>
      </c>
      <c r="E1179" s="164" t="s">
        <v>1175</v>
      </c>
      <c r="F1179" s="159"/>
      <c r="G1179" s="157" t="s">
        <v>1349</v>
      </c>
      <c r="H1179" s="157" t="s">
        <v>1350</v>
      </c>
      <c r="I1179" s="157" t="s">
        <v>1619</v>
      </c>
      <c r="J1179" s="157" t="s">
        <v>8295</v>
      </c>
      <c r="K1179" s="157" t="s">
        <v>1352</v>
      </c>
      <c r="L1179" s="157" t="s">
        <v>1624</v>
      </c>
      <c r="M1179" s="157" t="str">
        <f t="shared" si="28"/>
        <v>Camera_NFC5 - Short Range View</v>
      </c>
      <c r="N1179" s="157"/>
      <c r="O1179" s="157"/>
      <c r="P1179" s="167" t="s">
        <v>7391</v>
      </c>
      <c r="Q1179" s="157" t="s">
        <v>2115</v>
      </c>
      <c r="R1179" s="157" t="s">
        <v>8291</v>
      </c>
      <c r="S1179" s="157" t="s">
        <v>8604</v>
      </c>
      <c r="T1179" s="157"/>
      <c r="U1179" s="159" t="s">
        <v>2129</v>
      </c>
      <c r="V1179" s="159" t="s">
        <v>2129</v>
      </c>
      <c r="W1179" s="159" t="s">
        <v>2138</v>
      </c>
      <c r="X1179" s="160">
        <v>1</v>
      </c>
      <c r="Y1179" s="160">
        <v>1</v>
      </c>
      <c r="Z1179" s="160">
        <v>1</v>
      </c>
      <c r="AA1179" s="160">
        <v>1</v>
      </c>
    </row>
    <row r="1180" spans="1:27" ht="18" customHeight="1" x14ac:dyDescent="0.25">
      <c r="A1180" s="159">
        <v>3226</v>
      </c>
      <c r="B1180" s="164" t="s">
        <v>266</v>
      </c>
      <c r="C1180" s="164" t="s">
        <v>294</v>
      </c>
      <c r="D1180" s="159" t="s">
        <v>1178</v>
      </c>
      <c r="E1180" s="164" t="s">
        <v>1179</v>
      </c>
      <c r="F1180" s="159"/>
      <c r="G1180" s="157" t="s">
        <v>1349</v>
      </c>
      <c r="H1180" s="157" t="s">
        <v>1350</v>
      </c>
      <c r="I1180" s="157" t="s">
        <v>1619</v>
      </c>
      <c r="J1180" s="157" t="s">
        <v>8295</v>
      </c>
      <c r="K1180" s="157" t="s">
        <v>1352</v>
      </c>
      <c r="L1180" s="157" t="s">
        <v>1624</v>
      </c>
      <c r="M1180" s="157" t="str">
        <f t="shared" si="28"/>
        <v>Camera_NFC5 - Short Range View</v>
      </c>
      <c r="N1180" s="157"/>
      <c r="O1180" s="157"/>
      <c r="P1180" s="167" t="s">
        <v>7391</v>
      </c>
      <c r="Q1180" s="157" t="s">
        <v>2115</v>
      </c>
      <c r="R1180" s="157" t="s">
        <v>8291</v>
      </c>
      <c r="S1180" s="157" t="s">
        <v>8604</v>
      </c>
      <c r="T1180" s="157"/>
      <c r="U1180" s="159" t="s">
        <v>2129</v>
      </c>
      <c r="V1180" s="159" t="s">
        <v>2129</v>
      </c>
      <c r="W1180" s="159" t="s">
        <v>2138</v>
      </c>
      <c r="X1180" s="160">
        <v>1</v>
      </c>
      <c r="Y1180" s="160">
        <v>1</v>
      </c>
      <c r="Z1180" s="160">
        <v>1</v>
      </c>
      <c r="AA1180" s="160">
        <v>1</v>
      </c>
    </row>
    <row r="1181" spans="1:27" ht="18" customHeight="1" x14ac:dyDescent="0.25">
      <c r="A1181" s="159">
        <v>3226</v>
      </c>
      <c r="B1181" s="164" t="s">
        <v>266</v>
      </c>
      <c r="C1181" s="164" t="s">
        <v>294</v>
      </c>
      <c r="D1181" s="159" t="s">
        <v>1207</v>
      </c>
      <c r="E1181" s="164" t="s">
        <v>1205</v>
      </c>
      <c r="F1181" s="159"/>
      <c r="G1181" s="157" t="s">
        <v>1349</v>
      </c>
      <c r="H1181" s="157" t="s">
        <v>1350</v>
      </c>
      <c r="I1181" s="157" t="s">
        <v>1619</v>
      </c>
      <c r="J1181" s="157" t="s">
        <v>8295</v>
      </c>
      <c r="K1181" s="157" t="s">
        <v>1352</v>
      </c>
      <c r="L1181" s="157" t="s">
        <v>1624</v>
      </c>
      <c r="M1181" s="157" t="str">
        <f t="shared" si="28"/>
        <v>Camera_NFC5 - Short Range View</v>
      </c>
      <c r="N1181" s="157"/>
      <c r="O1181" s="157"/>
      <c r="P1181" s="167" t="s">
        <v>7391</v>
      </c>
      <c r="Q1181" s="157" t="s">
        <v>2115</v>
      </c>
      <c r="R1181" s="157" t="s">
        <v>8291</v>
      </c>
      <c r="S1181" s="157" t="s">
        <v>8604</v>
      </c>
      <c r="T1181" s="157"/>
      <c r="U1181" s="159" t="s">
        <v>2129</v>
      </c>
      <c r="V1181" s="159" t="s">
        <v>2129</v>
      </c>
      <c r="W1181" s="159" t="s">
        <v>2138</v>
      </c>
      <c r="X1181" s="160">
        <v>1</v>
      </c>
      <c r="Y1181" s="160">
        <v>1</v>
      </c>
      <c r="Z1181" s="160">
        <v>1</v>
      </c>
      <c r="AA1181" s="160">
        <v>1</v>
      </c>
    </row>
    <row r="1182" spans="1:27" ht="18" customHeight="1" x14ac:dyDescent="0.25">
      <c r="A1182" s="159">
        <v>3226</v>
      </c>
      <c r="B1182" s="164" t="s">
        <v>266</v>
      </c>
      <c r="C1182" s="164" t="s">
        <v>519</v>
      </c>
      <c r="D1182" s="159" t="s">
        <v>522</v>
      </c>
      <c r="E1182" s="164" t="s">
        <v>520</v>
      </c>
      <c r="F1182" s="159"/>
      <c r="G1182" s="157" t="s">
        <v>1349</v>
      </c>
      <c r="H1182" s="157" t="s">
        <v>1350</v>
      </c>
      <c r="I1182" s="157" t="s">
        <v>1619</v>
      </c>
      <c r="J1182" s="157" t="s">
        <v>8295</v>
      </c>
      <c r="K1182" s="157" t="s">
        <v>1352</v>
      </c>
      <c r="L1182" s="157" t="s">
        <v>1624</v>
      </c>
      <c r="M1182" s="157" t="str">
        <f t="shared" si="28"/>
        <v>Camera_NFC5 - Short Range View</v>
      </c>
      <c r="N1182" s="157"/>
      <c r="O1182" s="157"/>
      <c r="P1182" s="167" t="s">
        <v>7391</v>
      </c>
      <c r="Q1182" s="157" t="s">
        <v>2115</v>
      </c>
      <c r="R1182" s="157" t="s">
        <v>8291</v>
      </c>
      <c r="S1182" s="157" t="s">
        <v>8604</v>
      </c>
      <c r="T1182" s="157"/>
      <c r="U1182" s="159" t="s">
        <v>2129</v>
      </c>
      <c r="V1182" s="159" t="s">
        <v>2129</v>
      </c>
      <c r="W1182" s="159" t="s">
        <v>2138</v>
      </c>
      <c r="X1182" s="160">
        <v>1</v>
      </c>
      <c r="Y1182" s="160">
        <v>1</v>
      </c>
      <c r="Z1182" s="160">
        <v>1</v>
      </c>
      <c r="AA1182" s="160">
        <v>1</v>
      </c>
    </row>
    <row r="1183" spans="1:27" ht="18" customHeight="1" x14ac:dyDescent="0.25">
      <c r="A1183" s="159">
        <v>3226</v>
      </c>
      <c r="B1183" s="164" t="s">
        <v>266</v>
      </c>
      <c r="C1183" s="164" t="s">
        <v>519</v>
      </c>
      <c r="D1183" s="159" t="s">
        <v>526</v>
      </c>
      <c r="E1183" s="164" t="s">
        <v>524</v>
      </c>
      <c r="F1183" s="159"/>
      <c r="G1183" s="157" t="s">
        <v>1349</v>
      </c>
      <c r="H1183" s="157" t="s">
        <v>1350</v>
      </c>
      <c r="I1183" s="157" t="s">
        <v>1619</v>
      </c>
      <c r="J1183" s="157" t="s">
        <v>8295</v>
      </c>
      <c r="K1183" s="157" t="s">
        <v>1352</v>
      </c>
      <c r="L1183" s="157" t="s">
        <v>1624</v>
      </c>
      <c r="M1183" s="157" t="str">
        <f t="shared" si="28"/>
        <v>Camera_NFC5 - Short Range View</v>
      </c>
      <c r="N1183" s="157"/>
      <c r="O1183" s="157"/>
      <c r="P1183" s="167" t="s">
        <v>7391</v>
      </c>
      <c r="Q1183" s="157" t="s">
        <v>2115</v>
      </c>
      <c r="R1183" s="157" t="s">
        <v>8291</v>
      </c>
      <c r="S1183" s="157" t="s">
        <v>8604</v>
      </c>
      <c r="T1183" s="157"/>
      <c r="U1183" s="159" t="s">
        <v>2129</v>
      </c>
      <c r="V1183" s="159" t="s">
        <v>2129</v>
      </c>
      <c r="W1183" s="159" t="s">
        <v>2138</v>
      </c>
      <c r="X1183" s="160">
        <v>1</v>
      </c>
      <c r="Y1183" s="160">
        <v>1</v>
      </c>
      <c r="Z1183" s="160">
        <v>1</v>
      </c>
      <c r="AA1183" s="160">
        <v>1</v>
      </c>
    </row>
    <row r="1184" spans="1:27" ht="18" customHeight="1" x14ac:dyDescent="0.25">
      <c r="A1184" s="159">
        <v>3226</v>
      </c>
      <c r="B1184" s="164" t="s">
        <v>266</v>
      </c>
      <c r="C1184" s="164" t="s">
        <v>519</v>
      </c>
      <c r="D1184" s="159" t="s">
        <v>530</v>
      </c>
      <c r="E1184" s="164" t="s">
        <v>528</v>
      </c>
      <c r="F1184" s="159"/>
      <c r="G1184" s="157" t="s">
        <v>1349</v>
      </c>
      <c r="H1184" s="157" t="s">
        <v>1350</v>
      </c>
      <c r="I1184" s="157" t="s">
        <v>1619</v>
      </c>
      <c r="J1184" s="157" t="s">
        <v>8295</v>
      </c>
      <c r="K1184" s="157" t="s">
        <v>1352</v>
      </c>
      <c r="L1184" s="157" t="s">
        <v>1624</v>
      </c>
      <c r="M1184" s="157" t="str">
        <f t="shared" si="28"/>
        <v>Camera_NFC5 - Short Range View</v>
      </c>
      <c r="N1184" s="157"/>
      <c r="O1184" s="157"/>
      <c r="P1184" s="167" t="s">
        <v>7391</v>
      </c>
      <c r="Q1184" s="157" t="s">
        <v>2115</v>
      </c>
      <c r="R1184" s="157" t="s">
        <v>8291</v>
      </c>
      <c r="S1184" s="157" t="s">
        <v>8604</v>
      </c>
      <c r="T1184" s="157"/>
      <c r="U1184" s="159" t="s">
        <v>2129</v>
      </c>
      <c r="V1184" s="159" t="s">
        <v>2129</v>
      </c>
      <c r="W1184" s="159" t="s">
        <v>2138</v>
      </c>
      <c r="X1184" s="160">
        <v>1</v>
      </c>
      <c r="Y1184" s="160">
        <v>1</v>
      </c>
      <c r="Z1184" s="160">
        <v>1</v>
      </c>
      <c r="AA1184" s="160">
        <v>1</v>
      </c>
    </row>
    <row r="1185" spans="1:27" ht="18" customHeight="1" x14ac:dyDescent="0.25">
      <c r="A1185" s="159">
        <v>3226</v>
      </c>
      <c r="B1185" s="164" t="s">
        <v>266</v>
      </c>
      <c r="C1185" s="164" t="s">
        <v>519</v>
      </c>
      <c r="D1185" s="159" t="s">
        <v>787</v>
      </c>
      <c r="E1185" s="164" t="s">
        <v>785</v>
      </c>
      <c r="F1185" s="159"/>
      <c r="G1185" s="157" t="s">
        <v>1349</v>
      </c>
      <c r="H1185" s="157" t="s">
        <v>1350</v>
      </c>
      <c r="I1185" s="157" t="s">
        <v>1619</v>
      </c>
      <c r="J1185" s="157" t="s">
        <v>8295</v>
      </c>
      <c r="K1185" s="157" t="s">
        <v>1352</v>
      </c>
      <c r="L1185" s="157" t="s">
        <v>1624</v>
      </c>
      <c r="M1185" s="157" t="str">
        <f t="shared" si="28"/>
        <v>Camera_NFC5 - Short Range View</v>
      </c>
      <c r="N1185" s="157"/>
      <c r="O1185" s="157"/>
      <c r="P1185" s="167" t="s">
        <v>7391</v>
      </c>
      <c r="Q1185" s="157" t="s">
        <v>2115</v>
      </c>
      <c r="R1185" s="157" t="s">
        <v>8291</v>
      </c>
      <c r="S1185" s="157" t="s">
        <v>8604</v>
      </c>
      <c r="T1185" s="157"/>
      <c r="U1185" s="159" t="s">
        <v>2129</v>
      </c>
      <c r="V1185" s="159" t="s">
        <v>2129</v>
      </c>
      <c r="W1185" s="159" t="s">
        <v>2138</v>
      </c>
      <c r="X1185" s="160">
        <v>1</v>
      </c>
      <c r="Y1185" s="160">
        <v>1</v>
      </c>
      <c r="Z1185" s="160">
        <v>1</v>
      </c>
      <c r="AA1185" s="160">
        <v>1</v>
      </c>
    </row>
    <row r="1186" spans="1:27" ht="18" customHeight="1" x14ac:dyDescent="0.25">
      <c r="A1186" s="159">
        <v>3226</v>
      </c>
      <c r="B1186" s="164" t="s">
        <v>266</v>
      </c>
      <c r="C1186" s="164" t="s">
        <v>519</v>
      </c>
      <c r="D1186" s="159" t="s">
        <v>935</v>
      </c>
      <c r="E1186" s="164" t="s">
        <v>933</v>
      </c>
      <c r="F1186" s="159"/>
      <c r="G1186" s="157" t="s">
        <v>1349</v>
      </c>
      <c r="H1186" s="157" t="s">
        <v>1350</v>
      </c>
      <c r="I1186" s="157" t="s">
        <v>1619</v>
      </c>
      <c r="J1186" s="157" t="s">
        <v>8295</v>
      </c>
      <c r="K1186" s="157" t="s">
        <v>1352</v>
      </c>
      <c r="L1186" s="157" t="s">
        <v>1624</v>
      </c>
      <c r="M1186" s="157" t="str">
        <f t="shared" si="28"/>
        <v>Camera_NFC5 - Short Range View</v>
      </c>
      <c r="N1186" s="157"/>
      <c r="O1186" s="157"/>
      <c r="P1186" s="167" t="s">
        <v>7391</v>
      </c>
      <c r="Q1186" s="157" t="s">
        <v>2115</v>
      </c>
      <c r="R1186" s="157" t="s">
        <v>8291</v>
      </c>
      <c r="S1186" s="157" t="s">
        <v>8604</v>
      </c>
      <c r="T1186" s="157"/>
      <c r="U1186" s="159" t="s">
        <v>2129</v>
      </c>
      <c r="V1186" s="159" t="s">
        <v>2129</v>
      </c>
      <c r="W1186" s="159" t="s">
        <v>2138</v>
      </c>
      <c r="X1186" s="160">
        <v>1</v>
      </c>
      <c r="Y1186" s="160">
        <v>1</v>
      </c>
      <c r="Z1186" s="160">
        <v>1</v>
      </c>
      <c r="AA1186" s="160">
        <v>1</v>
      </c>
    </row>
    <row r="1187" spans="1:27" ht="18" customHeight="1" x14ac:dyDescent="0.25">
      <c r="A1187" s="159">
        <v>3226</v>
      </c>
      <c r="B1187" s="164" t="s">
        <v>266</v>
      </c>
      <c r="C1187" s="164" t="s">
        <v>519</v>
      </c>
      <c r="D1187" s="159" t="s">
        <v>1151</v>
      </c>
      <c r="E1187" s="164" t="s">
        <v>1149</v>
      </c>
      <c r="F1187" s="159"/>
      <c r="G1187" s="157" t="s">
        <v>1349</v>
      </c>
      <c r="H1187" s="157" t="s">
        <v>1350</v>
      </c>
      <c r="I1187" s="157" t="s">
        <v>1619</v>
      </c>
      <c r="J1187" s="157" t="s">
        <v>8295</v>
      </c>
      <c r="K1187" s="157" t="s">
        <v>1352</v>
      </c>
      <c r="L1187" s="157" t="s">
        <v>1624</v>
      </c>
      <c r="M1187" s="157" t="str">
        <f t="shared" si="28"/>
        <v>Camera_NFC5 - Short Range View</v>
      </c>
      <c r="N1187" s="157"/>
      <c r="O1187" s="157"/>
      <c r="P1187" s="167" t="s">
        <v>7391</v>
      </c>
      <c r="Q1187" s="157" t="s">
        <v>2115</v>
      </c>
      <c r="R1187" s="157" t="s">
        <v>8291</v>
      </c>
      <c r="S1187" s="157" t="s">
        <v>8604</v>
      </c>
      <c r="T1187" s="157"/>
      <c r="U1187" s="159" t="s">
        <v>2129</v>
      </c>
      <c r="V1187" s="159" t="s">
        <v>2129</v>
      </c>
      <c r="W1187" s="159" t="s">
        <v>2138</v>
      </c>
      <c r="X1187" s="160">
        <v>1</v>
      </c>
      <c r="Y1187" s="160">
        <v>1</v>
      </c>
      <c r="Z1187" s="160">
        <v>1</v>
      </c>
      <c r="AA1187" s="160">
        <v>1</v>
      </c>
    </row>
    <row r="1188" spans="1:27" ht="18" customHeight="1" x14ac:dyDescent="0.25">
      <c r="A1188" s="159">
        <v>3226</v>
      </c>
      <c r="B1188" s="164" t="s">
        <v>266</v>
      </c>
      <c r="C1188" s="164" t="s">
        <v>519</v>
      </c>
      <c r="D1188" s="159" t="s">
        <v>1159</v>
      </c>
      <c r="E1188" s="164" t="s">
        <v>1157</v>
      </c>
      <c r="F1188" s="159"/>
      <c r="G1188" s="157" t="s">
        <v>1349</v>
      </c>
      <c r="H1188" s="157" t="s">
        <v>1350</v>
      </c>
      <c r="I1188" s="157" t="s">
        <v>1619</v>
      </c>
      <c r="J1188" s="157" t="s">
        <v>8295</v>
      </c>
      <c r="K1188" s="157" t="s">
        <v>1352</v>
      </c>
      <c r="L1188" s="157" t="s">
        <v>1624</v>
      </c>
      <c r="M1188" s="157" t="str">
        <f t="shared" si="28"/>
        <v>Camera_NFC5 - Short Range View</v>
      </c>
      <c r="N1188" s="157"/>
      <c r="O1188" s="157"/>
      <c r="P1188" s="167" t="s">
        <v>7391</v>
      </c>
      <c r="Q1188" s="157" t="s">
        <v>2115</v>
      </c>
      <c r="R1188" s="157" t="s">
        <v>8291</v>
      </c>
      <c r="S1188" s="157" t="s">
        <v>8604</v>
      </c>
      <c r="T1188" s="157"/>
      <c r="U1188" s="159" t="s">
        <v>2129</v>
      </c>
      <c r="V1188" s="159" t="s">
        <v>2129</v>
      </c>
      <c r="W1188" s="159" t="s">
        <v>2138</v>
      </c>
      <c r="X1188" s="160">
        <v>1</v>
      </c>
      <c r="Y1188" s="160">
        <v>1</v>
      </c>
      <c r="Z1188" s="160">
        <v>1</v>
      </c>
      <c r="AA1188" s="160">
        <v>1</v>
      </c>
    </row>
    <row r="1189" spans="1:27" ht="18" customHeight="1" x14ac:dyDescent="0.25">
      <c r="A1189" s="159">
        <v>3227</v>
      </c>
      <c r="B1189" s="164" t="s">
        <v>29</v>
      </c>
      <c r="C1189" s="164" t="s">
        <v>113</v>
      </c>
      <c r="D1189" s="159" t="s">
        <v>932</v>
      </c>
      <c r="E1189" s="164" t="s">
        <v>930</v>
      </c>
      <c r="F1189" s="159"/>
      <c r="G1189" s="157" t="s">
        <v>1349</v>
      </c>
      <c r="H1189" s="157" t="s">
        <v>1350</v>
      </c>
      <c r="I1189" s="157" t="s">
        <v>1625</v>
      </c>
      <c r="J1189" s="157" t="s">
        <v>8295</v>
      </c>
      <c r="K1189" s="157" t="s">
        <v>1352</v>
      </c>
      <c r="L1189" s="157" t="s">
        <v>1626</v>
      </c>
      <c r="M1189" s="157" t="str">
        <f t="shared" si="28"/>
        <v>Camera_FFC1 - Long Range View</v>
      </c>
      <c r="N1189" s="157"/>
      <c r="O1189" s="157"/>
      <c r="P1189" s="159" t="s">
        <v>5561</v>
      </c>
      <c r="Q1189" s="74" t="s">
        <v>2115</v>
      </c>
      <c r="R1189" s="74" t="s">
        <v>8690</v>
      </c>
      <c r="S1189" s="74" t="s">
        <v>8261</v>
      </c>
      <c r="T1189" s="157"/>
      <c r="U1189" s="159" t="s">
        <v>2129</v>
      </c>
      <c r="V1189" s="159" t="s">
        <v>2129</v>
      </c>
      <c r="W1189" s="159" t="s">
        <v>2138</v>
      </c>
      <c r="X1189" s="160">
        <v>1</v>
      </c>
      <c r="Y1189" s="160">
        <v>1</v>
      </c>
      <c r="Z1189" s="160">
        <v>1</v>
      </c>
      <c r="AA1189" s="160">
        <v>1</v>
      </c>
    </row>
    <row r="1190" spans="1:27" ht="18" customHeight="1" x14ac:dyDescent="0.25">
      <c r="A1190" s="159">
        <v>3227</v>
      </c>
      <c r="B1190" s="164" t="s">
        <v>266</v>
      </c>
      <c r="C1190" s="164" t="s">
        <v>286</v>
      </c>
      <c r="D1190" s="159" t="s">
        <v>289</v>
      </c>
      <c r="E1190" s="164" t="s">
        <v>287</v>
      </c>
      <c r="F1190" s="159"/>
      <c r="G1190" s="157" t="s">
        <v>1349</v>
      </c>
      <c r="H1190" s="157" t="s">
        <v>1350</v>
      </c>
      <c r="I1190" s="157" t="s">
        <v>1625</v>
      </c>
      <c r="J1190" s="157" t="s">
        <v>8295</v>
      </c>
      <c r="K1190" s="157" t="s">
        <v>1352</v>
      </c>
      <c r="L1190" s="157" t="s">
        <v>1626</v>
      </c>
      <c r="M1190" s="157" t="str">
        <f t="shared" si="28"/>
        <v>Camera_FFC1 - Long Range View</v>
      </c>
      <c r="N1190" s="157"/>
      <c r="O1190" s="157"/>
      <c r="P1190" s="159" t="s">
        <v>5561</v>
      </c>
      <c r="Q1190" s="74" t="s">
        <v>2115</v>
      </c>
      <c r="R1190" s="74" t="s">
        <v>8690</v>
      </c>
      <c r="S1190" s="74" t="s">
        <v>8261</v>
      </c>
      <c r="T1190" s="157"/>
      <c r="U1190" s="159" t="s">
        <v>2129</v>
      </c>
      <c r="V1190" s="159" t="s">
        <v>2129</v>
      </c>
      <c r="W1190" s="159" t="s">
        <v>2138</v>
      </c>
      <c r="X1190" s="160">
        <v>1</v>
      </c>
      <c r="Y1190" s="160">
        <v>1</v>
      </c>
      <c r="Z1190" s="160">
        <v>1</v>
      </c>
      <c r="AA1190" s="160">
        <v>1</v>
      </c>
    </row>
    <row r="1191" spans="1:27" ht="18" customHeight="1" x14ac:dyDescent="0.25">
      <c r="A1191" s="159">
        <v>3227</v>
      </c>
      <c r="B1191" s="164" t="s">
        <v>266</v>
      </c>
      <c r="C1191" s="164" t="s">
        <v>276</v>
      </c>
      <c r="D1191" s="159" t="s">
        <v>317</v>
      </c>
      <c r="E1191" s="164" t="s">
        <v>315</v>
      </c>
      <c r="F1191" s="159"/>
      <c r="G1191" s="157" t="s">
        <v>1349</v>
      </c>
      <c r="H1191" s="157" t="s">
        <v>1350</v>
      </c>
      <c r="I1191" s="157" t="s">
        <v>1625</v>
      </c>
      <c r="J1191" s="157" t="s">
        <v>8295</v>
      </c>
      <c r="K1191" s="157" t="s">
        <v>1352</v>
      </c>
      <c r="L1191" s="157" t="s">
        <v>1626</v>
      </c>
      <c r="M1191" s="157" t="str">
        <f t="shared" si="28"/>
        <v>Camera_FFC1 - Long Range View</v>
      </c>
      <c r="N1191" s="157"/>
      <c r="O1191" s="157"/>
      <c r="P1191" s="159" t="s">
        <v>5561</v>
      </c>
      <c r="Q1191" s="74" t="s">
        <v>2115</v>
      </c>
      <c r="R1191" s="74" t="s">
        <v>8690</v>
      </c>
      <c r="S1191" s="74" t="s">
        <v>8261</v>
      </c>
      <c r="T1191" s="157"/>
      <c r="U1191" s="159" t="s">
        <v>2129</v>
      </c>
      <c r="V1191" s="159" t="s">
        <v>2129</v>
      </c>
      <c r="W1191" s="159" t="s">
        <v>2138</v>
      </c>
      <c r="X1191" s="160">
        <v>1</v>
      </c>
      <c r="Y1191" s="160">
        <v>1</v>
      </c>
      <c r="Z1191" s="160">
        <v>1</v>
      </c>
      <c r="AA1191" s="160">
        <v>1</v>
      </c>
    </row>
    <row r="1192" spans="1:27" ht="18" customHeight="1" x14ac:dyDescent="0.25">
      <c r="A1192" s="159">
        <v>3227</v>
      </c>
      <c r="B1192" s="164" t="s">
        <v>266</v>
      </c>
      <c r="C1192" s="164" t="s">
        <v>276</v>
      </c>
      <c r="D1192" s="159" t="s">
        <v>726</v>
      </c>
      <c r="E1192" s="164" t="s">
        <v>724</v>
      </c>
      <c r="F1192" s="159"/>
      <c r="G1192" s="157" t="s">
        <v>1349</v>
      </c>
      <c r="H1192" s="157" t="s">
        <v>1350</v>
      </c>
      <c r="I1192" s="157" t="s">
        <v>1625</v>
      </c>
      <c r="J1192" s="157" t="s">
        <v>8295</v>
      </c>
      <c r="K1192" s="157" t="s">
        <v>1352</v>
      </c>
      <c r="L1192" s="157" t="s">
        <v>1626</v>
      </c>
      <c r="M1192" s="157" t="str">
        <f t="shared" si="28"/>
        <v>Camera_FFC1 - Long Range View</v>
      </c>
      <c r="N1192" s="157"/>
      <c r="O1192" s="157"/>
      <c r="P1192" s="159" t="s">
        <v>5561</v>
      </c>
      <c r="Q1192" s="74" t="s">
        <v>2115</v>
      </c>
      <c r="R1192" s="74" t="s">
        <v>8690</v>
      </c>
      <c r="S1192" s="74" t="s">
        <v>8261</v>
      </c>
      <c r="T1192" s="157"/>
      <c r="U1192" s="159" t="s">
        <v>2129</v>
      </c>
      <c r="V1192" s="159" t="s">
        <v>2129</v>
      </c>
      <c r="W1192" s="159" t="s">
        <v>2138</v>
      </c>
      <c r="X1192" s="160">
        <v>1</v>
      </c>
      <c r="Y1192" s="160">
        <v>1</v>
      </c>
      <c r="Z1192" s="160">
        <v>1</v>
      </c>
      <c r="AA1192" s="160">
        <v>1</v>
      </c>
    </row>
    <row r="1193" spans="1:27" ht="18" customHeight="1" x14ac:dyDescent="0.25">
      <c r="A1193" s="159">
        <v>3227</v>
      </c>
      <c r="B1193" s="164" t="s">
        <v>266</v>
      </c>
      <c r="C1193" s="164" t="s">
        <v>276</v>
      </c>
      <c r="D1193" s="159" t="s">
        <v>734</v>
      </c>
      <c r="E1193" s="164" t="s">
        <v>732</v>
      </c>
      <c r="F1193" s="159"/>
      <c r="G1193" s="157" t="s">
        <v>1349</v>
      </c>
      <c r="H1193" s="157" t="s">
        <v>1350</v>
      </c>
      <c r="I1193" s="157" t="s">
        <v>1625</v>
      </c>
      <c r="J1193" s="157" t="s">
        <v>8295</v>
      </c>
      <c r="K1193" s="157" t="s">
        <v>1352</v>
      </c>
      <c r="L1193" s="157" t="s">
        <v>1626</v>
      </c>
      <c r="M1193" s="157" t="str">
        <f t="shared" si="28"/>
        <v>Camera_FFC1 - Long Range View</v>
      </c>
      <c r="N1193" s="157"/>
      <c r="O1193" s="157"/>
      <c r="P1193" s="159" t="s">
        <v>5561</v>
      </c>
      <c r="Q1193" s="74" t="s">
        <v>2115</v>
      </c>
      <c r="R1193" s="74" t="s">
        <v>8690</v>
      </c>
      <c r="S1193" s="74" t="s">
        <v>8261</v>
      </c>
      <c r="T1193" s="157"/>
      <c r="U1193" s="159" t="s">
        <v>2129</v>
      </c>
      <c r="V1193" s="159" t="s">
        <v>2129</v>
      </c>
      <c r="W1193" s="159" t="s">
        <v>2138</v>
      </c>
      <c r="X1193" s="160">
        <v>1</v>
      </c>
      <c r="Y1193" s="160">
        <v>1</v>
      </c>
      <c r="Z1193" s="160">
        <v>1</v>
      </c>
      <c r="AA1193" s="160">
        <v>1</v>
      </c>
    </row>
    <row r="1194" spans="1:27" ht="18" customHeight="1" x14ac:dyDescent="0.25">
      <c r="A1194" s="159">
        <v>3227</v>
      </c>
      <c r="B1194" s="164" t="s">
        <v>266</v>
      </c>
      <c r="C1194" s="164" t="s">
        <v>294</v>
      </c>
      <c r="D1194" s="159" t="s">
        <v>297</v>
      </c>
      <c r="E1194" s="164" t="s">
        <v>295</v>
      </c>
      <c r="F1194" s="159"/>
      <c r="G1194" s="157" t="s">
        <v>1349</v>
      </c>
      <c r="H1194" s="157" t="s">
        <v>1350</v>
      </c>
      <c r="I1194" s="157" t="s">
        <v>1625</v>
      </c>
      <c r="J1194" s="157" t="s">
        <v>8295</v>
      </c>
      <c r="K1194" s="157" t="s">
        <v>1352</v>
      </c>
      <c r="L1194" s="157" t="s">
        <v>1626</v>
      </c>
      <c r="M1194" s="157" t="str">
        <f t="shared" si="28"/>
        <v>Camera_FFC1 - Long Range View</v>
      </c>
      <c r="N1194" s="157"/>
      <c r="O1194" s="157"/>
      <c r="P1194" s="159" t="s">
        <v>5561</v>
      </c>
      <c r="Q1194" s="74" t="s">
        <v>2115</v>
      </c>
      <c r="R1194" s="74" t="s">
        <v>8690</v>
      </c>
      <c r="S1194" s="74" t="s">
        <v>8261</v>
      </c>
      <c r="T1194" s="157"/>
      <c r="U1194" s="159" t="s">
        <v>2129</v>
      </c>
      <c r="V1194" s="159" t="s">
        <v>2129</v>
      </c>
      <c r="W1194" s="159" t="s">
        <v>2138</v>
      </c>
      <c r="X1194" s="160">
        <v>1</v>
      </c>
      <c r="Y1194" s="160">
        <v>1</v>
      </c>
      <c r="Z1194" s="160">
        <v>1</v>
      </c>
      <c r="AA1194" s="160">
        <v>1</v>
      </c>
    </row>
    <row r="1195" spans="1:27" ht="18" customHeight="1" x14ac:dyDescent="0.25">
      <c r="A1195" s="159">
        <v>3227</v>
      </c>
      <c r="B1195" s="164" t="s">
        <v>266</v>
      </c>
      <c r="C1195" s="164" t="s">
        <v>294</v>
      </c>
      <c r="D1195" s="159" t="s">
        <v>298</v>
      </c>
      <c r="E1195" s="164" t="s">
        <v>299</v>
      </c>
      <c r="F1195" s="159"/>
      <c r="G1195" s="157" t="s">
        <v>1349</v>
      </c>
      <c r="H1195" s="157" t="s">
        <v>1350</v>
      </c>
      <c r="I1195" s="157" t="s">
        <v>1625</v>
      </c>
      <c r="J1195" s="157" t="s">
        <v>8295</v>
      </c>
      <c r="K1195" s="157" t="s">
        <v>1352</v>
      </c>
      <c r="L1195" s="157" t="s">
        <v>1626</v>
      </c>
      <c r="M1195" s="157" t="str">
        <f t="shared" si="28"/>
        <v>Camera_FFC1 - Long Range View</v>
      </c>
      <c r="N1195" s="157"/>
      <c r="O1195" s="157"/>
      <c r="P1195" s="159" t="s">
        <v>5561</v>
      </c>
      <c r="Q1195" s="74" t="s">
        <v>2115</v>
      </c>
      <c r="R1195" s="74" t="s">
        <v>8690</v>
      </c>
      <c r="S1195" s="74" t="s">
        <v>8261</v>
      </c>
      <c r="T1195" s="157"/>
      <c r="U1195" s="159" t="s">
        <v>2129</v>
      </c>
      <c r="V1195" s="159" t="s">
        <v>2129</v>
      </c>
      <c r="W1195" s="159" t="s">
        <v>2138</v>
      </c>
      <c r="X1195" s="160">
        <v>1</v>
      </c>
      <c r="Y1195" s="160">
        <v>1</v>
      </c>
      <c r="Z1195" s="160">
        <v>1</v>
      </c>
      <c r="AA1195" s="160">
        <v>1</v>
      </c>
    </row>
    <row r="1196" spans="1:27" ht="18" customHeight="1" x14ac:dyDescent="0.25">
      <c r="A1196" s="159">
        <v>3227</v>
      </c>
      <c r="B1196" s="164" t="s">
        <v>266</v>
      </c>
      <c r="C1196" s="164" t="s">
        <v>294</v>
      </c>
      <c r="D1196" s="159" t="s">
        <v>503</v>
      </c>
      <c r="E1196" s="164" t="s">
        <v>501</v>
      </c>
      <c r="F1196" s="159"/>
      <c r="G1196" s="157" t="s">
        <v>1349</v>
      </c>
      <c r="H1196" s="157" t="s">
        <v>1350</v>
      </c>
      <c r="I1196" s="157" t="s">
        <v>1625</v>
      </c>
      <c r="J1196" s="157" t="s">
        <v>8295</v>
      </c>
      <c r="K1196" s="157" t="s">
        <v>1352</v>
      </c>
      <c r="L1196" s="157" t="s">
        <v>1626</v>
      </c>
      <c r="M1196" s="157" t="str">
        <f t="shared" si="28"/>
        <v>Camera_FFC1 - Long Range View</v>
      </c>
      <c r="N1196" s="157"/>
      <c r="O1196" s="157"/>
      <c r="P1196" s="159" t="s">
        <v>5561</v>
      </c>
      <c r="Q1196" s="74" t="s">
        <v>2115</v>
      </c>
      <c r="R1196" s="74" t="s">
        <v>8690</v>
      </c>
      <c r="S1196" s="74" t="s">
        <v>8261</v>
      </c>
      <c r="T1196" s="157"/>
      <c r="U1196" s="159" t="s">
        <v>2129</v>
      </c>
      <c r="V1196" s="159" t="s">
        <v>2129</v>
      </c>
      <c r="W1196" s="159" t="s">
        <v>2138</v>
      </c>
      <c r="X1196" s="160">
        <v>1</v>
      </c>
      <c r="Y1196" s="160">
        <v>1</v>
      </c>
      <c r="Z1196" s="160">
        <v>1</v>
      </c>
      <c r="AA1196" s="160">
        <v>1</v>
      </c>
    </row>
    <row r="1197" spans="1:27" ht="18" customHeight="1" x14ac:dyDescent="0.25">
      <c r="A1197" s="159">
        <v>3227</v>
      </c>
      <c r="B1197" s="164" t="s">
        <v>266</v>
      </c>
      <c r="C1197" s="164" t="s">
        <v>294</v>
      </c>
      <c r="D1197" s="159" t="s">
        <v>692</v>
      </c>
      <c r="E1197" s="164" t="s">
        <v>690</v>
      </c>
      <c r="F1197" s="159"/>
      <c r="G1197" s="157" t="s">
        <v>1349</v>
      </c>
      <c r="H1197" s="157" t="s">
        <v>1350</v>
      </c>
      <c r="I1197" s="157" t="s">
        <v>1625</v>
      </c>
      <c r="J1197" s="157" t="s">
        <v>8295</v>
      </c>
      <c r="K1197" s="157" t="s">
        <v>1352</v>
      </c>
      <c r="L1197" s="157" t="s">
        <v>1626</v>
      </c>
      <c r="M1197" s="157" t="str">
        <f t="shared" si="28"/>
        <v>Camera_FFC1 - Long Range View</v>
      </c>
      <c r="N1197" s="157"/>
      <c r="O1197" s="157"/>
      <c r="P1197" s="159" t="s">
        <v>5561</v>
      </c>
      <c r="Q1197" s="74" t="s">
        <v>2115</v>
      </c>
      <c r="R1197" s="74" t="s">
        <v>8690</v>
      </c>
      <c r="S1197" s="74" t="s">
        <v>8261</v>
      </c>
      <c r="T1197" s="157"/>
      <c r="U1197" s="159" t="s">
        <v>2129</v>
      </c>
      <c r="V1197" s="159" t="s">
        <v>2129</v>
      </c>
      <c r="W1197" s="159" t="s">
        <v>2138</v>
      </c>
      <c r="X1197" s="160">
        <v>1</v>
      </c>
      <c r="Y1197" s="160">
        <v>1</v>
      </c>
      <c r="Z1197" s="160">
        <v>1</v>
      </c>
      <c r="AA1197" s="160">
        <v>1</v>
      </c>
    </row>
    <row r="1198" spans="1:27" ht="18" customHeight="1" x14ac:dyDescent="0.25">
      <c r="A1198" s="159">
        <v>3227</v>
      </c>
      <c r="B1198" s="164" t="s">
        <v>266</v>
      </c>
      <c r="C1198" s="164" t="s">
        <v>294</v>
      </c>
      <c r="D1198" s="159" t="s">
        <v>1177</v>
      </c>
      <c r="E1198" s="164" t="s">
        <v>1175</v>
      </c>
      <c r="F1198" s="159"/>
      <c r="G1198" s="157" t="s">
        <v>1349</v>
      </c>
      <c r="H1198" s="157" t="s">
        <v>1350</v>
      </c>
      <c r="I1198" s="157" t="s">
        <v>1625</v>
      </c>
      <c r="J1198" s="157" t="s">
        <v>8295</v>
      </c>
      <c r="K1198" s="157" t="s">
        <v>1352</v>
      </c>
      <c r="L1198" s="157" t="s">
        <v>1626</v>
      </c>
      <c r="M1198" s="157" t="str">
        <f t="shared" si="28"/>
        <v>Camera_FFC1 - Long Range View</v>
      </c>
      <c r="N1198" s="157"/>
      <c r="O1198" s="157"/>
      <c r="P1198" s="159" t="s">
        <v>5561</v>
      </c>
      <c r="Q1198" s="74" t="s">
        <v>2115</v>
      </c>
      <c r="R1198" s="74" t="s">
        <v>8690</v>
      </c>
      <c r="S1198" s="74" t="s">
        <v>8261</v>
      </c>
      <c r="T1198" s="157"/>
      <c r="U1198" s="159" t="s">
        <v>2129</v>
      </c>
      <c r="V1198" s="159" t="s">
        <v>2129</v>
      </c>
      <c r="W1198" s="159" t="s">
        <v>2138</v>
      </c>
      <c r="X1198" s="160">
        <v>1</v>
      </c>
      <c r="Y1198" s="160">
        <v>1</v>
      </c>
      <c r="Z1198" s="160">
        <v>1</v>
      </c>
      <c r="AA1198" s="160">
        <v>1</v>
      </c>
    </row>
    <row r="1199" spans="1:27" ht="18" customHeight="1" x14ac:dyDescent="0.25">
      <c r="A1199" s="159">
        <v>3227</v>
      </c>
      <c r="B1199" s="164" t="s">
        <v>266</v>
      </c>
      <c r="C1199" s="164" t="s">
        <v>294</v>
      </c>
      <c r="D1199" s="159" t="s">
        <v>1178</v>
      </c>
      <c r="E1199" s="164" t="s">
        <v>1179</v>
      </c>
      <c r="F1199" s="159"/>
      <c r="G1199" s="157" t="s">
        <v>1349</v>
      </c>
      <c r="H1199" s="157" t="s">
        <v>1350</v>
      </c>
      <c r="I1199" s="157" t="s">
        <v>1625</v>
      </c>
      <c r="J1199" s="157" t="s">
        <v>8295</v>
      </c>
      <c r="K1199" s="157" t="s">
        <v>1352</v>
      </c>
      <c r="L1199" s="157" t="s">
        <v>1626</v>
      </c>
      <c r="M1199" s="157" t="str">
        <f t="shared" si="28"/>
        <v>Camera_FFC1 - Long Range View</v>
      </c>
      <c r="N1199" s="157"/>
      <c r="O1199" s="157"/>
      <c r="P1199" s="159" t="s">
        <v>5561</v>
      </c>
      <c r="Q1199" s="74" t="s">
        <v>2115</v>
      </c>
      <c r="R1199" s="74" t="s">
        <v>8690</v>
      </c>
      <c r="S1199" s="74" t="s">
        <v>8261</v>
      </c>
      <c r="T1199" s="157"/>
      <c r="U1199" s="159" t="s">
        <v>2129</v>
      </c>
      <c r="V1199" s="159" t="s">
        <v>2129</v>
      </c>
      <c r="W1199" s="159" t="s">
        <v>2138</v>
      </c>
      <c r="X1199" s="160">
        <v>1</v>
      </c>
      <c r="Y1199" s="160">
        <v>1</v>
      </c>
      <c r="Z1199" s="160">
        <v>1</v>
      </c>
      <c r="AA1199" s="160">
        <v>1</v>
      </c>
    </row>
    <row r="1200" spans="1:27" ht="18" customHeight="1" x14ac:dyDescent="0.25">
      <c r="A1200" s="159">
        <v>3227</v>
      </c>
      <c r="B1200" s="164" t="s">
        <v>266</v>
      </c>
      <c r="C1200" s="164" t="s">
        <v>294</v>
      </c>
      <c r="D1200" s="159" t="s">
        <v>1207</v>
      </c>
      <c r="E1200" s="164" t="s">
        <v>1205</v>
      </c>
      <c r="F1200" s="159"/>
      <c r="G1200" s="157" t="s">
        <v>1349</v>
      </c>
      <c r="H1200" s="157" t="s">
        <v>1350</v>
      </c>
      <c r="I1200" s="157" t="s">
        <v>1625</v>
      </c>
      <c r="J1200" s="157" t="s">
        <v>8295</v>
      </c>
      <c r="K1200" s="157" t="s">
        <v>1352</v>
      </c>
      <c r="L1200" s="157" t="s">
        <v>1626</v>
      </c>
      <c r="M1200" s="157" t="str">
        <f t="shared" si="28"/>
        <v>Camera_FFC1 - Long Range View</v>
      </c>
      <c r="N1200" s="157"/>
      <c r="O1200" s="157"/>
      <c r="P1200" s="159" t="s">
        <v>5561</v>
      </c>
      <c r="Q1200" s="74" t="s">
        <v>2115</v>
      </c>
      <c r="R1200" s="74" t="s">
        <v>8690</v>
      </c>
      <c r="S1200" s="74" t="s">
        <v>8261</v>
      </c>
      <c r="T1200" s="157"/>
      <c r="U1200" s="159" t="s">
        <v>2129</v>
      </c>
      <c r="V1200" s="159" t="s">
        <v>2129</v>
      </c>
      <c r="W1200" s="159" t="s">
        <v>2138</v>
      </c>
      <c r="X1200" s="160">
        <v>1</v>
      </c>
      <c r="Y1200" s="160">
        <v>1</v>
      </c>
      <c r="Z1200" s="160">
        <v>1</v>
      </c>
      <c r="AA1200" s="160">
        <v>1</v>
      </c>
    </row>
    <row r="1201" spans="1:27" ht="18" customHeight="1" x14ac:dyDescent="0.25">
      <c r="A1201" s="159">
        <v>3227</v>
      </c>
      <c r="B1201" s="164" t="s">
        <v>266</v>
      </c>
      <c r="C1201" s="164" t="s">
        <v>514</v>
      </c>
      <c r="D1201" s="159" t="s">
        <v>517</v>
      </c>
      <c r="E1201" s="164" t="s">
        <v>515</v>
      </c>
      <c r="F1201" s="159"/>
      <c r="G1201" s="157" t="s">
        <v>1349</v>
      </c>
      <c r="H1201" s="157" t="s">
        <v>1350</v>
      </c>
      <c r="I1201" s="157" t="s">
        <v>1625</v>
      </c>
      <c r="J1201" s="157" t="s">
        <v>8295</v>
      </c>
      <c r="K1201" s="157" t="s">
        <v>1352</v>
      </c>
      <c r="L1201" s="157" t="s">
        <v>1626</v>
      </c>
      <c r="M1201" s="157" t="str">
        <f t="shared" si="28"/>
        <v>Camera_FFC1 - Long Range View</v>
      </c>
      <c r="N1201" s="157"/>
      <c r="O1201" s="157"/>
      <c r="P1201" s="159" t="s">
        <v>5561</v>
      </c>
      <c r="Q1201" s="74" t="s">
        <v>2115</v>
      </c>
      <c r="R1201" s="74" t="s">
        <v>8690</v>
      </c>
      <c r="S1201" s="74" t="s">
        <v>8261</v>
      </c>
      <c r="T1201" s="157"/>
      <c r="U1201" s="159" t="s">
        <v>2129</v>
      </c>
      <c r="V1201" s="159" t="s">
        <v>2129</v>
      </c>
      <c r="W1201" s="159" t="s">
        <v>2138</v>
      </c>
      <c r="X1201" s="160">
        <v>1</v>
      </c>
      <c r="Y1201" s="160">
        <v>1</v>
      </c>
      <c r="Z1201" s="160">
        <v>1</v>
      </c>
      <c r="AA1201" s="160">
        <v>1</v>
      </c>
    </row>
    <row r="1202" spans="1:27" ht="18" customHeight="1" x14ac:dyDescent="0.25">
      <c r="A1202" s="159">
        <v>3227</v>
      </c>
      <c r="B1202" s="164" t="s">
        <v>266</v>
      </c>
      <c r="C1202" s="164" t="s">
        <v>514</v>
      </c>
      <c r="D1202" s="159" t="s">
        <v>730</v>
      </c>
      <c r="E1202" s="164" t="s">
        <v>728</v>
      </c>
      <c r="F1202" s="159"/>
      <c r="G1202" s="157" t="s">
        <v>1349</v>
      </c>
      <c r="H1202" s="157" t="s">
        <v>1350</v>
      </c>
      <c r="I1202" s="157" t="s">
        <v>1625</v>
      </c>
      <c r="J1202" s="157" t="s">
        <v>8295</v>
      </c>
      <c r="K1202" s="157" t="s">
        <v>1352</v>
      </c>
      <c r="L1202" s="157" t="s">
        <v>1626</v>
      </c>
      <c r="M1202" s="157" t="str">
        <f t="shared" si="28"/>
        <v>Camera_FFC1 - Long Range View</v>
      </c>
      <c r="N1202" s="157"/>
      <c r="O1202" s="157"/>
      <c r="P1202" s="159" t="s">
        <v>5561</v>
      </c>
      <c r="Q1202" s="74" t="s">
        <v>2115</v>
      </c>
      <c r="R1202" s="74" t="s">
        <v>8690</v>
      </c>
      <c r="S1202" s="74" t="s">
        <v>8261</v>
      </c>
      <c r="T1202" s="157"/>
      <c r="U1202" s="159" t="s">
        <v>2129</v>
      </c>
      <c r="V1202" s="159" t="s">
        <v>2129</v>
      </c>
      <c r="W1202" s="159" t="s">
        <v>2138</v>
      </c>
      <c r="X1202" s="160">
        <v>1</v>
      </c>
      <c r="Y1202" s="160">
        <v>1</v>
      </c>
      <c r="Z1202" s="160">
        <v>1</v>
      </c>
      <c r="AA1202" s="160">
        <v>1</v>
      </c>
    </row>
    <row r="1203" spans="1:27" ht="18" customHeight="1" x14ac:dyDescent="0.25">
      <c r="A1203" s="159">
        <v>3227</v>
      </c>
      <c r="B1203" s="164" t="s">
        <v>266</v>
      </c>
      <c r="C1203" s="164" t="s">
        <v>514</v>
      </c>
      <c r="D1203" s="159" t="s">
        <v>793</v>
      </c>
      <c r="E1203" s="164" t="s">
        <v>791</v>
      </c>
      <c r="F1203" s="159"/>
      <c r="G1203" s="157" t="s">
        <v>1349</v>
      </c>
      <c r="H1203" s="157" t="s">
        <v>1350</v>
      </c>
      <c r="I1203" s="157" t="s">
        <v>1625</v>
      </c>
      <c r="J1203" s="157" t="s">
        <v>8295</v>
      </c>
      <c r="K1203" s="157" t="s">
        <v>1352</v>
      </c>
      <c r="L1203" s="157" t="s">
        <v>1626</v>
      </c>
      <c r="M1203" s="157" t="str">
        <f t="shared" si="28"/>
        <v>Camera_FFC1 - Long Range View</v>
      </c>
      <c r="N1203" s="157"/>
      <c r="O1203" s="157"/>
      <c r="P1203" s="159" t="s">
        <v>5561</v>
      </c>
      <c r="Q1203" s="74" t="s">
        <v>2115</v>
      </c>
      <c r="R1203" s="74" t="s">
        <v>8690</v>
      </c>
      <c r="S1203" s="74" t="s">
        <v>8261</v>
      </c>
      <c r="T1203" s="157"/>
      <c r="U1203" s="159" t="s">
        <v>2129</v>
      </c>
      <c r="V1203" s="159" t="s">
        <v>2129</v>
      </c>
      <c r="W1203" s="159" t="s">
        <v>2138</v>
      </c>
      <c r="X1203" s="160">
        <v>1</v>
      </c>
      <c r="Y1203" s="160">
        <v>1</v>
      </c>
      <c r="Z1203" s="160">
        <v>1</v>
      </c>
      <c r="AA1203" s="160">
        <v>1</v>
      </c>
    </row>
    <row r="1204" spans="1:27" ht="18" customHeight="1" x14ac:dyDescent="0.25">
      <c r="A1204" s="159">
        <v>3227</v>
      </c>
      <c r="B1204" s="164" t="s">
        <v>266</v>
      </c>
      <c r="C1204" s="164" t="s">
        <v>514</v>
      </c>
      <c r="D1204" s="159" t="s">
        <v>731</v>
      </c>
      <c r="E1204" s="164" t="s">
        <v>795</v>
      </c>
      <c r="F1204" s="159"/>
      <c r="G1204" s="157" t="s">
        <v>1349</v>
      </c>
      <c r="H1204" s="157" t="s">
        <v>1350</v>
      </c>
      <c r="I1204" s="157" t="s">
        <v>1625</v>
      </c>
      <c r="J1204" s="157" t="s">
        <v>8295</v>
      </c>
      <c r="K1204" s="157" t="s">
        <v>1352</v>
      </c>
      <c r="L1204" s="157" t="s">
        <v>1626</v>
      </c>
      <c r="M1204" s="157" t="str">
        <f t="shared" si="28"/>
        <v>Camera_FFC1 - Long Range View</v>
      </c>
      <c r="N1204" s="157"/>
      <c r="O1204" s="157"/>
      <c r="P1204" s="159" t="s">
        <v>5561</v>
      </c>
      <c r="Q1204" s="74" t="s">
        <v>2115</v>
      </c>
      <c r="R1204" s="74" t="s">
        <v>8690</v>
      </c>
      <c r="S1204" s="74" t="s">
        <v>8261</v>
      </c>
      <c r="T1204" s="157"/>
      <c r="U1204" s="159" t="s">
        <v>2129</v>
      </c>
      <c r="V1204" s="159" t="s">
        <v>2129</v>
      </c>
      <c r="W1204" s="159" t="s">
        <v>2138</v>
      </c>
      <c r="X1204" s="160">
        <v>1</v>
      </c>
      <c r="Y1204" s="160">
        <v>1</v>
      </c>
      <c r="Z1204" s="160">
        <v>1</v>
      </c>
      <c r="AA1204" s="160">
        <v>1</v>
      </c>
    </row>
    <row r="1205" spans="1:27" ht="18" customHeight="1" x14ac:dyDescent="0.25">
      <c r="A1205" s="159">
        <v>3227</v>
      </c>
      <c r="B1205" s="164" t="s">
        <v>266</v>
      </c>
      <c r="C1205" s="164" t="s">
        <v>514</v>
      </c>
      <c r="D1205" s="159" t="s">
        <v>1170</v>
      </c>
      <c r="E1205" s="164" t="s">
        <v>1168</v>
      </c>
      <c r="F1205" s="159"/>
      <c r="G1205" s="157" t="s">
        <v>1349</v>
      </c>
      <c r="H1205" s="157" t="s">
        <v>1350</v>
      </c>
      <c r="I1205" s="157" t="s">
        <v>1625</v>
      </c>
      <c r="J1205" s="157" t="s">
        <v>8295</v>
      </c>
      <c r="K1205" s="157" t="s">
        <v>1352</v>
      </c>
      <c r="L1205" s="157" t="s">
        <v>1626</v>
      </c>
      <c r="M1205" s="157" t="str">
        <f t="shared" si="28"/>
        <v>Camera_FFC1 - Long Range View</v>
      </c>
      <c r="N1205" s="157"/>
      <c r="O1205" s="157"/>
      <c r="P1205" s="159" t="s">
        <v>5561</v>
      </c>
      <c r="Q1205" s="74" t="s">
        <v>2115</v>
      </c>
      <c r="R1205" s="74" t="s">
        <v>8690</v>
      </c>
      <c r="S1205" s="74" t="s">
        <v>8261</v>
      </c>
      <c r="T1205" s="157"/>
      <c r="U1205" s="159" t="s">
        <v>2129</v>
      </c>
      <c r="V1205" s="159" t="s">
        <v>2129</v>
      </c>
      <c r="W1205" s="159" t="s">
        <v>2138</v>
      </c>
      <c r="X1205" s="160">
        <v>1</v>
      </c>
      <c r="Y1205" s="160">
        <v>1</v>
      </c>
      <c r="Z1205" s="160">
        <v>1</v>
      </c>
      <c r="AA1205" s="160">
        <v>1</v>
      </c>
    </row>
    <row r="1206" spans="1:27" ht="18" customHeight="1" x14ac:dyDescent="0.25">
      <c r="A1206" s="159">
        <v>3227</v>
      </c>
      <c r="B1206" s="164" t="s">
        <v>266</v>
      </c>
      <c r="C1206" s="164" t="s">
        <v>514</v>
      </c>
      <c r="D1206" s="159" t="s">
        <v>1171</v>
      </c>
      <c r="E1206" s="164" t="s">
        <v>1223</v>
      </c>
      <c r="F1206" s="159"/>
      <c r="G1206" s="157" t="s">
        <v>1349</v>
      </c>
      <c r="H1206" s="157" t="s">
        <v>1350</v>
      </c>
      <c r="I1206" s="157" t="s">
        <v>1625</v>
      </c>
      <c r="J1206" s="157" t="s">
        <v>8295</v>
      </c>
      <c r="K1206" s="157" t="s">
        <v>1352</v>
      </c>
      <c r="L1206" s="157" t="s">
        <v>1626</v>
      </c>
      <c r="M1206" s="157" t="str">
        <f t="shared" si="28"/>
        <v>Camera_FFC1 - Long Range View</v>
      </c>
      <c r="N1206" s="157"/>
      <c r="O1206" s="157"/>
      <c r="P1206" s="159" t="s">
        <v>5561</v>
      </c>
      <c r="Q1206" s="74" t="s">
        <v>2115</v>
      </c>
      <c r="R1206" s="74" t="s">
        <v>8690</v>
      </c>
      <c r="S1206" s="74" t="s">
        <v>8261</v>
      </c>
      <c r="T1206" s="157"/>
      <c r="U1206" s="159" t="s">
        <v>2129</v>
      </c>
      <c r="V1206" s="159" t="s">
        <v>2129</v>
      </c>
      <c r="W1206" s="159" t="s">
        <v>2138</v>
      </c>
      <c r="X1206" s="160">
        <v>1</v>
      </c>
      <c r="Y1206" s="160">
        <v>1</v>
      </c>
      <c r="Z1206" s="160">
        <v>1</v>
      </c>
      <c r="AA1206" s="160">
        <v>1</v>
      </c>
    </row>
    <row r="1207" spans="1:27" ht="18" customHeight="1" x14ac:dyDescent="0.25">
      <c r="A1207" s="159">
        <v>3227</v>
      </c>
      <c r="B1207" s="164" t="s">
        <v>266</v>
      </c>
      <c r="C1207" s="164" t="s">
        <v>519</v>
      </c>
      <c r="D1207" s="159" t="s">
        <v>522</v>
      </c>
      <c r="E1207" s="164" t="s">
        <v>520</v>
      </c>
      <c r="F1207" s="159"/>
      <c r="G1207" s="157" t="s">
        <v>1349</v>
      </c>
      <c r="H1207" s="157" t="s">
        <v>1350</v>
      </c>
      <c r="I1207" s="157" t="s">
        <v>1625</v>
      </c>
      <c r="J1207" s="157" t="s">
        <v>8295</v>
      </c>
      <c r="K1207" s="157" t="s">
        <v>1352</v>
      </c>
      <c r="L1207" s="157" t="s">
        <v>1626</v>
      </c>
      <c r="M1207" s="157" t="str">
        <f t="shared" si="28"/>
        <v>Camera_FFC1 - Long Range View</v>
      </c>
      <c r="N1207" s="157"/>
      <c r="O1207" s="157"/>
      <c r="P1207" s="159" t="s">
        <v>5561</v>
      </c>
      <c r="Q1207" s="74" t="s">
        <v>2115</v>
      </c>
      <c r="R1207" s="74" t="s">
        <v>8690</v>
      </c>
      <c r="S1207" s="74" t="s">
        <v>8261</v>
      </c>
      <c r="T1207" s="157"/>
      <c r="U1207" s="159" t="s">
        <v>2129</v>
      </c>
      <c r="V1207" s="159" t="s">
        <v>2129</v>
      </c>
      <c r="W1207" s="159" t="s">
        <v>2138</v>
      </c>
      <c r="X1207" s="160">
        <v>1</v>
      </c>
      <c r="Y1207" s="160">
        <v>1</v>
      </c>
      <c r="Z1207" s="160">
        <v>1</v>
      </c>
      <c r="AA1207" s="160">
        <v>1</v>
      </c>
    </row>
    <row r="1208" spans="1:27" ht="18" customHeight="1" x14ac:dyDescent="0.25">
      <c r="A1208" s="159">
        <v>3227</v>
      </c>
      <c r="B1208" s="164" t="s">
        <v>266</v>
      </c>
      <c r="C1208" s="164" t="s">
        <v>519</v>
      </c>
      <c r="D1208" s="159" t="s">
        <v>526</v>
      </c>
      <c r="E1208" s="164" t="s">
        <v>524</v>
      </c>
      <c r="F1208" s="159"/>
      <c r="G1208" s="157" t="s">
        <v>1349</v>
      </c>
      <c r="H1208" s="157" t="s">
        <v>1350</v>
      </c>
      <c r="I1208" s="157" t="s">
        <v>1625</v>
      </c>
      <c r="J1208" s="157" t="s">
        <v>8295</v>
      </c>
      <c r="K1208" s="157" t="s">
        <v>1352</v>
      </c>
      <c r="L1208" s="157" t="s">
        <v>1626</v>
      </c>
      <c r="M1208" s="157" t="str">
        <f t="shared" si="28"/>
        <v>Camera_FFC1 - Long Range View</v>
      </c>
      <c r="N1208" s="157"/>
      <c r="O1208" s="157"/>
      <c r="P1208" s="159" t="s">
        <v>5561</v>
      </c>
      <c r="Q1208" s="74" t="s">
        <v>2115</v>
      </c>
      <c r="R1208" s="74" t="s">
        <v>8690</v>
      </c>
      <c r="S1208" s="74" t="s">
        <v>8261</v>
      </c>
      <c r="T1208" s="157"/>
      <c r="U1208" s="159" t="s">
        <v>2129</v>
      </c>
      <c r="V1208" s="159" t="s">
        <v>2129</v>
      </c>
      <c r="W1208" s="159" t="s">
        <v>2138</v>
      </c>
      <c r="X1208" s="160">
        <v>1</v>
      </c>
      <c r="Y1208" s="160">
        <v>1</v>
      </c>
      <c r="Z1208" s="160">
        <v>1</v>
      </c>
      <c r="AA1208" s="160">
        <v>1</v>
      </c>
    </row>
    <row r="1209" spans="1:27" ht="18" customHeight="1" x14ac:dyDescent="0.25">
      <c r="A1209" s="159">
        <v>3227</v>
      </c>
      <c r="B1209" s="164" t="s">
        <v>266</v>
      </c>
      <c r="C1209" s="164" t="s">
        <v>519</v>
      </c>
      <c r="D1209" s="159" t="s">
        <v>530</v>
      </c>
      <c r="E1209" s="164" t="s">
        <v>528</v>
      </c>
      <c r="F1209" s="159"/>
      <c r="G1209" s="157" t="s">
        <v>1349</v>
      </c>
      <c r="H1209" s="157" t="s">
        <v>1350</v>
      </c>
      <c r="I1209" s="157" t="s">
        <v>1625</v>
      </c>
      <c r="J1209" s="157" t="s">
        <v>8295</v>
      </c>
      <c r="K1209" s="157" t="s">
        <v>1352</v>
      </c>
      <c r="L1209" s="157" t="s">
        <v>1626</v>
      </c>
      <c r="M1209" s="157" t="str">
        <f t="shared" si="28"/>
        <v>Camera_FFC1 - Long Range View</v>
      </c>
      <c r="N1209" s="157"/>
      <c r="O1209" s="157"/>
      <c r="P1209" s="159" t="s">
        <v>5561</v>
      </c>
      <c r="Q1209" s="74" t="s">
        <v>2115</v>
      </c>
      <c r="R1209" s="74" t="s">
        <v>8690</v>
      </c>
      <c r="S1209" s="74" t="s">
        <v>8261</v>
      </c>
      <c r="T1209" s="157"/>
      <c r="U1209" s="159" t="s">
        <v>2129</v>
      </c>
      <c r="V1209" s="159" t="s">
        <v>2129</v>
      </c>
      <c r="W1209" s="159" t="s">
        <v>2138</v>
      </c>
      <c r="X1209" s="160">
        <v>1</v>
      </c>
      <c r="Y1209" s="160">
        <v>1</v>
      </c>
      <c r="Z1209" s="160">
        <v>1</v>
      </c>
      <c r="AA1209" s="160">
        <v>1</v>
      </c>
    </row>
    <row r="1210" spans="1:27" ht="18" customHeight="1" x14ac:dyDescent="0.25">
      <c r="A1210" s="159">
        <v>3227</v>
      </c>
      <c r="B1210" s="164" t="s">
        <v>266</v>
      </c>
      <c r="C1210" s="164" t="s">
        <v>519</v>
      </c>
      <c r="D1210" s="159" t="s">
        <v>787</v>
      </c>
      <c r="E1210" s="164" t="s">
        <v>785</v>
      </c>
      <c r="F1210" s="159"/>
      <c r="G1210" s="157" t="s">
        <v>1349</v>
      </c>
      <c r="H1210" s="157" t="s">
        <v>1350</v>
      </c>
      <c r="I1210" s="157" t="s">
        <v>1625</v>
      </c>
      <c r="J1210" s="157" t="s">
        <v>8295</v>
      </c>
      <c r="K1210" s="157" t="s">
        <v>1352</v>
      </c>
      <c r="L1210" s="157" t="s">
        <v>1626</v>
      </c>
      <c r="M1210" s="157" t="str">
        <f t="shared" si="28"/>
        <v>Camera_FFC1 - Long Range View</v>
      </c>
      <c r="N1210" s="157"/>
      <c r="O1210" s="157"/>
      <c r="P1210" s="159" t="s">
        <v>5561</v>
      </c>
      <c r="Q1210" s="74" t="s">
        <v>2115</v>
      </c>
      <c r="R1210" s="74" t="s">
        <v>8690</v>
      </c>
      <c r="S1210" s="74" t="s">
        <v>8261</v>
      </c>
      <c r="T1210" s="157"/>
      <c r="U1210" s="159" t="s">
        <v>2129</v>
      </c>
      <c r="V1210" s="159" t="s">
        <v>2129</v>
      </c>
      <c r="W1210" s="159" t="s">
        <v>2138</v>
      </c>
      <c r="X1210" s="160">
        <v>1</v>
      </c>
      <c r="Y1210" s="160">
        <v>1</v>
      </c>
      <c r="Z1210" s="160">
        <v>1</v>
      </c>
      <c r="AA1210" s="160">
        <v>1</v>
      </c>
    </row>
    <row r="1211" spans="1:27" ht="18" customHeight="1" x14ac:dyDescent="0.25">
      <c r="A1211" s="159">
        <v>3227</v>
      </c>
      <c r="B1211" s="164" t="s">
        <v>266</v>
      </c>
      <c r="C1211" s="164" t="s">
        <v>519</v>
      </c>
      <c r="D1211" s="159" t="s">
        <v>935</v>
      </c>
      <c r="E1211" s="164" t="s">
        <v>933</v>
      </c>
      <c r="F1211" s="159"/>
      <c r="G1211" s="157" t="s">
        <v>1349</v>
      </c>
      <c r="H1211" s="157" t="s">
        <v>1350</v>
      </c>
      <c r="I1211" s="157" t="s">
        <v>1625</v>
      </c>
      <c r="J1211" s="157" t="s">
        <v>8295</v>
      </c>
      <c r="K1211" s="157" t="s">
        <v>1352</v>
      </c>
      <c r="L1211" s="157" t="s">
        <v>1626</v>
      </c>
      <c r="M1211" s="157" t="str">
        <f t="shared" si="28"/>
        <v>Camera_FFC1 - Long Range View</v>
      </c>
      <c r="N1211" s="157"/>
      <c r="O1211" s="157"/>
      <c r="P1211" s="159" t="s">
        <v>5561</v>
      </c>
      <c r="Q1211" s="74" t="s">
        <v>2115</v>
      </c>
      <c r="R1211" s="74" t="s">
        <v>8690</v>
      </c>
      <c r="S1211" s="74" t="s">
        <v>8261</v>
      </c>
      <c r="T1211" s="157"/>
      <c r="U1211" s="159" t="s">
        <v>2129</v>
      </c>
      <c r="V1211" s="159" t="s">
        <v>2129</v>
      </c>
      <c r="W1211" s="159" t="s">
        <v>2138</v>
      </c>
      <c r="X1211" s="160">
        <v>1</v>
      </c>
      <c r="Y1211" s="160">
        <v>1</v>
      </c>
      <c r="Z1211" s="160">
        <v>1</v>
      </c>
      <c r="AA1211" s="160">
        <v>1</v>
      </c>
    </row>
    <row r="1212" spans="1:27" ht="18" customHeight="1" x14ac:dyDescent="0.25">
      <c r="A1212" s="159">
        <v>3227</v>
      </c>
      <c r="B1212" s="164" t="s">
        <v>266</v>
      </c>
      <c r="C1212" s="164" t="s">
        <v>519</v>
      </c>
      <c r="D1212" s="159" t="s">
        <v>1151</v>
      </c>
      <c r="E1212" s="164" t="s">
        <v>1149</v>
      </c>
      <c r="F1212" s="159"/>
      <c r="G1212" s="157" t="s">
        <v>1349</v>
      </c>
      <c r="H1212" s="157" t="s">
        <v>1350</v>
      </c>
      <c r="I1212" s="157" t="s">
        <v>1625</v>
      </c>
      <c r="J1212" s="157" t="s">
        <v>8295</v>
      </c>
      <c r="K1212" s="157" t="s">
        <v>1352</v>
      </c>
      <c r="L1212" s="157" t="s">
        <v>1626</v>
      </c>
      <c r="M1212" s="157" t="str">
        <f t="shared" si="28"/>
        <v>Camera_FFC1 - Long Range View</v>
      </c>
      <c r="N1212" s="157"/>
      <c r="O1212" s="157"/>
      <c r="P1212" s="159" t="s">
        <v>5561</v>
      </c>
      <c r="Q1212" s="74" t="s">
        <v>2115</v>
      </c>
      <c r="R1212" s="74" t="s">
        <v>8690</v>
      </c>
      <c r="S1212" s="74" t="s">
        <v>8261</v>
      </c>
      <c r="T1212" s="157"/>
      <c r="U1212" s="159" t="s">
        <v>2129</v>
      </c>
      <c r="V1212" s="159" t="s">
        <v>2129</v>
      </c>
      <c r="W1212" s="159" t="s">
        <v>2138</v>
      </c>
      <c r="X1212" s="160">
        <v>1</v>
      </c>
      <c r="Y1212" s="160">
        <v>1</v>
      </c>
      <c r="Z1212" s="160">
        <v>1</v>
      </c>
      <c r="AA1212" s="160">
        <v>1</v>
      </c>
    </row>
    <row r="1213" spans="1:27" ht="18" customHeight="1" x14ac:dyDescent="0.25">
      <c r="A1213" s="159">
        <v>3227</v>
      </c>
      <c r="B1213" s="164" t="s">
        <v>266</v>
      </c>
      <c r="C1213" s="164" t="s">
        <v>519</v>
      </c>
      <c r="D1213" s="159" t="s">
        <v>1159</v>
      </c>
      <c r="E1213" s="164" t="s">
        <v>1157</v>
      </c>
      <c r="F1213" s="159"/>
      <c r="G1213" s="157" t="s">
        <v>1349</v>
      </c>
      <c r="H1213" s="157" t="s">
        <v>1350</v>
      </c>
      <c r="I1213" s="157" t="s">
        <v>1625</v>
      </c>
      <c r="J1213" s="157" t="s">
        <v>8295</v>
      </c>
      <c r="K1213" s="157" t="s">
        <v>1352</v>
      </c>
      <c r="L1213" s="157" t="s">
        <v>1626</v>
      </c>
      <c r="M1213" s="157" t="str">
        <f t="shared" si="28"/>
        <v>Camera_FFC1 - Long Range View</v>
      </c>
      <c r="N1213" s="157"/>
      <c r="O1213" s="157"/>
      <c r="P1213" s="159" t="s">
        <v>5561</v>
      </c>
      <c r="Q1213" s="74" t="s">
        <v>2115</v>
      </c>
      <c r="R1213" s="74" t="s">
        <v>8690</v>
      </c>
      <c r="S1213" s="74" t="s">
        <v>8261</v>
      </c>
      <c r="T1213" s="157"/>
      <c r="U1213" s="159" t="s">
        <v>2129</v>
      </c>
      <c r="V1213" s="159" t="s">
        <v>2129</v>
      </c>
      <c r="W1213" s="159" t="s">
        <v>2138</v>
      </c>
      <c r="X1213" s="160">
        <v>1</v>
      </c>
      <c r="Y1213" s="160">
        <v>1</v>
      </c>
      <c r="Z1213" s="160">
        <v>1</v>
      </c>
      <c r="AA1213" s="160">
        <v>1</v>
      </c>
    </row>
    <row r="1214" spans="1:27" ht="18" customHeight="1" x14ac:dyDescent="0.25">
      <c r="A1214" s="159">
        <v>3228</v>
      </c>
      <c r="B1214" s="164" t="s">
        <v>29</v>
      </c>
      <c r="C1214" s="164" t="s">
        <v>113</v>
      </c>
      <c r="D1214" s="159" t="s">
        <v>932</v>
      </c>
      <c r="E1214" s="164" t="s">
        <v>930</v>
      </c>
      <c r="F1214" s="159"/>
      <c r="G1214" s="157" t="s">
        <v>1349</v>
      </c>
      <c r="H1214" s="157" t="s">
        <v>1350</v>
      </c>
      <c r="I1214" s="157" t="s">
        <v>1625</v>
      </c>
      <c r="J1214" s="157" t="s">
        <v>8295</v>
      </c>
      <c r="K1214" s="157" t="s">
        <v>1352</v>
      </c>
      <c r="L1214" s="157" t="s">
        <v>1627</v>
      </c>
      <c r="M1214" s="157" t="str">
        <f t="shared" si="28"/>
        <v>Camera_FFC2 - Long Range View</v>
      </c>
      <c r="N1214" s="157"/>
      <c r="O1214" s="157"/>
      <c r="P1214" s="159" t="s">
        <v>5468</v>
      </c>
      <c r="Q1214" s="74" t="s">
        <v>2115</v>
      </c>
      <c r="R1214" s="74" t="s">
        <v>8690</v>
      </c>
      <c r="S1214" s="74" t="s">
        <v>8261</v>
      </c>
      <c r="T1214" s="157"/>
      <c r="U1214" s="159" t="s">
        <v>2129</v>
      </c>
      <c r="V1214" s="159" t="s">
        <v>2129</v>
      </c>
      <c r="W1214" s="159" t="s">
        <v>2138</v>
      </c>
      <c r="X1214" s="160">
        <v>1</v>
      </c>
      <c r="Y1214" s="160">
        <v>1</v>
      </c>
      <c r="Z1214" s="160">
        <v>1</v>
      </c>
      <c r="AA1214" s="160">
        <v>1</v>
      </c>
    </row>
    <row r="1215" spans="1:27" ht="18" customHeight="1" x14ac:dyDescent="0.25">
      <c r="A1215" s="159">
        <v>3228</v>
      </c>
      <c r="B1215" s="164" t="s">
        <v>266</v>
      </c>
      <c r="C1215" s="164" t="s">
        <v>286</v>
      </c>
      <c r="D1215" s="159" t="s">
        <v>289</v>
      </c>
      <c r="E1215" s="164" t="s">
        <v>287</v>
      </c>
      <c r="F1215" s="159"/>
      <c r="G1215" s="157" t="s">
        <v>1349</v>
      </c>
      <c r="H1215" s="157" t="s">
        <v>1350</v>
      </c>
      <c r="I1215" s="157" t="s">
        <v>1625</v>
      </c>
      <c r="J1215" s="157" t="s">
        <v>8295</v>
      </c>
      <c r="K1215" s="157" t="s">
        <v>1352</v>
      </c>
      <c r="L1215" s="157" t="s">
        <v>1627</v>
      </c>
      <c r="M1215" s="157" t="str">
        <f t="shared" si="28"/>
        <v>Camera_FFC2 - Long Range View</v>
      </c>
      <c r="N1215" s="157"/>
      <c r="O1215" s="157"/>
      <c r="P1215" s="159" t="s">
        <v>5468</v>
      </c>
      <c r="Q1215" s="74" t="s">
        <v>2115</v>
      </c>
      <c r="R1215" s="74" t="s">
        <v>8690</v>
      </c>
      <c r="S1215" s="74" t="s">
        <v>8261</v>
      </c>
      <c r="T1215" s="157"/>
      <c r="U1215" s="159" t="s">
        <v>2129</v>
      </c>
      <c r="V1215" s="159" t="s">
        <v>2129</v>
      </c>
      <c r="W1215" s="159" t="s">
        <v>2138</v>
      </c>
      <c r="X1215" s="160">
        <v>1</v>
      </c>
      <c r="Y1215" s="160">
        <v>1</v>
      </c>
      <c r="Z1215" s="160">
        <v>1</v>
      </c>
      <c r="AA1215" s="160">
        <v>1</v>
      </c>
    </row>
    <row r="1216" spans="1:27" ht="18" customHeight="1" x14ac:dyDescent="0.25">
      <c r="A1216" s="159">
        <v>3228</v>
      </c>
      <c r="B1216" s="164" t="s">
        <v>266</v>
      </c>
      <c r="C1216" s="164" t="s">
        <v>276</v>
      </c>
      <c r="D1216" s="159" t="s">
        <v>317</v>
      </c>
      <c r="E1216" s="164" t="s">
        <v>315</v>
      </c>
      <c r="F1216" s="159"/>
      <c r="G1216" s="157" t="s">
        <v>1349</v>
      </c>
      <c r="H1216" s="157" t="s">
        <v>1350</v>
      </c>
      <c r="I1216" s="157" t="s">
        <v>1625</v>
      </c>
      <c r="J1216" s="157" t="s">
        <v>8295</v>
      </c>
      <c r="K1216" s="157" t="s">
        <v>1352</v>
      </c>
      <c r="L1216" s="157" t="s">
        <v>1627</v>
      </c>
      <c r="M1216" s="157" t="str">
        <f t="shared" si="28"/>
        <v>Camera_FFC2 - Long Range View</v>
      </c>
      <c r="N1216" s="157"/>
      <c r="O1216" s="157"/>
      <c r="P1216" s="159" t="s">
        <v>5468</v>
      </c>
      <c r="Q1216" s="74" t="s">
        <v>2115</v>
      </c>
      <c r="R1216" s="74" t="s">
        <v>8690</v>
      </c>
      <c r="S1216" s="74" t="s">
        <v>8261</v>
      </c>
      <c r="T1216" s="157"/>
      <c r="U1216" s="159" t="s">
        <v>2129</v>
      </c>
      <c r="V1216" s="159" t="s">
        <v>2129</v>
      </c>
      <c r="W1216" s="159" t="s">
        <v>2138</v>
      </c>
      <c r="X1216" s="160">
        <v>1</v>
      </c>
      <c r="Y1216" s="160">
        <v>1</v>
      </c>
      <c r="Z1216" s="160">
        <v>1</v>
      </c>
      <c r="AA1216" s="160">
        <v>1</v>
      </c>
    </row>
    <row r="1217" spans="1:27" ht="18" customHeight="1" x14ac:dyDescent="0.25">
      <c r="A1217" s="159">
        <v>3228</v>
      </c>
      <c r="B1217" s="164" t="s">
        <v>266</v>
      </c>
      <c r="C1217" s="164" t="s">
        <v>276</v>
      </c>
      <c r="D1217" s="159" t="s">
        <v>726</v>
      </c>
      <c r="E1217" s="164" t="s">
        <v>724</v>
      </c>
      <c r="F1217" s="159"/>
      <c r="G1217" s="157" t="s">
        <v>1349</v>
      </c>
      <c r="H1217" s="157" t="s">
        <v>1350</v>
      </c>
      <c r="I1217" s="157" t="s">
        <v>1625</v>
      </c>
      <c r="J1217" s="157" t="s">
        <v>8295</v>
      </c>
      <c r="K1217" s="157" t="s">
        <v>1352</v>
      </c>
      <c r="L1217" s="157" t="s">
        <v>1627</v>
      </c>
      <c r="M1217" s="157" t="str">
        <f t="shared" si="28"/>
        <v>Camera_FFC2 - Long Range View</v>
      </c>
      <c r="N1217" s="157"/>
      <c r="O1217" s="157"/>
      <c r="P1217" s="159" t="s">
        <v>5468</v>
      </c>
      <c r="Q1217" s="74" t="s">
        <v>2115</v>
      </c>
      <c r="R1217" s="74" t="s">
        <v>8690</v>
      </c>
      <c r="S1217" s="74" t="s">
        <v>8261</v>
      </c>
      <c r="T1217" s="157"/>
      <c r="U1217" s="159" t="s">
        <v>2129</v>
      </c>
      <c r="V1217" s="159" t="s">
        <v>2129</v>
      </c>
      <c r="W1217" s="159" t="s">
        <v>2138</v>
      </c>
      <c r="X1217" s="160">
        <v>1</v>
      </c>
      <c r="Y1217" s="160">
        <v>1</v>
      </c>
      <c r="Z1217" s="160">
        <v>1</v>
      </c>
      <c r="AA1217" s="160">
        <v>1</v>
      </c>
    </row>
    <row r="1218" spans="1:27" ht="18" customHeight="1" x14ac:dyDescent="0.25">
      <c r="A1218" s="159">
        <v>3228</v>
      </c>
      <c r="B1218" s="164" t="s">
        <v>266</v>
      </c>
      <c r="C1218" s="164" t="s">
        <v>276</v>
      </c>
      <c r="D1218" s="159" t="s">
        <v>734</v>
      </c>
      <c r="E1218" s="164" t="s">
        <v>732</v>
      </c>
      <c r="F1218" s="159"/>
      <c r="G1218" s="157" t="s">
        <v>1349</v>
      </c>
      <c r="H1218" s="157" t="s">
        <v>1350</v>
      </c>
      <c r="I1218" s="157" t="s">
        <v>1625</v>
      </c>
      <c r="J1218" s="157" t="s">
        <v>8295</v>
      </c>
      <c r="K1218" s="157" t="s">
        <v>1352</v>
      </c>
      <c r="L1218" s="157" t="s">
        <v>1627</v>
      </c>
      <c r="M1218" s="157" t="str">
        <f t="shared" si="28"/>
        <v>Camera_FFC2 - Long Range View</v>
      </c>
      <c r="N1218" s="157"/>
      <c r="O1218" s="157"/>
      <c r="P1218" s="159" t="s">
        <v>5468</v>
      </c>
      <c r="Q1218" s="74" t="s">
        <v>2115</v>
      </c>
      <c r="R1218" s="74" t="s">
        <v>8690</v>
      </c>
      <c r="S1218" s="74" t="s">
        <v>8261</v>
      </c>
      <c r="T1218" s="157"/>
      <c r="U1218" s="159" t="s">
        <v>2129</v>
      </c>
      <c r="V1218" s="159" t="s">
        <v>2129</v>
      </c>
      <c r="W1218" s="159" t="s">
        <v>2138</v>
      </c>
      <c r="X1218" s="160">
        <v>1</v>
      </c>
      <c r="Y1218" s="160">
        <v>1</v>
      </c>
      <c r="Z1218" s="160">
        <v>1</v>
      </c>
      <c r="AA1218" s="160">
        <v>1</v>
      </c>
    </row>
    <row r="1219" spans="1:27" ht="18" customHeight="1" x14ac:dyDescent="0.25">
      <c r="A1219" s="159">
        <v>3228</v>
      </c>
      <c r="B1219" s="164" t="s">
        <v>266</v>
      </c>
      <c r="C1219" s="164" t="s">
        <v>294</v>
      </c>
      <c r="D1219" s="159" t="s">
        <v>297</v>
      </c>
      <c r="E1219" s="164" t="s">
        <v>295</v>
      </c>
      <c r="F1219" s="159"/>
      <c r="G1219" s="157" t="s">
        <v>1349</v>
      </c>
      <c r="H1219" s="157" t="s">
        <v>1350</v>
      </c>
      <c r="I1219" s="157" t="s">
        <v>1625</v>
      </c>
      <c r="J1219" s="157" t="s">
        <v>8295</v>
      </c>
      <c r="K1219" s="157" t="s">
        <v>1352</v>
      </c>
      <c r="L1219" s="157" t="s">
        <v>1627</v>
      </c>
      <c r="M1219" s="157" t="str">
        <f t="shared" si="28"/>
        <v>Camera_FFC2 - Long Range View</v>
      </c>
      <c r="N1219" s="157"/>
      <c r="O1219" s="157"/>
      <c r="P1219" s="159" t="s">
        <v>5468</v>
      </c>
      <c r="Q1219" s="74" t="s">
        <v>2115</v>
      </c>
      <c r="R1219" s="74" t="s">
        <v>8690</v>
      </c>
      <c r="S1219" s="74" t="s">
        <v>8261</v>
      </c>
      <c r="T1219" s="157"/>
      <c r="U1219" s="159" t="s">
        <v>2129</v>
      </c>
      <c r="V1219" s="159" t="s">
        <v>2129</v>
      </c>
      <c r="W1219" s="159" t="s">
        <v>2138</v>
      </c>
      <c r="X1219" s="160">
        <v>1</v>
      </c>
      <c r="Y1219" s="160">
        <v>1</v>
      </c>
      <c r="Z1219" s="160">
        <v>1</v>
      </c>
      <c r="AA1219" s="160">
        <v>1</v>
      </c>
    </row>
    <row r="1220" spans="1:27" ht="18" customHeight="1" x14ac:dyDescent="0.25">
      <c r="A1220" s="159">
        <v>3228</v>
      </c>
      <c r="B1220" s="164" t="s">
        <v>266</v>
      </c>
      <c r="C1220" s="164" t="s">
        <v>294</v>
      </c>
      <c r="D1220" s="159" t="s">
        <v>298</v>
      </c>
      <c r="E1220" s="164" t="s">
        <v>299</v>
      </c>
      <c r="F1220" s="159"/>
      <c r="G1220" s="157" t="s">
        <v>1349</v>
      </c>
      <c r="H1220" s="157" t="s">
        <v>1350</v>
      </c>
      <c r="I1220" s="157" t="s">
        <v>1625</v>
      </c>
      <c r="J1220" s="157" t="s">
        <v>8295</v>
      </c>
      <c r="K1220" s="157" t="s">
        <v>1352</v>
      </c>
      <c r="L1220" s="157" t="s">
        <v>1627</v>
      </c>
      <c r="M1220" s="157" t="str">
        <f t="shared" si="28"/>
        <v>Camera_FFC2 - Long Range View</v>
      </c>
      <c r="N1220" s="157"/>
      <c r="O1220" s="157"/>
      <c r="P1220" s="159" t="s">
        <v>5468</v>
      </c>
      <c r="Q1220" s="74" t="s">
        <v>2115</v>
      </c>
      <c r="R1220" s="74" t="s">
        <v>8690</v>
      </c>
      <c r="S1220" s="74" t="s">
        <v>8261</v>
      </c>
      <c r="T1220" s="157"/>
      <c r="U1220" s="159" t="s">
        <v>2129</v>
      </c>
      <c r="V1220" s="159" t="s">
        <v>2129</v>
      </c>
      <c r="W1220" s="159" t="s">
        <v>2138</v>
      </c>
      <c r="X1220" s="160">
        <v>1</v>
      </c>
      <c r="Y1220" s="160">
        <v>1</v>
      </c>
      <c r="Z1220" s="160">
        <v>1</v>
      </c>
      <c r="AA1220" s="160">
        <v>1</v>
      </c>
    </row>
    <row r="1221" spans="1:27" ht="18" customHeight="1" x14ac:dyDescent="0.25">
      <c r="A1221" s="159">
        <v>3228</v>
      </c>
      <c r="B1221" s="164" t="s">
        <v>266</v>
      </c>
      <c r="C1221" s="164" t="s">
        <v>294</v>
      </c>
      <c r="D1221" s="159" t="s">
        <v>503</v>
      </c>
      <c r="E1221" s="164" t="s">
        <v>501</v>
      </c>
      <c r="F1221" s="159"/>
      <c r="G1221" s="157" t="s">
        <v>1349</v>
      </c>
      <c r="H1221" s="157" t="s">
        <v>1350</v>
      </c>
      <c r="I1221" s="157" t="s">
        <v>1625</v>
      </c>
      <c r="J1221" s="157" t="s">
        <v>8295</v>
      </c>
      <c r="K1221" s="157" t="s">
        <v>1352</v>
      </c>
      <c r="L1221" s="157" t="s">
        <v>1627</v>
      </c>
      <c r="M1221" s="157" t="str">
        <f t="shared" si="28"/>
        <v>Camera_FFC2 - Long Range View</v>
      </c>
      <c r="N1221" s="157"/>
      <c r="O1221" s="157"/>
      <c r="P1221" s="159" t="s">
        <v>5468</v>
      </c>
      <c r="Q1221" s="74" t="s">
        <v>2115</v>
      </c>
      <c r="R1221" s="74" t="s">
        <v>8690</v>
      </c>
      <c r="S1221" s="74" t="s">
        <v>8261</v>
      </c>
      <c r="T1221" s="157"/>
      <c r="U1221" s="159" t="s">
        <v>2129</v>
      </c>
      <c r="V1221" s="159" t="s">
        <v>2129</v>
      </c>
      <c r="W1221" s="159" t="s">
        <v>2138</v>
      </c>
      <c r="X1221" s="160">
        <v>1</v>
      </c>
      <c r="Y1221" s="160">
        <v>1</v>
      </c>
      <c r="Z1221" s="160">
        <v>1</v>
      </c>
      <c r="AA1221" s="160">
        <v>1</v>
      </c>
    </row>
    <row r="1222" spans="1:27" ht="18" customHeight="1" x14ac:dyDescent="0.25">
      <c r="A1222" s="159">
        <v>3228</v>
      </c>
      <c r="B1222" s="164" t="s">
        <v>266</v>
      </c>
      <c r="C1222" s="164" t="s">
        <v>294</v>
      </c>
      <c r="D1222" s="159" t="s">
        <v>692</v>
      </c>
      <c r="E1222" s="164" t="s">
        <v>690</v>
      </c>
      <c r="F1222" s="159"/>
      <c r="G1222" s="157" t="s">
        <v>1349</v>
      </c>
      <c r="H1222" s="157" t="s">
        <v>1350</v>
      </c>
      <c r="I1222" s="157" t="s">
        <v>1625</v>
      </c>
      <c r="J1222" s="157" t="s">
        <v>8295</v>
      </c>
      <c r="K1222" s="157" t="s">
        <v>1352</v>
      </c>
      <c r="L1222" s="157" t="s">
        <v>1627</v>
      </c>
      <c r="M1222" s="157" t="str">
        <f t="shared" si="28"/>
        <v>Camera_FFC2 - Long Range View</v>
      </c>
      <c r="N1222" s="157"/>
      <c r="O1222" s="157"/>
      <c r="P1222" s="159" t="s">
        <v>5468</v>
      </c>
      <c r="Q1222" s="74" t="s">
        <v>2115</v>
      </c>
      <c r="R1222" s="74" t="s">
        <v>8690</v>
      </c>
      <c r="S1222" s="74" t="s">
        <v>8261</v>
      </c>
      <c r="T1222" s="157"/>
      <c r="U1222" s="159" t="s">
        <v>2129</v>
      </c>
      <c r="V1222" s="159" t="s">
        <v>2129</v>
      </c>
      <c r="W1222" s="159" t="s">
        <v>2138</v>
      </c>
      <c r="X1222" s="160">
        <v>1</v>
      </c>
      <c r="Y1222" s="160">
        <v>1</v>
      </c>
      <c r="Z1222" s="160">
        <v>1</v>
      </c>
      <c r="AA1222" s="160">
        <v>1</v>
      </c>
    </row>
    <row r="1223" spans="1:27" ht="18" customHeight="1" x14ac:dyDescent="0.25">
      <c r="A1223" s="159">
        <v>3228</v>
      </c>
      <c r="B1223" s="164" t="s">
        <v>266</v>
      </c>
      <c r="C1223" s="164" t="s">
        <v>294</v>
      </c>
      <c r="D1223" s="159" t="s">
        <v>1177</v>
      </c>
      <c r="E1223" s="164" t="s">
        <v>1175</v>
      </c>
      <c r="F1223" s="159"/>
      <c r="G1223" s="157" t="s">
        <v>1349</v>
      </c>
      <c r="H1223" s="157" t="s">
        <v>1350</v>
      </c>
      <c r="I1223" s="157" t="s">
        <v>1625</v>
      </c>
      <c r="J1223" s="157" t="s">
        <v>8295</v>
      </c>
      <c r="K1223" s="157" t="s">
        <v>1352</v>
      </c>
      <c r="L1223" s="157" t="s">
        <v>1627</v>
      </c>
      <c r="M1223" s="157" t="str">
        <f t="shared" si="28"/>
        <v>Camera_FFC2 - Long Range View</v>
      </c>
      <c r="N1223" s="157"/>
      <c r="O1223" s="157"/>
      <c r="P1223" s="159" t="s">
        <v>5468</v>
      </c>
      <c r="Q1223" s="74" t="s">
        <v>2115</v>
      </c>
      <c r="R1223" s="74" t="s">
        <v>8690</v>
      </c>
      <c r="S1223" s="74" t="s">
        <v>8261</v>
      </c>
      <c r="T1223" s="157"/>
      <c r="U1223" s="159" t="s">
        <v>2129</v>
      </c>
      <c r="V1223" s="159" t="s">
        <v>2129</v>
      </c>
      <c r="W1223" s="159" t="s">
        <v>2138</v>
      </c>
      <c r="X1223" s="160">
        <v>1</v>
      </c>
      <c r="Y1223" s="160">
        <v>1</v>
      </c>
      <c r="Z1223" s="160">
        <v>1</v>
      </c>
      <c r="AA1223" s="160">
        <v>1</v>
      </c>
    </row>
    <row r="1224" spans="1:27" ht="18" customHeight="1" x14ac:dyDescent="0.25">
      <c r="A1224" s="159">
        <v>3228</v>
      </c>
      <c r="B1224" s="164" t="s">
        <v>266</v>
      </c>
      <c r="C1224" s="164" t="s">
        <v>294</v>
      </c>
      <c r="D1224" s="159" t="s">
        <v>1178</v>
      </c>
      <c r="E1224" s="164" t="s">
        <v>1179</v>
      </c>
      <c r="F1224" s="159"/>
      <c r="G1224" s="157" t="s">
        <v>1349</v>
      </c>
      <c r="H1224" s="157" t="s">
        <v>1350</v>
      </c>
      <c r="I1224" s="157" t="s">
        <v>1625</v>
      </c>
      <c r="J1224" s="157" t="s">
        <v>8295</v>
      </c>
      <c r="K1224" s="157" t="s">
        <v>1352</v>
      </c>
      <c r="L1224" s="157" t="s">
        <v>1627</v>
      </c>
      <c r="M1224" s="157" t="str">
        <f t="shared" si="28"/>
        <v>Camera_FFC2 - Long Range View</v>
      </c>
      <c r="N1224" s="157"/>
      <c r="O1224" s="157"/>
      <c r="P1224" s="159" t="s">
        <v>5468</v>
      </c>
      <c r="Q1224" s="74" t="s">
        <v>2115</v>
      </c>
      <c r="R1224" s="74" t="s">
        <v>8690</v>
      </c>
      <c r="S1224" s="74" t="s">
        <v>8261</v>
      </c>
      <c r="T1224" s="157"/>
      <c r="U1224" s="159" t="s">
        <v>2129</v>
      </c>
      <c r="V1224" s="159" t="s">
        <v>2129</v>
      </c>
      <c r="W1224" s="159" t="s">
        <v>2138</v>
      </c>
      <c r="X1224" s="160">
        <v>1</v>
      </c>
      <c r="Y1224" s="160">
        <v>1</v>
      </c>
      <c r="Z1224" s="160">
        <v>1</v>
      </c>
      <c r="AA1224" s="160">
        <v>1</v>
      </c>
    </row>
    <row r="1225" spans="1:27" ht="18" customHeight="1" x14ac:dyDescent="0.25">
      <c r="A1225" s="159">
        <v>3228</v>
      </c>
      <c r="B1225" s="164" t="s">
        <v>266</v>
      </c>
      <c r="C1225" s="164" t="s">
        <v>294</v>
      </c>
      <c r="D1225" s="159" t="s">
        <v>1207</v>
      </c>
      <c r="E1225" s="164" t="s">
        <v>1205</v>
      </c>
      <c r="F1225" s="159"/>
      <c r="G1225" s="157" t="s">
        <v>1349</v>
      </c>
      <c r="H1225" s="157" t="s">
        <v>1350</v>
      </c>
      <c r="I1225" s="157" t="s">
        <v>1625</v>
      </c>
      <c r="J1225" s="157" t="s">
        <v>8295</v>
      </c>
      <c r="K1225" s="157" t="s">
        <v>1352</v>
      </c>
      <c r="L1225" s="157" t="s">
        <v>1627</v>
      </c>
      <c r="M1225" s="157" t="str">
        <f t="shared" si="28"/>
        <v>Camera_FFC2 - Long Range View</v>
      </c>
      <c r="N1225" s="157"/>
      <c r="O1225" s="157"/>
      <c r="P1225" s="159" t="s">
        <v>5468</v>
      </c>
      <c r="Q1225" s="74" t="s">
        <v>2115</v>
      </c>
      <c r="R1225" s="74" t="s">
        <v>8690</v>
      </c>
      <c r="S1225" s="74" t="s">
        <v>8261</v>
      </c>
      <c r="T1225" s="157"/>
      <c r="U1225" s="159" t="s">
        <v>2129</v>
      </c>
      <c r="V1225" s="159" t="s">
        <v>2129</v>
      </c>
      <c r="W1225" s="159" t="s">
        <v>2138</v>
      </c>
      <c r="X1225" s="160">
        <v>1</v>
      </c>
      <c r="Y1225" s="160">
        <v>1</v>
      </c>
      <c r="Z1225" s="160">
        <v>1</v>
      </c>
      <c r="AA1225" s="160">
        <v>1</v>
      </c>
    </row>
    <row r="1226" spans="1:27" ht="18" customHeight="1" x14ac:dyDescent="0.25">
      <c r="A1226" s="159">
        <v>3228</v>
      </c>
      <c r="B1226" s="164" t="s">
        <v>266</v>
      </c>
      <c r="C1226" s="164" t="s">
        <v>514</v>
      </c>
      <c r="D1226" s="159" t="s">
        <v>517</v>
      </c>
      <c r="E1226" s="164" t="s">
        <v>515</v>
      </c>
      <c r="F1226" s="159"/>
      <c r="G1226" s="157" t="s">
        <v>1349</v>
      </c>
      <c r="H1226" s="157" t="s">
        <v>1350</v>
      </c>
      <c r="I1226" s="157" t="s">
        <v>1625</v>
      </c>
      <c r="J1226" s="157" t="s">
        <v>8295</v>
      </c>
      <c r="K1226" s="157" t="s">
        <v>1352</v>
      </c>
      <c r="L1226" s="157" t="s">
        <v>1627</v>
      </c>
      <c r="M1226" s="157" t="str">
        <f t="shared" ref="M1226:M1289" si="29">CONCATENATE(L1226," - ",I1226)</f>
        <v>Camera_FFC2 - Long Range View</v>
      </c>
      <c r="N1226" s="157"/>
      <c r="O1226" s="157"/>
      <c r="P1226" s="159" t="s">
        <v>5468</v>
      </c>
      <c r="Q1226" s="74" t="s">
        <v>2115</v>
      </c>
      <c r="R1226" s="74" t="s">
        <v>8690</v>
      </c>
      <c r="S1226" s="74" t="s">
        <v>8261</v>
      </c>
      <c r="T1226" s="157"/>
      <c r="U1226" s="159" t="s">
        <v>2129</v>
      </c>
      <c r="V1226" s="159" t="s">
        <v>2129</v>
      </c>
      <c r="W1226" s="159" t="s">
        <v>2138</v>
      </c>
      <c r="X1226" s="160">
        <v>1</v>
      </c>
      <c r="Y1226" s="160">
        <v>1</v>
      </c>
      <c r="Z1226" s="160">
        <v>1</v>
      </c>
      <c r="AA1226" s="160">
        <v>1</v>
      </c>
    </row>
    <row r="1227" spans="1:27" ht="18" customHeight="1" x14ac:dyDescent="0.25">
      <c r="A1227" s="159">
        <v>3228</v>
      </c>
      <c r="B1227" s="164" t="s">
        <v>266</v>
      </c>
      <c r="C1227" s="164" t="s">
        <v>514</v>
      </c>
      <c r="D1227" s="159" t="s">
        <v>730</v>
      </c>
      <c r="E1227" s="164" t="s">
        <v>728</v>
      </c>
      <c r="F1227" s="159"/>
      <c r="G1227" s="157" t="s">
        <v>1349</v>
      </c>
      <c r="H1227" s="157" t="s">
        <v>1350</v>
      </c>
      <c r="I1227" s="157" t="s">
        <v>1625</v>
      </c>
      <c r="J1227" s="157" t="s">
        <v>8295</v>
      </c>
      <c r="K1227" s="157" t="s">
        <v>1352</v>
      </c>
      <c r="L1227" s="157" t="s">
        <v>1627</v>
      </c>
      <c r="M1227" s="157" t="str">
        <f t="shared" si="29"/>
        <v>Camera_FFC2 - Long Range View</v>
      </c>
      <c r="N1227" s="157"/>
      <c r="O1227" s="157"/>
      <c r="P1227" s="159" t="s">
        <v>5468</v>
      </c>
      <c r="Q1227" s="74" t="s">
        <v>2115</v>
      </c>
      <c r="R1227" s="74" t="s">
        <v>8690</v>
      </c>
      <c r="S1227" s="74" t="s">
        <v>8261</v>
      </c>
      <c r="T1227" s="157"/>
      <c r="U1227" s="159" t="s">
        <v>2129</v>
      </c>
      <c r="V1227" s="159" t="s">
        <v>2129</v>
      </c>
      <c r="W1227" s="159" t="s">
        <v>2138</v>
      </c>
      <c r="X1227" s="160">
        <v>1</v>
      </c>
      <c r="Y1227" s="160">
        <v>1</v>
      </c>
      <c r="Z1227" s="160">
        <v>1</v>
      </c>
      <c r="AA1227" s="160">
        <v>1</v>
      </c>
    </row>
    <row r="1228" spans="1:27" ht="18" customHeight="1" x14ac:dyDescent="0.25">
      <c r="A1228" s="159">
        <v>3228</v>
      </c>
      <c r="B1228" s="164" t="s">
        <v>266</v>
      </c>
      <c r="C1228" s="164" t="s">
        <v>514</v>
      </c>
      <c r="D1228" s="159" t="s">
        <v>793</v>
      </c>
      <c r="E1228" s="164" t="s">
        <v>791</v>
      </c>
      <c r="F1228" s="159"/>
      <c r="G1228" s="157" t="s">
        <v>1349</v>
      </c>
      <c r="H1228" s="157" t="s">
        <v>1350</v>
      </c>
      <c r="I1228" s="157" t="s">
        <v>1625</v>
      </c>
      <c r="J1228" s="157" t="s">
        <v>8295</v>
      </c>
      <c r="K1228" s="157" t="s">
        <v>1352</v>
      </c>
      <c r="L1228" s="157" t="s">
        <v>1627</v>
      </c>
      <c r="M1228" s="157" t="str">
        <f t="shared" si="29"/>
        <v>Camera_FFC2 - Long Range View</v>
      </c>
      <c r="N1228" s="157"/>
      <c r="O1228" s="157"/>
      <c r="P1228" s="159" t="s">
        <v>5468</v>
      </c>
      <c r="Q1228" s="74" t="s">
        <v>2115</v>
      </c>
      <c r="R1228" s="74" t="s">
        <v>8690</v>
      </c>
      <c r="S1228" s="74" t="s">
        <v>8261</v>
      </c>
      <c r="T1228" s="157"/>
      <c r="U1228" s="159" t="s">
        <v>2129</v>
      </c>
      <c r="V1228" s="159" t="s">
        <v>2129</v>
      </c>
      <c r="W1228" s="159" t="s">
        <v>2138</v>
      </c>
      <c r="X1228" s="160">
        <v>1</v>
      </c>
      <c r="Y1228" s="160">
        <v>1</v>
      </c>
      <c r="Z1228" s="160">
        <v>1</v>
      </c>
      <c r="AA1228" s="160">
        <v>1</v>
      </c>
    </row>
    <row r="1229" spans="1:27" ht="18" customHeight="1" x14ac:dyDescent="0.25">
      <c r="A1229" s="159">
        <v>3228</v>
      </c>
      <c r="B1229" s="164" t="s">
        <v>266</v>
      </c>
      <c r="C1229" s="164" t="s">
        <v>514</v>
      </c>
      <c r="D1229" s="159" t="s">
        <v>731</v>
      </c>
      <c r="E1229" s="164" t="s">
        <v>795</v>
      </c>
      <c r="F1229" s="159"/>
      <c r="G1229" s="157" t="s">
        <v>1349</v>
      </c>
      <c r="H1229" s="157" t="s">
        <v>1350</v>
      </c>
      <c r="I1229" s="157" t="s">
        <v>1625</v>
      </c>
      <c r="J1229" s="157" t="s">
        <v>8295</v>
      </c>
      <c r="K1229" s="157" t="s">
        <v>1352</v>
      </c>
      <c r="L1229" s="157" t="s">
        <v>1627</v>
      </c>
      <c r="M1229" s="157" t="str">
        <f t="shared" si="29"/>
        <v>Camera_FFC2 - Long Range View</v>
      </c>
      <c r="N1229" s="157"/>
      <c r="O1229" s="157"/>
      <c r="P1229" s="159" t="s">
        <v>5468</v>
      </c>
      <c r="Q1229" s="74" t="s">
        <v>2115</v>
      </c>
      <c r="R1229" s="74" t="s">
        <v>8690</v>
      </c>
      <c r="S1229" s="74" t="s">
        <v>8261</v>
      </c>
      <c r="T1229" s="157"/>
      <c r="U1229" s="159" t="s">
        <v>2129</v>
      </c>
      <c r="V1229" s="159" t="s">
        <v>2129</v>
      </c>
      <c r="W1229" s="159" t="s">
        <v>2138</v>
      </c>
      <c r="X1229" s="160">
        <v>1</v>
      </c>
      <c r="Y1229" s="160">
        <v>1</v>
      </c>
      <c r="Z1229" s="160">
        <v>1</v>
      </c>
      <c r="AA1229" s="160">
        <v>1</v>
      </c>
    </row>
    <row r="1230" spans="1:27" ht="18" customHeight="1" x14ac:dyDescent="0.25">
      <c r="A1230" s="159">
        <v>3228</v>
      </c>
      <c r="B1230" s="164" t="s">
        <v>266</v>
      </c>
      <c r="C1230" s="164" t="s">
        <v>514</v>
      </c>
      <c r="D1230" s="159" t="s">
        <v>1170</v>
      </c>
      <c r="E1230" s="164" t="s">
        <v>1168</v>
      </c>
      <c r="F1230" s="159"/>
      <c r="G1230" s="157" t="s">
        <v>1349</v>
      </c>
      <c r="H1230" s="157" t="s">
        <v>1350</v>
      </c>
      <c r="I1230" s="157" t="s">
        <v>1625</v>
      </c>
      <c r="J1230" s="157" t="s">
        <v>8295</v>
      </c>
      <c r="K1230" s="157" t="s">
        <v>1352</v>
      </c>
      <c r="L1230" s="157" t="s">
        <v>1627</v>
      </c>
      <c r="M1230" s="157" t="str">
        <f t="shared" si="29"/>
        <v>Camera_FFC2 - Long Range View</v>
      </c>
      <c r="N1230" s="157"/>
      <c r="O1230" s="157"/>
      <c r="P1230" s="159" t="s">
        <v>5468</v>
      </c>
      <c r="Q1230" s="74" t="s">
        <v>2115</v>
      </c>
      <c r="R1230" s="74" t="s">
        <v>8690</v>
      </c>
      <c r="S1230" s="74" t="s">
        <v>8261</v>
      </c>
      <c r="T1230" s="157"/>
      <c r="U1230" s="159" t="s">
        <v>2129</v>
      </c>
      <c r="V1230" s="159" t="s">
        <v>2129</v>
      </c>
      <c r="W1230" s="159" t="s">
        <v>2138</v>
      </c>
      <c r="X1230" s="160">
        <v>1</v>
      </c>
      <c r="Y1230" s="160">
        <v>1</v>
      </c>
      <c r="Z1230" s="160">
        <v>1</v>
      </c>
      <c r="AA1230" s="160">
        <v>1</v>
      </c>
    </row>
    <row r="1231" spans="1:27" ht="18" customHeight="1" x14ac:dyDescent="0.25">
      <c r="A1231" s="159">
        <v>3228</v>
      </c>
      <c r="B1231" s="164" t="s">
        <v>266</v>
      </c>
      <c r="C1231" s="164" t="s">
        <v>514</v>
      </c>
      <c r="D1231" s="159" t="s">
        <v>1171</v>
      </c>
      <c r="E1231" s="164" t="s">
        <v>1223</v>
      </c>
      <c r="F1231" s="159"/>
      <c r="G1231" s="157" t="s">
        <v>1349</v>
      </c>
      <c r="H1231" s="157" t="s">
        <v>1350</v>
      </c>
      <c r="I1231" s="157" t="s">
        <v>1625</v>
      </c>
      <c r="J1231" s="157" t="s">
        <v>8295</v>
      </c>
      <c r="K1231" s="157" t="s">
        <v>1352</v>
      </c>
      <c r="L1231" s="157" t="s">
        <v>1627</v>
      </c>
      <c r="M1231" s="157" t="str">
        <f t="shared" si="29"/>
        <v>Camera_FFC2 - Long Range View</v>
      </c>
      <c r="N1231" s="157"/>
      <c r="O1231" s="157"/>
      <c r="P1231" s="159" t="s">
        <v>5468</v>
      </c>
      <c r="Q1231" s="74" t="s">
        <v>2115</v>
      </c>
      <c r="R1231" s="74" t="s">
        <v>8690</v>
      </c>
      <c r="S1231" s="74" t="s">
        <v>8261</v>
      </c>
      <c r="T1231" s="157"/>
      <c r="U1231" s="159" t="s">
        <v>2129</v>
      </c>
      <c r="V1231" s="159" t="s">
        <v>2129</v>
      </c>
      <c r="W1231" s="159" t="s">
        <v>2138</v>
      </c>
      <c r="X1231" s="160">
        <v>1</v>
      </c>
      <c r="Y1231" s="160">
        <v>1</v>
      </c>
      <c r="Z1231" s="160">
        <v>1</v>
      </c>
      <c r="AA1231" s="160">
        <v>1</v>
      </c>
    </row>
    <row r="1232" spans="1:27" ht="18" customHeight="1" x14ac:dyDescent="0.25">
      <c r="A1232" s="159">
        <v>3228</v>
      </c>
      <c r="B1232" s="164" t="s">
        <v>266</v>
      </c>
      <c r="C1232" s="164" t="s">
        <v>519</v>
      </c>
      <c r="D1232" s="159" t="s">
        <v>522</v>
      </c>
      <c r="E1232" s="164" t="s">
        <v>520</v>
      </c>
      <c r="F1232" s="159"/>
      <c r="G1232" s="157" t="s">
        <v>1349</v>
      </c>
      <c r="H1232" s="157" t="s">
        <v>1350</v>
      </c>
      <c r="I1232" s="157" t="s">
        <v>1625</v>
      </c>
      <c r="J1232" s="157" t="s">
        <v>8295</v>
      </c>
      <c r="K1232" s="157" t="s">
        <v>1352</v>
      </c>
      <c r="L1232" s="157" t="s">
        <v>1627</v>
      </c>
      <c r="M1232" s="157" t="str">
        <f t="shared" si="29"/>
        <v>Camera_FFC2 - Long Range View</v>
      </c>
      <c r="N1232" s="157"/>
      <c r="O1232" s="157"/>
      <c r="P1232" s="159" t="s">
        <v>5468</v>
      </c>
      <c r="Q1232" s="74" t="s">
        <v>2115</v>
      </c>
      <c r="R1232" s="74" t="s">
        <v>8690</v>
      </c>
      <c r="S1232" s="74" t="s">
        <v>8261</v>
      </c>
      <c r="T1232" s="157"/>
      <c r="U1232" s="159" t="s">
        <v>2129</v>
      </c>
      <c r="V1232" s="159" t="s">
        <v>2129</v>
      </c>
      <c r="W1232" s="159" t="s">
        <v>2138</v>
      </c>
      <c r="X1232" s="160">
        <v>1</v>
      </c>
      <c r="Y1232" s="160">
        <v>1</v>
      </c>
      <c r="Z1232" s="160">
        <v>1</v>
      </c>
      <c r="AA1232" s="160">
        <v>1</v>
      </c>
    </row>
    <row r="1233" spans="1:27" ht="18" customHeight="1" x14ac:dyDescent="0.25">
      <c r="A1233" s="159">
        <v>3228</v>
      </c>
      <c r="B1233" s="164" t="s">
        <v>266</v>
      </c>
      <c r="C1233" s="164" t="s">
        <v>519</v>
      </c>
      <c r="D1233" s="159" t="s">
        <v>526</v>
      </c>
      <c r="E1233" s="164" t="s">
        <v>524</v>
      </c>
      <c r="F1233" s="159"/>
      <c r="G1233" s="157" t="s">
        <v>1349</v>
      </c>
      <c r="H1233" s="157" t="s">
        <v>1350</v>
      </c>
      <c r="I1233" s="157" t="s">
        <v>1625</v>
      </c>
      <c r="J1233" s="157" t="s">
        <v>8295</v>
      </c>
      <c r="K1233" s="157" t="s">
        <v>1352</v>
      </c>
      <c r="L1233" s="157" t="s">
        <v>1627</v>
      </c>
      <c r="M1233" s="157" t="str">
        <f t="shared" si="29"/>
        <v>Camera_FFC2 - Long Range View</v>
      </c>
      <c r="N1233" s="157"/>
      <c r="O1233" s="157"/>
      <c r="P1233" s="159" t="s">
        <v>5468</v>
      </c>
      <c r="Q1233" s="74" t="s">
        <v>2115</v>
      </c>
      <c r="R1233" s="74" t="s">
        <v>8690</v>
      </c>
      <c r="S1233" s="74" t="s">
        <v>8261</v>
      </c>
      <c r="T1233" s="157"/>
      <c r="U1233" s="159" t="s">
        <v>2129</v>
      </c>
      <c r="V1233" s="159" t="s">
        <v>2129</v>
      </c>
      <c r="W1233" s="159" t="s">
        <v>2138</v>
      </c>
      <c r="X1233" s="160">
        <v>1</v>
      </c>
      <c r="Y1233" s="160">
        <v>1</v>
      </c>
      <c r="Z1233" s="160">
        <v>1</v>
      </c>
      <c r="AA1233" s="160">
        <v>1</v>
      </c>
    </row>
    <row r="1234" spans="1:27" ht="18" customHeight="1" x14ac:dyDescent="0.25">
      <c r="A1234" s="159">
        <v>3228</v>
      </c>
      <c r="B1234" s="164" t="s">
        <v>266</v>
      </c>
      <c r="C1234" s="164" t="s">
        <v>519</v>
      </c>
      <c r="D1234" s="159" t="s">
        <v>530</v>
      </c>
      <c r="E1234" s="164" t="s">
        <v>528</v>
      </c>
      <c r="F1234" s="159"/>
      <c r="G1234" s="157" t="s">
        <v>1349</v>
      </c>
      <c r="H1234" s="157" t="s">
        <v>1350</v>
      </c>
      <c r="I1234" s="157" t="s">
        <v>1625</v>
      </c>
      <c r="J1234" s="157" t="s">
        <v>8295</v>
      </c>
      <c r="K1234" s="157" t="s">
        <v>1352</v>
      </c>
      <c r="L1234" s="157" t="s">
        <v>1627</v>
      </c>
      <c r="M1234" s="157" t="str">
        <f t="shared" si="29"/>
        <v>Camera_FFC2 - Long Range View</v>
      </c>
      <c r="N1234" s="157"/>
      <c r="O1234" s="157"/>
      <c r="P1234" s="159" t="s">
        <v>5468</v>
      </c>
      <c r="Q1234" s="74" t="s">
        <v>2115</v>
      </c>
      <c r="R1234" s="74" t="s">
        <v>8690</v>
      </c>
      <c r="S1234" s="74" t="s">
        <v>8261</v>
      </c>
      <c r="T1234" s="157"/>
      <c r="U1234" s="159" t="s">
        <v>2129</v>
      </c>
      <c r="V1234" s="159" t="s">
        <v>2129</v>
      </c>
      <c r="W1234" s="159" t="s">
        <v>2138</v>
      </c>
      <c r="X1234" s="160">
        <v>1</v>
      </c>
      <c r="Y1234" s="160">
        <v>1</v>
      </c>
      <c r="Z1234" s="160">
        <v>1</v>
      </c>
      <c r="AA1234" s="160">
        <v>1</v>
      </c>
    </row>
    <row r="1235" spans="1:27" ht="18" customHeight="1" x14ac:dyDescent="0.25">
      <c r="A1235" s="159">
        <v>3228</v>
      </c>
      <c r="B1235" s="164" t="s">
        <v>266</v>
      </c>
      <c r="C1235" s="164" t="s">
        <v>519</v>
      </c>
      <c r="D1235" s="159" t="s">
        <v>787</v>
      </c>
      <c r="E1235" s="164" t="s">
        <v>785</v>
      </c>
      <c r="F1235" s="159"/>
      <c r="G1235" s="157" t="s">
        <v>1349</v>
      </c>
      <c r="H1235" s="157" t="s">
        <v>1350</v>
      </c>
      <c r="I1235" s="157" t="s">
        <v>1625</v>
      </c>
      <c r="J1235" s="157" t="s">
        <v>8295</v>
      </c>
      <c r="K1235" s="157" t="s">
        <v>1352</v>
      </c>
      <c r="L1235" s="157" t="s">
        <v>1627</v>
      </c>
      <c r="M1235" s="157" t="str">
        <f t="shared" si="29"/>
        <v>Camera_FFC2 - Long Range View</v>
      </c>
      <c r="N1235" s="157"/>
      <c r="O1235" s="157"/>
      <c r="P1235" s="159" t="s">
        <v>5468</v>
      </c>
      <c r="Q1235" s="74" t="s">
        <v>2115</v>
      </c>
      <c r="R1235" s="74" t="s">
        <v>8690</v>
      </c>
      <c r="S1235" s="74" t="s">
        <v>8261</v>
      </c>
      <c r="T1235" s="157"/>
      <c r="U1235" s="159" t="s">
        <v>2129</v>
      </c>
      <c r="V1235" s="159" t="s">
        <v>2129</v>
      </c>
      <c r="W1235" s="159" t="s">
        <v>2138</v>
      </c>
      <c r="X1235" s="160">
        <v>1</v>
      </c>
      <c r="Y1235" s="160">
        <v>1</v>
      </c>
      <c r="Z1235" s="160">
        <v>1</v>
      </c>
      <c r="AA1235" s="160">
        <v>1</v>
      </c>
    </row>
    <row r="1236" spans="1:27" ht="18" customHeight="1" x14ac:dyDescent="0.25">
      <c r="A1236" s="159">
        <v>3228</v>
      </c>
      <c r="B1236" s="164" t="s">
        <v>266</v>
      </c>
      <c r="C1236" s="164" t="s">
        <v>519</v>
      </c>
      <c r="D1236" s="159" t="s">
        <v>935</v>
      </c>
      <c r="E1236" s="164" t="s">
        <v>933</v>
      </c>
      <c r="F1236" s="159"/>
      <c r="G1236" s="157" t="s">
        <v>1349</v>
      </c>
      <c r="H1236" s="157" t="s">
        <v>1350</v>
      </c>
      <c r="I1236" s="157" t="s">
        <v>1625</v>
      </c>
      <c r="J1236" s="157" t="s">
        <v>8295</v>
      </c>
      <c r="K1236" s="157" t="s">
        <v>1352</v>
      </c>
      <c r="L1236" s="157" t="s">
        <v>1627</v>
      </c>
      <c r="M1236" s="157" t="str">
        <f t="shared" si="29"/>
        <v>Camera_FFC2 - Long Range View</v>
      </c>
      <c r="N1236" s="157"/>
      <c r="O1236" s="157"/>
      <c r="P1236" s="159" t="s">
        <v>5468</v>
      </c>
      <c r="Q1236" s="74" t="s">
        <v>2115</v>
      </c>
      <c r="R1236" s="74" t="s">
        <v>8690</v>
      </c>
      <c r="S1236" s="74" t="s">
        <v>8261</v>
      </c>
      <c r="T1236" s="157"/>
      <c r="U1236" s="159" t="s">
        <v>2129</v>
      </c>
      <c r="V1236" s="159" t="s">
        <v>2129</v>
      </c>
      <c r="W1236" s="159" t="s">
        <v>2138</v>
      </c>
      <c r="X1236" s="160">
        <v>1</v>
      </c>
      <c r="Y1236" s="160">
        <v>1</v>
      </c>
      <c r="Z1236" s="160">
        <v>1</v>
      </c>
      <c r="AA1236" s="160">
        <v>1</v>
      </c>
    </row>
    <row r="1237" spans="1:27" ht="18" customHeight="1" x14ac:dyDescent="0.25">
      <c r="A1237" s="159">
        <v>3228</v>
      </c>
      <c r="B1237" s="164" t="s">
        <v>266</v>
      </c>
      <c r="C1237" s="164" t="s">
        <v>519</v>
      </c>
      <c r="D1237" s="159" t="s">
        <v>1151</v>
      </c>
      <c r="E1237" s="164" t="s">
        <v>1149</v>
      </c>
      <c r="F1237" s="159"/>
      <c r="G1237" s="157" t="s">
        <v>1349</v>
      </c>
      <c r="H1237" s="157" t="s">
        <v>1350</v>
      </c>
      <c r="I1237" s="157" t="s">
        <v>1625</v>
      </c>
      <c r="J1237" s="157" t="s">
        <v>8295</v>
      </c>
      <c r="K1237" s="157" t="s">
        <v>1352</v>
      </c>
      <c r="L1237" s="157" t="s">
        <v>1627</v>
      </c>
      <c r="M1237" s="157" t="str">
        <f t="shared" si="29"/>
        <v>Camera_FFC2 - Long Range View</v>
      </c>
      <c r="N1237" s="157"/>
      <c r="O1237" s="157"/>
      <c r="P1237" s="159" t="s">
        <v>5468</v>
      </c>
      <c r="Q1237" s="74" t="s">
        <v>2115</v>
      </c>
      <c r="R1237" s="74" t="s">
        <v>8690</v>
      </c>
      <c r="S1237" s="74" t="s">
        <v>8261</v>
      </c>
      <c r="T1237" s="157"/>
      <c r="U1237" s="159" t="s">
        <v>2129</v>
      </c>
      <c r="V1237" s="159" t="s">
        <v>2129</v>
      </c>
      <c r="W1237" s="159" t="s">
        <v>2138</v>
      </c>
      <c r="X1237" s="160">
        <v>1</v>
      </c>
      <c r="Y1237" s="160">
        <v>1</v>
      </c>
      <c r="Z1237" s="160">
        <v>1</v>
      </c>
      <c r="AA1237" s="160">
        <v>1</v>
      </c>
    </row>
    <row r="1238" spans="1:27" ht="18" customHeight="1" x14ac:dyDescent="0.25">
      <c r="A1238" s="159">
        <v>3228</v>
      </c>
      <c r="B1238" s="164" t="s">
        <v>266</v>
      </c>
      <c r="C1238" s="164" t="s">
        <v>519</v>
      </c>
      <c r="D1238" s="159" t="s">
        <v>1159</v>
      </c>
      <c r="E1238" s="164" t="s">
        <v>1157</v>
      </c>
      <c r="F1238" s="159"/>
      <c r="G1238" s="157" t="s">
        <v>1349</v>
      </c>
      <c r="H1238" s="157" t="s">
        <v>1350</v>
      </c>
      <c r="I1238" s="157" t="s">
        <v>1625</v>
      </c>
      <c r="J1238" s="157" t="s">
        <v>8295</v>
      </c>
      <c r="K1238" s="157" t="s">
        <v>1352</v>
      </c>
      <c r="L1238" s="157" t="s">
        <v>1627</v>
      </c>
      <c r="M1238" s="157" t="str">
        <f t="shared" si="29"/>
        <v>Camera_FFC2 - Long Range View</v>
      </c>
      <c r="N1238" s="157"/>
      <c r="O1238" s="157"/>
      <c r="P1238" s="159" t="s">
        <v>5468</v>
      </c>
      <c r="Q1238" s="74" t="s">
        <v>2115</v>
      </c>
      <c r="R1238" s="74" t="s">
        <v>8690</v>
      </c>
      <c r="S1238" s="74" t="s">
        <v>8261</v>
      </c>
      <c r="T1238" s="157"/>
      <c r="U1238" s="159" t="s">
        <v>2129</v>
      </c>
      <c r="V1238" s="159" t="s">
        <v>2129</v>
      </c>
      <c r="W1238" s="159" t="s">
        <v>2138</v>
      </c>
      <c r="X1238" s="160">
        <v>1</v>
      </c>
      <c r="Y1238" s="160">
        <v>1</v>
      </c>
      <c r="Z1238" s="160">
        <v>1</v>
      </c>
      <c r="AA1238" s="160">
        <v>1</v>
      </c>
    </row>
    <row r="1239" spans="1:27" ht="18" customHeight="1" x14ac:dyDescent="0.25">
      <c r="A1239" s="159">
        <v>3229</v>
      </c>
      <c r="B1239" s="164" t="s">
        <v>29</v>
      </c>
      <c r="C1239" s="164" t="s">
        <v>113</v>
      </c>
      <c r="D1239" s="159" t="s">
        <v>932</v>
      </c>
      <c r="E1239" s="164" t="s">
        <v>930</v>
      </c>
      <c r="F1239" s="159"/>
      <c r="G1239" s="157" t="s">
        <v>1349</v>
      </c>
      <c r="H1239" s="157" t="s">
        <v>1350</v>
      </c>
      <c r="I1239" s="157" t="s">
        <v>1625</v>
      </c>
      <c r="J1239" s="157" t="s">
        <v>8295</v>
      </c>
      <c r="K1239" s="157" t="s">
        <v>1352</v>
      </c>
      <c r="L1239" s="157" t="s">
        <v>1628</v>
      </c>
      <c r="M1239" s="157" t="str">
        <f t="shared" si="29"/>
        <v>Camera_FFC3 - Long Range View</v>
      </c>
      <c r="N1239" s="157"/>
      <c r="O1239" s="157"/>
      <c r="P1239" s="159" t="s">
        <v>4446</v>
      </c>
      <c r="Q1239" s="74" t="s">
        <v>2115</v>
      </c>
      <c r="R1239" s="74" t="s">
        <v>8690</v>
      </c>
      <c r="S1239" s="74" t="s">
        <v>8261</v>
      </c>
      <c r="T1239" s="157"/>
      <c r="U1239" s="159" t="s">
        <v>2129</v>
      </c>
      <c r="V1239" s="159" t="s">
        <v>2129</v>
      </c>
      <c r="W1239" s="159" t="s">
        <v>2138</v>
      </c>
      <c r="X1239" s="160">
        <v>1</v>
      </c>
      <c r="Y1239" s="160">
        <v>1</v>
      </c>
      <c r="Z1239" s="160">
        <v>1</v>
      </c>
      <c r="AA1239" s="160">
        <v>1</v>
      </c>
    </row>
    <row r="1240" spans="1:27" ht="18" customHeight="1" x14ac:dyDescent="0.25">
      <c r="A1240" s="159">
        <v>3229</v>
      </c>
      <c r="B1240" s="164" t="s">
        <v>266</v>
      </c>
      <c r="C1240" s="164" t="s">
        <v>286</v>
      </c>
      <c r="D1240" s="159" t="s">
        <v>289</v>
      </c>
      <c r="E1240" s="164" t="s">
        <v>287</v>
      </c>
      <c r="F1240" s="159"/>
      <c r="G1240" s="157" t="s">
        <v>1349</v>
      </c>
      <c r="H1240" s="157" t="s">
        <v>1350</v>
      </c>
      <c r="I1240" s="157" t="s">
        <v>1625</v>
      </c>
      <c r="J1240" s="157" t="s">
        <v>8295</v>
      </c>
      <c r="K1240" s="157" t="s">
        <v>1352</v>
      </c>
      <c r="L1240" s="157" t="s">
        <v>1628</v>
      </c>
      <c r="M1240" s="157" t="str">
        <f t="shared" si="29"/>
        <v>Camera_FFC3 - Long Range View</v>
      </c>
      <c r="N1240" s="157"/>
      <c r="O1240" s="157"/>
      <c r="P1240" s="159" t="s">
        <v>4446</v>
      </c>
      <c r="Q1240" s="74" t="s">
        <v>2115</v>
      </c>
      <c r="R1240" s="74" t="s">
        <v>8690</v>
      </c>
      <c r="S1240" s="74" t="s">
        <v>8261</v>
      </c>
      <c r="T1240" s="157"/>
      <c r="U1240" s="159" t="s">
        <v>2129</v>
      </c>
      <c r="V1240" s="159" t="s">
        <v>2129</v>
      </c>
      <c r="W1240" s="159" t="s">
        <v>2138</v>
      </c>
      <c r="X1240" s="160">
        <v>1</v>
      </c>
      <c r="Y1240" s="160">
        <v>1</v>
      </c>
      <c r="Z1240" s="160">
        <v>1</v>
      </c>
      <c r="AA1240" s="160">
        <v>1</v>
      </c>
    </row>
    <row r="1241" spans="1:27" ht="18" customHeight="1" x14ac:dyDescent="0.25">
      <c r="A1241" s="159">
        <v>3229</v>
      </c>
      <c r="B1241" s="164" t="s">
        <v>266</v>
      </c>
      <c r="C1241" s="164" t="s">
        <v>276</v>
      </c>
      <c r="D1241" s="159" t="s">
        <v>317</v>
      </c>
      <c r="E1241" s="164" t="s">
        <v>315</v>
      </c>
      <c r="F1241" s="159"/>
      <c r="G1241" s="157" t="s">
        <v>1349</v>
      </c>
      <c r="H1241" s="157" t="s">
        <v>1350</v>
      </c>
      <c r="I1241" s="157" t="s">
        <v>1625</v>
      </c>
      <c r="J1241" s="157" t="s">
        <v>8295</v>
      </c>
      <c r="K1241" s="157" t="s">
        <v>1352</v>
      </c>
      <c r="L1241" s="157" t="s">
        <v>1628</v>
      </c>
      <c r="M1241" s="157" t="str">
        <f t="shared" si="29"/>
        <v>Camera_FFC3 - Long Range View</v>
      </c>
      <c r="N1241" s="157"/>
      <c r="O1241" s="157"/>
      <c r="P1241" s="159" t="s">
        <v>4446</v>
      </c>
      <c r="Q1241" s="74" t="s">
        <v>2115</v>
      </c>
      <c r="R1241" s="74" t="s">
        <v>8690</v>
      </c>
      <c r="S1241" s="74" t="s">
        <v>8261</v>
      </c>
      <c r="T1241" s="157"/>
      <c r="U1241" s="159" t="s">
        <v>2129</v>
      </c>
      <c r="V1241" s="159" t="s">
        <v>2129</v>
      </c>
      <c r="W1241" s="159" t="s">
        <v>2138</v>
      </c>
      <c r="X1241" s="160">
        <v>1</v>
      </c>
      <c r="Y1241" s="160">
        <v>1</v>
      </c>
      <c r="Z1241" s="160">
        <v>1</v>
      </c>
      <c r="AA1241" s="160">
        <v>1</v>
      </c>
    </row>
    <row r="1242" spans="1:27" ht="18" customHeight="1" x14ac:dyDescent="0.25">
      <c r="A1242" s="159">
        <v>3229</v>
      </c>
      <c r="B1242" s="164" t="s">
        <v>266</v>
      </c>
      <c r="C1242" s="164" t="s">
        <v>276</v>
      </c>
      <c r="D1242" s="159" t="s">
        <v>726</v>
      </c>
      <c r="E1242" s="164" t="s">
        <v>724</v>
      </c>
      <c r="F1242" s="159"/>
      <c r="G1242" s="157" t="s">
        <v>1349</v>
      </c>
      <c r="H1242" s="157" t="s">
        <v>1350</v>
      </c>
      <c r="I1242" s="157" t="s">
        <v>1625</v>
      </c>
      <c r="J1242" s="157" t="s">
        <v>8295</v>
      </c>
      <c r="K1242" s="157" t="s">
        <v>1352</v>
      </c>
      <c r="L1242" s="157" t="s">
        <v>1628</v>
      </c>
      <c r="M1242" s="157" t="str">
        <f t="shared" si="29"/>
        <v>Camera_FFC3 - Long Range View</v>
      </c>
      <c r="N1242" s="157"/>
      <c r="O1242" s="157"/>
      <c r="P1242" s="159" t="s">
        <v>4446</v>
      </c>
      <c r="Q1242" s="74" t="s">
        <v>2115</v>
      </c>
      <c r="R1242" s="74" t="s">
        <v>8690</v>
      </c>
      <c r="S1242" s="74" t="s">
        <v>8261</v>
      </c>
      <c r="T1242" s="157"/>
      <c r="U1242" s="159" t="s">
        <v>2129</v>
      </c>
      <c r="V1242" s="159" t="s">
        <v>2129</v>
      </c>
      <c r="W1242" s="159" t="s">
        <v>2138</v>
      </c>
      <c r="X1242" s="160">
        <v>1</v>
      </c>
      <c r="Y1242" s="160">
        <v>1</v>
      </c>
      <c r="Z1242" s="160">
        <v>1</v>
      </c>
      <c r="AA1242" s="160">
        <v>1</v>
      </c>
    </row>
    <row r="1243" spans="1:27" ht="18" customHeight="1" x14ac:dyDescent="0.25">
      <c r="A1243" s="159">
        <v>3229</v>
      </c>
      <c r="B1243" s="164" t="s">
        <v>266</v>
      </c>
      <c r="C1243" s="164" t="s">
        <v>276</v>
      </c>
      <c r="D1243" s="159" t="s">
        <v>734</v>
      </c>
      <c r="E1243" s="164" t="s">
        <v>732</v>
      </c>
      <c r="F1243" s="159"/>
      <c r="G1243" s="157" t="s">
        <v>1349</v>
      </c>
      <c r="H1243" s="157" t="s">
        <v>1350</v>
      </c>
      <c r="I1243" s="157" t="s">
        <v>1625</v>
      </c>
      <c r="J1243" s="157" t="s">
        <v>8295</v>
      </c>
      <c r="K1243" s="157" t="s">
        <v>1352</v>
      </c>
      <c r="L1243" s="157" t="s">
        <v>1628</v>
      </c>
      <c r="M1243" s="157" t="str">
        <f t="shared" si="29"/>
        <v>Camera_FFC3 - Long Range View</v>
      </c>
      <c r="N1243" s="157"/>
      <c r="O1243" s="157"/>
      <c r="P1243" s="159" t="s">
        <v>4446</v>
      </c>
      <c r="Q1243" s="74" t="s">
        <v>2115</v>
      </c>
      <c r="R1243" s="74" t="s">
        <v>8690</v>
      </c>
      <c r="S1243" s="74" t="s">
        <v>8261</v>
      </c>
      <c r="T1243" s="157"/>
      <c r="U1243" s="159" t="s">
        <v>2129</v>
      </c>
      <c r="V1243" s="159" t="s">
        <v>2129</v>
      </c>
      <c r="W1243" s="159" t="s">
        <v>2138</v>
      </c>
      <c r="X1243" s="160">
        <v>1</v>
      </c>
      <c r="Y1243" s="160">
        <v>1</v>
      </c>
      <c r="Z1243" s="160">
        <v>1</v>
      </c>
      <c r="AA1243" s="160">
        <v>1</v>
      </c>
    </row>
    <row r="1244" spans="1:27" ht="18" customHeight="1" x14ac:dyDescent="0.25">
      <c r="A1244" s="159">
        <v>3229</v>
      </c>
      <c r="B1244" s="164" t="s">
        <v>266</v>
      </c>
      <c r="C1244" s="164" t="s">
        <v>294</v>
      </c>
      <c r="D1244" s="159" t="s">
        <v>297</v>
      </c>
      <c r="E1244" s="164" t="s">
        <v>295</v>
      </c>
      <c r="F1244" s="159"/>
      <c r="G1244" s="157" t="s">
        <v>1349</v>
      </c>
      <c r="H1244" s="157" t="s">
        <v>1350</v>
      </c>
      <c r="I1244" s="157" t="s">
        <v>1625</v>
      </c>
      <c r="J1244" s="157" t="s">
        <v>8295</v>
      </c>
      <c r="K1244" s="157" t="s">
        <v>1352</v>
      </c>
      <c r="L1244" s="157" t="s">
        <v>1628</v>
      </c>
      <c r="M1244" s="157" t="str">
        <f t="shared" si="29"/>
        <v>Camera_FFC3 - Long Range View</v>
      </c>
      <c r="N1244" s="157"/>
      <c r="O1244" s="157"/>
      <c r="P1244" s="159" t="s">
        <v>4446</v>
      </c>
      <c r="Q1244" s="74" t="s">
        <v>2115</v>
      </c>
      <c r="R1244" s="74" t="s">
        <v>8690</v>
      </c>
      <c r="S1244" s="74" t="s">
        <v>8261</v>
      </c>
      <c r="T1244" s="157"/>
      <c r="U1244" s="159" t="s">
        <v>2129</v>
      </c>
      <c r="V1244" s="159" t="s">
        <v>2129</v>
      </c>
      <c r="W1244" s="159" t="s">
        <v>2138</v>
      </c>
      <c r="X1244" s="160">
        <v>1</v>
      </c>
      <c r="Y1244" s="160">
        <v>1</v>
      </c>
      <c r="Z1244" s="160">
        <v>1</v>
      </c>
      <c r="AA1244" s="160">
        <v>1</v>
      </c>
    </row>
    <row r="1245" spans="1:27" ht="18" customHeight="1" x14ac:dyDescent="0.25">
      <c r="A1245" s="159">
        <v>3229</v>
      </c>
      <c r="B1245" s="164" t="s">
        <v>266</v>
      </c>
      <c r="C1245" s="164" t="s">
        <v>294</v>
      </c>
      <c r="D1245" s="159" t="s">
        <v>298</v>
      </c>
      <c r="E1245" s="164" t="s">
        <v>299</v>
      </c>
      <c r="F1245" s="159"/>
      <c r="G1245" s="157" t="s">
        <v>1349</v>
      </c>
      <c r="H1245" s="157" t="s">
        <v>1350</v>
      </c>
      <c r="I1245" s="157" t="s">
        <v>1625</v>
      </c>
      <c r="J1245" s="157" t="s">
        <v>8295</v>
      </c>
      <c r="K1245" s="157" t="s">
        <v>1352</v>
      </c>
      <c r="L1245" s="157" t="s">
        <v>1628</v>
      </c>
      <c r="M1245" s="157" t="str">
        <f t="shared" si="29"/>
        <v>Camera_FFC3 - Long Range View</v>
      </c>
      <c r="N1245" s="157"/>
      <c r="O1245" s="157"/>
      <c r="P1245" s="159" t="s">
        <v>4446</v>
      </c>
      <c r="Q1245" s="74" t="s">
        <v>2115</v>
      </c>
      <c r="R1245" s="74" t="s">
        <v>8690</v>
      </c>
      <c r="S1245" s="74" t="s">
        <v>8261</v>
      </c>
      <c r="T1245" s="157"/>
      <c r="U1245" s="159" t="s">
        <v>2129</v>
      </c>
      <c r="V1245" s="159" t="s">
        <v>2129</v>
      </c>
      <c r="W1245" s="159" t="s">
        <v>2138</v>
      </c>
      <c r="X1245" s="160">
        <v>1</v>
      </c>
      <c r="Y1245" s="160">
        <v>1</v>
      </c>
      <c r="Z1245" s="160">
        <v>1</v>
      </c>
      <c r="AA1245" s="160">
        <v>1</v>
      </c>
    </row>
    <row r="1246" spans="1:27" ht="18" customHeight="1" x14ac:dyDescent="0.25">
      <c r="A1246" s="159">
        <v>3229</v>
      </c>
      <c r="B1246" s="164" t="s">
        <v>266</v>
      </c>
      <c r="C1246" s="164" t="s">
        <v>294</v>
      </c>
      <c r="D1246" s="159" t="s">
        <v>503</v>
      </c>
      <c r="E1246" s="164" t="s">
        <v>501</v>
      </c>
      <c r="F1246" s="159"/>
      <c r="G1246" s="157" t="s">
        <v>1349</v>
      </c>
      <c r="H1246" s="157" t="s">
        <v>1350</v>
      </c>
      <c r="I1246" s="157" t="s">
        <v>1625</v>
      </c>
      <c r="J1246" s="157" t="s">
        <v>8295</v>
      </c>
      <c r="K1246" s="157" t="s">
        <v>1352</v>
      </c>
      <c r="L1246" s="157" t="s">
        <v>1628</v>
      </c>
      <c r="M1246" s="157" t="str">
        <f t="shared" si="29"/>
        <v>Camera_FFC3 - Long Range View</v>
      </c>
      <c r="N1246" s="157"/>
      <c r="O1246" s="157"/>
      <c r="P1246" s="159" t="s">
        <v>4446</v>
      </c>
      <c r="Q1246" s="74" t="s">
        <v>2115</v>
      </c>
      <c r="R1246" s="74" t="s">
        <v>8690</v>
      </c>
      <c r="S1246" s="74" t="s">
        <v>8261</v>
      </c>
      <c r="T1246" s="157"/>
      <c r="U1246" s="159" t="s">
        <v>2129</v>
      </c>
      <c r="V1246" s="159" t="s">
        <v>2129</v>
      </c>
      <c r="W1246" s="159" t="s">
        <v>2138</v>
      </c>
      <c r="X1246" s="160">
        <v>1</v>
      </c>
      <c r="Y1246" s="160">
        <v>1</v>
      </c>
      <c r="Z1246" s="160">
        <v>1</v>
      </c>
      <c r="AA1246" s="160">
        <v>1</v>
      </c>
    </row>
    <row r="1247" spans="1:27" ht="18" customHeight="1" x14ac:dyDescent="0.25">
      <c r="A1247" s="159">
        <v>3229</v>
      </c>
      <c r="B1247" s="164" t="s">
        <v>266</v>
      </c>
      <c r="C1247" s="164" t="s">
        <v>294</v>
      </c>
      <c r="D1247" s="159" t="s">
        <v>692</v>
      </c>
      <c r="E1247" s="164" t="s">
        <v>690</v>
      </c>
      <c r="F1247" s="159"/>
      <c r="G1247" s="157" t="s">
        <v>1349</v>
      </c>
      <c r="H1247" s="157" t="s">
        <v>1350</v>
      </c>
      <c r="I1247" s="157" t="s">
        <v>1625</v>
      </c>
      <c r="J1247" s="157" t="s">
        <v>8295</v>
      </c>
      <c r="K1247" s="157" t="s">
        <v>1352</v>
      </c>
      <c r="L1247" s="157" t="s">
        <v>1628</v>
      </c>
      <c r="M1247" s="157" t="str">
        <f t="shared" si="29"/>
        <v>Camera_FFC3 - Long Range View</v>
      </c>
      <c r="N1247" s="157"/>
      <c r="O1247" s="157"/>
      <c r="P1247" s="159" t="s">
        <v>4446</v>
      </c>
      <c r="Q1247" s="74" t="s">
        <v>2115</v>
      </c>
      <c r="R1247" s="74" t="s">
        <v>8690</v>
      </c>
      <c r="S1247" s="74" t="s">
        <v>8261</v>
      </c>
      <c r="T1247" s="157"/>
      <c r="U1247" s="159" t="s">
        <v>2129</v>
      </c>
      <c r="V1247" s="159" t="s">
        <v>2129</v>
      </c>
      <c r="W1247" s="159" t="s">
        <v>2138</v>
      </c>
      <c r="X1247" s="160">
        <v>1</v>
      </c>
      <c r="Y1247" s="160">
        <v>1</v>
      </c>
      <c r="Z1247" s="160">
        <v>1</v>
      </c>
      <c r="AA1247" s="160">
        <v>1</v>
      </c>
    </row>
    <row r="1248" spans="1:27" ht="18" customHeight="1" x14ac:dyDescent="0.25">
      <c r="A1248" s="159">
        <v>3229</v>
      </c>
      <c r="B1248" s="164" t="s">
        <v>266</v>
      </c>
      <c r="C1248" s="164" t="s">
        <v>294</v>
      </c>
      <c r="D1248" s="159" t="s">
        <v>1177</v>
      </c>
      <c r="E1248" s="164" t="s">
        <v>1175</v>
      </c>
      <c r="F1248" s="159"/>
      <c r="G1248" s="157" t="s">
        <v>1349</v>
      </c>
      <c r="H1248" s="157" t="s">
        <v>1350</v>
      </c>
      <c r="I1248" s="157" t="s">
        <v>1625</v>
      </c>
      <c r="J1248" s="157" t="s">
        <v>8295</v>
      </c>
      <c r="K1248" s="157" t="s">
        <v>1352</v>
      </c>
      <c r="L1248" s="157" t="s">
        <v>1628</v>
      </c>
      <c r="M1248" s="157" t="str">
        <f t="shared" si="29"/>
        <v>Camera_FFC3 - Long Range View</v>
      </c>
      <c r="N1248" s="157"/>
      <c r="O1248" s="157"/>
      <c r="P1248" s="159" t="s">
        <v>4446</v>
      </c>
      <c r="Q1248" s="74" t="s">
        <v>2115</v>
      </c>
      <c r="R1248" s="74" t="s">
        <v>8690</v>
      </c>
      <c r="S1248" s="74" t="s">
        <v>8261</v>
      </c>
      <c r="T1248" s="157"/>
      <c r="U1248" s="159" t="s">
        <v>2129</v>
      </c>
      <c r="V1248" s="159" t="s">
        <v>2129</v>
      </c>
      <c r="W1248" s="159" t="s">
        <v>2138</v>
      </c>
      <c r="X1248" s="160">
        <v>1</v>
      </c>
      <c r="Y1248" s="160">
        <v>1</v>
      </c>
      <c r="Z1248" s="160">
        <v>1</v>
      </c>
      <c r="AA1248" s="160">
        <v>1</v>
      </c>
    </row>
    <row r="1249" spans="1:27" ht="18" customHeight="1" x14ac:dyDescent="0.25">
      <c r="A1249" s="159">
        <v>3229</v>
      </c>
      <c r="B1249" s="164" t="s">
        <v>266</v>
      </c>
      <c r="C1249" s="164" t="s">
        <v>294</v>
      </c>
      <c r="D1249" s="159" t="s">
        <v>1178</v>
      </c>
      <c r="E1249" s="164" t="s">
        <v>1179</v>
      </c>
      <c r="F1249" s="159"/>
      <c r="G1249" s="157" t="s">
        <v>1349</v>
      </c>
      <c r="H1249" s="157" t="s">
        <v>1350</v>
      </c>
      <c r="I1249" s="157" t="s">
        <v>1625</v>
      </c>
      <c r="J1249" s="157" t="s">
        <v>8295</v>
      </c>
      <c r="K1249" s="157" t="s">
        <v>1352</v>
      </c>
      <c r="L1249" s="157" t="s">
        <v>1628</v>
      </c>
      <c r="M1249" s="157" t="str">
        <f t="shared" si="29"/>
        <v>Camera_FFC3 - Long Range View</v>
      </c>
      <c r="N1249" s="157"/>
      <c r="O1249" s="157"/>
      <c r="P1249" s="159" t="s">
        <v>4446</v>
      </c>
      <c r="Q1249" s="74" t="s">
        <v>2115</v>
      </c>
      <c r="R1249" s="74" t="s">
        <v>8690</v>
      </c>
      <c r="S1249" s="74" t="s">
        <v>8261</v>
      </c>
      <c r="T1249" s="157"/>
      <c r="U1249" s="159" t="s">
        <v>2129</v>
      </c>
      <c r="V1249" s="159" t="s">
        <v>2129</v>
      </c>
      <c r="W1249" s="159" t="s">
        <v>2138</v>
      </c>
      <c r="X1249" s="160">
        <v>1</v>
      </c>
      <c r="Y1249" s="160">
        <v>1</v>
      </c>
      <c r="Z1249" s="160">
        <v>1</v>
      </c>
      <c r="AA1249" s="160">
        <v>1</v>
      </c>
    </row>
    <row r="1250" spans="1:27" ht="18" customHeight="1" x14ac:dyDescent="0.25">
      <c r="A1250" s="159">
        <v>3229</v>
      </c>
      <c r="B1250" s="164" t="s">
        <v>266</v>
      </c>
      <c r="C1250" s="164" t="s">
        <v>294</v>
      </c>
      <c r="D1250" s="159" t="s">
        <v>1207</v>
      </c>
      <c r="E1250" s="164" t="s">
        <v>1205</v>
      </c>
      <c r="F1250" s="159"/>
      <c r="G1250" s="157" t="s">
        <v>1349</v>
      </c>
      <c r="H1250" s="157" t="s">
        <v>1350</v>
      </c>
      <c r="I1250" s="157" t="s">
        <v>1625</v>
      </c>
      <c r="J1250" s="157" t="s">
        <v>8295</v>
      </c>
      <c r="K1250" s="157" t="s">
        <v>1352</v>
      </c>
      <c r="L1250" s="157" t="s">
        <v>1628</v>
      </c>
      <c r="M1250" s="157" t="str">
        <f t="shared" si="29"/>
        <v>Camera_FFC3 - Long Range View</v>
      </c>
      <c r="N1250" s="157"/>
      <c r="O1250" s="157"/>
      <c r="P1250" s="159" t="s">
        <v>4446</v>
      </c>
      <c r="Q1250" s="74" t="s">
        <v>2115</v>
      </c>
      <c r="R1250" s="74" t="s">
        <v>8690</v>
      </c>
      <c r="S1250" s="74" t="s">
        <v>8261</v>
      </c>
      <c r="T1250" s="157"/>
      <c r="U1250" s="159" t="s">
        <v>2129</v>
      </c>
      <c r="V1250" s="159" t="s">
        <v>2129</v>
      </c>
      <c r="W1250" s="159" t="s">
        <v>2138</v>
      </c>
      <c r="X1250" s="160">
        <v>1</v>
      </c>
      <c r="Y1250" s="160">
        <v>1</v>
      </c>
      <c r="Z1250" s="160">
        <v>1</v>
      </c>
      <c r="AA1250" s="160">
        <v>1</v>
      </c>
    </row>
    <row r="1251" spans="1:27" ht="18" customHeight="1" x14ac:dyDescent="0.25">
      <c r="A1251" s="159">
        <v>3229</v>
      </c>
      <c r="B1251" s="164" t="s">
        <v>266</v>
      </c>
      <c r="C1251" s="164" t="s">
        <v>514</v>
      </c>
      <c r="D1251" s="159" t="s">
        <v>517</v>
      </c>
      <c r="E1251" s="164" t="s">
        <v>515</v>
      </c>
      <c r="F1251" s="159"/>
      <c r="G1251" s="157" t="s">
        <v>1349</v>
      </c>
      <c r="H1251" s="157" t="s">
        <v>1350</v>
      </c>
      <c r="I1251" s="157" t="s">
        <v>1625</v>
      </c>
      <c r="J1251" s="157" t="s">
        <v>8295</v>
      </c>
      <c r="K1251" s="157" t="s">
        <v>1352</v>
      </c>
      <c r="L1251" s="157" t="s">
        <v>1628</v>
      </c>
      <c r="M1251" s="157" t="str">
        <f t="shared" si="29"/>
        <v>Camera_FFC3 - Long Range View</v>
      </c>
      <c r="N1251" s="157"/>
      <c r="O1251" s="157"/>
      <c r="P1251" s="159" t="s">
        <v>4446</v>
      </c>
      <c r="Q1251" s="74" t="s">
        <v>2115</v>
      </c>
      <c r="R1251" s="74" t="s">
        <v>8690</v>
      </c>
      <c r="S1251" s="74" t="s">
        <v>8261</v>
      </c>
      <c r="T1251" s="157"/>
      <c r="U1251" s="159" t="s">
        <v>2129</v>
      </c>
      <c r="V1251" s="159" t="s">
        <v>2129</v>
      </c>
      <c r="W1251" s="159" t="s">
        <v>2138</v>
      </c>
      <c r="X1251" s="160">
        <v>1</v>
      </c>
      <c r="Y1251" s="160">
        <v>1</v>
      </c>
      <c r="Z1251" s="160">
        <v>1</v>
      </c>
      <c r="AA1251" s="160">
        <v>1</v>
      </c>
    </row>
    <row r="1252" spans="1:27" ht="18" customHeight="1" x14ac:dyDescent="0.25">
      <c r="A1252" s="159">
        <v>3229</v>
      </c>
      <c r="B1252" s="164" t="s">
        <v>266</v>
      </c>
      <c r="C1252" s="164" t="s">
        <v>514</v>
      </c>
      <c r="D1252" s="159" t="s">
        <v>730</v>
      </c>
      <c r="E1252" s="164" t="s">
        <v>728</v>
      </c>
      <c r="F1252" s="159"/>
      <c r="G1252" s="157" t="s">
        <v>1349</v>
      </c>
      <c r="H1252" s="157" t="s">
        <v>1350</v>
      </c>
      <c r="I1252" s="157" t="s">
        <v>1625</v>
      </c>
      <c r="J1252" s="157" t="s">
        <v>8295</v>
      </c>
      <c r="K1252" s="157" t="s">
        <v>1352</v>
      </c>
      <c r="L1252" s="157" t="s">
        <v>1628</v>
      </c>
      <c r="M1252" s="157" t="str">
        <f t="shared" si="29"/>
        <v>Camera_FFC3 - Long Range View</v>
      </c>
      <c r="N1252" s="157"/>
      <c r="O1252" s="157"/>
      <c r="P1252" s="159" t="s">
        <v>4446</v>
      </c>
      <c r="Q1252" s="74" t="s">
        <v>2115</v>
      </c>
      <c r="R1252" s="74" t="s">
        <v>8690</v>
      </c>
      <c r="S1252" s="74" t="s">
        <v>8261</v>
      </c>
      <c r="T1252" s="157"/>
      <c r="U1252" s="159" t="s">
        <v>2129</v>
      </c>
      <c r="V1252" s="159" t="s">
        <v>2129</v>
      </c>
      <c r="W1252" s="159" t="s">
        <v>2138</v>
      </c>
      <c r="X1252" s="160">
        <v>1</v>
      </c>
      <c r="Y1252" s="160">
        <v>1</v>
      </c>
      <c r="Z1252" s="160">
        <v>1</v>
      </c>
      <c r="AA1252" s="160">
        <v>1</v>
      </c>
    </row>
    <row r="1253" spans="1:27" ht="18" customHeight="1" x14ac:dyDescent="0.25">
      <c r="A1253" s="159">
        <v>3229</v>
      </c>
      <c r="B1253" s="164" t="s">
        <v>266</v>
      </c>
      <c r="C1253" s="164" t="s">
        <v>514</v>
      </c>
      <c r="D1253" s="159" t="s">
        <v>793</v>
      </c>
      <c r="E1253" s="164" t="s">
        <v>791</v>
      </c>
      <c r="F1253" s="159"/>
      <c r="G1253" s="157" t="s">
        <v>1349</v>
      </c>
      <c r="H1253" s="157" t="s">
        <v>1350</v>
      </c>
      <c r="I1253" s="157" t="s">
        <v>1625</v>
      </c>
      <c r="J1253" s="157" t="s">
        <v>8295</v>
      </c>
      <c r="K1253" s="157" t="s">
        <v>1352</v>
      </c>
      <c r="L1253" s="157" t="s">
        <v>1628</v>
      </c>
      <c r="M1253" s="157" t="str">
        <f t="shared" si="29"/>
        <v>Camera_FFC3 - Long Range View</v>
      </c>
      <c r="N1253" s="157"/>
      <c r="O1253" s="157"/>
      <c r="P1253" s="159" t="s">
        <v>4446</v>
      </c>
      <c r="Q1253" s="74" t="s">
        <v>2115</v>
      </c>
      <c r="R1253" s="74" t="s">
        <v>8690</v>
      </c>
      <c r="S1253" s="74" t="s">
        <v>8261</v>
      </c>
      <c r="T1253" s="157"/>
      <c r="U1253" s="159" t="s">
        <v>2129</v>
      </c>
      <c r="V1253" s="159" t="s">
        <v>2129</v>
      </c>
      <c r="W1253" s="159" t="s">
        <v>2138</v>
      </c>
      <c r="X1253" s="160">
        <v>1</v>
      </c>
      <c r="Y1253" s="160">
        <v>1</v>
      </c>
      <c r="Z1253" s="160">
        <v>1</v>
      </c>
      <c r="AA1253" s="160">
        <v>1</v>
      </c>
    </row>
    <row r="1254" spans="1:27" ht="18" customHeight="1" x14ac:dyDescent="0.25">
      <c r="A1254" s="159">
        <v>3229</v>
      </c>
      <c r="B1254" s="164" t="s">
        <v>266</v>
      </c>
      <c r="C1254" s="164" t="s">
        <v>514</v>
      </c>
      <c r="D1254" s="159" t="s">
        <v>731</v>
      </c>
      <c r="E1254" s="164" t="s">
        <v>795</v>
      </c>
      <c r="F1254" s="159"/>
      <c r="G1254" s="157" t="s">
        <v>1349</v>
      </c>
      <c r="H1254" s="157" t="s">
        <v>1350</v>
      </c>
      <c r="I1254" s="157" t="s">
        <v>1625</v>
      </c>
      <c r="J1254" s="157" t="s">
        <v>8295</v>
      </c>
      <c r="K1254" s="157" t="s">
        <v>1352</v>
      </c>
      <c r="L1254" s="157" t="s">
        <v>1628</v>
      </c>
      <c r="M1254" s="157" t="str">
        <f t="shared" si="29"/>
        <v>Camera_FFC3 - Long Range View</v>
      </c>
      <c r="N1254" s="157"/>
      <c r="O1254" s="157"/>
      <c r="P1254" s="159" t="s">
        <v>4446</v>
      </c>
      <c r="Q1254" s="74" t="s">
        <v>2115</v>
      </c>
      <c r="R1254" s="74" t="s">
        <v>8690</v>
      </c>
      <c r="S1254" s="74" t="s">
        <v>8261</v>
      </c>
      <c r="T1254" s="157"/>
      <c r="U1254" s="159" t="s">
        <v>2129</v>
      </c>
      <c r="V1254" s="159" t="s">
        <v>2129</v>
      </c>
      <c r="W1254" s="159" t="s">
        <v>2138</v>
      </c>
      <c r="X1254" s="160">
        <v>1</v>
      </c>
      <c r="Y1254" s="160">
        <v>1</v>
      </c>
      <c r="Z1254" s="160">
        <v>1</v>
      </c>
      <c r="AA1254" s="160">
        <v>1</v>
      </c>
    </row>
    <row r="1255" spans="1:27" ht="18" customHeight="1" x14ac:dyDescent="0.25">
      <c r="A1255" s="159">
        <v>3229</v>
      </c>
      <c r="B1255" s="164" t="s">
        <v>266</v>
      </c>
      <c r="C1255" s="164" t="s">
        <v>514</v>
      </c>
      <c r="D1255" s="159" t="s">
        <v>1170</v>
      </c>
      <c r="E1255" s="164" t="s">
        <v>1168</v>
      </c>
      <c r="F1255" s="159"/>
      <c r="G1255" s="157" t="s">
        <v>1349</v>
      </c>
      <c r="H1255" s="157" t="s">
        <v>1350</v>
      </c>
      <c r="I1255" s="157" t="s">
        <v>1625</v>
      </c>
      <c r="J1255" s="157" t="s">
        <v>8295</v>
      </c>
      <c r="K1255" s="157" t="s">
        <v>1352</v>
      </c>
      <c r="L1255" s="157" t="s">
        <v>1628</v>
      </c>
      <c r="M1255" s="157" t="str">
        <f t="shared" si="29"/>
        <v>Camera_FFC3 - Long Range View</v>
      </c>
      <c r="N1255" s="157"/>
      <c r="O1255" s="157"/>
      <c r="P1255" s="159" t="s">
        <v>4446</v>
      </c>
      <c r="Q1255" s="74" t="s">
        <v>2115</v>
      </c>
      <c r="R1255" s="74" t="s">
        <v>8690</v>
      </c>
      <c r="S1255" s="74" t="s">
        <v>8261</v>
      </c>
      <c r="T1255" s="157"/>
      <c r="U1255" s="159" t="s">
        <v>2129</v>
      </c>
      <c r="V1255" s="159" t="s">
        <v>2129</v>
      </c>
      <c r="W1255" s="159" t="s">
        <v>2138</v>
      </c>
      <c r="X1255" s="160">
        <v>1</v>
      </c>
      <c r="Y1255" s="160">
        <v>1</v>
      </c>
      <c r="Z1255" s="160">
        <v>1</v>
      </c>
      <c r="AA1255" s="160">
        <v>1</v>
      </c>
    </row>
    <row r="1256" spans="1:27" ht="18" customHeight="1" x14ac:dyDescent="0.25">
      <c r="A1256" s="159">
        <v>3229</v>
      </c>
      <c r="B1256" s="164" t="s">
        <v>266</v>
      </c>
      <c r="C1256" s="164" t="s">
        <v>514</v>
      </c>
      <c r="D1256" s="159" t="s">
        <v>1171</v>
      </c>
      <c r="E1256" s="164" t="s">
        <v>1223</v>
      </c>
      <c r="F1256" s="159"/>
      <c r="G1256" s="157" t="s">
        <v>1349</v>
      </c>
      <c r="H1256" s="157" t="s">
        <v>1350</v>
      </c>
      <c r="I1256" s="157" t="s">
        <v>1625</v>
      </c>
      <c r="J1256" s="157" t="s">
        <v>8295</v>
      </c>
      <c r="K1256" s="157" t="s">
        <v>1352</v>
      </c>
      <c r="L1256" s="157" t="s">
        <v>1628</v>
      </c>
      <c r="M1256" s="157" t="str">
        <f t="shared" si="29"/>
        <v>Camera_FFC3 - Long Range View</v>
      </c>
      <c r="N1256" s="157"/>
      <c r="O1256" s="157"/>
      <c r="P1256" s="159" t="s">
        <v>4446</v>
      </c>
      <c r="Q1256" s="74" t="s">
        <v>2115</v>
      </c>
      <c r="R1256" s="74" t="s">
        <v>8690</v>
      </c>
      <c r="S1256" s="74" t="s">
        <v>8261</v>
      </c>
      <c r="T1256" s="157"/>
      <c r="U1256" s="159" t="s">
        <v>2129</v>
      </c>
      <c r="V1256" s="159" t="s">
        <v>2129</v>
      </c>
      <c r="W1256" s="159" t="s">
        <v>2138</v>
      </c>
      <c r="X1256" s="160">
        <v>1</v>
      </c>
      <c r="Y1256" s="160">
        <v>1</v>
      </c>
      <c r="Z1256" s="160">
        <v>1</v>
      </c>
      <c r="AA1256" s="160">
        <v>1</v>
      </c>
    </row>
    <row r="1257" spans="1:27" ht="18" customHeight="1" x14ac:dyDescent="0.25">
      <c r="A1257" s="159">
        <v>3229</v>
      </c>
      <c r="B1257" s="164" t="s">
        <v>266</v>
      </c>
      <c r="C1257" s="164" t="s">
        <v>519</v>
      </c>
      <c r="D1257" s="159" t="s">
        <v>522</v>
      </c>
      <c r="E1257" s="164" t="s">
        <v>520</v>
      </c>
      <c r="F1257" s="159"/>
      <c r="G1257" s="157" t="s">
        <v>1349</v>
      </c>
      <c r="H1257" s="157" t="s">
        <v>1350</v>
      </c>
      <c r="I1257" s="157" t="s">
        <v>1625</v>
      </c>
      <c r="J1257" s="157" t="s">
        <v>8295</v>
      </c>
      <c r="K1257" s="157" t="s">
        <v>1352</v>
      </c>
      <c r="L1257" s="157" t="s">
        <v>1628</v>
      </c>
      <c r="M1257" s="157" t="str">
        <f t="shared" si="29"/>
        <v>Camera_FFC3 - Long Range View</v>
      </c>
      <c r="N1257" s="157"/>
      <c r="O1257" s="157"/>
      <c r="P1257" s="159" t="s">
        <v>4446</v>
      </c>
      <c r="Q1257" s="74" t="s">
        <v>2115</v>
      </c>
      <c r="R1257" s="74" t="s">
        <v>8690</v>
      </c>
      <c r="S1257" s="74" t="s">
        <v>8261</v>
      </c>
      <c r="T1257" s="157"/>
      <c r="U1257" s="159" t="s">
        <v>2129</v>
      </c>
      <c r="V1257" s="159" t="s">
        <v>2129</v>
      </c>
      <c r="W1257" s="159" t="s">
        <v>2138</v>
      </c>
      <c r="X1257" s="160">
        <v>1</v>
      </c>
      <c r="Y1257" s="160">
        <v>1</v>
      </c>
      <c r="Z1257" s="160">
        <v>1</v>
      </c>
      <c r="AA1257" s="160">
        <v>1</v>
      </c>
    </row>
    <row r="1258" spans="1:27" ht="18" customHeight="1" x14ac:dyDescent="0.25">
      <c r="A1258" s="159">
        <v>3229</v>
      </c>
      <c r="B1258" s="164" t="s">
        <v>266</v>
      </c>
      <c r="C1258" s="164" t="s">
        <v>519</v>
      </c>
      <c r="D1258" s="159" t="s">
        <v>526</v>
      </c>
      <c r="E1258" s="164" t="s">
        <v>524</v>
      </c>
      <c r="F1258" s="159"/>
      <c r="G1258" s="157" t="s">
        <v>1349</v>
      </c>
      <c r="H1258" s="157" t="s">
        <v>1350</v>
      </c>
      <c r="I1258" s="157" t="s">
        <v>1625</v>
      </c>
      <c r="J1258" s="157" t="s">
        <v>8295</v>
      </c>
      <c r="K1258" s="157" t="s">
        <v>1352</v>
      </c>
      <c r="L1258" s="157" t="s">
        <v>1628</v>
      </c>
      <c r="M1258" s="157" t="str">
        <f t="shared" si="29"/>
        <v>Camera_FFC3 - Long Range View</v>
      </c>
      <c r="N1258" s="157"/>
      <c r="O1258" s="157"/>
      <c r="P1258" s="159" t="s">
        <v>4446</v>
      </c>
      <c r="Q1258" s="74" t="s">
        <v>2115</v>
      </c>
      <c r="R1258" s="74" t="s">
        <v>8690</v>
      </c>
      <c r="S1258" s="74" t="s">
        <v>8261</v>
      </c>
      <c r="T1258" s="157"/>
      <c r="U1258" s="159" t="s">
        <v>2129</v>
      </c>
      <c r="V1258" s="159" t="s">
        <v>2129</v>
      </c>
      <c r="W1258" s="159" t="s">
        <v>2138</v>
      </c>
      <c r="X1258" s="160">
        <v>1</v>
      </c>
      <c r="Y1258" s="160">
        <v>1</v>
      </c>
      <c r="Z1258" s="160">
        <v>1</v>
      </c>
      <c r="AA1258" s="160">
        <v>1</v>
      </c>
    </row>
    <row r="1259" spans="1:27" ht="18" customHeight="1" x14ac:dyDescent="0.25">
      <c r="A1259" s="159">
        <v>3229</v>
      </c>
      <c r="B1259" s="164" t="s">
        <v>266</v>
      </c>
      <c r="C1259" s="164" t="s">
        <v>519</v>
      </c>
      <c r="D1259" s="159" t="s">
        <v>530</v>
      </c>
      <c r="E1259" s="164" t="s">
        <v>528</v>
      </c>
      <c r="F1259" s="159"/>
      <c r="G1259" s="157" t="s">
        <v>1349</v>
      </c>
      <c r="H1259" s="157" t="s">
        <v>1350</v>
      </c>
      <c r="I1259" s="157" t="s">
        <v>1625</v>
      </c>
      <c r="J1259" s="157" t="s">
        <v>8295</v>
      </c>
      <c r="K1259" s="157" t="s">
        <v>1352</v>
      </c>
      <c r="L1259" s="157" t="s">
        <v>1628</v>
      </c>
      <c r="M1259" s="157" t="str">
        <f t="shared" si="29"/>
        <v>Camera_FFC3 - Long Range View</v>
      </c>
      <c r="N1259" s="157"/>
      <c r="O1259" s="157"/>
      <c r="P1259" s="159" t="s">
        <v>4446</v>
      </c>
      <c r="Q1259" s="74" t="s">
        <v>2115</v>
      </c>
      <c r="R1259" s="74" t="s">
        <v>8690</v>
      </c>
      <c r="S1259" s="74" t="s">
        <v>8261</v>
      </c>
      <c r="T1259" s="157"/>
      <c r="U1259" s="159" t="s">
        <v>2129</v>
      </c>
      <c r="V1259" s="159" t="s">
        <v>2129</v>
      </c>
      <c r="W1259" s="159" t="s">
        <v>2138</v>
      </c>
      <c r="X1259" s="160">
        <v>1</v>
      </c>
      <c r="Y1259" s="160">
        <v>1</v>
      </c>
      <c r="Z1259" s="160">
        <v>1</v>
      </c>
      <c r="AA1259" s="160">
        <v>1</v>
      </c>
    </row>
    <row r="1260" spans="1:27" ht="18" customHeight="1" x14ac:dyDescent="0.25">
      <c r="A1260" s="159">
        <v>3229</v>
      </c>
      <c r="B1260" s="164" t="s">
        <v>266</v>
      </c>
      <c r="C1260" s="164" t="s">
        <v>519</v>
      </c>
      <c r="D1260" s="159" t="s">
        <v>787</v>
      </c>
      <c r="E1260" s="164" t="s">
        <v>785</v>
      </c>
      <c r="F1260" s="159"/>
      <c r="G1260" s="157" t="s">
        <v>1349</v>
      </c>
      <c r="H1260" s="157" t="s">
        <v>1350</v>
      </c>
      <c r="I1260" s="157" t="s">
        <v>1625</v>
      </c>
      <c r="J1260" s="157" t="s">
        <v>8295</v>
      </c>
      <c r="K1260" s="157" t="s">
        <v>1352</v>
      </c>
      <c r="L1260" s="157" t="s">
        <v>1628</v>
      </c>
      <c r="M1260" s="157" t="str">
        <f t="shared" si="29"/>
        <v>Camera_FFC3 - Long Range View</v>
      </c>
      <c r="N1260" s="157"/>
      <c r="O1260" s="157"/>
      <c r="P1260" s="159" t="s">
        <v>4446</v>
      </c>
      <c r="Q1260" s="74" t="s">
        <v>2115</v>
      </c>
      <c r="R1260" s="74" t="s">
        <v>8690</v>
      </c>
      <c r="S1260" s="74" t="s">
        <v>8261</v>
      </c>
      <c r="T1260" s="157"/>
      <c r="U1260" s="159" t="s">
        <v>2129</v>
      </c>
      <c r="V1260" s="159" t="s">
        <v>2129</v>
      </c>
      <c r="W1260" s="159" t="s">
        <v>2138</v>
      </c>
      <c r="X1260" s="160">
        <v>1</v>
      </c>
      <c r="Y1260" s="160">
        <v>1</v>
      </c>
      <c r="Z1260" s="160">
        <v>1</v>
      </c>
      <c r="AA1260" s="160">
        <v>1</v>
      </c>
    </row>
    <row r="1261" spans="1:27" ht="18" customHeight="1" x14ac:dyDescent="0.25">
      <c r="A1261" s="159">
        <v>3229</v>
      </c>
      <c r="B1261" s="164" t="s">
        <v>266</v>
      </c>
      <c r="C1261" s="164" t="s">
        <v>519</v>
      </c>
      <c r="D1261" s="159" t="s">
        <v>935</v>
      </c>
      <c r="E1261" s="164" t="s">
        <v>933</v>
      </c>
      <c r="F1261" s="159"/>
      <c r="G1261" s="157" t="s">
        <v>1349</v>
      </c>
      <c r="H1261" s="157" t="s">
        <v>1350</v>
      </c>
      <c r="I1261" s="157" t="s">
        <v>1625</v>
      </c>
      <c r="J1261" s="157" t="s">
        <v>8295</v>
      </c>
      <c r="K1261" s="157" t="s">
        <v>1352</v>
      </c>
      <c r="L1261" s="157" t="s">
        <v>1628</v>
      </c>
      <c r="M1261" s="157" t="str">
        <f t="shared" si="29"/>
        <v>Camera_FFC3 - Long Range View</v>
      </c>
      <c r="N1261" s="157"/>
      <c r="O1261" s="157"/>
      <c r="P1261" s="159" t="s">
        <v>4446</v>
      </c>
      <c r="Q1261" s="74" t="s">
        <v>2115</v>
      </c>
      <c r="R1261" s="74" t="s">
        <v>8690</v>
      </c>
      <c r="S1261" s="74" t="s">
        <v>8261</v>
      </c>
      <c r="T1261" s="157"/>
      <c r="U1261" s="159" t="s">
        <v>2129</v>
      </c>
      <c r="V1261" s="159" t="s">
        <v>2129</v>
      </c>
      <c r="W1261" s="159" t="s">
        <v>2138</v>
      </c>
      <c r="X1261" s="160">
        <v>1</v>
      </c>
      <c r="Y1261" s="160">
        <v>1</v>
      </c>
      <c r="Z1261" s="160">
        <v>1</v>
      </c>
      <c r="AA1261" s="160">
        <v>1</v>
      </c>
    </row>
    <row r="1262" spans="1:27" ht="18" customHeight="1" x14ac:dyDescent="0.25">
      <c r="A1262" s="159">
        <v>3229</v>
      </c>
      <c r="B1262" s="164" t="s">
        <v>266</v>
      </c>
      <c r="C1262" s="164" t="s">
        <v>519</v>
      </c>
      <c r="D1262" s="159" t="s">
        <v>1151</v>
      </c>
      <c r="E1262" s="164" t="s">
        <v>1149</v>
      </c>
      <c r="F1262" s="159"/>
      <c r="G1262" s="157" t="s">
        <v>1349</v>
      </c>
      <c r="H1262" s="157" t="s">
        <v>1350</v>
      </c>
      <c r="I1262" s="157" t="s">
        <v>1625</v>
      </c>
      <c r="J1262" s="157" t="s">
        <v>8295</v>
      </c>
      <c r="K1262" s="157" t="s">
        <v>1352</v>
      </c>
      <c r="L1262" s="157" t="s">
        <v>1628</v>
      </c>
      <c r="M1262" s="157" t="str">
        <f t="shared" si="29"/>
        <v>Camera_FFC3 - Long Range View</v>
      </c>
      <c r="N1262" s="157"/>
      <c r="O1262" s="157"/>
      <c r="P1262" s="159" t="s">
        <v>4446</v>
      </c>
      <c r="Q1262" s="74" t="s">
        <v>2115</v>
      </c>
      <c r="R1262" s="74" t="s">
        <v>8690</v>
      </c>
      <c r="S1262" s="74" t="s">
        <v>8261</v>
      </c>
      <c r="T1262" s="157"/>
      <c r="U1262" s="159" t="s">
        <v>2129</v>
      </c>
      <c r="V1262" s="159" t="s">
        <v>2129</v>
      </c>
      <c r="W1262" s="159" t="s">
        <v>2138</v>
      </c>
      <c r="X1262" s="160">
        <v>1</v>
      </c>
      <c r="Y1262" s="160">
        <v>1</v>
      </c>
      <c r="Z1262" s="160">
        <v>1</v>
      </c>
      <c r="AA1262" s="160">
        <v>1</v>
      </c>
    </row>
    <row r="1263" spans="1:27" ht="18" customHeight="1" x14ac:dyDescent="0.25">
      <c r="A1263" s="159">
        <v>3229</v>
      </c>
      <c r="B1263" s="164" t="s">
        <v>266</v>
      </c>
      <c r="C1263" s="164" t="s">
        <v>519</v>
      </c>
      <c r="D1263" s="159" t="s">
        <v>1159</v>
      </c>
      <c r="E1263" s="164" t="s">
        <v>1157</v>
      </c>
      <c r="F1263" s="159"/>
      <c r="G1263" s="157" t="s">
        <v>1349</v>
      </c>
      <c r="H1263" s="157" t="s">
        <v>1350</v>
      </c>
      <c r="I1263" s="157" t="s">
        <v>1625</v>
      </c>
      <c r="J1263" s="157" t="s">
        <v>8295</v>
      </c>
      <c r="K1263" s="157" t="s">
        <v>1352</v>
      </c>
      <c r="L1263" s="157" t="s">
        <v>1628</v>
      </c>
      <c r="M1263" s="157" t="str">
        <f t="shared" si="29"/>
        <v>Camera_FFC3 - Long Range View</v>
      </c>
      <c r="N1263" s="157"/>
      <c r="O1263" s="157"/>
      <c r="P1263" s="159" t="s">
        <v>4446</v>
      </c>
      <c r="Q1263" s="74" t="s">
        <v>2115</v>
      </c>
      <c r="R1263" s="74" t="s">
        <v>8690</v>
      </c>
      <c r="S1263" s="74" t="s">
        <v>8261</v>
      </c>
      <c r="T1263" s="157"/>
      <c r="U1263" s="159" t="s">
        <v>2129</v>
      </c>
      <c r="V1263" s="159" t="s">
        <v>2129</v>
      </c>
      <c r="W1263" s="159" t="s">
        <v>2138</v>
      </c>
      <c r="X1263" s="160">
        <v>1</v>
      </c>
      <c r="Y1263" s="160">
        <v>1</v>
      </c>
      <c r="Z1263" s="160">
        <v>1</v>
      </c>
      <c r="AA1263" s="160">
        <v>1</v>
      </c>
    </row>
    <row r="1264" spans="1:27" ht="18" customHeight="1" x14ac:dyDescent="0.25">
      <c r="A1264" s="159">
        <v>3230</v>
      </c>
      <c r="B1264" s="164" t="s">
        <v>29</v>
      </c>
      <c r="C1264" s="164" t="s">
        <v>113</v>
      </c>
      <c r="D1264" s="159" t="s">
        <v>439</v>
      </c>
      <c r="E1264" s="164" t="s">
        <v>437</v>
      </c>
      <c r="F1264" s="159"/>
      <c r="G1264" s="157" t="s">
        <v>1349</v>
      </c>
      <c r="H1264" s="157" t="s">
        <v>1350</v>
      </c>
      <c r="I1264" s="157" t="s">
        <v>1625</v>
      </c>
      <c r="J1264" s="157" t="s">
        <v>8295</v>
      </c>
      <c r="K1264" s="157" t="s">
        <v>1352</v>
      </c>
      <c r="L1264" s="157" t="s">
        <v>1629</v>
      </c>
      <c r="M1264" s="157" t="str">
        <f t="shared" si="29"/>
        <v>Camera_FFC4 - Long Range View</v>
      </c>
      <c r="N1264" s="157"/>
      <c r="O1264" s="157"/>
      <c r="P1264" s="159" t="s">
        <v>4447</v>
      </c>
      <c r="Q1264" s="74" t="s">
        <v>2115</v>
      </c>
      <c r="R1264" s="74" t="s">
        <v>8690</v>
      </c>
      <c r="S1264" s="74" t="s">
        <v>8261</v>
      </c>
      <c r="T1264" s="157"/>
      <c r="U1264" s="159" t="s">
        <v>2129</v>
      </c>
      <c r="V1264" s="159" t="s">
        <v>2129</v>
      </c>
      <c r="W1264" s="159" t="s">
        <v>2138</v>
      </c>
      <c r="X1264" s="160">
        <v>1</v>
      </c>
      <c r="Y1264" s="160">
        <v>1</v>
      </c>
      <c r="Z1264" s="160">
        <v>1</v>
      </c>
      <c r="AA1264" s="160">
        <v>1</v>
      </c>
    </row>
    <row r="1265" spans="1:27" ht="18" customHeight="1" x14ac:dyDescent="0.25">
      <c r="A1265" s="159">
        <v>3230</v>
      </c>
      <c r="B1265" s="164" t="s">
        <v>29</v>
      </c>
      <c r="C1265" s="164" t="s">
        <v>113</v>
      </c>
      <c r="D1265" s="159" t="s">
        <v>932</v>
      </c>
      <c r="E1265" s="164" t="s">
        <v>930</v>
      </c>
      <c r="F1265" s="159"/>
      <c r="G1265" s="157" t="s">
        <v>1349</v>
      </c>
      <c r="H1265" s="157" t="s">
        <v>1350</v>
      </c>
      <c r="I1265" s="157" t="s">
        <v>1625</v>
      </c>
      <c r="J1265" s="157" t="s">
        <v>8295</v>
      </c>
      <c r="K1265" s="157" t="s">
        <v>1352</v>
      </c>
      <c r="L1265" s="157" t="s">
        <v>1629</v>
      </c>
      <c r="M1265" s="157" t="str">
        <f t="shared" si="29"/>
        <v>Camera_FFC4 - Long Range View</v>
      </c>
      <c r="N1265" s="157"/>
      <c r="O1265" s="157"/>
      <c r="P1265" s="159" t="s">
        <v>4447</v>
      </c>
      <c r="Q1265" s="74" t="s">
        <v>2115</v>
      </c>
      <c r="R1265" s="74" t="s">
        <v>8690</v>
      </c>
      <c r="S1265" s="74" t="s">
        <v>8261</v>
      </c>
      <c r="T1265" s="157"/>
      <c r="U1265" s="159" t="s">
        <v>2129</v>
      </c>
      <c r="V1265" s="159" t="s">
        <v>2129</v>
      </c>
      <c r="W1265" s="159" t="s">
        <v>2138</v>
      </c>
      <c r="X1265" s="160">
        <v>1</v>
      </c>
      <c r="Y1265" s="160">
        <v>1</v>
      </c>
      <c r="Z1265" s="160">
        <v>1</v>
      </c>
      <c r="AA1265" s="160">
        <v>1</v>
      </c>
    </row>
    <row r="1266" spans="1:27" ht="18" customHeight="1" x14ac:dyDescent="0.25">
      <c r="A1266" s="159">
        <v>3230</v>
      </c>
      <c r="B1266" s="164" t="s">
        <v>266</v>
      </c>
      <c r="C1266" s="164" t="s">
        <v>276</v>
      </c>
      <c r="D1266" s="159" t="s">
        <v>734</v>
      </c>
      <c r="E1266" s="164" t="s">
        <v>732</v>
      </c>
      <c r="F1266" s="159"/>
      <c r="G1266" s="157" t="s">
        <v>1349</v>
      </c>
      <c r="H1266" s="157" t="s">
        <v>1350</v>
      </c>
      <c r="I1266" s="157" t="s">
        <v>1625</v>
      </c>
      <c r="J1266" s="157" t="s">
        <v>8295</v>
      </c>
      <c r="K1266" s="157" t="s">
        <v>1352</v>
      </c>
      <c r="L1266" s="157" t="s">
        <v>1629</v>
      </c>
      <c r="M1266" s="157" t="str">
        <f t="shared" si="29"/>
        <v>Camera_FFC4 - Long Range View</v>
      </c>
      <c r="N1266" s="157"/>
      <c r="O1266" s="157"/>
      <c r="P1266" s="159" t="s">
        <v>4447</v>
      </c>
      <c r="Q1266" s="74" t="s">
        <v>2115</v>
      </c>
      <c r="R1266" s="74" t="s">
        <v>8690</v>
      </c>
      <c r="S1266" s="74" t="s">
        <v>8261</v>
      </c>
      <c r="T1266" s="157"/>
      <c r="U1266" s="159" t="s">
        <v>2129</v>
      </c>
      <c r="V1266" s="159" t="s">
        <v>2129</v>
      </c>
      <c r="W1266" s="159" t="s">
        <v>2138</v>
      </c>
      <c r="X1266" s="160">
        <v>1</v>
      </c>
      <c r="Y1266" s="160">
        <v>1</v>
      </c>
      <c r="Z1266" s="160">
        <v>1</v>
      </c>
      <c r="AA1266" s="160">
        <v>1</v>
      </c>
    </row>
    <row r="1267" spans="1:27" ht="18" customHeight="1" x14ac:dyDescent="0.25">
      <c r="A1267" s="159">
        <v>3230</v>
      </c>
      <c r="B1267" s="164" t="s">
        <v>266</v>
      </c>
      <c r="C1267" s="164" t="s">
        <v>294</v>
      </c>
      <c r="D1267" s="159" t="s">
        <v>297</v>
      </c>
      <c r="E1267" s="164" t="s">
        <v>295</v>
      </c>
      <c r="F1267" s="159"/>
      <c r="G1267" s="157" t="s">
        <v>1349</v>
      </c>
      <c r="H1267" s="157" t="s">
        <v>1350</v>
      </c>
      <c r="I1267" s="157" t="s">
        <v>1625</v>
      </c>
      <c r="J1267" s="157" t="s">
        <v>8295</v>
      </c>
      <c r="K1267" s="157" t="s">
        <v>1352</v>
      </c>
      <c r="L1267" s="157" t="s">
        <v>1629</v>
      </c>
      <c r="M1267" s="157" t="str">
        <f t="shared" si="29"/>
        <v>Camera_FFC4 - Long Range View</v>
      </c>
      <c r="N1267" s="157"/>
      <c r="O1267" s="157"/>
      <c r="P1267" s="159" t="s">
        <v>4447</v>
      </c>
      <c r="Q1267" s="74" t="s">
        <v>2115</v>
      </c>
      <c r="R1267" s="74" t="s">
        <v>8690</v>
      </c>
      <c r="S1267" s="74" t="s">
        <v>8261</v>
      </c>
      <c r="T1267" s="157"/>
      <c r="U1267" s="159" t="s">
        <v>2129</v>
      </c>
      <c r="V1267" s="159" t="s">
        <v>2129</v>
      </c>
      <c r="W1267" s="159" t="s">
        <v>2138</v>
      </c>
      <c r="X1267" s="160">
        <v>1</v>
      </c>
      <c r="Y1267" s="160">
        <v>1</v>
      </c>
      <c r="Z1267" s="160">
        <v>1</v>
      </c>
      <c r="AA1267" s="160">
        <v>1</v>
      </c>
    </row>
    <row r="1268" spans="1:27" ht="18" customHeight="1" x14ac:dyDescent="0.25">
      <c r="A1268" s="159">
        <v>3230</v>
      </c>
      <c r="B1268" s="164" t="s">
        <v>266</v>
      </c>
      <c r="C1268" s="164" t="s">
        <v>294</v>
      </c>
      <c r="D1268" s="159" t="s">
        <v>298</v>
      </c>
      <c r="E1268" s="164" t="s">
        <v>299</v>
      </c>
      <c r="F1268" s="159"/>
      <c r="G1268" s="157" t="s">
        <v>1349</v>
      </c>
      <c r="H1268" s="157" t="s">
        <v>1350</v>
      </c>
      <c r="I1268" s="157" t="s">
        <v>1625</v>
      </c>
      <c r="J1268" s="157" t="s">
        <v>8295</v>
      </c>
      <c r="K1268" s="157" t="s">
        <v>1352</v>
      </c>
      <c r="L1268" s="157" t="s">
        <v>1629</v>
      </c>
      <c r="M1268" s="157" t="str">
        <f t="shared" si="29"/>
        <v>Camera_FFC4 - Long Range View</v>
      </c>
      <c r="N1268" s="157"/>
      <c r="O1268" s="157"/>
      <c r="P1268" s="159" t="s">
        <v>4447</v>
      </c>
      <c r="Q1268" s="74" t="s">
        <v>2115</v>
      </c>
      <c r="R1268" s="74" t="s">
        <v>8690</v>
      </c>
      <c r="S1268" s="74" t="s">
        <v>8261</v>
      </c>
      <c r="T1268" s="157"/>
      <c r="U1268" s="159" t="s">
        <v>2129</v>
      </c>
      <c r="V1268" s="159" t="s">
        <v>2129</v>
      </c>
      <c r="W1268" s="159" t="s">
        <v>2138</v>
      </c>
      <c r="X1268" s="160">
        <v>1</v>
      </c>
      <c r="Y1268" s="160">
        <v>1</v>
      </c>
      <c r="Z1268" s="160">
        <v>1</v>
      </c>
      <c r="AA1268" s="160">
        <v>1</v>
      </c>
    </row>
    <row r="1269" spans="1:27" ht="18" customHeight="1" x14ac:dyDescent="0.25">
      <c r="A1269" s="159">
        <v>3230</v>
      </c>
      <c r="B1269" s="164" t="s">
        <v>266</v>
      </c>
      <c r="C1269" s="164" t="s">
        <v>294</v>
      </c>
      <c r="D1269" s="159" t="s">
        <v>503</v>
      </c>
      <c r="E1269" s="164" t="s">
        <v>501</v>
      </c>
      <c r="F1269" s="159"/>
      <c r="G1269" s="157" t="s">
        <v>1349</v>
      </c>
      <c r="H1269" s="157" t="s">
        <v>1350</v>
      </c>
      <c r="I1269" s="157" t="s">
        <v>1625</v>
      </c>
      <c r="J1269" s="157" t="s">
        <v>8295</v>
      </c>
      <c r="K1269" s="157" t="s">
        <v>1352</v>
      </c>
      <c r="L1269" s="157" t="s">
        <v>1629</v>
      </c>
      <c r="M1269" s="157" t="str">
        <f t="shared" si="29"/>
        <v>Camera_FFC4 - Long Range View</v>
      </c>
      <c r="N1269" s="157"/>
      <c r="O1269" s="157"/>
      <c r="P1269" s="159" t="s">
        <v>4447</v>
      </c>
      <c r="Q1269" s="74" t="s">
        <v>2115</v>
      </c>
      <c r="R1269" s="74" t="s">
        <v>8690</v>
      </c>
      <c r="S1269" s="74" t="s">
        <v>8261</v>
      </c>
      <c r="T1269" s="157"/>
      <c r="U1269" s="159" t="s">
        <v>2129</v>
      </c>
      <c r="V1269" s="159" t="s">
        <v>2129</v>
      </c>
      <c r="W1269" s="159" t="s">
        <v>2138</v>
      </c>
      <c r="X1269" s="160">
        <v>1</v>
      </c>
      <c r="Y1269" s="160">
        <v>1</v>
      </c>
      <c r="Z1269" s="160">
        <v>1</v>
      </c>
      <c r="AA1269" s="160">
        <v>1</v>
      </c>
    </row>
    <row r="1270" spans="1:27" ht="18" customHeight="1" x14ac:dyDescent="0.25">
      <c r="A1270" s="159">
        <v>3230</v>
      </c>
      <c r="B1270" s="164" t="s">
        <v>266</v>
      </c>
      <c r="C1270" s="164" t="s">
        <v>294</v>
      </c>
      <c r="D1270" s="159" t="s">
        <v>692</v>
      </c>
      <c r="E1270" s="164" t="s">
        <v>690</v>
      </c>
      <c r="F1270" s="159"/>
      <c r="G1270" s="157" t="s">
        <v>1349</v>
      </c>
      <c r="H1270" s="157" t="s">
        <v>1350</v>
      </c>
      <c r="I1270" s="157" t="s">
        <v>1625</v>
      </c>
      <c r="J1270" s="157" t="s">
        <v>8295</v>
      </c>
      <c r="K1270" s="157" t="s">
        <v>1352</v>
      </c>
      <c r="L1270" s="157" t="s">
        <v>1629</v>
      </c>
      <c r="M1270" s="157" t="str">
        <f t="shared" si="29"/>
        <v>Camera_FFC4 - Long Range View</v>
      </c>
      <c r="N1270" s="157"/>
      <c r="O1270" s="157"/>
      <c r="P1270" s="159" t="s">
        <v>4447</v>
      </c>
      <c r="Q1270" s="74" t="s">
        <v>2115</v>
      </c>
      <c r="R1270" s="74" t="s">
        <v>8690</v>
      </c>
      <c r="S1270" s="74" t="s">
        <v>8261</v>
      </c>
      <c r="T1270" s="157"/>
      <c r="U1270" s="159" t="s">
        <v>2129</v>
      </c>
      <c r="V1270" s="159" t="s">
        <v>2129</v>
      </c>
      <c r="W1270" s="159" t="s">
        <v>2138</v>
      </c>
      <c r="X1270" s="160">
        <v>1</v>
      </c>
      <c r="Y1270" s="160">
        <v>1</v>
      </c>
      <c r="Z1270" s="160">
        <v>1</v>
      </c>
      <c r="AA1270" s="160">
        <v>1</v>
      </c>
    </row>
    <row r="1271" spans="1:27" ht="18" customHeight="1" x14ac:dyDescent="0.25">
      <c r="A1271" s="159">
        <v>3230</v>
      </c>
      <c r="B1271" s="164" t="s">
        <v>266</v>
      </c>
      <c r="C1271" s="164" t="s">
        <v>294</v>
      </c>
      <c r="D1271" s="159" t="s">
        <v>1177</v>
      </c>
      <c r="E1271" s="164" t="s">
        <v>1175</v>
      </c>
      <c r="F1271" s="159"/>
      <c r="G1271" s="157" t="s">
        <v>1349</v>
      </c>
      <c r="H1271" s="157" t="s">
        <v>1350</v>
      </c>
      <c r="I1271" s="157" t="s">
        <v>1625</v>
      </c>
      <c r="J1271" s="157" t="s">
        <v>8295</v>
      </c>
      <c r="K1271" s="157" t="s">
        <v>1352</v>
      </c>
      <c r="L1271" s="157" t="s">
        <v>1629</v>
      </c>
      <c r="M1271" s="157" t="str">
        <f t="shared" si="29"/>
        <v>Camera_FFC4 - Long Range View</v>
      </c>
      <c r="N1271" s="157"/>
      <c r="O1271" s="157"/>
      <c r="P1271" s="159" t="s">
        <v>4447</v>
      </c>
      <c r="Q1271" s="74" t="s">
        <v>2115</v>
      </c>
      <c r="R1271" s="74" t="s">
        <v>8690</v>
      </c>
      <c r="S1271" s="74" t="s">
        <v>8261</v>
      </c>
      <c r="T1271" s="157"/>
      <c r="U1271" s="159" t="s">
        <v>2129</v>
      </c>
      <c r="V1271" s="159" t="s">
        <v>2129</v>
      </c>
      <c r="W1271" s="159" t="s">
        <v>2138</v>
      </c>
      <c r="X1271" s="160">
        <v>1</v>
      </c>
      <c r="Y1271" s="160">
        <v>1</v>
      </c>
      <c r="Z1271" s="160">
        <v>1</v>
      </c>
      <c r="AA1271" s="160">
        <v>1</v>
      </c>
    </row>
    <row r="1272" spans="1:27" ht="18" customHeight="1" x14ac:dyDescent="0.25">
      <c r="A1272" s="159">
        <v>3230</v>
      </c>
      <c r="B1272" s="164" t="s">
        <v>266</v>
      </c>
      <c r="C1272" s="164" t="s">
        <v>294</v>
      </c>
      <c r="D1272" s="159" t="s">
        <v>1178</v>
      </c>
      <c r="E1272" s="164" t="s">
        <v>1179</v>
      </c>
      <c r="F1272" s="159"/>
      <c r="G1272" s="157" t="s">
        <v>1349</v>
      </c>
      <c r="H1272" s="157" t="s">
        <v>1350</v>
      </c>
      <c r="I1272" s="157" t="s">
        <v>1625</v>
      </c>
      <c r="J1272" s="157" t="s">
        <v>8295</v>
      </c>
      <c r="K1272" s="157" t="s">
        <v>1352</v>
      </c>
      <c r="L1272" s="157" t="s">
        <v>1629</v>
      </c>
      <c r="M1272" s="157" t="str">
        <f t="shared" si="29"/>
        <v>Camera_FFC4 - Long Range View</v>
      </c>
      <c r="N1272" s="157"/>
      <c r="O1272" s="157"/>
      <c r="P1272" s="159" t="s">
        <v>4447</v>
      </c>
      <c r="Q1272" s="74" t="s">
        <v>2115</v>
      </c>
      <c r="R1272" s="74" t="s">
        <v>8690</v>
      </c>
      <c r="S1272" s="74" t="s">
        <v>8261</v>
      </c>
      <c r="T1272" s="157"/>
      <c r="U1272" s="159" t="s">
        <v>2129</v>
      </c>
      <c r="V1272" s="159" t="s">
        <v>2129</v>
      </c>
      <c r="W1272" s="159" t="s">
        <v>2138</v>
      </c>
      <c r="X1272" s="160">
        <v>1</v>
      </c>
      <c r="Y1272" s="160">
        <v>1</v>
      </c>
      <c r="Z1272" s="160">
        <v>1</v>
      </c>
      <c r="AA1272" s="160">
        <v>1</v>
      </c>
    </row>
    <row r="1273" spans="1:27" ht="18" customHeight="1" x14ac:dyDescent="0.25">
      <c r="A1273" s="159">
        <v>3230</v>
      </c>
      <c r="B1273" s="164" t="s">
        <v>266</v>
      </c>
      <c r="C1273" s="164" t="s">
        <v>294</v>
      </c>
      <c r="D1273" s="159" t="s">
        <v>1207</v>
      </c>
      <c r="E1273" s="164" t="s">
        <v>1205</v>
      </c>
      <c r="F1273" s="159"/>
      <c r="G1273" s="157" t="s">
        <v>1349</v>
      </c>
      <c r="H1273" s="157" t="s">
        <v>1350</v>
      </c>
      <c r="I1273" s="157" t="s">
        <v>1625</v>
      </c>
      <c r="J1273" s="157" t="s">
        <v>8295</v>
      </c>
      <c r="K1273" s="157" t="s">
        <v>1352</v>
      </c>
      <c r="L1273" s="157" t="s">
        <v>1629</v>
      </c>
      <c r="M1273" s="157" t="str">
        <f t="shared" si="29"/>
        <v>Camera_FFC4 - Long Range View</v>
      </c>
      <c r="N1273" s="157"/>
      <c r="O1273" s="157"/>
      <c r="P1273" s="159" t="s">
        <v>4447</v>
      </c>
      <c r="Q1273" s="74" t="s">
        <v>2115</v>
      </c>
      <c r="R1273" s="74" t="s">
        <v>8690</v>
      </c>
      <c r="S1273" s="74" t="s">
        <v>8261</v>
      </c>
      <c r="T1273" s="157"/>
      <c r="U1273" s="159" t="s">
        <v>2129</v>
      </c>
      <c r="V1273" s="159" t="s">
        <v>2129</v>
      </c>
      <c r="W1273" s="159" t="s">
        <v>2138</v>
      </c>
      <c r="X1273" s="160">
        <v>1</v>
      </c>
      <c r="Y1273" s="160">
        <v>1</v>
      </c>
      <c r="Z1273" s="160">
        <v>1</v>
      </c>
      <c r="AA1273" s="160">
        <v>1</v>
      </c>
    </row>
    <row r="1274" spans="1:27" ht="18" customHeight="1" x14ac:dyDescent="0.25">
      <c r="A1274" s="159">
        <v>3230</v>
      </c>
      <c r="B1274" s="164" t="s">
        <v>266</v>
      </c>
      <c r="C1274" s="164" t="s">
        <v>519</v>
      </c>
      <c r="D1274" s="159" t="s">
        <v>522</v>
      </c>
      <c r="E1274" s="164" t="s">
        <v>520</v>
      </c>
      <c r="F1274" s="159"/>
      <c r="G1274" s="157" t="s">
        <v>1349</v>
      </c>
      <c r="H1274" s="157" t="s">
        <v>1350</v>
      </c>
      <c r="I1274" s="157" t="s">
        <v>1625</v>
      </c>
      <c r="J1274" s="157" t="s">
        <v>8295</v>
      </c>
      <c r="K1274" s="157" t="s">
        <v>1352</v>
      </c>
      <c r="L1274" s="157" t="s">
        <v>1629</v>
      </c>
      <c r="M1274" s="157" t="str">
        <f t="shared" si="29"/>
        <v>Camera_FFC4 - Long Range View</v>
      </c>
      <c r="N1274" s="157"/>
      <c r="O1274" s="157"/>
      <c r="P1274" s="159" t="s">
        <v>4447</v>
      </c>
      <c r="Q1274" s="74" t="s">
        <v>2115</v>
      </c>
      <c r="R1274" s="74" t="s">
        <v>8690</v>
      </c>
      <c r="S1274" s="74" t="s">
        <v>8261</v>
      </c>
      <c r="T1274" s="157"/>
      <c r="U1274" s="159" t="s">
        <v>2129</v>
      </c>
      <c r="V1274" s="159" t="s">
        <v>2129</v>
      </c>
      <c r="W1274" s="159" t="s">
        <v>2138</v>
      </c>
      <c r="X1274" s="160">
        <v>1</v>
      </c>
      <c r="Y1274" s="160">
        <v>1</v>
      </c>
      <c r="Z1274" s="160">
        <v>1</v>
      </c>
      <c r="AA1274" s="160">
        <v>1</v>
      </c>
    </row>
    <row r="1275" spans="1:27" ht="18" customHeight="1" x14ac:dyDescent="0.25">
      <c r="A1275" s="159">
        <v>3230</v>
      </c>
      <c r="B1275" s="164" t="s">
        <v>266</v>
      </c>
      <c r="C1275" s="164" t="s">
        <v>519</v>
      </c>
      <c r="D1275" s="159" t="s">
        <v>526</v>
      </c>
      <c r="E1275" s="164" t="s">
        <v>524</v>
      </c>
      <c r="F1275" s="159"/>
      <c r="G1275" s="157" t="s">
        <v>1349</v>
      </c>
      <c r="H1275" s="157" t="s">
        <v>1350</v>
      </c>
      <c r="I1275" s="157" t="s">
        <v>1625</v>
      </c>
      <c r="J1275" s="157" t="s">
        <v>8295</v>
      </c>
      <c r="K1275" s="157" t="s">
        <v>1352</v>
      </c>
      <c r="L1275" s="157" t="s">
        <v>1629</v>
      </c>
      <c r="M1275" s="157" t="str">
        <f t="shared" si="29"/>
        <v>Camera_FFC4 - Long Range View</v>
      </c>
      <c r="N1275" s="157"/>
      <c r="O1275" s="157"/>
      <c r="P1275" s="159" t="s">
        <v>4447</v>
      </c>
      <c r="Q1275" s="74" t="s">
        <v>2115</v>
      </c>
      <c r="R1275" s="74" t="s">
        <v>8690</v>
      </c>
      <c r="S1275" s="74" t="s">
        <v>8261</v>
      </c>
      <c r="T1275" s="157"/>
      <c r="U1275" s="159" t="s">
        <v>2129</v>
      </c>
      <c r="V1275" s="159" t="s">
        <v>2129</v>
      </c>
      <c r="W1275" s="159" t="s">
        <v>2138</v>
      </c>
      <c r="X1275" s="160">
        <v>1</v>
      </c>
      <c r="Y1275" s="160">
        <v>1</v>
      </c>
      <c r="Z1275" s="160">
        <v>1</v>
      </c>
      <c r="AA1275" s="160">
        <v>1</v>
      </c>
    </row>
    <row r="1276" spans="1:27" ht="18" customHeight="1" x14ac:dyDescent="0.25">
      <c r="A1276" s="159">
        <v>3230</v>
      </c>
      <c r="B1276" s="164" t="s">
        <v>266</v>
      </c>
      <c r="C1276" s="164" t="s">
        <v>519</v>
      </c>
      <c r="D1276" s="159" t="s">
        <v>530</v>
      </c>
      <c r="E1276" s="164" t="s">
        <v>528</v>
      </c>
      <c r="F1276" s="159"/>
      <c r="G1276" s="157" t="s">
        <v>1349</v>
      </c>
      <c r="H1276" s="157" t="s">
        <v>1350</v>
      </c>
      <c r="I1276" s="157" t="s">
        <v>1625</v>
      </c>
      <c r="J1276" s="157" t="s">
        <v>8295</v>
      </c>
      <c r="K1276" s="157" t="s">
        <v>1352</v>
      </c>
      <c r="L1276" s="157" t="s">
        <v>1629</v>
      </c>
      <c r="M1276" s="157" t="str">
        <f t="shared" si="29"/>
        <v>Camera_FFC4 - Long Range View</v>
      </c>
      <c r="N1276" s="157"/>
      <c r="O1276" s="157"/>
      <c r="P1276" s="159" t="s">
        <v>4447</v>
      </c>
      <c r="Q1276" s="74" t="s">
        <v>2115</v>
      </c>
      <c r="R1276" s="74" t="s">
        <v>8690</v>
      </c>
      <c r="S1276" s="74" t="s">
        <v>8261</v>
      </c>
      <c r="T1276" s="157"/>
      <c r="U1276" s="159" t="s">
        <v>2129</v>
      </c>
      <c r="V1276" s="159" t="s">
        <v>2129</v>
      </c>
      <c r="W1276" s="159" t="s">
        <v>2138</v>
      </c>
      <c r="X1276" s="160">
        <v>1</v>
      </c>
      <c r="Y1276" s="160">
        <v>1</v>
      </c>
      <c r="Z1276" s="160">
        <v>1</v>
      </c>
      <c r="AA1276" s="160">
        <v>1</v>
      </c>
    </row>
    <row r="1277" spans="1:27" ht="18" customHeight="1" x14ac:dyDescent="0.25">
      <c r="A1277" s="159">
        <v>3230</v>
      </c>
      <c r="B1277" s="164" t="s">
        <v>266</v>
      </c>
      <c r="C1277" s="164" t="s">
        <v>519</v>
      </c>
      <c r="D1277" s="159" t="s">
        <v>787</v>
      </c>
      <c r="E1277" s="164" t="s">
        <v>785</v>
      </c>
      <c r="F1277" s="159"/>
      <c r="G1277" s="157" t="s">
        <v>1349</v>
      </c>
      <c r="H1277" s="157" t="s">
        <v>1350</v>
      </c>
      <c r="I1277" s="157" t="s">
        <v>1625</v>
      </c>
      <c r="J1277" s="157" t="s">
        <v>8295</v>
      </c>
      <c r="K1277" s="157" t="s">
        <v>1352</v>
      </c>
      <c r="L1277" s="157" t="s">
        <v>1629</v>
      </c>
      <c r="M1277" s="157" t="str">
        <f t="shared" si="29"/>
        <v>Camera_FFC4 - Long Range View</v>
      </c>
      <c r="N1277" s="157"/>
      <c r="O1277" s="157"/>
      <c r="P1277" s="159" t="s">
        <v>4447</v>
      </c>
      <c r="Q1277" s="74" t="s">
        <v>2115</v>
      </c>
      <c r="R1277" s="74" t="s">
        <v>8690</v>
      </c>
      <c r="S1277" s="74" t="s">
        <v>8261</v>
      </c>
      <c r="T1277" s="157"/>
      <c r="U1277" s="159" t="s">
        <v>2129</v>
      </c>
      <c r="V1277" s="159" t="s">
        <v>2129</v>
      </c>
      <c r="W1277" s="159" t="s">
        <v>2138</v>
      </c>
      <c r="X1277" s="160">
        <v>1</v>
      </c>
      <c r="Y1277" s="160">
        <v>1</v>
      </c>
      <c r="Z1277" s="160">
        <v>1</v>
      </c>
      <c r="AA1277" s="160">
        <v>1</v>
      </c>
    </row>
    <row r="1278" spans="1:27" ht="18" customHeight="1" x14ac:dyDescent="0.25">
      <c r="A1278" s="159">
        <v>3230</v>
      </c>
      <c r="B1278" s="164" t="s">
        <v>266</v>
      </c>
      <c r="C1278" s="164" t="s">
        <v>519</v>
      </c>
      <c r="D1278" s="159" t="s">
        <v>935</v>
      </c>
      <c r="E1278" s="164" t="s">
        <v>933</v>
      </c>
      <c r="F1278" s="159"/>
      <c r="G1278" s="157" t="s">
        <v>1349</v>
      </c>
      <c r="H1278" s="157" t="s">
        <v>1350</v>
      </c>
      <c r="I1278" s="157" t="s">
        <v>1625</v>
      </c>
      <c r="J1278" s="157" t="s">
        <v>8295</v>
      </c>
      <c r="K1278" s="157" t="s">
        <v>1352</v>
      </c>
      <c r="L1278" s="157" t="s">
        <v>1629</v>
      </c>
      <c r="M1278" s="157" t="str">
        <f t="shared" si="29"/>
        <v>Camera_FFC4 - Long Range View</v>
      </c>
      <c r="N1278" s="157"/>
      <c r="O1278" s="157"/>
      <c r="P1278" s="159" t="s">
        <v>4447</v>
      </c>
      <c r="Q1278" s="74" t="s">
        <v>2115</v>
      </c>
      <c r="R1278" s="74" t="s">
        <v>8690</v>
      </c>
      <c r="S1278" s="74" t="s">
        <v>8261</v>
      </c>
      <c r="T1278" s="157"/>
      <c r="U1278" s="159" t="s">
        <v>2129</v>
      </c>
      <c r="V1278" s="159" t="s">
        <v>2129</v>
      </c>
      <c r="W1278" s="159" t="s">
        <v>2138</v>
      </c>
      <c r="X1278" s="160">
        <v>1</v>
      </c>
      <c r="Y1278" s="160">
        <v>1</v>
      </c>
      <c r="Z1278" s="160">
        <v>1</v>
      </c>
      <c r="AA1278" s="160">
        <v>1</v>
      </c>
    </row>
    <row r="1279" spans="1:27" ht="18" customHeight="1" x14ac:dyDescent="0.25">
      <c r="A1279" s="159">
        <v>3230</v>
      </c>
      <c r="B1279" s="164" t="s">
        <v>266</v>
      </c>
      <c r="C1279" s="164" t="s">
        <v>519</v>
      </c>
      <c r="D1279" s="159" t="s">
        <v>1151</v>
      </c>
      <c r="E1279" s="164" t="s">
        <v>1149</v>
      </c>
      <c r="F1279" s="159"/>
      <c r="G1279" s="157" t="s">
        <v>1349</v>
      </c>
      <c r="H1279" s="157" t="s">
        <v>1350</v>
      </c>
      <c r="I1279" s="157" t="s">
        <v>1625</v>
      </c>
      <c r="J1279" s="157" t="s">
        <v>8295</v>
      </c>
      <c r="K1279" s="157" t="s">
        <v>1352</v>
      </c>
      <c r="L1279" s="157" t="s">
        <v>1629</v>
      </c>
      <c r="M1279" s="157" t="str">
        <f t="shared" si="29"/>
        <v>Camera_FFC4 - Long Range View</v>
      </c>
      <c r="N1279" s="157"/>
      <c r="O1279" s="157"/>
      <c r="P1279" s="159" t="s">
        <v>4447</v>
      </c>
      <c r="Q1279" s="74" t="s">
        <v>2115</v>
      </c>
      <c r="R1279" s="74" t="s">
        <v>8690</v>
      </c>
      <c r="S1279" s="74" t="s">
        <v>8261</v>
      </c>
      <c r="T1279" s="157"/>
      <c r="U1279" s="159" t="s">
        <v>2129</v>
      </c>
      <c r="V1279" s="159" t="s">
        <v>2129</v>
      </c>
      <c r="W1279" s="159" t="s">
        <v>2138</v>
      </c>
      <c r="X1279" s="160">
        <v>1</v>
      </c>
      <c r="Y1279" s="160">
        <v>1</v>
      </c>
      <c r="Z1279" s="160">
        <v>1</v>
      </c>
      <c r="AA1279" s="160">
        <v>1</v>
      </c>
    </row>
    <row r="1280" spans="1:27" ht="18" customHeight="1" x14ac:dyDescent="0.25">
      <c r="A1280" s="159">
        <v>3230</v>
      </c>
      <c r="B1280" s="164" t="s">
        <v>266</v>
      </c>
      <c r="C1280" s="164" t="s">
        <v>519</v>
      </c>
      <c r="D1280" s="159" t="s">
        <v>1159</v>
      </c>
      <c r="E1280" s="164" t="s">
        <v>1157</v>
      </c>
      <c r="F1280" s="159"/>
      <c r="G1280" s="157" t="s">
        <v>1349</v>
      </c>
      <c r="H1280" s="157" t="s">
        <v>1350</v>
      </c>
      <c r="I1280" s="157" t="s">
        <v>1625</v>
      </c>
      <c r="J1280" s="157" t="s">
        <v>8295</v>
      </c>
      <c r="K1280" s="157" t="s">
        <v>1352</v>
      </c>
      <c r="L1280" s="157" t="s">
        <v>1629</v>
      </c>
      <c r="M1280" s="157" t="str">
        <f t="shared" si="29"/>
        <v>Camera_FFC4 - Long Range View</v>
      </c>
      <c r="N1280" s="157"/>
      <c r="O1280" s="157"/>
      <c r="P1280" s="159" t="s">
        <v>4447</v>
      </c>
      <c r="Q1280" s="74" t="s">
        <v>2115</v>
      </c>
      <c r="R1280" s="74" t="s">
        <v>8690</v>
      </c>
      <c r="S1280" s="74" t="s">
        <v>8261</v>
      </c>
      <c r="T1280" s="157"/>
      <c r="U1280" s="159" t="s">
        <v>2129</v>
      </c>
      <c r="V1280" s="159" t="s">
        <v>2129</v>
      </c>
      <c r="W1280" s="159" t="s">
        <v>2138</v>
      </c>
      <c r="X1280" s="160">
        <v>1</v>
      </c>
      <c r="Y1280" s="160">
        <v>1</v>
      </c>
      <c r="Z1280" s="160">
        <v>1</v>
      </c>
      <c r="AA1280" s="160">
        <v>1</v>
      </c>
    </row>
    <row r="1281" spans="1:27" ht="18" customHeight="1" x14ac:dyDescent="0.25">
      <c r="A1281" s="159">
        <v>3231</v>
      </c>
      <c r="B1281" s="164" t="s">
        <v>29</v>
      </c>
      <c r="C1281" s="164" t="s">
        <v>113</v>
      </c>
      <c r="D1281" s="159" t="s">
        <v>439</v>
      </c>
      <c r="E1281" s="164" t="s">
        <v>437</v>
      </c>
      <c r="F1281" s="159"/>
      <c r="G1281" s="157" t="s">
        <v>1349</v>
      </c>
      <c r="H1281" s="157" t="s">
        <v>1350</v>
      </c>
      <c r="I1281" s="157" t="s">
        <v>1625</v>
      </c>
      <c r="J1281" s="157" t="s">
        <v>8295</v>
      </c>
      <c r="K1281" s="157" t="s">
        <v>1352</v>
      </c>
      <c r="L1281" s="157" t="s">
        <v>1630</v>
      </c>
      <c r="M1281" s="157" t="str">
        <f t="shared" si="29"/>
        <v>Camera_FFC5 - Long Range View</v>
      </c>
      <c r="N1281" s="157"/>
      <c r="O1281" s="157"/>
      <c r="P1281" s="159" t="s">
        <v>5075</v>
      </c>
      <c r="Q1281" s="74" t="s">
        <v>2115</v>
      </c>
      <c r="R1281" s="74" t="s">
        <v>8690</v>
      </c>
      <c r="S1281" s="74" t="s">
        <v>8261</v>
      </c>
      <c r="T1281" s="157"/>
      <c r="U1281" s="159" t="s">
        <v>2129</v>
      </c>
      <c r="V1281" s="159" t="s">
        <v>2129</v>
      </c>
      <c r="W1281" s="159" t="s">
        <v>2138</v>
      </c>
      <c r="X1281" s="160">
        <v>1</v>
      </c>
      <c r="Y1281" s="160">
        <v>1</v>
      </c>
      <c r="Z1281" s="160">
        <v>1</v>
      </c>
      <c r="AA1281" s="160">
        <v>1</v>
      </c>
    </row>
    <row r="1282" spans="1:27" ht="18" customHeight="1" x14ac:dyDescent="0.25">
      <c r="A1282" s="159">
        <v>3231</v>
      </c>
      <c r="B1282" s="164" t="s">
        <v>29</v>
      </c>
      <c r="C1282" s="164" t="s">
        <v>113</v>
      </c>
      <c r="D1282" s="159" t="s">
        <v>932</v>
      </c>
      <c r="E1282" s="164" t="s">
        <v>930</v>
      </c>
      <c r="F1282" s="159"/>
      <c r="G1282" s="157" t="s">
        <v>1349</v>
      </c>
      <c r="H1282" s="157" t="s">
        <v>1350</v>
      </c>
      <c r="I1282" s="157" t="s">
        <v>1625</v>
      </c>
      <c r="J1282" s="157" t="s">
        <v>8295</v>
      </c>
      <c r="K1282" s="157" t="s">
        <v>1352</v>
      </c>
      <c r="L1282" s="157" t="s">
        <v>1630</v>
      </c>
      <c r="M1282" s="157" t="str">
        <f t="shared" si="29"/>
        <v>Camera_FFC5 - Long Range View</v>
      </c>
      <c r="N1282" s="157"/>
      <c r="O1282" s="157"/>
      <c r="P1282" s="159" t="s">
        <v>5075</v>
      </c>
      <c r="Q1282" s="74" t="s">
        <v>2115</v>
      </c>
      <c r="R1282" s="74" t="s">
        <v>8690</v>
      </c>
      <c r="S1282" s="74" t="s">
        <v>8261</v>
      </c>
      <c r="T1282" s="157"/>
      <c r="U1282" s="159" t="s">
        <v>2129</v>
      </c>
      <c r="V1282" s="159" t="s">
        <v>2129</v>
      </c>
      <c r="W1282" s="159" t="s">
        <v>2138</v>
      </c>
      <c r="X1282" s="160">
        <v>1</v>
      </c>
      <c r="Y1282" s="160">
        <v>1</v>
      </c>
      <c r="Z1282" s="160">
        <v>1</v>
      </c>
      <c r="AA1282" s="160">
        <v>1</v>
      </c>
    </row>
    <row r="1283" spans="1:27" ht="18" customHeight="1" x14ac:dyDescent="0.25">
      <c r="A1283" s="159">
        <v>3231</v>
      </c>
      <c r="B1283" s="164" t="s">
        <v>266</v>
      </c>
      <c r="C1283" s="164" t="s">
        <v>276</v>
      </c>
      <c r="D1283" s="159" t="s">
        <v>734</v>
      </c>
      <c r="E1283" s="164" t="s">
        <v>732</v>
      </c>
      <c r="F1283" s="159"/>
      <c r="G1283" s="157" t="s">
        <v>1349</v>
      </c>
      <c r="H1283" s="157" t="s">
        <v>1350</v>
      </c>
      <c r="I1283" s="157" t="s">
        <v>1625</v>
      </c>
      <c r="J1283" s="157" t="s">
        <v>8295</v>
      </c>
      <c r="K1283" s="157" t="s">
        <v>1352</v>
      </c>
      <c r="L1283" s="157" t="s">
        <v>1630</v>
      </c>
      <c r="M1283" s="157" t="str">
        <f t="shared" si="29"/>
        <v>Camera_FFC5 - Long Range View</v>
      </c>
      <c r="N1283" s="157"/>
      <c r="O1283" s="157"/>
      <c r="P1283" s="159" t="s">
        <v>5075</v>
      </c>
      <c r="Q1283" s="74" t="s">
        <v>2115</v>
      </c>
      <c r="R1283" s="74" t="s">
        <v>8690</v>
      </c>
      <c r="S1283" s="74" t="s">
        <v>8261</v>
      </c>
      <c r="T1283" s="157"/>
      <c r="U1283" s="159" t="s">
        <v>2129</v>
      </c>
      <c r="V1283" s="159" t="s">
        <v>2129</v>
      </c>
      <c r="W1283" s="159" t="s">
        <v>2138</v>
      </c>
      <c r="X1283" s="160">
        <v>1</v>
      </c>
      <c r="Y1283" s="160">
        <v>1</v>
      </c>
      <c r="Z1283" s="160">
        <v>1</v>
      </c>
      <c r="AA1283" s="160">
        <v>1</v>
      </c>
    </row>
    <row r="1284" spans="1:27" ht="18" customHeight="1" x14ac:dyDescent="0.25">
      <c r="A1284" s="159">
        <v>3231</v>
      </c>
      <c r="B1284" s="164" t="s">
        <v>266</v>
      </c>
      <c r="C1284" s="164" t="s">
        <v>294</v>
      </c>
      <c r="D1284" s="159" t="s">
        <v>297</v>
      </c>
      <c r="E1284" s="164" t="s">
        <v>295</v>
      </c>
      <c r="F1284" s="159"/>
      <c r="G1284" s="157" t="s">
        <v>1349</v>
      </c>
      <c r="H1284" s="157" t="s">
        <v>1350</v>
      </c>
      <c r="I1284" s="157" t="s">
        <v>1625</v>
      </c>
      <c r="J1284" s="157" t="s">
        <v>8295</v>
      </c>
      <c r="K1284" s="157" t="s">
        <v>1352</v>
      </c>
      <c r="L1284" s="157" t="s">
        <v>1630</v>
      </c>
      <c r="M1284" s="157" t="str">
        <f t="shared" si="29"/>
        <v>Camera_FFC5 - Long Range View</v>
      </c>
      <c r="N1284" s="157"/>
      <c r="O1284" s="157"/>
      <c r="P1284" s="159" t="s">
        <v>5075</v>
      </c>
      <c r="Q1284" s="74" t="s">
        <v>2115</v>
      </c>
      <c r="R1284" s="74" t="s">
        <v>8690</v>
      </c>
      <c r="S1284" s="74" t="s">
        <v>8261</v>
      </c>
      <c r="T1284" s="157"/>
      <c r="U1284" s="159" t="s">
        <v>2129</v>
      </c>
      <c r="V1284" s="159" t="s">
        <v>2129</v>
      </c>
      <c r="W1284" s="159" t="s">
        <v>2138</v>
      </c>
      <c r="X1284" s="160">
        <v>1</v>
      </c>
      <c r="Y1284" s="160">
        <v>1</v>
      </c>
      <c r="Z1284" s="160">
        <v>1</v>
      </c>
      <c r="AA1284" s="160">
        <v>1</v>
      </c>
    </row>
    <row r="1285" spans="1:27" ht="18" customHeight="1" x14ac:dyDescent="0.25">
      <c r="A1285" s="159">
        <v>3231</v>
      </c>
      <c r="B1285" s="164" t="s">
        <v>266</v>
      </c>
      <c r="C1285" s="164" t="s">
        <v>294</v>
      </c>
      <c r="D1285" s="159" t="s">
        <v>298</v>
      </c>
      <c r="E1285" s="164" t="s">
        <v>299</v>
      </c>
      <c r="F1285" s="159"/>
      <c r="G1285" s="157" t="s">
        <v>1349</v>
      </c>
      <c r="H1285" s="157" t="s">
        <v>1350</v>
      </c>
      <c r="I1285" s="157" t="s">
        <v>1625</v>
      </c>
      <c r="J1285" s="157" t="s">
        <v>8295</v>
      </c>
      <c r="K1285" s="157" t="s">
        <v>1352</v>
      </c>
      <c r="L1285" s="157" t="s">
        <v>1630</v>
      </c>
      <c r="M1285" s="157" t="str">
        <f t="shared" si="29"/>
        <v>Camera_FFC5 - Long Range View</v>
      </c>
      <c r="N1285" s="157"/>
      <c r="O1285" s="157"/>
      <c r="P1285" s="159" t="s">
        <v>5075</v>
      </c>
      <c r="Q1285" s="74" t="s">
        <v>2115</v>
      </c>
      <c r="R1285" s="74" t="s">
        <v>8690</v>
      </c>
      <c r="S1285" s="74" t="s">
        <v>8261</v>
      </c>
      <c r="T1285" s="157"/>
      <c r="U1285" s="159" t="s">
        <v>2129</v>
      </c>
      <c r="V1285" s="159" t="s">
        <v>2129</v>
      </c>
      <c r="W1285" s="159" t="s">
        <v>2138</v>
      </c>
      <c r="X1285" s="160">
        <v>1</v>
      </c>
      <c r="Y1285" s="160">
        <v>1</v>
      </c>
      <c r="Z1285" s="160">
        <v>1</v>
      </c>
      <c r="AA1285" s="160">
        <v>1</v>
      </c>
    </row>
    <row r="1286" spans="1:27" ht="18" customHeight="1" x14ac:dyDescent="0.25">
      <c r="A1286" s="159">
        <v>3231</v>
      </c>
      <c r="B1286" s="164" t="s">
        <v>266</v>
      </c>
      <c r="C1286" s="164" t="s">
        <v>294</v>
      </c>
      <c r="D1286" s="159" t="s">
        <v>503</v>
      </c>
      <c r="E1286" s="164" t="s">
        <v>501</v>
      </c>
      <c r="F1286" s="159"/>
      <c r="G1286" s="157" t="s">
        <v>1349</v>
      </c>
      <c r="H1286" s="157" t="s">
        <v>1350</v>
      </c>
      <c r="I1286" s="157" t="s">
        <v>1625</v>
      </c>
      <c r="J1286" s="157" t="s">
        <v>8295</v>
      </c>
      <c r="K1286" s="157" t="s">
        <v>1352</v>
      </c>
      <c r="L1286" s="157" t="s">
        <v>1630</v>
      </c>
      <c r="M1286" s="157" t="str">
        <f t="shared" si="29"/>
        <v>Camera_FFC5 - Long Range View</v>
      </c>
      <c r="N1286" s="157"/>
      <c r="O1286" s="157"/>
      <c r="P1286" s="159" t="s">
        <v>5075</v>
      </c>
      <c r="Q1286" s="74" t="s">
        <v>2115</v>
      </c>
      <c r="R1286" s="74" t="s">
        <v>8690</v>
      </c>
      <c r="S1286" s="74" t="s">
        <v>8261</v>
      </c>
      <c r="T1286" s="157"/>
      <c r="U1286" s="159" t="s">
        <v>2129</v>
      </c>
      <c r="V1286" s="159" t="s">
        <v>2129</v>
      </c>
      <c r="W1286" s="159" t="s">
        <v>2138</v>
      </c>
      <c r="X1286" s="160">
        <v>1</v>
      </c>
      <c r="Y1286" s="160">
        <v>1</v>
      </c>
      <c r="Z1286" s="160">
        <v>1</v>
      </c>
      <c r="AA1286" s="160">
        <v>1</v>
      </c>
    </row>
    <row r="1287" spans="1:27" ht="18" customHeight="1" x14ac:dyDescent="0.25">
      <c r="A1287" s="159">
        <v>3231</v>
      </c>
      <c r="B1287" s="164" t="s">
        <v>266</v>
      </c>
      <c r="C1287" s="164" t="s">
        <v>294</v>
      </c>
      <c r="D1287" s="159" t="s">
        <v>692</v>
      </c>
      <c r="E1287" s="164" t="s">
        <v>690</v>
      </c>
      <c r="F1287" s="159"/>
      <c r="G1287" s="157" t="s">
        <v>1349</v>
      </c>
      <c r="H1287" s="157" t="s">
        <v>1350</v>
      </c>
      <c r="I1287" s="157" t="s">
        <v>1625</v>
      </c>
      <c r="J1287" s="157" t="s">
        <v>8295</v>
      </c>
      <c r="K1287" s="157" t="s">
        <v>1352</v>
      </c>
      <c r="L1287" s="157" t="s">
        <v>1630</v>
      </c>
      <c r="M1287" s="157" t="str">
        <f t="shared" si="29"/>
        <v>Camera_FFC5 - Long Range View</v>
      </c>
      <c r="N1287" s="157"/>
      <c r="O1287" s="157"/>
      <c r="P1287" s="159" t="s">
        <v>5075</v>
      </c>
      <c r="Q1287" s="74" t="s">
        <v>2115</v>
      </c>
      <c r="R1287" s="74" t="s">
        <v>8690</v>
      </c>
      <c r="S1287" s="74" t="s">
        <v>8261</v>
      </c>
      <c r="T1287" s="157"/>
      <c r="U1287" s="159" t="s">
        <v>2129</v>
      </c>
      <c r="V1287" s="159" t="s">
        <v>2129</v>
      </c>
      <c r="W1287" s="159" t="s">
        <v>2138</v>
      </c>
      <c r="X1287" s="160">
        <v>1</v>
      </c>
      <c r="Y1287" s="160">
        <v>1</v>
      </c>
      <c r="Z1287" s="160">
        <v>1</v>
      </c>
      <c r="AA1287" s="160">
        <v>1</v>
      </c>
    </row>
    <row r="1288" spans="1:27" ht="18" customHeight="1" x14ac:dyDescent="0.25">
      <c r="A1288" s="159">
        <v>3231</v>
      </c>
      <c r="B1288" s="164" t="s">
        <v>266</v>
      </c>
      <c r="C1288" s="164" t="s">
        <v>294</v>
      </c>
      <c r="D1288" s="159" t="s">
        <v>1177</v>
      </c>
      <c r="E1288" s="164" t="s">
        <v>1175</v>
      </c>
      <c r="F1288" s="159"/>
      <c r="G1288" s="157" t="s">
        <v>1349</v>
      </c>
      <c r="H1288" s="157" t="s">
        <v>1350</v>
      </c>
      <c r="I1288" s="157" t="s">
        <v>1625</v>
      </c>
      <c r="J1288" s="157" t="s">
        <v>8295</v>
      </c>
      <c r="K1288" s="157" t="s">
        <v>1352</v>
      </c>
      <c r="L1288" s="157" t="s">
        <v>1630</v>
      </c>
      <c r="M1288" s="157" t="str">
        <f t="shared" si="29"/>
        <v>Camera_FFC5 - Long Range View</v>
      </c>
      <c r="N1288" s="157"/>
      <c r="O1288" s="157"/>
      <c r="P1288" s="159" t="s">
        <v>5075</v>
      </c>
      <c r="Q1288" s="74" t="s">
        <v>2115</v>
      </c>
      <c r="R1288" s="74" t="s">
        <v>8690</v>
      </c>
      <c r="S1288" s="74" t="s">
        <v>8261</v>
      </c>
      <c r="T1288" s="157"/>
      <c r="U1288" s="159" t="s">
        <v>2129</v>
      </c>
      <c r="V1288" s="159" t="s">
        <v>2129</v>
      </c>
      <c r="W1288" s="159" t="s">
        <v>2138</v>
      </c>
      <c r="X1288" s="160">
        <v>1</v>
      </c>
      <c r="Y1288" s="160">
        <v>1</v>
      </c>
      <c r="Z1288" s="160">
        <v>1</v>
      </c>
      <c r="AA1288" s="160">
        <v>1</v>
      </c>
    </row>
    <row r="1289" spans="1:27" ht="18" customHeight="1" x14ac:dyDescent="0.25">
      <c r="A1289" s="159">
        <v>3231</v>
      </c>
      <c r="B1289" s="164" t="s">
        <v>266</v>
      </c>
      <c r="C1289" s="164" t="s">
        <v>294</v>
      </c>
      <c r="D1289" s="159" t="s">
        <v>1178</v>
      </c>
      <c r="E1289" s="164" t="s">
        <v>1179</v>
      </c>
      <c r="F1289" s="159"/>
      <c r="G1289" s="157" t="s">
        <v>1349</v>
      </c>
      <c r="H1289" s="157" t="s">
        <v>1350</v>
      </c>
      <c r="I1289" s="157" t="s">
        <v>1625</v>
      </c>
      <c r="J1289" s="157" t="s">
        <v>8295</v>
      </c>
      <c r="K1289" s="157" t="s">
        <v>1352</v>
      </c>
      <c r="L1289" s="157" t="s">
        <v>1630</v>
      </c>
      <c r="M1289" s="157" t="str">
        <f t="shared" si="29"/>
        <v>Camera_FFC5 - Long Range View</v>
      </c>
      <c r="N1289" s="157"/>
      <c r="O1289" s="157"/>
      <c r="P1289" s="159" t="s">
        <v>5075</v>
      </c>
      <c r="Q1289" s="74" t="s">
        <v>2115</v>
      </c>
      <c r="R1289" s="74" t="s">
        <v>8690</v>
      </c>
      <c r="S1289" s="74" t="s">
        <v>8261</v>
      </c>
      <c r="T1289" s="157"/>
      <c r="U1289" s="159" t="s">
        <v>2129</v>
      </c>
      <c r="V1289" s="159" t="s">
        <v>2129</v>
      </c>
      <c r="W1289" s="159" t="s">
        <v>2138</v>
      </c>
      <c r="X1289" s="160">
        <v>1</v>
      </c>
      <c r="Y1289" s="160">
        <v>1</v>
      </c>
      <c r="Z1289" s="160">
        <v>1</v>
      </c>
      <c r="AA1289" s="160">
        <v>1</v>
      </c>
    </row>
    <row r="1290" spans="1:27" ht="18" customHeight="1" x14ac:dyDescent="0.25">
      <c r="A1290" s="159">
        <v>3231</v>
      </c>
      <c r="B1290" s="164" t="s">
        <v>266</v>
      </c>
      <c r="C1290" s="164" t="s">
        <v>294</v>
      </c>
      <c r="D1290" s="159" t="s">
        <v>1207</v>
      </c>
      <c r="E1290" s="164" t="s">
        <v>1205</v>
      </c>
      <c r="F1290" s="159"/>
      <c r="G1290" s="157" t="s">
        <v>1349</v>
      </c>
      <c r="H1290" s="157" t="s">
        <v>1350</v>
      </c>
      <c r="I1290" s="157" t="s">
        <v>1625</v>
      </c>
      <c r="J1290" s="157" t="s">
        <v>8295</v>
      </c>
      <c r="K1290" s="157" t="s">
        <v>1352</v>
      </c>
      <c r="L1290" s="157" t="s">
        <v>1630</v>
      </c>
      <c r="M1290" s="157" t="str">
        <f t="shared" ref="M1290:M1353" si="30">CONCATENATE(L1290," - ",I1290)</f>
        <v>Camera_FFC5 - Long Range View</v>
      </c>
      <c r="N1290" s="157"/>
      <c r="O1290" s="157"/>
      <c r="P1290" s="159" t="s">
        <v>5075</v>
      </c>
      <c r="Q1290" s="74" t="s">
        <v>2115</v>
      </c>
      <c r="R1290" s="74" t="s">
        <v>8690</v>
      </c>
      <c r="S1290" s="74" t="s">
        <v>8261</v>
      </c>
      <c r="T1290" s="157"/>
      <c r="U1290" s="159" t="s">
        <v>2129</v>
      </c>
      <c r="V1290" s="159" t="s">
        <v>2129</v>
      </c>
      <c r="W1290" s="159" t="s">
        <v>2138</v>
      </c>
      <c r="X1290" s="160">
        <v>1</v>
      </c>
      <c r="Y1290" s="160">
        <v>1</v>
      </c>
      <c r="Z1290" s="160">
        <v>1</v>
      </c>
      <c r="AA1290" s="160">
        <v>1</v>
      </c>
    </row>
    <row r="1291" spans="1:27" ht="18" customHeight="1" x14ac:dyDescent="0.25">
      <c r="A1291" s="159">
        <v>3231</v>
      </c>
      <c r="B1291" s="164" t="s">
        <v>266</v>
      </c>
      <c r="C1291" s="164" t="s">
        <v>519</v>
      </c>
      <c r="D1291" s="159" t="s">
        <v>522</v>
      </c>
      <c r="E1291" s="164" t="s">
        <v>520</v>
      </c>
      <c r="F1291" s="159"/>
      <c r="G1291" s="157" t="s">
        <v>1349</v>
      </c>
      <c r="H1291" s="157" t="s">
        <v>1350</v>
      </c>
      <c r="I1291" s="157" t="s">
        <v>1625</v>
      </c>
      <c r="J1291" s="157" t="s">
        <v>8295</v>
      </c>
      <c r="K1291" s="157" t="s">
        <v>1352</v>
      </c>
      <c r="L1291" s="157" t="s">
        <v>1630</v>
      </c>
      <c r="M1291" s="157" t="str">
        <f t="shared" si="30"/>
        <v>Camera_FFC5 - Long Range View</v>
      </c>
      <c r="N1291" s="157"/>
      <c r="O1291" s="157"/>
      <c r="P1291" s="159" t="s">
        <v>5075</v>
      </c>
      <c r="Q1291" s="74" t="s">
        <v>2115</v>
      </c>
      <c r="R1291" s="74" t="s">
        <v>8690</v>
      </c>
      <c r="S1291" s="74" t="s">
        <v>8261</v>
      </c>
      <c r="T1291" s="157"/>
      <c r="U1291" s="159" t="s">
        <v>2129</v>
      </c>
      <c r="V1291" s="159" t="s">
        <v>2129</v>
      </c>
      <c r="W1291" s="159" t="s">
        <v>2138</v>
      </c>
      <c r="X1291" s="160">
        <v>1</v>
      </c>
      <c r="Y1291" s="160">
        <v>1</v>
      </c>
      <c r="Z1291" s="160">
        <v>1</v>
      </c>
      <c r="AA1291" s="160">
        <v>1</v>
      </c>
    </row>
    <row r="1292" spans="1:27" ht="18" customHeight="1" x14ac:dyDescent="0.25">
      <c r="A1292" s="159">
        <v>3231</v>
      </c>
      <c r="B1292" s="164" t="s">
        <v>266</v>
      </c>
      <c r="C1292" s="164" t="s">
        <v>519</v>
      </c>
      <c r="D1292" s="159" t="s">
        <v>526</v>
      </c>
      <c r="E1292" s="164" t="s">
        <v>524</v>
      </c>
      <c r="F1292" s="159"/>
      <c r="G1292" s="157" t="s">
        <v>1349</v>
      </c>
      <c r="H1292" s="157" t="s">
        <v>1350</v>
      </c>
      <c r="I1292" s="157" t="s">
        <v>1625</v>
      </c>
      <c r="J1292" s="157" t="s">
        <v>8295</v>
      </c>
      <c r="K1292" s="157" t="s">
        <v>1352</v>
      </c>
      <c r="L1292" s="157" t="s">
        <v>1630</v>
      </c>
      <c r="M1292" s="157" t="str">
        <f t="shared" si="30"/>
        <v>Camera_FFC5 - Long Range View</v>
      </c>
      <c r="N1292" s="157"/>
      <c r="O1292" s="157"/>
      <c r="P1292" s="159" t="s">
        <v>5075</v>
      </c>
      <c r="Q1292" s="74" t="s">
        <v>2115</v>
      </c>
      <c r="R1292" s="74" t="s">
        <v>8690</v>
      </c>
      <c r="S1292" s="74" t="s">
        <v>8261</v>
      </c>
      <c r="T1292" s="157"/>
      <c r="U1292" s="159" t="s">
        <v>2129</v>
      </c>
      <c r="V1292" s="159" t="s">
        <v>2129</v>
      </c>
      <c r="W1292" s="159" t="s">
        <v>2138</v>
      </c>
      <c r="X1292" s="160">
        <v>1</v>
      </c>
      <c r="Y1292" s="160">
        <v>1</v>
      </c>
      <c r="Z1292" s="160">
        <v>1</v>
      </c>
      <c r="AA1292" s="160">
        <v>1</v>
      </c>
    </row>
    <row r="1293" spans="1:27" ht="18" customHeight="1" x14ac:dyDescent="0.25">
      <c r="A1293" s="159">
        <v>3231</v>
      </c>
      <c r="B1293" s="164" t="s">
        <v>266</v>
      </c>
      <c r="C1293" s="164" t="s">
        <v>519</v>
      </c>
      <c r="D1293" s="159" t="s">
        <v>530</v>
      </c>
      <c r="E1293" s="164" t="s">
        <v>528</v>
      </c>
      <c r="F1293" s="159"/>
      <c r="G1293" s="157" t="s">
        <v>1349</v>
      </c>
      <c r="H1293" s="157" t="s">
        <v>1350</v>
      </c>
      <c r="I1293" s="157" t="s">
        <v>1625</v>
      </c>
      <c r="J1293" s="157" t="s">
        <v>8295</v>
      </c>
      <c r="K1293" s="157" t="s">
        <v>1352</v>
      </c>
      <c r="L1293" s="157" t="s">
        <v>1630</v>
      </c>
      <c r="M1293" s="157" t="str">
        <f t="shared" si="30"/>
        <v>Camera_FFC5 - Long Range View</v>
      </c>
      <c r="N1293" s="157"/>
      <c r="O1293" s="157"/>
      <c r="P1293" s="159" t="s">
        <v>5075</v>
      </c>
      <c r="Q1293" s="74" t="s">
        <v>2115</v>
      </c>
      <c r="R1293" s="74" t="s">
        <v>8690</v>
      </c>
      <c r="S1293" s="74" t="s">
        <v>8261</v>
      </c>
      <c r="T1293" s="157"/>
      <c r="U1293" s="159" t="s">
        <v>2129</v>
      </c>
      <c r="V1293" s="159" t="s">
        <v>2129</v>
      </c>
      <c r="W1293" s="159" t="s">
        <v>2138</v>
      </c>
      <c r="X1293" s="160">
        <v>1</v>
      </c>
      <c r="Y1293" s="160">
        <v>1</v>
      </c>
      <c r="Z1293" s="160">
        <v>1</v>
      </c>
      <c r="AA1293" s="160">
        <v>1</v>
      </c>
    </row>
    <row r="1294" spans="1:27" ht="18" customHeight="1" x14ac:dyDescent="0.25">
      <c r="A1294" s="159">
        <v>3231</v>
      </c>
      <c r="B1294" s="164" t="s">
        <v>266</v>
      </c>
      <c r="C1294" s="164" t="s">
        <v>519</v>
      </c>
      <c r="D1294" s="159" t="s">
        <v>787</v>
      </c>
      <c r="E1294" s="164" t="s">
        <v>785</v>
      </c>
      <c r="F1294" s="159"/>
      <c r="G1294" s="157" t="s">
        <v>1349</v>
      </c>
      <c r="H1294" s="157" t="s">
        <v>1350</v>
      </c>
      <c r="I1294" s="157" t="s">
        <v>1625</v>
      </c>
      <c r="J1294" s="157" t="s">
        <v>8295</v>
      </c>
      <c r="K1294" s="157" t="s">
        <v>1352</v>
      </c>
      <c r="L1294" s="157" t="s">
        <v>1630</v>
      </c>
      <c r="M1294" s="157" t="str">
        <f t="shared" si="30"/>
        <v>Camera_FFC5 - Long Range View</v>
      </c>
      <c r="N1294" s="157"/>
      <c r="O1294" s="157"/>
      <c r="P1294" s="159" t="s">
        <v>5075</v>
      </c>
      <c r="Q1294" s="74" t="s">
        <v>2115</v>
      </c>
      <c r="R1294" s="74" t="s">
        <v>8690</v>
      </c>
      <c r="S1294" s="74" t="s">
        <v>8261</v>
      </c>
      <c r="T1294" s="157"/>
      <c r="U1294" s="159" t="s">
        <v>2129</v>
      </c>
      <c r="V1294" s="159" t="s">
        <v>2129</v>
      </c>
      <c r="W1294" s="159" t="s">
        <v>2138</v>
      </c>
      <c r="X1294" s="160">
        <v>1</v>
      </c>
      <c r="Y1294" s="160">
        <v>1</v>
      </c>
      <c r="Z1294" s="160">
        <v>1</v>
      </c>
      <c r="AA1294" s="160">
        <v>1</v>
      </c>
    </row>
    <row r="1295" spans="1:27" ht="18" customHeight="1" x14ac:dyDescent="0.25">
      <c r="A1295" s="159">
        <v>3231</v>
      </c>
      <c r="B1295" s="164" t="s">
        <v>266</v>
      </c>
      <c r="C1295" s="164" t="s">
        <v>519</v>
      </c>
      <c r="D1295" s="159" t="s">
        <v>935</v>
      </c>
      <c r="E1295" s="164" t="s">
        <v>933</v>
      </c>
      <c r="F1295" s="159"/>
      <c r="G1295" s="157" t="s">
        <v>1349</v>
      </c>
      <c r="H1295" s="157" t="s">
        <v>1350</v>
      </c>
      <c r="I1295" s="157" t="s">
        <v>1625</v>
      </c>
      <c r="J1295" s="157" t="s">
        <v>8295</v>
      </c>
      <c r="K1295" s="157" t="s">
        <v>1352</v>
      </c>
      <c r="L1295" s="157" t="s">
        <v>1630</v>
      </c>
      <c r="M1295" s="157" t="str">
        <f t="shared" si="30"/>
        <v>Camera_FFC5 - Long Range View</v>
      </c>
      <c r="N1295" s="157"/>
      <c r="O1295" s="157"/>
      <c r="P1295" s="159" t="s">
        <v>5075</v>
      </c>
      <c r="Q1295" s="74" t="s">
        <v>2115</v>
      </c>
      <c r="R1295" s="74" t="s">
        <v>8690</v>
      </c>
      <c r="S1295" s="74" t="s">
        <v>8261</v>
      </c>
      <c r="T1295" s="157"/>
      <c r="U1295" s="159" t="s">
        <v>2129</v>
      </c>
      <c r="V1295" s="159" t="s">
        <v>2129</v>
      </c>
      <c r="W1295" s="159" t="s">
        <v>2138</v>
      </c>
      <c r="X1295" s="160">
        <v>1</v>
      </c>
      <c r="Y1295" s="160">
        <v>1</v>
      </c>
      <c r="Z1295" s="160">
        <v>1</v>
      </c>
      <c r="AA1295" s="160">
        <v>1</v>
      </c>
    </row>
    <row r="1296" spans="1:27" ht="18" customHeight="1" x14ac:dyDescent="0.25">
      <c r="A1296" s="159">
        <v>3231</v>
      </c>
      <c r="B1296" s="164" t="s">
        <v>266</v>
      </c>
      <c r="C1296" s="164" t="s">
        <v>519</v>
      </c>
      <c r="D1296" s="159" t="s">
        <v>1151</v>
      </c>
      <c r="E1296" s="164" t="s">
        <v>1149</v>
      </c>
      <c r="F1296" s="159"/>
      <c r="G1296" s="157" t="s">
        <v>1349</v>
      </c>
      <c r="H1296" s="157" t="s">
        <v>1350</v>
      </c>
      <c r="I1296" s="157" t="s">
        <v>1625</v>
      </c>
      <c r="J1296" s="157" t="s">
        <v>8295</v>
      </c>
      <c r="K1296" s="157" t="s">
        <v>1352</v>
      </c>
      <c r="L1296" s="157" t="s">
        <v>1630</v>
      </c>
      <c r="M1296" s="157" t="str">
        <f t="shared" si="30"/>
        <v>Camera_FFC5 - Long Range View</v>
      </c>
      <c r="N1296" s="157"/>
      <c r="O1296" s="157"/>
      <c r="P1296" s="159" t="s">
        <v>5075</v>
      </c>
      <c r="Q1296" s="74" t="s">
        <v>2115</v>
      </c>
      <c r="R1296" s="74" t="s">
        <v>8690</v>
      </c>
      <c r="S1296" s="74" t="s">
        <v>8261</v>
      </c>
      <c r="T1296" s="157"/>
      <c r="U1296" s="159" t="s">
        <v>2129</v>
      </c>
      <c r="V1296" s="159" t="s">
        <v>2129</v>
      </c>
      <c r="W1296" s="159" t="s">
        <v>2138</v>
      </c>
      <c r="X1296" s="160">
        <v>1</v>
      </c>
      <c r="Y1296" s="160">
        <v>1</v>
      </c>
      <c r="Z1296" s="160">
        <v>1</v>
      </c>
      <c r="AA1296" s="160">
        <v>1</v>
      </c>
    </row>
    <row r="1297" spans="1:27" ht="18" customHeight="1" x14ac:dyDescent="0.25">
      <c r="A1297" s="159">
        <v>3231</v>
      </c>
      <c r="B1297" s="164" t="s">
        <v>266</v>
      </c>
      <c r="C1297" s="164" t="s">
        <v>519</v>
      </c>
      <c r="D1297" s="159" t="s">
        <v>1159</v>
      </c>
      <c r="E1297" s="164" t="s">
        <v>1157</v>
      </c>
      <c r="F1297" s="159"/>
      <c r="G1297" s="157" t="s">
        <v>1349</v>
      </c>
      <c r="H1297" s="157" t="s">
        <v>1350</v>
      </c>
      <c r="I1297" s="157" t="s">
        <v>1625</v>
      </c>
      <c r="J1297" s="157" t="s">
        <v>8295</v>
      </c>
      <c r="K1297" s="157" t="s">
        <v>1352</v>
      </c>
      <c r="L1297" s="157" t="s">
        <v>1630</v>
      </c>
      <c r="M1297" s="157" t="str">
        <f t="shared" si="30"/>
        <v>Camera_FFC5 - Long Range View</v>
      </c>
      <c r="N1297" s="157"/>
      <c r="O1297" s="157"/>
      <c r="P1297" s="159" t="s">
        <v>5075</v>
      </c>
      <c r="Q1297" s="74" t="s">
        <v>2115</v>
      </c>
      <c r="R1297" s="74" t="s">
        <v>8690</v>
      </c>
      <c r="S1297" s="74" t="s">
        <v>8261</v>
      </c>
      <c r="T1297" s="157"/>
      <c r="U1297" s="159" t="s">
        <v>2129</v>
      </c>
      <c r="V1297" s="159" t="s">
        <v>2129</v>
      </c>
      <c r="W1297" s="159" t="s">
        <v>2138</v>
      </c>
      <c r="X1297" s="160">
        <v>1</v>
      </c>
      <c r="Y1297" s="160">
        <v>1</v>
      </c>
      <c r="Z1297" s="160">
        <v>1</v>
      </c>
      <c r="AA1297" s="160">
        <v>1</v>
      </c>
    </row>
    <row r="1298" spans="1:27" ht="18" customHeight="1" x14ac:dyDescent="0.25">
      <c r="A1298" s="159">
        <v>3232</v>
      </c>
      <c r="B1298" s="164" t="s">
        <v>29</v>
      </c>
      <c r="C1298" s="164" t="s">
        <v>113</v>
      </c>
      <c r="D1298" s="159" t="s">
        <v>439</v>
      </c>
      <c r="E1298" s="164" t="s">
        <v>437</v>
      </c>
      <c r="F1298" s="159"/>
      <c r="G1298" s="157" t="s">
        <v>1349</v>
      </c>
      <c r="H1298" s="157" t="s">
        <v>1350</v>
      </c>
      <c r="I1298" s="157" t="s">
        <v>1625</v>
      </c>
      <c r="J1298" s="157" t="s">
        <v>8295</v>
      </c>
      <c r="K1298" s="157" t="s">
        <v>1352</v>
      </c>
      <c r="L1298" s="157" t="s">
        <v>1631</v>
      </c>
      <c r="M1298" s="157" t="str">
        <f t="shared" si="30"/>
        <v>Camera_FFC6 - Long Range View</v>
      </c>
      <c r="N1298" s="157"/>
      <c r="O1298" s="157"/>
      <c r="P1298" s="159" t="s">
        <v>6567</v>
      </c>
      <c r="Q1298" s="74" t="s">
        <v>2115</v>
      </c>
      <c r="R1298" s="74" t="s">
        <v>8690</v>
      </c>
      <c r="S1298" s="74" t="s">
        <v>8261</v>
      </c>
      <c r="T1298" s="157"/>
      <c r="U1298" s="159" t="s">
        <v>2129</v>
      </c>
      <c r="V1298" s="159" t="s">
        <v>2129</v>
      </c>
      <c r="W1298" s="159" t="s">
        <v>2138</v>
      </c>
      <c r="X1298" s="160">
        <v>1</v>
      </c>
      <c r="Y1298" s="160">
        <v>1</v>
      </c>
      <c r="Z1298" s="160">
        <v>1</v>
      </c>
      <c r="AA1298" s="160">
        <v>1</v>
      </c>
    </row>
    <row r="1299" spans="1:27" ht="18" customHeight="1" x14ac:dyDescent="0.25">
      <c r="A1299" s="159">
        <v>3232</v>
      </c>
      <c r="B1299" s="164" t="s">
        <v>29</v>
      </c>
      <c r="C1299" s="164" t="s">
        <v>113</v>
      </c>
      <c r="D1299" s="159" t="s">
        <v>932</v>
      </c>
      <c r="E1299" s="164" t="s">
        <v>930</v>
      </c>
      <c r="F1299" s="159"/>
      <c r="G1299" s="157" t="s">
        <v>1349</v>
      </c>
      <c r="H1299" s="157" t="s">
        <v>1350</v>
      </c>
      <c r="I1299" s="157" t="s">
        <v>1625</v>
      </c>
      <c r="J1299" s="157" t="s">
        <v>8295</v>
      </c>
      <c r="K1299" s="157" t="s">
        <v>1352</v>
      </c>
      <c r="L1299" s="157" t="s">
        <v>1631</v>
      </c>
      <c r="M1299" s="157" t="str">
        <f t="shared" si="30"/>
        <v>Camera_FFC6 - Long Range View</v>
      </c>
      <c r="N1299" s="157"/>
      <c r="O1299" s="157"/>
      <c r="P1299" s="159" t="s">
        <v>6567</v>
      </c>
      <c r="Q1299" s="74" t="s">
        <v>2115</v>
      </c>
      <c r="R1299" s="74" t="s">
        <v>8690</v>
      </c>
      <c r="S1299" s="74" t="s">
        <v>8261</v>
      </c>
      <c r="T1299" s="157"/>
      <c r="U1299" s="159" t="s">
        <v>2129</v>
      </c>
      <c r="V1299" s="159" t="s">
        <v>2129</v>
      </c>
      <c r="W1299" s="159" t="s">
        <v>2138</v>
      </c>
      <c r="X1299" s="160">
        <v>1</v>
      </c>
      <c r="Y1299" s="160">
        <v>1</v>
      </c>
      <c r="Z1299" s="160">
        <v>1</v>
      </c>
      <c r="AA1299" s="160">
        <v>1</v>
      </c>
    </row>
    <row r="1300" spans="1:27" ht="18" customHeight="1" x14ac:dyDescent="0.25">
      <c r="A1300" s="159">
        <v>3232</v>
      </c>
      <c r="B1300" s="164" t="s">
        <v>266</v>
      </c>
      <c r="C1300" s="164" t="s">
        <v>276</v>
      </c>
      <c r="D1300" s="159" t="s">
        <v>734</v>
      </c>
      <c r="E1300" s="164" t="s">
        <v>732</v>
      </c>
      <c r="F1300" s="159"/>
      <c r="G1300" s="157" t="s">
        <v>1349</v>
      </c>
      <c r="H1300" s="157" t="s">
        <v>1350</v>
      </c>
      <c r="I1300" s="157" t="s">
        <v>1625</v>
      </c>
      <c r="J1300" s="157" t="s">
        <v>8295</v>
      </c>
      <c r="K1300" s="157" t="s">
        <v>1352</v>
      </c>
      <c r="L1300" s="157" t="s">
        <v>1631</v>
      </c>
      <c r="M1300" s="157" t="str">
        <f t="shared" si="30"/>
        <v>Camera_FFC6 - Long Range View</v>
      </c>
      <c r="N1300" s="157"/>
      <c r="O1300" s="157"/>
      <c r="P1300" s="159" t="s">
        <v>6567</v>
      </c>
      <c r="Q1300" s="74" t="s">
        <v>2115</v>
      </c>
      <c r="R1300" s="74" t="s">
        <v>8690</v>
      </c>
      <c r="S1300" s="74" t="s">
        <v>8261</v>
      </c>
      <c r="T1300" s="157"/>
      <c r="U1300" s="159" t="s">
        <v>2129</v>
      </c>
      <c r="V1300" s="159" t="s">
        <v>2129</v>
      </c>
      <c r="W1300" s="159" t="s">
        <v>2138</v>
      </c>
      <c r="X1300" s="160">
        <v>1</v>
      </c>
      <c r="Y1300" s="160">
        <v>1</v>
      </c>
      <c r="Z1300" s="160">
        <v>1</v>
      </c>
      <c r="AA1300" s="160">
        <v>1</v>
      </c>
    </row>
    <row r="1301" spans="1:27" ht="18" customHeight="1" x14ac:dyDescent="0.25">
      <c r="A1301" s="159">
        <v>3232</v>
      </c>
      <c r="B1301" s="164" t="s">
        <v>266</v>
      </c>
      <c r="C1301" s="164" t="s">
        <v>294</v>
      </c>
      <c r="D1301" s="159" t="s">
        <v>297</v>
      </c>
      <c r="E1301" s="164" t="s">
        <v>295</v>
      </c>
      <c r="F1301" s="159"/>
      <c r="G1301" s="157" t="s">
        <v>1349</v>
      </c>
      <c r="H1301" s="157" t="s">
        <v>1350</v>
      </c>
      <c r="I1301" s="157" t="s">
        <v>1625</v>
      </c>
      <c r="J1301" s="157" t="s">
        <v>8295</v>
      </c>
      <c r="K1301" s="157" t="s">
        <v>1352</v>
      </c>
      <c r="L1301" s="157" t="s">
        <v>1631</v>
      </c>
      <c r="M1301" s="157" t="str">
        <f t="shared" si="30"/>
        <v>Camera_FFC6 - Long Range View</v>
      </c>
      <c r="N1301" s="157"/>
      <c r="O1301" s="157"/>
      <c r="P1301" s="159" t="s">
        <v>6567</v>
      </c>
      <c r="Q1301" s="74" t="s">
        <v>2115</v>
      </c>
      <c r="R1301" s="74" t="s">
        <v>8690</v>
      </c>
      <c r="S1301" s="74" t="s">
        <v>8261</v>
      </c>
      <c r="T1301" s="157"/>
      <c r="U1301" s="159" t="s">
        <v>2129</v>
      </c>
      <c r="V1301" s="159" t="s">
        <v>2129</v>
      </c>
      <c r="W1301" s="159" t="s">
        <v>2138</v>
      </c>
      <c r="X1301" s="160">
        <v>1</v>
      </c>
      <c r="Y1301" s="160">
        <v>1</v>
      </c>
      <c r="Z1301" s="160">
        <v>1</v>
      </c>
      <c r="AA1301" s="160">
        <v>1</v>
      </c>
    </row>
    <row r="1302" spans="1:27" ht="18" customHeight="1" x14ac:dyDescent="0.25">
      <c r="A1302" s="159">
        <v>3232</v>
      </c>
      <c r="B1302" s="164" t="s">
        <v>266</v>
      </c>
      <c r="C1302" s="164" t="s">
        <v>294</v>
      </c>
      <c r="D1302" s="159" t="s">
        <v>298</v>
      </c>
      <c r="E1302" s="164" t="s">
        <v>299</v>
      </c>
      <c r="F1302" s="159"/>
      <c r="G1302" s="157" t="s">
        <v>1349</v>
      </c>
      <c r="H1302" s="157" t="s">
        <v>1350</v>
      </c>
      <c r="I1302" s="157" t="s">
        <v>1625</v>
      </c>
      <c r="J1302" s="157" t="s">
        <v>8295</v>
      </c>
      <c r="K1302" s="157" t="s">
        <v>1352</v>
      </c>
      <c r="L1302" s="157" t="s">
        <v>1631</v>
      </c>
      <c r="M1302" s="157" t="str">
        <f t="shared" si="30"/>
        <v>Camera_FFC6 - Long Range View</v>
      </c>
      <c r="N1302" s="157"/>
      <c r="O1302" s="157"/>
      <c r="P1302" s="159" t="s">
        <v>6567</v>
      </c>
      <c r="Q1302" s="74" t="s">
        <v>2115</v>
      </c>
      <c r="R1302" s="74" t="s">
        <v>8690</v>
      </c>
      <c r="S1302" s="74" t="s">
        <v>8261</v>
      </c>
      <c r="T1302" s="157"/>
      <c r="U1302" s="159" t="s">
        <v>2129</v>
      </c>
      <c r="V1302" s="159" t="s">
        <v>2129</v>
      </c>
      <c r="W1302" s="159" t="s">
        <v>2138</v>
      </c>
      <c r="X1302" s="160">
        <v>1</v>
      </c>
      <c r="Y1302" s="160">
        <v>1</v>
      </c>
      <c r="Z1302" s="160">
        <v>1</v>
      </c>
      <c r="AA1302" s="160">
        <v>1</v>
      </c>
    </row>
    <row r="1303" spans="1:27" ht="18" customHeight="1" x14ac:dyDescent="0.25">
      <c r="A1303" s="159">
        <v>3232</v>
      </c>
      <c r="B1303" s="164" t="s">
        <v>266</v>
      </c>
      <c r="C1303" s="164" t="s">
        <v>294</v>
      </c>
      <c r="D1303" s="159" t="s">
        <v>503</v>
      </c>
      <c r="E1303" s="164" t="s">
        <v>501</v>
      </c>
      <c r="F1303" s="159"/>
      <c r="G1303" s="157" t="s">
        <v>1349</v>
      </c>
      <c r="H1303" s="157" t="s">
        <v>1350</v>
      </c>
      <c r="I1303" s="157" t="s">
        <v>1625</v>
      </c>
      <c r="J1303" s="157" t="s">
        <v>8295</v>
      </c>
      <c r="K1303" s="157" t="s">
        <v>1352</v>
      </c>
      <c r="L1303" s="157" t="s">
        <v>1631</v>
      </c>
      <c r="M1303" s="157" t="str">
        <f t="shared" si="30"/>
        <v>Camera_FFC6 - Long Range View</v>
      </c>
      <c r="N1303" s="157"/>
      <c r="O1303" s="157"/>
      <c r="P1303" s="159" t="s">
        <v>6567</v>
      </c>
      <c r="Q1303" s="74" t="s">
        <v>2115</v>
      </c>
      <c r="R1303" s="74" t="s">
        <v>8690</v>
      </c>
      <c r="S1303" s="74" t="s">
        <v>8261</v>
      </c>
      <c r="T1303" s="157"/>
      <c r="U1303" s="159" t="s">
        <v>2129</v>
      </c>
      <c r="V1303" s="159" t="s">
        <v>2129</v>
      </c>
      <c r="W1303" s="159" t="s">
        <v>2138</v>
      </c>
      <c r="X1303" s="160">
        <v>1</v>
      </c>
      <c r="Y1303" s="160">
        <v>1</v>
      </c>
      <c r="Z1303" s="160">
        <v>1</v>
      </c>
      <c r="AA1303" s="160">
        <v>1</v>
      </c>
    </row>
    <row r="1304" spans="1:27" ht="18" customHeight="1" x14ac:dyDescent="0.25">
      <c r="A1304" s="159">
        <v>3232</v>
      </c>
      <c r="B1304" s="164" t="s">
        <v>266</v>
      </c>
      <c r="C1304" s="164" t="s">
        <v>294</v>
      </c>
      <c r="D1304" s="159" t="s">
        <v>692</v>
      </c>
      <c r="E1304" s="164" t="s">
        <v>690</v>
      </c>
      <c r="F1304" s="159"/>
      <c r="G1304" s="157" t="s">
        <v>1349</v>
      </c>
      <c r="H1304" s="157" t="s">
        <v>1350</v>
      </c>
      <c r="I1304" s="157" t="s">
        <v>1625</v>
      </c>
      <c r="J1304" s="157" t="s">
        <v>8295</v>
      </c>
      <c r="K1304" s="157" t="s">
        <v>1352</v>
      </c>
      <c r="L1304" s="157" t="s">
        <v>1631</v>
      </c>
      <c r="M1304" s="157" t="str">
        <f t="shared" si="30"/>
        <v>Camera_FFC6 - Long Range View</v>
      </c>
      <c r="N1304" s="157"/>
      <c r="O1304" s="157"/>
      <c r="P1304" s="159" t="s">
        <v>6567</v>
      </c>
      <c r="Q1304" s="74" t="s">
        <v>2115</v>
      </c>
      <c r="R1304" s="74" t="s">
        <v>8690</v>
      </c>
      <c r="S1304" s="74" t="s">
        <v>8261</v>
      </c>
      <c r="T1304" s="157"/>
      <c r="U1304" s="159" t="s">
        <v>2129</v>
      </c>
      <c r="V1304" s="159" t="s">
        <v>2129</v>
      </c>
      <c r="W1304" s="159" t="s">
        <v>2138</v>
      </c>
      <c r="X1304" s="160">
        <v>1</v>
      </c>
      <c r="Y1304" s="160">
        <v>1</v>
      </c>
      <c r="Z1304" s="160">
        <v>1</v>
      </c>
      <c r="AA1304" s="160">
        <v>1</v>
      </c>
    </row>
    <row r="1305" spans="1:27" ht="18" customHeight="1" x14ac:dyDescent="0.25">
      <c r="A1305" s="159">
        <v>3232</v>
      </c>
      <c r="B1305" s="164" t="s">
        <v>266</v>
      </c>
      <c r="C1305" s="164" t="s">
        <v>294</v>
      </c>
      <c r="D1305" s="159" t="s">
        <v>1177</v>
      </c>
      <c r="E1305" s="164" t="s">
        <v>1175</v>
      </c>
      <c r="F1305" s="159"/>
      <c r="G1305" s="157" t="s">
        <v>1349</v>
      </c>
      <c r="H1305" s="157" t="s">
        <v>1350</v>
      </c>
      <c r="I1305" s="157" t="s">
        <v>1625</v>
      </c>
      <c r="J1305" s="157" t="s">
        <v>8295</v>
      </c>
      <c r="K1305" s="157" t="s">
        <v>1352</v>
      </c>
      <c r="L1305" s="157" t="s">
        <v>1631</v>
      </c>
      <c r="M1305" s="157" t="str">
        <f t="shared" si="30"/>
        <v>Camera_FFC6 - Long Range View</v>
      </c>
      <c r="N1305" s="157"/>
      <c r="O1305" s="157"/>
      <c r="P1305" s="159" t="s">
        <v>6567</v>
      </c>
      <c r="Q1305" s="74" t="s">
        <v>2115</v>
      </c>
      <c r="R1305" s="74" t="s">
        <v>8690</v>
      </c>
      <c r="S1305" s="74" t="s">
        <v>8261</v>
      </c>
      <c r="T1305" s="157"/>
      <c r="U1305" s="159" t="s">
        <v>2129</v>
      </c>
      <c r="V1305" s="159" t="s">
        <v>2129</v>
      </c>
      <c r="W1305" s="159" t="s">
        <v>2138</v>
      </c>
      <c r="X1305" s="160">
        <v>1</v>
      </c>
      <c r="Y1305" s="160">
        <v>1</v>
      </c>
      <c r="Z1305" s="160">
        <v>1</v>
      </c>
      <c r="AA1305" s="160">
        <v>1</v>
      </c>
    </row>
    <row r="1306" spans="1:27" ht="18" customHeight="1" x14ac:dyDescent="0.25">
      <c r="A1306" s="159">
        <v>3232</v>
      </c>
      <c r="B1306" s="164" t="s">
        <v>266</v>
      </c>
      <c r="C1306" s="164" t="s">
        <v>294</v>
      </c>
      <c r="D1306" s="159" t="s">
        <v>1178</v>
      </c>
      <c r="E1306" s="164" t="s">
        <v>1179</v>
      </c>
      <c r="F1306" s="159"/>
      <c r="G1306" s="157" t="s">
        <v>1349</v>
      </c>
      <c r="H1306" s="157" t="s">
        <v>1350</v>
      </c>
      <c r="I1306" s="157" t="s">
        <v>1625</v>
      </c>
      <c r="J1306" s="157" t="s">
        <v>8295</v>
      </c>
      <c r="K1306" s="157" t="s">
        <v>1352</v>
      </c>
      <c r="L1306" s="157" t="s">
        <v>1631</v>
      </c>
      <c r="M1306" s="157" t="str">
        <f t="shared" si="30"/>
        <v>Camera_FFC6 - Long Range View</v>
      </c>
      <c r="N1306" s="157"/>
      <c r="O1306" s="157"/>
      <c r="P1306" s="159" t="s">
        <v>6567</v>
      </c>
      <c r="Q1306" s="74" t="s">
        <v>2115</v>
      </c>
      <c r="R1306" s="74" t="s">
        <v>8690</v>
      </c>
      <c r="S1306" s="74" t="s">
        <v>8261</v>
      </c>
      <c r="T1306" s="157"/>
      <c r="U1306" s="159" t="s">
        <v>2129</v>
      </c>
      <c r="V1306" s="159" t="s">
        <v>2129</v>
      </c>
      <c r="W1306" s="159" t="s">
        <v>2138</v>
      </c>
      <c r="X1306" s="160">
        <v>1</v>
      </c>
      <c r="Y1306" s="160">
        <v>1</v>
      </c>
      <c r="Z1306" s="160">
        <v>1</v>
      </c>
      <c r="AA1306" s="160">
        <v>1</v>
      </c>
    </row>
    <row r="1307" spans="1:27" ht="18" customHeight="1" x14ac:dyDescent="0.25">
      <c r="A1307" s="159">
        <v>3232</v>
      </c>
      <c r="B1307" s="164" t="s">
        <v>266</v>
      </c>
      <c r="C1307" s="164" t="s">
        <v>294</v>
      </c>
      <c r="D1307" s="159" t="s">
        <v>1207</v>
      </c>
      <c r="E1307" s="164" t="s">
        <v>1205</v>
      </c>
      <c r="F1307" s="159"/>
      <c r="G1307" s="157" t="s">
        <v>1349</v>
      </c>
      <c r="H1307" s="157" t="s">
        <v>1350</v>
      </c>
      <c r="I1307" s="157" t="s">
        <v>1625</v>
      </c>
      <c r="J1307" s="157" t="s">
        <v>8295</v>
      </c>
      <c r="K1307" s="157" t="s">
        <v>1352</v>
      </c>
      <c r="L1307" s="157" t="s">
        <v>1631</v>
      </c>
      <c r="M1307" s="157" t="str">
        <f t="shared" si="30"/>
        <v>Camera_FFC6 - Long Range View</v>
      </c>
      <c r="N1307" s="157"/>
      <c r="O1307" s="157"/>
      <c r="P1307" s="159" t="s">
        <v>6567</v>
      </c>
      <c r="Q1307" s="74" t="s">
        <v>2115</v>
      </c>
      <c r="R1307" s="74" t="s">
        <v>8690</v>
      </c>
      <c r="S1307" s="74" t="s">
        <v>8261</v>
      </c>
      <c r="T1307" s="157"/>
      <c r="U1307" s="159" t="s">
        <v>2129</v>
      </c>
      <c r="V1307" s="159" t="s">
        <v>2129</v>
      </c>
      <c r="W1307" s="159" t="s">
        <v>2138</v>
      </c>
      <c r="X1307" s="160">
        <v>1</v>
      </c>
      <c r="Y1307" s="160">
        <v>1</v>
      </c>
      <c r="Z1307" s="160">
        <v>1</v>
      </c>
      <c r="AA1307" s="160">
        <v>1</v>
      </c>
    </row>
    <row r="1308" spans="1:27" ht="18" customHeight="1" x14ac:dyDescent="0.25">
      <c r="A1308" s="159">
        <v>3232</v>
      </c>
      <c r="B1308" s="164" t="s">
        <v>266</v>
      </c>
      <c r="C1308" s="164" t="s">
        <v>519</v>
      </c>
      <c r="D1308" s="159" t="s">
        <v>522</v>
      </c>
      <c r="E1308" s="164" t="s">
        <v>520</v>
      </c>
      <c r="F1308" s="159"/>
      <c r="G1308" s="157" t="s">
        <v>1349</v>
      </c>
      <c r="H1308" s="157" t="s">
        <v>1350</v>
      </c>
      <c r="I1308" s="157" t="s">
        <v>1625</v>
      </c>
      <c r="J1308" s="157" t="s">
        <v>8295</v>
      </c>
      <c r="K1308" s="157" t="s">
        <v>1352</v>
      </c>
      <c r="L1308" s="157" t="s">
        <v>1631</v>
      </c>
      <c r="M1308" s="157" t="str">
        <f t="shared" si="30"/>
        <v>Camera_FFC6 - Long Range View</v>
      </c>
      <c r="N1308" s="157"/>
      <c r="O1308" s="157"/>
      <c r="P1308" s="159" t="s">
        <v>6567</v>
      </c>
      <c r="Q1308" s="74" t="s">
        <v>2115</v>
      </c>
      <c r="R1308" s="74" t="s">
        <v>8690</v>
      </c>
      <c r="S1308" s="74" t="s">
        <v>8261</v>
      </c>
      <c r="T1308" s="157"/>
      <c r="U1308" s="159" t="s">
        <v>2129</v>
      </c>
      <c r="V1308" s="159" t="s">
        <v>2129</v>
      </c>
      <c r="W1308" s="159" t="s">
        <v>2138</v>
      </c>
      <c r="X1308" s="160">
        <v>1</v>
      </c>
      <c r="Y1308" s="160">
        <v>1</v>
      </c>
      <c r="Z1308" s="160">
        <v>1</v>
      </c>
      <c r="AA1308" s="160">
        <v>1</v>
      </c>
    </row>
    <row r="1309" spans="1:27" ht="18" customHeight="1" x14ac:dyDescent="0.25">
      <c r="A1309" s="159">
        <v>3232</v>
      </c>
      <c r="B1309" s="164" t="s">
        <v>266</v>
      </c>
      <c r="C1309" s="164" t="s">
        <v>519</v>
      </c>
      <c r="D1309" s="159" t="s">
        <v>526</v>
      </c>
      <c r="E1309" s="164" t="s">
        <v>524</v>
      </c>
      <c r="F1309" s="159"/>
      <c r="G1309" s="157" t="s">
        <v>1349</v>
      </c>
      <c r="H1309" s="157" t="s">
        <v>1350</v>
      </c>
      <c r="I1309" s="157" t="s">
        <v>1625</v>
      </c>
      <c r="J1309" s="157" t="s">
        <v>8295</v>
      </c>
      <c r="K1309" s="157" t="s">
        <v>1352</v>
      </c>
      <c r="L1309" s="157" t="s">
        <v>1631</v>
      </c>
      <c r="M1309" s="157" t="str">
        <f t="shared" si="30"/>
        <v>Camera_FFC6 - Long Range View</v>
      </c>
      <c r="N1309" s="157"/>
      <c r="O1309" s="157"/>
      <c r="P1309" s="159" t="s">
        <v>6567</v>
      </c>
      <c r="Q1309" s="74" t="s">
        <v>2115</v>
      </c>
      <c r="R1309" s="74" t="s">
        <v>8690</v>
      </c>
      <c r="S1309" s="74" t="s">
        <v>8261</v>
      </c>
      <c r="T1309" s="157"/>
      <c r="U1309" s="159" t="s">
        <v>2129</v>
      </c>
      <c r="V1309" s="159" t="s">
        <v>2129</v>
      </c>
      <c r="W1309" s="159" t="s">
        <v>2138</v>
      </c>
      <c r="X1309" s="160">
        <v>1</v>
      </c>
      <c r="Y1309" s="160">
        <v>1</v>
      </c>
      <c r="Z1309" s="160">
        <v>1</v>
      </c>
      <c r="AA1309" s="160">
        <v>1</v>
      </c>
    </row>
    <row r="1310" spans="1:27" ht="18" customHeight="1" x14ac:dyDescent="0.25">
      <c r="A1310" s="159">
        <v>3232</v>
      </c>
      <c r="B1310" s="164" t="s">
        <v>266</v>
      </c>
      <c r="C1310" s="164" t="s">
        <v>519</v>
      </c>
      <c r="D1310" s="159" t="s">
        <v>530</v>
      </c>
      <c r="E1310" s="164" t="s">
        <v>528</v>
      </c>
      <c r="F1310" s="159"/>
      <c r="G1310" s="157" t="s">
        <v>1349</v>
      </c>
      <c r="H1310" s="157" t="s">
        <v>1350</v>
      </c>
      <c r="I1310" s="157" t="s">
        <v>1625</v>
      </c>
      <c r="J1310" s="157" t="s">
        <v>8295</v>
      </c>
      <c r="K1310" s="157" t="s">
        <v>1352</v>
      </c>
      <c r="L1310" s="157" t="s">
        <v>1631</v>
      </c>
      <c r="M1310" s="157" t="str">
        <f t="shared" si="30"/>
        <v>Camera_FFC6 - Long Range View</v>
      </c>
      <c r="N1310" s="157"/>
      <c r="O1310" s="157"/>
      <c r="P1310" s="159" t="s">
        <v>6567</v>
      </c>
      <c r="Q1310" s="74" t="s">
        <v>2115</v>
      </c>
      <c r="R1310" s="74" t="s">
        <v>8690</v>
      </c>
      <c r="S1310" s="74" t="s">
        <v>8261</v>
      </c>
      <c r="T1310" s="157"/>
      <c r="U1310" s="159" t="s">
        <v>2129</v>
      </c>
      <c r="V1310" s="159" t="s">
        <v>2129</v>
      </c>
      <c r="W1310" s="159" t="s">
        <v>2138</v>
      </c>
      <c r="X1310" s="160">
        <v>1</v>
      </c>
      <c r="Y1310" s="160">
        <v>1</v>
      </c>
      <c r="Z1310" s="160">
        <v>1</v>
      </c>
      <c r="AA1310" s="160">
        <v>1</v>
      </c>
    </row>
    <row r="1311" spans="1:27" ht="18" customHeight="1" x14ac:dyDescent="0.25">
      <c r="A1311" s="159">
        <v>3232</v>
      </c>
      <c r="B1311" s="164" t="s">
        <v>266</v>
      </c>
      <c r="C1311" s="164" t="s">
        <v>519</v>
      </c>
      <c r="D1311" s="159" t="s">
        <v>787</v>
      </c>
      <c r="E1311" s="164" t="s">
        <v>785</v>
      </c>
      <c r="F1311" s="159"/>
      <c r="G1311" s="157" t="s">
        <v>1349</v>
      </c>
      <c r="H1311" s="157" t="s">
        <v>1350</v>
      </c>
      <c r="I1311" s="157" t="s">
        <v>1625</v>
      </c>
      <c r="J1311" s="157" t="s">
        <v>8295</v>
      </c>
      <c r="K1311" s="157" t="s">
        <v>1352</v>
      </c>
      <c r="L1311" s="157" t="s">
        <v>1631</v>
      </c>
      <c r="M1311" s="157" t="str">
        <f t="shared" si="30"/>
        <v>Camera_FFC6 - Long Range View</v>
      </c>
      <c r="N1311" s="157"/>
      <c r="O1311" s="157"/>
      <c r="P1311" s="159" t="s">
        <v>6567</v>
      </c>
      <c r="Q1311" s="74" t="s">
        <v>2115</v>
      </c>
      <c r="R1311" s="74" t="s">
        <v>8690</v>
      </c>
      <c r="S1311" s="74" t="s">
        <v>8261</v>
      </c>
      <c r="T1311" s="157"/>
      <c r="U1311" s="159" t="s">
        <v>2129</v>
      </c>
      <c r="V1311" s="159" t="s">
        <v>2129</v>
      </c>
      <c r="W1311" s="159" t="s">
        <v>2138</v>
      </c>
      <c r="X1311" s="160">
        <v>1</v>
      </c>
      <c r="Y1311" s="160">
        <v>1</v>
      </c>
      <c r="Z1311" s="160">
        <v>1</v>
      </c>
      <c r="AA1311" s="160">
        <v>1</v>
      </c>
    </row>
    <row r="1312" spans="1:27" ht="18" customHeight="1" x14ac:dyDescent="0.25">
      <c r="A1312" s="159">
        <v>3232</v>
      </c>
      <c r="B1312" s="164" t="s">
        <v>266</v>
      </c>
      <c r="C1312" s="164" t="s">
        <v>519</v>
      </c>
      <c r="D1312" s="159" t="s">
        <v>935</v>
      </c>
      <c r="E1312" s="164" t="s">
        <v>933</v>
      </c>
      <c r="F1312" s="159"/>
      <c r="G1312" s="157" t="s">
        <v>1349</v>
      </c>
      <c r="H1312" s="157" t="s">
        <v>1350</v>
      </c>
      <c r="I1312" s="157" t="s">
        <v>1625</v>
      </c>
      <c r="J1312" s="157" t="s">
        <v>8295</v>
      </c>
      <c r="K1312" s="157" t="s">
        <v>1352</v>
      </c>
      <c r="L1312" s="157" t="s">
        <v>1631</v>
      </c>
      <c r="M1312" s="157" t="str">
        <f t="shared" si="30"/>
        <v>Camera_FFC6 - Long Range View</v>
      </c>
      <c r="N1312" s="157"/>
      <c r="O1312" s="157"/>
      <c r="P1312" s="159" t="s">
        <v>6567</v>
      </c>
      <c r="Q1312" s="74" t="s">
        <v>2115</v>
      </c>
      <c r="R1312" s="74" t="s">
        <v>8690</v>
      </c>
      <c r="S1312" s="74" t="s">
        <v>8261</v>
      </c>
      <c r="T1312" s="157"/>
      <c r="U1312" s="159" t="s">
        <v>2129</v>
      </c>
      <c r="V1312" s="159" t="s">
        <v>2129</v>
      </c>
      <c r="W1312" s="159" t="s">
        <v>2138</v>
      </c>
      <c r="X1312" s="160">
        <v>1</v>
      </c>
      <c r="Y1312" s="160">
        <v>1</v>
      </c>
      <c r="Z1312" s="160">
        <v>1</v>
      </c>
      <c r="AA1312" s="160">
        <v>1</v>
      </c>
    </row>
    <row r="1313" spans="1:27" ht="18" customHeight="1" x14ac:dyDescent="0.25">
      <c r="A1313" s="159">
        <v>3232</v>
      </c>
      <c r="B1313" s="164" t="s">
        <v>266</v>
      </c>
      <c r="C1313" s="164" t="s">
        <v>519</v>
      </c>
      <c r="D1313" s="159" t="s">
        <v>1151</v>
      </c>
      <c r="E1313" s="164" t="s">
        <v>1149</v>
      </c>
      <c r="F1313" s="159"/>
      <c r="G1313" s="157" t="s">
        <v>1349</v>
      </c>
      <c r="H1313" s="157" t="s">
        <v>1350</v>
      </c>
      <c r="I1313" s="157" t="s">
        <v>1625</v>
      </c>
      <c r="J1313" s="157" t="s">
        <v>8295</v>
      </c>
      <c r="K1313" s="157" t="s">
        <v>1352</v>
      </c>
      <c r="L1313" s="157" t="s">
        <v>1631</v>
      </c>
      <c r="M1313" s="157" t="str">
        <f t="shared" si="30"/>
        <v>Camera_FFC6 - Long Range View</v>
      </c>
      <c r="N1313" s="157"/>
      <c r="O1313" s="157"/>
      <c r="P1313" s="159" t="s">
        <v>6567</v>
      </c>
      <c r="Q1313" s="74" t="s">
        <v>2115</v>
      </c>
      <c r="R1313" s="74" t="s">
        <v>8690</v>
      </c>
      <c r="S1313" s="74" t="s">
        <v>8261</v>
      </c>
      <c r="T1313" s="157"/>
      <c r="U1313" s="159" t="s">
        <v>2129</v>
      </c>
      <c r="V1313" s="159" t="s">
        <v>2129</v>
      </c>
      <c r="W1313" s="159" t="s">
        <v>2138</v>
      </c>
      <c r="X1313" s="160">
        <v>1</v>
      </c>
      <c r="Y1313" s="160">
        <v>1</v>
      </c>
      <c r="Z1313" s="160">
        <v>1</v>
      </c>
      <c r="AA1313" s="160">
        <v>1</v>
      </c>
    </row>
    <row r="1314" spans="1:27" ht="18" customHeight="1" x14ac:dyDescent="0.25">
      <c r="A1314" s="159">
        <v>3232</v>
      </c>
      <c r="B1314" s="164" t="s">
        <v>266</v>
      </c>
      <c r="C1314" s="164" t="s">
        <v>519</v>
      </c>
      <c r="D1314" s="159" t="s">
        <v>1159</v>
      </c>
      <c r="E1314" s="164" t="s">
        <v>1157</v>
      </c>
      <c r="F1314" s="159"/>
      <c r="G1314" s="157" t="s">
        <v>1349</v>
      </c>
      <c r="H1314" s="157" t="s">
        <v>1350</v>
      </c>
      <c r="I1314" s="157" t="s">
        <v>1625</v>
      </c>
      <c r="J1314" s="157" t="s">
        <v>8295</v>
      </c>
      <c r="K1314" s="157" t="s">
        <v>1352</v>
      </c>
      <c r="L1314" s="157" t="s">
        <v>1631</v>
      </c>
      <c r="M1314" s="157" t="str">
        <f t="shared" si="30"/>
        <v>Camera_FFC6 - Long Range View</v>
      </c>
      <c r="N1314" s="157"/>
      <c r="O1314" s="157"/>
      <c r="P1314" s="159" t="s">
        <v>6567</v>
      </c>
      <c r="Q1314" s="74" t="s">
        <v>2115</v>
      </c>
      <c r="R1314" s="74" t="s">
        <v>8690</v>
      </c>
      <c r="S1314" s="74" t="s">
        <v>8261</v>
      </c>
      <c r="T1314" s="157"/>
      <c r="U1314" s="159" t="s">
        <v>2129</v>
      </c>
      <c r="V1314" s="159" t="s">
        <v>2129</v>
      </c>
      <c r="W1314" s="159" t="s">
        <v>2138</v>
      </c>
      <c r="X1314" s="160">
        <v>1</v>
      </c>
      <c r="Y1314" s="160">
        <v>1</v>
      </c>
      <c r="Z1314" s="160">
        <v>1</v>
      </c>
      <c r="AA1314" s="160">
        <v>1</v>
      </c>
    </row>
    <row r="1315" spans="1:27" ht="18" customHeight="1" x14ac:dyDescent="0.25">
      <c r="A1315" s="159">
        <v>3233</v>
      </c>
      <c r="B1315" s="164" t="s">
        <v>29</v>
      </c>
      <c r="C1315" s="164" t="s">
        <v>113</v>
      </c>
      <c r="D1315" s="159" t="s">
        <v>439</v>
      </c>
      <c r="E1315" s="164" t="s">
        <v>437</v>
      </c>
      <c r="F1315" s="159"/>
      <c r="G1315" s="157" t="s">
        <v>1349</v>
      </c>
      <c r="H1315" s="157" t="s">
        <v>1350</v>
      </c>
      <c r="I1315" s="157" t="s">
        <v>1625</v>
      </c>
      <c r="J1315" s="157" t="s">
        <v>8295</v>
      </c>
      <c r="K1315" s="157" t="s">
        <v>1352</v>
      </c>
      <c r="L1315" s="157" t="s">
        <v>1632</v>
      </c>
      <c r="M1315" s="157" t="str">
        <f t="shared" si="30"/>
        <v>Camera_FFC7 - Long Range View</v>
      </c>
      <c r="N1315" s="157"/>
      <c r="O1315" s="157"/>
      <c r="P1315" s="159" t="s">
        <v>7085</v>
      </c>
      <c r="Q1315" s="74" t="s">
        <v>2115</v>
      </c>
      <c r="R1315" s="74" t="s">
        <v>8690</v>
      </c>
      <c r="S1315" s="74" t="s">
        <v>8261</v>
      </c>
      <c r="T1315" s="157"/>
      <c r="U1315" s="159" t="s">
        <v>2129</v>
      </c>
      <c r="V1315" s="159" t="s">
        <v>2129</v>
      </c>
      <c r="W1315" s="159" t="s">
        <v>2138</v>
      </c>
      <c r="X1315" s="160">
        <v>1</v>
      </c>
      <c r="Y1315" s="160">
        <v>1</v>
      </c>
      <c r="Z1315" s="160">
        <v>1</v>
      </c>
      <c r="AA1315" s="160">
        <v>1</v>
      </c>
    </row>
    <row r="1316" spans="1:27" ht="18" customHeight="1" x14ac:dyDescent="0.25">
      <c r="A1316" s="159">
        <v>3233</v>
      </c>
      <c r="B1316" s="164" t="s">
        <v>29</v>
      </c>
      <c r="C1316" s="164" t="s">
        <v>113</v>
      </c>
      <c r="D1316" s="159" t="s">
        <v>932</v>
      </c>
      <c r="E1316" s="164" t="s">
        <v>930</v>
      </c>
      <c r="F1316" s="159"/>
      <c r="G1316" s="157" t="s">
        <v>1349</v>
      </c>
      <c r="H1316" s="157" t="s">
        <v>1350</v>
      </c>
      <c r="I1316" s="157" t="s">
        <v>1625</v>
      </c>
      <c r="J1316" s="157" t="s">
        <v>8295</v>
      </c>
      <c r="K1316" s="157" t="s">
        <v>1352</v>
      </c>
      <c r="L1316" s="157" t="s">
        <v>1632</v>
      </c>
      <c r="M1316" s="157" t="str">
        <f t="shared" si="30"/>
        <v>Camera_FFC7 - Long Range View</v>
      </c>
      <c r="N1316" s="157"/>
      <c r="O1316" s="157"/>
      <c r="P1316" s="159" t="s">
        <v>7085</v>
      </c>
      <c r="Q1316" s="74" t="s">
        <v>2115</v>
      </c>
      <c r="R1316" s="74" t="s">
        <v>8690</v>
      </c>
      <c r="S1316" s="74" t="s">
        <v>8261</v>
      </c>
      <c r="T1316" s="157"/>
      <c r="U1316" s="159" t="s">
        <v>2129</v>
      </c>
      <c r="V1316" s="159" t="s">
        <v>2129</v>
      </c>
      <c r="W1316" s="159" t="s">
        <v>2138</v>
      </c>
      <c r="X1316" s="160">
        <v>1</v>
      </c>
      <c r="Y1316" s="160">
        <v>1</v>
      </c>
      <c r="Z1316" s="160">
        <v>1</v>
      </c>
      <c r="AA1316" s="160">
        <v>1</v>
      </c>
    </row>
    <row r="1317" spans="1:27" ht="18" customHeight="1" x14ac:dyDescent="0.25">
      <c r="A1317" s="159">
        <v>3233</v>
      </c>
      <c r="B1317" s="164" t="s">
        <v>266</v>
      </c>
      <c r="C1317" s="164" t="s">
        <v>276</v>
      </c>
      <c r="D1317" s="159" t="s">
        <v>734</v>
      </c>
      <c r="E1317" s="164" t="s">
        <v>732</v>
      </c>
      <c r="F1317" s="159"/>
      <c r="G1317" s="157" t="s">
        <v>1349</v>
      </c>
      <c r="H1317" s="157" t="s">
        <v>1350</v>
      </c>
      <c r="I1317" s="157" t="s">
        <v>1625</v>
      </c>
      <c r="J1317" s="157" t="s">
        <v>8295</v>
      </c>
      <c r="K1317" s="157" t="s">
        <v>1352</v>
      </c>
      <c r="L1317" s="157" t="s">
        <v>1632</v>
      </c>
      <c r="M1317" s="157" t="str">
        <f t="shared" si="30"/>
        <v>Camera_FFC7 - Long Range View</v>
      </c>
      <c r="N1317" s="157"/>
      <c r="O1317" s="157"/>
      <c r="P1317" s="159" t="s">
        <v>7085</v>
      </c>
      <c r="Q1317" s="74" t="s">
        <v>2115</v>
      </c>
      <c r="R1317" s="74" t="s">
        <v>8690</v>
      </c>
      <c r="S1317" s="74" t="s">
        <v>8261</v>
      </c>
      <c r="T1317" s="157"/>
      <c r="U1317" s="159" t="s">
        <v>2129</v>
      </c>
      <c r="V1317" s="159" t="s">
        <v>2129</v>
      </c>
      <c r="W1317" s="159" t="s">
        <v>2138</v>
      </c>
      <c r="X1317" s="160">
        <v>1</v>
      </c>
      <c r="Y1317" s="160">
        <v>1</v>
      </c>
      <c r="Z1317" s="160">
        <v>1</v>
      </c>
      <c r="AA1317" s="160">
        <v>1</v>
      </c>
    </row>
    <row r="1318" spans="1:27" ht="18" customHeight="1" x14ac:dyDescent="0.25">
      <c r="A1318" s="159">
        <v>3233</v>
      </c>
      <c r="B1318" s="164" t="s">
        <v>266</v>
      </c>
      <c r="C1318" s="164" t="s">
        <v>294</v>
      </c>
      <c r="D1318" s="159" t="s">
        <v>297</v>
      </c>
      <c r="E1318" s="164" t="s">
        <v>295</v>
      </c>
      <c r="F1318" s="159"/>
      <c r="G1318" s="157" t="s">
        <v>1349</v>
      </c>
      <c r="H1318" s="157" t="s">
        <v>1350</v>
      </c>
      <c r="I1318" s="157" t="s">
        <v>1625</v>
      </c>
      <c r="J1318" s="157" t="s">
        <v>8295</v>
      </c>
      <c r="K1318" s="157" t="s">
        <v>1352</v>
      </c>
      <c r="L1318" s="157" t="s">
        <v>1632</v>
      </c>
      <c r="M1318" s="157" t="str">
        <f t="shared" si="30"/>
        <v>Camera_FFC7 - Long Range View</v>
      </c>
      <c r="N1318" s="157"/>
      <c r="O1318" s="157"/>
      <c r="P1318" s="159" t="s">
        <v>7085</v>
      </c>
      <c r="Q1318" s="74" t="s">
        <v>2115</v>
      </c>
      <c r="R1318" s="74" t="s">
        <v>8690</v>
      </c>
      <c r="S1318" s="74" t="s">
        <v>8261</v>
      </c>
      <c r="T1318" s="157"/>
      <c r="U1318" s="159" t="s">
        <v>2129</v>
      </c>
      <c r="V1318" s="159" t="s">
        <v>2129</v>
      </c>
      <c r="W1318" s="159" t="s">
        <v>2138</v>
      </c>
      <c r="X1318" s="160">
        <v>1</v>
      </c>
      <c r="Y1318" s="160">
        <v>1</v>
      </c>
      <c r="Z1318" s="160">
        <v>1</v>
      </c>
      <c r="AA1318" s="160">
        <v>1</v>
      </c>
    </row>
    <row r="1319" spans="1:27" ht="18" customHeight="1" x14ac:dyDescent="0.25">
      <c r="A1319" s="159">
        <v>3233</v>
      </c>
      <c r="B1319" s="164" t="s">
        <v>266</v>
      </c>
      <c r="C1319" s="164" t="s">
        <v>294</v>
      </c>
      <c r="D1319" s="159" t="s">
        <v>298</v>
      </c>
      <c r="E1319" s="164" t="s">
        <v>299</v>
      </c>
      <c r="F1319" s="159"/>
      <c r="G1319" s="157" t="s">
        <v>1349</v>
      </c>
      <c r="H1319" s="157" t="s">
        <v>1350</v>
      </c>
      <c r="I1319" s="157" t="s">
        <v>1625</v>
      </c>
      <c r="J1319" s="157" t="s">
        <v>8295</v>
      </c>
      <c r="K1319" s="157" t="s">
        <v>1352</v>
      </c>
      <c r="L1319" s="157" t="s">
        <v>1632</v>
      </c>
      <c r="M1319" s="157" t="str">
        <f t="shared" si="30"/>
        <v>Camera_FFC7 - Long Range View</v>
      </c>
      <c r="N1319" s="157"/>
      <c r="O1319" s="157"/>
      <c r="P1319" s="159" t="s">
        <v>7085</v>
      </c>
      <c r="Q1319" s="74" t="s">
        <v>2115</v>
      </c>
      <c r="R1319" s="74" t="s">
        <v>8690</v>
      </c>
      <c r="S1319" s="74" t="s">
        <v>8261</v>
      </c>
      <c r="T1319" s="157"/>
      <c r="U1319" s="159" t="s">
        <v>2129</v>
      </c>
      <c r="V1319" s="159" t="s">
        <v>2129</v>
      </c>
      <c r="W1319" s="159" t="s">
        <v>2138</v>
      </c>
      <c r="X1319" s="160">
        <v>1</v>
      </c>
      <c r="Y1319" s="160">
        <v>1</v>
      </c>
      <c r="Z1319" s="160">
        <v>1</v>
      </c>
      <c r="AA1319" s="160">
        <v>1</v>
      </c>
    </row>
    <row r="1320" spans="1:27" ht="18" customHeight="1" x14ac:dyDescent="0.25">
      <c r="A1320" s="159">
        <v>3233</v>
      </c>
      <c r="B1320" s="164" t="s">
        <v>266</v>
      </c>
      <c r="C1320" s="164" t="s">
        <v>294</v>
      </c>
      <c r="D1320" s="159" t="s">
        <v>503</v>
      </c>
      <c r="E1320" s="164" t="s">
        <v>501</v>
      </c>
      <c r="F1320" s="159"/>
      <c r="G1320" s="157" t="s">
        <v>1349</v>
      </c>
      <c r="H1320" s="157" t="s">
        <v>1350</v>
      </c>
      <c r="I1320" s="157" t="s">
        <v>1625</v>
      </c>
      <c r="J1320" s="157" t="s">
        <v>8295</v>
      </c>
      <c r="K1320" s="157" t="s">
        <v>1352</v>
      </c>
      <c r="L1320" s="157" t="s">
        <v>1632</v>
      </c>
      <c r="M1320" s="157" t="str">
        <f t="shared" si="30"/>
        <v>Camera_FFC7 - Long Range View</v>
      </c>
      <c r="N1320" s="157"/>
      <c r="O1320" s="157"/>
      <c r="P1320" s="159" t="s">
        <v>7085</v>
      </c>
      <c r="Q1320" s="74" t="s">
        <v>2115</v>
      </c>
      <c r="R1320" s="74" t="s">
        <v>8690</v>
      </c>
      <c r="S1320" s="74" t="s">
        <v>8261</v>
      </c>
      <c r="T1320" s="157"/>
      <c r="U1320" s="159" t="s">
        <v>2129</v>
      </c>
      <c r="V1320" s="159" t="s">
        <v>2129</v>
      </c>
      <c r="W1320" s="159" t="s">
        <v>2138</v>
      </c>
      <c r="X1320" s="160">
        <v>1</v>
      </c>
      <c r="Y1320" s="160">
        <v>1</v>
      </c>
      <c r="Z1320" s="160">
        <v>1</v>
      </c>
      <c r="AA1320" s="160">
        <v>1</v>
      </c>
    </row>
    <row r="1321" spans="1:27" ht="18" customHeight="1" x14ac:dyDescent="0.25">
      <c r="A1321" s="159">
        <v>3233</v>
      </c>
      <c r="B1321" s="164" t="s">
        <v>266</v>
      </c>
      <c r="C1321" s="164" t="s">
        <v>294</v>
      </c>
      <c r="D1321" s="159" t="s">
        <v>692</v>
      </c>
      <c r="E1321" s="164" t="s">
        <v>690</v>
      </c>
      <c r="F1321" s="159"/>
      <c r="G1321" s="157" t="s">
        <v>1349</v>
      </c>
      <c r="H1321" s="157" t="s">
        <v>1350</v>
      </c>
      <c r="I1321" s="157" t="s">
        <v>1625</v>
      </c>
      <c r="J1321" s="157" t="s">
        <v>8295</v>
      </c>
      <c r="K1321" s="157" t="s">
        <v>1352</v>
      </c>
      <c r="L1321" s="157" t="s">
        <v>1632</v>
      </c>
      <c r="M1321" s="157" t="str">
        <f t="shared" si="30"/>
        <v>Camera_FFC7 - Long Range View</v>
      </c>
      <c r="N1321" s="157"/>
      <c r="O1321" s="157"/>
      <c r="P1321" s="159" t="s">
        <v>7085</v>
      </c>
      <c r="Q1321" s="74" t="s">
        <v>2115</v>
      </c>
      <c r="R1321" s="74" t="s">
        <v>8690</v>
      </c>
      <c r="S1321" s="74" t="s">
        <v>8261</v>
      </c>
      <c r="T1321" s="157"/>
      <c r="U1321" s="159" t="s">
        <v>2129</v>
      </c>
      <c r="V1321" s="159" t="s">
        <v>2129</v>
      </c>
      <c r="W1321" s="159" t="s">
        <v>2138</v>
      </c>
      <c r="X1321" s="160">
        <v>1</v>
      </c>
      <c r="Y1321" s="160">
        <v>1</v>
      </c>
      <c r="Z1321" s="160">
        <v>1</v>
      </c>
      <c r="AA1321" s="160">
        <v>1</v>
      </c>
    </row>
    <row r="1322" spans="1:27" ht="18" customHeight="1" x14ac:dyDescent="0.25">
      <c r="A1322" s="159">
        <v>3233</v>
      </c>
      <c r="B1322" s="164" t="s">
        <v>266</v>
      </c>
      <c r="C1322" s="164" t="s">
        <v>294</v>
      </c>
      <c r="D1322" s="159" t="s">
        <v>1177</v>
      </c>
      <c r="E1322" s="164" t="s">
        <v>1175</v>
      </c>
      <c r="F1322" s="159"/>
      <c r="G1322" s="157" t="s">
        <v>1349</v>
      </c>
      <c r="H1322" s="157" t="s">
        <v>1350</v>
      </c>
      <c r="I1322" s="157" t="s">
        <v>1625</v>
      </c>
      <c r="J1322" s="157" t="s">
        <v>8295</v>
      </c>
      <c r="K1322" s="157" t="s">
        <v>1352</v>
      </c>
      <c r="L1322" s="157" t="s">
        <v>1632</v>
      </c>
      <c r="M1322" s="157" t="str">
        <f t="shared" si="30"/>
        <v>Camera_FFC7 - Long Range View</v>
      </c>
      <c r="N1322" s="157"/>
      <c r="O1322" s="157"/>
      <c r="P1322" s="159" t="s">
        <v>7085</v>
      </c>
      <c r="Q1322" s="74" t="s">
        <v>2115</v>
      </c>
      <c r="R1322" s="74" t="s">
        <v>8690</v>
      </c>
      <c r="S1322" s="74" t="s">
        <v>8261</v>
      </c>
      <c r="T1322" s="157"/>
      <c r="U1322" s="159" t="s">
        <v>2129</v>
      </c>
      <c r="V1322" s="159" t="s">
        <v>2129</v>
      </c>
      <c r="W1322" s="159" t="s">
        <v>2138</v>
      </c>
      <c r="X1322" s="160">
        <v>1</v>
      </c>
      <c r="Y1322" s="160">
        <v>1</v>
      </c>
      <c r="Z1322" s="160">
        <v>1</v>
      </c>
      <c r="AA1322" s="160">
        <v>1</v>
      </c>
    </row>
    <row r="1323" spans="1:27" ht="18" customHeight="1" x14ac:dyDescent="0.25">
      <c r="A1323" s="159">
        <v>3233</v>
      </c>
      <c r="B1323" s="164" t="s">
        <v>266</v>
      </c>
      <c r="C1323" s="164" t="s">
        <v>294</v>
      </c>
      <c r="D1323" s="159" t="s">
        <v>1178</v>
      </c>
      <c r="E1323" s="164" t="s">
        <v>1179</v>
      </c>
      <c r="F1323" s="159"/>
      <c r="G1323" s="157" t="s">
        <v>1349</v>
      </c>
      <c r="H1323" s="157" t="s">
        <v>1350</v>
      </c>
      <c r="I1323" s="157" t="s">
        <v>1625</v>
      </c>
      <c r="J1323" s="157" t="s">
        <v>8295</v>
      </c>
      <c r="K1323" s="157" t="s">
        <v>1352</v>
      </c>
      <c r="L1323" s="157" t="s">
        <v>1632</v>
      </c>
      <c r="M1323" s="157" t="str">
        <f t="shared" si="30"/>
        <v>Camera_FFC7 - Long Range View</v>
      </c>
      <c r="N1323" s="157"/>
      <c r="O1323" s="157"/>
      <c r="P1323" s="159" t="s">
        <v>7085</v>
      </c>
      <c r="Q1323" s="74" t="s">
        <v>2115</v>
      </c>
      <c r="R1323" s="74" t="s">
        <v>8690</v>
      </c>
      <c r="S1323" s="74" t="s">
        <v>8261</v>
      </c>
      <c r="T1323" s="157"/>
      <c r="U1323" s="159" t="s">
        <v>2129</v>
      </c>
      <c r="V1323" s="159" t="s">
        <v>2129</v>
      </c>
      <c r="W1323" s="159" t="s">
        <v>2138</v>
      </c>
      <c r="X1323" s="160">
        <v>1</v>
      </c>
      <c r="Y1323" s="160">
        <v>1</v>
      </c>
      <c r="Z1323" s="160">
        <v>1</v>
      </c>
      <c r="AA1323" s="160">
        <v>1</v>
      </c>
    </row>
    <row r="1324" spans="1:27" ht="18" customHeight="1" x14ac:dyDescent="0.25">
      <c r="A1324" s="159">
        <v>3233</v>
      </c>
      <c r="B1324" s="164" t="s">
        <v>266</v>
      </c>
      <c r="C1324" s="164" t="s">
        <v>294</v>
      </c>
      <c r="D1324" s="159" t="s">
        <v>1207</v>
      </c>
      <c r="E1324" s="164" t="s">
        <v>1205</v>
      </c>
      <c r="F1324" s="159"/>
      <c r="G1324" s="157" t="s">
        <v>1349</v>
      </c>
      <c r="H1324" s="157" t="s">
        <v>1350</v>
      </c>
      <c r="I1324" s="157" t="s">
        <v>1625</v>
      </c>
      <c r="J1324" s="157" t="s">
        <v>8295</v>
      </c>
      <c r="K1324" s="157" t="s">
        <v>1352</v>
      </c>
      <c r="L1324" s="157" t="s">
        <v>1632</v>
      </c>
      <c r="M1324" s="157" t="str">
        <f t="shared" si="30"/>
        <v>Camera_FFC7 - Long Range View</v>
      </c>
      <c r="N1324" s="157"/>
      <c r="O1324" s="157"/>
      <c r="P1324" s="159" t="s">
        <v>7085</v>
      </c>
      <c r="Q1324" s="74" t="s">
        <v>2115</v>
      </c>
      <c r="R1324" s="74" t="s">
        <v>8690</v>
      </c>
      <c r="S1324" s="74" t="s">
        <v>8261</v>
      </c>
      <c r="T1324" s="157"/>
      <c r="U1324" s="159" t="s">
        <v>2129</v>
      </c>
      <c r="V1324" s="159" t="s">
        <v>2129</v>
      </c>
      <c r="W1324" s="159" t="s">
        <v>2138</v>
      </c>
      <c r="X1324" s="160">
        <v>1</v>
      </c>
      <c r="Y1324" s="160">
        <v>1</v>
      </c>
      <c r="Z1324" s="160">
        <v>1</v>
      </c>
      <c r="AA1324" s="160">
        <v>1</v>
      </c>
    </row>
    <row r="1325" spans="1:27" ht="18" customHeight="1" x14ac:dyDescent="0.25">
      <c r="A1325" s="159">
        <v>3233</v>
      </c>
      <c r="B1325" s="164" t="s">
        <v>266</v>
      </c>
      <c r="C1325" s="164" t="s">
        <v>519</v>
      </c>
      <c r="D1325" s="159" t="s">
        <v>522</v>
      </c>
      <c r="E1325" s="164" t="s">
        <v>520</v>
      </c>
      <c r="F1325" s="159"/>
      <c r="G1325" s="157" t="s">
        <v>1349</v>
      </c>
      <c r="H1325" s="157" t="s">
        <v>1350</v>
      </c>
      <c r="I1325" s="157" t="s">
        <v>1625</v>
      </c>
      <c r="J1325" s="157" t="s">
        <v>8295</v>
      </c>
      <c r="K1325" s="157" t="s">
        <v>1352</v>
      </c>
      <c r="L1325" s="157" t="s">
        <v>1632</v>
      </c>
      <c r="M1325" s="157" t="str">
        <f t="shared" si="30"/>
        <v>Camera_FFC7 - Long Range View</v>
      </c>
      <c r="N1325" s="157"/>
      <c r="O1325" s="157"/>
      <c r="P1325" s="159" t="s">
        <v>7085</v>
      </c>
      <c r="Q1325" s="74" t="s">
        <v>2115</v>
      </c>
      <c r="R1325" s="74" t="s">
        <v>8690</v>
      </c>
      <c r="S1325" s="74" t="s">
        <v>8261</v>
      </c>
      <c r="T1325" s="157"/>
      <c r="U1325" s="159" t="s">
        <v>2129</v>
      </c>
      <c r="V1325" s="159" t="s">
        <v>2129</v>
      </c>
      <c r="W1325" s="159" t="s">
        <v>2138</v>
      </c>
      <c r="X1325" s="160">
        <v>1</v>
      </c>
      <c r="Y1325" s="160">
        <v>1</v>
      </c>
      <c r="Z1325" s="160">
        <v>1</v>
      </c>
      <c r="AA1325" s="160">
        <v>1</v>
      </c>
    </row>
    <row r="1326" spans="1:27" ht="18" customHeight="1" x14ac:dyDescent="0.25">
      <c r="A1326" s="159">
        <v>3233</v>
      </c>
      <c r="B1326" s="164" t="s">
        <v>266</v>
      </c>
      <c r="C1326" s="164" t="s">
        <v>519</v>
      </c>
      <c r="D1326" s="159" t="s">
        <v>526</v>
      </c>
      <c r="E1326" s="164" t="s">
        <v>524</v>
      </c>
      <c r="F1326" s="159"/>
      <c r="G1326" s="157" t="s">
        <v>1349</v>
      </c>
      <c r="H1326" s="157" t="s">
        <v>1350</v>
      </c>
      <c r="I1326" s="157" t="s">
        <v>1625</v>
      </c>
      <c r="J1326" s="157" t="s">
        <v>8295</v>
      </c>
      <c r="K1326" s="157" t="s">
        <v>1352</v>
      </c>
      <c r="L1326" s="157" t="s">
        <v>1632</v>
      </c>
      <c r="M1326" s="157" t="str">
        <f t="shared" si="30"/>
        <v>Camera_FFC7 - Long Range View</v>
      </c>
      <c r="N1326" s="157"/>
      <c r="O1326" s="157"/>
      <c r="P1326" s="159" t="s">
        <v>7085</v>
      </c>
      <c r="Q1326" s="74" t="s">
        <v>2115</v>
      </c>
      <c r="R1326" s="74" t="s">
        <v>8690</v>
      </c>
      <c r="S1326" s="74" t="s">
        <v>8261</v>
      </c>
      <c r="T1326" s="157"/>
      <c r="U1326" s="159" t="s">
        <v>2129</v>
      </c>
      <c r="V1326" s="159" t="s">
        <v>2129</v>
      </c>
      <c r="W1326" s="159" t="s">
        <v>2138</v>
      </c>
      <c r="X1326" s="160">
        <v>1</v>
      </c>
      <c r="Y1326" s="160">
        <v>1</v>
      </c>
      <c r="Z1326" s="160">
        <v>1</v>
      </c>
      <c r="AA1326" s="160">
        <v>1</v>
      </c>
    </row>
    <row r="1327" spans="1:27" ht="18" customHeight="1" x14ac:dyDescent="0.25">
      <c r="A1327" s="159">
        <v>3233</v>
      </c>
      <c r="B1327" s="164" t="s">
        <v>266</v>
      </c>
      <c r="C1327" s="164" t="s">
        <v>519</v>
      </c>
      <c r="D1327" s="159" t="s">
        <v>530</v>
      </c>
      <c r="E1327" s="164" t="s">
        <v>528</v>
      </c>
      <c r="F1327" s="159"/>
      <c r="G1327" s="157" t="s">
        <v>1349</v>
      </c>
      <c r="H1327" s="157" t="s">
        <v>1350</v>
      </c>
      <c r="I1327" s="157" t="s">
        <v>1625</v>
      </c>
      <c r="J1327" s="157" t="s">
        <v>8295</v>
      </c>
      <c r="K1327" s="157" t="s">
        <v>1352</v>
      </c>
      <c r="L1327" s="157" t="s">
        <v>1632</v>
      </c>
      <c r="M1327" s="157" t="str">
        <f t="shared" si="30"/>
        <v>Camera_FFC7 - Long Range View</v>
      </c>
      <c r="N1327" s="157"/>
      <c r="O1327" s="157"/>
      <c r="P1327" s="159" t="s">
        <v>7085</v>
      </c>
      <c r="Q1327" s="74" t="s">
        <v>2115</v>
      </c>
      <c r="R1327" s="74" t="s">
        <v>8690</v>
      </c>
      <c r="S1327" s="74" t="s">
        <v>8261</v>
      </c>
      <c r="T1327" s="157"/>
      <c r="U1327" s="159" t="s">
        <v>2129</v>
      </c>
      <c r="V1327" s="159" t="s">
        <v>2129</v>
      </c>
      <c r="W1327" s="159" t="s">
        <v>2138</v>
      </c>
      <c r="X1327" s="160">
        <v>1</v>
      </c>
      <c r="Y1327" s="160">
        <v>1</v>
      </c>
      <c r="Z1327" s="160">
        <v>1</v>
      </c>
      <c r="AA1327" s="160">
        <v>1</v>
      </c>
    </row>
    <row r="1328" spans="1:27" ht="18" customHeight="1" x14ac:dyDescent="0.25">
      <c r="A1328" s="159">
        <v>3233</v>
      </c>
      <c r="B1328" s="164" t="s">
        <v>266</v>
      </c>
      <c r="C1328" s="164" t="s">
        <v>519</v>
      </c>
      <c r="D1328" s="159" t="s">
        <v>787</v>
      </c>
      <c r="E1328" s="164" t="s">
        <v>785</v>
      </c>
      <c r="F1328" s="159"/>
      <c r="G1328" s="157" t="s">
        <v>1349</v>
      </c>
      <c r="H1328" s="157" t="s">
        <v>1350</v>
      </c>
      <c r="I1328" s="157" t="s">
        <v>1625</v>
      </c>
      <c r="J1328" s="157" t="s">
        <v>8295</v>
      </c>
      <c r="K1328" s="157" t="s">
        <v>1352</v>
      </c>
      <c r="L1328" s="157" t="s">
        <v>1632</v>
      </c>
      <c r="M1328" s="157" t="str">
        <f t="shared" si="30"/>
        <v>Camera_FFC7 - Long Range View</v>
      </c>
      <c r="N1328" s="157"/>
      <c r="O1328" s="157"/>
      <c r="P1328" s="159" t="s">
        <v>7085</v>
      </c>
      <c r="Q1328" s="74" t="s">
        <v>2115</v>
      </c>
      <c r="R1328" s="74" t="s">
        <v>8690</v>
      </c>
      <c r="S1328" s="74" t="s">
        <v>8261</v>
      </c>
      <c r="T1328" s="157"/>
      <c r="U1328" s="159" t="s">
        <v>2129</v>
      </c>
      <c r="V1328" s="159" t="s">
        <v>2129</v>
      </c>
      <c r="W1328" s="159" t="s">
        <v>2138</v>
      </c>
      <c r="X1328" s="160">
        <v>1</v>
      </c>
      <c r="Y1328" s="160">
        <v>1</v>
      </c>
      <c r="Z1328" s="160">
        <v>1</v>
      </c>
      <c r="AA1328" s="160">
        <v>1</v>
      </c>
    </row>
    <row r="1329" spans="1:27" ht="18" customHeight="1" x14ac:dyDescent="0.25">
      <c r="A1329" s="159">
        <v>3233</v>
      </c>
      <c r="B1329" s="164" t="s">
        <v>266</v>
      </c>
      <c r="C1329" s="164" t="s">
        <v>519</v>
      </c>
      <c r="D1329" s="159" t="s">
        <v>935</v>
      </c>
      <c r="E1329" s="164" t="s">
        <v>933</v>
      </c>
      <c r="F1329" s="159"/>
      <c r="G1329" s="157" t="s">
        <v>1349</v>
      </c>
      <c r="H1329" s="157" t="s">
        <v>1350</v>
      </c>
      <c r="I1329" s="157" t="s">
        <v>1625</v>
      </c>
      <c r="J1329" s="157" t="s">
        <v>8295</v>
      </c>
      <c r="K1329" s="157" t="s">
        <v>1352</v>
      </c>
      <c r="L1329" s="157" t="s">
        <v>1632</v>
      </c>
      <c r="M1329" s="157" t="str">
        <f t="shared" si="30"/>
        <v>Camera_FFC7 - Long Range View</v>
      </c>
      <c r="N1329" s="157"/>
      <c r="O1329" s="157"/>
      <c r="P1329" s="159" t="s">
        <v>7085</v>
      </c>
      <c r="Q1329" s="74" t="s">
        <v>2115</v>
      </c>
      <c r="R1329" s="74" t="s">
        <v>8690</v>
      </c>
      <c r="S1329" s="74" t="s">
        <v>8261</v>
      </c>
      <c r="T1329" s="157"/>
      <c r="U1329" s="159" t="s">
        <v>2129</v>
      </c>
      <c r="V1329" s="159" t="s">
        <v>2129</v>
      </c>
      <c r="W1329" s="159" t="s">
        <v>2138</v>
      </c>
      <c r="X1329" s="160">
        <v>1</v>
      </c>
      <c r="Y1329" s="160">
        <v>1</v>
      </c>
      <c r="Z1329" s="160">
        <v>1</v>
      </c>
      <c r="AA1329" s="160">
        <v>1</v>
      </c>
    </row>
    <row r="1330" spans="1:27" ht="18" customHeight="1" x14ac:dyDescent="0.25">
      <c r="A1330" s="159">
        <v>3233</v>
      </c>
      <c r="B1330" s="164" t="s">
        <v>266</v>
      </c>
      <c r="C1330" s="164" t="s">
        <v>519</v>
      </c>
      <c r="D1330" s="159" t="s">
        <v>1151</v>
      </c>
      <c r="E1330" s="164" t="s">
        <v>1149</v>
      </c>
      <c r="F1330" s="159"/>
      <c r="G1330" s="157" t="s">
        <v>1349</v>
      </c>
      <c r="H1330" s="157" t="s">
        <v>1350</v>
      </c>
      <c r="I1330" s="157" t="s">
        <v>1625</v>
      </c>
      <c r="J1330" s="157" t="s">
        <v>8295</v>
      </c>
      <c r="K1330" s="157" t="s">
        <v>1352</v>
      </c>
      <c r="L1330" s="157" t="s">
        <v>1632</v>
      </c>
      <c r="M1330" s="157" t="str">
        <f t="shared" si="30"/>
        <v>Camera_FFC7 - Long Range View</v>
      </c>
      <c r="N1330" s="157"/>
      <c r="O1330" s="157"/>
      <c r="P1330" s="159" t="s">
        <v>7085</v>
      </c>
      <c r="Q1330" s="74" t="s">
        <v>2115</v>
      </c>
      <c r="R1330" s="74" t="s">
        <v>8690</v>
      </c>
      <c r="S1330" s="74" t="s">
        <v>8261</v>
      </c>
      <c r="T1330" s="157"/>
      <c r="U1330" s="159" t="s">
        <v>2129</v>
      </c>
      <c r="V1330" s="159" t="s">
        <v>2129</v>
      </c>
      <c r="W1330" s="159" t="s">
        <v>2138</v>
      </c>
      <c r="X1330" s="160">
        <v>1</v>
      </c>
      <c r="Y1330" s="160">
        <v>1</v>
      </c>
      <c r="Z1330" s="160">
        <v>1</v>
      </c>
      <c r="AA1330" s="160">
        <v>1</v>
      </c>
    </row>
    <row r="1331" spans="1:27" ht="18" customHeight="1" x14ac:dyDescent="0.25">
      <c r="A1331" s="159">
        <v>3233</v>
      </c>
      <c r="B1331" s="164" t="s">
        <v>266</v>
      </c>
      <c r="C1331" s="164" t="s">
        <v>519</v>
      </c>
      <c r="D1331" s="159" t="s">
        <v>1159</v>
      </c>
      <c r="E1331" s="164" t="s">
        <v>1157</v>
      </c>
      <c r="F1331" s="159"/>
      <c r="G1331" s="157" t="s">
        <v>1349</v>
      </c>
      <c r="H1331" s="157" t="s">
        <v>1350</v>
      </c>
      <c r="I1331" s="157" t="s">
        <v>1625</v>
      </c>
      <c r="J1331" s="157" t="s">
        <v>8295</v>
      </c>
      <c r="K1331" s="157" t="s">
        <v>1352</v>
      </c>
      <c r="L1331" s="157" t="s">
        <v>1632</v>
      </c>
      <c r="M1331" s="157" t="str">
        <f t="shared" si="30"/>
        <v>Camera_FFC7 - Long Range View</v>
      </c>
      <c r="N1331" s="157"/>
      <c r="O1331" s="157"/>
      <c r="P1331" s="159" t="s">
        <v>7085</v>
      </c>
      <c r="Q1331" s="74" t="s">
        <v>2115</v>
      </c>
      <c r="R1331" s="74" t="s">
        <v>8690</v>
      </c>
      <c r="S1331" s="74" t="s">
        <v>8261</v>
      </c>
      <c r="T1331" s="157"/>
      <c r="U1331" s="159" t="s">
        <v>2129</v>
      </c>
      <c r="V1331" s="159" t="s">
        <v>2129</v>
      </c>
      <c r="W1331" s="159" t="s">
        <v>2138</v>
      </c>
      <c r="X1331" s="160">
        <v>1</v>
      </c>
      <c r="Y1331" s="160">
        <v>1</v>
      </c>
      <c r="Z1331" s="160">
        <v>1</v>
      </c>
      <c r="AA1331" s="160">
        <v>1</v>
      </c>
    </row>
    <row r="1332" spans="1:27" ht="18" customHeight="1" x14ac:dyDescent="0.25">
      <c r="A1332" s="159">
        <v>3234</v>
      </c>
      <c r="B1332" s="164" t="s">
        <v>29</v>
      </c>
      <c r="C1332" s="164" t="s">
        <v>113</v>
      </c>
      <c r="D1332" s="159" t="s">
        <v>932</v>
      </c>
      <c r="E1332" s="164" t="s">
        <v>930</v>
      </c>
      <c r="F1332" s="159"/>
      <c r="G1332" s="157" t="s">
        <v>1349</v>
      </c>
      <c r="H1332" s="157" t="s">
        <v>1350</v>
      </c>
      <c r="I1332" s="157" t="s">
        <v>1625</v>
      </c>
      <c r="J1332" s="157" t="s">
        <v>8295</v>
      </c>
      <c r="K1332" s="157" t="s">
        <v>1352</v>
      </c>
      <c r="L1332" s="157" t="s">
        <v>1633</v>
      </c>
      <c r="M1332" s="157" t="str">
        <f t="shared" si="30"/>
        <v>Camera_FFC8 - Long Range View</v>
      </c>
      <c r="N1332" s="157"/>
      <c r="O1332" s="157"/>
      <c r="P1332" s="159" t="s">
        <v>7084</v>
      </c>
      <c r="Q1332" s="74" t="s">
        <v>2115</v>
      </c>
      <c r="R1332" s="74" t="s">
        <v>8690</v>
      </c>
      <c r="S1332" s="74" t="s">
        <v>8261</v>
      </c>
      <c r="T1332" s="157"/>
      <c r="U1332" s="159" t="s">
        <v>2129</v>
      </c>
      <c r="V1332" s="159" t="s">
        <v>2129</v>
      </c>
      <c r="W1332" s="159" t="s">
        <v>2138</v>
      </c>
      <c r="X1332" s="160">
        <v>1</v>
      </c>
      <c r="Y1332" s="160">
        <v>1</v>
      </c>
      <c r="Z1332" s="160">
        <v>1</v>
      </c>
      <c r="AA1332" s="160">
        <v>1</v>
      </c>
    </row>
    <row r="1333" spans="1:27" ht="18" customHeight="1" x14ac:dyDescent="0.25">
      <c r="A1333" s="159">
        <v>3234</v>
      </c>
      <c r="B1333" s="164" t="s">
        <v>266</v>
      </c>
      <c r="C1333" s="164" t="s">
        <v>286</v>
      </c>
      <c r="D1333" s="159" t="s">
        <v>289</v>
      </c>
      <c r="E1333" s="164" t="s">
        <v>287</v>
      </c>
      <c r="F1333" s="159"/>
      <c r="G1333" s="157" t="s">
        <v>1349</v>
      </c>
      <c r="H1333" s="157" t="s">
        <v>1350</v>
      </c>
      <c r="I1333" s="157" t="s">
        <v>1625</v>
      </c>
      <c r="J1333" s="157" t="s">
        <v>8295</v>
      </c>
      <c r="K1333" s="157" t="s">
        <v>1352</v>
      </c>
      <c r="L1333" s="157" t="s">
        <v>1633</v>
      </c>
      <c r="M1333" s="157" t="str">
        <f t="shared" si="30"/>
        <v>Camera_FFC8 - Long Range View</v>
      </c>
      <c r="N1333" s="157"/>
      <c r="O1333" s="157"/>
      <c r="P1333" s="159" t="s">
        <v>7084</v>
      </c>
      <c r="Q1333" s="74" t="s">
        <v>2115</v>
      </c>
      <c r="R1333" s="74" t="s">
        <v>8690</v>
      </c>
      <c r="S1333" s="74" t="s">
        <v>8261</v>
      </c>
      <c r="T1333" s="157"/>
      <c r="U1333" s="159" t="s">
        <v>2129</v>
      </c>
      <c r="V1333" s="159" t="s">
        <v>2129</v>
      </c>
      <c r="W1333" s="159" t="s">
        <v>2138</v>
      </c>
      <c r="X1333" s="160">
        <v>1</v>
      </c>
      <c r="Y1333" s="160">
        <v>1</v>
      </c>
      <c r="Z1333" s="160">
        <v>1</v>
      </c>
      <c r="AA1333" s="160">
        <v>1</v>
      </c>
    </row>
    <row r="1334" spans="1:27" ht="18" customHeight="1" x14ac:dyDescent="0.25">
      <c r="A1334" s="159">
        <v>3234</v>
      </c>
      <c r="B1334" s="164" t="s">
        <v>266</v>
      </c>
      <c r="C1334" s="164" t="s">
        <v>276</v>
      </c>
      <c r="D1334" s="159" t="s">
        <v>317</v>
      </c>
      <c r="E1334" s="164" t="s">
        <v>315</v>
      </c>
      <c r="F1334" s="159"/>
      <c r="G1334" s="157" t="s">
        <v>1349</v>
      </c>
      <c r="H1334" s="157" t="s">
        <v>1350</v>
      </c>
      <c r="I1334" s="157" t="s">
        <v>1625</v>
      </c>
      <c r="J1334" s="157" t="s">
        <v>8295</v>
      </c>
      <c r="K1334" s="157" t="s">
        <v>1352</v>
      </c>
      <c r="L1334" s="157" t="s">
        <v>1633</v>
      </c>
      <c r="M1334" s="157" t="str">
        <f t="shared" si="30"/>
        <v>Camera_FFC8 - Long Range View</v>
      </c>
      <c r="N1334" s="157"/>
      <c r="O1334" s="157"/>
      <c r="P1334" s="159" t="s">
        <v>7084</v>
      </c>
      <c r="Q1334" s="74" t="s">
        <v>2115</v>
      </c>
      <c r="R1334" s="74" t="s">
        <v>8690</v>
      </c>
      <c r="S1334" s="74" t="s">
        <v>8261</v>
      </c>
      <c r="T1334" s="157"/>
      <c r="U1334" s="159" t="s">
        <v>2129</v>
      </c>
      <c r="V1334" s="159" t="s">
        <v>2129</v>
      </c>
      <c r="W1334" s="159" t="s">
        <v>2138</v>
      </c>
      <c r="X1334" s="160">
        <v>1</v>
      </c>
      <c r="Y1334" s="160">
        <v>1</v>
      </c>
      <c r="Z1334" s="160">
        <v>1</v>
      </c>
      <c r="AA1334" s="160">
        <v>1</v>
      </c>
    </row>
    <row r="1335" spans="1:27" ht="18" customHeight="1" x14ac:dyDescent="0.25">
      <c r="A1335" s="159">
        <v>3234</v>
      </c>
      <c r="B1335" s="164" t="s">
        <v>266</v>
      </c>
      <c r="C1335" s="164" t="s">
        <v>276</v>
      </c>
      <c r="D1335" s="159" t="s">
        <v>726</v>
      </c>
      <c r="E1335" s="164" t="s">
        <v>724</v>
      </c>
      <c r="F1335" s="159"/>
      <c r="G1335" s="157" t="s">
        <v>1349</v>
      </c>
      <c r="H1335" s="157" t="s">
        <v>1350</v>
      </c>
      <c r="I1335" s="157" t="s">
        <v>1625</v>
      </c>
      <c r="J1335" s="157" t="s">
        <v>8295</v>
      </c>
      <c r="K1335" s="157" t="s">
        <v>1352</v>
      </c>
      <c r="L1335" s="157" t="s">
        <v>1633</v>
      </c>
      <c r="M1335" s="157" t="str">
        <f t="shared" si="30"/>
        <v>Camera_FFC8 - Long Range View</v>
      </c>
      <c r="N1335" s="157"/>
      <c r="O1335" s="157"/>
      <c r="P1335" s="159" t="s">
        <v>7084</v>
      </c>
      <c r="Q1335" s="74" t="s">
        <v>2115</v>
      </c>
      <c r="R1335" s="74" t="s">
        <v>8690</v>
      </c>
      <c r="S1335" s="74" t="s">
        <v>8261</v>
      </c>
      <c r="T1335" s="157"/>
      <c r="U1335" s="159" t="s">
        <v>2129</v>
      </c>
      <c r="V1335" s="159" t="s">
        <v>2129</v>
      </c>
      <c r="W1335" s="159" t="s">
        <v>2138</v>
      </c>
      <c r="X1335" s="160">
        <v>1</v>
      </c>
      <c r="Y1335" s="160">
        <v>1</v>
      </c>
      <c r="Z1335" s="160">
        <v>1</v>
      </c>
      <c r="AA1335" s="160">
        <v>1</v>
      </c>
    </row>
    <row r="1336" spans="1:27" ht="18" customHeight="1" x14ac:dyDescent="0.25">
      <c r="A1336" s="159">
        <v>3234</v>
      </c>
      <c r="B1336" s="164" t="s">
        <v>266</v>
      </c>
      <c r="C1336" s="164" t="s">
        <v>276</v>
      </c>
      <c r="D1336" s="159" t="s">
        <v>734</v>
      </c>
      <c r="E1336" s="164" t="s">
        <v>732</v>
      </c>
      <c r="F1336" s="159"/>
      <c r="G1336" s="157" t="s">
        <v>1349</v>
      </c>
      <c r="H1336" s="157" t="s">
        <v>1350</v>
      </c>
      <c r="I1336" s="157" t="s">
        <v>1625</v>
      </c>
      <c r="J1336" s="157" t="s">
        <v>8295</v>
      </c>
      <c r="K1336" s="157" t="s">
        <v>1352</v>
      </c>
      <c r="L1336" s="157" t="s">
        <v>1633</v>
      </c>
      <c r="M1336" s="157" t="str">
        <f t="shared" si="30"/>
        <v>Camera_FFC8 - Long Range View</v>
      </c>
      <c r="N1336" s="157"/>
      <c r="O1336" s="157"/>
      <c r="P1336" s="159" t="s">
        <v>7084</v>
      </c>
      <c r="Q1336" s="74" t="s">
        <v>2115</v>
      </c>
      <c r="R1336" s="74" t="s">
        <v>8690</v>
      </c>
      <c r="S1336" s="74" t="s">
        <v>8261</v>
      </c>
      <c r="T1336" s="157"/>
      <c r="U1336" s="159" t="s">
        <v>2129</v>
      </c>
      <c r="V1336" s="159" t="s">
        <v>2129</v>
      </c>
      <c r="W1336" s="159" t="s">
        <v>2138</v>
      </c>
      <c r="X1336" s="160">
        <v>1</v>
      </c>
      <c r="Y1336" s="160">
        <v>1</v>
      </c>
      <c r="Z1336" s="160">
        <v>1</v>
      </c>
      <c r="AA1336" s="160">
        <v>1</v>
      </c>
    </row>
    <row r="1337" spans="1:27" ht="18" customHeight="1" x14ac:dyDescent="0.25">
      <c r="A1337" s="159">
        <v>3234</v>
      </c>
      <c r="B1337" s="164" t="s">
        <v>266</v>
      </c>
      <c r="C1337" s="164" t="s">
        <v>294</v>
      </c>
      <c r="D1337" s="159" t="s">
        <v>297</v>
      </c>
      <c r="E1337" s="164" t="s">
        <v>295</v>
      </c>
      <c r="F1337" s="159"/>
      <c r="G1337" s="157" t="s">
        <v>1349</v>
      </c>
      <c r="H1337" s="157" t="s">
        <v>1350</v>
      </c>
      <c r="I1337" s="157" t="s">
        <v>1625</v>
      </c>
      <c r="J1337" s="157" t="s">
        <v>8295</v>
      </c>
      <c r="K1337" s="157" t="s">
        <v>1352</v>
      </c>
      <c r="L1337" s="157" t="s">
        <v>1633</v>
      </c>
      <c r="M1337" s="157" t="str">
        <f t="shared" si="30"/>
        <v>Camera_FFC8 - Long Range View</v>
      </c>
      <c r="N1337" s="157"/>
      <c r="O1337" s="157"/>
      <c r="P1337" s="159" t="s">
        <v>7084</v>
      </c>
      <c r="Q1337" s="74" t="s">
        <v>2115</v>
      </c>
      <c r="R1337" s="74" t="s">
        <v>8690</v>
      </c>
      <c r="S1337" s="74" t="s">
        <v>8261</v>
      </c>
      <c r="T1337" s="157"/>
      <c r="U1337" s="159" t="s">
        <v>2129</v>
      </c>
      <c r="V1337" s="159" t="s">
        <v>2129</v>
      </c>
      <c r="W1337" s="159" t="s">
        <v>2138</v>
      </c>
      <c r="X1337" s="160">
        <v>1</v>
      </c>
      <c r="Y1337" s="160">
        <v>1</v>
      </c>
      <c r="Z1337" s="160">
        <v>1</v>
      </c>
      <c r="AA1337" s="160">
        <v>1</v>
      </c>
    </row>
    <row r="1338" spans="1:27" ht="18" customHeight="1" x14ac:dyDescent="0.25">
      <c r="A1338" s="159">
        <v>3234</v>
      </c>
      <c r="B1338" s="164" t="s">
        <v>266</v>
      </c>
      <c r="C1338" s="164" t="s">
        <v>294</v>
      </c>
      <c r="D1338" s="159" t="s">
        <v>298</v>
      </c>
      <c r="E1338" s="164" t="s">
        <v>299</v>
      </c>
      <c r="F1338" s="159"/>
      <c r="G1338" s="157" t="s">
        <v>1349</v>
      </c>
      <c r="H1338" s="157" t="s">
        <v>1350</v>
      </c>
      <c r="I1338" s="157" t="s">
        <v>1625</v>
      </c>
      <c r="J1338" s="157" t="s">
        <v>8295</v>
      </c>
      <c r="K1338" s="157" t="s">
        <v>1352</v>
      </c>
      <c r="L1338" s="157" t="s">
        <v>1633</v>
      </c>
      <c r="M1338" s="157" t="str">
        <f t="shared" si="30"/>
        <v>Camera_FFC8 - Long Range View</v>
      </c>
      <c r="N1338" s="157"/>
      <c r="O1338" s="157"/>
      <c r="P1338" s="159" t="s">
        <v>7084</v>
      </c>
      <c r="Q1338" s="74" t="s">
        <v>2115</v>
      </c>
      <c r="R1338" s="74" t="s">
        <v>8690</v>
      </c>
      <c r="S1338" s="74" t="s">
        <v>8261</v>
      </c>
      <c r="T1338" s="157"/>
      <c r="U1338" s="159" t="s">
        <v>2129</v>
      </c>
      <c r="V1338" s="159" t="s">
        <v>2129</v>
      </c>
      <c r="W1338" s="159" t="s">
        <v>2138</v>
      </c>
      <c r="X1338" s="160">
        <v>1</v>
      </c>
      <c r="Y1338" s="160">
        <v>1</v>
      </c>
      <c r="Z1338" s="160">
        <v>1</v>
      </c>
      <c r="AA1338" s="160">
        <v>1</v>
      </c>
    </row>
    <row r="1339" spans="1:27" ht="18" customHeight="1" x14ac:dyDescent="0.25">
      <c r="A1339" s="159">
        <v>3234</v>
      </c>
      <c r="B1339" s="164" t="s">
        <v>266</v>
      </c>
      <c r="C1339" s="164" t="s">
        <v>294</v>
      </c>
      <c r="D1339" s="159" t="s">
        <v>503</v>
      </c>
      <c r="E1339" s="164" t="s">
        <v>501</v>
      </c>
      <c r="F1339" s="159"/>
      <c r="G1339" s="157" t="s">
        <v>1349</v>
      </c>
      <c r="H1339" s="157" t="s">
        <v>1350</v>
      </c>
      <c r="I1339" s="157" t="s">
        <v>1625</v>
      </c>
      <c r="J1339" s="157" t="s">
        <v>8295</v>
      </c>
      <c r="K1339" s="157" t="s">
        <v>1352</v>
      </c>
      <c r="L1339" s="157" t="s">
        <v>1633</v>
      </c>
      <c r="M1339" s="157" t="str">
        <f t="shared" si="30"/>
        <v>Camera_FFC8 - Long Range View</v>
      </c>
      <c r="N1339" s="157"/>
      <c r="O1339" s="157"/>
      <c r="P1339" s="159" t="s">
        <v>7084</v>
      </c>
      <c r="Q1339" s="74" t="s">
        <v>2115</v>
      </c>
      <c r="R1339" s="74" t="s">
        <v>8690</v>
      </c>
      <c r="S1339" s="74" t="s">
        <v>8261</v>
      </c>
      <c r="T1339" s="157"/>
      <c r="U1339" s="159" t="s">
        <v>2129</v>
      </c>
      <c r="V1339" s="159" t="s">
        <v>2129</v>
      </c>
      <c r="W1339" s="159" t="s">
        <v>2138</v>
      </c>
      <c r="X1339" s="160">
        <v>1</v>
      </c>
      <c r="Y1339" s="160">
        <v>1</v>
      </c>
      <c r="Z1339" s="160">
        <v>1</v>
      </c>
      <c r="AA1339" s="160">
        <v>1</v>
      </c>
    </row>
    <row r="1340" spans="1:27" ht="18" customHeight="1" x14ac:dyDescent="0.25">
      <c r="A1340" s="159">
        <v>3234</v>
      </c>
      <c r="B1340" s="164" t="s">
        <v>266</v>
      </c>
      <c r="C1340" s="164" t="s">
        <v>294</v>
      </c>
      <c r="D1340" s="159" t="s">
        <v>692</v>
      </c>
      <c r="E1340" s="164" t="s">
        <v>690</v>
      </c>
      <c r="F1340" s="159"/>
      <c r="G1340" s="157" t="s">
        <v>1349</v>
      </c>
      <c r="H1340" s="157" t="s">
        <v>1350</v>
      </c>
      <c r="I1340" s="157" t="s">
        <v>1625</v>
      </c>
      <c r="J1340" s="157" t="s">
        <v>8295</v>
      </c>
      <c r="K1340" s="157" t="s">
        <v>1352</v>
      </c>
      <c r="L1340" s="157" t="s">
        <v>1633</v>
      </c>
      <c r="M1340" s="157" t="str">
        <f t="shared" si="30"/>
        <v>Camera_FFC8 - Long Range View</v>
      </c>
      <c r="N1340" s="157"/>
      <c r="O1340" s="157"/>
      <c r="P1340" s="159" t="s">
        <v>7084</v>
      </c>
      <c r="Q1340" s="74" t="s">
        <v>2115</v>
      </c>
      <c r="R1340" s="74" t="s">
        <v>8690</v>
      </c>
      <c r="S1340" s="74" t="s">
        <v>8261</v>
      </c>
      <c r="T1340" s="157"/>
      <c r="U1340" s="159" t="s">
        <v>2129</v>
      </c>
      <c r="V1340" s="159" t="s">
        <v>2129</v>
      </c>
      <c r="W1340" s="159" t="s">
        <v>2138</v>
      </c>
      <c r="X1340" s="160">
        <v>1</v>
      </c>
      <c r="Y1340" s="160">
        <v>1</v>
      </c>
      <c r="Z1340" s="160">
        <v>1</v>
      </c>
      <c r="AA1340" s="160">
        <v>1</v>
      </c>
    </row>
    <row r="1341" spans="1:27" ht="18" customHeight="1" x14ac:dyDescent="0.25">
      <c r="A1341" s="159">
        <v>3234</v>
      </c>
      <c r="B1341" s="164" t="s">
        <v>266</v>
      </c>
      <c r="C1341" s="164" t="s">
        <v>294</v>
      </c>
      <c r="D1341" s="159" t="s">
        <v>1177</v>
      </c>
      <c r="E1341" s="164" t="s">
        <v>1175</v>
      </c>
      <c r="F1341" s="159"/>
      <c r="G1341" s="157" t="s">
        <v>1349</v>
      </c>
      <c r="H1341" s="157" t="s">
        <v>1350</v>
      </c>
      <c r="I1341" s="157" t="s">
        <v>1625</v>
      </c>
      <c r="J1341" s="157" t="s">
        <v>8295</v>
      </c>
      <c r="K1341" s="157" t="s">
        <v>1352</v>
      </c>
      <c r="L1341" s="157" t="s">
        <v>1633</v>
      </c>
      <c r="M1341" s="157" t="str">
        <f t="shared" si="30"/>
        <v>Camera_FFC8 - Long Range View</v>
      </c>
      <c r="N1341" s="157"/>
      <c r="O1341" s="157"/>
      <c r="P1341" s="159" t="s">
        <v>7084</v>
      </c>
      <c r="Q1341" s="74" t="s">
        <v>2115</v>
      </c>
      <c r="R1341" s="74" t="s">
        <v>8690</v>
      </c>
      <c r="S1341" s="74" t="s">
        <v>8261</v>
      </c>
      <c r="T1341" s="157"/>
      <c r="U1341" s="159" t="s">
        <v>2129</v>
      </c>
      <c r="V1341" s="159" t="s">
        <v>2129</v>
      </c>
      <c r="W1341" s="159" t="s">
        <v>2138</v>
      </c>
      <c r="X1341" s="160">
        <v>1</v>
      </c>
      <c r="Y1341" s="160">
        <v>1</v>
      </c>
      <c r="Z1341" s="160">
        <v>1</v>
      </c>
      <c r="AA1341" s="160">
        <v>1</v>
      </c>
    </row>
    <row r="1342" spans="1:27" ht="18" customHeight="1" x14ac:dyDescent="0.25">
      <c r="A1342" s="159">
        <v>3234</v>
      </c>
      <c r="B1342" s="164" t="s">
        <v>266</v>
      </c>
      <c r="C1342" s="164" t="s">
        <v>294</v>
      </c>
      <c r="D1342" s="159" t="s">
        <v>1178</v>
      </c>
      <c r="E1342" s="164" t="s">
        <v>1179</v>
      </c>
      <c r="F1342" s="159"/>
      <c r="G1342" s="157" t="s">
        <v>1349</v>
      </c>
      <c r="H1342" s="157" t="s">
        <v>1350</v>
      </c>
      <c r="I1342" s="157" t="s">
        <v>1625</v>
      </c>
      <c r="J1342" s="157" t="s">
        <v>8295</v>
      </c>
      <c r="K1342" s="157" t="s">
        <v>1352</v>
      </c>
      <c r="L1342" s="157" t="s">
        <v>1633</v>
      </c>
      <c r="M1342" s="157" t="str">
        <f t="shared" si="30"/>
        <v>Camera_FFC8 - Long Range View</v>
      </c>
      <c r="N1342" s="157"/>
      <c r="O1342" s="157"/>
      <c r="P1342" s="159" t="s">
        <v>7084</v>
      </c>
      <c r="Q1342" s="74" t="s">
        <v>2115</v>
      </c>
      <c r="R1342" s="74" t="s">
        <v>8690</v>
      </c>
      <c r="S1342" s="74" t="s">
        <v>8261</v>
      </c>
      <c r="T1342" s="157"/>
      <c r="U1342" s="159" t="s">
        <v>2129</v>
      </c>
      <c r="V1342" s="159" t="s">
        <v>2129</v>
      </c>
      <c r="W1342" s="159" t="s">
        <v>2138</v>
      </c>
      <c r="X1342" s="160">
        <v>1</v>
      </c>
      <c r="Y1342" s="160">
        <v>1</v>
      </c>
      <c r="Z1342" s="160">
        <v>1</v>
      </c>
      <c r="AA1342" s="160">
        <v>1</v>
      </c>
    </row>
    <row r="1343" spans="1:27" ht="18" customHeight="1" x14ac:dyDescent="0.25">
      <c r="A1343" s="159">
        <v>3234</v>
      </c>
      <c r="B1343" s="164" t="s">
        <v>266</v>
      </c>
      <c r="C1343" s="164" t="s">
        <v>294</v>
      </c>
      <c r="D1343" s="159" t="s">
        <v>1207</v>
      </c>
      <c r="E1343" s="164" t="s">
        <v>1205</v>
      </c>
      <c r="F1343" s="159"/>
      <c r="G1343" s="157" t="s">
        <v>1349</v>
      </c>
      <c r="H1343" s="157" t="s">
        <v>1350</v>
      </c>
      <c r="I1343" s="157" t="s">
        <v>1625</v>
      </c>
      <c r="J1343" s="157" t="s">
        <v>8295</v>
      </c>
      <c r="K1343" s="157" t="s">
        <v>1352</v>
      </c>
      <c r="L1343" s="157" t="s">
        <v>1633</v>
      </c>
      <c r="M1343" s="157" t="str">
        <f t="shared" si="30"/>
        <v>Camera_FFC8 - Long Range View</v>
      </c>
      <c r="N1343" s="157"/>
      <c r="O1343" s="157"/>
      <c r="P1343" s="159" t="s">
        <v>7084</v>
      </c>
      <c r="Q1343" s="74" t="s">
        <v>2115</v>
      </c>
      <c r="R1343" s="74" t="s">
        <v>8690</v>
      </c>
      <c r="S1343" s="74" t="s">
        <v>8261</v>
      </c>
      <c r="T1343" s="157"/>
      <c r="U1343" s="159" t="s">
        <v>2129</v>
      </c>
      <c r="V1343" s="159" t="s">
        <v>2129</v>
      </c>
      <c r="W1343" s="159" t="s">
        <v>2138</v>
      </c>
      <c r="X1343" s="160">
        <v>1</v>
      </c>
      <c r="Y1343" s="160">
        <v>1</v>
      </c>
      <c r="Z1343" s="160">
        <v>1</v>
      </c>
      <c r="AA1343" s="160">
        <v>1</v>
      </c>
    </row>
    <row r="1344" spans="1:27" ht="18" customHeight="1" x14ac:dyDescent="0.25">
      <c r="A1344" s="159">
        <v>3234</v>
      </c>
      <c r="B1344" s="164" t="s">
        <v>266</v>
      </c>
      <c r="C1344" s="164" t="s">
        <v>514</v>
      </c>
      <c r="D1344" s="159" t="s">
        <v>517</v>
      </c>
      <c r="E1344" s="164" t="s">
        <v>515</v>
      </c>
      <c r="F1344" s="159"/>
      <c r="G1344" s="157" t="s">
        <v>1349</v>
      </c>
      <c r="H1344" s="157" t="s">
        <v>1350</v>
      </c>
      <c r="I1344" s="157" t="s">
        <v>1625</v>
      </c>
      <c r="J1344" s="157" t="s">
        <v>8295</v>
      </c>
      <c r="K1344" s="157" t="s">
        <v>1352</v>
      </c>
      <c r="L1344" s="157" t="s">
        <v>1633</v>
      </c>
      <c r="M1344" s="157" t="str">
        <f t="shared" si="30"/>
        <v>Camera_FFC8 - Long Range View</v>
      </c>
      <c r="N1344" s="157"/>
      <c r="O1344" s="157"/>
      <c r="P1344" s="159" t="s">
        <v>7084</v>
      </c>
      <c r="Q1344" s="74" t="s">
        <v>2115</v>
      </c>
      <c r="R1344" s="74" t="s">
        <v>8690</v>
      </c>
      <c r="S1344" s="74" t="s">
        <v>8261</v>
      </c>
      <c r="T1344" s="157"/>
      <c r="U1344" s="159" t="s">
        <v>2129</v>
      </c>
      <c r="V1344" s="159" t="s">
        <v>2129</v>
      </c>
      <c r="W1344" s="159" t="s">
        <v>2138</v>
      </c>
      <c r="X1344" s="160">
        <v>1</v>
      </c>
      <c r="Y1344" s="160">
        <v>1</v>
      </c>
      <c r="Z1344" s="160">
        <v>1</v>
      </c>
      <c r="AA1344" s="160">
        <v>1</v>
      </c>
    </row>
    <row r="1345" spans="1:27" ht="18" customHeight="1" x14ac:dyDescent="0.25">
      <c r="A1345" s="159">
        <v>3234</v>
      </c>
      <c r="B1345" s="164" t="s">
        <v>266</v>
      </c>
      <c r="C1345" s="164" t="s">
        <v>514</v>
      </c>
      <c r="D1345" s="159" t="s">
        <v>730</v>
      </c>
      <c r="E1345" s="164" t="s">
        <v>728</v>
      </c>
      <c r="F1345" s="159"/>
      <c r="G1345" s="157" t="s">
        <v>1349</v>
      </c>
      <c r="H1345" s="157" t="s">
        <v>1350</v>
      </c>
      <c r="I1345" s="157" t="s">
        <v>1625</v>
      </c>
      <c r="J1345" s="157" t="s">
        <v>8295</v>
      </c>
      <c r="K1345" s="157" t="s">
        <v>1352</v>
      </c>
      <c r="L1345" s="157" t="s">
        <v>1633</v>
      </c>
      <c r="M1345" s="157" t="str">
        <f t="shared" si="30"/>
        <v>Camera_FFC8 - Long Range View</v>
      </c>
      <c r="N1345" s="157"/>
      <c r="O1345" s="157"/>
      <c r="P1345" s="159" t="s">
        <v>7084</v>
      </c>
      <c r="Q1345" s="74" t="s">
        <v>2115</v>
      </c>
      <c r="R1345" s="74" t="s">
        <v>8690</v>
      </c>
      <c r="S1345" s="74" t="s">
        <v>8261</v>
      </c>
      <c r="T1345" s="157"/>
      <c r="U1345" s="159" t="s">
        <v>2129</v>
      </c>
      <c r="V1345" s="159" t="s">
        <v>2129</v>
      </c>
      <c r="W1345" s="159" t="s">
        <v>2138</v>
      </c>
      <c r="X1345" s="160">
        <v>1</v>
      </c>
      <c r="Y1345" s="160">
        <v>1</v>
      </c>
      <c r="Z1345" s="160">
        <v>1</v>
      </c>
      <c r="AA1345" s="160">
        <v>1</v>
      </c>
    </row>
    <row r="1346" spans="1:27" ht="18" customHeight="1" x14ac:dyDescent="0.25">
      <c r="A1346" s="159">
        <v>3234</v>
      </c>
      <c r="B1346" s="164" t="s">
        <v>266</v>
      </c>
      <c r="C1346" s="164" t="s">
        <v>514</v>
      </c>
      <c r="D1346" s="159" t="s">
        <v>793</v>
      </c>
      <c r="E1346" s="164" t="s">
        <v>791</v>
      </c>
      <c r="F1346" s="159"/>
      <c r="G1346" s="157" t="s">
        <v>1349</v>
      </c>
      <c r="H1346" s="157" t="s">
        <v>1350</v>
      </c>
      <c r="I1346" s="157" t="s">
        <v>1625</v>
      </c>
      <c r="J1346" s="157" t="s">
        <v>8295</v>
      </c>
      <c r="K1346" s="157" t="s">
        <v>1352</v>
      </c>
      <c r="L1346" s="157" t="s">
        <v>1633</v>
      </c>
      <c r="M1346" s="157" t="str">
        <f t="shared" si="30"/>
        <v>Camera_FFC8 - Long Range View</v>
      </c>
      <c r="N1346" s="157"/>
      <c r="O1346" s="157"/>
      <c r="P1346" s="159" t="s">
        <v>7084</v>
      </c>
      <c r="Q1346" s="74" t="s">
        <v>2115</v>
      </c>
      <c r="R1346" s="74" t="s">
        <v>8690</v>
      </c>
      <c r="S1346" s="74" t="s">
        <v>8261</v>
      </c>
      <c r="T1346" s="157"/>
      <c r="U1346" s="159" t="s">
        <v>2129</v>
      </c>
      <c r="V1346" s="159" t="s">
        <v>2129</v>
      </c>
      <c r="W1346" s="159" t="s">
        <v>2138</v>
      </c>
      <c r="X1346" s="160">
        <v>1</v>
      </c>
      <c r="Y1346" s="160">
        <v>1</v>
      </c>
      <c r="Z1346" s="160">
        <v>1</v>
      </c>
      <c r="AA1346" s="160">
        <v>1</v>
      </c>
    </row>
    <row r="1347" spans="1:27" ht="18" customHeight="1" x14ac:dyDescent="0.25">
      <c r="A1347" s="159">
        <v>3234</v>
      </c>
      <c r="B1347" s="164" t="s">
        <v>266</v>
      </c>
      <c r="C1347" s="164" t="s">
        <v>514</v>
      </c>
      <c r="D1347" s="159" t="s">
        <v>731</v>
      </c>
      <c r="E1347" s="164" t="s">
        <v>795</v>
      </c>
      <c r="F1347" s="159"/>
      <c r="G1347" s="157" t="s">
        <v>1349</v>
      </c>
      <c r="H1347" s="157" t="s">
        <v>1350</v>
      </c>
      <c r="I1347" s="157" t="s">
        <v>1625</v>
      </c>
      <c r="J1347" s="157" t="s">
        <v>8295</v>
      </c>
      <c r="K1347" s="157" t="s">
        <v>1352</v>
      </c>
      <c r="L1347" s="157" t="s">
        <v>1633</v>
      </c>
      <c r="M1347" s="157" t="str">
        <f t="shared" si="30"/>
        <v>Camera_FFC8 - Long Range View</v>
      </c>
      <c r="N1347" s="157"/>
      <c r="O1347" s="157"/>
      <c r="P1347" s="159" t="s">
        <v>7084</v>
      </c>
      <c r="Q1347" s="74" t="s">
        <v>2115</v>
      </c>
      <c r="R1347" s="74" t="s">
        <v>8690</v>
      </c>
      <c r="S1347" s="74" t="s">
        <v>8261</v>
      </c>
      <c r="T1347" s="157"/>
      <c r="U1347" s="159" t="s">
        <v>2129</v>
      </c>
      <c r="V1347" s="159" t="s">
        <v>2129</v>
      </c>
      <c r="W1347" s="159" t="s">
        <v>2138</v>
      </c>
      <c r="X1347" s="160">
        <v>1</v>
      </c>
      <c r="Y1347" s="160">
        <v>1</v>
      </c>
      <c r="Z1347" s="160">
        <v>1</v>
      </c>
      <c r="AA1347" s="160">
        <v>1</v>
      </c>
    </row>
    <row r="1348" spans="1:27" ht="18" customHeight="1" x14ac:dyDescent="0.25">
      <c r="A1348" s="159">
        <v>3234</v>
      </c>
      <c r="B1348" s="164" t="s">
        <v>266</v>
      </c>
      <c r="C1348" s="164" t="s">
        <v>514</v>
      </c>
      <c r="D1348" s="159" t="s">
        <v>1170</v>
      </c>
      <c r="E1348" s="164" t="s">
        <v>1168</v>
      </c>
      <c r="F1348" s="159"/>
      <c r="G1348" s="157" t="s">
        <v>1349</v>
      </c>
      <c r="H1348" s="157" t="s">
        <v>1350</v>
      </c>
      <c r="I1348" s="157" t="s">
        <v>1625</v>
      </c>
      <c r="J1348" s="157" t="s">
        <v>8295</v>
      </c>
      <c r="K1348" s="157" t="s">
        <v>1352</v>
      </c>
      <c r="L1348" s="157" t="s">
        <v>1633</v>
      </c>
      <c r="M1348" s="157" t="str">
        <f t="shared" si="30"/>
        <v>Camera_FFC8 - Long Range View</v>
      </c>
      <c r="N1348" s="157"/>
      <c r="O1348" s="157"/>
      <c r="P1348" s="159" t="s">
        <v>7084</v>
      </c>
      <c r="Q1348" s="74" t="s">
        <v>2115</v>
      </c>
      <c r="R1348" s="74" t="s">
        <v>8690</v>
      </c>
      <c r="S1348" s="74" t="s">
        <v>8261</v>
      </c>
      <c r="T1348" s="157"/>
      <c r="U1348" s="159" t="s">
        <v>2129</v>
      </c>
      <c r="V1348" s="159" t="s">
        <v>2129</v>
      </c>
      <c r="W1348" s="159" t="s">
        <v>2138</v>
      </c>
      <c r="X1348" s="160">
        <v>1</v>
      </c>
      <c r="Y1348" s="160">
        <v>1</v>
      </c>
      <c r="Z1348" s="160">
        <v>1</v>
      </c>
      <c r="AA1348" s="160">
        <v>1</v>
      </c>
    </row>
    <row r="1349" spans="1:27" ht="18" customHeight="1" x14ac:dyDescent="0.25">
      <c r="A1349" s="159">
        <v>3234</v>
      </c>
      <c r="B1349" s="164" t="s">
        <v>266</v>
      </c>
      <c r="C1349" s="164" t="s">
        <v>514</v>
      </c>
      <c r="D1349" s="159" t="s">
        <v>1171</v>
      </c>
      <c r="E1349" s="164" t="s">
        <v>1223</v>
      </c>
      <c r="F1349" s="159"/>
      <c r="G1349" s="157" t="s">
        <v>1349</v>
      </c>
      <c r="H1349" s="157" t="s">
        <v>1350</v>
      </c>
      <c r="I1349" s="157" t="s">
        <v>1625</v>
      </c>
      <c r="J1349" s="157" t="s">
        <v>8295</v>
      </c>
      <c r="K1349" s="157" t="s">
        <v>1352</v>
      </c>
      <c r="L1349" s="157" t="s">
        <v>1633</v>
      </c>
      <c r="M1349" s="157" t="str">
        <f t="shared" si="30"/>
        <v>Camera_FFC8 - Long Range View</v>
      </c>
      <c r="N1349" s="157"/>
      <c r="O1349" s="157"/>
      <c r="P1349" s="159" t="s">
        <v>7084</v>
      </c>
      <c r="Q1349" s="74" t="s">
        <v>2115</v>
      </c>
      <c r="R1349" s="74" t="s">
        <v>8690</v>
      </c>
      <c r="S1349" s="74" t="s">
        <v>8261</v>
      </c>
      <c r="T1349" s="157"/>
      <c r="U1349" s="159" t="s">
        <v>2129</v>
      </c>
      <c r="V1349" s="159" t="s">
        <v>2129</v>
      </c>
      <c r="W1349" s="159" t="s">
        <v>2138</v>
      </c>
      <c r="X1349" s="160">
        <v>1</v>
      </c>
      <c r="Y1349" s="160">
        <v>1</v>
      </c>
      <c r="Z1349" s="160">
        <v>1</v>
      </c>
      <c r="AA1349" s="160">
        <v>1</v>
      </c>
    </row>
    <row r="1350" spans="1:27" ht="18" customHeight="1" x14ac:dyDescent="0.25">
      <c r="A1350" s="159">
        <v>3234</v>
      </c>
      <c r="B1350" s="164" t="s">
        <v>266</v>
      </c>
      <c r="C1350" s="164" t="s">
        <v>519</v>
      </c>
      <c r="D1350" s="159" t="s">
        <v>522</v>
      </c>
      <c r="E1350" s="164" t="s">
        <v>520</v>
      </c>
      <c r="F1350" s="159"/>
      <c r="G1350" s="157" t="s">
        <v>1349</v>
      </c>
      <c r="H1350" s="157" t="s">
        <v>1350</v>
      </c>
      <c r="I1350" s="157" t="s">
        <v>1625</v>
      </c>
      <c r="J1350" s="157" t="s">
        <v>8295</v>
      </c>
      <c r="K1350" s="157" t="s">
        <v>1352</v>
      </c>
      <c r="L1350" s="157" t="s">
        <v>1633</v>
      </c>
      <c r="M1350" s="157" t="str">
        <f t="shared" si="30"/>
        <v>Camera_FFC8 - Long Range View</v>
      </c>
      <c r="N1350" s="157"/>
      <c r="O1350" s="157"/>
      <c r="P1350" s="159" t="s">
        <v>7084</v>
      </c>
      <c r="Q1350" s="74" t="s">
        <v>2115</v>
      </c>
      <c r="R1350" s="74" t="s">
        <v>8690</v>
      </c>
      <c r="S1350" s="74" t="s">
        <v>8261</v>
      </c>
      <c r="T1350" s="157"/>
      <c r="U1350" s="159" t="s">
        <v>2129</v>
      </c>
      <c r="V1350" s="159" t="s">
        <v>2129</v>
      </c>
      <c r="W1350" s="159" t="s">
        <v>2138</v>
      </c>
      <c r="X1350" s="160">
        <v>1</v>
      </c>
      <c r="Y1350" s="160">
        <v>1</v>
      </c>
      <c r="Z1350" s="160">
        <v>1</v>
      </c>
      <c r="AA1350" s="160">
        <v>1</v>
      </c>
    </row>
    <row r="1351" spans="1:27" ht="18" customHeight="1" x14ac:dyDescent="0.25">
      <c r="A1351" s="159">
        <v>3234</v>
      </c>
      <c r="B1351" s="164" t="s">
        <v>266</v>
      </c>
      <c r="C1351" s="164" t="s">
        <v>519</v>
      </c>
      <c r="D1351" s="159" t="s">
        <v>526</v>
      </c>
      <c r="E1351" s="164" t="s">
        <v>524</v>
      </c>
      <c r="F1351" s="159"/>
      <c r="G1351" s="157" t="s">
        <v>1349</v>
      </c>
      <c r="H1351" s="157" t="s">
        <v>1350</v>
      </c>
      <c r="I1351" s="157" t="s">
        <v>1625</v>
      </c>
      <c r="J1351" s="157" t="s">
        <v>8295</v>
      </c>
      <c r="K1351" s="157" t="s">
        <v>1352</v>
      </c>
      <c r="L1351" s="157" t="s">
        <v>1633</v>
      </c>
      <c r="M1351" s="157" t="str">
        <f t="shared" si="30"/>
        <v>Camera_FFC8 - Long Range View</v>
      </c>
      <c r="N1351" s="157"/>
      <c r="O1351" s="157"/>
      <c r="P1351" s="159" t="s">
        <v>7084</v>
      </c>
      <c r="Q1351" s="74" t="s">
        <v>2115</v>
      </c>
      <c r="R1351" s="74" t="s">
        <v>8690</v>
      </c>
      <c r="S1351" s="74" t="s">
        <v>8261</v>
      </c>
      <c r="T1351" s="157"/>
      <c r="U1351" s="159" t="s">
        <v>2129</v>
      </c>
      <c r="V1351" s="159" t="s">
        <v>2129</v>
      </c>
      <c r="W1351" s="159" t="s">
        <v>2138</v>
      </c>
      <c r="X1351" s="160">
        <v>1</v>
      </c>
      <c r="Y1351" s="160">
        <v>1</v>
      </c>
      <c r="Z1351" s="160">
        <v>1</v>
      </c>
      <c r="AA1351" s="160">
        <v>1</v>
      </c>
    </row>
    <row r="1352" spans="1:27" ht="18" customHeight="1" x14ac:dyDescent="0.25">
      <c r="A1352" s="159">
        <v>3234</v>
      </c>
      <c r="B1352" s="164" t="s">
        <v>266</v>
      </c>
      <c r="C1352" s="164" t="s">
        <v>519</v>
      </c>
      <c r="D1352" s="159" t="s">
        <v>530</v>
      </c>
      <c r="E1352" s="164" t="s">
        <v>528</v>
      </c>
      <c r="F1352" s="159"/>
      <c r="G1352" s="157" t="s">
        <v>1349</v>
      </c>
      <c r="H1352" s="157" t="s">
        <v>1350</v>
      </c>
      <c r="I1352" s="157" t="s">
        <v>1625</v>
      </c>
      <c r="J1352" s="157" t="s">
        <v>8295</v>
      </c>
      <c r="K1352" s="157" t="s">
        <v>1352</v>
      </c>
      <c r="L1352" s="157" t="s">
        <v>1633</v>
      </c>
      <c r="M1352" s="157" t="str">
        <f t="shared" si="30"/>
        <v>Camera_FFC8 - Long Range View</v>
      </c>
      <c r="N1352" s="157"/>
      <c r="O1352" s="157"/>
      <c r="P1352" s="159" t="s">
        <v>7084</v>
      </c>
      <c r="Q1352" s="74" t="s">
        <v>2115</v>
      </c>
      <c r="R1352" s="74" t="s">
        <v>8690</v>
      </c>
      <c r="S1352" s="74" t="s">
        <v>8261</v>
      </c>
      <c r="T1352" s="157"/>
      <c r="U1352" s="159" t="s">
        <v>2129</v>
      </c>
      <c r="V1352" s="159" t="s">
        <v>2129</v>
      </c>
      <c r="W1352" s="159" t="s">
        <v>2138</v>
      </c>
      <c r="X1352" s="160">
        <v>1</v>
      </c>
      <c r="Y1352" s="160">
        <v>1</v>
      </c>
      <c r="Z1352" s="160">
        <v>1</v>
      </c>
      <c r="AA1352" s="160">
        <v>1</v>
      </c>
    </row>
    <row r="1353" spans="1:27" ht="18" customHeight="1" x14ac:dyDescent="0.25">
      <c r="A1353" s="159">
        <v>3234</v>
      </c>
      <c r="B1353" s="164" t="s">
        <v>266</v>
      </c>
      <c r="C1353" s="164" t="s">
        <v>519</v>
      </c>
      <c r="D1353" s="159" t="s">
        <v>787</v>
      </c>
      <c r="E1353" s="164" t="s">
        <v>785</v>
      </c>
      <c r="F1353" s="159"/>
      <c r="G1353" s="157" t="s">
        <v>1349</v>
      </c>
      <c r="H1353" s="157" t="s">
        <v>1350</v>
      </c>
      <c r="I1353" s="157" t="s">
        <v>1625</v>
      </c>
      <c r="J1353" s="157" t="s">
        <v>8295</v>
      </c>
      <c r="K1353" s="157" t="s">
        <v>1352</v>
      </c>
      <c r="L1353" s="157" t="s">
        <v>1633</v>
      </c>
      <c r="M1353" s="157" t="str">
        <f t="shared" si="30"/>
        <v>Camera_FFC8 - Long Range View</v>
      </c>
      <c r="N1353" s="157"/>
      <c r="O1353" s="157"/>
      <c r="P1353" s="159" t="s">
        <v>7084</v>
      </c>
      <c r="Q1353" s="74" t="s">
        <v>2115</v>
      </c>
      <c r="R1353" s="74" t="s">
        <v>8690</v>
      </c>
      <c r="S1353" s="74" t="s">
        <v>8261</v>
      </c>
      <c r="T1353" s="157"/>
      <c r="U1353" s="159" t="s">
        <v>2129</v>
      </c>
      <c r="V1353" s="159" t="s">
        <v>2129</v>
      </c>
      <c r="W1353" s="159" t="s">
        <v>2138</v>
      </c>
      <c r="X1353" s="160">
        <v>1</v>
      </c>
      <c r="Y1353" s="160">
        <v>1</v>
      </c>
      <c r="Z1353" s="160">
        <v>1</v>
      </c>
      <c r="AA1353" s="160">
        <v>1</v>
      </c>
    </row>
    <row r="1354" spans="1:27" ht="18" customHeight="1" x14ac:dyDescent="0.25">
      <c r="A1354" s="159">
        <v>3234</v>
      </c>
      <c r="B1354" s="164" t="s">
        <v>266</v>
      </c>
      <c r="C1354" s="164" t="s">
        <v>519</v>
      </c>
      <c r="D1354" s="159" t="s">
        <v>935</v>
      </c>
      <c r="E1354" s="164" t="s">
        <v>933</v>
      </c>
      <c r="F1354" s="159"/>
      <c r="G1354" s="157" t="s">
        <v>1349</v>
      </c>
      <c r="H1354" s="157" t="s">
        <v>1350</v>
      </c>
      <c r="I1354" s="157" t="s">
        <v>1625</v>
      </c>
      <c r="J1354" s="157" t="s">
        <v>8295</v>
      </c>
      <c r="K1354" s="157" t="s">
        <v>1352</v>
      </c>
      <c r="L1354" s="157" t="s">
        <v>1633</v>
      </c>
      <c r="M1354" s="157" t="str">
        <f t="shared" ref="M1354:M1417" si="31">CONCATENATE(L1354," - ",I1354)</f>
        <v>Camera_FFC8 - Long Range View</v>
      </c>
      <c r="N1354" s="157"/>
      <c r="O1354" s="157"/>
      <c r="P1354" s="159" t="s">
        <v>7084</v>
      </c>
      <c r="Q1354" s="74" t="s">
        <v>2115</v>
      </c>
      <c r="R1354" s="74" t="s">
        <v>8690</v>
      </c>
      <c r="S1354" s="74" t="s">
        <v>8261</v>
      </c>
      <c r="T1354" s="157"/>
      <c r="U1354" s="159" t="s">
        <v>2129</v>
      </c>
      <c r="V1354" s="159" t="s">
        <v>2129</v>
      </c>
      <c r="W1354" s="159" t="s">
        <v>2138</v>
      </c>
      <c r="X1354" s="160">
        <v>1</v>
      </c>
      <c r="Y1354" s="160">
        <v>1</v>
      </c>
      <c r="Z1354" s="160">
        <v>1</v>
      </c>
      <c r="AA1354" s="160">
        <v>1</v>
      </c>
    </row>
    <row r="1355" spans="1:27" ht="18" customHeight="1" x14ac:dyDescent="0.25">
      <c r="A1355" s="159">
        <v>3234</v>
      </c>
      <c r="B1355" s="164" t="s">
        <v>266</v>
      </c>
      <c r="C1355" s="164" t="s">
        <v>519</v>
      </c>
      <c r="D1355" s="159" t="s">
        <v>1151</v>
      </c>
      <c r="E1355" s="164" t="s">
        <v>1149</v>
      </c>
      <c r="F1355" s="159"/>
      <c r="G1355" s="157" t="s">
        <v>1349</v>
      </c>
      <c r="H1355" s="157" t="s">
        <v>1350</v>
      </c>
      <c r="I1355" s="157" t="s">
        <v>1625</v>
      </c>
      <c r="J1355" s="157" t="s">
        <v>8295</v>
      </c>
      <c r="K1355" s="157" t="s">
        <v>1352</v>
      </c>
      <c r="L1355" s="157" t="s">
        <v>1633</v>
      </c>
      <c r="M1355" s="157" t="str">
        <f t="shared" si="31"/>
        <v>Camera_FFC8 - Long Range View</v>
      </c>
      <c r="N1355" s="157"/>
      <c r="O1355" s="157"/>
      <c r="P1355" s="159" t="s">
        <v>7084</v>
      </c>
      <c r="Q1355" s="74" t="s">
        <v>2115</v>
      </c>
      <c r="R1355" s="74" t="s">
        <v>8690</v>
      </c>
      <c r="S1355" s="74" t="s">
        <v>8261</v>
      </c>
      <c r="T1355" s="157"/>
      <c r="U1355" s="159" t="s">
        <v>2129</v>
      </c>
      <c r="V1355" s="159" t="s">
        <v>2129</v>
      </c>
      <c r="W1355" s="159" t="s">
        <v>2138</v>
      </c>
      <c r="X1355" s="160">
        <v>1</v>
      </c>
      <c r="Y1355" s="160">
        <v>1</v>
      </c>
      <c r="Z1355" s="160">
        <v>1</v>
      </c>
      <c r="AA1355" s="160">
        <v>1</v>
      </c>
    </row>
    <row r="1356" spans="1:27" ht="18" customHeight="1" x14ac:dyDescent="0.25">
      <c r="A1356" s="159">
        <v>3234</v>
      </c>
      <c r="B1356" s="164" t="s">
        <v>266</v>
      </c>
      <c r="C1356" s="164" t="s">
        <v>519</v>
      </c>
      <c r="D1356" s="159" t="s">
        <v>1159</v>
      </c>
      <c r="E1356" s="164" t="s">
        <v>1157</v>
      </c>
      <c r="F1356" s="159"/>
      <c r="G1356" s="157" t="s">
        <v>1349</v>
      </c>
      <c r="H1356" s="157" t="s">
        <v>1350</v>
      </c>
      <c r="I1356" s="157" t="s">
        <v>1625</v>
      </c>
      <c r="J1356" s="157" t="s">
        <v>8295</v>
      </c>
      <c r="K1356" s="157" t="s">
        <v>1352</v>
      </c>
      <c r="L1356" s="157" t="s">
        <v>1633</v>
      </c>
      <c r="M1356" s="157" t="str">
        <f t="shared" si="31"/>
        <v>Camera_FFC8 - Long Range View</v>
      </c>
      <c r="N1356" s="157"/>
      <c r="O1356" s="157"/>
      <c r="P1356" s="159" t="s">
        <v>7084</v>
      </c>
      <c r="Q1356" s="74" t="s">
        <v>2115</v>
      </c>
      <c r="R1356" s="74" t="s">
        <v>8690</v>
      </c>
      <c r="S1356" s="74" t="s">
        <v>8261</v>
      </c>
      <c r="T1356" s="157"/>
      <c r="U1356" s="159" t="s">
        <v>2129</v>
      </c>
      <c r="V1356" s="159" t="s">
        <v>2129</v>
      </c>
      <c r="W1356" s="159" t="s">
        <v>2138</v>
      </c>
      <c r="X1356" s="160">
        <v>1</v>
      </c>
      <c r="Y1356" s="160">
        <v>1</v>
      </c>
      <c r="Z1356" s="160">
        <v>1</v>
      </c>
      <c r="AA1356" s="160">
        <v>1</v>
      </c>
    </row>
    <row r="1357" spans="1:27" ht="18" customHeight="1" x14ac:dyDescent="0.25">
      <c r="A1357" s="159">
        <v>3235</v>
      </c>
      <c r="B1357" s="164" t="s">
        <v>29</v>
      </c>
      <c r="C1357" s="164" t="s">
        <v>113</v>
      </c>
      <c r="D1357" s="159" t="s">
        <v>932</v>
      </c>
      <c r="E1357" s="164" t="s">
        <v>930</v>
      </c>
      <c r="F1357" s="159"/>
      <c r="G1357" s="157" t="s">
        <v>1349</v>
      </c>
      <c r="H1357" s="157" t="s">
        <v>1350</v>
      </c>
      <c r="I1357" s="157" t="s">
        <v>1625</v>
      </c>
      <c r="J1357" s="157" t="s">
        <v>8295</v>
      </c>
      <c r="K1357" s="157" t="s">
        <v>1352</v>
      </c>
      <c r="L1357" s="157" t="s">
        <v>1634</v>
      </c>
      <c r="M1357" s="157" t="str">
        <f t="shared" si="31"/>
        <v>Camera_FFC9 - Long Range View</v>
      </c>
      <c r="N1357" s="157"/>
      <c r="O1357" s="157"/>
      <c r="P1357" s="159" t="s">
        <v>6026</v>
      </c>
      <c r="Q1357" s="74" t="s">
        <v>2115</v>
      </c>
      <c r="R1357" s="74" t="s">
        <v>8690</v>
      </c>
      <c r="S1357" s="74" t="s">
        <v>8261</v>
      </c>
      <c r="T1357" s="157"/>
      <c r="U1357" s="159" t="s">
        <v>2129</v>
      </c>
      <c r="V1357" s="159" t="s">
        <v>2129</v>
      </c>
      <c r="W1357" s="159" t="s">
        <v>2138</v>
      </c>
      <c r="X1357" s="160">
        <v>1</v>
      </c>
      <c r="Y1357" s="160">
        <v>1</v>
      </c>
      <c r="Z1357" s="160">
        <v>1</v>
      </c>
      <c r="AA1357" s="160">
        <v>1</v>
      </c>
    </row>
    <row r="1358" spans="1:27" ht="18" customHeight="1" x14ac:dyDescent="0.25">
      <c r="A1358" s="159">
        <v>3235</v>
      </c>
      <c r="B1358" s="164" t="s">
        <v>266</v>
      </c>
      <c r="C1358" s="164" t="s">
        <v>286</v>
      </c>
      <c r="D1358" s="159" t="s">
        <v>289</v>
      </c>
      <c r="E1358" s="164" t="s">
        <v>287</v>
      </c>
      <c r="F1358" s="159"/>
      <c r="G1358" s="157" t="s">
        <v>1349</v>
      </c>
      <c r="H1358" s="157" t="s">
        <v>1350</v>
      </c>
      <c r="I1358" s="157" t="s">
        <v>1625</v>
      </c>
      <c r="J1358" s="157" t="s">
        <v>8295</v>
      </c>
      <c r="K1358" s="157" t="s">
        <v>1352</v>
      </c>
      <c r="L1358" s="157" t="s">
        <v>1634</v>
      </c>
      <c r="M1358" s="157" t="str">
        <f t="shared" si="31"/>
        <v>Camera_FFC9 - Long Range View</v>
      </c>
      <c r="N1358" s="157"/>
      <c r="O1358" s="157"/>
      <c r="P1358" s="159" t="s">
        <v>6026</v>
      </c>
      <c r="Q1358" s="74" t="s">
        <v>2115</v>
      </c>
      <c r="R1358" s="74" t="s">
        <v>8690</v>
      </c>
      <c r="S1358" s="74" t="s">
        <v>8261</v>
      </c>
      <c r="T1358" s="157"/>
      <c r="U1358" s="159" t="s">
        <v>2129</v>
      </c>
      <c r="V1358" s="159" t="s">
        <v>2129</v>
      </c>
      <c r="W1358" s="159" t="s">
        <v>2138</v>
      </c>
      <c r="X1358" s="160">
        <v>1</v>
      </c>
      <c r="Y1358" s="160">
        <v>1</v>
      </c>
      <c r="Z1358" s="160">
        <v>1</v>
      </c>
      <c r="AA1358" s="160">
        <v>1</v>
      </c>
    </row>
    <row r="1359" spans="1:27" ht="18" customHeight="1" x14ac:dyDescent="0.25">
      <c r="A1359" s="159">
        <v>3235</v>
      </c>
      <c r="B1359" s="164" t="s">
        <v>266</v>
      </c>
      <c r="C1359" s="164" t="s">
        <v>276</v>
      </c>
      <c r="D1359" s="159" t="s">
        <v>317</v>
      </c>
      <c r="E1359" s="164" t="s">
        <v>315</v>
      </c>
      <c r="F1359" s="159"/>
      <c r="G1359" s="157" t="s">
        <v>1349</v>
      </c>
      <c r="H1359" s="157" t="s">
        <v>1350</v>
      </c>
      <c r="I1359" s="157" t="s">
        <v>1625</v>
      </c>
      <c r="J1359" s="157" t="s">
        <v>8295</v>
      </c>
      <c r="K1359" s="157" t="s">
        <v>1352</v>
      </c>
      <c r="L1359" s="157" t="s">
        <v>1634</v>
      </c>
      <c r="M1359" s="157" t="str">
        <f t="shared" si="31"/>
        <v>Camera_FFC9 - Long Range View</v>
      </c>
      <c r="N1359" s="157"/>
      <c r="O1359" s="157"/>
      <c r="P1359" s="159" t="s">
        <v>6026</v>
      </c>
      <c r="Q1359" s="74" t="s">
        <v>2115</v>
      </c>
      <c r="R1359" s="74" t="s">
        <v>8690</v>
      </c>
      <c r="S1359" s="74" t="s">
        <v>8261</v>
      </c>
      <c r="T1359" s="157"/>
      <c r="U1359" s="159" t="s">
        <v>2129</v>
      </c>
      <c r="V1359" s="159" t="s">
        <v>2129</v>
      </c>
      <c r="W1359" s="159" t="s">
        <v>2138</v>
      </c>
      <c r="X1359" s="160">
        <v>1</v>
      </c>
      <c r="Y1359" s="160">
        <v>1</v>
      </c>
      <c r="Z1359" s="160">
        <v>1</v>
      </c>
      <c r="AA1359" s="160">
        <v>1</v>
      </c>
    </row>
    <row r="1360" spans="1:27" ht="18" customHeight="1" x14ac:dyDescent="0.25">
      <c r="A1360" s="159">
        <v>3235</v>
      </c>
      <c r="B1360" s="164" t="s">
        <v>266</v>
      </c>
      <c r="C1360" s="164" t="s">
        <v>276</v>
      </c>
      <c r="D1360" s="159" t="s">
        <v>726</v>
      </c>
      <c r="E1360" s="164" t="s">
        <v>724</v>
      </c>
      <c r="F1360" s="159"/>
      <c r="G1360" s="157" t="s">
        <v>1349</v>
      </c>
      <c r="H1360" s="157" t="s">
        <v>1350</v>
      </c>
      <c r="I1360" s="157" t="s">
        <v>1625</v>
      </c>
      <c r="J1360" s="157" t="s">
        <v>8295</v>
      </c>
      <c r="K1360" s="157" t="s">
        <v>1352</v>
      </c>
      <c r="L1360" s="157" t="s">
        <v>1634</v>
      </c>
      <c r="M1360" s="157" t="str">
        <f t="shared" si="31"/>
        <v>Camera_FFC9 - Long Range View</v>
      </c>
      <c r="N1360" s="157"/>
      <c r="O1360" s="157"/>
      <c r="P1360" s="159" t="s">
        <v>6026</v>
      </c>
      <c r="Q1360" s="74" t="s">
        <v>2115</v>
      </c>
      <c r="R1360" s="74" t="s">
        <v>8690</v>
      </c>
      <c r="S1360" s="74" t="s">
        <v>8261</v>
      </c>
      <c r="T1360" s="157"/>
      <c r="U1360" s="159" t="s">
        <v>2129</v>
      </c>
      <c r="V1360" s="159" t="s">
        <v>2129</v>
      </c>
      <c r="W1360" s="159" t="s">
        <v>2138</v>
      </c>
      <c r="X1360" s="160">
        <v>1</v>
      </c>
      <c r="Y1360" s="160">
        <v>1</v>
      </c>
      <c r="Z1360" s="160">
        <v>1</v>
      </c>
      <c r="AA1360" s="160">
        <v>1</v>
      </c>
    </row>
    <row r="1361" spans="1:27" ht="18" customHeight="1" x14ac:dyDescent="0.25">
      <c r="A1361" s="159">
        <v>3235</v>
      </c>
      <c r="B1361" s="164" t="s">
        <v>266</v>
      </c>
      <c r="C1361" s="164" t="s">
        <v>276</v>
      </c>
      <c r="D1361" s="159" t="s">
        <v>734</v>
      </c>
      <c r="E1361" s="164" t="s">
        <v>732</v>
      </c>
      <c r="F1361" s="159"/>
      <c r="G1361" s="157" t="s">
        <v>1349</v>
      </c>
      <c r="H1361" s="157" t="s">
        <v>1350</v>
      </c>
      <c r="I1361" s="157" t="s">
        <v>1625</v>
      </c>
      <c r="J1361" s="157" t="s">
        <v>8295</v>
      </c>
      <c r="K1361" s="157" t="s">
        <v>1352</v>
      </c>
      <c r="L1361" s="157" t="s">
        <v>1634</v>
      </c>
      <c r="M1361" s="157" t="str">
        <f t="shared" si="31"/>
        <v>Camera_FFC9 - Long Range View</v>
      </c>
      <c r="N1361" s="157"/>
      <c r="O1361" s="157"/>
      <c r="P1361" s="159" t="s">
        <v>6026</v>
      </c>
      <c r="Q1361" s="74" t="s">
        <v>2115</v>
      </c>
      <c r="R1361" s="74" t="s">
        <v>8690</v>
      </c>
      <c r="S1361" s="74" t="s">
        <v>8261</v>
      </c>
      <c r="T1361" s="157"/>
      <c r="U1361" s="159" t="s">
        <v>2129</v>
      </c>
      <c r="V1361" s="159" t="s">
        <v>2129</v>
      </c>
      <c r="W1361" s="159" t="s">
        <v>2138</v>
      </c>
      <c r="X1361" s="160">
        <v>1</v>
      </c>
      <c r="Y1361" s="160">
        <v>1</v>
      </c>
      <c r="Z1361" s="160">
        <v>1</v>
      </c>
      <c r="AA1361" s="160">
        <v>1</v>
      </c>
    </row>
    <row r="1362" spans="1:27" ht="18" customHeight="1" x14ac:dyDescent="0.25">
      <c r="A1362" s="159">
        <v>3235</v>
      </c>
      <c r="B1362" s="164" t="s">
        <v>266</v>
      </c>
      <c r="C1362" s="164" t="s">
        <v>294</v>
      </c>
      <c r="D1362" s="159" t="s">
        <v>297</v>
      </c>
      <c r="E1362" s="164" t="s">
        <v>295</v>
      </c>
      <c r="F1362" s="159"/>
      <c r="G1362" s="157" t="s">
        <v>1349</v>
      </c>
      <c r="H1362" s="157" t="s">
        <v>1350</v>
      </c>
      <c r="I1362" s="157" t="s">
        <v>1625</v>
      </c>
      <c r="J1362" s="157" t="s">
        <v>8295</v>
      </c>
      <c r="K1362" s="157" t="s">
        <v>1352</v>
      </c>
      <c r="L1362" s="157" t="s">
        <v>1634</v>
      </c>
      <c r="M1362" s="157" t="str">
        <f t="shared" si="31"/>
        <v>Camera_FFC9 - Long Range View</v>
      </c>
      <c r="N1362" s="157"/>
      <c r="O1362" s="157"/>
      <c r="P1362" s="159" t="s">
        <v>6026</v>
      </c>
      <c r="Q1362" s="74" t="s">
        <v>2115</v>
      </c>
      <c r="R1362" s="74" t="s">
        <v>8690</v>
      </c>
      <c r="S1362" s="74" t="s">
        <v>8261</v>
      </c>
      <c r="T1362" s="157"/>
      <c r="U1362" s="159" t="s">
        <v>2129</v>
      </c>
      <c r="V1362" s="159" t="s">
        <v>2129</v>
      </c>
      <c r="W1362" s="159" t="s">
        <v>2138</v>
      </c>
      <c r="X1362" s="160">
        <v>1</v>
      </c>
      <c r="Y1362" s="160">
        <v>1</v>
      </c>
      <c r="Z1362" s="160">
        <v>1</v>
      </c>
      <c r="AA1362" s="160">
        <v>1</v>
      </c>
    </row>
    <row r="1363" spans="1:27" ht="18" customHeight="1" x14ac:dyDescent="0.25">
      <c r="A1363" s="159">
        <v>3235</v>
      </c>
      <c r="B1363" s="164" t="s">
        <v>266</v>
      </c>
      <c r="C1363" s="164" t="s">
        <v>294</v>
      </c>
      <c r="D1363" s="159" t="s">
        <v>298</v>
      </c>
      <c r="E1363" s="164" t="s">
        <v>299</v>
      </c>
      <c r="F1363" s="159"/>
      <c r="G1363" s="157" t="s">
        <v>1349</v>
      </c>
      <c r="H1363" s="157" t="s">
        <v>1350</v>
      </c>
      <c r="I1363" s="157" t="s">
        <v>1625</v>
      </c>
      <c r="J1363" s="157" t="s">
        <v>8295</v>
      </c>
      <c r="K1363" s="157" t="s">
        <v>1352</v>
      </c>
      <c r="L1363" s="157" t="s">
        <v>1634</v>
      </c>
      <c r="M1363" s="157" t="str">
        <f t="shared" si="31"/>
        <v>Camera_FFC9 - Long Range View</v>
      </c>
      <c r="N1363" s="157"/>
      <c r="O1363" s="157"/>
      <c r="P1363" s="159" t="s">
        <v>6026</v>
      </c>
      <c r="Q1363" s="74" t="s">
        <v>2115</v>
      </c>
      <c r="R1363" s="74" t="s">
        <v>8690</v>
      </c>
      <c r="S1363" s="74" t="s">
        <v>8261</v>
      </c>
      <c r="T1363" s="157"/>
      <c r="U1363" s="159" t="s">
        <v>2129</v>
      </c>
      <c r="V1363" s="159" t="s">
        <v>2129</v>
      </c>
      <c r="W1363" s="159" t="s">
        <v>2138</v>
      </c>
      <c r="X1363" s="160">
        <v>1</v>
      </c>
      <c r="Y1363" s="160">
        <v>1</v>
      </c>
      <c r="Z1363" s="160">
        <v>1</v>
      </c>
      <c r="AA1363" s="160">
        <v>1</v>
      </c>
    </row>
    <row r="1364" spans="1:27" ht="18" customHeight="1" x14ac:dyDescent="0.25">
      <c r="A1364" s="159">
        <v>3235</v>
      </c>
      <c r="B1364" s="164" t="s">
        <v>266</v>
      </c>
      <c r="C1364" s="164" t="s">
        <v>294</v>
      </c>
      <c r="D1364" s="159" t="s">
        <v>503</v>
      </c>
      <c r="E1364" s="164" t="s">
        <v>501</v>
      </c>
      <c r="F1364" s="159"/>
      <c r="G1364" s="157" t="s">
        <v>1349</v>
      </c>
      <c r="H1364" s="157" t="s">
        <v>1350</v>
      </c>
      <c r="I1364" s="157" t="s">
        <v>1625</v>
      </c>
      <c r="J1364" s="157" t="s">
        <v>8295</v>
      </c>
      <c r="K1364" s="157" t="s">
        <v>1352</v>
      </c>
      <c r="L1364" s="157" t="s">
        <v>1634</v>
      </c>
      <c r="M1364" s="157" t="str">
        <f t="shared" si="31"/>
        <v>Camera_FFC9 - Long Range View</v>
      </c>
      <c r="N1364" s="157"/>
      <c r="O1364" s="157"/>
      <c r="P1364" s="159" t="s">
        <v>6026</v>
      </c>
      <c r="Q1364" s="74" t="s">
        <v>2115</v>
      </c>
      <c r="R1364" s="74" t="s">
        <v>8690</v>
      </c>
      <c r="S1364" s="74" t="s">
        <v>8261</v>
      </c>
      <c r="T1364" s="157"/>
      <c r="U1364" s="159" t="s">
        <v>2129</v>
      </c>
      <c r="V1364" s="159" t="s">
        <v>2129</v>
      </c>
      <c r="W1364" s="159" t="s">
        <v>2138</v>
      </c>
      <c r="X1364" s="160">
        <v>1</v>
      </c>
      <c r="Y1364" s="160">
        <v>1</v>
      </c>
      <c r="Z1364" s="160">
        <v>1</v>
      </c>
      <c r="AA1364" s="160">
        <v>1</v>
      </c>
    </row>
    <row r="1365" spans="1:27" ht="18" customHeight="1" x14ac:dyDescent="0.25">
      <c r="A1365" s="159">
        <v>3235</v>
      </c>
      <c r="B1365" s="164" t="s">
        <v>266</v>
      </c>
      <c r="C1365" s="164" t="s">
        <v>294</v>
      </c>
      <c r="D1365" s="159" t="s">
        <v>692</v>
      </c>
      <c r="E1365" s="164" t="s">
        <v>690</v>
      </c>
      <c r="F1365" s="159"/>
      <c r="G1365" s="157" t="s">
        <v>1349</v>
      </c>
      <c r="H1365" s="157" t="s">
        <v>1350</v>
      </c>
      <c r="I1365" s="157" t="s">
        <v>1625</v>
      </c>
      <c r="J1365" s="157" t="s">
        <v>8295</v>
      </c>
      <c r="K1365" s="157" t="s">
        <v>1352</v>
      </c>
      <c r="L1365" s="157" t="s">
        <v>1634</v>
      </c>
      <c r="M1365" s="157" t="str">
        <f t="shared" si="31"/>
        <v>Camera_FFC9 - Long Range View</v>
      </c>
      <c r="N1365" s="157"/>
      <c r="O1365" s="157"/>
      <c r="P1365" s="159" t="s">
        <v>6026</v>
      </c>
      <c r="Q1365" s="74" t="s">
        <v>2115</v>
      </c>
      <c r="R1365" s="74" t="s">
        <v>8690</v>
      </c>
      <c r="S1365" s="74" t="s">
        <v>8261</v>
      </c>
      <c r="T1365" s="157"/>
      <c r="U1365" s="159" t="s">
        <v>2129</v>
      </c>
      <c r="V1365" s="159" t="s">
        <v>2129</v>
      </c>
      <c r="W1365" s="159" t="s">
        <v>2138</v>
      </c>
      <c r="X1365" s="160">
        <v>1</v>
      </c>
      <c r="Y1365" s="160">
        <v>1</v>
      </c>
      <c r="Z1365" s="160">
        <v>1</v>
      </c>
      <c r="AA1365" s="160">
        <v>1</v>
      </c>
    </row>
    <row r="1366" spans="1:27" ht="18" customHeight="1" x14ac:dyDescent="0.25">
      <c r="A1366" s="159">
        <v>3235</v>
      </c>
      <c r="B1366" s="164" t="s">
        <v>266</v>
      </c>
      <c r="C1366" s="164" t="s">
        <v>294</v>
      </c>
      <c r="D1366" s="159" t="s">
        <v>1177</v>
      </c>
      <c r="E1366" s="164" t="s">
        <v>1175</v>
      </c>
      <c r="F1366" s="159"/>
      <c r="G1366" s="157" t="s">
        <v>1349</v>
      </c>
      <c r="H1366" s="157" t="s">
        <v>1350</v>
      </c>
      <c r="I1366" s="157" t="s">
        <v>1625</v>
      </c>
      <c r="J1366" s="157" t="s">
        <v>8295</v>
      </c>
      <c r="K1366" s="157" t="s">
        <v>1352</v>
      </c>
      <c r="L1366" s="157" t="s">
        <v>1634</v>
      </c>
      <c r="M1366" s="157" t="str">
        <f t="shared" si="31"/>
        <v>Camera_FFC9 - Long Range View</v>
      </c>
      <c r="N1366" s="157"/>
      <c r="O1366" s="157"/>
      <c r="P1366" s="159" t="s">
        <v>6026</v>
      </c>
      <c r="Q1366" s="74" t="s">
        <v>2115</v>
      </c>
      <c r="R1366" s="74" t="s">
        <v>8690</v>
      </c>
      <c r="S1366" s="74" t="s">
        <v>8261</v>
      </c>
      <c r="T1366" s="157"/>
      <c r="U1366" s="159" t="s">
        <v>2129</v>
      </c>
      <c r="V1366" s="159" t="s">
        <v>2129</v>
      </c>
      <c r="W1366" s="159" t="s">
        <v>2138</v>
      </c>
      <c r="X1366" s="160">
        <v>1</v>
      </c>
      <c r="Y1366" s="160">
        <v>1</v>
      </c>
      <c r="Z1366" s="160">
        <v>1</v>
      </c>
      <c r="AA1366" s="160">
        <v>1</v>
      </c>
    </row>
    <row r="1367" spans="1:27" ht="18" customHeight="1" x14ac:dyDescent="0.25">
      <c r="A1367" s="159">
        <v>3235</v>
      </c>
      <c r="B1367" s="164" t="s">
        <v>266</v>
      </c>
      <c r="C1367" s="164" t="s">
        <v>294</v>
      </c>
      <c r="D1367" s="159" t="s">
        <v>1178</v>
      </c>
      <c r="E1367" s="164" t="s">
        <v>1179</v>
      </c>
      <c r="F1367" s="159"/>
      <c r="G1367" s="157" t="s">
        <v>1349</v>
      </c>
      <c r="H1367" s="157" t="s">
        <v>1350</v>
      </c>
      <c r="I1367" s="157" t="s">
        <v>1625</v>
      </c>
      <c r="J1367" s="157" t="s">
        <v>8295</v>
      </c>
      <c r="K1367" s="157" t="s">
        <v>1352</v>
      </c>
      <c r="L1367" s="157" t="s">
        <v>1634</v>
      </c>
      <c r="M1367" s="157" t="str">
        <f t="shared" si="31"/>
        <v>Camera_FFC9 - Long Range View</v>
      </c>
      <c r="N1367" s="157"/>
      <c r="O1367" s="157"/>
      <c r="P1367" s="159" t="s">
        <v>6026</v>
      </c>
      <c r="Q1367" s="74" t="s">
        <v>2115</v>
      </c>
      <c r="R1367" s="74" t="s">
        <v>8690</v>
      </c>
      <c r="S1367" s="74" t="s">
        <v>8261</v>
      </c>
      <c r="T1367" s="157"/>
      <c r="U1367" s="159" t="s">
        <v>2129</v>
      </c>
      <c r="V1367" s="159" t="s">
        <v>2129</v>
      </c>
      <c r="W1367" s="159" t="s">
        <v>2138</v>
      </c>
      <c r="X1367" s="160">
        <v>1</v>
      </c>
      <c r="Y1367" s="160">
        <v>1</v>
      </c>
      <c r="Z1367" s="160">
        <v>1</v>
      </c>
      <c r="AA1367" s="160">
        <v>1</v>
      </c>
    </row>
    <row r="1368" spans="1:27" ht="18" customHeight="1" x14ac:dyDescent="0.25">
      <c r="A1368" s="159">
        <v>3235</v>
      </c>
      <c r="B1368" s="164" t="s">
        <v>266</v>
      </c>
      <c r="C1368" s="164" t="s">
        <v>294</v>
      </c>
      <c r="D1368" s="159" t="s">
        <v>1207</v>
      </c>
      <c r="E1368" s="164" t="s">
        <v>1205</v>
      </c>
      <c r="F1368" s="159"/>
      <c r="G1368" s="157" t="s">
        <v>1349</v>
      </c>
      <c r="H1368" s="157" t="s">
        <v>1350</v>
      </c>
      <c r="I1368" s="157" t="s">
        <v>1625</v>
      </c>
      <c r="J1368" s="157" t="s">
        <v>8295</v>
      </c>
      <c r="K1368" s="157" t="s">
        <v>1352</v>
      </c>
      <c r="L1368" s="157" t="s">
        <v>1634</v>
      </c>
      <c r="M1368" s="157" t="str">
        <f t="shared" si="31"/>
        <v>Camera_FFC9 - Long Range View</v>
      </c>
      <c r="N1368" s="157"/>
      <c r="O1368" s="157"/>
      <c r="P1368" s="159" t="s">
        <v>6026</v>
      </c>
      <c r="Q1368" s="74" t="s">
        <v>2115</v>
      </c>
      <c r="R1368" s="74" t="s">
        <v>8690</v>
      </c>
      <c r="S1368" s="74" t="s">
        <v>8261</v>
      </c>
      <c r="T1368" s="157"/>
      <c r="U1368" s="159" t="s">
        <v>2129</v>
      </c>
      <c r="V1368" s="159" t="s">
        <v>2129</v>
      </c>
      <c r="W1368" s="159" t="s">
        <v>2138</v>
      </c>
      <c r="X1368" s="160">
        <v>1</v>
      </c>
      <c r="Y1368" s="160">
        <v>1</v>
      </c>
      <c r="Z1368" s="160">
        <v>1</v>
      </c>
      <c r="AA1368" s="160">
        <v>1</v>
      </c>
    </row>
    <row r="1369" spans="1:27" ht="18" customHeight="1" x14ac:dyDescent="0.25">
      <c r="A1369" s="159">
        <v>3235</v>
      </c>
      <c r="B1369" s="164" t="s">
        <v>266</v>
      </c>
      <c r="C1369" s="164" t="s">
        <v>514</v>
      </c>
      <c r="D1369" s="159" t="s">
        <v>517</v>
      </c>
      <c r="E1369" s="164" t="s">
        <v>515</v>
      </c>
      <c r="F1369" s="159"/>
      <c r="G1369" s="157" t="s">
        <v>1349</v>
      </c>
      <c r="H1369" s="157" t="s">
        <v>1350</v>
      </c>
      <c r="I1369" s="157" t="s">
        <v>1625</v>
      </c>
      <c r="J1369" s="157" t="s">
        <v>8295</v>
      </c>
      <c r="K1369" s="157" t="s">
        <v>1352</v>
      </c>
      <c r="L1369" s="157" t="s">
        <v>1634</v>
      </c>
      <c r="M1369" s="157" t="str">
        <f t="shared" si="31"/>
        <v>Camera_FFC9 - Long Range View</v>
      </c>
      <c r="N1369" s="157"/>
      <c r="O1369" s="157"/>
      <c r="P1369" s="159" t="s">
        <v>6026</v>
      </c>
      <c r="Q1369" s="74" t="s">
        <v>2115</v>
      </c>
      <c r="R1369" s="74" t="s">
        <v>8690</v>
      </c>
      <c r="S1369" s="74" t="s">
        <v>8261</v>
      </c>
      <c r="T1369" s="157"/>
      <c r="U1369" s="159" t="s">
        <v>2129</v>
      </c>
      <c r="V1369" s="159" t="s">
        <v>2129</v>
      </c>
      <c r="W1369" s="159" t="s">
        <v>2138</v>
      </c>
      <c r="X1369" s="160">
        <v>1</v>
      </c>
      <c r="Y1369" s="160">
        <v>1</v>
      </c>
      <c r="Z1369" s="160">
        <v>1</v>
      </c>
      <c r="AA1369" s="160">
        <v>1</v>
      </c>
    </row>
    <row r="1370" spans="1:27" ht="18" customHeight="1" x14ac:dyDescent="0.25">
      <c r="A1370" s="159">
        <v>3235</v>
      </c>
      <c r="B1370" s="164" t="s">
        <v>266</v>
      </c>
      <c r="C1370" s="164" t="s">
        <v>514</v>
      </c>
      <c r="D1370" s="159" t="s">
        <v>730</v>
      </c>
      <c r="E1370" s="164" t="s">
        <v>728</v>
      </c>
      <c r="F1370" s="159"/>
      <c r="G1370" s="157" t="s">
        <v>1349</v>
      </c>
      <c r="H1370" s="157" t="s">
        <v>1350</v>
      </c>
      <c r="I1370" s="157" t="s">
        <v>1625</v>
      </c>
      <c r="J1370" s="157" t="s">
        <v>8295</v>
      </c>
      <c r="K1370" s="157" t="s">
        <v>1352</v>
      </c>
      <c r="L1370" s="157" t="s">
        <v>1634</v>
      </c>
      <c r="M1370" s="157" t="str">
        <f t="shared" si="31"/>
        <v>Camera_FFC9 - Long Range View</v>
      </c>
      <c r="N1370" s="157"/>
      <c r="O1370" s="157"/>
      <c r="P1370" s="159" t="s">
        <v>6026</v>
      </c>
      <c r="Q1370" s="74" t="s">
        <v>2115</v>
      </c>
      <c r="R1370" s="74" t="s">
        <v>8690</v>
      </c>
      <c r="S1370" s="74" t="s">
        <v>8261</v>
      </c>
      <c r="T1370" s="157"/>
      <c r="U1370" s="159" t="s">
        <v>2129</v>
      </c>
      <c r="V1370" s="159" t="s">
        <v>2129</v>
      </c>
      <c r="W1370" s="159" t="s">
        <v>2138</v>
      </c>
      <c r="X1370" s="160">
        <v>1</v>
      </c>
      <c r="Y1370" s="160">
        <v>1</v>
      </c>
      <c r="Z1370" s="160">
        <v>1</v>
      </c>
      <c r="AA1370" s="160">
        <v>1</v>
      </c>
    </row>
    <row r="1371" spans="1:27" ht="18" customHeight="1" x14ac:dyDescent="0.25">
      <c r="A1371" s="159">
        <v>3235</v>
      </c>
      <c r="B1371" s="164" t="s">
        <v>266</v>
      </c>
      <c r="C1371" s="164" t="s">
        <v>514</v>
      </c>
      <c r="D1371" s="159" t="s">
        <v>793</v>
      </c>
      <c r="E1371" s="164" t="s">
        <v>791</v>
      </c>
      <c r="F1371" s="159"/>
      <c r="G1371" s="157" t="s">
        <v>1349</v>
      </c>
      <c r="H1371" s="157" t="s">
        <v>1350</v>
      </c>
      <c r="I1371" s="157" t="s">
        <v>1625</v>
      </c>
      <c r="J1371" s="157" t="s">
        <v>8295</v>
      </c>
      <c r="K1371" s="157" t="s">
        <v>1352</v>
      </c>
      <c r="L1371" s="157" t="s">
        <v>1634</v>
      </c>
      <c r="M1371" s="157" t="str">
        <f t="shared" si="31"/>
        <v>Camera_FFC9 - Long Range View</v>
      </c>
      <c r="N1371" s="157"/>
      <c r="O1371" s="157"/>
      <c r="P1371" s="159" t="s">
        <v>6026</v>
      </c>
      <c r="Q1371" s="74" t="s">
        <v>2115</v>
      </c>
      <c r="R1371" s="74" t="s">
        <v>8690</v>
      </c>
      <c r="S1371" s="74" t="s">
        <v>8261</v>
      </c>
      <c r="T1371" s="157"/>
      <c r="U1371" s="159" t="s">
        <v>2129</v>
      </c>
      <c r="V1371" s="159" t="s">
        <v>2129</v>
      </c>
      <c r="W1371" s="159" t="s">
        <v>2138</v>
      </c>
      <c r="X1371" s="160">
        <v>1</v>
      </c>
      <c r="Y1371" s="160">
        <v>1</v>
      </c>
      <c r="Z1371" s="160">
        <v>1</v>
      </c>
      <c r="AA1371" s="160">
        <v>1</v>
      </c>
    </row>
    <row r="1372" spans="1:27" ht="18" customHeight="1" x14ac:dyDescent="0.25">
      <c r="A1372" s="159">
        <v>3235</v>
      </c>
      <c r="B1372" s="164" t="s">
        <v>266</v>
      </c>
      <c r="C1372" s="164" t="s">
        <v>514</v>
      </c>
      <c r="D1372" s="159" t="s">
        <v>731</v>
      </c>
      <c r="E1372" s="164" t="s">
        <v>795</v>
      </c>
      <c r="F1372" s="159"/>
      <c r="G1372" s="157" t="s">
        <v>1349</v>
      </c>
      <c r="H1372" s="157" t="s">
        <v>1350</v>
      </c>
      <c r="I1372" s="157" t="s">
        <v>1625</v>
      </c>
      <c r="J1372" s="157" t="s">
        <v>8295</v>
      </c>
      <c r="K1372" s="157" t="s">
        <v>1352</v>
      </c>
      <c r="L1372" s="157" t="s">
        <v>1634</v>
      </c>
      <c r="M1372" s="157" t="str">
        <f t="shared" si="31"/>
        <v>Camera_FFC9 - Long Range View</v>
      </c>
      <c r="N1372" s="157"/>
      <c r="O1372" s="157"/>
      <c r="P1372" s="159" t="s">
        <v>6026</v>
      </c>
      <c r="Q1372" s="74" t="s">
        <v>2115</v>
      </c>
      <c r="R1372" s="74" t="s">
        <v>8690</v>
      </c>
      <c r="S1372" s="74" t="s">
        <v>8261</v>
      </c>
      <c r="T1372" s="157"/>
      <c r="U1372" s="159" t="s">
        <v>2129</v>
      </c>
      <c r="V1372" s="159" t="s">
        <v>2129</v>
      </c>
      <c r="W1372" s="159" t="s">
        <v>2138</v>
      </c>
      <c r="X1372" s="160">
        <v>1</v>
      </c>
      <c r="Y1372" s="160">
        <v>1</v>
      </c>
      <c r="Z1372" s="160">
        <v>1</v>
      </c>
      <c r="AA1372" s="160">
        <v>1</v>
      </c>
    </row>
    <row r="1373" spans="1:27" ht="18" customHeight="1" x14ac:dyDescent="0.25">
      <c r="A1373" s="159">
        <v>3235</v>
      </c>
      <c r="B1373" s="164" t="s">
        <v>266</v>
      </c>
      <c r="C1373" s="164" t="s">
        <v>514</v>
      </c>
      <c r="D1373" s="159" t="s">
        <v>1170</v>
      </c>
      <c r="E1373" s="164" t="s">
        <v>1168</v>
      </c>
      <c r="F1373" s="159"/>
      <c r="G1373" s="157" t="s">
        <v>1349</v>
      </c>
      <c r="H1373" s="157" t="s">
        <v>1350</v>
      </c>
      <c r="I1373" s="157" t="s">
        <v>1625</v>
      </c>
      <c r="J1373" s="157" t="s">
        <v>8295</v>
      </c>
      <c r="K1373" s="157" t="s">
        <v>1352</v>
      </c>
      <c r="L1373" s="157" t="s">
        <v>1634</v>
      </c>
      <c r="M1373" s="157" t="str">
        <f t="shared" si="31"/>
        <v>Camera_FFC9 - Long Range View</v>
      </c>
      <c r="N1373" s="157"/>
      <c r="O1373" s="157"/>
      <c r="P1373" s="159" t="s">
        <v>6026</v>
      </c>
      <c r="Q1373" s="74" t="s">
        <v>2115</v>
      </c>
      <c r="R1373" s="74" t="s">
        <v>8690</v>
      </c>
      <c r="S1373" s="74" t="s">
        <v>8261</v>
      </c>
      <c r="T1373" s="157"/>
      <c r="U1373" s="159" t="s">
        <v>2129</v>
      </c>
      <c r="V1373" s="159" t="s">
        <v>2129</v>
      </c>
      <c r="W1373" s="159" t="s">
        <v>2138</v>
      </c>
      <c r="X1373" s="160">
        <v>1</v>
      </c>
      <c r="Y1373" s="160">
        <v>1</v>
      </c>
      <c r="Z1373" s="160">
        <v>1</v>
      </c>
      <c r="AA1373" s="160">
        <v>1</v>
      </c>
    </row>
    <row r="1374" spans="1:27" ht="18" customHeight="1" x14ac:dyDescent="0.25">
      <c r="A1374" s="159">
        <v>3235</v>
      </c>
      <c r="B1374" s="164" t="s">
        <v>266</v>
      </c>
      <c r="C1374" s="164" t="s">
        <v>514</v>
      </c>
      <c r="D1374" s="159" t="s">
        <v>1171</v>
      </c>
      <c r="E1374" s="164" t="s">
        <v>1223</v>
      </c>
      <c r="F1374" s="159"/>
      <c r="G1374" s="157" t="s">
        <v>1349</v>
      </c>
      <c r="H1374" s="157" t="s">
        <v>1350</v>
      </c>
      <c r="I1374" s="157" t="s">
        <v>1625</v>
      </c>
      <c r="J1374" s="157" t="s">
        <v>8295</v>
      </c>
      <c r="K1374" s="157" t="s">
        <v>1352</v>
      </c>
      <c r="L1374" s="157" t="s">
        <v>1634</v>
      </c>
      <c r="M1374" s="157" t="str">
        <f t="shared" si="31"/>
        <v>Camera_FFC9 - Long Range View</v>
      </c>
      <c r="N1374" s="157"/>
      <c r="O1374" s="157"/>
      <c r="P1374" s="159" t="s">
        <v>6026</v>
      </c>
      <c r="Q1374" s="74" t="s">
        <v>2115</v>
      </c>
      <c r="R1374" s="74" t="s">
        <v>8690</v>
      </c>
      <c r="S1374" s="74" t="s">
        <v>8261</v>
      </c>
      <c r="T1374" s="157"/>
      <c r="U1374" s="159" t="s">
        <v>2129</v>
      </c>
      <c r="V1374" s="159" t="s">
        <v>2129</v>
      </c>
      <c r="W1374" s="159" t="s">
        <v>2138</v>
      </c>
      <c r="X1374" s="160">
        <v>1</v>
      </c>
      <c r="Y1374" s="160">
        <v>1</v>
      </c>
      <c r="Z1374" s="160">
        <v>1</v>
      </c>
      <c r="AA1374" s="160">
        <v>1</v>
      </c>
    </row>
    <row r="1375" spans="1:27" ht="18" customHeight="1" x14ac:dyDescent="0.25">
      <c r="A1375" s="159">
        <v>3235</v>
      </c>
      <c r="B1375" s="164" t="s">
        <v>266</v>
      </c>
      <c r="C1375" s="164" t="s">
        <v>519</v>
      </c>
      <c r="D1375" s="159" t="s">
        <v>522</v>
      </c>
      <c r="E1375" s="164" t="s">
        <v>520</v>
      </c>
      <c r="F1375" s="159"/>
      <c r="G1375" s="157" t="s">
        <v>1349</v>
      </c>
      <c r="H1375" s="157" t="s">
        <v>1350</v>
      </c>
      <c r="I1375" s="157" t="s">
        <v>1625</v>
      </c>
      <c r="J1375" s="157" t="s">
        <v>8295</v>
      </c>
      <c r="K1375" s="157" t="s">
        <v>1352</v>
      </c>
      <c r="L1375" s="157" t="s">
        <v>1634</v>
      </c>
      <c r="M1375" s="157" t="str">
        <f t="shared" si="31"/>
        <v>Camera_FFC9 - Long Range View</v>
      </c>
      <c r="N1375" s="157"/>
      <c r="O1375" s="157"/>
      <c r="P1375" s="159" t="s">
        <v>6026</v>
      </c>
      <c r="Q1375" s="74" t="s">
        <v>2115</v>
      </c>
      <c r="R1375" s="74" t="s">
        <v>8690</v>
      </c>
      <c r="S1375" s="74" t="s">
        <v>8261</v>
      </c>
      <c r="T1375" s="157"/>
      <c r="U1375" s="159" t="s">
        <v>2129</v>
      </c>
      <c r="V1375" s="159" t="s">
        <v>2129</v>
      </c>
      <c r="W1375" s="159" t="s">
        <v>2138</v>
      </c>
      <c r="X1375" s="160">
        <v>1</v>
      </c>
      <c r="Y1375" s="160">
        <v>1</v>
      </c>
      <c r="Z1375" s="160">
        <v>1</v>
      </c>
      <c r="AA1375" s="160">
        <v>1</v>
      </c>
    </row>
    <row r="1376" spans="1:27" ht="18" customHeight="1" x14ac:dyDescent="0.25">
      <c r="A1376" s="159">
        <v>3235</v>
      </c>
      <c r="B1376" s="164" t="s">
        <v>266</v>
      </c>
      <c r="C1376" s="164" t="s">
        <v>519</v>
      </c>
      <c r="D1376" s="159" t="s">
        <v>526</v>
      </c>
      <c r="E1376" s="164" t="s">
        <v>524</v>
      </c>
      <c r="F1376" s="159"/>
      <c r="G1376" s="157" t="s">
        <v>1349</v>
      </c>
      <c r="H1376" s="157" t="s">
        <v>1350</v>
      </c>
      <c r="I1376" s="157" t="s">
        <v>1625</v>
      </c>
      <c r="J1376" s="157" t="s">
        <v>8295</v>
      </c>
      <c r="K1376" s="157" t="s">
        <v>1352</v>
      </c>
      <c r="L1376" s="157" t="s">
        <v>1634</v>
      </c>
      <c r="M1376" s="157" t="str">
        <f t="shared" si="31"/>
        <v>Camera_FFC9 - Long Range View</v>
      </c>
      <c r="N1376" s="157"/>
      <c r="O1376" s="157"/>
      <c r="P1376" s="159" t="s">
        <v>6026</v>
      </c>
      <c r="Q1376" s="74" t="s">
        <v>2115</v>
      </c>
      <c r="R1376" s="74" t="s">
        <v>8690</v>
      </c>
      <c r="S1376" s="74" t="s">
        <v>8261</v>
      </c>
      <c r="T1376" s="157"/>
      <c r="U1376" s="159" t="s">
        <v>2129</v>
      </c>
      <c r="V1376" s="159" t="s">
        <v>2129</v>
      </c>
      <c r="W1376" s="159" t="s">
        <v>2138</v>
      </c>
      <c r="X1376" s="160">
        <v>1</v>
      </c>
      <c r="Y1376" s="160">
        <v>1</v>
      </c>
      <c r="Z1376" s="160">
        <v>1</v>
      </c>
      <c r="AA1376" s="160">
        <v>1</v>
      </c>
    </row>
    <row r="1377" spans="1:27" ht="18" customHeight="1" x14ac:dyDescent="0.25">
      <c r="A1377" s="159">
        <v>3235</v>
      </c>
      <c r="B1377" s="164" t="s">
        <v>266</v>
      </c>
      <c r="C1377" s="164" t="s">
        <v>519</v>
      </c>
      <c r="D1377" s="159" t="s">
        <v>530</v>
      </c>
      <c r="E1377" s="164" t="s">
        <v>528</v>
      </c>
      <c r="F1377" s="159"/>
      <c r="G1377" s="157" t="s">
        <v>1349</v>
      </c>
      <c r="H1377" s="157" t="s">
        <v>1350</v>
      </c>
      <c r="I1377" s="157" t="s">
        <v>1625</v>
      </c>
      <c r="J1377" s="157" t="s">
        <v>8295</v>
      </c>
      <c r="K1377" s="157" t="s">
        <v>1352</v>
      </c>
      <c r="L1377" s="157" t="s">
        <v>1634</v>
      </c>
      <c r="M1377" s="157" t="str">
        <f t="shared" si="31"/>
        <v>Camera_FFC9 - Long Range View</v>
      </c>
      <c r="N1377" s="157"/>
      <c r="O1377" s="157"/>
      <c r="P1377" s="159" t="s">
        <v>6026</v>
      </c>
      <c r="Q1377" s="74" t="s">
        <v>2115</v>
      </c>
      <c r="R1377" s="74" t="s">
        <v>8690</v>
      </c>
      <c r="S1377" s="74" t="s">
        <v>8261</v>
      </c>
      <c r="T1377" s="157"/>
      <c r="U1377" s="159" t="s">
        <v>2129</v>
      </c>
      <c r="V1377" s="159" t="s">
        <v>2129</v>
      </c>
      <c r="W1377" s="159" t="s">
        <v>2138</v>
      </c>
      <c r="X1377" s="160">
        <v>1</v>
      </c>
      <c r="Y1377" s="160">
        <v>1</v>
      </c>
      <c r="Z1377" s="160">
        <v>1</v>
      </c>
      <c r="AA1377" s="160">
        <v>1</v>
      </c>
    </row>
    <row r="1378" spans="1:27" ht="18" customHeight="1" x14ac:dyDescent="0.25">
      <c r="A1378" s="159">
        <v>3235</v>
      </c>
      <c r="B1378" s="164" t="s">
        <v>266</v>
      </c>
      <c r="C1378" s="164" t="s">
        <v>519</v>
      </c>
      <c r="D1378" s="159" t="s">
        <v>787</v>
      </c>
      <c r="E1378" s="164" t="s">
        <v>785</v>
      </c>
      <c r="F1378" s="159"/>
      <c r="G1378" s="157" t="s">
        <v>1349</v>
      </c>
      <c r="H1378" s="157" t="s">
        <v>1350</v>
      </c>
      <c r="I1378" s="157" t="s">
        <v>1625</v>
      </c>
      <c r="J1378" s="157" t="s">
        <v>8295</v>
      </c>
      <c r="K1378" s="157" t="s">
        <v>1352</v>
      </c>
      <c r="L1378" s="157" t="s">
        <v>1634</v>
      </c>
      <c r="M1378" s="157" t="str">
        <f t="shared" si="31"/>
        <v>Camera_FFC9 - Long Range View</v>
      </c>
      <c r="N1378" s="157"/>
      <c r="O1378" s="157"/>
      <c r="P1378" s="159" t="s">
        <v>6026</v>
      </c>
      <c r="Q1378" s="74" t="s">
        <v>2115</v>
      </c>
      <c r="R1378" s="74" t="s">
        <v>8690</v>
      </c>
      <c r="S1378" s="74" t="s">
        <v>8261</v>
      </c>
      <c r="T1378" s="157"/>
      <c r="U1378" s="159" t="s">
        <v>2129</v>
      </c>
      <c r="V1378" s="159" t="s">
        <v>2129</v>
      </c>
      <c r="W1378" s="159" t="s">
        <v>2138</v>
      </c>
      <c r="X1378" s="160">
        <v>1</v>
      </c>
      <c r="Y1378" s="160">
        <v>1</v>
      </c>
      <c r="Z1378" s="160">
        <v>1</v>
      </c>
      <c r="AA1378" s="160">
        <v>1</v>
      </c>
    </row>
    <row r="1379" spans="1:27" ht="18" customHeight="1" x14ac:dyDescent="0.25">
      <c r="A1379" s="159">
        <v>3235</v>
      </c>
      <c r="B1379" s="164" t="s">
        <v>266</v>
      </c>
      <c r="C1379" s="164" t="s">
        <v>519</v>
      </c>
      <c r="D1379" s="159" t="s">
        <v>935</v>
      </c>
      <c r="E1379" s="164" t="s">
        <v>933</v>
      </c>
      <c r="F1379" s="159"/>
      <c r="G1379" s="157" t="s">
        <v>1349</v>
      </c>
      <c r="H1379" s="157" t="s">
        <v>1350</v>
      </c>
      <c r="I1379" s="157" t="s">
        <v>1625</v>
      </c>
      <c r="J1379" s="157" t="s">
        <v>8295</v>
      </c>
      <c r="K1379" s="157" t="s">
        <v>1352</v>
      </c>
      <c r="L1379" s="157" t="s">
        <v>1634</v>
      </c>
      <c r="M1379" s="157" t="str">
        <f t="shared" si="31"/>
        <v>Camera_FFC9 - Long Range View</v>
      </c>
      <c r="N1379" s="157"/>
      <c r="O1379" s="157"/>
      <c r="P1379" s="159" t="s">
        <v>6026</v>
      </c>
      <c r="Q1379" s="74" t="s">
        <v>2115</v>
      </c>
      <c r="R1379" s="74" t="s">
        <v>8690</v>
      </c>
      <c r="S1379" s="74" t="s">
        <v>8261</v>
      </c>
      <c r="T1379" s="157"/>
      <c r="U1379" s="159" t="s">
        <v>2129</v>
      </c>
      <c r="V1379" s="159" t="s">
        <v>2129</v>
      </c>
      <c r="W1379" s="159" t="s">
        <v>2138</v>
      </c>
      <c r="X1379" s="160">
        <v>1</v>
      </c>
      <c r="Y1379" s="160">
        <v>1</v>
      </c>
      <c r="Z1379" s="160">
        <v>1</v>
      </c>
      <c r="AA1379" s="160">
        <v>1</v>
      </c>
    </row>
    <row r="1380" spans="1:27" ht="18" customHeight="1" x14ac:dyDescent="0.25">
      <c r="A1380" s="159">
        <v>3235</v>
      </c>
      <c r="B1380" s="164" t="s">
        <v>266</v>
      </c>
      <c r="C1380" s="164" t="s">
        <v>519</v>
      </c>
      <c r="D1380" s="159" t="s">
        <v>1151</v>
      </c>
      <c r="E1380" s="164" t="s">
        <v>1149</v>
      </c>
      <c r="F1380" s="159"/>
      <c r="G1380" s="157" t="s">
        <v>1349</v>
      </c>
      <c r="H1380" s="157" t="s">
        <v>1350</v>
      </c>
      <c r="I1380" s="157" t="s">
        <v>1625</v>
      </c>
      <c r="J1380" s="157" t="s">
        <v>8295</v>
      </c>
      <c r="K1380" s="157" t="s">
        <v>1352</v>
      </c>
      <c r="L1380" s="157" t="s">
        <v>1634</v>
      </c>
      <c r="M1380" s="157" t="str">
        <f t="shared" si="31"/>
        <v>Camera_FFC9 - Long Range View</v>
      </c>
      <c r="N1380" s="157"/>
      <c r="O1380" s="157"/>
      <c r="P1380" s="159" t="s">
        <v>6026</v>
      </c>
      <c r="Q1380" s="74" t="s">
        <v>2115</v>
      </c>
      <c r="R1380" s="74" t="s">
        <v>8690</v>
      </c>
      <c r="S1380" s="74" t="s">
        <v>8261</v>
      </c>
      <c r="T1380" s="157"/>
      <c r="U1380" s="159" t="s">
        <v>2129</v>
      </c>
      <c r="V1380" s="159" t="s">
        <v>2129</v>
      </c>
      <c r="W1380" s="159" t="s">
        <v>2138</v>
      </c>
      <c r="X1380" s="160">
        <v>1</v>
      </c>
      <c r="Y1380" s="160">
        <v>1</v>
      </c>
      <c r="Z1380" s="160">
        <v>1</v>
      </c>
      <c r="AA1380" s="160">
        <v>1</v>
      </c>
    </row>
    <row r="1381" spans="1:27" ht="18" customHeight="1" x14ac:dyDescent="0.25">
      <c r="A1381" s="159">
        <v>3235</v>
      </c>
      <c r="B1381" s="164" t="s">
        <v>266</v>
      </c>
      <c r="C1381" s="164" t="s">
        <v>519</v>
      </c>
      <c r="D1381" s="159" t="s">
        <v>1159</v>
      </c>
      <c r="E1381" s="164" t="s">
        <v>1157</v>
      </c>
      <c r="F1381" s="159"/>
      <c r="G1381" s="157" t="s">
        <v>1349</v>
      </c>
      <c r="H1381" s="157" t="s">
        <v>1350</v>
      </c>
      <c r="I1381" s="157" t="s">
        <v>1625</v>
      </c>
      <c r="J1381" s="157" t="s">
        <v>8295</v>
      </c>
      <c r="K1381" s="157" t="s">
        <v>1352</v>
      </c>
      <c r="L1381" s="157" t="s">
        <v>1634</v>
      </c>
      <c r="M1381" s="157" t="str">
        <f t="shared" si="31"/>
        <v>Camera_FFC9 - Long Range View</v>
      </c>
      <c r="N1381" s="157"/>
      <c r="O1381" s="157"/>
      <c r="P1381" s="159" t="s">
        <v>6026</v>
      </c>
      <c r="Q1381" s="74" t="s">
        <v>2115</v>
      </c>
      <c r="R1381" s="74" t="s">
        <v>8690</v>
      </c>
      <c r="S1381" s="74" t="s">
        <v>8261</v>
      </c>
      <c r="T1381" s="157"/>
      <c r="U1381" s="159" t="s">
        <v>2129</v>
      </c>
      <c r="V1381" s="159" t="s">
        <v>2129</v>
      </c>
      <c r="W1381" s="159" t="s">
        <v>2138</v>
      </c>
      <c r="X1381" s="160">
        <v>1</v>
      </c>
      <c r="Y1381" s="160">
        <v>1</v>
      </c>
      <c r="Z1381" s="160">
        <v>1</v>
      </c>
      <c r="AA1381" s="160">
        <v>1</v>
      </c>
    </row>
    <row r="1382" spans="1:27" ht="18" customHeight="1" x14ac:dyDescent="0.25">
      <c r="A1382" s="159">
        <v>3236</v>
      </c>
      <c r="B1382" s="164" t="s">
        <v>29</v>
      </c>
      <c r="C1382" s="164" t="s">
        <v>113</v>
      </c>
      <c r="D1382" s="159" t="s">
        <v>932</v>
      </c>
      <c r="E1382" s="164" t="s">
        <v>930</v>
      </c>
      <c r="F1382" s="159"/>
      <c r="G1382" s="157" t="s">
        <v>1349</v>
      </c>
      <c r="H1382" s="157" t="s">
        <v>1350</v>
      </c>
      <c r="I1382" s="157" t="s">
        <v>1625</v>
      </c>
      <c r="J1382" s="157" t="s">
        <v>8295</v>
      </c>
      <c r="K1382" s="157" t="s">
        <v>1352</v>
      </c>
      <c r="L1382" s="157" t="s">
        <v>1635</v>
      </c>
      <c r="M1382" s="157" t="str">
        <f t="shared" si="31"/>
        <v>Camera_FFC10 - Long Range View</v>
      </c>
      <c r="N1382" s="157"/>
      <c r="O1382" s="157"/>
      <c r="P1382" s="159" t="s">
        <v>5933</v>
      </c>
      <c r="Q1382" s="74" t="s">
        <v>2115</v>
      </c>
      <c r="R1382" s="74" t="s">
        <v>8690</v>
      </c>
      <c r="S1382" s="74" t="s">
        <v>8261</v>
      </c>
      <c r="T1382" s="157"/>
      <c r="U1382" s="159" t="s">
        <v>2129</v>
      </c>
      <c r="V1382" s="159" t="s">
        <v>2129</v>
      </c>
      <c r="W1382" s="159" t="s">
        <v>2138</v>
      </c>
      <c r="X1382" s="160">
        <v>1</v>
      </c>
      <c r="Y1382" s="160">
        <v>1</v>
      </c>
      <c r="Z1382" s="160">
        <v>1</v>
      </c>
      <c r="AA1382" s="160">
        <v>1</v>
      </c>
    </row>
    <row r="1383" spans="1:27" ht="18" customHeight="1" x14ac:dyDescent="0.25">
      <c r="A1383" s="159">
        <v>3236</v>
      </c>
      <c r="B1383" s="164" t="s">
        <v>266</v>
      </c>
      <c r="C1383" s="164" t="s">
        <v>286</v>
      </c>
      <c r="D1383" s="159" t="s">
        <v>289</v>
      </c>
      <c r="E1383" s="164" t="s">
        <v>287</v>
      </c>
      <c r="F1383" s="159"/>
      <c r="G1383" s="157" t="s">
        <v>1349</v>
      </c>
      <c r="H1383" s="157" t="s">
        <v>1350</v>
      </c>
      <c r="I1383" s="157" t="s">
        <v>1625</v>
      </c>
      <c r="J1383" s="157" t="s">
        <v>8295</v>
      </c>
      <c r="K1383" s="157" t="s">
        <v>1352</v>
      </c>
      <c r="L1383" s="157" t="s">
        <v>1635</v>
      </c>
      <c r="M1383" s="157" t="str">
        <f t="shared" si="31"/>
        <v>Camera_FFC10 - Long Range View</v>
      </c>
      <c r="N1383" s="157"/>
      <c r="O1383" s="157"/>
      <c r="P1383" s="159" t="s">
        <v>5933</v>
      </c>
      <c r="Q1383" s="74" t="s">
        <v>2115</v>
      </c>
      <c r="R1383" s="74" t="s">
        <v>8690</v>
      </c>
      <c r="S1383" s="74" t="s">
        <v>8261</v>
      </c>
      <c r="T1383" s="157"/>
      <c r="U1383" s="159" t="s">
        <v>2129</v>
      </c>
      <c r="V1383" s="159" t="s">
        <v>2129</v>
      </c>
      <c r="W1383" s="159" t="s">
        <v>2138</v>
      </c>
      <c r="X1383" s="160">
        <v>1</v>
      </c>
      <c r="Y1383" s="160">
        <v>1</v>
      </c>
      <c r="Z1383" s="160">
        <v>1</v>
      </c>
      <c r="AA1383" s="160">
        <v>1</v>
      </c>
    </row>
    <row r="1384" spans="1:27" ht="18" customHeight="1" x14ac:dyDescent="0.25">
      <c r="A1384" s="159">
        <v>3236</v>
      </c>
      <c r="B1384" s="164" t="s">
        <v>266</v>
      </c>
      <c r="C1384" s="164" t="s">
        <v>276</v>
      </c>
      <c r="D1384" s="159" t="s">
        <v>317</v>
      </c>
      <c r="E1384" s="164" t="s">
        <v>315</v>
      </c>
      <c r="F1384" s="159"/>
      <c r="G1384" s="157" t="s">
        <v>1349</v>
      </c>
      <c r="H1384" s="157" t="s">
        <v>1350</v>
      </c>
      <c r="I1384" s="157" t="s">
        <v>1625</v>
      </c>
      <c r="J1384" s="157" t="s">
        <v>8295</v>
      </c>
      <c r="K1384" s="157" t="s">
        <v>1352</v>
      </c>
      <c r="L1384" s="157" t="s">
        <v>1635</v>
      </c>
      <c r="M1384" s="157" t="str">
        <f t="shared" si="31"/>
        <v>Camera_FFC10 - Long Range View</v>
      </c>
      <c r="N1384" s="157"/>
      <c r="O1384" s="157"/>
      <c r="P1384" s="159" t="s">
        <v>5933</v>
      </c>
      <c r="Q1384" s="74" t="s">
        <v>2115</v>
      </c>
      <c r="R1384" s="74" t="s">
        <v>8690</v>
      </c>
      <c r="S1384" s="74" t="s">
        <v>8261</v>
      </c>
      <c r="T1384" s="157"/>
      <c r="U1384" s="159" t="s">
        <v>2129</v>
      </c>
      <c r="V1384" s="159" t="s">
        <v>2129</v>
      </c>
      <c r="W1384" s="159" t="s">
        <v>2138</v>
      </c>
      <c r="X1384" s="160">
        <v>1</v>
      </c>
      <c r="Y1384" s="160">
        <v>1</v>
      </c>
      <c r="Z1384" s="160">
        <v>1</v>
      </c>
      <c r="AA1384" s="160">
        <v>1</v>
      </c>
    </row>
    <row r="1385" spans="1:27" ht="18" customHeight="1" x14ac:dyDescent="0.25">
      <c r="A1385" s="159">
        <v>3236</v>
      </c>
      <c r="B1385" s="164" t="s">
        <v>266</v>
      </c>
      <c r="C1385" s="164" t="s">
        <v>276</v>
      </c>
      <c r="D1385" s="159" t="s">
        <v>726</v>
      </c>
      <c r="E1385" s="164" t="s">
        <v>724</v>
      </c>
      <c r="F1385" s="159"/>
      <c r="G1385" s="157" t="s">
        <v>1349</v>
      </c>
      <c r="H1385" s="157" t="s">
        <v>1350</v>
      </c>
      <c r="I1385" s="157" t="s">
        <v>1625</v>
      </c>
      <c r="J1385" s="157" t="s">
        <v>8295</v>
      </c>
      <c r="K1385" s="157" t="s">
        <v>1352</v>
      </c>
      <c r="L1385" s="157" t="s">
        <v>1635</v>
      </c>
      <c r="M1385" s="157" t="str">
        <f t="shared" si="31"/>
        <v>Camera_FFC10 - Long Range View</v>
      </c>
      <c r="N1385" s="157"/>
      <c r="O1385" s="157"/>
      <c r="P1385" s="159" t="s">
        <v>5933</v>
      </c>
      <c r="Q1385" s="74" t="s">
        <v>2115</v>
      </c>
      <c r="R1385" s="74" t="s">
        <v>8690</v>
      </c>
      <c r="S1385" s="74" t="s">
        <v>8261</v>
      </c>
      <c r="T1385" s="157"/>
      <c r="U1385" s="159" t="s">
        <v>2129</v>
      </c>
      <c r="V1385" s="159" t="s">
        <v>2129</v>
      </c>
      <c r="W1385" s="159" t="s">
        <v>2138</v>
      </c>
      <c r="X1385" s="160">
        <v>1</v>
      </c>
      <c r="Y1385" s="160">
        <v>1</v>
      </c>
      <c r="Z1385" s="160">
        <v>1</v>
      </c>
      <c r="AA1385" s="160">
        <v>1</v>
      </c>
    </row>
    <row r="1386" spans="1:27" ht="18" customHeight="1" x14ac:dyDescent="0.25">
      <c r="A1386" s="159">
        <v>3236</v>
      </c>
      <c r="B1386" s="164" t="s">
        <v>266</v>
      </c>
      <c r="C1386" s="164" t="s">
        <v>276</v>
      </c>
      <c r="D1386" s="159" t="s">
        <v>734</v>
      </c>
      <c r="E1386" s="164" t="s">
        <v>732</v>
      </c>
      <c r="F1386" s="159"/>
      <c r="G1386" s="157" t="s">
        <v>1349</v>
      </c>
      <c r="H1386" s="157" t="s">
        <v>1350</v>
      </c>
      <c r="I1386" s="157" t="s">
        <v>1625</v>
      </c>
      <c r="J1386" s="157" t="s">
        <v>8295</v>
      </c>
      <c r="K1386" s="157" t="s">
        <v>1352</v>
      </c>
      <c r="L1386" s="157" t="s">
        <v>1635</v>
      </c>
      <c r="M1386" s="157" t="str">
        <f t="shared" si="31"/>
        <v>Camera_FFC10 - Long Range View</v>
      </c>
      <c r="N1386" s="157"/>
      <c r="O1386" s="157"/>
      <c r="P1386" s="159" t="s">
        <v>5933</v>
      </c>
      <c r="Q1386" s="74" t="s">
        <v>2115</v>
      </c>
      <c r="R1386" s="74" t="s">
        <v>8690</v>
      </c>
      <c r="S1386" s="74" t="s">
        <v>8261</v>
      </c>
      <c r="T1386" s="157"/>
      <c r="U1386" s="159" t="s">
        <v>2129</v>
      </c>
      <c r="V1386" s="159" t="s">
        <v>2129</v>
      </c>
      <c r="W1386" s="159" t="s">
        <v>2138</v>
      </c>
      <c r="X1386" s="160">
        <v>1</v>
      </c>
      <c r="Y1386" s="160">
        <v>1</v>
      </c>
      <c r="Z1386" s="160">
        <v>1</v>
      </c>
      <c r="AA1386" s="160">
        <v>1</v>
      </c>
    </row>
    <row r="1387" spans="1:27" ht="18" customHeight="1" x14ac:dyDescent="0.25">
      <c r="A1387" s="159">
        <v>3236</v>
      </c>
      <c r="B1387" s="164" t="s">
        <v>266</v>
      </c>
      <c r="C1387" s="164" t="s">
        <v>294</v>
      </c>
      <c r="D1387" s="159" t="s">
        <v>297</v>
      </c>
      <c r="E1387" s="164" t="s">
        <v>295</v>
      </c>
      <c r="F1387" s="159"/>
      <c r="G1387" s="157" t="s">
        <v>1349</v>
      </c>
      <c r="H1387" s="157" t="s">
        <v>1350</v>
      </c>
      <c r="I1387" s="157" t="s">
        <v>1625</v>
      </c>
      <c r="J1387" s="157" t="s">
        <v>8295</v>
      </c>
      <c r="K1387" s="157" t="s">
        <v>1352</v>
      </c>
      <c r="L1387" s="157" t="s">
        <v>1635</v>
      </c>
      <c r="M1387" s="157" t="str">
        <f t="shared" si="31"/>
        <v>Camera_FFC10 - Long Range View</v>
      </c>
      <c r="N1387" s="157"/>
      <c r="O1387" s="157"/>
      <c r="P1387" s="159" t="s">
        <v>5933</v>
      </c>
      <c r="Q1387" s="74" t="s">
        <v>2115</v>
      </c>
      <c r="R1387" s="74" t="s">
        <v>8690</v>
      </c>
      <c r="S1387" s="74" t="s">
        <v>8261</v>
      </c>
      <c r="T1387" s="157"/>
      <c r="U1387" s="159" t="s">
        <v>2129</v>
      </c>
      <c r="V1387" s="159" t="s">
        <v>2129</v>
      </c>
      <c r="W1387" s="159" t="s">
        <v>2138</v>
      </c>
      <c r="X1387" s="160">
        <v>1</v>
      </c>
      <c r="Y1387" s="160">
        <v>1</v>
      </c>
      <c r="Z1387" s="160">
        <v>1</v>
      </c>
      <c r="AA1387" s="160">
        <v>1</v>
      </c>
    </row>
    <row r="1388" spans="1:27" ht="18" customHeight="1" x14ac:dyDescent="0.25">
      <c r="A1388" s="159">
        <v>3236</v>
      </c>
      <c r="B1388" s="164" t="s">
        <v>266</v>
      </c>
      <c r="C1388" s="164" t="s">
        <v>294</v>
      </c>
      <c r="D1388" s="159" t="s">
        <v>298</v>
      </c>
      <c r="E1388" s="164" t="s">
        <v>299</v>
      </c>
      <c r="F1388" s="159"/>
      <c r="G1388" s="157" t="s">
        <v>1349</v>
      </c>
      <c r="H1388" s="157" t="s">
        <v>1350</v>
      </c>
      <c r="I1388" s="157" t="s">
        <v>1625</v>
      </c>
      <c r="J1388" s="157" t="s">
        <v>8295</v>
      </c>
      <c r="K1388" s="157" t="s">
        <v>1352</v>
      </c>
      <c r="L1388" s="157" t="s">
        <v>1635</v>
      </c>
      <c r="M1388" s="157" t="str">
        <f t="shared" si="31"/>
        <v>Camera_FFC10 - Long Range View</v>
      </c>
      <c r="N1388" s="157"/>
      <c r="O1388" s="157"/>
      <c r="P1388" s="159" t="s">
        <v>5933</v>
      </c>
      <c r="Q1388" s="74" t="s">
        <v>2115</v>
      </c>
      <c r="R1388" s="74" t="s">
        <v>8690</v>
      </c>
      <c r="S1388" s="74" t="s">
        <v>8261</v>
      </c>
      <c r="T1388" s="157"/>
      <c r="U1388" s="159" t="s">
        <v>2129</v>
      </c>
      <c r="V1388" s="159" t="s">
        <v>2129</v>
      </c>
      <c r="W1388" s="159" t="s">
        <v>2138</v>
      </c>
      <c r="X1388" s="160">
        <v>1</v>
      </c>
      <c r="Y1388" s="160">
        <v>1</v>
      </c>
      <c r="Z1388" s="160">
        <v>1</v>
      </c>
      <c r="AA1388" s="160">
        <v>1</v>
      </c>
    </row>
    <row r="1389" spans="1:27" ht="18" customHeight="1" x14ac:dyDescent="0.25">
      <c r="A1389" s="159">
        <v>3236</v>
      </c>
      <c r="B1389" s="164" t="s">
        <v>266</v>
      </c>
      <c r="C1389" s="164" t="s">
        <v>294</v>
      </c>
      <c r="D1389" s="159" t="s">
        <v>503</v>
      </c>
      <c r="E1389" s="164" t="s">
        <v>501</v>
      </c>
      <c r="F1389" s="159"/>
      <c r="G1389" s="157" t="s">
        <v>1349</v>
      </c>
      <c r="H1389" s="157" t="s">
        <v>1350</v>
      </c>
      <c r="I1389" s="157" t="s">
        <v>1625</v>
      </c>
      <c r="J1389" s="157" t="s">
        <v>8295</v>
      </c>
      <c r="K1389" s="157" t="s">
        <v>1352</v>
      </c>
      <c r="L1389" s="157" t="s">
        <v>1635</v>
      </c>
      <c r="M1389" s="157" t="str">
        <f t="shared" si="31"/>
        <v>Camera_FFC10 - Long Range View</v>
      </c>
      <c r="N1389" s="157"/>
      <c r="O1389" s="157"/>
      <c r="P1389" s="159" t="s">
        <v>5933</v>
      </c>
      <c r="Q1389" s="74" t="s">
        <v>2115</v>
      </c>
      <c r="R1389" s="74" t="s">
        <v>8690</v>
      </c>
      <c r="S1389" s="74" t="s">
        <v>8261</v>
      </c>
      <c r="T1389" s="157"/>
      <c r="U1389" s="159" t="s">
        <v>2129</v>
      </c>
      <c r="V1389" s="159" t="s">
        <v>2129</v>
      </c>
      <c r="W1389" s="159" t="s">
        <v>2138</v>
      </c>
      <c r="X1389" s="160">
        <v>1</v>
      </c>
      <c r="Y1389" s="160">
        <v>1</v>
      </c>
      <c r="Z1389" s="160">
        <v>1</v>
      </c>
      <c r="AA1389" s="160">
        <v>1</v>
      </c>
    </row>
    <row r="1390" spans="1:27" ht="18" customHeight="1" x14ac:dyDescent="0.25">
      <c r="A1390" s="159">
        <v>3236</v>
      </c>
      <c r="B1390" s="164" t="s">
        <v>266</v>
      </c>
      <c r="C1390" s="164" t="s">
        <v>294</v>
      </c>
      <c r="D1390" s="159" t="s">
        <v>692</v>
      </c>
      <c r="E1390" s="164" t="s">
        <v>690</v>
      </c>
      <c r="F1390" s="159"/>
      <c r="G1390" s="157" t="s">
        <v>1349</v>
      </c>
      <c r="H1390" s="157" t="s">
        <v>1350</v>
      </c>
      <c r="I1390" s="157" t="s">
        <v>1625</v>
      </c>
      <c r="J1390" s="157" t="s">
        <v>8295</v>
      </c>
      <c r="K1390" s="157" t="s">
        <v>1352</v>
      </c>
      <c r="L1390" s="157" t="s">
        <v>1635</v>
      </c>
      <c r="M1390" s="157" t="str">
        <f t="shared" si="31"/>
        <v>Camera_FFC10 - Long Range View</v>
      </c>
      <c r="N1390" s="157"/>
      <c r="O1390" s="157"/>
      <c r="P1390" s="159" t="s">
        <v>5933</v>
      </c>
      <c r="Q1390" s="74" t="s">
        <v>2115</v>
      </c>
      <c r="R1390" s="74" t="s">
        <v>8690</v>
      </c>
      <c r="S1390" s="74" t="s">
        <v>8261</v>
      </c>
      <c r="T1390" s="157"/>
      <c r="U1390" s="159" t="s">
        <v>2129</v>
      </c>
      <c r="V1390" s="159" t="s">
        <v>2129</v>
      </c>
      <c r="W1390" s="159" t="s">
        <v>2138</v>
      </c>
      <c r="X1390" s="160">
        <v>1</v>
      </c>
      <c r="Y1390" s="160">
        <v>1</v>
      </c>
      <c r="Z1390" s="160">
        <v>1</v>
      </c>
      <c r="AA1390" s="160">
        <v>1</v>
      </c>
    </row>
    <row r="1391" spans="1:27" ht="18" customHeight="1" x14ac:dyDescent="0.25">
      <c r="A1391" s="159">
        <v>3236</v>
      </c>
      <c r="B1391" s="164" t="s">
        <v>266</v>
      </c>
      <c r="C1391" s="164" t="s">
        <v>294</v>
      </c>
      <c r="D1391" s="159" t="s">
        <v>1177</v>
      </c>
      <c r="E1391" s="164" t="s">
        <v>1175</v>
      </c>
      <c r="F1391" s="159"/>
      <c r="G1391" s="157" t="s">
        <v>1349</v>
      </c>
      <c r="H1391" s="157" t="s">
        <v>1350</v>
      </c>
      <c r="I1391" s="157" t="s">
        <v>1625</v>
      </c>
      <c r="J1391" s="157" t="s">
        <v>8295</v>
      </c>
      <c r="K1391" s="157" t="s">
        <v>1352</v>
      </c>
      <c r="L1391" s="157" t="s">
        <v>1635</v>
      </c>
      <c r="M1391" s="157" t="str">
        <f t="shared" si="31"/>
        <v>Camera_FFC10 - Long Range View</v>
      </c>
      <c r="N1391" s="157"/>
      <c r="O1391" s="157"/>
      <c r="P1391" s="159" t="s">
        <v>5933</v>
      </c>
      <c r="Q1391" s="74" t="s">
        <v>2115</v>
      </c>
      <c r="R1391" s="74" t="s">
        <v>8690</v>
      </c>
      <c r="S1391" s="74" t="s">
        <v>8261</v>
      </c>
      <c r="T1391" s="157"/>
      <c r="U1391" s="159" t="s">
        <v>2129</v>
      </c>
      <c r="V1391" s="159" t="s">
        <v>2129</v>
      </c>
      <c r="W1391" s="159" t="s">
        <v>2138</v>
      </c>
      <c r="X1391" s="160">
        <v>1</v>
      </c>
      <c r="Y1391" s="160">
        <v>1</v>
      </c>
      <c r="Z1391" s="160">
        <v>1</v>
      </c>
      <c r="AA1391" s="160">
        <v>1</v>
      </c>
    </row>
    <row r="1392" spans="1:27" ht="18" customHeight="1" x14ac:dyDescent="0.25">
      <c r="A1392" s="159">
        <v>3236</v>
      </c>
      <c r="B1392" s="164" t="s">
        <v>266</v>
      </c>
      <c r="C1392" s="164" t="s">
        <v>294</v>
      </c>
      <c r="D1392" s="159" t="s">
        <v>1178</v>
      </c>
      <c r="E1392" s="164" t="s">
        <v>1179</v>
      </c>
      <c r="F1392" s="159"/>
      <c r="G1392" s="157" t="s">
        <v>1349</v>
      </c>
      <c r="H1392" s="157" t="s">
        <v>1350</v>
      </c>
      <c r="I1392" s="157" t="s">
        <v>1625</v>
      </c>
      <c r="J1392" s="157" t="s">
        <v>8295</v>
      </c>
      <c r="K1392" s="157" t="s">
        <v>1352</v>
      </c>
      <c r="L1392" s="157" t="s">
        <v>1635</v>
      </c>
      <c r="M1392" s="157" t="str">
        <f t="shared" si="31"/>
        <v>Camera_FFC10 - Long Range View</v>
      </c>
      <c r="N1392" s="157"/>
      <c r="O1392" s="157"/>
      <c r="P1392" s="159" t="s">
        <v>5933</v>
      </c>
      <c r="Q1392" s="74" t="s">
        <v>2115</v>
      </c>
      <c r="R1392" s="74" t="s">
        <v>8690</v>
      </c>
      <c r="S1392" s="74" t="s">
        <v>8261</v>
      </c>
      <c r="T1392" s="157"/>
      <c r="U1392" s="159" t="s">
        <v>2129</v>
      </c>
      <c r="V1392" s="159" t="s">
        <v>2129</v>
      </c>
      <c r="W1392" s="159" t="s">
        <v>2138</v>
      </c>
      <c r="X1392" s="160">
        <v>1</v>
      </c>
      <c r="Y1392" s="160">
        <v>1</v>
      </c>
      <c r="Z1392" s="160">
        <v>1</v>
      </c>
      <c r="AA1392" s="160">
        <v>1</v>
      </c>
    </row>
    <row r="1393" spans="1:27" ht="18" customHeight="1" x14ac:dyDescent="0.25">
      <c r="A1393" s="159">
        <v>3236</v>
      </c>
      <c r="B1393" s="164" t="s">
        <v>266</v>
      </c>
      <c r="C1393" s="164" t="s">
        <v>294</v>
      </c>
      <c r="D1393" s="159" t="s">
        <v>1207</v>
      </c>
      <c r="E1393" s="164" t="s">
        <v>1205</v>
      </c>
      <c r="F1393" s="159"/>
      <c r="G1393" s="157" t="s">
        <v>1349</v>
      </c>
      <c r="H1393" s="157" t="s">
        <v>1350</v>
      </c>
      <c r="I1393" s="157" t="s">
        <v>1625</v>
      </c>
      <c r="J1393" s="157" t="s">
        <v>8295</v>
      </c>
      <c r="K1393" s="157" t="s">
        <v>1352</v>
      </c>
      <c r="L1393" s="157" t="s">
        <v>1635</v>
      </c>
      <c r="M1393" s="157" t="str">
        <f t="shared" si="31"/>
        <v>Camera_FFC10 - Long Range View</v>
      </c>
      <c r="N1393" s="157"/>
      <c r="O1393" s="157"/>
      <c r="P1393" s="159" t="s">
        <v>5933</v>
      </c>
      <c r="Q1393" s="74" t="s">
        <v>2115</v>
      </c>
      <c r="R1393" s="74" t="s">
        <v>8690</v>
      </c>
      <c r="S1393" s="74" t="s">
        <v>8261</v>
      </c>
      <c r="T1393" s="157"/>
      <c r="U1393" s="159" t="s">
        <v>2129</v>
      </c>
      <c r="V1393" s="159" t="s">
        <v>2129</v>
      </c>
      <c r="W1393" s="159" t="s">
        <v>2138</v>
      </c>
      <c r="X1393" s="160">
        <v>1</v>
      </c>
      <c r="Y1393" s="160">
        <v>1</v>
      </c>
      <c r="Z1393" s="160">
        <v>1</v>
      </c>
      <c r="AA1393" s="160">
        <v>1</v>
      </c>
    </row>
    <row r="1394" spans="1:27" ht="18" customHeight="1" x14ac:dyDescent="0.25">
      <c r="A1394" s="159">
        <v>3236</v>
      </c>
      <c r="B1394" s="164" t="s">
        <v>266</v>
      </c>
      <c r="C1394" s="164" t="s">
        <v>514</v>
      </c>
      <c r="D1394" s="159" t="s">
        <v>517</v>
      </c>
      <c r="E1394" s="164" t="s">
        <v>515</v>
      </c>
      <c r="F1394" s="159"/>
      <c r="G1394" s="157" t="s">
        <v>1349</v>
      </c>
      <c r="H1394" s="157" t="s">
        <v>1350</v>
      </c>
      <c r="I1394" s="157" t="s">
        <v>1625</v>
      </c>
      <c r="J1394" s="157" t="s">
        <v>8295</v>
      </c>
      <c r="K1394" s="157" t="s">
        <v>1352</v>
      </c>
      <c r="L1394" s="157" t="s">
        <v>1635</v>
      </c>
      <c r="M1394" s="157" t="str">
        <f t="shared" si="31"/>
        <v>Camera_FFC10 - Long Range View</v>
      </c>
      <c r="N1394" s="157"/>
      <c r="O1394" s="157"/>
      <c r="P1394" s="159" t="s">
        <v>5933</v>
      </c>
      <c r="Q1394" s="74" t="s">
        <v>2115</v>
      </c>
      <c r="R1394" s="74" t="s">
        <v>8690</v>
      </c>
      <c r="S1394" s="74" t="s">
        <v>8261</v>
      </c>
      <c r="T1394" s="157"/>
      <c r="U1394" s="159" t="s">
        <v>2129</v>
      </c>
      <c r="V1394" s="159" t="s">
        <v>2129</v>
      </c>
      <c r="W1394" s="159" t="s">
        <v>2138</v>
      </c>
      <c r="X1394" s="160">
        <v>1</v>
      </c>
      <c r="Y1394" s="160">
        <v>1</v>
      </c>
      <c r="Z1394" s="160">
        <v>1</v>
      </c>
      <c r="AA1394" s="160">
        <v>1</v>
      </c>
    </row>
    <row r="1395" spans="1:27" ht="18" customHeight="1" x14ac:dyDescent="0.25">
      <c r="A1395" s="159">
        <v>3236</v>
      </c>
      <c r="B1395" s="164" t="s">
        <v>266</v>
      </c>
      <c r="C1395" s="164" t="s">
        <v>514</v>
      </c>
      <c r="D1395" s="159" t="s">
        <v>730</v>
      </c>
      <c r="E1395" s="164" t="s">
        <v>728</v>
      </c>
      <c r="F1395" s="159"/>
      <c r="G1395" s="157" t="s">
        <v>1349</v>
      </c>
      <c r="H1395" s="157" t="s">
        <v>1350</v>
      </c>
      <c r="I1395" s="157" t="s">
        <v>1625</v>
      </c>
      <c r="J1395" s="157" t="s">
        <v>8295</v>
      </c>
      <c r="K1395" s="157" t="s">
        <v>1352</v>
      </c>
      <c r="L1395" s="157" t="s">
        <v>1635</v>
      </c>
      <c r="M1395" s="157" t="str">
        <f t="shared" si="31"/>
        <v>Camera_FFC10 - Long Range View</v>
      </c>
      <c r="N1395" s="157"/>
      <c r="O1395" s="157"/>
      <c r="P1395" s="159" t="s">
        <v>5933</v>
      </c>
      <c r="Q1395" s="74" t="s">
        <v>2115</v>
      </c>
      <c r="R1395" s="74" t="s">
        <v>8690</v>
      </c>
      <c r="S1395" s="74" t="s">
        <v>8261</v>
      </c>
      <c r="T1395" s="157"/>
      <c r="U1395" s="159" t="s">
        <v>2129</v>
      </c>
      <c r="V1395" s="159" t="s">
        <v>2129</v>
      </c>
      <c r="W1395" s="159" t="s">
        <v>2138</v>
      </c>
      <c r="X1395" s="160">
        <v>1</v>
      </c>
      <c r="Y1395" s="160">
        <v>1</v>
      </c>
      <c r="Z1395" s="160">
        <v>1</v>
      </c>
      <c r="AA1395" s="160">
        <v>1</v>
      </c>
    </row>
    <row r="1396" spans="1:27" ht="18" customHeight="1" x14ac:dyDescent="0.25">
      <c r="A1396" s="159">
        <v>3236</v>
      </c>
      <c r="B1396" s="164" t="s">
        <v>266</v>
      </c>
      <c r="C1396" s="164" t="s">
        <v>514</v>
      </c>
      <c r="D1396" s="159" t="s">
        <v>793</v>
      </c>
      <c r="E1396" s="164" t="s">
        <v>791</v>
      </c>
      <c r="F1396" s="159"/>
      <c r="G1396" s="157" t="s">
        <v>1349</v>
      </c>
      <c r="H1396" s="157" t="s">
        <v>1350</v>
      </c>
      <c r="I1396" s="157" t="s">
        <v>1625</v>
      </c>
      <c r="J1396" s="157" t="s">
        <v>8295</v>
      </c>
      <c r="K1396" s="157" t="s">
        <v>1352</v>
      </c>
      <c r="L1396" s="157" t="s">
        <v>1635</v>
      </c>
      <c r="M1396" s="157" t="str">
        <f t="shared" si="31"/>
        <v>Camera_FFC10 - Long Range View</v>
      </c>
      <c r="N1396" s="157"/>
      <c r="O1396" s="157"/>
      <c r="P1396" s="159" t="s">
        <v>5933</v>
      </c>
      <c r="Q1396" s="74" t="s">
        <v>2115</v>
      </c>
      <c r="R1396" s="74" t="s">
        <v>8690</v>
      </c>
      <c r="S1396" s="74" t="s">
        <v>8261</v>
      </c>
      <c r="T1396" s="157"/>
      <c r="U1396" s="159" t="s">
        <v>2129</v>
      </c>
      <c r="V1396" s="159" t="s">
        <v>2129</v>
      </c>
      <c r="W1396" s="159" t="s">
        <v>2138</v>
      </c>
      <c r="X1396" s="160">
        <v>1</v>
      </c>
      <c r="Y1396" s="160">
        <v>1</v>
      </c>
      <c r="Z1396" s="160">
        <v>1</v>
      </c>
      <c r="AA1396" s="160">
        <v>1</v>
      </c>
    </row>
    <row r="1397" spans="1:27" ht="18" customHeight="1" x14ac:dyDescent="0.25">
      <c r="A1397" s="159">
        <v>3236</v>
      </c>
      <c r="B1397" s="164" t="s">
        <v>266</v>
      </c>
      <c r="C1397" s="164" t="s">
        <v>514</v>
      </c>
      <c r="D1397" s="159" t="s">
        <v>731</v>
      </c>
      <c r="E1397" s="164" t="s">
        <v>795</v>
      </c>
      <c r="F1397" s="159"/>
      <c r="G1397" s="157" t="s">
        <v>1349</v>
      </c>
      <c r="H1397" s="157" t="s">
        <v>1350</v>
      </c>
      <c r="I1397" s="157" t="s">
        <v>1625</v>
      </c>
      <c r="J1397" s="157" t="s">
        <v>8295</v>
      </c>
      <c r="K1397" s="157" t="s">
        <v>1352</v>
      </c>
      <c r="L1397" s="157" t="s">
        <v>1635</v>
      </c>
      <c r="M1397" s="157" t="str">
        <f t="shared" si="31"/>
        <v>Camera_FFC10 - Long Range View</v>
      </c>
      <c r="N1397" s="157"/>
      <c r="O1397" s="157"/>
      <c r="P1397" s="159" t="s">
        <v>5933</v>
      </c>
      <c r="Q1397" s="74" t="s">
        <v>2115</v>
      </c>
      <c r="R1397" s="74" t="s">
        <v>8690</v>
      </c>
      <c r="S1397" s="74" t="s">
        <v>8261</v>
      </c>
      <c r="T1397" s="157"/>
      <c r="U1397" s="159" t="s">
        <v>2129</v>
      </c>
      <c r="V1397" s="159" t="s">
        <v>2129</v>
      </c>
      <c r="W1397" s="159" t="s">
        <v>2138</v>
      </c>
      <c r="X1397" s="160">
        <v>1</v>
      </c>
      <c r="Y1397" s="160">
        <v>1</v>
      </c>
      <c r="Z1397" s="160">
        <v>1</v>
      </c>
      <c r="AA1397" s="160">
        <v>1</v>
      </c>
    </row>
    <row r="1398" spans="1:27" ht="18" customHeight="1" x14ac:dyDescent="0.25">
      <c r="A1398" s="159">
        <v>3236</v>
      </c>
      <c r="B1398" s="164" t="s">
        <v>266</v>
      </c>
      <c r="C1398" s="164" t="s">
        <v>514</v>
      </c>
      <c r="D1398" s="159" t="s">
        <v>1170</v>
      </c>
      <c r="E1398" s="164" t="s">
        <v>1168</v>
      </c>
      <c r="F1398" s="159"/>
      <c r="G1398" s="157" t="s">
        <v>1349</v>
      </c>
      <c r="H1398" s="157" t="s">
        <v>1350</v>
      </c>
      <c r="I1398" s="157" t="s">
        <v>1625</v>
      </c>
      <c r="J1398" s="157" t="s">
        <v>8295</v>
      </c>
      <c r="K1398" s="157" t="s">
        <v>1352</v>
      </c>
      <c r="L1398" s="157" t="s">
        <v>1635</v>
      </c>
      <c r="M1398" s="157" t="str">
        <f t="shared" si="31"/>
        <v>Camera_FFC10 - Long Range View</v>
      </c>
      <c r="N1398" s="157"/>
      <c r="O1398" s="157"/>
      <c r="P1398" s="159" t="s">
        <v>5933</v>
      </c>
      <c r="Q1398" s="74" t="s">
        <v>2115</v>
      </c>
      <c r="R1398" s="74" t="s">
        <v>8690</v>
      </c>
      <c r="S1398" s="74" t="s">
        <v>8261</v>
      </c>
      <c r="T1398" s="157"/>
      <c r="U1398" s="159" t="s">
        <v>2129</v>
      </c>
      <c r="V1398" s="159" t="s">
        <v>2129</v>
      </c>
      <c r="W1398" s="159" t="s">
        <v>2138</v>
      </c>
      <c r="X1398" s="160">
        <v>1</v>
      </c>
      <c r="Y1398" s="160">
        <v>1</v>
      </c>
      <c r="Z1398" s="160">
        <v>1</v>
      </c>
      <c r="AA1398" s="160">
        <v>1</v>
      </c>
    </row>
    <row r="1399" spans="1:27" ht="18" customHeight="1" x14ac:dyDescent="0.25">
      <c r="A1399" s="159">
        <v>3236</v>
      </c>
      <c r="B1399" s="164" t="s">
        <v>266</v>
      </c>
      <c r="C1399" s="164" t="s">
        <v>514</v>
      </c>
      <c r="D1399" s="159" t="s">
        <v>1171</v>
      </c>
      <c r="E1399" s="164" t="s">
        <v>1223</v>
      </c>
      <c r="F1399" s="159"/>
      <c r="G1399" s="157" t="s">
        <v>1349</v>
      </c>
      <c r="H1399" s="157" t="s">
        <v>1350</v>
      </c>
      <c r="I1399" s="157" t="s">
        <v>1625</v>
      </c>
      <c r="J1399" s="157" t="s">
        <v>8295</v>
      </c>
      <c r="K1399" s="157" t="s">
        <v>1352</v>
      </c>
      <c r="L1399" s="157" t="s">
        <v>1635</v>
      </c>
      <c r="M1399" s="157" t="str">
        <f t="shared" si="31"/>
        <v>Camera_FFC10 - Long Range View</v>
      </c>
      <c r="N1399" s="157"/>
      <c r="O1399" s="157"/>
      <c r="P1399" s="159" t="s">
        <v>5933</v>
      </c>
      <c r="Q1399" s="74" t="s">
        <v>2115</v>
      </c>
      <c r="R1399" s="74" t="s">
        <v>8690</v>
      </c>
      <c r="S1399" s="74" t="s">
        <v>8261</v>
      </c>
      <c r="T1399" s="157"/>
      <c r="U1399" s="159" t="s">
        <v>2129</v>
      </c>
      <c r="V1399" s="159" t="s">
        <v>2129</v>
      </c>
      <c r="W1399" s="159" t="s">
        <v>2138</v>
      </c>
      <c r="X1399" s="160">
        <v>1</v>
      </c>
      <c r="Y1399" s="160">
        <v>1</v>
      </c>
      <c r="Z1399" s="160">
        <v>1</v>
      </c>
      <c r="AA1399" s="160">
        <v>1</v>
      </c>
    </row>
    <row r="1400" spans="1:27" ht="18" customHeight="1" x14ac:dyDescent="0.25">
      <c r="A1400" s="159">
        <v>3236</v>
      </c>
      <c r="B1400" s="164" t="s">
        <v>266</v>
      </c>
      <c r="C1400" s="164" t="s">
        <v>519</v>
      </c>
      <c r="D1400" s="159" t="s">
        <v>522</v>
      </c>
      <c r="E1400" s="164" t="s">
        <v>520</v>
      </c>
      <c r="F1400" s="159"/>
      <c r="G1400" s="157" t="s">
        <v>1349</v>
      </c>
      <c r="H1400" s="157" t="s">
        <v>1350</v>
      </c>
      <c r="I1400" s="157" t="s">
        <v>1625</v>
      </c>
      <c r="J1400" s="157" t="s">
        <v>8295</v>
      </c>
      <c r="K1400" s="157" t="s">
        <v>1352</v>
      </c>
      <c r="L1400" s="157" t="s">
        <v>1635</v>
      </c>
      <c r="M1400" s="157" t="str">
        <f t="shared" si="31"/>
        <v>Camera_FFC10 - Long Range View</v>
      </c>
      <c r="N1400" s="157"/>
      <c r="O1400" s="157"/>
      <c r="P1400" s="159" t="s">
        <v>5933</v>
      </c>
      <c r="Q1400" s="74" t="s">
        <v>2115</v>
      </c>
      <c r="R1400" s="74" t="s">
        <v>8690</v>
      </c>
      <c r="S1400" s="74" t="s">
        <v>8261</v>
      </c>
      <c r="T1400" s="157"/>
      <c r="U1400" s="159" t="s">
        <v>2129</v>
      </c>
      <c r="V1400" s="159" t="s">
        <v>2129</v>
      </c>
      <c r="W1400" s="159" t="s">
        <v>2138</v>
      </c>
      <c r="X1400" s="160">
        <v>1</v>
      </c>
      <c r="Y1400" s="160">
        <v>1</v>
      </c>
      <c r="Z1400" s="160">
        <v>1</v>
      </c>
      <c r="AA1400" s="160">
        <v>1</v>
      </c>
    </row>
    <row r="1401" spans="1:27" ht="18" customHeight="1" x14ac:dyDescent="0.25">
      <c r="A1401" s="159">
        <v>3236</v>
      </c>
      <c r="B1401" s="164" t="s">
        <v>266</v>
      </c>
      <c r="C1401" s="164" t="s">
        <v>519</v>
      </c>
      <c r="D1401" s="159" t="s">
        <v>526</v>
      </c>
      <c r="E1401" s="164" t="s">
        <v>524</v>
      </c>
      <c r="F1401" s="159"/>
      <c r="G1401" s="157" t="s">
        <v>1349</v>
      </c>
      <c r="H1401" s="157" t="s">
        <v>1350</v>
      </c>
      <c r="I1401" s="157" t="s">
        <v>1625</v>
      </c>
      <c r="J1401" s="157" t="s">
        <v>8295</v>
      </c>
      <c r="K1401" s="157" t="s">
        <v>1352</v>
      </c>
      <c r="L1401" s="157" t="s">
        <v>1635</v>
      </c>
      <c r="M1401" s="157" t="str">
        <f t="shared" si="31"/>
        <v>Camera_FFC10 - Long Range View</v>
      </c>
      <c r="N1401" s="157"/>
      <c r="O1401" s="157"/>
      <c r="P1401" s="159" t="s">
        <v>5933</v>
      </c>
      <c r="Q1401" s="74" t="s">
        <v>2115</v>
      </c>
      <c r="R1401" s="74" t="s">
        <v>8690</v>
      </c>
      <c r="S1401" s="74" t="s">
        <v>8261</v>
      </c>
      <c r="T1401" s="157"/>
      <c r="U1401" s="159" t="s">
        <v>2129</v>
      </c>
      <c r="V1401" s="159" t="s">
        <v>2129</v>
      </c>
      <c r="W1401" s="159" t="s">
        <v>2138</v>
      </c>
      <c r="X1401" s="160">
        <v>1</v>
      </c>
      <c r="Y1401" s="160">
        <v>1</v>
      </c>
      <c r="Z1401" s="160">
        <v>1</v>
      </c>
      <c r="AA1401" s="160">
        <v>1</v>
      </c>
    </row>
    <row r="1402" spans="1:27" ht="18" customHeight="1" x14ac:dyDescent="0.25">
      <c r="A1402" s="159">
        <v>3236</v>
      </c>
      <c r="B1402" s="164" t="s">
        <v>266</v>
      </c>
      <c r="C1402" s="164" t="s">
        <v>519</v>
      </c>
      <c r="D1402" s="159" t="s">
        <v>530</v>
      </c>
      <c r="E1402" s="164" t="s">
        <v>528</v>
      </c>
      <c r="F1402" s="159"/>
      <c r="G1402" s="157" t="s">
        <v>1349</v>
      </c>
      <c r="H1402" s="157" t="s">
        <v>1350</v>
      </c>
      <c r="I1402" s="157" t="s">
        <v>1625</v>
      </c>
      <c r="J1402" s="157" t="s">
        <v>8295</v>
      </c>
      <c r="K1402" s="157" t="s">
        <v>1352</v>
      </c>
      <c r="L1402" s="157" t="s">
        <v>1635</v>
      </c>
      <c r="M1402" s="157" t="str">
        <f t="shared" si="31"/>
        <v>Camera_FFC10 - Long Range View</v>
      </c>
      <c r="N1402" s="157"/>
      <c r="O1402" s="157"/>
      <c r="P1402" s="159" t="s">
        <v>5933</v>
      </c>
      <c r="Q1402" s="74" t="s">
        <v>2115</v>
      </c>
      <c r="R1402" s="74" t="s">
        <v>8690</v>
      </c>
      <c r="S1402" s="74" t="s">
        <v>8261</v>
      </c>
      <c r="T1402" s="157"/>
      <c r="U1402" s="159" t="s">
        <v>2129</v>
      </c>
      <c r="V1402" s="159" t="s">
        <v>2129</v>
      </c>
      <c r="W1402" s="159" t="s">
        <v>2138</v>
      </c>
      <c r="X1402" s="160">
        <v>1</v>
      </c>
      <c r="Y1402" s="160">
        <v>1</v>
      </c>
      <c r="Z1402" s="160">
        <v>1</v>
      </c>
      <c r="AA1402" s="160">
        <v>1</v>
      </c>
    </row>
    <row r="1403" spans="1:27" ht="18" customHeight="1" x14ac:dyDescent="0.25">
      <c r="A1403" s="159">
        <v>3236</v>
      </c>
      <c r="B1403" s="164" t="s">
        <v>266</v>
      </c>
      <c r="C1403" s="164" t="s">
        <v>519</v>
      </c>
      <c r="D1403" s="159" t="s">
        <v>787</v>
      </c>
      <c r="E1403" s="164" t="s">
        <v>785</v>
      </c>
      <c r="F1403" s="159"/>
      <c r="G1403" s="157" t="s">
        <v>1349</v>
      </c>
      <c r="H1403" s="157" t="s">
        <v>1350</v>
      </c>
      <c r="I1403" s="157" t="s">
        <v>1625</v>
      </c>
      <c r="J1403" s="157" t="s">
        <v>8295</v>
      </c>
      <c r="K1403" s="157" t="s">
        <v>1352</v>
      </c>
      <c r="L1403" s="157" t="s">
        <v>1635</v>
      </c>
      <c r="M1403" s="157" t="str">
        <f t="shared" si="31"/>
        <v>Camera_FFC10 - Long Range View</v>
      </c>
      <c r="N1403" s="157"/>
      <c r="O1403" s="157"/>
      <c r="P1403" s="159" t="s">
        <v>5933</v>
      </c>
      <c r="Q1403" s="74" t="s">
        <v>2115</v>
      </c>
      <c r="R1403" s="74" t="s">
        <v>8690</v>
      </c>
      <c r="S1403" s="74" t="s">
        <v>8261</v>
      </c>
      <c r="T1403" s="157"/>
      <c r="U1403" s="159" t="s">
        <v>2129</v>
      </c>
      <c r="V1403" s="159" t="s">
        <v>2129</v>
      </c>
      <c r="W1403" s="159" t="s">
        <v>2138</v>
      </c>
      <c r="X1403" s="160">
        <v>1</v>
      </c>
      <c r="Y1403" s="160">
        <v>1</v>
      </c>
      <c r="Z1403" s="160">
        <v>1</v>
      </c>
      <c r="AA1403" s="160">
        <v>1</v>
      </c>
    </row>
    <row r="1404" spans="1:27" ht="18" customHeight="1" x14ac:dyDescent="0.25">
      <c r="A1404" s="159">
        <v>3236</v>
      </c>
      <c r="B1404" s="164" t="s">
        <v>266</v>
      </c>
      <c r="C1404" s="164" t="s">
        <v>519</v>
      </c>
      <c r="D1404" s="159" t="s">
        <v>935</v>
      </c>
      <c r="E1404" s="164" t="s">
        <v>933</v>
      </c>
      <c r="F1404" s="159"/>
      <c r="G1404" s="157" t="s">
        <v>1349</v>
      </c>
      <c r="H1404" s="157" t="s">
        <v>1350</v>
      </c>
      <c r="I1404" s="157" t="s">
        <v>1625</v>
      </c>
      <c r="J1404" s="157" t="s">
        <v>8295</v>
      </c>
      <c r="K1404" s="157" t="s">
        <v>1352</v>
      </c>
      <c r="L1404" s="157" t="s">
        <v>1635</v>
      </c>
      <c r="M1404" s="157" t="str">
        <f t="shared" si="31"/>
        <v>Camera_FFC10 - Long Range View</v>
      </c>
      <c r="N1404" s="157"/>
      <c r="O1404" s="157"/>
      <c r="P1404" s="159" t="s">
        <v>5933</v>
      </c>
      <c r="Q1404" s="74" t="s">
        <v>2115</v>
      </c>
      <c r="R1404" s="74" t="s">
        <v>8690</v>
      </c>
      <c r="S1404" s="74" t="s">
        <v>8261</v>
      </c>
      <c r="T1404" s="157"/>
      <c r="U1404" s="159" t="s">
        <v>2129</v>
      </c>
      <c r="V1404" s="159" t="s">
        <v>2129</v>
      </c>
      <c r="W1404" s="159" t="s">
        <v>2138</v>
      </c>
      <c r="X1404" s="160">
        <v>1</v>
      </c>
      <c r="Y1404" s="160">
        <v>1</v>
      </c>
      <c r="Z1404" s="160">
        <v>1</v>
      </c>
      <c r="AA1404" s="160">
        <v>1</v>
      </c>
    </row>
    <row r="1405" spans="1:27" ht="18" customHeight="1" x14ac:dyDescent="0.25">
      <c r="A1405" s="159">
        <v>3236</v>
      </c>
      <c r="B1405" s="164" t="s">
        <v>266</v>
      </c>
      <c r="C1405" s="164" t="s">
        <v>519</v>
      </c>
      <c r="D1405" s="159" t="s">
        <v>1151</v>
      </c>
      <c r="E1405" s="164" t="s">
        <v>1149</v>
      </c>
      <c r="F1405" s="159"/>
      <c r="G1405" s="157" t="s">
        <v>1349</v>
      </c>
      <c r="H1405" s="157" t="s">
        <v>1350</v>
      </c>
      <c r="I1405" s="157" t="s">
        <v>1625</v>
      </c>
      <c r="J1405" s="157" t="s">
        <v>8295</v>
      </c>
      <c r="K1405" s="157" t="s">
        <v>1352</v>
      </c>
      <c r="L1405" s="157" t="s">
        <v>1635</v>
      </c>
      <c r="M1405" s="157" t="str">
        <f t="shared" si="31"/>
        <v>Camera_FFC10 - Long Range View</v>
      </c>
      <c r="N1405" s="157"/>
      <c r="O1405" s="157"/>
      <c r="P1405" s="159" t="s">
        <v>5933</v>
      </c>
      <c r="Q1405" s="74" t="s">
        <v>2115</v>
      </c>
      <c r="R1405" s="74" t="s">
        <v>8690</v>
      </c>
      <c r="S1405" s="74" t="s">
        <v>8261</v>
      </c>
      <c r="T1405" s="157"/>
      <c r="U1405" s="159" t="s">
        <v>2129</v>
      </c>
      <c r="V1405" s="159" t="s">
        <v>2129</v>
      </c>
      <c r="W1405" s="159" t="s">
        <v>2138</v>
      </c>
      <c r="X1405" s="160">
        <v>1</v>
      </c>
      <c r="Y1405" s="160">
        <v>1</v>
      </c>
      <c r="Z1405" s="160">
        <v>1</v>
      </c>
      <c r="AA1405" s="160">
        <v>1</v>
      </c>
    </row>
    <row r="1406" spans="1:27" ht="18" customHeight="1" x14ac:dyDescent="0.25">
      <c r="A1406" s="159">
        <v>3236</v>
      </c>
      <c r="B1406" s="164" t="s">
        <v>266</v>
      </c>
      <c r="C1406" s="164" t="s">
        <v>519</v>
      </c>
      <c r="D1406" s="159" t="s">
        <v>1159</v>
      </c>
      <c r="E1406" s="164" t="s">
        <v>1157</v>
      </c>
      <c r="F1406" s="159"/>
      <c r="G1406" s="157" t="s">
        <v>1349</v>
      </c>
      <c r="H1406" s="157" t="s">
        <v>1350</v>
      </c>
      <c r="I1406" s="157" t="s">
        <v>1625</v>
      </c>
      <c r="J1406" s="157" t="s">
        <v>8295</v>
      </c>
      <c r="K1406" s="157" t="s">
        <v>1352</v>
      </c>
      <c r="L1406" s="157" t="s">
        <v>1635</v>
      </c>
      <c r="M1406" s="157" t="str">
        <f t="shared" si="31"/>
        <v>Camera_FFC10 - Long Range View</v>
      </c>
      <c r="N1406" s="157"/>
      <c r="O1406" s="157"/>
      <c r="P1406" s="159" t="s">
        <v>5933</v>
      </c>
      <c r="Q1406" s="74" t="s">
        <v>2115</v>
      </c>
      <c r="R1406" s="74" t="s">
        <v>8690</v>
      </c>
      <c r="S1406" s="74" t="s">
        <v>8261</v>
      </c>
      <c r="T1406" s="157"/>
      <c r="U1406" s="159" t="s">
        <v>2129</v>
      </c>
      <c r="V1406" s="159" t="s">
        <v>2129</v>
      </c>
      <c r="W1406" s="159" t="s">
        <v>2138</v>
      </c>
      <c r="X1406" s="160">
        <v>1</v>
      </c>
      <c r="Y1406" s="160">
        <v>1</v>
      </c>
      <c r="Z1406" s="160">
        <v>1</v>
      </c>
      <c r="AA1406" s="160">
        <v>1</v>
      </c>
    </row>
    <row r="1407" spans="1:27" ht="18" customHeight="1" x14ac:dyDescent="0.25">
      <c r="A1407" s="159">
        <v>3237</v>
      </c>
      <c r="B1407" s="164" t="s">
        <v>266</v>
      </c>
      <c r="C1407" s="164" t="s">
        <v>276</v>
      </c>
      <c r="D1407" s="159" t="s">
        <v>726</v>
      </c>
      <c r="E1407" s="164" t="s">
        <v>724</v>
      </c>
      <c r="F1407" s="159"/>
      <c r="G1407" s="157" t="s">
        <v>1349</v>
      </c>
      <c r="H1407" s="157" t="s">
        <v>1350</v>
      </c>
      <c r="I1407" s="157" t="s">
        <v>2060</v>
      </c>
      <c r="J1407" s="157" t="s">
        <v>8295</v>
      </c>
      <c r="K1407" s="157" t="s">
        <v>1554</v>
      </c>
      <c r="L1407" s="157" t="s">
        <v>2065</v>
      </c>
      <c r="M1407" s="157" t="str">
        <f t="shared" si="31"/>
        <v>Short/Mid Range Radar R / Radar -108° - Distance Measurements</v>
      </c>
      <c r="N1407" s="157"/>
      <c r="O1407" s="157"/>
      <c r="P1407" s="159" t="s">
        <v>2347</v>
      </c>
      <c r="Q1407" s="157" t="s">
        <v>2115</v>
      </c>
      <c r="R1407" s="157" t="s">
        <v>8292</v>
      </c>
      <c r="S1407" s="157" t="s">
        <v>8627</v>
      </c>
      <c r="T1407" s="157"/>
      <c r="U1407" s="159" t="s">
        <v>2129</v>
      </c>
      <c r="V1407" s="159" t="s">
        <v>2129</v>
      </c>
      <c r="W1407" s="159" t="s">
        <v>2138</v>
      </c>
      <c r="X1407" s="160">
        <v>1</v>
      </c>
      <c r="Y1407" s="160">
        <v>1</v>
      </c>
      <c r="Z1407" s="160">
        <v>1</v>
      </c>
      <c r="AA1407" s="160">
        <v>1</v>
      </c>
    </row>
    <row r="1408" spans="1:27" ht="18" customHeight="1" x14ac:dyDescent="0.25">
      <c r="A1408" s="159">
        <v>3237</v>
      </c>
      <c r="B1408" s="164" t="s">
        <v>266</v>
      </c>
      <c r="C1408" s="164" t="s">
        <v>267</v>
      </c>
      <c r="D1408" s="159" t="s">
        <v>270</v>
      </c>
      <c r="E1408" s="164" t="s">
        <v>268</v>
      </c>
      <c r="F1408" s="159"/>
      <c r="G1408" s="157" t="s">
        <v>1349</v>
      </c>
      <c r="H1408" s="157" t="s">
        <v>1350</v>
      </c>
      <c r="I1408" s="157" t="s">
        <v>2060</v>
      </c>
      <c r="J1408" s="157" t="s">
        <v>8295</v>
      </c>
      <c r="K1408" s="157" t="s">
        <v>1554</v>
      </c>
      <c r="L1408" s="157" t="s">
        <v>2065</v>
      </c>
      <c r="M1408" s="157" t="str">
        <f t="shared" si="31"/>
        <v>Short/Mid Range Radar R / Radar -108° - Distance Measurements</v>
      </c>
      <c r="N1408" s="157"/>
      <c r="O1408" s="157"/>
      <c r="P1408" s="159" t="s">
        <v>2347</v>
      </c>
      <c r="Q1408" s="157" t="s">
        <v>2115</v>
      </c>
      <c r="R1408" s="157" t="s">
        <v>8292</v>
      </c>
      <c r="S1408" s="157" t="s">
        <v>8627</v>
      </c>
      <c r="T1408" s="157"/>
      <c r="U1408" s="159" t="s">
        <v>2129</v>
      </c>
      <c r="V1408" s="159" t="s">
        <v>2129</v>
      </c>
      <c r="W1408" s="159" t="s">
        <v>2138</v>
      </c>
      <c r="X1408" s="160">
        <v>1</v>
      </c>
      <c r="Y1408" s="160">
        <v>1</v>
      </c>
      <c r="Z1408" s="160">
        <v>1</v>
      </c>
      <c r="AA1408" s="160">
        <v>1</v>
      </c>
    </row>
    <row r="1409" spans="1:27" ht="18" customHeight="1" x14ac:dyDescent="0.25">
      <c r="A1409" s="159">
        <v>3237</v>
      </c>
      <c r="B1409" s="164" t="s">
        <v>266</v>
      </c>
      <c r="C1409" s="164" t="s">
        <v>294</v>
      </c>
      <c r="D1409" s="159" t="s">
        <v>297</v>
      </c>
      <c r="E1409" s="164" t="s">
        <v>295</v>
      </c>
      <c r="F1409" s="159"/>
      <c r="G1409" s="157" t="s">
        <v>1349</v>
      </c>
      <c r="H1409" s="157" t="s">
        <v>1350</v>
      </c>
      <c r="I1409" s="157" t="s">
        <v>2060</v>
      </c>
      <c r="J1409" s="157" t="s">
        <v>8295</v>
      </c>
      <c r="K1409" s="157" t="s">
        <v>1554</v>
      </c>
      <c r="L1409" s="157" t="s">
        <v>2065</v>
      </c>
      <c r="M1409" s="157" t="str">
        <f t="shared" si="31"/>
        <v>Short/Mid Range Radar R / Radar -108° - Distance Measurements</v>
      </c>
      <c r="N1409" s="157"/>
      <c r="O1409" s="157"/>
      <c r="P1409" s="159" t="s">
        <v>2347</v>
      </c>
      <c r="Q1409" s="157" t="s">
        <v>2115</v>
      </c>
      <c r="R1409" s="157" t="s">
        <v>8292</v>
      </c>
      <c r="S1409" s="157" t="s">
        <v>8627</v>
      </c>
      <c r="T1409" s="157"/>
      <c r="U1409" s="159" t="s">
        <v>2129</v>
      </c>
      <c r="V1409" s="159" t="s">
        <v>2129</v>
      </c>
      <c r="W1409" s="159" t="s">
        <v>2138</v>
      </c>
      <c r="X1409" s="160">
        <v>1</v>
      </c>
      <c r="Y1409" s="160">
        <v>1</v>
      </c>
      <c r="Z1409" s="160">
        <v>1</v>
      </c>
      <c r="AA1409" s="160">
        <v>1</v>
      </c>
    </row>
    <row r="1410" spans="1:27" ht="18" customHeight="1" x14ac:dyDescent="0.25">
      <c r="A1410" s="159">
        <v>3237</v>
      </c>
      <c r="B1410" s="164" t="s">
        <v>266</v>
      </c>
      <c r="C1410" s="164" t="s">
        <v>294</v>
      </c>
      <c r="D1410" s="159" t="s">
        <v>298</v>
      </c>
      <c r="E1410" s="164" t="s">
        <v>299</v>
      </c>
      <c r="F1410" s="159"/>
      <c r="G1410" s="157" t="s">
        <v>1349</v>
      </c>
      <c r="H1410" s="157" t="s">
        <v>1350</v>
      </c>
      <c r="I1410" s="157" t="s">
        <v>2060</v>
      </c>
      <c r="J1410" s="157" t="s">
        <v>8295</v>
      </c>
      <c r="K1410" s="157" t="s">
        <v>1554</v>
      </c>
      <c r="L1410" s="157" t="s">
        <v>2065</v>
      </c>
      <c r="M1410" s="157" t="str">
        <f t="shared" si="31"/>
        <v>Short/Mid Range Radar R / Radar -108° - Distance Measurements</v>
      </c>
      <c r="N1410" s="157"/>
      <c r="O1410" s="157"/>
      <c r="P1410" s="159" t="s">
        <v>2347</v>
      </c>
      <c r="Q1410" s="157" t="s">
        <v>2115</v>
      </c>
      <c r="R1410" s="157" t="s">
        <v>8292</v>
      </c>
      <c r="S1410" s="157" t="s">
        <v>8627</v>
      </c>
      <c r="T1410" s="157"/>
      <c r="U1410" s="159" t="s">
        <v>2129</v>
      </c>
      <c r="V1410" s="159" t="s">
        <v>2129</v>
      </c>
      <c r="W1410" s="159" t="s">
        <v>2138</v>
      </c>
      <c r="X1410" s="160">
        <v>1</v>
      </c>
      <c r="Y1410" s="160">
        <v>1</v>
      </c>
      <c r="Z1410" s="160">
        <v>1</v>
      </c>
      <c r="AA1410" s="160">
        <v>1</v>
      </c>
    </row>
    <row r="1411" spans="1:27" ht="18" customHeight="1" x14ac:dyDescent="0.25">
      <c r="A1411" s="159">
        <v>3237</v>
      </c>
      <c r="B1411" s="164" t="s">
        <v>266</v>
      </c>
      <c r="C1411" s="164" t="s">
        <v>294</v>
      </c>
      <c r="D1411" s="159" t="s">
        <v>503</v>
      </c>
      <c r="E1411" s="164" t="s">
        <v>501</v>
      </c>
      <c r="F1411" s="159"/>
      <c r="G1411" s="157" t="s">
        <v>1349</v>
      </c>
      <c r="H1411" s="157" t="s">
        <v>1350</v>
      </c>
      <c r="I1411" s="157" t="s">
        <v>2060</v>
      </c>
      <c r="J1411" s="157" t="s">
        <v>8295</v>
      </c>
      <c r="K1411" s="157" t="s">
        <v>1554</v>
      </c>
      <c r="L1411" s="157" t="s">
        <v>2065</v>
      </c>
      <c r="M1411" s="157" t="str">
        <f t="shared" si="31"/>
        <v>Short/Mid Range Radar R / Radar -108° - Distance Measurements</v>
      </c>
      <c r="N1411" s="157"/>
      <c r="O1411" s="157"/>
      <c r="P1411" s="159" t="s">
        <v>2347</v>
      </c>
      <c r="Q1411" s="157" t="s">
        <v>2115</v>
      </c>
      <c r="R1411" s="157" t="s">
        <v>8292</v>
      </c>
      <c r="S1411" s="157" t="s">
        <v>8627</v>
      </c>
      <c r="T1411" s="157"/>
      <c r="U1411" s="159" t="s">
        <v>2129</v>
      </c>
      <c r="V1411" s="159" t="s">
        <v>2129</v>
      </c>
      <c r="W1411" s="159" t="s">
        <v>2138</v>
      </c>
      <c r="X1411" s="160">
        <v>1</v>
      </c>
      <c r="Y1411" s="160">
        <v>1</v>
      </c>
      <c r="Z1411" s="160">
        <v>1</v>
      </c>
      <c r="AA1411" s="160">
        <v>1</v>
      </c>
    </row>
    <row r="1412" spans="1:27" ht="18" customHeight="1" x14ac:dyDescent="0.25">
      <c r="A1412" s="159">
        <v>3237</v>
      </c>
      <c r="B1412" s="164" t="s">
        <v>266</v>
      </c>
      <c r="C1412" s="164" t="s">
        <v>294</v>
      </c>
      <c r="D1412" s="159" t="s">
        <v>692</v>
      </c>
      <c r="E1412" s="164" t="s">
        <v>690</v>
      </c>
      <c r="F1412" s="159"/>
      <c r="G1412" s="157" t="s">
        <v>1349</v>
      </c>
      <c r="H1412" s="157" t="s">
        <v>1350</v>
      </c>
      <c r="I1412" s="157" t="s">
        <v>2060</v>
      </c>
      <c r="J1412" s="157" t="s">
        <v>8295</v>
      </c>
      <c r="K1412" s="157" t="s">
        <v>1554</v>
      </c>
      <c r="L1412" s="157" t="s">
        <v>2065</v>
      </c>
      <c r="M1412" s="157" t="str">
        <f t="shared" si="31"/>
        <v>Short/Mid Range Radar R / Radar -108° - Distance Measurements</v>
      </c>
      <c r="N1412" s="157"/>
      <c r="O1412" s="157"/>
      <c r="P1412" s="159" t="s">
        <v>2347</v>
      </c>
      <c r="Q1412" s="157" t="s">
        <v>2115</v>
      </c>
      <c r="R1412" s="157" t="s">
        <v>8292</v>
      </c>
      <c r="S1412" s="157" t="s">
        <v>8627</v>
      </c>
      <c r="T1412" s="157"/>
      <c r="U1412" s="159" t="s">
        <v>2129</v>
      </c>
      <c r="V1412" s="159" t="s">
        <v>2129</v>
      </c>
      <c r="W1412" s="159" t="s">
        <v>2138</v>
      </c>
      <c r="X1412" s="160">
        <v>1</v>
      </c>
      <c r="Y1412" s="160">
        <v>1</v>
      </c>
      <c r="Z1412" s="160">
        <v>1</v>
      </c>
      <c r="AA1412" s="160">
        <v>1</v>
      </c>
    </row>
    <row r="1413" spans="1:27" ht="18" customHeight="1" x14ac:dyDescent="0.25">
      <c r="A1413" s="159">
        <v>3237</v>
      </c>
      <c r="B1413" s="164" t="s">
        <v>266</v>
      </c>
      <c r="C1413" s="164" t="s">
        <v>294</v>
      </c>
      <c r="D1413" s="159" t="s">
        <v>1177</v>
      </c>
      <c r="E1413" s="164" t="s">
        <v>1175</v>
      </c>
      <c r="F1413" s="159"/>
      <c r="G1413" s="157" t="s">
        <v>1349</v>
      </c>
      <c r="H1413" s="157" t="s">
        <v>1350</v>
      </c>
      <c r="I1413" s="157" t="s">
        <v>2060</v>
      </c>
      <c r="J1413" s="157" t="s">
        <v>8295</v>
      </c>
      <c r="K1413" s="157" t="s">
        <v>1554</v>
      </c>
      <c r="L1413" s="157" t="s">
        <v>2065</v>
      </c>
      <c r="M1413" s="157" t="str">
        <f t="shared" si="31"/>
        <v>Short/Mid Range Radar R / Radar -108° - Distance Measurements</v>
      </c>
      <c r="N1413" s="157"/>
      <c r="O1413" s="157"/>
      <c r="P1413" s="159" t="s">
        <v>2347</v>
      </c>
      <c r="Q1413" s="157" t="s">
        <v>2115</v>
      </c>
      <c r="R1413" s="157" t="s">
        <v>8292</v>
      </c>
      <c r="S1413" s="157" t="s">
        <v>8627</v>
      </c>
      <c r="T1413" s="157"/>
      <c r="U1413" s="159" t="s">
        <v>2129</v>
      </c>
      <c r="V1413" s="159" t="s">
        <v>2129</v>
      </c>
      <c r="W1413" s="159" t="s">
        <v>2138</v>
      </c>
      <c r="X1413" s="160">
        <v>1</v>
      </c>
      <c r="Y1413" s="160">
        <v>1</v>
      </c>
      <c r="Z1413" s="160">
        <v>1</v>
      </c>
      <c r="AA1413" s="160">
        <v>1</v>
      </c>
    </row>
    <row r="1414" spans="1:27" ht="18" customHeight="1" x14ac:dyDescent="0.25">
      <c r="A1414" s="159">
        <v>3237</v>
      </c>
      <c r="B1414" s="164" t="s">
        <v>266</v>
      </c>
      <c r="C1414" s="164" t="s">
        <v>294</v>
      </c>
      <c r="D1414" s="159" t="s">
        <v>1178</v>
      </c>
      <c r="E1414" s="164" t="s">
        <v>1179</v>
      </c>
      <c r="F1414" s="159"/>
      <c r="G1414" s="157" t="s">
        <v>1349</v>
      </c>
      <c r="H1414" s="157" t="s">
        <v>1350</v>
      </c>
      <c r="I1414" s="157" t="s">
        <v>2060</v>
      </c>
      <c r="J1414" s="157" t="s">
        <v>8295</v>
      </c>
      <c r="K1414" s="157" t="s">
        <v>1554</v>
      </c>
      <c r="L1414" s="157" t="s">
        <v>2065</v>
      </c>
      <c r="M1414" s="157" t="str">
        <f t="shared" si="31"/>
        <v>Short/Mid Range Radar R / Radar -108° - Distance Measurements</v>
      </c>
      <c r="N1414" s="157"/>
      <c r="O1414" s="157"/>
      <c r="P1414" s="159" t="s">
        <v>2347</v>
      </c>
      <c r="Q1414" s="157" t="s">
        <v>2115</v>
      </c>
      <c r="R1414" s="157" t="s">
        <v>8292</v>
      </c>
      <c r="S1414" s="157" t="s">
        <v>8627</v>
      </c>
      <c r="T1414" s="157"/>
      <c r="U1414" s="159" t="s">
        <v>2129</v>
      </c>
      <c r="V1414" s="159" t="s">
        <v>2129</v>
      </c>
      <c r="W1414" s="159" t="s">
        <v>2138</v>
      </c>
      <c r="X1414" s="160">
        <v>1</v>
      </c>
      <c r="Y1414" s="160">
        <v>1</v>
      </c>
      <c r="Z1414" s="160">
        <v>1</v>
      </c>
      <c r="AA1414" s="160">
        <v>1</v>
      </c>
    </row>
    <row r="1415" spans="1:27" ht="18" customHeight="1" x14ac:dyDescent="0.25">
      <c r="A1415" s="159">
        <v>3237</v>
      </c>
      <c r="B1415" s="164" t="s">
        <v>266</v>
      </c>
      <c r="C1415" s="164" t="s">
        <v>294</v>
      </c>
      <c r="D1415" s="159" t="s">
        <v>1207</v>
      </c>
      <c r="E1415" s="164" t="s">
        <v>1205</v>
      </c>
      <c r="F1415" s="159"/>
      <c r="G1415" s="157" t="s">
        <v>1349</v>
      </c>
      <c r="H1415" s="157" t="s">
        <v>1350</v>
      </c>
      <c r="I1415" s="157" t="s">
        <v>2060</v>
      </c>
      <c r="J1415" s="157" t="s">
        <v>8295</v>
      </c>
      <c r="K1415" s="157" t="s">
        <v>1554</v>
      </c>
      <c r="L1415" s="157" t="s">
        <v>2065</v>
      </c>
      <c r="M1415" s="157" t="str">
        <f t="shared" si="31"/>
        <v>Short/Mid Range Radar R / Radar -108° - Distance Measurements</v>
      </c>
      <c r="N1415" s="157"/>
      <c r="O1415" s="157"/>
      <c r="P1415" s="159" t="s">
        <v>2347</v>
      </c>
      <c r="Q1415" s="157" t="s">
        <v>2115</v>
      </c>
      <c r="R1415" s="157" t="s">
        <v>8292</v>
      </c>
      <c r="S1415" s="157" t="s">
        <v>8627</v>
      </c>
      <c r="T1415" s="157"/>
      <c r="U1415" s="159" t="s">
        <v>2129</v>
      </c>
      <c r="V1415" s="159" t="s">
        <v>2129</v>
      </c>
      <c r="W1415" s="159" t="s">
        <v>2138</v>
      </c>
      <c r="X1415" s="160">
        <v>1</v>
      </c>
      <c r="Y1415" s="160">
        <v>1</v>
      </c>
      <c r="Z1415" s="160">
        <v>1</v>
      </c>
      <c r="AA1415" s="160">
        <v>1</v>
      </c>
    </row>
    <row r="1416" spans="1:27" ht="18" customHeight="1" x14ac:dyDescent="0.25">
      <c r="A1416" s="159">
        <v>3237</v>
      </c>
      <c r="B1416" s="164" t="s">
        <v>266</v>
      </c>
      <c r="C1416" s="164" t="s">
        <v>519</v>
      </c>
      <c r="D1416" s="159" t="s">
        <v>522</v>
      </c>
      <c r="E1416" s="164" t="s">
        <v>520</v>
      </c>
      <c r="F1416" s="159"/>
      <c r="G1416" s="157" t="s">
        <v>1349</v>
      </c>
      <c r="H1416" s="157" t="s">
        <v>1350</v>
      </c>
      <c r="I1416" s="157" t="s">
        <v>2060</v>
      </c>
      <c r="J1416" s="157" t="s">
        <v>8295</v>
      </c>
      <c r="K1416" s="157" t="s">
        <v>1554</v>
      </c>
      <c r="L1416" s="157" t="s">
        <v>2065</v>
      </c>
      <c r="M1416" s="157" t="str">
        <f t="shared" si="31"/>
        <v>Short/Mid Range Radar R / Radar -108° - Distance Measurements</v>
      </c>
      <c r="N1416" s="157"/>
      <c r="O1416" s="157"/>
      <c r="P1416" s="159" t="s">
        <v>2347</v>
      </c>
      <c r="Q1416" s="157" t="s">
        <v>2115</v>
      </c>
      <c r="R1416" s="157" t="s">
        <v>8292</v>
      </c>
      <c r="S1416" s="157" t="s">
        <v>8627</v>
      </c>
      <c r="T1416" s="157"/>
      <c r="U1416" s="159" t="s">
        <v>2129</v>
      </c>
      <c r="V1416" s="159" t="s">
        <v>2129</v>
      </c>
      <c r="W1416" s="159" t="s">
        <v>2138</v>
      </c>
      <c r="X1416" s="160">
        <v>1</v>
      </c>
      <c r="Y1416" s="160">
        <v>1</v>
      </c>
      <c r="Z1416" s="160">
        <v>1</v>
      </c>
      <c r="AA1416" s="160">
        <v>1</v>
      </c>
    </row>
    <row r="1417" spans="1:27" ht="18" customHeight="1" x14ac:dyDescent="0.25">
      <c r="A1417" s="159">
        <v>3237</v>
      </c>
      <c r="B1417" s="164" t="s">
        <v>266</v>
      </c>
      <c r="C1417" s="164" t="s">
        <v>519</v>
      </c>
      <c r="D1417" s="159" t="s">
        <v>526</v>
      </c>
      <c r="E1417" s="164" t="s">
        <v>524</v>
      </c>
      <c r="F1417" s="159"/>
      <c r="G1417" s="157" t="s">
        <v>1349</v>
      </c>
      <c r="H1417" s="157" t="s">
        <v>1350</v>
      </c>
      <c r="I1417" s="157" t="s">
        <v>2060</v>
      </c>
      <c r="J1417" s="157" t="s">
        <v>8295</v>
      </c>
      <c r="K1417" s="157" t="s">
        <v>1554</v>
      </c>
      <c r="L1417" s="157" t="s">
        <v>2065</v>
      </c>
      <c r="M1417" s="157" t="str">
        <f t="shared" si="31"/>
        <v>Short/Mid Range Radar R / Radar -108° - Distance Measurements</v>
      </c>
      <c r="N1417" s="157"/>
      <c r="O1417" s="157"/>
      <c r="P1417" s="159" t="s">
        <v>2347</v>
      </c>
      <c r="Q1417" s="157" t="s">
        <v>2115</v>
      </c>
      <c r="R1417" s="157" t="s">
        <v>8292</v>
      </c>
      <c r="S1417" s="157" t="s">
        <v>8627</v>
      </c>
      <c r="T1417" s="157"/>
      <c r="U1417" s="159" t="s">
        <v>2129</v>
      </c>
      <c r="V1417" s="159" t="s">
        <v>2129</v>
      </c>
      <c r="W1417" s="159" t="s">
        <v>2138</v>
      </c>
      <c r="X1417" s="160">
        <v>1</v>
      </c>
      <c r="Y1417" s="160">
        <v>1</v>
      </c>
      <c r="Z1417" s="160">
        <v>1</v>
      </c>
      <c r="AA1417" s="160">
        <v>1</v>
      </c>
    </row>
    <row r="1418" spans="1:27" ht="18" customHeight="1" x14ac:dyDescent="0.25">
      <c r="A1418" s="159">
        <v>3237</v>
      </c>
      <c r="B1418" s="164" t="s">
        <v>266</v>
      </c>
      <c r="C1418" s="164" t="s">
        <v>519</v>
      </c>
      <c r="D1418" s="159" t="s">
        <v>530</v>
      </c>
      <c r="E1418" s="164" t="s">
        <v>528</v>
      </c>
      <c r="F1418" s="159"/>
      <c r="G1418" s="157" t="s">
        <v>1349</v>
      </c>
      <c r="H1418" s="157" t="s">
        <v>1350</v>
      </c>
      <c r="I1418" s="157" t="s">
        <v>2060</v>
      </c>
      <c r="J1418" s="157" t="s">
        <v>8295</v>
      </c>
      <c r="K1418" s="157" t="s">
        <v>1554</v>
      </c>
      <c r="L1418" s="157" t="s">
        <v>2065</v>
      </c>
      <c r="M1418" s="157" t="str">
        <f t="shared" ref="M1418:M1481" si="32">CONCATENATE(L1418," - ",I1418)</f>
        <v>Short/Mid Range Radar R / Radar -108° - Distance Measurements</v>
      </c>
      <c r="N1418" s="157"/>
      <c r="O1418" s="157"/>
      <c r="P1418" s="159" t="s">
        <v>2347</v>
      </c>
      <c r="Q1418" s="157" t="s">
        <v>2115</v>
      </c>
      <c r="R1418" s="157" t="s">
        <v>8292</v>
      </c>
      <c r="S1418" s="157" t="s">
        <v>8627</v>
      </c>
      <c r="T1418" s="157"/>
      <c r="U1418" s="159" t="s">
        <v>2129</v>
      </c>
      <c r="V1418" s="159" t="s">
        <v>2129</v>
      </c>
      <c r="W1418" s="159" t="s">
        <v>2138</v>
      </c>
      <c r="X1418" s="160">
        <v>1</v>
      </c>
      <c r="Y1418" s="160">
        <v>1</v>
      </c>
      <c r="Z1418" s="160">
        <v>1</v>
      </c>
      <c r="AA1418" s="160">
        <v>1</v>
      </c>
    </row>
    <row r="1419" spans="1:27" ht="18" customHeight="1" x14ac:dyDescent="0.25">
      <c r="A1419" s="159">
        <v>3237</v>
      </c>
      <c r="B1419" s="164" t="s">
        <v>266</v>
      </c>
      <c r="C1419" s="164" t="s">
        <v>519</v>
      </c>
      <c r="D1419" s="159" t="s">
        <v>787</v>
      </c>
      <c r="E1419" s="164" t="s">
        <v>785</v>
      </c>
      <c r="F1419" s="159"/>
      <c r="G1419" s="157" t="s">
        <v>1349</v>
      </c>
      <c r="H1419" s="157" t="s">
        <v>1350</v>
      </c>
      <c r="I1419" s="157" t="s">
        <v>2060</v>
      </c>
      <c r="J1419" s="157" t="s">
        <v>8295</v>
      </c>
      <c r="K1419" s="157" t="s">
        <v>1554</v>
      </c>
      <c r="L1419" s="157" t="s">
        <v>2065</v>
      </c>
      <c r="M1419" s="157" t="str">
        <f t="shared" si="32"/>
        <v>Short/Mid Range Radar R / Radar -108° - Distance Measurements</v>
      </c>
      <c r="N1419" s="157"/>
      <c r="O1419" s="157"/>
      <c r="P1419" s="159" t="s">
        <v>2347</v>
      </c>
      <c r="Q1419" s="157" t="s">
        <v>2115</v>
      </c>
      <c r="R1419" s="157" t="s">
        <v>8292</v>
      </c>
      <c r="S1419" s="157" t="s">
        <v>8627</v>
      </c>
      <c r="T1419" s="157"/>
      <c r="U1419" s="159" t="s">
        <v>2129</v>
      </c>
      <c r="V1419" s="159" t="s">
        <v>2129</v>
      </c>
      <c r="W1419" s="159" t="s">
        <v>2138</v>
      </c>
      <c r="X1419" s="160">
        <v>1</v>
      </c>
      <c r="Y1419" s="160">
        <v>1</v>
      </c>
      <c r="Z1419" s="160">
        <v>1</v>
      </c>
      <c r="AA1419" s="160">
        <v>1</v>
      </c>
    </row>
    <row r="1420" spans="1:27" ht="18" customHeight="1" x14ac:dyDescent="0.25">
      <c r="A1420" s="159">
        <v>3237</v>
      </c>
      <c r="B1420" s="164" t="s">
        <v>266</v>
      </c>
      <c r="C1420" s="164" t="s">
        <v>519</v>
      </c>
      <c r="D1420" s="159" t="s">
        <v>935</v>
      </c>
      <c r="E1420" s="164" t="s">
        <v>933</v>
      </c>
      <c r="F1420" s="159"/>
      <c r="G1420" s="157" t="s">
        <v>1349</v>
      </c>
      <c r="H1420" s="157" t="s">
        <v>1350</v>
      </c>
      <c r="I1420" s="157" t="s">
        <v>2060</v>
      </c>
      <c r="J1420" s="157" t="s">
        <v>8295</v>
      </c>
      <c r="K1420" s="157" t="s">
        <v>1554</v>
      </c>
      <c r="L1420" s="157" t="s">
        <v>2065</v>
      </c>
      <c r="M1420" s="157" t="str">
        <f t="shared" si="32"/>
        <v>Short/Mid Range Radar R / Radar -108° - Distance Measurements</v>
      </c>
      <c r="N1420" s="157"/>
      <c r="O1420" s="157"/>
      <c r="P1420" s="159" t="s">
        <v>2347</v>
      </c>
      <c r="Q1420" s="157" t="s">
        <v>2115</v>
      </c>
      <c r="R1420" s="157" t="s">
        <v>8292</v>
      </c>
      <c r="S1420" s="157" t="s">
        <v>8627</v>
      </c>
      <c r="T1420" s="157"/>
      <c r="U1420" s="159" t="s">
        <v>2129</v>
      </c>
      <c r="V1420" s="159" t="s">
        <v>2129</v>
      </c>
      <c r="W1420" s="159" t="s">
        <v>2138</v>
      </c>
      <c r="X1420" s="160">
        <v>1</v>
      </c>
      <c r="Y1420" s="160">
        <v>1</v>
      </c>
      <c r="Z1420" s="160">
        <v>1</v>
      </c>
      <c r="AA1420" s="160">
        <v>1</v>
      </c>
    </row>
    <row r="1421" spans="1:27" ht="18" customHeight="1" x14ac:dyDescent="0.25">
      <c r="A1421" s="159">
        <v>3237</v>
      </c>
      <c r="B1421" s="164" t="s">
        <v>266</v>
      </c>
      <c r="C1421" s="164" t="s">
        <v>519</v>
      </c>
      <c r="D1421" s="159" t="s">
        <v>1151</v>
      </c>
      <c r="E1421" s="164" t="s">
        <v>1149</v>
      </c>
      <c r="F1421" s="159"/>
      <c r="G1421" s="157" t="s">
        <v>1349</v>
      </c>
      <c r="H1421" s="157" t="s">
        <v>1350</v>
      </c>
      <c r="I1421" s="157" t="s">
        <v>2060</v>
      </c>
      <c r="J1421" s="157" t="s">
        <v>8295</v>
      </c>
      <c r="K1421" s="157" t="s">
        <v>1554</v>
      </c>
      <c r="L1421" s="157" t="s">
        <v>2065</v>
      </c>
      <c r="M1421" s="157" t="str">
        <f t="shared" si="32"/>
        <v>Short/Mid Range Radar R / Radar -108° - Distance Measurements</v>
      </c>
      <c r="N1421" s="157"/>
      <c r="O1421" s="157"/>
      <c r="P1421" s="159" t="s">
        <v>2347</v>
      </c>
      <c r="Q1421" s="157" t="s">
        <v>2115</v>
      </c>
      <c r="R1421" s="157" t="s">
        <v>8292</v>
      </c>
      <c r="S1421" s="157" t="s">
        <v>8627</v>
      </c>
      <c r="T1421" s="157"/>
      <c r="U1421" s="159" t="s">
        <v>2129</v>
      </c>
      <c r="V1421" s="159" t="s">
        <v>2129</v>
      </c>
      <c r="W1421" s="159" t="s">
        <v>2138</v>
      </c>
      <c r="X1421" s="160">
        <v>1</v>
      </c>
      <c r="Y1421" s="160">
        <v>1</v>
      </c>
      <c r="Z1421" s="160">
        <v>1</v>
      </c>
      <c r="AA1421" s="160">
        <v>1</v>
      </c>
    </row>
    <row r="1422" spans="1:27" ht="18" customHeight="1" x14ac:dyDescent="0.25">
      <c r="A1422" s="159">
        <v>3237</v>
      </c>
      <c r="B1422" s="164" t="s">
        <v>266</v>
      </c>
      <c r="C1422" s="164" t="s">
        <v>519</v>
      </c>
      <c r="D1422" s="159" t="s">
        <v>1159</v>
      </c>
      <c r="E1422" s="164" t="s">
        <v>1157</v>
      </c>
      <c r="F1422" s="159"/>
      <c r="G1422" s="157" t="s">
        <v>1349</v>
      </c>
      <c r="H1422" s="157" t="s">
        <v>1350</v>
      </c>
      <c r="I1422" s="157" t="s">
        <v>2060</v>
      </c>
      <c r="J1422" s="157" t="s">
        <v>8295</v>
      </c>
      <c r="K1422" s="157" t="s">
        <v>1554</v>
      </c>
      <c r="L1422" s="157" t="s">
        <v>2065</v>
      </c>
      <c r="M1422" s="157" t="str">
        <f t="shared" si="32"/>
        <v>Short/Mid Range Radar R / Radar -108° - Distance Measurements</v>
      </c>
      <c r="N1422" s="157"/>
      <c r="O1422" s="157"/>
      <c r="P1422" s="159" t="s">
        <v>2347</v>
      </c>
      <c r="Q1422" s="157" t="s">
        <v>2115</v>
      </c>
      <c r="R1422" s="157" t="s">
        <v>8292</v>
      </c>
      <c r="S1422" s="157" t="s">
        <v>8627</v>
      </c>
      <c r="T1422" s="157"/>
      <c r="U1422" s="159" t="s">
        <v>2129</v>
      </c>
      <c r="V1422" s="159" t="s">
        <v>2129</v>
      </c>
      <c r="W1422" s="159" t="s">
        <v>2138</v>
      </c>
      <c r="X1422" s="160">
        <v>1</v>
      </c>
      <c r="Y1422" s="160">
        <v>1</v>
      </c>
      <c r="Z1422" s="160">
        <v>1</v>
      </c>
      <c r="AA1422" s="160">
        <v>1</v>
      </c>
    </row>
    <row r="1423" spans="1:27" ht="18" customHeight="1" x14ac:dyDescent="0.25">
      <c r="A1423" s="159">
        <v>3238</v>
      </c>
      <c r="B1423" s="164" t="s">
        <v>266</v>
      </c>
      <c r="C1423" s="164" t="s">
        <v>276</v>
      </c>
      <c r="D1423" s="159" t="s">
        <v>726</v>
      </c>
      <c r="E1423" s="164" t="s">
        <v>724</v>
      </c>
      <c r="F1423" s="159"/>
      <c r="G1423" s="157" t="s">
        <v>1349</v>
      </c>
      <c r="H1423" s="157" t="s">
        <v>1350</v>
      </c>
      <c r="I1423" s="157" t="s">
        <v>2060</v>
      </c>
      <c r="J1423" s="157" t="s">
        <v>8295</v>
      </c>
      <c r="K1423" s="157" t="s">
        <v>1554</v>
      </c>
      <c r="L1423" s="157" t="s">
        <v>2066</v>
      </c>
      <c r="M1423" s="157" t="str">
        <f t="shared" si="32"/>
        <v>Short/Mid Range Radar L / Radar +108° - Distance Measurements</v>
      </c>
      <c r="N1423" s="157"/>
      <c r="O1423" s="157"/>
      <c r="P1423" s="159" t="s">
        <v>8146</v>
      </c>
      <c r="Q1423" s="157" t="s">
        <v>2115</v>
      </c>
      <c r="R1423" s="157" t="s">
        <v>8292</v>
      </c>
      <c r="S1423" s="157" t="s">
        <v>8627</v>
      </c>
      <c r="T1423" s="157"/>
      <c r="U1423" s="159" t="s">
        <v>2129</v>
      </c>
      <c r="V1423" s="159" t="s">
        <v>2129</v>
      </c>
      <c r="W1423" s="159" t="s">
        <v>2138</v>
      </c>
      <c r="X1423" s="160">
        <v>1</v>
      </c>
      <c r="Y1423" s="160">
        <v>1</v>
      </c>
      <c r="Z1423" s="160">
        <v>1</v>
      </c>
      <c r="AA1423" s="160">
        <v>1</v>
      </c>
    </row>
    <row r="1424" spans="1:27" ht="18" customHeight="1" x14ac:dyDescent="0.25">
      <c r="A1424" s="159">
        <v>3238</v>
      </c>
      <c r="B1424" s="164" t="s">
        <v>266</v>
      </c>
      <c r="C1424" s="164" t="s">
        <v>267</v>
      </c>
      <c r="D1424" s="159" t="s">
        <v>270</v>
      </c>
      <c r="E1424" s="164" t="s">
        <v>268</v>
      </c>
      <c r="F1424" s="159"/>
      <c r="G1424" s="157" t="s">
        <v>1349</v>
      </c>
      <c r="H1424" s="157" t="s">
        <v>1350</v>
      </c>
      <c r="I1424" s="157" t="s">
        <v>2060</v>
      </c>
      <c r="J1424" s="157" t="s">
        <v>8295</v>
      </c>
      <c r="K1424" s="157" t="s">
        <v>1554</v>
      </c>
      <c r="L1424" s="157" t="s">
        <v>2066</v>
      </c>
      <c r="M1424" s="157" t="str">
        <f t="shared" si="32"/>
        <v>Short/Mid Range Radar L / Radar +108° - Distance Measurements</v>
      </c>
      <c r="N1424" s="157"/>
      <c r="O1424" s="157"/>
      <c r="P1424" s="159" t="s">
        <v>8146</v>
      </c>
      <c r="Q1424" s="157" t="s">
        <v>2115</v>
      </c>
      <c r="R1424" s="157" t="s">
        <v>8292</v>
      </c>
      <c r="S1424" s="157" t="s">
        <v>8627</v>
      </c>
      <c r="T1424" s="157"/>
      <c r="U1424" s="159" t="s">
        <v>2129</v>
      </c>
      <c r="V1424" s="159" t="s">
        <v>2129</v>
      </c>
      <c r="W1424" s="159" t="s">
        <v>2138</v>
      </c>
      <c r="X1424" s="160">
        <v>1</v>
      </c>
      <c r="Y1424" s="160">
        <v>1</v>
      </c>
      <c r="Z1424" s="160">
        <v>1</v>
      </c>
      <c r="AA1424" s="160">
        <v>1</v>
      </c>
    </row>
    <row r="1425" spans="1:27" ht="18" customHeight="1" x14ac:dyDescent="0.25">
      <c r="A1425" s="159">
        <v>3238</v>
      </c>
      <c r="B1425" s="164" t="s">
        <v>266</v>
      </c>
      <c r="C1425" s="164" t="s">
        <v>294</v>
      </c>
      <c r="D1425" s="159" t="s">
        <v>297</v>
      </c>
      <c r="E1425" s="164" t="s">
        <v>295</v>
      </c>
      <c r="F1425" s="159"/>
      <c r="G1425" s="157" t="s">
        <v>1349</v>
      </c>
      <c r="H1425" s="157" t="s">
        <v>1350</v>
      </c>
      <c r="I1425" s="157" t="s">
        <v>2060</v>
      </c>
      <c r="J1425" s="157" t="s">
        <v>8295</v>
      </c>
      <c r="K1425" s="157" t="s">
        <v>1554</v>
      </c>
      <c r="L1425" s="157" t="s">
        <v>2066</v>
      </c>
      <c r="M1425" s="157" t="str">
        <f t="shared" si="32"/>
        <v>Short/Mid Range Radar L / Radar +108° - Distance Measurements</v>
      </c>
      <c r="N1425" s="157"/>
      <c r="O1425" s="157"/>
      <c r="P1425" s="159" t="s">
        <v>8146</v>
      </c>
      <c r="Q1425" s="157" t="s">
        <v>2115</v>
      </c>
      <c r="R1425" s="157" t="s">
        <v>8292</v>
      </c>
      <c r="S1425" s="157" t="s">
        <v>8627</v>
      </c>
      <c r="T1425" s="157"/>
      <c r="U1425" s="159" t="s">
        <v>2129</v>
      </c>
      <c r="V1425" s="159" t="s">
        <v>2129</v>
      </c>
      <c r="W1425" s="159" t="s">
        <v>2138</v>
      </c>
      <c r="X1425" s="160">
        <v>1</v>
      </c>
      <c r="Y1425" s="160">
        <v>1</v>
      </c>
      <c r="Z1425" s="160">
        <v>1</v>
      </c>
      <c r="AA1425" s="160">
        <v>1</v>
      </c>
    </row>
    <row r="1426" spans="1:27" ht="18" customHeight="1" x14ac:dyDescent="0.25">
      <c r="A1426" s="159">
        <v>3238</v>
      </c>
      <c r="B1426" s="164" t="s">
        <v>266</v>
      </c>
      <c r="C1426" s="164" t="s">
        <v>294</v>
      </c>
      <c r="D1426" s="159" t="s">
        <v>298</v>
      </c>
      <c r="E1426" s="164" t="s">
        <v>299</v>
      </c>
      <c r="F1426" s="159"/>
      <c r="G1426" s="157" t="s">
        <v>1349</v>
      </c>
      <c r="H1426" s="157" t="s">
        <v>1350</v>
      </c>
      <c r="I1426" s="157" t="s">
        <v>2060</v>
      </c>
      <c r="J1426" s="157" t="s">
        <v>8295</v>
      </c>
      <c r="K1426" s="157" t="s">
        <v>1554</v>
      </c>
      <c r="L1426" s="157" t="s">
        <v>2066</v>
      </c>
      <c r="M1426" s="157" t="str">
        <f t="shared" si="32"/>
        <v>Short/Mid Range Radar L / Radar +108° - Distance Measurements</v>
      </c>
      <c r="N1426" s="157"/>
      <c r="O1426" s="157"/>
      <c r="P1426" s="159" t="s">
        <v>8146</v>
      </c>
      <c r="Q1426" s="157" t="s">
        <v>2115</v>
      </c>
      <c r="R1426" s="157" t="s">
        <v>8292</v>
      </c>
      <c r="S1426" s="157" t="s">
        <v>8627</v>
      </c>
      <c r="T1426" s="157"/>
      <c r="U1426" s="159" t="s">
        <v>2129</v>
      </c>
      <c r="V1426" s="159" t="s">
        <v>2129</v>
      </c>
      <c r="W1426" s="159" t="s">
        <v>2138</v>
      </c>
      <c r="X1426" s="160">
        <v>1</v>
      </c>
      <c r="Y1426" s="160">
        <v>1</v>
      </c>
      <c r="Z1426" s="160">
        <v>1</v>
      </c>
      <c r="AA1426" s="160">
        <v>1</v>
      </c>
    </row>
    <row r="1427" spans="1:27" ht="18" customHeight="1" x14ac:dyDescent="0.25">
      <c r="A1427" s="159">
        <v>3238</v>
      </c>
      <c r="B1427" s="164" t="s">
        <v>266</v>
      </c>
      <c r="C1427" s="164" t="s">
        <v>294</v>
      </c>
      <c r="D1427" s="159" t="s">
        <v>503</v>
      </c>
      <c r="E1427" s="164" t="s">
        <v>501</v>
      </c>
      <c r="F1427" s="159"/>
      <c r="G1427" s="157" t="s">
        <v>1349</v>
      </c>
      <c r="H1427" s="157" t="s">
        <v>1350</v>
      </c>
      <c r="I1427" s="157" t="s">
        <v>2060</v>
      </c>
      <c r="J1427" s="157" t="s">
        <v>8295</v>
      </c>
      <c r="K1427" s="157" t="s">
        <v>1554</v>
      </c>
      <c r="L1427" s="157" t="s">
        <v>2066</v>
      </c>
      <c r="M1427" s="157" t="str">
        <f t="shared" si="32"/>
        <v>Short/Mid Range Radar L / Radar +108° - Distance Measurements</v>
      </c>
      <c r="N1427" s="157"/>
      <c r="O1427" s="157"/>
      <c r="P1427" s="159" t="s">
        <v>8146</v>
      </c>
      <c r="Q1427" s="157" t="s">
        <v>2115</v>
      </c>
      <c r="R1427" s="157" t="s">
        <v>8292</v>
      </c>
      <c r="S1427" s="157" t="s">
        <v>8627</v>
      </c>
      <c r="T1427" s="157"/>
      <c r="U1427" s="159" t="s">
        <v>2129</v>
      </c>
      <c r="V1427" s="159" t="s">
        <v>2129</v>
      </c>
      <c r="W1427" s="159" t="s">
        <v>2138</v>
      </c>
      <c r="X1427" s="160">
        <v>1</v>
      </c>
      <c r="Y1427" s="160">
        <v>1</v>
      </c>
      <c r="Z1427" s="160">
        <v>1</v>
      </c>
      <c r="AA1427" s="160">
        <v>1</v>
      </c>
    </row>
    <row r="1428" spans="1:27" ht="18" customHeight="1" x14ac:dyDescent="0.25">
      <c r="A1428" s="159">
        <v>3238</v>
      </c>
      <c r="B1428" s="164" t="s">
        <v>266</v>
      </c>
      <c r="C1428" s="164" t="s">
        <v>294</v>
      </c>
      <c r="D1428" s="159" t="s">
        <v>692</v>
      </c>
      <c r="E1428" s="164" t="s">
        <v>690</v>
      </c>
      <c r="F1428" s="159"/>
      <c r="G1428" s="157" t="s">
        <v>1349</v>
      </c>
      <c r="H1428" s="157" t="s">
        <v>1350</v>
      </c>
      <c r="I1428" s="157" t="s">
        <v>2060</v>
      </c>
      <c r="J1428" s="157" t="s">
        <v>8295</v>
      </c>
      <c r="K1428" s="157" t="s">
        <v>1554</v>
      </c>
      <c r="L1428" s="157" t="s">
        <v>2066</v>
      </c>
      <c r="M1428" s="157" t="str">
        <f t="shared" si="32"/>
        <v>Short/Mid Range Radar L / Radar +108° - Distance Measurements</v>
      </c>
      <c r="N1428" s="157"/>
      <c r="O1428" s="157"/>
      <c r="P1428" s="159" t="s">
        <v>8146</v>
      </c>
      <c r="Q1428" s="157" t="s">
        <v>2115</v>
      </c>
      <c r="R1428" s="157" t="s">
        <v>8292</v>
      </c>
      <c r="S1428" s="157" t="s">
        <v>8627</v>
      </c>
      <c r="T1428" s="157"/>
      <c r="U1428" s="159" t="s">
        <v>2129</v>
      </c>
      <c r="V1428" s="159" t="s">
        <v>2129</v>
      </c>
      <c r="W1428" s="159" t="s">
        <v>2138</v>
      </c>
      <c r="X1428" s="160">
        <v>1</v>
      </c>
      <c r="Y1428" s="160">
        <v>1</v>
      </c>
      <c r="Z1428" s="160">
        <v>1</v>
      </c>
      <c r="AA1428" s="160">
        <v>1</v>
      </c>
    </row>
    <row r="1429" spans="1:27" ht="18" customHeight="1" x14ac:dyDescent="0.25">
      <c r="A1429" s="159">
        <v>3238</v>
      </c>
      <c r="B1429" s="164" t="s">
        <v>266</v>
      </c>
      <c r="C1429" s="164" t="s">
        <v>294</v>
      </c>
      <c r="D1429" s="159" t="s">
        <v>1177</v>
      </c>
      <c r="E1429" s="164" t="s">
        <v>1175</v>
      </c>
      <c r="F1429" s="159"/>
      <c r="G1429" s="157" t="s">
        <v>1349</v>
      </c>
      <c r="H1429" s="157" t="s">
        <v>1350</v>
      </c>
      <c r="I1429" s="157" t="s">
        <v>2060</v>
      </c>
      <c r="J1429" s="157" t="s">
        <v>8295</v>
      </c>
      <c r="K1429" s="157" t="s">
        <v>1554</v>
      </c>
      <c r="L1429" s="157" t="s">
        <v>2066</v>
      </c>
      <c r="M1429" s="157" t="str">
        <f t="shared" si="32"/>
        <v>Short/Mid Range Radar L / Radar +108° - Distance Measurements</v>
      </c>
      <c r="N1429" s="157"/>
      <c r="O1429" s="157"/>
      <c r="P1429" s="159" t="s">
        <v>8146</v>
      </c>
      <c r="Q1429" s="157" t="s">
        <v>2115</v>
      </c>
      <c r="R1429" s="157" t="s">
        <v>8292</v>
      </c>
      <c r="S1429" s="157" t="s">
        <v>8627</v>
      </c>
      <c r="T1429" s="157"/>
      <c r="U1429" s="159" t="s">
        <v>2129</v>
      </c>
      <c r="V1429" s="159" t="s">
        <v>2129</v>
      </c>
      <c r="W1429" s="159" t="s">
        <v>2138</v>
      </c>
      <c r="X1429" s="160">
        <v>1</v>
      </c>
      <c r="Y1429" s="160">
        <v>1</v>
      </c>
      <c r="Z1429" s="160">
        <v>1</v>
      </c>
      <c r="AA1429" s="160">
        <v>1</v>
      </c>
    </row>
    <row r="1430" spans="1:27" ht="18" customHeight="1" x14ac:dyDescent="0.25">
      <c r="A1430" s="159">
        <v>3238</v>
      </c>
      <c r="B1430" s="164" t="s">
        <v>266</v>
      </c>
      <c r="C1430" s="164" t="s">
        <v>294</v>
      </c>
      <c r="D1430" s="159" t="s">
        <v>1178</v>
      </c>
      <c r="E1430" s="164" t="s">
        <v>1179</v>
      </c>
      <c r="F1430" s="159"/>
      <c r="G1430" s="157" t="s">
        <v>1349</v>
      </c>
      <c r="H1430" s="157" t="s">
        <v>1350</v>
      </c>
      <c r="I1430" s="157" t="s">
        <v>2060</v>
      </c>
      <c r="J1430" s="157" t="s">
        <v>8295</v>
      </c>
      <c r="K1430" s="157" t="s">
        <v>1554</v>
      </c>
      <c r="L1430" s="157" t="s">
        <v>2066</v>
      </c>
      <c r="M1430" s="157" t="str">
        <f t="shared" si="32"/>
        <v>Short/Mid Range Radar L / Radar +108° - Distance Measurements</v>
      </c>
      <c r="N1430" s="157"/>
      <c r="O1430" s="157"/>
      <c r="P1430" s="159" t="s">
        <v>8146</v>
      </c>
      <c r="Q1430" s="157" t="s">
        <v>2115</v>
      </c>
      <c r="R1430" s="157" t="s">
        <v>8292</v>
      </c>
      <c r="S1430" s="157" t="s">
        <v>8627</v>
      </c>
      <c r="T1430" s="157"/>
      <c r="U1430" s="159" t="s">
        <v>2129</v>
      </c>
      <c r="V1430" s="159" t="s">
        <v>2129</v>
      </c>
      <c r="W1430" s="159" t="s">
        <v>2138</v>
      </c>
      <c r="X1430" s="160">
        <v>1</v>
      </c>
      <c r="Y1430" s="160">
        <v>1</v>
      </c>
      <c r="Z1430" s="160">
        <v>1</v>
      </c>
      <c r="AA1430" s="160">
        <v>1</v>
      </c>
    </row>
    <row r="1431" spans="1:27" ht="18" customHeight="1" x14ac:dyDescent="0.25">
      <c r="A1431" s="159">
        <v>3238</v>
      </c>
      <c r="B1431" s="164" t="s">
        <v>266</v>
      </c>
      <c r="C1431" s="164" t="s">
        <v>294</v>
      </c>
      <c r="D1431" s="159" t="s">
        <v>1207</v>
      </c>
      <c r="E1431" s="164" t="s">
        <v>1205</v>
      </c>
      <c r="F1431" s="159"/>
      <c r="G1431" s="157" t="s">
        <v>1349</v>
      </c>
      <c r="H1431" s="157" t="s">
        <v>1350</v>
      </c>
      <c r="I1431" s="157" t="s">
        <v>2060</v>
      </c>
      <c r="J1431" s="157" t="s">
        <v>8295</v>
      </c>
      <c r="K1431" s="157" t="s">
        <v>1554</v>
      </c>
      <c r="L1431" s="157" t="s">
        <v>2066</v>
      </c>
      <c r="M1431" s="157" t="str">
        <f t="shared" si="32"/>
        <v>Short/Mid Range Radar L / Radar +108° - Distance Measurements</v>
      </c>
      <c r="N1431" s="157"/>
      <c r="O1431" s="157"/>
      <c r="P1431" s="159" t="s">
        <v>8146</v>
      </c>
      <c r="Q1431" s="157" t="s">
        <v>2115</v>
      </c>
      <c r="R1431" s="157" t="s">
        <v>8292</v>
      </c>
      <c r="S1431" s="157" t="s">
        <v>8627</v>
      </c>
      <c r="T1431" s="157"/>
      <c r="U1431" s="159" t="s">
        <v>2129</v>
      </c>
      <c r="V1431" s="159" t="s">
        <v>2129</v>
      </c>
      <c r="W1431" s="159" t="s">
        <v>2138</v>
      </c>
      <c r="X1431" s="160">
        <v>1</v>
      </c>
      <c r="Y1431" s="160">
        <v>1</v>
      </c>
      <c r="Z1431" s="160">
        <v>1</v>
      </c>
      <c r="AA1431" s="160">
        <v>1</v>
      </c>
    </row>
    <row r="1432" spans="1:27" ht="18" customHeight="1" x14ac:dyDescent="0.25">
      <c r="A1432" s="159">
        <v>3238</v>
      </c>
      <c r="B1432" s="164" t="s">
        <v>266</v>
      </c>
      <c r="C1432" s="164" t="s">
        <v>519</v>
      </c>
      <c r="D1432" s="159" t="s">
        <v>522</v>
      </c>
      <c r="E1432" s="164" t="s">
        <v>520</v>
      </c>
      <c r="F1432" s="159"/>
      <c r="G1432" s="157" t="s">
        <v>1349</v>
      </c>
      <c r="H1432" s="157" t="s">
        <v>1350</v>
      </c>
      <c r="I1432" s="157" t="s">
        <v>2060</v>
      </c>
      <c r="J1432" s="157" t="s">
        <v>8295</v>
      </c>
      <c r="K1432" s="157" t="s">
        <v>1554</v>
      </c>
      <c r="L1432" s="157" t="s">
        <v>2066</v>
      </c>
      <c r="M1432" s="157" t="str">
        <f t="shared" si="32"/>
        <v>Short/Mid Range Radar L / Radar +108° - Distance Measurements</v>
      </c>
      <c r="N1432" s="157"/>
      <c r="O1432" s="157"/>
      <c r="P1432" s="159" t="s">
        <v>8146</v>
      </c>
      <c r="Q1432" s="157" t="s">
        <v>2115</v>
      </c>
      <c r="R1432" s="157" t="s">
        <v>8292</v>
      </c>
      <c r="S1432" s="157" t="s">
        <v>8627</v>
      </c>
      <c r="T1432" s="157"/>
      <c r="U1432" s="159" t="s">
        <v>2129</v>
      </c>
      <c r="V1432" s="159" t="s">
        <v>2129</v>
      </c>
      <c r="W1432" s="159" t="s">
        <v>2138</v>
      </c>
      <c r="X1432" s="160">
        <v>1</v>
      </c>
      <c r="Y1432" s="160">
        <v>1</v>
      </c>
      <c r="Z1432" s="160">
        <v>1</v>
      </c>
      <c r="AA1432" s="160">
        <v>1</v>
      </c>
    </row>
    <row r="1433" spans="1:27" ht="18" customHeight="1" x14ac:dyDescent="0.25">
      <c r="A1433" s="159">
        <v>3238</v>
      </c>
      <c r="B1433" s="164" t="s">
        <v>266</v>
      </c>
      <c r="C1433" s="164" t="s">
        <v>519</v>
      </c>
      <c r="D1433" s="159" t="s">
        <v>526</v>
      </c>
      <c r="E1433" s="164" t="s">
        <v>524</v>
      </c>
      <c r="F1433" s="159"/>
      <c r="G1433" s="157" t="s">
        <v>1349</v>
      </c>
      <c r="H1433" s="157" t="s">
        <v>1350</v>
      </c>
      <c r="I1433" s="157" t="s">
        <v>2060</v>
      </c>
      <c r="J1433" s="157" t="s">
        <v>8295</v>
      </c>
      <c r="K1433" s="157" t="s">
        <v>1554</v>
      </c>
      <c r="L1433" s="157" t="s">
        <v>2066</v>
      </c>
      <c r="M1433" s="157" t="str">
        <f t="shared" si="32"/>
        <v>Short/Mid Range Radar L / Radar +108° - Distance Measurements</v>
      </c>
      <c r="N1433" s="157"/>
      <c r="O1433" s="157"/>
      <c r="P1433" s="159" t="s">
        <v>8146</v>
      </c>
      <c r="Q1433" s="157" t="s">
        <v>2115</v>
      </c>
      <c r="R1433" s="157" t="s">
        <v>8292</v>
      </c>
      <c r="S1433" s="157" t="s">
        <v>8627</v>
      </c>
      <c r="T1433" s="157"/>
      <c r="U1433" s="159" t="s">
        <v>2129</v>
      </c>
      <c r="V1433" s="159" t="s">
        <v>2129</v>
      </c>
      <c r="W1433" s="159" t="s">
        <v>2138</v>
      </c>
      <c r="X1433" s="160">
        <v>1</v>
      </c>
      <c r="Y1433" s="160">
        <v>1</v>
      </c>
      <c r="Z1433" s="160">
        <v>1</v>
      </c>
      <c r="AA1433" s="160">
        <v>1</v>
      </c>
    </row>
    <row r="1434" spans="1:27" ht="18" customHeight="1" x14ac:dyDescent="0.25">
      <c r="A1434" s="159">
        <v>3238</v>
      </c>
      <c r="B1434" s="164" t="s">
        <v>266</v>
      </c>
      <c r="C1434" s="164" t="s">
        <v>519</v>
      </c>
      <c r="D1434" s="159" t="s">
        <v>530</v>
      </c>
      <c r="E1434" s="164" t="s">
        <v>528</v>
      </c>
      <c r="F1434" s="159"/>
      <c r="G1434" s="157" t="s">
        <v>1349</v>
      </c>
      <c r="H1434" s="157" t="s">
        <v>1350</v>
      </c>
      <c r="I1434" s="157" t="s">
        <v>2060</v>
      </c>
      <c r="J1434" s="157" t="s">
        <v>8295</v>
      </c>
      <c r="K1434" s="157" t="s">
        <v>1554</v>
      </c>
      <c r="L1434" s="157" t="s">
        <v>2066</v>
      </c>
      <c r="M1434" s="157" t="str">
        <f t="shared" si="32"/>
        <v>Short/Mid Range Radar L / Radar +108° - Distance Measurements</v>
      </c>
      <c r="N1434" s="157"/>
      <c r="O1434" s="157"/>
      <c r="P1434" s="159" t="s">
        <v>8146</v>
      </c>
      <c r="Q1434" s="157" t="s">
        <v>2115</v>
      </c>
      <c r="R1434" s="157" t="s">
        <v>8292</v>
      </c>
      <c r="S1434" s="157" t="s">
        <v>8627</v>
      </c>
      <c r="T1434" s="157"/>
      <c r="U1434" s="159" t="s">
        <v>2129</v>
      </c>
      <c r="V1434" s="159" t="s">
        <v>2129</v>
      </c>
      <c r="W1434" s="159" t="s">
        <v>2138</v>
      </c>
      <c r="X1434" s="160">
        <v>1</v>
      </c>
      <c r="Y1434" s="160">
        <v>1</v>
      </c>
      <c r="Z1434" s="160">
        <v>1</v>
      </c>
      <c r="AA1434" s="160">
        <v>1</v>
      </c>
    </row>
    <row r="1435" spans="1:27" ht="18" customHeight="1" x14ac:dyDescent="0.25">
      <c r="A1435" s="159">
        <v>3238</v>
      </c>
      <c r="B1435" s="164" t="s">
        <v>266</v>
      </c>
      <c r="C1435" s="164" t="s">
        <v>519</v>
      </c>
      <c r="D1435" s="159" t="s">
        <v>787</v>
      </c>
      <c r="E1435" s="164" t="s">
        <v>785</v>
      </c>
      <c r="F1435" s="159"/>
      <c r="G1435" s="157" t="s">
        <v>1349</v>
      </c>
      <c r="H1435" s="157" t="s">
        <v>1350</v>
      </c>
      <c r="I1435" s="157" t="s">
        <v>2060</v>
      </c>
      <c r="J1435" s="157" t="s">
        <v>8295</v>
      </c>
      <c r="K1435" s="157" t="s">
        <v>1554</v>
      </c>
      <c r="L1435" s="157" t="s">
        <v>2066</v>
      </c>
      <c r="M1435" s="157" t="str">
        <f t="shared" si="32"/>
        <v>Short/Mid Range Radar L / Radar +108° - Distance Measurements</v>
      </c>
      <c r="N1435" s="157"/>
      <c r="O1435" s="157"/>
      <c r="P1435" s="159" t="s">
        <v>8146</v>
      </c>
      <c r="Q1435" s="157" t="s">
        <v>2115</v>
      </c>
      <c r="R1435" s="157" t="s">
        <v>8292</v>
      </c>
      <c r="S1435" s="157" t="s">
        <v>8627</v>
      </c>
      <c r="T1435" s="157"/>
      <c r="U1435" s="159" t="s">
        <v>2129</v>
      </c>
      <c r="V1435" s="159" t="s">
        <v>2129</v>
      </c>
      <c r="W1435" s="159" t="s">
        <v>2138</v>
      </c>
      <c r="X1435" s="160">
        <v>1</v>
      </c>
      <c r="Y1435" s="160">
        <v>1</v>
      </c>
      <c r="Z1435" s="160">
        <v>1</v>
      </c>
      <c r="AA1435" s="160">
        <v>1</v>
      </c>
    </row>
    <row r="1436" spans="1:27" ht="18" customHeight="1" x14ac:dyDescent="0.25">
      <c r="A1436" s="159">
        <v>3238</v>
      </c>
      <c r="B1436" s="164" t="s">
        <v>266</v>
      </c>
      <c r="C1436" s="164" t="s">
        <v>519</v>
      </c>
      <c r="D1436" s="159" t="s">
        <v>935</v>
      </c>
      <c r="E1436" s="164" t="s">
        <v>933</v>
      </c>
      <c r="F1436" s="159"/>
      <c r="G1436" s="157" t="s">
        <v>1349</v>
      </c>
      <c r="H1436" s="157" t="s">
        <v>1350</v>
      </c>
      <c r="I1436" s="157" t="s">
        <v>2060</v>
      </c>
      <c r="J1436" s="157" t="s">
        <v>8295</v>
      </c>
      <c r="K1436" s="157" t="s">
        <v>1554</v>
      </c>
      <c r="L1436" s="157" t="s">
        <v>2066</v>
      </c>
      <c r="M1436" s="157" t="str">
        <f t="shared" si="32"/>
        <v>Short/Mid Range Radar L / Radar +108° - Distance Measurements</v>
      </c>
      <c r="N1436" s="157"/>
      <c r="O1436" s="157"/>
      <c r="P1436" s="159" t="s">
        <v>8146</v>
      </c>
      <c r="Q1436" s="157" t="s">
        <v>2115</v>
      </c>
      <c r="R1436" s="157" t="s">
        <v>8292</v>
      </c>
      <c r="S1436" s="157" t="s">
        <v>8627</v>
      </c>
      <c r="T1436" s="157"/>
      <c r="U1436" s="159" t="s">
        <v>2129</v>
      </c>
      <c r="V1436" s="159" t="s">
        <v>2129</v>
      </c>
      <c r="W1436" s="159" t="s">
        <v>2138</v>
      </c>
      <c r="X1436" s="160">
        <v>1</v>
      </c>
      <c r="Y1436" s="160">
        <v>1</v>
      </c>
      <c r="Z1436" s="160">
        <v>1</v>
      </c>
      <c r="AA1436" s="160">
        <v>1</v>
      </c>
    </row>
    <row r="1437" spans="1:27" ht="18" customHeight="1" x14ac:dyDescent="0.25">
      <c r="A1437" s="159">
        <v>3238</v>
      </c>
      <c r="B1437" s="164" t="s">
        <v>266</v>
      </c>
      <c r="C1437" s="164" t="s">
        <v>519</v>
      </c>
      <c r="D1437" s="159" t="s">
        <v>1151</v>
      </c>
      <c r="E1437" s="164" t="s">
        <v>1149</v>
      </c>
      <c r="F1437" s="159"/>
      <c r="G1437" s="157" t="s">
        <v>1349</v>
      </c>
      <c r="H1437" s="157" t="s">
        <v>1350</v>
      </c>
      <c r="I1437" s="157" t="s">
        <v>2060</v>
      </c>
      <c r="J1437" s="157" t="s">
        <v>8295</v>
      </c>
      <c r="K1437" s="157" t="s">
        <v>1554</v>
      </c>
      <c r="L1437" s="157" t="s">
        <v>2066</v>
      </c>
      <c r="M1437" s="157" t="str">
        <f t="shared" si="32"/>
        <v>Short/Mid Range Radar L / Radar +108° - Distance Measurements</v>
      </c>
      <c r="N1437" s="157"/>
      <c r="O1437" s="157"/>
      <c r="P1437" s="159" t="s">
        <v>8146</v>
      </c>
      <c r="Q1437" s="157" t="s">
        <v>2115</v>
      </c>
      <c r="R1437" s="157" t="s">
        <v>8292</v>
      </c>
      <c r="S1437" s="157" t="s">
        <v>8627</v>
      </c>
      <c r="T1437" s="157"/>
      <c r="U1437" s="159" t="s">
        <v>2129</v>
      </c>
      <c r="V1437" s="159" t="s">
        <v>2129</v>
      </c>
      <c r="W1437" s="159" t="s">
        <v>2138</v>
      </c>
      <c r="X1437" s="160">
        <v>1</v>
      </c>
      <c r="Y1437" s="160">
        <v>1</v>
      </c>
      <c r="Z1437" s="160">
        <v>1</v>
      </c>
      <c r="AA1437" s="160">
        <v>1</v>
      </c>
    </row>
    <row r="1438" spans="1:27" ht="18" customHeight="1" x14ac:dyDescent="0.25">
      <c r="A1438" s="159">
        <v>3238</v>
      </c>
      <c r="B1438" s="164" t="s">
        <v>266</v>
      </c>
      <c r="C1438" s="164" t="s">
        <v>519</v>
      </c>
      <c r="D1438" s="159" t="s">
        <v>1159</v>
      </c>
      <c r="E1438" s="164" t="s">
        <v>1157</v>
      </c>
      <c r="F1438" s="159"/>
      <c r="G1438" s="157" t="s">
        <v>1349</v>
      </c>
      <c r="H1438" s="157" t="s">
        <v>1350</v>
      </c>
      <c r="I1438" s="157" t="s">
        <v>2060</v>
      </c>
      <c r="J1438" s="157" t="s">
        <v>8295</v>
      </c>
      <c r="K1438" s="157" t="s">
        <v>1554</v>
      </c>
      <c r="L1438" s="157" t="s">
        <v>2066</v>
      </c>
      <c r="M1438" s="157" t="str">
        <f t="shared" si="32"/>
        <v>Short/Mid Range Radar L / Radar +108° - Distance Measurements</v>
      </c>
      <c r="N1438" s="157"/>
      <c r="O1438" s="157"/>
      <c r="P1438" s="159" t="s">
        <v>8146</v>
      </c>
      <c r="Q1438" s="157" t="s">
        <v>2115</v>
      </c>
      <c r="R1438" s="157" t="s">
        <v>8292</v>
      </c>
      <c r="S1438" s="157" t="s">
        <v>8627</v>
      </c>
      <c r="T1438" s="157"/>
      <c r="U1438" s="159" t="s">
        <v>2129</v>
      </c>
      <c r="V1438" s="159" t="s">
        <v>2129</v>
      </c>
      <c r="W1438" s="159" t="s">
        <v>2138</v>
      </c>
      <c r="X1438" s="160">
        <v>1</v>
      </c>
      <c r="Y1438" s="160">
        <v>1</v>
      </c>
      <c r="Z1438" s="160">
        <v>1</v>
      </c>
      <c r="AA1438" s="160">
        <v>1</v>
      </c>
    </row>
    <row r="1439" spans="1:27" ht="18" customHeight="1" x14ac:dyDescent="0.25">
      <c r="A1439" s="159">
        <v>3240</v>
      </c>
      <c r="B1439" s="164" t="s">
        <v>266</v>
      </c>
      <c r="C1439" s="164" t="s">
        <v>276</v>
      </c>
      <c r="D1439" s="159" t="s">
        <v>303</v>
      </c>
      <c r="E1439" s="164" t="s">
        <v>301</v>
      </c>
      <c r="F1439" s="159"/>
      <c r="G1439" s="157" t="s">
        <v>1349</v>
      </c>
      <c r="H1439" s="157" t="s">
        <v>1418</v>
      </c>
      <c r="I1439" s="157" t="s">
        <v>1349</v>
      </c>
      <c r="J1439" s="157" t="s">
        <v>8298</v>
      </c>
      <c r="K1439" s="157" t="s">
        <v>1554</v>
      </c>
      <c r="L1439" s="157" t="s">
        <v>2067</v>
      </c>
      <c r="M1439" s="157" t="str">
        <f t="shared" si="32"/>
        <v>Short/Mid Range Radar RR / Radar -176° - Drive Assistance</v>
      </c>
      <c r="N1439" s="157"/>
      <c r="O1439" s="157"/>
      <c r="P1439" s="159" t="s">
        <v>5170</v>
      </c>
      <c r="Q1439" s="157" t="s">
        <v>2115</v>
      </c>
      <c r="R1439" s="157" t="s">
        <v>8292</v>
      </c>
      <c r="S1439" s="157" t="s">
        <v>8627</v>
      </c>
      <c r="T1439" s="157"/>
      <c r="U1439" s="159" t="s">
        <v>2129</v>
      </c>
      <c r="V1439" s="159" t="s">
        <v>2129</v>
      </c>
      <c r="W1439" s="159" t="s">
        <v>2138</v>
      </c>
      <c r="X1439" s="160">
        <v>1</v>
      </c>
      <c r="Y1439" s="160">
        <v>1</v>
      </c>
      <c r="Z1439" s="160">
        <v>1</v>
      </c>
      <c r="AA1439" s="160">
        <v>1</v>
      </c>
    </row>
    <row r="1440" spans="1:27" ht="18" customHeight="1" x14ac:dyDescent="0.25">
      <c r="A1440" s="159">
        <v>3240</v>
      </c>
      <c r="B1440" s="164" t="s">
        <v>266</v>
      </c>
      <c r="C1440" s="164" t="s">
        <v>276</v>
      </c>
      <c r="D1440" s="159" t="s">
        <v>310</v>
      </c>
      <c r="E1440" s="164" t="s">
        <v>308</v>
      </c>
      <c r="F1440" s="159"/>
      <c r="G1440" s="157" t="s">
        <v>1349</v>
      </c>
      <c r="H1440" s="157" t="s">
        <v>1418</v>
      </c>
      <c r="I1440" s="157" t="s">
        <v>1349</v>
      </c>
      <c r="J1440" s="157" t="s">
        <v>8298</v>
      </c>
      <c r="K1440" s="157" t="s">
        <v>1554</v>
      </c>
      <c r="L1440" s="157" t="s">
        <v>2067</v>
      </c>
      <c r="M1440" s="157" t="str">
        <f t="shared" si="32"/>
        <v>Short/Mid Range Radar RR / Radar -176° - Drive Assistance</v>
      </c>
      <c r="N1440" s="157"/>
      <c r="O1440" s="157"/>
      <c r="P1440" s="159" t="s">
        <v>5170</v>
      </c>
      <c r="Q1440" s="157" t="s">
        <v>2115</v>
      </c>
      <c r="R1440" s="157" t="s">
        <v>8292</v>
      </c>
      <c r="S1440" s="157" t="s">
        <v>8627</v>
      </c>
      <c r="T1440" s="157"/>
      <c r="U1440" s="159" t="s">
        <v>2129</v>
      </c>
      <c r="V1440" s="159" t="s">
        <v>2129</v>
      </c>
      <c r="W1440" s="159" t="s">
        <v>2138</v>
      </c>
      <c r="X1440" s="160">
        <v>1</v>
      </c>
      <c r="Y1440" s="160">
        <v>1</v>
      </c>
      <c r="Z1440" s="160">
        <v>1</v>
      </c>
      <c r="AA1440" s="160">
        <v>1</v>
      </c>
    </row>
    <row r="1441" spans="1:27" ht="18" customHeight="1" x14ac:dyDescent="0.25">
      <c r="A1441" s="159">
        <v>3240</v>
      </c>
      <c r="B1441" s="164" t="s">
        <v>266</v>
      </c>
      <c r="C1441" s="164" t="s">
        <v>276</v>
      </c>
      <c r="D1441" s="159" t="s">
        <v>686</v>
      </c>
      <c r="E1441" s="164" t="s">
        <v>684</v>
      </c>
      <c r="F1441" s="159"/>
      <c r="G1441" s="157" t="s">
        <v>1349</v>
      </c>
      <c r="H1441" s="157" t="s">
        <v>1418</v>
      </c>
      <c r="I1441" s="157" t="s">
        <v>1349</v>
      </c>
      <c r="J1441" s="157" t="s">
        <v>8298</v>
      </c>
      <c r="K1441" s="157" t="s">
        <v>1554</v>
      </c>
      <c r="L1441" s="157" t="s">
        <v>2067</v>
      </c>
      <c r="M1441" s="157" t="str">
        <f t="shared" si="32"/>
        <v>Short/Mid Range Radar RR / Radar -176° - Drive Assistance</v>
      </c>
      <c r="N1441" s="157"/>
      <c r="O1441" s="157"/>
      <c r="P1441" s="159" t="s">
        <v>5170</v>
      </c>
      <c r="Q1441" s="157" t="s">
        <v>2115</v>
      </c>
      <c r="R1441" s="157" t="s">
        <v>8292</v>
      </c>
      <c r="S1441" s="157" t="s">
        <v>8627</v>
      </c>
      <c r="T1441" s="157"/>
      <c r="U1441" s="159" t="s">
        <v>2129</v>
      </c>
      <c r="V1441" s="159" t="s">
        <v>2129</v>
      </c>
      <c r="W1441" s="159" t="s">
        <v>2138</v>
      </c>
      <c r="X1441" s="160">
        <v>1</v>
      </c>
      <c r="Y1441" s="160">
        <v>1</v>
      </c>
      <c r="Z1441" s="160">
        <v>1</v>
      </c>
      <c r="AA1441" s="160">
        <v>1</v>
      </c>
    </row>
    <row r="1442" spans="1:27" ht="18" customHeight="1" x14ac:dyDescent="0.25">
      <c r="A1442" s="159">
        <v>3240</v>
      </c>
      <c r="B1442" s="164" t="s">
        <v>266</v>
      </c>
      <c r="C1442" s="164" t="s">
        <v>276</v>
      </c>
      <c r="D1442" s="159" t="s">
        <v>304</v>
      </c>
      <c r="E1442" s="164" t="s">
        <v>1239</v>
      </c>
      <c r="F1442" s="159"/>
      <c r="G1442" s="157" t="s">
        <v>1349</v>
      </c>
      <c r="H1442" s="157" t="s">
        <v>1418</v>
      </c>
      <c r="I1442" s="157" t="s">
        <v>1349</v>
      </c>
      <c r="J1442" s="157" t="s">
        <v>8298</v>
      </c>
      <c r="K1442" s="157" t="s">
        <v>1554</v>
      </c>
      <c r="L1442" s="157" t="s">
        <v>2067</v>
      </c>
      <c r="M1442" s="157" t="str">
        <f t="shared" si="32"/>
        <v>Short/Mid Range Radar RR / Radar -176° - Drive Assistance</v>
      </c>
      <c r="N1442" s="157"/>
      <c r="O1442" s="157"/>
      <c r="P1442" s="159" t="s">
        <v>5170</v>
      </c>
      <c r="Q1442" s="157" t="s">
        <v>2115</v>
      </c>
      <c r="R1442" s="157" t="s">
        <v>8292</v>
      </c>
      <c r="S1442" s="157" t="s">
        <v>8627</v>
      </c>
      <c r="T1442" s="157"/>
      <c r="U1442" s="159" t="s">
        <v>2129</v>
      </c>
      <c r="V1442" s="159" t="s">
        <v>2129</v>
      </c>
      <c r="W1442" s="159" t="s">
        <v>2138</v>
      </c>
      <c r="X1442" s="160">
        <v>1</v>
      </c>
      <c r="Y1442" s="160">
        <v>1</v>
      </c>
      <c r="Z1442" s="160">
        <v>1</v>
      </c>
      <c r="AA1442" s="160">
        <v>1</v>
      </c>
    </row>
    <row r="1443" spans="1:27" ht="18" customHeight="1" x14ac:dyDescent="0.25">
      <c r="A1443" s="159">
        <v>3240</v>
      </c>
      <c r="B1443" s="164" t="s">
        <v>266</v>
      </c>
      <c r="C1443" s="164" t="s">
        <v>267</v>
      </c>
      <c r="D1443" s="159" t="s">
        <v>270</v>
      </c>
      <c r="E1443" s="164" t="s">
        <v>268</v>
      </c>
      <c r="F1443" s="159"/>
      <c r="G1443" s="157" t="s">
        <v>1349</v>
      </c>
      <c r="H1443" s="157" t="s">
        <v>1418</v>
      </c>
      <c r="I1443" s="157" t="s">
        <v>1349</v>
      </c>
      <c r="J1443" s="157" t="s">
        <v>8298</v>
      </c>
      <c r="K1443" s="157" t="s">
        <v>1554</v>
      </c>
      <c r="L1443" s="157" t="s">
        <v>2067</v>
      </c>
      <c r="M1443" s="157" t="str">
        <f t="shared" si="32"/>
        <v>Short/Mid Range Radar RR / Radar -176° - Drive Assistance</v>
      </c>
      <c r="N1443" s="157"/>
      <c r="O1443" s="157"/>
      <c r="P1443" s="159" t="s">
        <v>5170</v>
      </c>
      <c r="Q1443" s="157" t="s">
        <v>2115</v>
      </c>
      <c r="R1443" s="157" t="s">
        <v>8292</v>
      </c>
      <c r="S1443" s="157" t="s">
        <v>8627</v>
      </c>
      <c r="T1443" s="157"/>
      <c r="U1443" s="159" t="s">
        <v>2129</v>
      </c>
      <c r="V1443" s="159" t="s">
        <v>2129</v>
      </c>
      <c r="W1443" s="159" t="s">
        <v>2138</v>
      </c>
      <c r="X1443" s="160">
        <v>1</v>
      </c>
      <c r="Y1443" s="160">
        <v>1</v>
      </c>
      <c r="Z1443" s="160">
        <v>1</v>
      </c>
      <c r="AA1443" s="160">
        <v>1</v>
      </c>
    </row>
    <row r="1444" spans="1:27" ht="18" customHeight="1" x14ac:dyDescent="0.25">
      <c r="A1444" s="159">
        <v>3240</v>
      </c>
      <c r="B1444" s="164" t="s">
        <v>266</v>
      </c>
      <c r="C1444" s="164" t="s">
        <v>267</v>
      </c>
      <c r="D1444" s="159" t="s">
        <v>906</v>
      </c>
      <c r="E1444" s="164" t="s">
        <v>904</v>
      </c>
      <c r="F1444" s="159"/>
      <c r="G1444" s="157" t="s">
        <v>1349</v>
      </c>
      <c r="H1444" s="157" t="s">
        <v>1418</v>
      </c>
      <c r="I1444" s="157" t="s">
        <v>1349</v>
      </c>
      <c r="J1444" s="157" t="s">
        <v>8298</v>
      </c>
      <c r="K1444" s="157" t="s">
        <v>1554</v>
      </c>
      <c r="L1444" s="157" t="s">
        <v>2067</v>
      </c>
      <c r="M1444" s="157" t="str">
        <f t="shared" si="32"/>
        <v>Short/Mid Range Radar RR / Radar -176° - Drive Assistance</v>
      </c>
      <c r="N1444" s="157"/>
      <c r="O1444" s="157"/>
      <c r="P1444" s="159" t="s">
        <v>5170</v>
      </c>
      <c r="Q1444" s="157" t="s">
        <v>2115</v>
      </c>
      <c r="R1444" s="157" t="s">
        <v>8292</v>
      </c>
      <c r="S1444" s="157" t="s">
        <v>8627</v>
      </c>
      <c r="T1444" s="157"/>
      <c r="U1444" s="159" t="s">
        <v>2129</v>
      </c>
      <c r="V1444" s="159" t="s">
        <v>2129</v>
      </c>
      <c r="W1444" s="159" t="s">
        <v>2138</v>
      </c>
      <c r="X1444" s="160">
        <v>1</v>
      </c>
      <c r="Y1444" s="160">
        <v>1</v>
      </c>
      <c r="Z1444" s="160">
        <v>1</v>
      </c>
      <c r="AA1444" s="160">
        <v>1</v>
      </c>
    </row>
    <row r="1445" spans="1:27" ht="18" customHeight="1" x14ac:dyDescent="0.25">
      <c r="A1445" s="159">
        <v>3240</v>
      </c>
      <c r="B1445" s="164" t="s">
        <v>266</v>
      </c>
      <c r="C1445" s="164" t="s">
        <v>294</v>
      </c>
      <c r="D1445" s="159" t="s">
        <v>297</v>
      </c>
      <c r="E1445" s="164" t="s">
        <v>295</v>
      </c>
      <c r="F1445" s="159"/>
      <c r="G1445" s="157" t="s">
        <v>1349</v>
      </c>
      <c r="H1445" s="157" t="s">
        <v>1418</v>
      </c>
      <c r="I1445" s="157" t="s">
        <v>1349</v>
      </c>
      <c r="J1445" s="157" t="s">
        <v>8298</v>
      </c>
      <c r="K1445" s="157" t="s">
        <v>1554</v>
      </c>
      <c r="L1445" s="157" t="s">
        <v>2067</v>
      </c>
      <c r="M1445" s="157" t="str">
        <f t="shared" si="32"/>
        <v>Short/Mid Range Radar RR / Radar -176° - Drive Assistance</v>
      </c>
      <c r="N1445" s="157"/>
      <c r="O1445" s="157"/>
      <c r="P1445" s="159" t="s">
        <v>5170</v>
      </c>
      <c r="Q1445" s="157" t="s">
        <v>2115</v>
      </c>
      <c r="R1445" s="157" t="s">
        <v>8292</v>
      </c>
      <c r="S1445" s="157" t="s">
        <v>8627</v>
      </c>
      <c r="T1445" s="157"/>
      <c r="U1445" s="159" t="s">
        <v>2129</v>
      </c>
      <c r="V1445" s="159" t="s">
        <v>2129</v>
      </c>
      <c r="W1445" s="159" t="s">
        <v>2138</v>
      </c>
      <c r="X1445" s="160">
        <v>1</v>
      </c>
      <c r="Y1445" s="160">
        <v>1</v>
      </c>
      <c r="Z1445" s="160">
        <v>1</v>
      </c>
      <c r="AA1445" s="160">
        <v>1</v>
      </c>
    </row>
    <row r="1446" spans="1:27" ht="18" customHeight="1" x14ac:dyDescent="0.25">
      <c r="A1446" s="159">
        <v>3240</v>
      </c>
      <c r="B1446" s="164" t="s">
        <v>266</v>
      </c>
      <c r="C1446" s="164" t="s">
        <v>294</v>
      </c>
      <c r="D1446" s="159" t="s">
        <v>298</v>
      </c>
      <c r="E1446" s="164" t="s">
        <v>299</v>
      </c>
      <c r="F1446" s="159"/>
      <c r="G1446" s="157" t="s">
        <v>1349</v>
      </c>
      <c r="H1446" s="157" t="s">
        <v>1418</v>
      </c>
      <c r="I1446" s="157" t="s">
        <v>1349</v>
      </c>
      <c r="J1446" s="157" t="s">
        <v>8298</v>
      </c>
      <c r="K1446" s="157" t="s">
        <v>1554</v>
      </c>
      <c r="L1446" s="157" t="s">
        <v>2067</v>
      </c>
      <c r="M1446" s="157" t="str">
        <f t="shared" si="32"/>
        <v>Short/Mid Range Radar RR / Radar -176° - Drive Assistance</v>
      </c>
      <c r="N1446" s="157"/>
      <c r="O1446" s="157"/>
      <c r="P1446" s="159" t="s">
        <v>5170</v>
      </c>
      <c r="Q1446" s="157" t="s">
        <v>2115</v>
      </c>
      <c r="R1446" s="157" t="s">
        <v>8292</v>
      </c>
      <c r="S1446" s="157" t="s">
        <v>8627</v>
      </c>
      <c r="T1446" s="157"/>
      <c r="U1446" s="159" t="s">
        <v>2129</v>
      </c>
      <c r="V1446" s="159" t="s">
        <v>2129</v>
      </c>
      <c r="W1446" s="159" t="s">
        <v>2138</v>
      </c>
      <c r="X1446" s="160">
        <v>1</v>
      </c>
      <c r="Y1446" s="160">
        <v>1</v>
      </c>
      <c r="Z1446" s="160">
        <v>1</v>
      </c>
      <c r="AA1446" s="160">
        <v>1</v>
      </c>
    </row>
    <row r="1447" spans="1:27" ht="18" customHeight="1" x14ac:dyDescent="0.25">
      <c r="A1447" s="159">
        <v>3240</v>
      </c>
      <c r="B1447" s="164" t="s">
        <v>266</v>
      </c>
      <c r="C1447" s="164" t="s">
        <v>294</v>
      </c>
      <c r="D1447" s="159" t="s">
        <v>503</v>
      </c>
      <c r="E1447" s="164" t="s">
        <v>501</v>
      </c>
      <c r="F1447" s="159"/>
      <c r="G1447" s="157" t="s">
        <v>1349</v>
      </c>
      <c r="H1447" s="157" t="s">
        <v>1418</v>
      </c>
      <c r="I1447" s="157" t="s">
        <v>1349</v>
      </c>
      <c r="J1447" s="157" t="s">
        <v>8298</v>
      </c>
      <c r="K1447" s="157" t="s">
        <v>1554</v>
      </c>
      <c r="L1447" s="157" t="s">
        <v>2067</v>
      </c>
      <c r="M1447" s="157" t="str">
        <f t="shared" si="32"/>
        <v>Short/Mid Range Radar RR / Radar -176° - Drive Assistance</v>
      </c>
      <c r="N1447" s="157"/>
      <c r="O1447" s="157"/>
      <c r="P1447" s="159" t="s">
        <v>5170</v>
      </c>
      <c r="Q1447" s="157" t="s">
        <v>2115</v>
      </c>
      <c r="R1447" s="157" t="s">
        <v>8292</v>
      </c>
      <c r="S1447" s="157" t="s">
        <v>8627</v>
      </c>
      <c r="T1447" s="157"/>
      <c r="U1447" s="159" t="s">
        <v>2129</v>
      </c>
      <c r="V1447" s="159" t="s">
        <v>2129</v>
      </c>
      <c r="W1447" s="159" t="s">
        <v>2138</v>
      </c>
      <c r="X1447" s="160">
        <v>1</v>
      </c>
      <c r="Y1447" s="160">
        <v>1</v>
      </c>
      <c r="Z1447" s="160">
        <v>1</v>
      </c>
      <c r="AA1447" s="160">
        <v>1</v>
      </c>
    </row>
    <row r="1448" spans="1:27" ht="18" customHeight="1" x14ac:dyDescent="0.25">
      <c r="A1448" s="159">
        <v>3240</v>
      </c>
      <c r="B1448" s="164" t="s">
        <v>266</v>
      </c>
      <c r="C1448" s="164" t="s">
        <v>294</v>
      </c>
      <c r="D1448" s="159" t="s">
        <v>692</v>
      </c>
      <c r="E1448" s="164" t="s">
        <v>690</v>
      </c>
      <c r="F1448" s="159"/>
      <c r="G1448" s="157" t="s">
        <v>1349</v>
      </c>
      <c r="H1448" s="157" t="s">
        <v>1418</v>
      </c>
      <c r="I1448" s="157" t="s">
        <v>1349</v>
      </c>
      <c r="J1448" s="157" t="s">
        <v>8298</v>
      </c>
      <c r="K1448" s="157" t="s">
        <v>1554</v>
      </c>
      <c r="L1448" s="157" t="s">
        <v>2067</v>
      </c>
      <c r="M1448" s="157" t="str">
        <f t="shared" si="32"/>
        <v>Short/Mid Range Radar RR / Radar -176° - Drive Assistance</v>
      </c>
      <c r="N1448" s="157"/>
      <c r="O1448" s="157"/>
      <c r="P1448" s="159" t="s">
        <v>5170</v>
      </c>
      <c r="Q1448" s="157" t="s">
        <v>2115</v>
      </c>
      <c r="R1448" s="157" t="s">
        <v>8292</v>
      </c>
      <c r="S1448" s="157" t="s">
        <v>8627</v>
      </c>
      <c r="T1448" s="157"/>
      <c r="U1448" s="159" t="s">
        <v>2129</v>
      </c>
      <c r="V1448" s="159" t="s">
        <v>2129</v>
      </c>
      <c r="W1448" s="159" t="s">
        <v>2138</v>
      </c>
      <c r="X1448" s="160">
        <v>1</v>
      </c>
      <c r="Y1448" s="160">
        <v>1</v>
      </c>
      <c r="Z1448" s="160">
        <v>1</v>
      </c>
      <c r="AA1448" s="160">
        <v>1</v>
      </c>
    </row>
    <row r="1449" spans="1:27" ht="18" customHeight="1" x14ac:dyDescent="0.25">
      <c r="A1449" s="159">
        <v>3240</v>
      </c>
      <c r="B1449" s="164" t="s">
        <v>266</v>
      </c>
      <c r="C1449" s="164" t="s">
        <v>294</v>
      </c>
      <c r="D1449" s="159" t="s">
        <v>1177</v>
      </c>
      <c r="E1449" s="164" t="s">
        <v>1175</v>
      </c>
      <c r="F1449" s="159"/>
      <c r="G1449" s="157" t="s">
        <v>1349</v>
      </c>
      <c r="H1449" s="157" t="s">
        <v>1418</v>
      </c>
      <c r="I1449" s="157" t="s">
        <v>1349</v>
      </c>
      <c r="J1449" s="157" t="s">
        <v>8298</v>
      </c>
      <c r="K1449" s="157" t="s">
        <v>1554</v>
      </c>
      <c r="L1449" s="157" t="s">
        <v>2067</v>
      </c>
      <c r="M1449" s="157" t="str">
        <f t="shared" si="32"/>
        <v>Short/Mid Range Radar RR / Radar -176° - Drive Assistance</v>
      </c>
      <c r="N1449" s="157"/>
      <c r="O1449" s="157"/>
      <c r="P1449" s="159" t="s">
        <v>5170</v>
      </c>
      <c r="Q1449" s="157" t="s">
        <v>2115</v>
      </c>
      <c r="R1449" s="157" t="s">
        <v>8292</v>
      </c>
      <c r="S1449" s="157" t="s">
        <v>8627</v>
      </c>
      <c r="T1449" s="157"/>
      <c r="U1449" s="159" t="s">
        <v>2129</v>
      </c>
      <c r="V1449" s="159" t="s">
        <v>2129</v>
      </c>
      <c r="W1449" s="159" t="s">
        <v>2138</v>
      </c>
      <c r="X1449" s="160">
        <v>1</v>
      </c>
      <c r="Y1449" s="160">
        <v>1</v>
      </c>
      <c r="Z1449" s="160">
        <v>1</v>
      </c>
      <c r="AA1449" s="160">
        <v>1</v>
      </c>
    </row>
    <row r="1450" spans="1:27" ht="18" customHeight="1" x14ac:dyDescent="0.25">
      <c r="A1450" s="159">
        <v>3240</v>
      </c>
      <c r="B1450" s="164" t="s">
        <v>266</v>
      </c>
      <c r="C1450" s="164" t="s">
        <v>294</v>
      </c>
      <c r="D1450" s="159" t="s">
        <v>1178</v>
      </c>
      <c r="E1450" s="164" t="s">
        <v>1179</v>
      </c>
      <c r="F1450" s="159"/>
      <c r="G1450" s="157" t="s">
        <v>1349</v>
      </c>
      <c r="H1450" s="157" t="s">
        <v>1418</v>
      </c>
      <c r="I1450" s="157" t="s">
        <v>1349</v>
      </c>
      <c r="J1450" s="157" t="s">
        <v>8298</v>
      </c>
      <c r="K1450" s="157" t="s">
        <v>1554</v>
      </c>
      <c r="L1450" s="157" t="s">
        <v>2067</v>
      </c>
      <c r="M1450" s="157" t="str">
        <f t="shared" si="32"/>
        <v>Short/Mid Range Radar RR / Radar -176° - Drive Assistance</v>
      </c>
      <c r="N1450" s="157"/>
      <c r="O1450" s="157"/>
      <c r="P1450" s="159" t="s">
        <v>5170</v>
      </c>
      <c r="Q1450" s="157" t="s">
        <v>2115</v>
      </c>
      <c r="R1450" s="157" t="s">
        <v>8292</v>
      </c>
      <c r="S1450" s="157" t="s">
        <v>8627</v>
      </c>
      <c r="T1450" s="157"/>
      <c r="U1450" s="159" t="s">
        <v>2129</v>
      </c>
      <c r="V1450" s="159" t="s">
        <v>2129</v>
      </c>
      <c r="W1450" s="159" t="s">
        <v>2138</v>
      </c>
      <c r="X1450" s="160">
        <v>1</v>
      </c>
      <c r="Y1450" s="160">
        <v>1</v>
      </c>
      <c r="Z1450" s="160">
        <v>1</v>
      </c>
      <c r="AA1450" s="160">
        <v>1</v>
      </c>
    </row>
    <row r="1451" spans="1:27" ht="18" customHeight="1" x14ac:dyDescent="0.25">
      <c r="A1451" s="159">
        <v>3240</v>
      </c>
      <c r="B1451" s="164" t="s">
        <v>266</v>
      </c>
      <c r="C1451" s="164" t="s">
        <v>294</v>
      </c>
      <c r="D1451" s="159" t="s">
        <v>1207</v>
      </c>
      <c r="E1451" s="164" t="s">
        <v>1205</v>
      </c>
      <c r="F1451" s="159"/>
      <c r="G1451" s="157" t="s">
        <v>1349</v>
      </c>
      <c r="H1451" s="157" t="s">
        <v>1418</v>
      </c>
      <c r="I1451" s="157" t="s">
        <v>1349</v>
      </c>
      <c r="J1451" s="157" t="s">
        <v>8298</v>
      </c>
      <c r="K1451" s="157" t="s">
        <v>1554</v>
      </c>
      <c r="L1451" s="157" t="s">
        <v>2067</v>
      </c>
      <c r="M1451" s="157" t="str">
        <f t="shared" si="32"/>
        <v>Short/Mid Range Radar RR / Radar -176° - Drive Assistance</v>
      </c>
      <c r="N1451" s="157"/>
      <c r="O1451" s="157"/>
      <c r="P1451" s="159" t="s">
        <v>5170</v>
      </c>
      <c r="Q1451" s="157" t="s">
        <v>2115</v>
      </c>
      <c r="R1451" s="157" t="s">
        <v>8292</v>
      </c>
      <c r="S1451" s="157" t="s">
        <v>8627</v>
      </c>
      <c r="T1451" s="157"/>
      <c r="U1451" s="159" t="s">
        <v>2129</v>
      </c>
      <c r="V1451" s="159" t="s">
        <v>2129</v>
      </c>
      <c r="W1451" s="159" t="s">
        <v>2138</v>
      </c>
      <c r="X1451" s="160">
        <v>1</v>
      </c>
      <c r="Y1451" s="160">
        <v>1</v>
      </c>
      <c r="Z1451" s="160">
        <v>1</v>
      </c>
      <c r="AA1451" s="160">
        <v>1</v>
      </c>
    </row>
    <row r="1452" spans="1:27" ht="18" customHeight="1" x14ac:dyDescent="0.25">
      <c r="A1452" s="159">
        <v>3240</v>
      </c>
      <c r="B1452" s="164" t="s">
        <v>266</v>
      </c>
      <c r="C1452" s="164" t="s">
        <v>514</v>
      </c>
      <c r="D1452" s="159" t="s">
        <v>517</v>
      </c>
      <c r="E1452" s="164" t="s">
        <v>515</v>
      </c>
      <c r="F1452" s="159"/>
      <c r="G1452" s="157" t="s">
        <v>1349</v>
      </c>
      <c r="H1452" s="157" t="s">
        <v>1418</v>
      </c>
      <c r="I1452" s="157" t="s">
        <v>1349</v>
      </c>
      <c r="J1452" s="157" t="s">
        <v>8298</v>
      </c>
      <c r="K1452" s="157" t="s">
        <v>1554</v>
      </c>
      <c r="L1452" s="157" t="s">
        <v>2067</v>
      </c>
      <c r="M1452" s="157" t="str">
        <f t="shared" si="32"/>
        <v>Short/Mid Range Radar RR / Radar -176° - Drive Assistance</v>
      </c>
      <c r="N1452" s="157"/>
      <c r="O1452" s="157"/>
      <c r="P1452" s="159" t="s">
        <v>5170</v>
      </c>
      <c r="Q1452" s="157" t="s">
        <v>2115</v>
      </c>
      <c r="R1452" s="157" t="s">
        <v>8292</v>
      </c>
      <c r="S1452" s="157" t="s">
        <v>8627</v>
      </c>
      <c r="T1452" s="157"/>
      <c r="U1452" s="159" t="s">
        <v>2129</v>
      </c>
      <c r="V1452" s="159" t="s">
        <v>2129</v>
      </c>
      <c r="W1452" s="159" t="s">
        <v>2138</v>
      </c>
      <c r="X1452" s="160">
        <v>1</v>
      </c>
      <c r="Y1452" s="160">
        <v>1</v>
      </c>
      <c r="Z1452" s="160">
        <v>1</v>
      </c>
      <c r="AA1452" s="160">
        <v>1</v>
      </c>
    </row>
    <row r="1453" spans="1:27" ht="18" customHeight="1" x14ac:dyDescent="0.25">
      <c r="A1453" s="159">
        <v>3240</v>
      </c>
      <c r="B1453" s="164" t="s">
        <v>266</v>
      </c>
      <c r="C1453" s="164" t="s">
        <v>514</v>
      </c>
      <c r="D1453" s="159" t="s">
        <v>730</v>
      </c>
      <c r="E1453" s="164" t="s">
        <v>728</v>
      </c>
      <c r="F1453" s="159"/>
      <c r="G1453" s="157" t="s">
        <v>1349</v>
      </c>
      <c r="H1453" s="157" t="s">
        <v>1418</v>
      </c>
      <c r="I1453" s="157" t="s">
        <v>1349</v>
      </c>
      <c r="J1453" s="157" t="s">
        <v>8298</v>
      </c>
      <c r="K1453" s="157" t="s">
        <v>1554</v>
      </c>
      <c r="L1453" s="157" t="s">
        <v>2067</v>
      </c>
      <c r="M1453" s="157" t="str">
        <f t="shared" si="32"/>
        <v>Short/Mid Range Radar RR / Radar -176° - Drive Assistance</v>
      </c>
      <c r="N1453" s="157"/>
      <c r="O1453" s="157"/>
      <c r="P1453" s="159" t="s">
        <v>5170</v>
      </c>
      <c r="Q1453" s="157" t="s">
        <v>2115</v>
      </c>
      <c r="R1453" s="157" t="s">
        <v>8292</v>
      </c>
      <c r="S1453" s="157" t="s">
        <v>8627</v>
      </c>
      <c r="T1453" s="157"/>
      <c r="U1453" s="159" t="s">
        <v>2129</v>
      </c>
      <c r="V1453" s="159" t="s">
        <v>2129</v>
      </c>
      <c r="W1453" s="159" t="s">
        <v>2138</v>
      </c>
      <c r="X1453" s="160">
        <v>1</v>
      </c>
      <c r="Y1453" s="160">
        <v>1</v>
      </c>
      <c r="Z1453" s="160">
        <v>1</v>
      </c>
      <c r="AA1453" s="160">
        <v>1</v>
      </c>
    </row>
    <row r="1454" spans="1:27" ht="18" customHeight="1" x14ac:dyDescent="0.25">
      <c r="A1454" s="159">
        <v>3240</v>
      </c>
      <c r="B1454" s="164" t="s">
        <v>266</v>
      </c>
      <c r="C1454" s="164" t="s">
        <v>514</v>
      </c>
      <c r="D1454" s="159" t="s">
        <v>793</v>
      </c>
      <c r="E1454" s="164" t="s">
        <v>791</v>
      </c>
      <c r="F1454" s="159"/>
      <c r="G1454" s="157" t="s">
        <v>1349</v>
      </c>
      <c r="H1454" s="157" t="s">
        <v>1418</v>
      </c>
      <c r="I1454" s="157" t="s">
        <v>1349</v>
      </c>
      <c r="J1454" s="157" t="s">
        <v>8298</v>
      </c>
      <c r="K1454" s="157" t="s">
        <v>1554</v>
      </c>
      <c r="L1454" s="157" t="s">
        <v>2067</v>
      </c>
      <c r="M1454" s="157" t="str">
        <f t="shared" si="32"/>
        <v>Short/Mid Range Radar RR / Radar -176° - Drive Assistance</v>
      </c>
      <c r="N1454" s="157"/>
      <c r="O1454" s="157"/>
      <c r="P1454" s="159" t="s">
        <v>5170</v>
      </c>
      <c r="Q1454" s="157" t="s">
        <v>2115</v>
      </c>
      <c r="R1454" s="157" t="s">
        <v>8292</v>
      </c>
      <c r="S1454" s="157" t="s">
        <v>8627</v>
      </c>
      <c r="T1454" s="157"/>
      <c r="U1454" s="159" t="s">
        <v>2129</v>
      </c>
      <c r="V1454" s="159" t="s">
        <v>2129</v>
      </c>
      <c r="W1454" s="159" t="s">
        <v>2138</v>
      </c>
      <c r="X1454" s="160">
        <v>1</v>
      </c>
      <c r="Y1454" s="160">
        <v>1</v>
      </c>
      <c r="Z1454" s="160">
        <v>1</v>
      </c>
      <c r="AA1454" s="160">
        <v>1</v>
      </c>
    </row>
    <row r="1455" spans="1:27" ht="18" customHeight="1" x14ac:dyDescent="0.25">
      <c r="A1455" s="159">
        <v>3240</v>
      </c>
      <c r="B1455" s="164" t="s">
        <v>266</v>
      </c>
      <c r="C1455" s="164" t="s">
        <v>514</v>
      </c>
      <c r="D1455" s="159" t="s">
        <v>731</v>
      </c>
      <c r="E1455" s="164" t="s">
        <v>795</v>
      </c>
      <c r="F1455" s="159"/>
      <c r="G1455" s="157" t="s">
        <v>1349</v>
      </c>
      <c r="H1455" s="157" t="s">
        <v>1418</v>
      </c>
      <c r="I1455" s="157" t="s">
        <v>1349</v>
      </c>
      <c r="J1455" s="157" t="s">
        <v>8298</v>
      </c>
      <c r="K1455" s="157" t="s">
        <v>1554</v>
      </c>
      <c r="L1455" s="157" t="s">
        <v>2067</v>
      </c>
      <c r="M1455" s="157" t="str">
        <f t="shared" si="32"/>
        <v>Short/Mid Range Radar RR / Radar -176° - Drive Assistance</v>
      </c>
      <c r="N1455" s="157"/>
      <c r="O1455" s="157"/>
      <c r="P1455" s="159" t="s">
        <v>5170</v>
      </c>
      <c r="Q1455" s="157" t="s">
        <v>2115</v>
      </c>
      <c r="R1455" s="157" t="s">
        <v>8292</v>
      </c>
      <c r="S1455" s="157" t="s">
        <v>8627</v>
      </c>
      <c r="T1455" s="157"/>
      <c r="U1455" s="159" t="s">
        <v>2129</v>
      </c>
      <c r="V1455" s="159" t="s">
        <v>2129</v>
      </c>
      <c r="W1455" s="159" t="s">
        <v>2138</v>
      </c>
      <c r="X1455" s="160">
        <v>1</v>
      </c>
      <c r="Y1455" s="160">
        <v>1</v>
      </c>
      <c r="Z1455" s="160">
        <v>1</v>
      </c>
      <c r="AA1455" s="160">
        <v>1</v>
      </c>
    </row>
    <row r="1456" spans="1:27" ht="18" customHeight="1" x14ac:dyDescent="0.25">
      <c r="A1456" s="159">
        <v>3240</v>
      </c>
      <c r="B1456" s="164" t="s">
        <v>266</v>
      </c>
      <c r="C1456" s="164" t="s">
        <v>514</v>
      </c>
      <c r="D1456" s="159" t="s">
        <v>1170</v>
      </c>
      <c r="E1456" s="164" t="s">
        <v>1168</v>
      </c>
      <c r="F1456" s="159"/>
      <c r="G1456" s="157" t="s">
        <v>1349</v>
      </c>
      <c r="H1456" s="157" t="s">
        <v>1418</v>
      </c>
      <c r="I1456" s="157" t="s">
        <v>1349</v>
      </c>
      <c r="J1456" s="157" t="s">
        <v>8298</v>
      </c>
      <c r="K1456" s="157" t="s">
        <v>1554</v>
      </c>
      <c r="L1456" s="157" t="s">
        <v>2067</v>
      </c>
      <c r="M1456" s="157" t="str">
        <f t="shared" si="32"/>
        <v>Short/Mid Range Radar RR / Radar -176° - Drive Assistance</v>
      </c>
      <c r="N1456" s="157"/>
      <c r="O1456" s="157"/>
      <c r="P1456" s="159" t="s">
        <v>5170</v>
      </c>
      <c r="Q1456" s="157" t="s">
        <v>2115</v>
      </c>
      <c r="R1456" s="157" t="s">
        <v>8292</v>
      </c>
      <c r="S1456" s="157" t="s">
        <v>8627</v>
      </c>
      <c r="T1456" s="157"/>
      <c r="U1456" s="159" t="s">
        <v>2129</v>
      </c>
      <c r="V1456" s="159" t="s">
        <v>2129</v>
      </c>
      <c r="W1456" s="159" t="s">
        <v>2138</v>
      </c>
      <c r="X1456" s="160">
        <v>1</v>
      </c>
      <c r="Y1456" s="160">
        <v>1</v>
      </c>
      <c r="Z1456" s="160">
        <v>1</v>
      </c>
      <c r="AA1456" s="160">
        <v>1</v>
      </c>
    </row>
    <row r="1457" spans="1:27" ht="18" customHeight="1" x14ac:dyDescent="0.25">
      <c r="A1457" s="159">
        <v>3240</v>
      </c>
      <c r="B1457" s="164" t="s">
        <v>266</v>
      </c>
      <c r="C1457" s="164" t="s">
        <v>514</v>
      </c>
      <c r="D1457" s="159" t="s">
        <v>1171</v>
      </c>
      <c r="E1457" s="164" t="s">
        <v>1223</v>
      </c>
      <c r="F1457" s="159"/>
      <c r="G1457" s="157" t="s">
        <v>1349</v>
      </c>
      <c r="H1457" s="157" t="s">
        <v>1418</v>
      </c>
      <c r="I1457" s="157" t="s">
        <v>1349</v>
      </c>
      <c r="J1457" s="157" t="s">
        <v>8298</v>
      </c>
      <c r="K1457" s="157" t="s">
        <v>1554</v>
      </c>
      <c r="L1457" s="157" t="s">
        <v>2067</v>
      </c>
      <c r="M1457" s="157" t="str">
        <f t="shared" si="32"/>
        <v>Short/Mid Range Radar RR / Radar -176° - Drive Assistance</v>
      </c>
      <c r="N1457" s="157"/>
      <c r="O1457" s="157"/>
      <c r="P1457" s="159" t="s">
        <v>5170</v>
      </c>
      <c r="Q1457" s="157" t="s">
        <v>2115</v>
      </c>
      <c r="R1457" s="157" t="s">
        <v>8292</v>
      </c>
      <c r="S1457" s="157" t="s">
        <v>8627</v>
      </c>
      <c r="T1457" s="157"/>
      <c r="U1457" s="159" t="s">
        <v>2129</v>
      </c>
      <c r="V1457" s="159" t="s">
        <v>2129</v>
      </c>
      <c r="W1457" s="159" t="s">
        <v>2138</v>
      </c>
      <c r="X1457" s="160">
        <v>1</v>
      </c>
      <c r="Y1457" s="160">
        <v>1</v>
      </c>
      <c r="Z1457" s="160">
        <v>1</v>
      </c>
      <c r="AA1457" s="160">
        <v>1</v>
      </c>
    </row>
    <row r="1458" spans="1:27" ht="18" customHeight="1" x14ac:dyDescent="0.25">
      <c r="A1458" s="159">
        <v>3240</v>
      </c>
      <c r="B1458" s="164" t="s">
        <v>266</v>
      </c>
      <c r="C1458" s="164" t="s">
        <v>519</v>
      </c>
      <c r="D1458" s="159" t="s">
        <v>522</v>
      </c>
      <c r="E1458" s="164" t="s">
        <v>520</v>
      </c>
      <c r="F1458" s="159"/>
      <c r="G1458" s="157" t="s">
        <v>1349</v>
      </c>
      <c r="H1458" s="157" t="s">
        <v>1418</v>
      </c>
      <c r="I1458" s="157" t="s">
        <v>1349</v>
      </c>
      <c r="J1458" s="157" t="s">
        <v>8298</v>
      </c>
      <c r="K1458" s="157" t="s">
        <v>1554</v>
      </c>
      <c r="L1458" s="157" t="s">
        <v>2067</v>
      </c>
      <c r="M1458" s="157" t="str">
        <f t="shared" si="32"/>
        <v>Short/Mid Range Radar RR / Radar -176° - Drive Assistance</v>
      </c>
      <c r="N1458" s="157"/>
      <c r="O1458" s="157"/>
      <c r="P1458" s="159" t="s">
        <v>5170</v>
      </c>
      <c r="Q1458" s="157" t="s">
        <v>2115</v>
      </c>
      <c r="R1458" s="157" t="s">
        <v>8292</v>
      </c>
      <c r="S1458" s="157" t="s">
        <v>8627</v>
      </c>
      <c r="T1458" s="157"/>
      <c r="U1458" s="159" t="s">
        <v>2129</v>
      </c>
      <c r="V1458" s="159" t="s">
        <v>2129</v>
      </c>
      <c r="W1458" s="159" t="s">
        <v>2138</v>
      </c>
      <c r="X1458" s="160">
        <v>1</v>
      </c>
      <c r="Y1458" s="160">
        <v>1</v>
      </c>
      <c r="Z1458" s="160">
        <v>1</v>
      </c>
      <c r="AA1458" s="160">
        <v>1</v>
      </c>
    </row>
    <row r="1459" spans="1:27" ht="18" customHeight="1" x14ac:dyDescent="0.25">
      <c r="A1459" s="159">
        <v>3240</v>
      </c>
      <c r="B1459" s="164" t="s">
        <v>266</v>
      </c>
      <c r="C1459" s="164" t="s">
        <v>519</v>
      </c>
      <c r="D1459" s="159" t="s">
        <v>526</v>
      </c>
      <c r="E1459" s="164" t="s">
        <v>524</v>
      </c>
      <c r="F1459" s="159"/>
      <c r="G1459" s="157" t="s">
        <v>1349</v>
      </c>
      <c r="H1459" s="157" t="s">
        <v>1418</v>
      </c>
      <c r="I1459" s="157" t="s">
        <v>1349</v>
      </c>
      <c r="J1459" s="157" t="s">
        <v>8298</v>
      </c>
      <c r="K1459" s="157" t="s">
        <v>1554</v>
      </c>
      <c r="L1459" s="157" t="s">
        <v>2067</v>
      </c>
      <c r="M1459" s="157" t="str">
        <f t="shared" si="32"/>
        <v>Short/Mid Range Radar RR / Radar -176° - Drive Assistance</v>
      </c>
      <c r="N1459" s="157"/>
      <c r="O1459" s="157"/>
      <c r="P1459" s="159" t="s">
        <v>5170</v>
      </c>
      <c r="Q1459" s="157" t="s">
        <v>2115</v>
      </c>
      <c r="R1459" s="157" t="s">
        <v>8292</v>
      </c>
      <c r="S1459" s="157" t="s">
        <v>8627</v>
      </c>
      <c r="T1459" s="157"/>
      <c r="U1459" s="159" t="s">
        <v>2129</v>
      </c>
      <c r="V1459" s="159" t="s">
        <v>2129</v>
      </c>
      <c r="W1459" s="159" t="s">
        <v>2138</v>
      </c>
      <c r="X1459" s="160">
        <v>1</v>
      </c>
      <c r="Y1459" s="160">
        <v>1</v>
      </c>
      <c r="Z1459" s="160">
        <v>1</v>
      </c>
      <c r="AA1459" s="160">
        <v>1</v>
      </c>
    </row>
    <row r="1460" spans="1:27" ht="18" customHeight="1" x14ac:dyDescent="0.25">
      <c r="A1460" s="159">
        <v>3240</v>
      </c>
      <c r="B1460" s="164" t="s">
        <v>266</v>
      </c>
      <c r="C1460" s="164" t="s">
        <v>519</v>
      </c>
      <c r="D1460" s="159" t="s">
        <v>530</v>
      </c>
      <c r="E1460" s="164" t="s">
        <v>528</v>
      </c>
      <c r="F1460" s="159"/>
      <c r="G1460" s="157" t="s">
        <v>1349</v>
      </c>
      <c r="H1460" s="157" t="s">
        <v>1418</v>
      </c>
      <c r="I1460" s="157" t="s">
        <v>1349</v>
      </c>
      <c r="J1460" s="157" t="s">
        <v>8298</v>
      </c>
      <c r="K1460" s="157" t="s">
        <v>1554</v>
      </c>
      <c r="L1460" s="157" t="s">
        <v>2067</v>
      </c>
      <c r="M1460" s="157" t="str">
        <f t="shared" si="32"/>
        <v>Short/Mid Range Radar RR / Radar -176° - Drive Assistance</v>
      </c>
      <c r="N1460" s="157"/>
      <c r="O1460" s="157"/>
      <c r="P1460" s="159" t="s">
        <v>5170</v>
      </c>
      <c r="Q1460" s="157" t="s">
        <v>2115</v>
      </c>
      <c r="R1460" s="157" t="s">
        <v>8292</v>
      </c>
      <c r="S1460" s="157" t="s">
        <v>8627</v>
      </c>
      <c r="T1460" s="157"/>
      <c r="U1460" s="159" t="s">
        <v>2129</v>
      </c>
      <c r="V1460" s="159" t="s">
        <v>2129</v>
      </c>
      <c r="W1460" s="159" t="s">
        <v>2138</v>
      </c>
      <c r="X1460" s="160">
        <v>1</v>
      </c>
      <c r="Y1460" s="160">
        <v>1</v>
      </c>
      <c r="Z1460" s="160">
        <v>1</v>
      </c>
      <c r="AA1460" s="160">
        <v>1</v>
      </c>
    </row>
    <row r="1461" spans="1:27" ht="18" customHeight="1" x14ac:dyDescent="0.25">
      <c r="A1461" s="159">
        <v>3240</v>
      </c>
      <c r="B1461" s="164" t="s">
        <v>266</v>
      </c>
      <c r="C1461" s="164" t="s">
        <v>519</v>
      </c>
      <c r="D1461" s="159" t="s">
        <v>787</v>
      </c>
      <c r="E1461" s="164" t="s">
        <v>785</v>
      </c>
      <c r="F1461" s="159"/>
      <c r="G1461" s="157" t="s">
        <v>1349</v>
      </c>
      <c r="H1461" s="157" t="s">
        <v>1418</v>
      </c>
      <c r="I1461" s="157" t="s">
        <v>1349</v>
      </c>
      <c r="J1461" s="157" t="s">
        <v>8298</v>
      </c>
      <c r="K1461" s="157" t="s">
        <v>1554</v>
      </c>
      <c r="L1461" s="157" t="s">
        <v>2067</v>
      </c>
      <c r="M1461" s="157" t="str">
        <f t="shared" si="32"/>
        <v>Short/Mid Range Radar RR / Radar -176° - Drive Assistance</v>
      </c>
      <c r="N1461" s="157"/>
      <c r="O1461" s="157"/>
      <c r="P1461" s="159" t="s">
        <v>5170</v>
      </c>
      <c r="Q1461" s="157" t="s">
        <v>2115</v>
      </c>
      <c r="R1461" s="157" t="s">
        <v>8292</v>
      </c>
      <c r="S1461" s="157" t="s">
        <v>8627</v>
      </c>
      <c r="T1461" s="157"/>
      <c r="U1461" s="159" t="s">
        <v>2129</v>
      </c>
      <c r="V1461" s="159" t="s">
        <v>2129</v>
      </c>
      <c r="W1461" s="159" t="s">
        <v>2138</v>
      </c>
      <c r="X1461" s="160">
        <v>1</v>
      </c>
      <c r="Y1461" s="160">
        <v>1</v>
      </c>
      <c r="Z1461" s="160">
        <v>1</v>
      </c>
      <c r="AA1461" s="160">
        <v>1</v>
      </c>
    </row>
    <row r="1462" spans="1:27" ht="18" customHeight="1" x14ac:dyDescent="0.25">
      <c r="A1462" s="159">
        <v>3240</v>
      </c>
      <c r="B1462" s="164" t="s">
        <v>266</v>
      </c>
      <c r="C1462" s="164" t="s">
        <v>519</v>
      </c>
      <c r="D1462" s="159" t="s">
        <v>935</v>
      </c>
      <c r="E1462" s="164" t="s">
        <v>933</v>
      </c>
      <c r="F1462" s="159"/>
      <c r="G1462" s="157" t="s">
        <v>1349</v>
      </c>
      <c r="H1462" s="157" t="s">
        <v>1418</v>
      </c>
      <c r="I1462" s="157" t="s">
        <v>1349</v>
      </c>
      <c r="J1462" s="157" t="s">
        <v>8298</v>
      </c>
      <c r="K1462" s="157" t="s">
        <v>1554</v>
      </c>
      <c r="L1462" s="157" t="s">
        <v>2067</v>
      </c>
      <c r="M1462" s="157" t="str">
        <f t="shared" si="32"/>
        <v>Short/Mid Range Radar RR / Radar -176° - Drive Assistance</v>
      </c>
      <c r="N1462" s="157"/>
      <c r="O1462" s="157"/>
      <c r="P1462" s="159" t="s">
        <v>5170</v>
      </c>
      <c r="Q1462" s="157" t="s">
        <v>2115</v>
      </c>
      <c r="R1462" s="157" t="s">
        <v>8292</v>
      </c>
      <c r="S1462" s="157" t="s">
        <v>8627</v>
      </c>
      <c r="T1462" s="157"/>
      <c r="U1462" s="159" t="s">
        <v>2129</v>
      </c>
      <c r="V1462" s="159" t="s">
        <v>2129</v>
      </c>
      <c r="W1462" s="159" t="s">
        <v>2138</v>
      </c>
      <c r="X1462" s="160">
        <v>1</v>
      </c>
      <c r="Y1462" s="160">
        <v>1</v>
      </c>
      <c r="Z1462" s="160">
        <v>1</v>
      </c>
      <c r="AA1462" s="160">
        <v>1</v>
      </c>
    </row>
    <row r="1463" spans="1:27" ht="18" customHeight="1" x14ac:dyDescent="0.25">
      <c r="A1463" s="159">
        <v>3240</v>
      </c>
      <c r="B1463" s="164" t="s">
        <v>266</v>
      </c>
      <c r="C1463" s="164" t="s">
        <v>519</v>
      </c>
      <c r="D1463" s="159" t="s">
        <v>1151</v>
      </c>
      <c r="E1463" s="164" t="s">
        <v>1149</v>
      </c>
      <c r="F1463" s="159"/>
      <c r="G1463" s="157" t="s">
        <v>1349</v>
      </c>
      <c r="H1463" s="157" t="s">
        <v>1418</v>
      </c>
      <c r="I1463" s="157" t="s">
        <v>1349</v>
      </c>
      <c r="J1463" s="157" t="s">
        <v>8298</v>
      </c>
      <c r="K1463" s="157" t="s">
        <v>1554</v>
      </c>
      <c r="L1463" s="157" t="s">
        <v>2067</v>
      </c>
      <c r="M1463" s="157" t="str">
        <f t="shared" si="32"/>
        <v>Short/Mid Range Radar RR / Radar -176° - Drive Assistance</v>
      </c>
      <c r="N1463" s="157"/>
      <c r="O1463" s="157"/>
      <c r="P1463" s="159" t="s">
        <v>5170</v>
      </c>
      <c r="Q1463" s="157" t="s">
        <v>2115</v>
      </c>
      <c r="R1463" s="157" t="s">
        <v>8292</v>
      </c>
      <c r="S1463" s="157" t="s">
        <v>8627</v>
      </c>
      <c r="T1463" s="157"/>
      <c r="U1463" s="159" t="s">
        <v>2129</v>
      </c>
      <c r="V1463" s="159" t="s">
        <v>2129</v>
      </c>
      <c r="W1463" s="159" t="s">
        <v>2138</v>
      </c>
      <c r="X1463" s="160">
        <v>1</v>
      </c>
      <c r="Y1463" s="160">
        <v>1</v>
      </c>
      <c r="Z1463" s="160">
        <v>1</v>
      </c>
      <c r="AA1463" s="160">
        <v>1</v>
      </c>
    </row>
    <row r="1464" spans="1:27" ht="18" customHeight="1" x14ac:dyDescent="0.25">
      <c r="A1464" s="159">
        <v>3240</v>
      </c>
      <c r="B1464" s="164" t="s">
        <v>266</v>
      </c>
      <c r="C1464" s="164" t="s">
        <v>519</v>
      </c>
      <c r="D1464" s="159" t="s">
        <v>1159</v>
      </c>
      <c r="E1464" s="164" t="s">
        <v>1157</v>
      </c>
      <c r="F1464" s="159"/>
      <c r="G1464" s="157" t="s">
        <v>1349</v>
      </c>
      <c r="H1464" s="157" t="s">
        <v>1418</v>
      </c>
      <c r="I1464" s="157" t="s">
        <v>1349</v>
      </c>
      <c r="J1464" s="157" t="s">
        <v>8298</v>
      </c>
      <c r="K1464" s="157" t="s">
        <v>1554</v>
      </c>
      <c r="L1464" s="157" t="s">
        <v>2067</v>
      </c>
      <c r="M1464" s="157" t="str">
        <f t="shared" si="32"/>
        <v>Short/Mid Range Radar RR / Radar -176° - Drive Assistance</v>
      </c>
      <c r="N1464" s="157"/>
      <c r="O1464" s="157"/>
      <c r="P1464" s="159" t="s">
        <v>5170</v>
      </c>
      <c r="Q1464" s="157" t="s">
        <v>2115</v>
      </c>
      <c r="R1464" s="157" t="s">
        <v>8292</v>
      </c>
      <c r="S1464" s="157" t="s">
        <v>8627</v>
      </c>
      <c r="T1464" s="157"/>
      <c r="U1464" s="159" t="s">
        <v>2129</v>
      </c>
      <c r="V1464" s="159" t="s">
        <v>2129</v>
      </c>
      <c r="W1464" s="159" t="s">
        <v>2138</v>
      </c>
      <c r="X1464" s="160">
        <v>1</v>
      </c>
      <c r="Y1464" s="160">
        <v>1</v>
      </c>
      <c r="Z1464" s="160">
        <v>1</v>
      </c>
      <c r="AA1464" s="160">
        <v>1</v>
      </c>
    </row>
    <row r="1465" spans="1:27" ht="18" customHeight="1" x14ac:dyDescent="0.25">
      <c r="A1465" s="159">
        <v>3241</v>
      </c>
      <c r="B1465" s="164" t="s">
        <v>266</v>
      </c>
      <c r="C1465" s="164" t="s">
        <v>276</v>
      </c>
      <c r="D1465" s="159" t="s">
        <v>303</v>
      </c>
      <c r="E1465" s="164" t="s">
        <v>301</v>
      </c>
      <c r="F1465" s="159"/>
      <c r="G1465" s="157" t="s">
        <v>1349</v>
      </c>
      <c r="H1465" s="157" t="s">
        <v>1418</v>
      </c>
      <c r="I1465" s="157" t="s">
        <v>1349</v>
      </c>
      <c r="J1465" s="157" t="s">
        <v>8298</v>
      </c>
      <c r="K1465" s="157" t="s">
        <v>1554</v>
      </c>
      <c r="L1465" s="157" t="s">
        <v>2068</v>
      </c>
      <c r="M1465" s="157" t="str">
        <f t="shared" si="32"/>
        <v>Short/Mid Range Radar RL / Radar +176° - Drive Assistance</v>
      </c>
      <c r="N1465" s="157"/>
      <c r="O1465" s="157"/>
      <c r="P1465" s="159" t="s">
        <v>6474</v>
      </c>
      <c r="Q1465" s="157" t="s">
        <v>2115</v>
      </c>
      <c r="R1465" s="157" t="s">
        <v>8292</v>
      </c>
      <c r="S1465" s="157" t="s">
        <v>8627</v>
      </c>
      <c r="T1465" s="157"/>
      <c r="U1465" s="159" t="s">
        <v>2129</v>
      </c>
      <c r="V1465" s="159" t="s">
        <v>2129</v>
      </c>
      <c r="W1465" s="159" t="s">
        <v>2138</v>
      </c>
      <c r="X1465" s="160">
        <v>1</v>
      </c>
      <c r="Y1465" s="160">
        <v>1</v>
      </c>
      <c r="Z1465" s="160">
        <v>1</v>
      </c>
      <c r="AA1465" s="160">
        <v>1</v>
      </c>
    </row>
    <row r="1466" spans="1:27" ht="18" customHeight="1" x14ac:dyDescent="0.25">
      <c r="A1466" s="159">
        <v>3241</v>
      </c>
      <c r="B1466" s="164" t="s">
        <v>266</v>
      </c>
      <c r="C1466" s="164" t="s">
        <v>276</v>
      </c>
      <c r="D1466" s="159" t="s">
        <v>310</v>
      </c>
      <c r="E1466" s="164" t="s">
        <v>308</v>
      </c>
      <c r="F1466" s="159"/>
      <c r="G1466" s="157" t="s">
        <v>1349</v>
      </c>
      <c r="H1466" s="157" t="s">
        <v>1418</v>
      </c>
      <c r="I1466" s="157" t="s">
        <v>1349</v>
      </c>
      <c r="J1466" s="157" t="s">
        <v>8298</v>
      </c>
      <c r="K1466" s="157" t="s">
        <v>1554</v>
      </c>
      <c r="L1466" s="157" t="s">
        <v>2068</v>
      </c>
      <c r="M1466" s="157" t="str">
        <f t="shared" si="32"/>
        <v>Short/Mid Range Radar RL / Radar +176° - Drive Assistance</v>
      </c>
      <c r="N1466" s="157"/>
      <c r="O1466" s="157"/>
      <c r="P1466" s="159" t="s">
        <v>6474</v>
      </c>
      <c r="Q1466" s="157" t="s">
        <v>2115</v>
      </c>
      <c r="R1466" s="157" t="s">
        <v>8292</v>
      </c>
      <c r="S1466" s="157" t="s">
        <v>8627</v>
      </c>
      <c r="T1466" s="157"/>
      <c r="U1466" s="159" t="s">
        <v>2129</v>
      </c>
      <c r="V1466" s="159" t="s">
        <v>2129</v>
      </c>
      <c r="W1466" s="159" t="s">
        <v>2138</v>
      </c>
      <c r="X1466" s="160">
        <v>1</v>
      </c>
      <c r="Y1466" s="160">
        <v>1</v>
      </c>
      <c r="Z1466" s="160">
        <v>1</v>
      </c>
      <c r="AA1466" s="160">
        <v>1</v>
      </c>
    </row>
    <row r="1467" spans="1:27" ht="18" customHeight="1" x14ac:dyDescent="0.25">
      <c r="A1467" s="159">
        <v>3241</v>
      </c>
      <c r="B1467" s="164" t="s">
        <v>266</v>
      </c>
      <c r="C1467" s="164" t="s">
        <v>276</v>
      </c>
      <c r="D1467" s="159" t="s">
        <v>686</v>
      </c>
      <c r="E1467" s="164" t="s">
        <v>684</v>
      </c>
      <c r="F1467" s="159"/>
      <c r="G1467" s="157" t="s">
        <v>1349</v>
      </c>
      <c r="H1467" s="157" t="s">
        <v>1418</v>
      </c>
      <c r="I1467" s="157" t="s">
        <v>1349</v>
      </c>
      <c r="J1467" s="157" t="s">
        <v>8298</v>
      </c>
      <c r="K1467" s="157" t="s">
        <v>1554</v>
      </c>
      <c r="L1467" s="157" t="s">
        <v>2068</v>
      </c>
      <c r="M1467" s="157" t="str">
        <f t="shared" si="32"/>
        <v>Short/Mid Range Radar RL / Radar +176° - Drive Assistance</v>
      </c>
      <c r="N1467" s="157"/>
      <c r="O1467" s="157"/>
      <c r="P1467" s="159" t="s">
        <v>6474</v>
      </c>
      <c r="Q1467" s="157" t="s">
        <v>2115</v>
      </c>
      <c r="R1467" s="157" t="s">
        <v>8292</v>
      </c>
      <c r="S1467" s="157" t="s">
        <v>8627</v>
      </c>
      <c r="T1467" s="157"/>
      <c r="U1467" s="159" t="s">
        <v>2129</v>
      </c>
      <c r="V1467" s="159" t="s">
        <v>2129</v>
      </c>
      <c r="W1467" s="159" t="s">
        <v>2138</v>
      </c>
      <c r="X1467" s="160">
        <v>1</v>
      </c>
      <c r="Y1467" s="160">
        <v>1</v>
      </c>
      <c r="Z1467" s="160">
        <v>1</v>
      </c>
      <c r="AA1467" s="160">
        <v>1</v>
      </c>
    </row>
    <row r="1468" spans="1:27" ht="18" customHeight="1" x14ac:dyDescent="0.25">
      <c r="A1468" s="159">
        <v>3241</v>
      </c>
      <c r="B1468" s="164" t="s">
        <v>266</v>
      </c>
      <c r="C1468" s="164" t="s">
        <v>276</v>
      </c>
      <c r="D1468" s="159" t="s">
        <v>304</v>
      </c>
      <c r="E1468" s="164" t="s">
        <v>1239</v>
      </c>
      <c r="F1468" s="159"/>
      <c r="G1468" s="157" t="s">
        <v>1349</v>
      </c>
      <c r="H1468" s="157" t="s">
        <v>1418</v>
      </c>
      <c r="I1468" s="157" t="s">
        <v>1349</v>
      </c>
      <c r="J1468" s="157" t="s">
        <v>8298</v>
      </c>
      <c r="K1468" s="157" t="s">
        <v>1554</v>
      </c>
      <c r="L1468" s="157" t="s">
        <v>2068</v>
      </c>
      <c r="M1468" s="157" t="str">
        <f t="shared" si="32"/>
        <v>Short/Mid Range Radar RL / Radar +176° - Drive Assistance</v>
      </c>
      <c r="N1468" s="157"/>
      <c r="O1468" s="157"/>
      <c r="P1468" s="159" t="s">
        <v>6474</v>
      </c>
      <c r="Q1468" s="157" t="s">
        <v>2115</v>
      </c>
      <c r="R1468" s="157" t="s">
        <v>8292</v>
      </c>
      <c r="S1468" s="157" t="s">
        <v>8627</v>
      </c>
      <c r="T1468" s="157"/>
      <c r="U1468" s="159" t="s">
        <v>2129</v>
      </c>
      <c r="V1468" s="159" t="s">
        <v>2129</v>
      </c>
      <c r="W1468" s="159" t="s">
        <v>2138</v>
      </c>
      <c r="X1468" s="160">
        <v>1</v>
      </c>
      <c r="Y1468" s="160">
        <v>1</v>
      </c>
      <c r="Z1468" s="160">
        <v>1</v>
      </c>
      <c r="AA1468" s="160">
        <v>1</v>
      </c>
    </row>
    <row r="1469" spans="1:27" ht="18" customHeight="1" x14ac:dyDescent="0.25">
      <c r="A1469" s="159">
        <v>3241</v>
      </c>
      <c r="B1469" s="164" t="s">
        <v>266</v>
      </c>
      <c r="C1469" s="164" t="s">
        <v>267</v>
      </c>
      <c r="D1469" s="159" t="s">
        <v>270</v>
      </c>
      <c r="E1469" s="164" t="s">
        <v>268</v>
      </c>
      <c r="F1469" s="159"/>
      <c r="G1469" s="157" t="s">
        <v>1349</v>
      </c>
      <c r="H1469" s="157" t="s">
        <v>1418</v>
      </c>
      <c r="I1469" s="157" t="s">
        <v>1349</v>
      </c>
      <c r="J1469" s="157" t="s">
        <v>8298</v>
      </c>
      <c r="K1469" s="157" t="s">
        <v>1554</v>
      </c>
      <c r="L1469" s="157" t="s">
        <v>2068</v>
      </c>
      <c r="M1469" s="157" t="str">
        <f t="shared" si="32"/>
        <v>Short/Mid Range Radar RL / Radar +176° - Drive Assistance</v>
      </c>
      <c r="N1469" s="157"/>
      <c r="O1469" s="157"/>
      <c r="P1469" s="159" t="s">
        <v>6474</v>
      </c>
      <c r="Q1469" s="157" t="s">
        <v>2115</v>
      </c>
      <c r="R1469" s="157" t="s">
        <v>8292</v>
      </c>
      <c r="S1469" s="157" t="s">
        <v>8627</v>
      </c>
      <c r="T1469" s="157"/>
      <c r="U1469" s="159" t="s">
        <v>2129</v>
      </c>
      <c r="V1469" s="159" t="s">
        <v>2129</v>
      </c>
      <c r="W1469" s="159" t="s">
        <v>2138</v>
      </c>
      <c r="X1469" s="160">
        <v>1</v>
      </c>
      <c r="Y1469" s="160">
        <v>1</v>
      </c>
      <c r="Z1469" s="160">
        <v>1</v>
      </c>
      <c r="AA1469" s="160">
        <v>1</v>
      </c>
    </row>
    <row r="1470" spans="1:27" ht="18" customHeight="1" x14ac:dyDescent="0.25">
      <c r="A1470" s="159">
        <v>3241</v>
      </c>
      <c r="B1470" s="164" t="s">
        <v>266</v>
      </c>
      <c r="C1470" s="164" t="s">
        <v>267</v>
      </c>
      <c r="D1470" s="159" t="s">
        <v>906</v>
      </c>
      <c r="E1470" s="164" t="s">
        <v>904</v>
      </c>
      <c r="F1470" s="159"/>
      <c r="G1470" s="157" t="s">
        <v>1349</v>
      </c>
      <c r="H1470" s="157" t="s">
        <v>1418</v>
      </c>
      <c r="I1470" s="157" t="s">
        <v>1349</v>
      </c>
      <c r="J1470" s="157" t="s">
        <v>8298</v>
      </c>
      <c r="K1470" s="157" t="s">
        <v>1554</v>
      </c>
      <c r="L1470" s="157" t="s">
        <v>2068</v>
      </c>
      <c r="M1470" s="157" t="str">
        <f t="shared" si="32"/>
        <v>Short/Mid Range Radar RL / Radar +176° - Drive Assistance</v>
      </c>
      <c r="N1470" s="157"/>
      <c r="O1470" s="157"/>
      <c r="P1470" s="159" t="s">
        <v>6474</v>
      </c>
      <c r="Q1470" s="157" t="s">
        <v>2115</v>
      </c>
      <c r="R1470" s="157" t="s">
        <v>8292</v>
      </c>
      <c r="S1470" s="157" t="s">
        <v>8627</v>
      </c>
      <c r="T1470" s="157"/>
      <c r="U1470" s="159" t="s">
        <v>2129</v>
      </c>
      <c r="V1470" s="159" t="s">
        <v>2129</v>
      </c>
      <c r="W1470" s="159" t="s">
        <v>2138</v>
      </c>
      <c r="X1470" s="160">
        <v>1</v>
      </c>
      <c r="Y1470" s="160">
        <v>1</v>
      </c>
      <c r="Z1470" s="160">
        <v>1</v>
      </c>
      <c r="AA1470" s="160">
        <v>1</v>
      </c>
    </row>
    <row r="1471" spans="1:27" ht="18" customHeight="1" x14ac:dyDescent="0.25">
      <c r="A1471" s="159">
        <v>3241</v>
      </c>
      <c r="B1471" s="164" t="s">
        <v>266</v>
      </c>
      <c r="C1471" s="164" t="s">
        <v>294</v>
      </c>
      <c r="D1471" s="159" t="s">
        <v>297</v>
      </c>
      <c r="E1471" s="164" t="s">
        <v>295</v>
      </c>
      <c r="F1471" s="159"/>
      <c r="G1471" s="157" t="s">
        <v>1349</v>
      </c>
      <c r="H1471" s="157" t="s">
        <v>1418</v>
      </c>
      <c r="I1471" s="157" t="s">
        <v>1349</v>
      </c>
      <c r="J1471" s="157" t="s">
        <v>8298</v>
      </c>
      <c r="K1471" s="157" t="s">
        <v>1554</v>
      </c>
      <c r="L1471" s="157" t="s">
        <v>2068</v>
      </c>
      <c r="M1471" s="157" t="str">
        <f t="shared" si="32"/>
        <v>Short/Mid Range Radar RL / Radar +176° - Drive Assistance</v>
      </c>
      <c r="N1471" s="157"/>
      <c r="O1471" s="157"/>
      <c r="P1471" s="159" t="s">
        <v>6474</v>
      </c>
      <c r="Q1471" s="157" t="s">
        <v>2115</v>
      </c>
      <c r="R1471" s="157" t="s">
        <v>8292</v>
      </c>
      <c r="S1471" s="157" t="s">
        <v>8627</v>
      </c>
      <c r="T1471" s="157"/>
      <c r="U1471" s="159" t="s">
        <v>2129</v>
      </c>
      <c r="V1471" s="159" t="s">
        <v>2129</v>
      </c>
      <c r="W1471" s="159" t="s">
        <v>2138</v>
      </c>
      <c r="X1471" s="160">
        <v>1</v>
      </c>
      <c r="Y1471" s="160">
        <v>1</v>
      </c>
      <c r="Z1471" s="160">
        <v>1</v>
      </c>
      <c r="AA1471" s="160">
        <v>1</v>
      </c>
    </row>
    <row r="1472" spans="1:27" ht="18" customHeight="1" x14ac:dyDescent="0.25">
      <c r="A1472" s="159">
        <v>3241</v>
      </c>
      <c r="B1472" s="164" t="s">
        <v>266</v>
      </c>
      <c r="C1472" s="164" t="s">
        <v>294</v>
      </c>
      <c r="D1472" s="159" t="s">
        <v>298</v>
      </c>
      <c r="E1472" s="164" t="s">
        <v>299</v>
      </c>
      <c r="F1472" s="159"/>
      <c r="G1472" s="157" t="s">
        <v>1349</v>
      </c>
      <c r="H1472" s="157" t="s">
        <v>1418</v>
      </c>
      <c r="I1472" s="157" t="s">
        <v>1349</v>
      </c>
      <c r="J1472" s="157" t="s">
        <v>8298</v>
      </c>
      <c r="K1472" s="157" t="s">
        <v>1554</v>
      </c>
      <c r="L1472" s="157" t="s">
        <v>2068</v>
      </c>
      <c r="M1472" s="157" t="str">
        <f t="shared" si="32"/>
        <v>Short/Mid Range Radar RL / Radar +176° - Drive Assistance</v>
      </c>
      <c r="N1472" s="157"/>
      <c r="O1472" s="157"/>
      <c r="P1472" s="159" t="s">
        <v>6474</v>
      </c>
      <c r="Q1472" s="157" t="s">
        <v>2115</v>
      </c>
      <c r="R1472" s="157" t="s">
        <v>8292</v>
      </c>
      <c r="S1472" s="157" t="s">
        <v>8627</v>
      </c>
      <c r="T1472" s="157"/>
      <c r="U1472" s="159" t="s">
        <v>2129</v>
      </c>
      <c r="V1472" s="159" t="s">
        <v>2129</v>
      </c>
      <c r="W1472" s="159" t="s">
        <v>2138</v>
      </c>
      <c r="X1472" s="160">
        <v>1</v>
      </c>
      <c r="Y1472" s="160">
        <v>1</v>
      </c>
      <c r="Z1472" s="160">
        <v>1</v>
      </c>
      <c r="AA1472" s="160">
        <v>1</v>
      </c>
    </row>
    <row r="1473" spans="1:27" ht="18" customHeight="1" x14ac:dyDescent="0.25">
      <c r="A1473" s="159">
        <v>3241</v>
      </c>
      <c r="B1473" s="164" t="s">
        <v>266</v>
      </c>
      <c r="C1473" s="164" t="s">
        <v>294</v>
      </c>
      <c r="D1473" s="159" t="s">
        <v>503</v>
      </c>
      <c r="E1473" s="164" t="s">
        <v>501</v>
      </c>
      <c r="F1473" s="159"/>
      <c r="G1473" s="157" t="s">
        <v>1349</v>
      </c>
      <c r="H1473" s="157" t="s">
        <v>1418</v>
      </c>
      <c r="I1473" s="157" t="s">
        <v>1349</v>
      </c>
      <c r="J1473" s="157" t="s">
        <v>8298</v>
      </c>
      <c r="K1473" s="157" t="s">
        <v>1554</v>
      </c>
      <c r="L1473" s="157" t="s">
        <v>2068</v>
      </c>
      <c r="M1473" s="157" t="str">
        <f t="shared" si="32"/>
        <v>Short/Mid Range Radar RL / Radar +176° - Drive Assistance</v>
      </c>
      <c r="N1473" s="157"/>
      <c r="O1473" s="157"/>
      <c r="P1473" s="159" t="s">
        <v>6474</v>
      </c>
      <c r="Q1473" s="157" t="s">
        <v>2115</v>
      </c>
      <c r="R1473" s="157" t="s">
        <v>8292</v>
      </c>
      <c r="S1473" s="157" t="s">
        <v>8627</v>
      </c>
      <c r="T1473" s="157"/>
      <c r="U1473" s="159" t="s">
        <v>2129</v>
      </c>
      <c r="V1473" s="159" t="s">
        <v>2129</v>
      </c>
      <c r="W1473" s="159" t="s">
        <v>2138</v>
      </c>
      <c r="X1473" s="160">
        <v>1</v>
      </c>
      <c r="Y1473" s="160">
        <v>1</v>
      </c>
      <c r="Z1473" s="160">
        <v>1</v>
      </c>
      <c r="AA1473" s="160">
        <v>1</v>
      </c>
    </row>
    <row r="1474" spans="1:27" ht="18" customHeight="1" x14ac:dyDescent="0.25">
      <c r="A1474" s="159">
        <v>3241</v>
      </c>
      <c r="B1474" s="164" t="s">
        <v>266</v>
      </c>
      <c r="C1474" s="164" t="s">
        <v>294</v>
      </c>
      <c r="D1474" s="159" t="s">
        <v>692</v>
      </c>
      <c r="E1474" s="164" t="s">
        <v>690</v>
      </c>
      <c r="F1474" s="159"/>
      <c r="G1474" s="157" t="s">
        <v>1349</v>
      </c>
      <c r="H1474" s="157" t="s">
        <v>1418</v>
      </c>
      <c r="I1474" s="157" t="s">
        <v>1349</v>
      </c>
      <c r="J1474" s="157" t="s">
        <v>8298</v>
      </c>
      <c r="K1474" s="157" t="s">
        <v>1554</v>
      </c>
      <c r="L1474" s="157" t="s">
        <v>2068</v>
      </c>
      <c r="M1474" s="157" t="str">
        <f t="shared" si="32"/>
        <v>Short/Mid Range Radar RL / Radar +176° - Drive Assistance</v>
      </c>
      <c r="N1474" s="157"/>
      <c r="O1474" s="157"/>
      <c r="P1474" s="159" t="s">
        <v>6474</v>
      </c>
      <c r="Q1474" s="157" t="s">
        <v>2115</v>
      </c>
      <c r="R1474" s="157" t="s">
        <v>8292</v>
      </c>
      <c r="S1474" s="157" t="s">
        <v>8627</v>
      </c>
      <c r="T1474" s="157"/>
      <c r="U1474" s="159" t="s">
        <v>2129</v>
      </c>
      <c r="V1474" s="159" t="s">
        <v>2129</v>
      </c>
      <c r="W1474" s="159" t="s">
        <v>2138</v>
      </c>
      <c r="X1474" s="160">
        <v>1</v>
      </c>
      <c r="Y1474" s="160">
        <v>1</v>
      </c>
      <c r="Z1474" s="160">
        <v>1</v>
      </c>
      <c r="AA1474" s="160">
        <v>1</v>
      </c>
    </row>
    <row r="1475" spans="1:27" ht="18" customHeight="1" x14ac:dyDescent="0.25">
      <c r="A1475" s="159">
        <v>3241</v>
      </c>
      <c r="B1475" s="164" t="s">
        <v>266</v>
      </c>
      <c r="C1475" s="164" t="s">
        <v>294</v>
      </c>
      <c r="D1475" s="159" t="s">
        <v>1177</v>
      </c>
      <c r="E1475" s="164" t="s">
        <v>1175</v>
      </c>
      <c r="F1475" s="159"/>
      <c r="G1475" s="157" t="s">
        <v>1349</v>
      </c>
      <c r="H1475" s="157" t="s">
        <v>1418</v>
      </c>
      <c r="I1475" s="157" t="s">
        <v>1349</v>
      </c>
      <c r="J1475" s="157" t="s">
        <v>8298</v>
      </c>
      <c r="K1475" s="157" t="s">
        <v>1554</v>
      </c>
      <c r="L1475" s="157" t="s">
        <v>2068</v>
      </c>
      <c r="M1475" s="157" t="str">
        <f t="shared" si="32"/>
        <v>Short/Mid Range Radar RL / Radar +176° - Drive Assistance</v>
      </c>
      <c r="N1475" s="157"/>
      <c r="O1475" s="157"/>
      <c r="P1475" s="159" t="s">
        <v>6474</v>
      </c>
      <c r="Q1475" s="157" t="s">
        <v>2115</v>
      </c>
      <c r="R1475" s="157" t="s">
        <v>8292</v>
      </c>
      <c r="S1475" s="157" t="s">
        <v>8627</v>
      </c>
      <c r="T1475" s="157"/>
      <c r="U1475" s="159" t="s">
        <v>2129</v>
      </c>
      <c r="V1475" s="159" t="s">
        <v>2129</v>
      </c>
      <c r="W1475" s="159" t="s">
        <v>2138</v>
      </c>
      <c r="X1475" s="160">
        <v>1</v>
      </c>
      <c r="Y1475" s="160">
        <v>1</v>
      </c>
      <c r="Z1475" s="160">
        <v>1</v>
      </c>
      <c r="AA1475" s="160">
        <v>1</v>
      </c>
    </row>
    <row r="1476" spans="1:27" ht="18" customHeight="1" x14ac:dyDescent="0.25">
      <c r="A1476" s="159">
        <v>3241</v>
      </c>
      <c r="B1476" s="164" t="s">
        <v>266</v>
      </c>
      <c r="C1476" s="164" t="s">
        <v>294</v>
      </c>
      <c r="D1476" s="159" t="s">
        <v>1178</v>
      </c>
      <c r="E1476" s="164" t="s">
        <v>1179</v>
      </c>
      <c r="F1476" s="159"/>
      <c r="G1476" s="157" t="s">
        <v>1349</v>
      </c>
      <c r="H1476" s="157" t="s">
        <v>1418</v>
      </c>
      <c r="I1476" s="157" t="s">
        <v>1349</v>
      </c>
      <c r="J1476" s="157" t="s">
        <v>8298</v>
      </c>
      <c r="K1476" s="157" t="s">
        <v>1554</v>
      </c>
      <c r="L1476" s="157" t="s">
        <v>2068</v>
      </c>
      <c r="M1476" s="157" t="str">
        <f t="shared" si="32"/>
        <v>Short/Mid Range Radar RL / Radar +176° - Drive Assistance</v>
      </c>
      <c r="N1476" s="157"/>
      <c r="O1476" s="157"/>
      <c r="P1476" s="159" t="s">
        <v>6474</v>
      </c>
      <c r="Q1476" s="157" t="s">
        <v>2115</v>
      </c>
      <c r="R1476" s="157" t="s">
        <v>8292</v>
      </c>
      <c r="S1476" s="157" t="s">
        <v>8627</v>
      </c>
      <c r="T1476" s="157"/>
      <c r="U1476" s="159" t="s">
        <v>2129</v>
      </c>
      <c r="V1476" s="159" t="s">
        <v>2129</v>
      </c>
      <c r="W1476" s="159" t="s">
        <v>2138</v>
      </c>
      <c r="X1476" s="160">
        <v>1</v>
      </c>
      <c r="Y1476" s="160">
        <v>1</v>
      </c>
      <c r="Z1476" s="160">
        <v>1</v>
      </c>
      <c r="AA1476" s="160">
        <v>1</v>
      </c>
    </row>
    <row r="1477" spans="1:27" ht="18" customHeight="1" x14ac:dyDescent="0.25">
      <c r="A1477" s="159">
        <v>3241</v>
      </c>
      <c r="B1477" s="164" t="s">
        <v>266</v>
      </c>
      <c r="C1477" s="164" t="s">
        <v>294</v>
      </c>
      <c r="D1477" s="159" t="s">
        <v>1207</v>
      </c>
      <c r="E1477" s="164" t="s">
        <v>1205</v>
      </c>
      <c r="F1477" s="159"/>
      <c r="G1477" s="157" t="s">
        <v>1349</v>
      </c>
      <c r="H1477" s="157" t="s">
        <v>1418</v>
      </c>
      <c r="I1477" s="157" t="s">
        <v>1349</v>
      </c>
      <c r="J1477" s="157" t="s">
        <v>8298</v>
      </c>
      <c r="K1477" s="157" t="s">
        <v>1554</v>
      </c>
      <c r="L1477" s="157" t="s">
        <v>2068</v>
      </c>
      <c r="M1477" s="157" t="str">
        <f t="shared" si="32"/>
        <v>Short/Mid Range Radar RL / Radar +176° - Drive Assistance</v>
      </c>
      <c r="N1477" s="157"/>
      <c r="O1477" s="157"/>
      <c r="P1477" s="159" t="s">
        <v>6474</v>
      </c>
      <c r="Q1477" s="157" t="s">
        <v>2115</v>
      </c>
      <c r="R1477" s="157" t="s">
        <v>8292</v>
      </c>
      <c r="S1477" s="157" t="s">
        <v>8627</v>
      </c>
      <c r="T1477" s="157"/>
      <c r="U1477" s="159" t="s">
        <v>2129</v>
      </c>
      <c r="V1477" s="159" t="s">
        <v>2129</v>
      </c>
      <c r="W1477" s="159" t="s">
        <v>2138</v>
      </c>
      <c r="X1477" s="160">
        <v>1</v>
      </c>
      <c r="Y1477" s="160">
        <v>1</v>
      </c>
      <c r="Z1477" s="160">
        <v>1</v>
      </c>
      <c r="AA1477" s="160">
        <v>1</v>
      </c>
    </row>
    <row r="1478" spans="1:27" ht="18" customHeight="1" x14ac:dyDescent="0.25">
      <c r="A1478" s="159">
        <v>3241</v>
      </c>
      <c r="B1478" s="164" t="s">
        <v>266</v>
      </c>
      <c r="C1478" s="164" t="s">
        <v>514</v>
      </c>
      <c r="D1478" s="159" t="s">
        <v>517</v>
      </c>
      <c r="E1478" s="164" t="s">
        <v>515</v>
      </c>
      <c r="F1478" s="159"/>
      <c r="G1478" s="157" t="s">
        <v>1349</v>
      </c>
      <c r="H1478" s="157" t="s">
        <v>1418</v>
      </c>
      <c r="I1478" s="157" t="s">
        <v>1349</v>
      </c>
      <c r="J1478" s="157" t="s">
        <v>8298</v>
      </c>
      <c r="K1478" s="157" t="s">
        <v>1554</v>
      </c>
      <c r="L1478" s="157" t="s">
        <v>2068</v>
      </c>
      <c r="M1478" s="157" t="str">
        <f t="shared" si="32"/>
        <v>Short/Mid Range Radar RL / Radar +176° - Drive Assistance</v>
      </c>
      <c r="N1478" s="157"/>
      <c r="O1478" s="157"/>
      <c r="P1478" s="159" t="s">
        <v>6474</v>
      </c>
      <c r="Q1478" s="157" t="s">
        <v>2115</v>
      </c>
      <c r="R1478" s="157" t="s">
        <v>8292</v>
      </c>
      <c r="S1478" s="157" t="s">
        <v>8627</v>
      </c>
      <c r="T1478" s="157"/>
      <c r="U1478" s="159" t="s">
        <v>2129</v>
      </c>
      <c r="V1478" s="159" t="s">
        <v>2129</v>
      </c>
      <c r="W1478" s="159" t="s">
        <v>2138</v>
      </c>
      <c r="X1478" s="160">
        <v>1</v>
      </c>
      <c r="Y1478" s="160">
        <v>1</v>
      </c>
      <c r="Z1478" s="160">
        <v>1</v>
      </c>
      <c r="AA1478" s="160">
        <v>1</v>
      </c>
    </row>
    <row r="1479" spans="1:27" ht="18" customHeight="1" x14ac:dyDescent="0.25">
      <c r="A1479" s="159">
        <v>3241</v>
      </c>
      <c r="B1479" s="164" t="s">
        <v>266</v>
      </c>
      <c r="C1479" s="164" t="s">
        <v>514</v>
      </c>
      <c r="D1479" s="159" t="s">
        <v>730</v>
      </c>
      <c r="E1479" s="164" t="s">
        <v>728</v>
      </c>
      <c r="F1479" s="159"/>
      <c r="G1479" s="157" t="s">
        <v>1349</v>
      </c>
      <c r="H1479" s="157" t="s">
        <v>1418</v>
      </c>
      <c r="I1479" s="157" t="s">
        <v>1349</v>
      </c>
      <c r="J1479" s="157" t="s">
        <v>8298</v>
      </c>
      <c r="K1479" s="157" t="s">
        <v>1554</v>
      </c>
      <c r="L1479" s="157" t="s">
        <v>2068</v>
      </c>
      <c r="M1479" s="157" t="str">
        <f t="shared" si="32"/>
        <v>Short/Mid Range Radar RL / Radar +176° - Drive Assistance</v>
      </c>
      <c r="N1479" s="157"/>
      <c r="O1479" s="157"/>
      <c r="P1479" s="159" t="s">
        <v>6474</v>
      </c>
      <c r="Q1479" s="157" t="s">
        <v>2115</v>
      </c>
      <c r="R1479" s="157" t="s">
        <v>8292</v>
      </c>
      <c r="S1479" s="157" t="s">
        <v>8627</v>
      </c>
      <c r="T1479" s="157"/>
      <c r="U1479" s="159" t="s">
        <v>2129</v>
      </c>
      <c r="V1479" s="159" t="s">
        <v>2129</v>
      </c>
      <c r="W1479" s="159" t="s">
        <v>2138</v>
      </c>
      <c r="X1479" s="160">
        <v>1</v>
      </c>
      <c r="Y1479" s="160">
        <v>1</v>
      </c>
      <c r="Z1479" s="160">
        <v>1</v>
      </c>
      <c r="AA1479" s="160">
        <v>1</v>
      </c>
    </row>
    <row r="1480" spans="1:27" ht="18" customHeight="1" x14ac:dyDescent="0.25">
      <c r="A1480" s="159">
        <v>3241</v>
      </c>
      <c r="B1480" s="164" t="s">
        <v>266</v>
      </c>
      <c r="C1480" s="164" t="s">
        <v>514</v>
      </c>
      <c r="D1480" s="159" t="s">
        <v>793</v>
      </c>
      <c r="E1480" s="164" t="s">
        <v>791</v>
      </c>
      <c r="F1480" s="159"/>
      <c r="G1480" s="157" t="s">
        <v>1349</v>
      </c>
      <c r="H1480" s="157" t="s">
        <v>1418</v>
      </c>
      <c r="I1480" s="157" t="s">
        <v>1349</v>
      </c>
      <c r="J1480" s="157" t="s">
        <v>8298</v>
      </c>
      <c r="K1480" s="157" t="s">
        <v>1554</v>
      </c>
      <c r="L1480" s="157" t="s">
        <v>2068</v>
      </c>
      <c r="M1480" s="157" t="str">
        <f t="shared" si="32"/>
        <v>Short/Mid Range Radar RL / Radar +176° - Drive Assistance</v>
      </c>
      <c r="N1480" s="157"/>
      <c r="O1480" s="157"/>
      <c r="P1480" s="159" t="s">
        <v>6474</v>
      </c>
      <c r="Q1480" s="157" t="s">
        <v>2115</v>
      </c>
      <c r="R1480" s="157" t="s">
        <v>8292</v>
      </c>
      <c r="S1480" s="157" t="s">
        <v>8627</v>
      </c>
      <c r="T1480" s="157"/>
      <c r="U1480" s="159" t="s">
        <v>2129</v>
      </c>
      <c r="V1480" s="159" t="s">
        <v>2129</v>
      </c>
      <c r="W1480" s="159" t="s">
        <v>2138</v>
      </c>
      <c r="X1480" s="160">
        <v>1</v>
      </c>
      <c r="Y1480" s="160">
        <v>1</v>
      </c>
      <c r="Z1480" s="160">
        <v>1</v>
      </c>
      <c r="AA1480" s="160">
        <v>1</v>
      </c>
    </row>
    <row r="1481" spans="1:27" ht="18" customHeight="1" x14ac:dyDescent="0.25">
      <c r="A1481" s="159">
        <v>3241</v>
      </c>
      <c r="B1481" s="164" t="s">
        <v>266</v>
      </c>
      <c r="C1481" s="164" t="s">
        <v>514</v>
      </c>
      <c r="D1481" s="159" t="s">
        <v>731</v>
      </c>
      <c r="E1481" s="164" t="s">
        <v>795</v>
      </c>
      <c r="F1481" s="159"/>
      <c r="G1481" s="157" t="s">
        <v>1349</v>
      </c>
      <c r="H1481" s="157" t="s">
        <v>1418</v>
      </c>
      <c r="I1481" s="157" t="s">
        <v>1349</v>
      </c>
      <c r="J1481" s="157" t="s">
        <v>8298</v>
      </c>
      <c r="K1481" s="157" t="s">
        <v>1554</v>
      </c>
      <c r="L1481" s="157" t="s">
        <v>2068</v>
      </c>
      <c r="M1481" s="157" t="str">
        <f t="shared" si="32"/>
        <v>Short/Mid Range Radar RL / Radar +176° - Drive Assistance</v>
      </c>
      <c r="N1481" s="157"/>
      <c r="O1481" s="157"/>
      <c r="P1481" s="159" t="s">
        <v>6474</v>
      </c>
      <c r="Q1481" s="157" t="s">
        <v>2115</v>
      </c>
      <c r="R1481" s="157" t="s">
        <v>8292</v>
      </c>
      <c r="S1481" s="157" t="s">
        <v>8627</v>
      </c>
      <c r="T1481" s="157"/>
      <c r="U1481" s="159" t="s">
        <v>2129</v>
      </c>
      <c r="V1481" s="159" t="s">
        <v>2129</v>
      </c>
      <c r="W1481" s="159" t="s">
        <v>2138</v>
      </c>
      <c r="X1481" s="160">
        <v>1</v>
      </c>
      <c r="Y1481" s="160">
        <v>1</v>
      </c>
      <c r="Z1481" s="160">
        <v>1</v>
      </c>
      <c r="AA1481" s="160">
        <v>1</v>
      </c>
    </row>
    <row r="1482" spans="1:27" ht="18" customHeight="1" x14ac:dyDescent="0.25">
      <c r="A1482" s="159">
        <v>3241</v>
      </c>
      <c r="B1482" s="164" t="s">
        <v>266</v>
      </c>
      <c r="C1482" s="164" t="s">
        <v>514</v>
      </c>
      <c r="D1482" s="159" t="s">
        <v>1170</v>
      </c>
      <c r="E1482" s="164" t="s">
        <v>1168</v>
      </c>
      <c r="F1482" s="159"/>
      <c r="G1482" s="157" t="s">
        <v>1349</v>
      </c>
      <c r="H1482" s="157" t="s">
        <v>1418</v>
      </c>
      <c r="I1482" s="157" t="s">
        <v>1349</v>
      </c>
      <c r="J1482" s="157" t="s">
        <v>8298</v>
      </c>
      <c r="K1482" s="157" t="s">
        <v>1554</v>
      </c>
      <c r="L1482" s="157" t="s">
        <v>2068</v>
      </c>
      <c r="M1482" s="157" t="str">
        <f t="shared" ref="M1482:M1545" si="33">CONCATENATE(L1482," - ",I1482)</f>
        <v>Short/Mid Range Radar RL / Radar +176° - Drive Assistance</v>
      </c>
      <c r="N1482" s="157"/>
      <c r="O1482" s="157"/>
      <c r="P1482" s="159" t="s">
        <v>6474</v>
      </c>
      <c r="Q1482" s="157" t="s">
        <v>2115</v>
      </c>
      <c r="R1482" s="157" t="s">
        <v>8292</v>
      </c>
      <c r="S1482" s="157" t="s">
        <v>8627</v>
      </c>
      <c r="T1482" s="157"/>
      <c r="U1482" s="159" t="s">
        <v>2129</v>
      </c>
      <c r="V1482" s="159" t="s">
        <v>2129</v>
      </c>
      <c r="W1482" s="159" t="s">
        <v>2138</v>
      </c>
      <c r="X1482" s="160">
        <v>1</v>
      </c>
      <c r="Y1482" s="160">
        <v>1</v>
      </c>
      <c r="Z1482" s="160">
        <v>1</v>
      </c>
      <c r="AA1482" s="160">
        <v>1</v>
      </c>
    </row>
    <row r="1483" spans="1:27" ht="18" customHeight="1" x14ac:dyDescent="0.25">
      <c r="A1483" s="159">
        <v>3241</v>
      </c>
      <c r="B1483" s="164" t="s">
        <v>266</v>
      </c>
      <c r="C1483" s="164" t="s">
        <v>514</v>
      </c>
      <c r="D1483" s="159" t="s">
        <v>1171</v>
      </c>
      <c r="E1483" s="164" t="s">
        <v>1223</v>
      </c>
      <c r="F1483" s="159"/>
      <c r="G1483" s="157" t="s">
        <v>1349</v>
      </c>
      <c r="H1483" s="157" t="s">
        <v>1418</v>
      </c>
      <c r="I1483" s="157" t="s">
        <v>1349</v>
      </c>
      <c r="J1483" s="157" t="s">
        <v>8298</v>
      </c>
      <c r="K1483" s="157" t="s">
        <v>1554</v>
      </c>
      <c r="L1483" s="157" t="s">
        <v>2068</v>
      </c>
      <c r="M1483" s="157" t="str">
        <f t="shared" si="33"/>
        <v>Short/Mid Range Radar RL / Radar +176° - Drive Assistance</v>
      </c>
      <c r="N1483" s="157"/>
      <c r="O1483" s="157"/>
      <c r="P1483" s="159" t="s">
        <v>6474</v>
      </c>
      <c r="Q1483" s="157" t="s">
        <v>2115</v>
      </c>
      <c r="R1483" s="157" t="s">
        <v>8292</v>
      </c>
      <c r="S1483" s="157" t="s">
        <v>8627</v>
      </c>
      <c r="T1483" s="157"/>
      <c r="U1483" s="159" t="s">
        <v>2129</v>
      </c>
      <c r="V1483" s="159" t="s">
        <v>2129</v>
      </c>
      <c r="W1483" s="159" t="s">
        <v>2138</v>
      </c>
      <c r="X1483" s="160">
        <v>1</v>
      </c>
      <c r="Y1483" s="160">
        <v>1</v>
      </c>
      <c r="Z1483" s="160">
        <v>1</v>
      </c>
      <c r="AA1483" s="160">
        <v>1</v>
      </c>
    </row>
    <row r="1484" spans="1:27" ht="18" customHeight="1" x14ac:dyDescent="0.25">
      <c r="A1484" s="159">
        <v>3241</v>
      </c>
      <c r="B1484" s="164" t="s">
        <v>266</v>
      </c>
      <c r="C1484" s="164" t="s">
        <v>519</v>
      </c>
      <c r="D1484" s="159" t="s">
        <v>522</v>
      </c>
      <c r="E1484" s="164" t="s">
        <v>520</v>
      </c>
      <c r="F1484" s="159"/>
      <c r="G1484" s="157" t="s">
        <v>1349</v>
      </c>
      <c r="H1484" s="157" t="s">
        <v>1418</v>
      </c>
      <c r="I1484" s="157" t="s">
        <v>1349</v>
      </c>
      <c r="J1484" s="157" t="s">
        <v>8298</v>
      </c>
      <c r="K1484" s="157" t="s">
        <v>1554</v>
      </c>
      <c r="L1484" s="157" t="s">
        <v>2068</v>
      </c>
      <c r="M1484" s="157" t="str">
        <f t="shared" si="33"/>
        <v>Short/Mid Range Radar RL / Radar +176° - Drive Assistance</v>
      </c>
      <c r="N1484" s="157"/>
      <c r="O1484" s="157"/>
      <c r="P1484" s="159" t="s">
        <v>6474</v>
      </c>
      <c r="Q1484" s="157" t="s">
        <v>2115</v>
      </c>
      <c r="R1484" s="157" t="s">
        <v>8292</v>
      </c>
      <c r="S1484" s="157" t="s">
        <v>8627</v>
      </c>
      <c r="T1484" s="157"/>
      <c r="U1484" s="159" t="s">
        <v>2129</v>
      </c>
      <c r="V1484" s="159" t="s">
        <v>2129</v>
      </c>
      <c r="W1484" s="159" t="s">
        <v>2138</v>
      </c>
      <c r="X1484" s="160">
        <v>1</v>
      </c>
      <c r="Y1484" s="160">
        <v>1</v>
      </c>
      <c r="Z1484" s="160">
        <v>1</v>
      </c>
      <c r="AA1484" s="160">
        <v>1</v>
      </c>
    </row>
    <row r="1485" spans="1:27" ht="18" customHeight="1" x14ac:dyDescent="0.25">
      <c r="A1485" s="159">
        <v>3241</v>
      </c>
      <c r="B1485" s="164" t="s">
        <v>266</v>
      </c>
      <c r="C1485" s="164" t="s">
        <v>519</v>
      </c>
      <c r="D1485" s="159" t="s">
        <v>526</v>
      </c>
      <c r="E1485" s="164" t="s">
        <v>524</v>
      </c>
      <c r="F1485" s="159"/>
      <c r="G1485" s="157" t="s">
        <v>1349</v>
      </c>
      <c r="H1485" s="157" t="s">
        <v>1418</v>
      </c>
      <c r="I1485" s="157" t="s">
        <v>1349</v>
      </c>
      <c r="J1485" s="157" t="s">
        <v>8298</v>
      </c>
      <c r="K1485" s="157" t="s">
        <v>1554</v>
      </c>
      <c r="L1485" s="157" t="s">
        <v>2068</v>
      </c>
      <c r="M1485" s="157" t="str">
        <f t="shared" si="33"/>
        <v>Short/Mid Range Radar RL / Radar +176° - Drive Assistance</v>
      </c>
      <c r="N1485" s="157"/>
      <c r="O1485" s="157"/>
      <c r="P1485" s="159" t="s">
        <v>6474</v>
      </c>
      <c r="Q1485" s="157" t="s">
        <v>2115</v>
      </c>
      <c r="R1485" s="157" t="s">
        <v>8292</v>
      </c>
      <c r="S1485" s="157" t="s">
        <v>8627</v>
      </c>
      <c r="T1485" s="157"/>
      <c r="U1485" s="159" t="s">
        <v>2129</v>
      </c>
      <c r="V1485" s="159" t="s">
        <v>2129</v>
      </c>
      <c r="W1485" s="159" t="s">
        <v>2138</v>
      </c>
      <c r="X1485" s="160">
        <v>1</v>
      </c>
      <c r="Y1485" s="160">
        <v>1</v>
      </c>
      <c r="Z1485" s="160">
        <v>1</v>
      </c>
      <c r="AA1485" s="160">
        <v>1</v>
      </c>
    </row>
    <row r="1486" spans="1:27" ht="18" customHeight="1" x14ac:dyDescent="0.25">
      <c r="A1486" s="159">
        <v>3241</v>
      </c>
      <c r="B1486" s="164" t="s">
        <v>266</v>
      </c>
      <c r="C1486" s="164" t="s">
        <v>519</v>
      </c>
      <c r="D1486" s="159" t="s">
        <v>530</v>
      </c>
      <c r="E1486" s="164" t="s">
        <v>528</v>
      </c>
      <c r="F1486" s="159"/>
      <c r="G1486" s="157" t="s">
        <v>1349</v>
      </c>
      <c r="H1486" s="157" t="s">
        <v>1418</v>
      </c>
      <c r="I1486" s="157" t="s">
        <v>1349</v>
      </c>
      <c r="J1486" s="157" t="s">
        <v>8298</v>
      </c>
      <c r="K1486" s="157" t="s">
        <v>1554</v>
      </c>
      <c r="L1486" s="157" t="s">
        <v>2068</v>
      </c>
      <c r="M1486" s="157" t="str">
        <f t="shared" si="33"/>
        <v>Short/Mid Range Radar RL / Radar +176° - Drive Assistance</v>
      </c>
      <c r="N1486" s="157"/>
      <c r="O1486" s="157"/>
      <c r="P1486" s="159" t="s">
        <v>6474</v>
      </c>
      <c r="Q1486" s="157" t="s">
        <v>2115</v>
      </c>
      <c r="R1486" s="157" t="s">
        <v>8292</v>
      </c>
      <c r="S1486" s="157" t="s">
        <v>8627</v>
      </c>
      <c r="T1486" s="157"/>
      <c r="U1486" s="159" t="s">
        <v>2129</v>
      </c>
      <c r="V1486" s="159" t="s">
        <v>2129</v>
      </c>
      <c r="W1486" s="159" t="s">
        <v>2138</v>
      </c>
      <c r="X1486" s="160">
        <v>1</v>
      </c>
      <c r="Y1486" s="160">
        <v>1</v>
      </c>
      <c r="Z1486" s="160">
        <v>1</v>
      </c>
      <c r="AA1486" s="160">
        <v>1</v>
      </c>
    </row>
    <row r="1487" spans="1:27" ht="18" customHeight="1" x14ac:dyDescent="0.25">
      <c r="A1487" s="159">
        <v>3241</v>
      </c>
      <c r="B1487" s="164" t="s">
        <v>266</v>
      </c>
      <c r="C1487" s="164" t="s">
        <v>519</v>
      </c>
      <c r="D1487" s="159" t="s">
        <v>787</v>
      </c>
      <c r="E1487" s="164" t="s">
        <v>785</v>
      </c>
      <c r="F1487" s="159"/>
      <c r="G1487" s="157" t="s">
        <v>1349</v>
      </c>
      <c r="H1487" s="157" t="s">
        <v>1418</v>
      </c>
      <c r="I1487" s="157" t="s">
        <v>1349</v>
      </c>
      <c r="J1487" s="157" t="s">
        <v>8298</v>
      </c>
      <c r="K1487" s="157" t="s">
        <v>1554</v>
      </c>
      <c r="L1487" s="157" t="s">
        <v>2068</v>
      </c>
      <c r="M1487" s="157" t="str">
        <f t="shared" si="33"/>
        <v>Short/Mid Range Radar RL / Radar +176° - Drive Assistance</v>
      </c>
      <c r="N1487" s="157"/>
      <c r="O1487" s="157"/>
      <c r="P1487" s="159" t="s">
        <v>6474</v>
      </c>
      <c r="Q1487" s="157" t="s">
        <v>2115</v>
      </c>
      <c r="R1487" s="157" t="s">
        <v>8292</v>
      </c>
      <c r="S1487" s="157" t="s">
        <v>8627</v>
      </c>
      <c r="T1487" s="157"/>
      <c r="U1487" s="159" t="s">
        <v>2129</v>
      </c>
      <c r="V1487" s="159" t="s">
        <v>2129</v>
      </c>
      <c r="W1487" s="159" t="s">
        <v>2138</v>
      </c>
      <c r="X1487" s="160">
        <v>1</v>
      </c>
      <c r="Y1487" s="160">
        <v>1</v>
      </c>
      <c r="Z1487" s="160">
        <v>1</v>
      </c>
      <c r="AA1487" s="160">
        <v>1</v>
      </c>
    </row>
    <row r="1488" spans="1:27" ht="18" customHeight="1" x14ac:dyDescent="0.25">
      <c r="A1488" s="159">
        <v>3241</v>
      </c>
      <c r="B1488" s="164" t="s">
        <v>266</v>
      </c>
      <c r="C1488" s="164" t="s">
        <v>519</v>
      </c>
      <c r="D1488" s="159" t="s">
        <v>935</v>
      </c>
      <c r="E1488" s="164" t="s">
        <v>933</v>
      </c>
      <c r="F1488" s="159"/>
      <c r="G1488" s="157" t="s">
        <v>1349</v>
      </c>
      <c r="H1488" s="157" t="s">
        <v>1418</v>
      </c>
      <c r="I1488" s="157" t="s">
        <v>1349</v>
      </c>
      <c r="J1488" s="157" t="s">
        <v>8298</v>
      </c>
      <c r="K1488" s="157" t="s">
        <v>1554</v>
      </c>
      <c r="L1488" s="157" t="s">
        <v>2068</v>
      </c>
      <c r="M1488" s="157" t="str">
        <f t="shared" si="33"/>
        <v>Short/Mid Range Radar RL / Radar +176° - Drive Assistance</v>
      </c>
      <c r="N1488" s="157"/>
      <c r="O1488" s="157"/>
      <c r="P1488" s="159" t="s">
        <v>6474</v>
      </c>
      <c r="Q1488" s="157" t="s">
        <v>2115</v>
      </c>
      <c r="R1488" s="157" t="s">
        <v>8292</v>
      </c>
      <c r="S1488" s="157" t="s">
        <v>8627</v>
      </c>
      <c r="T1488" s="157"/>
      <c r="U1488" s="159" t="s">
        <v>2129</v>
      </c>
      <c r="V1488" s="159" t="s">
        <v>2129</v>
      </c>
      <c r="W1488" s="159" t="s">
        <v>2138</v>
      </c>
      <c r="X1488" s="160">
        <v>1</v>
      </c>
      <c r="Y1488" s="160">
        <v>1</v>
      </c>
      <c r="Z1488" s="160">
        <v>1</v>
      </c>
      <c r="AA1488" s="160">
        <v>1</v>
      </c>
    </row>
    <row r="1489" spans="1:27" ht="18" customHeight="1" x14ac:dyDescent="0.25">
      <c r="A1489" s="159">
        <v>3241</v>
      </c>
      <c r="B1489" s="164" t="s">
        <v>266</v>
      </c>
      <c r="C1489" s="164" t="s">
        <v>519</v>
      </c>
      <c r="D1489" s="159" t="s">
        <v>1151</v>
      </c>
      <c r="E1489" s="164" t="s">
        <v>1149</v>
      </c>
      <c r="F1489" s="159"/>
      <c r="G1489" s="157" t="s">
        <v>1349</v>
      </c>
      <c r="H1489" s="157" t="s">
        <v>1418</v>
      </c>
      <c r="I1489" s="157" t="s">
        <v>1349</v>
      </c>
      <c r="J1489" s="157" t="s">
        <v>8298</v>
      </c>
      <c r="K1489" s="157" t="s">
        <v>1554</v>
      </c>
      <c r="L1489" s="157" t="s">
        <v>2068</v>
      </c>
      <c r="M1489" s="157" t="str">
        <f t="shared" si="33"/>
        <v>Short/Mid Range Radar RL / Radar +176° - Drive Assistance</v>
      </c>
      <c r="N1489" s="157"/>
      <c r="O1489" s="157"/>
      <c r="P1489" s="159" t="s">
        <v>6474</v>
      </c>
      <c r="Q1489" s="157" t="s">
        <v>2115</v>
      </c>
      <c r="R1489" s="157" t="s">
        <v>8292</v>
      </c>
      <c r="S1489" s="157" t="s">
        <v>8627</v>
      </c>
      <c r="T1489" s="157"/>
      <c r="U1489" s="159" t="s">
        <v>2129</v>
      </c>
      <c r="V1489" s="159" t="s">
        <v>2129</v>
      </c>
      <c r="W1489" s="159" t="s">
        <v>2138</v>
      </c>
      <c r="X1489" s="160">
        <v>1</v>
      </c>
      <c r="Y1489" s="160">
        <v>1</v>
      </c>
      <c r="Z1489" s="160">
        <v>1</v>
      </c>
      <c r="AA1489" s="160">
        <v>1</v>
      </c>
    </row>
    <row r="1490" spans="1:27" ht="18" customHeight="1" x14ac:dyDescent="0.25">
      <c r="A1490" s="159">
        <v>3241</v>
      </c>
      <c r="B1490" s="164" t="s">
        <v>266</v>
      </c>
      <c r="C1490" s="164" t="s">
        <v>519</v>
      </c>
      <c r="D1490" s="159" t="s">
        <v>1159</v>
      </c>
      <c r="E1490" s="164" t="s">
        <v>1157</v>
      </c>
      <c r="F1490" s="159"/>
      <c r="G1490" s="157" t="s">
        <v>1349</v>
      </c>
      <c r="H1490" s="157" t="s">
        <v>1418</v>
      </c>
      <c r="I1490" s="157" t="s">
        <v>1349</v>
      </c>
      <c r="J1490" s="157" t="s">
        <v>8298</v>
      </c>
      <c r="K1490" s="157" t="s">
        <v>1554</v>
      </c>
      <c r="L1490" s="157" t="s">
        <v>2068</v>
      </c>
      <c r="M1490" s="157" t="str">
        <f t="shared" si="33"/>
        <v>Short/Mid Range Radar RL / Radar +176° - Drive Assistance</v>
      </c>
      <c r="N1490" s="157"/>
      <c r="O1490" s="157"/>
      <c r="P1490" s="159" t="s">
        <v>6474</v>
      </c>
      <c r="Q1490" s="157" t="s">
        <v>2115</v>
      </c>
      <c r="R1490" s="157" t="s">
        <v>8292</v>
      </c>
      <c r="S1490" s="157" t="s">
        <v>8627</v>
      </c>
      <c r="T1490" s="157"/>
      <c r="U1490" s="159" t="s">
        <v>2129</v>
      </c>
      <c r="V1490" s="159" t="s">
        <v>2129</v>
      </c>
      <c r="W1490" s="159" t="s">
        <v>2138</v>
      </c>
      <c r="X1490" s="160">
        <v>1</v>
      </c>
      <c r="Y1490" s="160">
        <v>1</v>
      </c>
      <c r="Z1490" s="160">
        <v>1</v>
      </c>
      <c r="AA1490" s="160">
        <v>1</v>
      </c>
    </row>
    <row r="1491" spans="1:27" ht="18" customHeight="1" x14ac:dyDescent="0.25">
      <c r="A1491" s="159">
        <v>3350</v>
      </c>
      <c r="B1491" s="157" t="s">
        <v>318</v>
      </c>
      <c r="C1491" s="157" t="s">
        <v>443</v>
      </c>
      <c r="D1491" s="159" t="s">
        <v>763</v>
      </c>
      <c r="E1491" s="157" t="s">
        <v>761</v>
      </c>
      <c r="F1491" s="157"/>
      <c r="G1491" s="157" t="s">
        <v>13</v>
      </c>
      <c r="H1491" s="157" t="s">
        <v>1459</v>
      </c>
      <c r="I1491" s="157" t="s">
        <v>1636</v>
      </c>
      <c r="J1491" s="157" t="s">
        <v>1285</v>
      </c>
      <c r="K1491" s="157" t="s">
        <v>1274</v>
      </c>
      <c r="L1491" s="157" t="s">
        <v>1637</v>
      </c>
      <c r="M1491" s="157" t="str">
        <f t="shared" si="33"/>
        <v>Power Distribution Control Unit - Power Distribution Management</v>
      </c>
      <c r="N1491" s="157"/>
      <c r="O1491" s="157"/>
      <c r="P1491" s="159"/>
      <c r="Q1491" s="157"/>
      <c r="R1491" s="157"/>
      <c r="S1491" s="157"/>
      <c r="T1491" s="157"/>
      <c r="U1491" s="159"/>
      <c r="V1491" s="159"/>
      <c r="W1491" s="159"/>
      <c r="X1491" s="160"/>
      <c r="Y1491" s="160"/>
      <c r="Z1491" s="160"/>
      <c r="AA1491" s="160"/>
    </row>
    <row r="1492" spans="1:27" ht="18" customHeight="1" x14ac:dyDescent="0.25">
      <c r="A1492" s="159">
        <v>3350</v>
      </c>
      <c r="B1492" s="157" t="s">
        <v>318</v>
      </c>
      <c r="C1492" s="157" t="s">
        <v>319</v>
      </c>
      <c r="D1492" s="159" t="s">
        <v>323</v>
      </c>
      <c r="E1492" s="157" t="s">
        <v>666</v>
      </c>
      <c r="F1492" s="157" t="s">
        <v>1010</v>
      </c>
      <c r="G1492" s="157" t="s">
        <v>13</v>
      </c>
      <c r="H1492" s="157" t="s">
        <v>1459</v>
      </c>
      <c r="I1492" s="157" t="s">
        <v>1636</v>
      </c>
      <c r="J1492" s="157" t="s">
        <v>1285</v>
      </c>
      <c r="K1492" s="157" t="s">
        <v>1274</v>
      </c>
      <c r="L1492" s="157" t="s">
        <v>1637</v>
      </c>
      <c r="M1492" s="157" t="str">
        <f t="shared" si="33"/>
        <v>Power Distribution Control Unit - Power Distribution Management</v>
      </c>
      <c r="N1492" s="157"/>
      <c r="O1492" s="157"/>
      <c r="P1492" s="159"/>
      <c r="Q1492" s="157"/>
      <c r="R1492" s="157"/>
      <c r="S1492" s="157"/>
      <c r="T1492" s="157"/>
      <c r="U1492" s="159"/>
      <c r="V1492" s="159"/>
      <c r="W1492" s="159"/>
      <c r="X1492" s="160"/>
      <c r="Y1492" s="160"/>
      <c r="Z1492" s="160"/>
      <c r="AA1492" s="160"/>
    </row>
    <row r="1493" spans="1:27" ht="18" customHeight="1" x14ac:dyDescent="0.25">
      <c r="A1493" s="159">
        <v>4005</v>
      </c>
      <c r="B1493" s="157" t="s">
        <v>22</v>
      </c>
      <c r="C1493" s="157" t="s">
        <v>40</v>
      </c>
      <c r="D1493" s="159" t="s">
        <v>43</v>
      </c>
      <c r="E1493" s="157" t="s">
        <v>41</v>
      </c>
      <c r="F1493" s="157"/>
      <c r="G1493" s="157" t="s">
        <v>1299</v>
      </c>
      <c r="H1493" s="157" t="s">
        <v>1300</v>
      </c>
      <c r="I1493" s="157" t="s">
        <v>1300</v>
      </c>
      <c r="J1493" s="157"/>
      <c r="K1493" s="157" t="s">
        <v>1274</v>
      </c>
      <c r="L1493" s="157" t="s">
        <v>9441</v>
      </c>
      <c r="M1493" s="157" t="str">
        <f t="shared" si="33"/>
        <v>Airbag Control Unit - Airbag</v>
      </c>
      <c r="N1493" s="157"/>
      <c r="O1493" s="157"/>
      <c r="P1493" s="159" t="s">
        <v>5754</v>
      </c>
      <c r="Q1493" s="157"/>
      <c r="R1493" s="157"/>
      <c r="S1493" s="157"/>
      <c r="T1493" s="157"/>
      <c r="U1493" s="159" t="s">
        <v>2138</v>
      </c>
      <c r="V1493" s="159" t="s">
        <v>2138</v>
      </c>
      <c r="W1493" s="159" t="s">
        <v>2138</v>
      </c>
      <c r="X1493" s="160">
        <v>1</v>
      </c>
      <c r="Y1493" s="160">
        <v>1</v>
      </c>
      <c r="Z1493" s="160">
        <v>1</v>
      </c>
      <c r="AA1493" s="160">
        <v>1</v>
      </c>
    </row>
    <row r="1494" spans="1:27" ht="18" customHeight="1" x14ac:dyDescent="0.25">
      <c r="A1494" s="159">
        <v>4005</v>
      </c>
      <c r="B1494" s="157" t="s">
        <v>22</v>
      </c>
      <c r="C1494" s="157" t="s">
        <v>40</v>
      </c>
      <c r="D1494" s="159" t="s">
        <v>47</v>
      </c>
      <c r="E1494" s="157" t="s">
        <v>45</v>
      </c>
      <c r="F1494" s="157"/>
      <c r="G1494" s="157" t="s">
        <v>1299</v>
      </c>
      <c r="H1494" s="157" t="s">
        <v>1300</v>
      </c>
      <c r="I1494" s="157" t="s">
        <v>1300</v>
      </c>
      <c r="J1494" s="157"/>
      <c r="K1494" s="157" t="s">
        <v>1274</v>
      </c>
      <c r="L1494" s="157" t="s">
        <v>9441</v>
      </c>
      <c r="M1494" s="157" t="str">
        <f t="shared" si="33"/>
        <v>Airbag Control Unit - Airbag</v>
      </c>
      <c r="N1494" s="157"/>
      <c r="O1494" s="157"/>
      <c r="P1494" s="159" t="s">
        <v>5754</v>
      </c>
      <c r="Q1494" s="157"/>
      <c r="R1494" s="157"/>
      <c r="S1494" s="157"/>
      <c r="T1494" s="157"/>
      <c r="U1494" s="159" t="s">
        <v>2138</v>
      </c>
      <c r="V1494" s="159" t="s">
        <v>2138</v>
      </c>
      <c r="W1494" s="159" t="s">
        <v>2138</v>
      </c>
      <c r="X1494" s="160">
        <v>1</v>
      </c>
      <c r="Y1494" s="160">
        <v>1</v>
      </c>
      <c r="Z1494" s="160">
        <v>1</v>
      </c>
      <c r="AA1494" s="160">
        <v>1</v>
      </c>
    </row>
    <row r="1495" spans="1:27" ht="18" customHeight="1" x14ac:dyDescent="0.25">
      <c r="A1495" s="159">
        <v>4005</v>
      </c>
      <c r="B1495" s="157" t="s">
        <v>22</v>
      </c>
      <c r="C1495" s="157" t="s">
        <v>40</v>
      </c>
      <c r="D1495" s="159" t="s">
        <v>44</v>
      </c>
      <c r="E1495" s="157" t="s">
        <v>48</v>
      </c>
      <c r="F1495" s="157"/>
      <c r="G1495" s="157" t="s">
        <v>1299</v>
      </c>
      <c r="H1495" s="157" t="s">
        <v>1300</v>
      </c>
      <c r="I1495" s="157" t="s">
        <v>1300</v>
      </c>
      <c r="J1495" s="157"/>
      <c r="K1495" s="157" t="s">
        <v>1274</v>
      </c>
      <c r="L1495" s="157" t="s">
        <v>9441</v>
      </c>
      <c r="M1495" s="157" t="str">
        <f t="shared" si="33"/>
        <v>Airbag Control Unit - Airbag</v>
      </c>
      <c r="N1495" s="157"/>
      <c r="O1495" s="157"/>
      <c r="P1495" s="159" t="s">
        <v>5754</v>
      </c>
      <c r="Q1495" s="157"/>
      <c r="R1495" s="157"/>
      <c r="S1495" s="157"/>
      <c r="T1495" s="157"/>
      <c r="U1495" s="159" t="s">
        <v>2138</v>
      </c>
      <c r="V1495" s="159" t="s">
        <v>2138</v>
      </c>
      <c r="W1495" s="159" t="s">
        <v>2138</v>
      </c>
      <c r="X1495" s="160">
        <v>1</v>
      </c>
      <c r="Y1495" s="160">
        <v>1</v>
      </c>
      <c r="Z1495" s="160">
        <v>1</v>
      </c>
      <c r="AA1495" s="160">
        <v>1</v>
      </c>
    </row>
    <row r="1496" spans="1:27" ht="18" customHeight="1" x14ac:dyDescent="0.25">
      <c r="A1496" s="159">
        <v>4005</v>
      </c>
      <c r="B1496" s="157" t="s">
        <v>22</v>
      </c>
      <c r="C1496" s="157" t="s">
        <v>40</v>
      </c>
      <c r="D1496" s="159" t="s">
        <v>53</v>
      </c>
      <c r="E1496" s="157" t="s">
        <v>51</v>
      </c>
      <c r="F1496" s="157"/>
      <c r="G1496" s="157" t="s">
        <v>1299</v>
      </c>
      <c r="H1496" s="157" t="s">
        <v>1300</v>
      </c>
      <c r="I1496" s="157" t="s">
        <v>1300</v>
      </c>
      <c r="J1496" s="157"/>
      <c r="K1496" s="157" t="s">
        <v>1274</v>
      </c>
      <c r="L1496" s="157" t="s">
        <v>9441</v>
      </c>
      <c r="M1496" s="157" t="str">
        <f t="shared" si="33"/>
        <v>Airbag Control Unit - Airbag</v>
      </c>
      <c r="N1496" s="157"/>
      <c r="O1496" s="157"/>
      <c r="P1496" s="159" t="s">
        <v>5754</v>
      </c>
      <c r="Q1496" s="157"/>
      <c r="R1496" s="157"/>
      <c r="S1496" s="157"/>
      <c r="T1496" s="157"/>
      <c r="U1496" s="159" t="s">
        <v>2138</v>
      </c>
      <c r="V1496" s="159" t="s">
        <v>2138</v>
      </c>
      <c r="W1496" s="159" t="s">
        <v>2138</v>
      </c>
      <c r="X1496" s="160">
        <v>1</v>
      </c>
      <c r="Y1496" s="160">
        <v>1</v>
      </c>
      <c r="Z1496" s="160">
        <v>1</v>
      </c>
      <c r="AA1496" s="160">
        <v>1</v>
      </c>
    </row>
    <row r="1497" spans="1:27" ht="18" customHeight="1" x14ac:dyDescent="0.25">
      <c r="A1497" s="159">
        <v>4005</v>
      </c>
      <c r="B1497" s="157" t="s">
        <v>22</v>
      </c>
      <c r="C1497" s="157" t="s">
        <v>40</v>
      </c>
      <c r="D1497" s="159" t="s">
        <v>56</v>
      </c>
      <c r="E1497" s="157" t="s">
        <v>54</v>
      </c>
      <c r="F1497" s="157"/>
      <c r="G1497" s="157" t="s">
        <v>1299</v>
      </c>
      <c r="H1497" s="157" t="s">
        <v>1300</v>
      </c>
      <c r="I1497" s="157" t="s">
        <v>1300</v>
      </c>
      <c r="J1497" s="157"/>
      <c r="K1497" s="157" t="s">
        <v>1274</v>
      </c>
      <c r="L1497" s="157" t="s">
        <v>9441</v>
      </c>
      <c r="M1497" s="157" t="str">
        <f t="shared" si="33"/>
        <v>Airbag Control Unit - Airbag</v>
      </c>
      <c r="N1497" s="157"/>
      <c r="O1497" s="157"/>
      <c r="P1497" s="159" t="s">
        <v>5754</v>
      </c>
      <c r="Q1497" s="157"/>
      <c r="R1497" s="157"/>
      <c r="S1497" s="157"/>
      <c r="T1497" s="157"/>
      <c r="U1497" s="159" t="s">
        <v>2138</v>
      </c>
      <c r="V1497" s="159" t="s">
        <v>2138</v>
      </c>
      <c r="W1497" s="159" t="s">
        <v>2138</v>
      </c>
      <c r="X1497" s="160">
        <v>1</v>
      </c>
      <c r="Y1497" s="160">
        <v>1</v>
      </c>
      <c r="Z1497" s="160">
        <v>1</v>
      </c>
      <c r="AA1497" s="160">
        <v>1</v>
      </c>
    </row>
    <row r="1498" spans="1:27" ht="18" customHeight="1" x14ac:dyDescent="0.25">
      <c r="A1498" s="159">
        <v>4005</v>
      </c>
      <c r="B1498" s="157" t="s">
        <v>22</v>
      </c>
      <c r="C1498" s="157" t="s">
        <v>40</v>
      </c>
      <c r="D1498" s="159" t="s">
        <v>76</v>
      </c>
      <c r="E1498" s="157" t="s">
        <v>74</v>
      </c>
      <c r="F1498" s="157"/>
      <c r="G1498" s="157" t="s">
        <v>1299</v>
      </c>
      <c r="H1498" s="157" t="s">
        <v>1300</v>
      </c>
      <c r="I1498" s="157" t="s">
        <v>1300</v>
      </c>
      <c r="J1498" s="157"/>
      <c r="K1498" s="157" t="s">
        <v>1274</v>
      </c>
      <c r="L1498" s="157" t="s">
        <v>9441</v>
      </c>
      <c r="M1498" s="157" t="str">
        <f t="shared" si="33"/>
        <v>Airbag Control Unit - Airbag</v>
      </c>
      <c r="N1498" s="157"/>
      <c r="O1498" s="157"/>
      <c r="P1498" s="159" t="s">
        <v>5754</v>
      </c>
      <c r="Q1498" s="157"/>
      <c r="R1498" s="157"/>
      <c r="S1498" s="157"/>
      <c r="T1498" s="157"/>
      <c r="U1498" s="159" t="s">
        <v>2138</v>
      </c>
      <c r="V1498" s="159" t="s">
        <v>2138</v>
      </c>
      <c r="W1498" s="159" t="s">
        <v>2138</v>
      </c>
      <c r="X1498" s="160">
        <v>1</v>
      </c>
      <c r="Y1498" s="160">
        <v>1</v>
      </c>
      <c r="Z1498" s="160">
        <v>1</v>
      </c>
      <c r="AA1498" s="160">
        <v>1</v>
      </c>
    </row>
    <row r="1499" spans="1:27" ht="18" customHeight="1" x14ac:dyDescent="0.25">
      <c r="A1499" s="159">
        <v>4005</v>
      </c>
      <c r="B1499" s="157" t="s">
        <v>22</v>
      </c>
      <c r="C1499" s="157" t="s">
        <v>40</v>
      </c>
      <c r="D1499" s="159" t="s">
        <v>618</v>
      </c>
      <c r="E1499" s="157" t="s">
        <v>617</v>
      </c>
      <c r="F1499" s="157"/>
      <c r="G1499" s="157" t="s">
        <v>1299</v>
      </c>
      <c r="H1499" s="157" t="s">
        <v>1300</v>
      </c>
      <c r="I1499" s="157" t="s">
        <v>1300</v>
      </c>
      <c r="J1499" s="157"/>
      <c r="K1499" s="157" t="s">
        <v>1274</v>
      </c>
      <c r="L1499" s="157" t="s">
        <v>9441</v>
      </c>
      <c r="M1499" s="157" t="str">
        <f t="shared" si="33"/>
        <v>Airbag Control Unit - Airbag</v>
      </c>
      <c r="N1499" s="157"/>
      <c r="O1499" s="157"/>
      <c r="P1499" s="159" t="s">
        <v>5754</v>
      </c>
      <c r="Q1499" s="157"/>
      <c r="R1499" s="157"/>
      <c r="S1499" s="157"/>
      <c r="T1499" s="157"/>
      <c r="U1499" s="159" t="s">
        <v>2138</v>
      </c>
      <c r="V1499" s="159" t="s">
        <v>2138</v>
      </c>
      <c r="W1499" s="159" t="s">
        <v>2138</v>
      </c>
      <c r="X1499" s="160">
        <v>1</v>
      </c>
      <c r="Y1499" s="160">
        <v>1</v>
      </c>
      <c r="Z1499" s="160">
        <v>1</v>
      </c>
      <c r="AA1499" s="160">
        <v>1</v>
      </c>
    </row>
    <row r="1500" spans="1:27" ht="18" customHeight="1" x14ac:dyDescent="0.25">
      <c r="A1500" s="159">
        <v>4005</v>
      </c>
      <c r="B1500" s="157" t="s">
        <v>22</v>
      </c>
      <c r="C1500" s="157" t="s">
        <v>40</v>
      </c>
      <c r="D1500" s="159" t="s">
        <v>627</v>
      </c>
      <c r="E1500" s="157" t="s">
        <v>625</v>
      </c>
      <c r="F1500" s="157"/>
      <c r="G1500" s="157" t="s">
        <v>1299</v>
      </c>
      <c r="H1500" s="157" t="s">
        <v>1300</v>
      </c>
      <c r="I1500" s="157" t="s">
        <v>1300</v>
      </c>
      <c r="J1500" s="157"/>
      <c r="K1500" s="157" t="s">
        <v>1274</v>
      </c>
      <c r="L1500" s="157" t="s">
        <v>9441</v>
      </c>
      <c r="M1500" s="157" t="str">
        <f t="shared" si="33"/>
        <v>Airbag Control Unit - Airbag</v>
      </c>
      <c r="N1500" s="157"/>
      <c r="O1500" s="157"/>
      <c r="P1500" s="159" t="s">
        <v>5754</v>
      </c>
      <c r="Q1500" s="157"/>
      <c r="R1500" s="157"/>
      <c r="S1500" s="157"/>
      <c r="T1500" s="157"/>
      <c r="U1500" s="159" t="s">
        <v>2138</v>
      </c>
      <c r="V1500" s="159" t="s">
        <v>2138</v>
      </c>
      <c r="W1500" s="159" t="s">
        <v>2138</v>
      </c>
      <c r="X1500" s="160">
        <v>1</v>
      </c>
      <c r="Y1500" s="160">
        <v>1</v>
      </c>
      <c r="Z1500" s="160">
        <v>1</v>
      </c>
      <c r="AA1500" s="160">
        <v>1</v>
      </c>
    </row>
    <row r="1501" spans="1:27" ht="18" customHeight="1" x14ac:dyDescent="0.25">
      <c r="A1501" s="159">
        <v>4005</v>
      </c>
      <c r="B1501" s="157" t="s">
        <v>22</v>
      </c>
      <c r="C1501" s="157" t="s">
        <v>40</v>
      </c>
      <c r="D1501" s="159" t="s">
        <v>636</v>
      </c>
      <c r="E1501" s="157" t="s">
        <v>634</v>
      </c>
      <c r="F1501" s="157"/>
      <c r="G1501" s="157" t="s">
        <v>1299</v>
      </c>
      <c r="H1501" s="157" t="s">
        <v>1300</v>
      </c>
      <c r="I1501" s="157" t="s">
        <v>1300</v>
      </c>
      <c r="J1501" s="157"/>
      <c r="K1501" s="157" t="s">
        <v>1274</v>
      </c>
      <c r="L1501" s="157" t="s">
        <v>9441</v>
      </c>
      <c r="M1501" s="157" t="str">
        <f t="shared" si="33"/>
        <v>Airbag Control Unit - Airbag</v>
      </c>
      <c r="N1501" s="157"/>
      <c r="O1501" s="157"/>
      <c r="P1501" s="159" t="s">
        <v>5754</v>
      </c>
      <c r="Q1501" s="157"/>
      <c r="R1501" s="157"/>
      <c r="S1501" s="157"/>
      <c r="T1501" s="157"/>
      <c r="U1501" s="159" t="s">
        <v>2138</v>
      </c>
      <c r="V1501" s="159" t="s">
        <v>2138</v>
      </c>
      <c r="W1501" s="159" t="s">
        <v>2138</v>
      </c>
      <c r="X1501" s="160">
        <v>1</v>
      </c>
      <c r="Y1501" s="160">
        <v>1</v>
      </c>
      <c r="Z1501" s="160">
        <v>1</v>
      </c>
      <c r="AA1501" s="160">
        <v>1</v>
      </c>
    </row>
    <row r="1502" spans="1:27" ht="18" customHeight="1" x14ac:dyDescent="0.25">
      <c r="A1502" s="159">
        <v>4005</v>
      </c>
      <c r="B1502" s="157" t="s">
        <v>22</v>
      </c>
      <c r="C1502" s="157" t="s">
        <v>40</v>
      </c>
      <c r="D1502" s="159" t="s">
        <v>739</v>
      </c>
      <c r="E1502" s="157" t="s">
        <v>737</v>
      </c>
      <c r="F1502" s="157"/>
      <c r="G1502" s="157" t="s">
        <v>1299</v>
      </c>
      <c r="H1502" s="157" t="s">
        <v>1300</v>
      </c>
      <c r="I1502" s="157" t="s">
        <v>1300</v>
      </c>
      <c r="J1502" s="157"/>
      <c r="K1502" s="157" t="s">
        <v>1274</v>
      </c>
      <c r="L1502" s="157" t="s">
        <v>9441</v>
      </c>
      <c r="M1502" s="157" t="str">
        <f t="shared" si="33"/>
        <v>Airbag Control Unit - Airbag</v>
      </c>
      <c r="N1502" s="157"/>
      <c r="O1502" s="157"/>
      <c r="P1502" s="159" t="s">
        <v>5754</v>
      </c>
      <c r="Q1502" s="157"/>
      <c r="R1502" s="157"/>
      <c r="S1502" s="157"/>
      <c r="T1502" s="157"/>
      <c r="U1502" s="159" t="s">
        <v>2138</v>
      </c>
      <c r="V1502" s="159" t="s">
        <v>2138</v>
      </c>
      <c r="W1502" s="159" t="s">
        <v>2138</v>
      </c>
      <c r="X1502" s="160">
        <v>1</v>
      </c>
      <c r="Y1502" s="160">
        <v>1</v>
      </c>
      <c r="Z1502" s="160">
        <v>1</v>
      </c>
      <c r="AA1502" s="160">
        <v>1</v>
      </c>
    </row>
    <row r="1503" spans="1:27" ht="18" customHeight="1" x14ac:dyDescent="0.25">
      <c r="A1503" s="159">
        <v>4005</v>
      </c>
      <c r="B1503" s="157" t="s">
        <v>22</v>
      </c>
      <c r="C1503" s="157" t="s">
        <v>40</v>
      </c>
      <c r="D1503" s="159" t="s">
        <v>39</v>
      </c>
      <c r="E1503" s="157" t="s">
        <v>740</v>
      </c>
      <c r="F1503" s="157"/>
      <c r="G1503" s="157" t="s">
        <v>1299</v>
      </c>
      <c r="H1503" s="157" t="s">
        <v>1300</v>
      </c>
      <c r="I1503" s="157" t="s">
        <v>1300</v>
      </c>
      <c r="J1503" s="157"/>
      <c r="K1503" s="157" t="s">
        <v>1274</v>
      </c>
      <c r="L1503" s="157" t="s">
        <v>9441</v>
      </c>
      <c r="M1503" s="157" t="str">
        <f t="shared" si="33"/>
        <v>Airbag Control Unit - Airbag</v>
      </c>
      <c r="N1503" s="157"/>
      <c r="O1503" s="157"/>
      <c r="P1503" s="159" t="s">
        <v>5754</v>
      </c>
      <c r="Q1503" s="157"/>
      <c r="R1503" s="157"/>
      <c r="S1503" s="157"/>
      <c r="T1503" s="157"/>
      <c r="U1503" s="159" t="s">
        <v>2138</v>
      </c>
      <c r="V1503" s="159" t="s">
        <v>2138</v>
      </c>
      <c r="W1503" s="159" t="s">
        <v>2138</v>
      </c>
      <c r="X1503" s="160">
        <v>1</v>
      </c>
      <c r="Y1503" s="160">
        <v>1</v>
      </c>
      <c r="Z1503" s="160">
        <v>1</v>
      </c>
      <c r="AA1503" s="160">
        <v>1</v>
      </c>
    </row>
    <row r="1504" spans="1:27" ht="18" customHeight="1" x14ac:dyDescent="0.25">
      <c r="A1504" s="159">
        <v>4005</v>
      </c>
      <c r="B1504" s="157" t="s">
        <v>22</v>
      </c>
      <c r="C1504" s="157" t="s">
        <v>40</v>
      </c>
      <c r="D1504" s="159" t="s">
        <v>917</v>
      </c>
      <c r="E1504" s="157" t="s">
        <v>915</v>
      </c>
      <c r="F1504" s="157"/>
      <c r="G1504" s="157" t="s">
        <v>1299</v>
      </c>
      <c r="H1504" s="157" t="s">
        <v>1300</v>
      </c>
      <c r="I1504" s="157" t="s">
        <v>1300</v>
      </c>
      <c r="J1504" s="157"/>
      <c r="K1504" s="157" t="s">
        <v>1274</v>
      </c>
      <c r="L1504" s="157" t="s">
        <v>9441</v>
      </c>
      <c r="M1504" s="157" t="str">
        <f t="shared" si="33"/>
        <v>Airbag Control Unit - Airbag</v>
      </c>
      <c r="N1504" s="157"/>
      <c r="O1504" s="157"/>
      <c r="P1504" s="159" t="s">
        <v>5754</v>
      </c>
      <c r="Q1504" s="157"/>
      <c r="R1504" s="157"/>
      <c r="S1504" s="157"/>
      <c r="T1504" s="157"/>
      <c r="U1504" s="159" t="s">
        <v>2138</v>
      </c>
      <c r="V1504" s="159" t="s">
        <v>2138</v>
      </c>
      <c r="W1504" s="159" t="s">
        <v>2138</v>
      </c>
      <c r="X1504" s="160">
        <v>1</v>
      </c>
      <c r="Y1504" s="160">
        <v>1</v>
      </c>
      <c r="Z1504" s="160">
        <v>1</v>
      </c>
      <c r="AA1504" s="160">
        <v>1</v>
      </c>
    </row>
    <row r="1505" spans="1:27" ht="18" customHeight="1" x14ac:dyDescent="0.25">
      <c r="A1505" s="159">
        <v>4005</v>
      </c>
      <c r="B1505" s="157" t="s">
        <v>22</v>
      </c>
      <c r="C1505" s="157" t="s">
        <v>40</v>
      </c>
      <c r="D1505" s="159" t="s">
        <v>983</v>
      </c>
      <c r="E1505" s="157" t="s">
        <v>981</v>
      </c>
      <c r="F1505" s="157"/>
      <c r="G1505" s="157" t="s">
        <v>1299</v>
      </c>
      <c r="H1505" s="157" t="s">
        <v>1300</v>
      </c>
      <c r="I1505" s="157" t="s">
        <v>1300</v>
      </c>
      <c r="J1505" s="157"/>
      <c r="K1505" s="157" t="s">
        <v>1274</v>
      </c>
      <c r="L1505" s="157" t="s">
        <v>9441</v>
      </c>
      <c r="M1505" s="157" t="str">
        <f t="shared" si="33"/>
        <v>Airbag Control Unit - Airbag</v>
      </c>
      <c r="N1505" s="157"/>
      <c r="O1505" s="157"/>
      <c r="P1505" s="159" t="s">
        <v>5754</v>
      </c>
      <c r="Q1505" s="157"/>
      <c r="R1505" s="157"/>
      <c r="S1505" s="157"/>
      <c r="T1505" s="157"/>
      <c r="U1505" s="159" t="s">
        <v>2138</v>
      </c>
      <c r="V1505" s="159" t="s">
        <v>2138</v>
      </c>
      <c r="W1505" s="159" t="s">
        <v>2138</v>
      </c>
      <c r="X1505" s="160">
        <v>1</v>
      </c>
      <c r="Y1505" s="160">
        <v>1</v>
      </c>
      <c r="Z1505" s="160">
        <v>1</v>
      </c>
      <c r="AA1505" s="160">
        <v>1</v>
      </c>
    </row>
    <row r="1506" spans="1:27" ht="18" customHeight="1" x14ac:dyDescent="0.25">
      <c r="A1506" s="159">
        <v>4005</v>
      </c>
      <c r="B1506" s="157" t="s">
        <v>22</v>
      </c>
      <c r="C1506" s="157" t="s">
        <v>40</v>
      </c>
      <c r="D1506" s="159" t="s">
        <v>985</v>
      </c>
      <c r="E1506" s="157" t="s">
        <v>984</v>
      </c>
      <c r="F1506" s="157"/>
      <c r="G1506" s="157" t="s">
        <v>1299</v>
      </c>
      <c r="H1506" s="157" t="s">
        <v>1300</v>
      </c>
      <c r="I1506" s="157" t="s">
        <v>1300</v>
      </c>
      <c r="J1506" s="157"/>
      <c r="K1506" s="157" t="s">
        <v>1274</v>
      </c>
      <c r="L1506" s="157" t="s">
        <v>9441</v>
      </c>
      <c r="M1506" s="157" t="str">
        <f t="shared" si="33"/>
        <v>Airbag Control Unit - Airbag</v>
      </c>
      <c r="N1506" s="157"/>
      <c r="O1506" s="157"/>
      <c r="P1506" s="159" t="s">
        <v>5754</v>
      </c>
      <c r="Q1506" s="157"/>
      <c r="R1506" s="157"/>
      <c r="S1506" s="157"/>
      <c r="T1506" s="157"/>
      <c r="U1506" s="159" t="s">
        <v>2138</v>
      </c>
      <c r="V1506" s="159" t="s">
        <v>2138</v>
      </c>
      <c r="W1506" s="159" t="s">
        <v>2138</v>
      </c>
      <c r="X1506" s="160">
        <v>1</v>
      </c>
      <c r="Y1506" s="160">
        <v>1</v>
      </c>
      <c r="Z1506" s="160">
        <v>1</v>
      </c>
      <c r="AA1506" s="160">
        <v>1</v>
      </c>
    </row>
    <row r="1507" spans="1:27" ht="18" customHeight="1" x14ac:dyDescent="0.25">
      <c r="A1507" s="159">
        <v>4005</v>
      </c>
      <c r="B1507" s="157" t="s">
        <v>22</v>
      </c>
      <c r="C1507" s="157" t="s">
        <v>40</v>
      </c>
      <c r="D1507" s="159" t="s">
        <v>988</v>
      </c>
      <c r="E1507" s="157" t="s">
        <v>986</v>
      </c>
      <c r="F1507" s="157"/>
      <c r="G1507" s="157" t="s">
        <v>1299</v>
      </c>
      <c r="H1507" s="157" t="s">
        <v>1300</v>
      </c>
      <c r="I1507" s="157" t="s">
        <v>1300</v>
      </c>
      <c r="J1507" s="157"/>
      <c r="K1507" s="157" t="s">
        <v>1274</v>
      </c>
      <c r="L1507" s="157" t="s">
        <v>9441</v>
      </c>
      <c r="M1507" s="157" t="str">
        <f t="shared" si="33"/>
        <v>Airbag Control Unit - Airbag</v>
      </c>
      <c r="N1507" s="157"/>
      <c r="O1507" s="157"/>
      <c r="P1507" s="159" t="s">
        <v>5754</v>
      </c>
      <c r="Q1507" s="157"/>
      <c r="R1507" s="157"/>
      <c r="S1507" s="157"/>
      <c r="T1507" s="157"/>
      <c r="U1507" s="159" t="s">
        <v>2138</v>
      </c>
      <c r="V1507" s="159" t="s">
        <v>2138</v>
      </c>
      <c r="W1507" s="159" t="s">
        <v>2138</v>
      </c>
      <c r="X1507" s="160">
        <v>1</v>
      </c>
      <c r="Y1507" s="160">
        <v>1</v>
      </c>
      <c r="Z1507" s="160">
        <v>1</v>
      </c>
      <c r="AA1507" s="160">
        <v>1</v>
      </c>
    </row>
    <row r="1508" spans="1:27" ht="18" customHeight="1" x14ac:dyDescent="0.25">
      <c r="A1508" s="159">
        <v>4005</v>
      </c>
      <c r="B1508" s="157" t="s">
        <v>22</v>
      </c>
      <c r="C1508" s="157" t="s">
        <v>23</v>
      </c>
      <c r="D1508" s="159" t="s">
        <v>26</v>
      </c>
      <c r="E1508" s="157" t="s">
        <v>24</v>
      </c>
      <c r="F1508" s="157"/>
      <c r="G1508" s="157" t="s">
        <v>1299</v>
      </c>
      <c r="H1508" s="157" t="s">
        <v>1300</v>
      </c>
      <c r="I1508" s="157" t="s">
        <v>1300</v>
      </c>
      <c r="J1508" s="157"/>
      <c r="K1508" s="157" t="s">
        <v>1274</v>
      </c>
      <c r="L1508" s="157" t="s">
        <v>9441</v>
      </c>
      <c r="M1508" s="157" t="str">
        <f t="shared" si="33"/>
        <v>Airbag Control Unit - Airbag</v>
      </c>
      <c r="N1508" s="157"/>
      <c r="O1508" s="157"/>
      <c r="P1508" s="159" t="s">
        <v>5754</v>
      </c>
      <c r="Q1508" s="157"/>
      <c r="R1508" s="157"/>
      <c r="S1508" s="157"/>
      <c r="T1508" s="157"/>
      <c r="U1508" s="159" t="s">
        <v>2138</v>
      </c>
      <c r="V1508" s="159" t="s">
        <v>2138</v>
      </c>
      <c r="W1508" s="159" t="s">
        <v>2138</v>
      </c>
      <c r="X1508" s="160">
        <v>1</v>
      </c>
      <c r="Y1508" s="160">
        <v>1</v>
      </c>
      <c r="Z1508" s="160">
        <v>1</v>
      </c>
      <c r="AA1508" s="160">
        <v>1</v>
      </c>
    </row>
    <row r="1509" spans="1:27" ht="18" customHeight="1" x14ac:dyDescent="0.25">
      <c r="A1509" s="159">
        <v>4005</v>
      </c>
      <c r="B1509" s="157" t="s">
        <v>22</v>
      </c>
      <c r="C1509" s="157" t="s">
        <v>23</v>
      </c>
      <c r="D1509" s="159" t="s">
        <v>274</v>
      </c>
      <c r="E1509" s="157" t="s">
        <v>272</v>
      </c>
      <c r="F1509" s="157"/>
      <c r="G1509" s="157" t="s">
        <v>1299</v>
      </c>
      <c r="H1509" s="157" t="s">
        <v>1300</v>
      </c>
      <c r="I1509" s="157" t="s">
        <v>1300</v>
      </c>
      <c r="J1509" s="157"/>
      <c r="K1509" s="157" t="s">
        <v>1274</v>
      </c>
      <c r="L1509" s="157" t="s">
        <v>9441</v>
      </c>
      <c r="M1509" s="157" t="str">
        <f t="shared" si="33"/>
        <v>Airbag Control Unit - Airbag</v>
      </c>
      <c r="N1509" s="157"/>
      <c r="O1509" s="157"/>
      <c r="P1509" s="159" t="s">
        <v>5754</v>
      </c>
      <c r="Q1509" s="157"/>
      <c r="R1509" s="157"/>
      <c r="S1509" s="157"/>
      <c r="T1509" s="157"/>
      <c r="U1509" s="159" t="s">
        <v>2138</v>
      </c>
      <c r="V1509" s="159" t="s">
        <v>2138</v>
      </c>
      <c r="W1509" s="159" t="s">
        <v>2138</v>
      </c>
      <c r="X1509" s="160">
        <v>1</v>
      </c>
      <c r="Y1509" s="160">
        <v>1</v>
      </c>
      <c r="Z1509" s="160">
        <v>1</v>
      </c>
      <c r="AA1509" s="160">
        <v>1</v>
      </c>
    </row>
    <row r="1510" spans="1:27" ht="18" customHeight="1" x14ac:dyDescent="0.25">
      <c r="A1510" s="159">
        <v>4005</v>
      </c>
      <c r="B1510" s="157" t="s">
        <v>22</v>
      </c>
      <c r="C1510" s="157" t="s">
        <v>103</v>
      </c>
      <c r="D1510" s="159" t="s">
        <v>106</v>
      </c>
      <c r="E1510" s="157" t="s">
        <v>104</v>
      </c>
      <c r="F1510" s="157"/>
      <c r="G1510" s="157" t="s">
        <v>1299</v>
      </c>
      <c r="H1510" s="157" t="s">
        <v>1300</v>
      </c>
      <c r="I1510" s="157" t="s">
        <v>1300</v>
      </c>
      <c r="J1510" s="157"/>
      <c r="K1510" s="157" t="s">
        <v>1274</v>
      </c>
      <c r="L1510" s="157" t="s">
        <v>9441</v>
      </c>
      <c r="M1510" s="157" t="str">
        <f t="shared" si="33"/>
        <v>Airbag Control Unit - Airbag</v>
      </c>
      <c r="N1510" s="157"/>
      <c r="O1510" s="157"/>
      <c r="P1510" s="159" t="s">
        <v>5754</v>
      </c>
      <c r="Q1510" s="157"/>
      <c r="R1510" s="157"/>
      <c r="S1510" s="157"/>
      <c r="T1510" s="157"/>
      <c r="U1510" s="159" t="s">
        <v>2138</v>
      </c>
      <c r="V1510" s="159" t="s">
        <v>2138</v>
      </c>
      <c r="W1510" s="159" t="s">
        <v>2138</v>
      </c>
      <c r="X1510" s="160">
        <v>1</v>
      </c>
      <c r="Y1510" s="160">
        <v>1</v>
      </c>
      <c r="Z1510" s="160">
        <v>1</v>
      </c>
      <c r="AA1510" s="160">
        <v>1</v>
      </c>
    </row>
    <row r="1511" spans="1:27" ht="18" customHeight="1" x14ac:dyDescent="0.25">
      <c r="A1511" s="159">
        <v>4005</v>
      </c>
      <c r="B1511" s="157" t="s">
        <v>22</v>
      </c>
      <c r="C1511" s="157" t="s">
        <v>103</v>
      </c>
      <c r="D1511" s="159" t="s">
        <v>191</v>
      </c>
      <c r="E1511" s="157" t="s">
        <v>189</v>
      </c>
      <c r="F1511" s="157"/>
      <c r="G1511" s="157" t="s">
        <v>1299</v>
      </c>
      <c r="H1511" s="157" t="s">
        <v>1300</v>
      </c>
      <c r="I1511" s="157" t="s">
        <v>1300</v>
      </c>
      <c r="J1511" s="157"/>
      <c r="K1511" s="157" t="s">
        <v>1274</v>
      </c>
      <c r="L1511" s="157" t="s">
        <v>9441</v>
      </c>
      <c r="M1511" s="157" t="str">
        <f t="shared" si="33"/>
        <v>Airbag Control Unit - Airbag</v>
      </c>
      <c r="N1511" s="157"/>
      <c r="O1511" s="157"/>
      <c r="P1511" s="159" t="s">
        <v>5754</v>
      </c>
      <c r="Q1511" s="157"/>
      <c r="R1511" s="157"/>
      <c r="S1511" s="157"/>
      <c r="T1511" s="157"/>
      <c r="U1511" s="159" t="s">
        <v>2138</v>
      </c>
      <c r="V1511" s="159" t="s">
        <v>2138</v>
      </c>
      <c r="W1511" s="159" t="s">
        <v>2138</v>
      </c>
      <c r="X1511" s="160">
        <v>1</v>
      </c>
      <c r="Y1511" s="160">
        <v>1</v>
      </c>
      <c r="Z1511" s="160">
        <v>1</v>
      </c>
      <c r="AA1511" s="160">
        <v>1</v>
      </c>
    </row>
    <row r="1512" spans="1:27" ht="18" customHeight="1" x14ac:dyDescent="0.25">
      <c r="A1512" s="159">
        <v>4005</v>
      </c>
      <c r="B1512" s="157" t="s">
        <v>22</v>
      </c>
      <c r="C1512" s="157" t="s">
        <v>103</v>
      </c>
      <c r="D1512" s="159" t="s">
        <v>776</v>
      </c>
      <c r="E1512" s="157" t="s">
        <v>774</v>
      </c>
      <c r="F1512" s="157"/>
      <c r="G1512" s="157" t="s">
        <v>1299</v>
      </c>
      <c r="H1512" s="157" t="s">
        <v>1300</v>
      </c>
      <c r="I1512" s="157" t="s">
        <v>1300</v>
      </c>
      <c r="J1512" s="157"/>
      <c r="K1512" s="157" t="s">
        <v>1274</v>
      </c>
      <c r="L1512" s="157" t="s">
        <v>9441</v>
      </c>
      <c r="M1512" s="157" t="str">
        <f t="shared" si="33"/>
        <v>Airbag Control Unit - Airbag</v>
      </c>
      <c r="N1512" s="157"/>
      <c r="O1512" s="157"/>
      <c r="P1512" s="159" t="s">
        <v>5754</v>
      </c>
      <c r="Q1512" s="157"/>
      <c r="R1512" s="157"/>
      <c r="S1512" s="157"/>
      <c r="T1512" s="157"/>
      <c r="U1512" s="159" t="s">
        <v>2138</v>
      </c>
      <c r="V1512" s="159" t="s">
        <v>2138</v>
      </c>
      <c r="W1512" s="159" t="s">
        <v>2138</v>
      </c>
      <c r="X1512" s="160">
        <v>1</v>
      </c>
      <c r="Y1512" s="160">
        <v>1</v>
      </c>
      <c r="Z1512" s="160">
        <v>1</v>
      </c>
      <c r="AA1512" s="160">
        <v>1</v>
      </c>
    </row>
    <row r="1513" spans="1:27" ht="18" customHeight="1" x14ac:dyDescent="0.25">
      <c r="A1513" s="159">
        <v>4005</v>
      </c>
      <c r="B1513" s="157" t="s">
        <v>22</v>
      </c>
      <c r="C1513" s="157" t="s">
        <v>103</v>
      </c>
      <c r="D1513" s="159" t="s">
        <v>784</v>
      </c>
      <c r="E1513" s="157" t="s">
        <v>782</v>
      </c>
      <c r="F1513" s="157"/>
      <c r="G1513" s="157" t="s">
        <v>1299</v>
      </c>
      <c r="H1513" s="157" t="s">
        <v>1300</v>
      </c>
      <c r="I1513" s="157" t="s">
        <v>1300</v>
      </c>
      <c r="J1513" s="157"/>
      <c r="K1513" s="157" t="s">
        <v>1274</v>
      </c>
      <c r="L1513" s="157" t="s">
        <v>9441</v>
      </c>
      <c r="M1513" s="157" t="str">
        <f t="shared" si="33"/>
        <v>Airbag Control Unit - Airbag</v>
      </c>
      <c r="N1513" s="157"/>
      <c r="O1513" s="157"/>
      <c r="P1513" s="159" t="s">
        <v>5754</v>
      </c>
      <c r="Q1513" s="157"/>
      <c r="R1513" s="157"/>
      <c r="S1513" s="157"/>
      <c r="T1513" s="157"/>
      <c r="U1513" s="159" t="s">
        <v>2138</v>
      </c>
      <c r="V1513" s="159" t="s">
        <v>2138</v>
      </c>
      <c r="W1513" s="159" t="s">
        <v>2138</v>
      </c>
      <c r="X1513" s="160">
        <v>1</v>
      </c>
      <c r="Y1513" s="160">
        <v>1</v>
      </c>
      <c r="Z1513" s="160">
        <v>1</v>
      </c>
      <c r="AA1513" s="160">
        <v>1</v>
      </c>
    </row>
    <row r="1514" spans="1:27" ht="18" customHeight="1" x14ac:dyDescent="0.25">
      <c r="A1514" s="159">
        <v>4005</v>
      </c>
      <c r="B1514" s="157" t="s">
        <v>22</v>
      </c>
      <c r="C1514" s="157" t="s">
        <v>103</v>
      </c>
      <c r="D1514" s="159" t="s">
        <v>50</v>
      </c>
      <c r="E1514" s="157" t="s">
        <v>858</v>
      </c>
      <c r="F1514" s="157"/>
      <c r="G1514" s="157" t="s">
        <v>1299</v>
      </c>
      <c r="H1514" s="157" t="s">
        <v>1300</v>
      </c>
      <c r="I1514" s="157" t="s">
        <v>1300</v>
      </c>
      <c r="J1514" s="157"/>
      <c r="K1514" s="157" t="s">
        <v>1274</v>
      </c>
      <c r="L1514" s="157" t="s">
        <v>9441</v>
      </c>
      <c r="M1514" s="157" t="str">
        <f t="shared" si="33"/>
        <v>Airbag Control Unit - Airbag</v>
      </c>
      <c r="N1514" s="157"/>
      <c r="O1514" s="157"/>
      <c r="P1514" s="159" t="s">
        <v>5754</v>
      </c>
      <c r="Q1514" s="157"/>
      <c r="R1514" s="157"/>
      <c r="S1514" s="157"/>
      <c r="T1514" s="157"/>
      <c r="U1514" s="159" t="s">
        <v>2138</v>
      </c>
      <c r="V1514" s="159" t="s">
        <v>2138</v>
      </c>
      <c r="W1514" s="159" t="s">
        <v>2138</v>
      </c>
      <c r="X1514" s="160">
        <v>1</v>
      </c>
      <c r="Y1514" s="160">
        <v>1</v>
      </c>
      <c r="Z1514" s="160">
        <v>1</v>
      </c>
      <c r="AA1514" s="160">
        <v>1</v>
      </c>
    </row>
    <row r="1515" spans="1:27" ht="18" customHeight="1" x14ac:dyDescent="0.25">
      <c r="A1515" s="159">
        <v>4005</v>
      </c>
      <c r="B1515" s="157" t="s">
        <v>22</v>
      </c>
      <c r="C1515" s="157" t="s">
        <v>103</v>
      </c>
      <c r="D1515" s="159" t="s">
        <v>891</v>
      </c>
      <c r="E1515" s="157" t="s">
        <v>889</v>
      </c>
      <c r="F1515" s="157"/>
      <c r="G1515" s="157" t="s">
        <v>1299</v>
      </c>
      <c r="H1515" s="157" t="s">
        <v>1300</v>
      </c>
      <c r="I1515" s="157" t="s">
        <v>1300</v>
      </c>
      <c r="J1515" s="157"/>
      <c r="K1515" s="157" t="s">
        <v>1274</v>
      </c>
      <c r="L1515" s="157" t="s">
        <v>9441</v>
      </c>
      <c r="M1515" s="157" t="str">
        <f t="shared" si="33"/>
        <v>Airbag Control Unit - Airbag</v>
      </c>
      <c r="N1515" s="157"/>
      <c r="O1515" s="157"/>
      <c r="P1515" s="159" t="s">
        <v>5754</v>
      </c>
      <c r="Q1515" s="157"/>
      <c r="R1515" s="157"/>
      <c r="S1515" s="157"/>
      <c r="T1515" s="157"/>
      <c r="U1515" s="159" t="s">
        <v>2138</v>
      </c>
      <c r="V1515" s="159" t="s">
        <v>2138</v>
      </c>
      <c r="W1515" s="159" t="s">
        <v>2138</v>
      </c>
      <c r="X1515" s="160">
        <v>1</v>
      </c>
      <c r="Y1515" s="160">
        <v>1</v>
      </c>
      <c r="Z1515" s="160">
        <v>1</v>
      </c>
      <c r="AA1515" s="160">
        <v>1</v>
      </c>
    </row>
    <row r="1516" spans="1:27" ht="18" customHeight="1" x14ac:dyDescent="0.25">
      <c r="A1516" s="159">
        <v>4005</v>
      </c>
      <c r="B1516" s="157" t="s">
        <v>22</v>
      </c>
      <c r="C1516" s="157" t="s">
        <v>103</v>
      </c>
      <c r="D1516" s="159" t="s">
        <v>27</v>
      </c>
      <c r="E1516" s="157" t="s">
        <v>989</v>
      </c>
      <c r="F1516" s="157"/>
      <c r="G1516" s="157" t="s">
        <v>1299</v>
      </c>
      <c r="H1516" s="157" t="s">
        <v>1300</v>
      </c>
      <c r="I1516" s="157" t="s">
        <v>1300</v>
      </c>
      <c r="J1516" s="157"/>
      <c r="K1516" s="157" t="s">
        <v>1274</v>
      </c>
      <c r="L1516" s="157" t="s">
        <v>9441</v>
      </c>
      <c r="M1516" s="157" t="str">
        <f t="shared" si="33"/>
        <v>Airbag Control Unit - Airbag</v>
      </c>
      <c r="N1516" s="157"/>
      <c r="O1516" s="157"/>
      <c r="P1516" s="159" t="s">
        <v>5754</v>
      </c>
      <c r="Q1516" s="157"/>
      <c r="R1516" s="157"/>
      <c r="S1516" s="157"/>
      <c r="T1516" s="157"/>
      <c r="U1516" s="159" t="s">
        <v>2138</v>
      </c>
      <c r="V1516" s="159" t="s">
        <v>2138</v>
      </c>
      <c r="W1516" s="159" t="s">
        <v>2138</v>
      </c>
      <c r="X1516" s="160">
        <v>1</v>
      </c>
      <c r="Y1516" s="160">
        <v>1</v>
      </c>
      <c r="Z1516" s="160">
        <v>1</v>
      </c>
      <c r="AA1516" s="160">
        <v>1</v>
      </c>
    </row>
    <row r="1517" spans="1:27" ht="18" customHeight="1" x14ac:dyDescent="0.25">
      <c r="A1517" s="159">
        <v>4005</v>
      </c>
      <c r="B1517" s="157" t="s">
        <v>22</v>
      </c>
      <c r="C1517" s="157" t="s">
        <v>132</v>
      </c>
      <c r="D1517" s="159" t="s">
        <v>135</v>
      </c>
      <c r="E1517" s="157" t="s">
        <v>133</v>
      </c>
      <c r="F1517" s="157"/>
      <c r="G1517" s="157" t="s">
        <v>1299</v>
      </c>
      <c r="H1517" s="157" t="s">
        <v>1300</v>
      </c>
      <c r="I1517" s="157" t="s">
        <v>1300</v>
      </c>
      <c r="J1517" s="157"/>
      <c r="K1517" s="157" t="s">
        <v>1274</v>
      </c>
      <c r="L1517" s="157" t="s">
        <v>9441</v>
      </c>
      <c r="M1517" s="157" t="str">
        <f t="shared" si="33"/>
        <v>Airbag Control Unit - Airbag</v>
      </c>
      <c r="N1517" s="157"/>
      <c r="O1517" s="157"/>
      <c r="P1517" s="159" t="s">
        <v>5754</v>
      </c>
      <c r="Q1517" s="157"/>
      <c r="R1517" s="157"/>
      <c r="S1517" s="157"/>
      <c r="T1517" s="157"/>
      <c r="U1517" s="159" t="s">
        <v>2138</v>
      </c>
      <c r="V1517" s="159" t="s">
        <v>2138</v>
      </c>
      <c r="W1517" s="159" t="s">
        <v>2138</v>
      </c>
      <c r="X1517" s="160">
        <v>1</v>
      </c>
      <c r="Y1517" s="160">
        <v>1</v>
      </c>
      <c r="Z1517" s="160">
        <v>1</v>
      </c>
      <c r="AA1517" s="160">
        <v>1</v>
      </c>
    </row>
    <row r="1518" spans="1:27" ht="18" customHeight="1" x14ac:dyDescent="0.25">
      <c r="A1518" s="159">
        <v>4005</v>
      </c>
      <c r="B1518" s="157" t="s">
        <v>22</v>
      </c>
      <c r="C1518" s="157" t="s">
        <v>132</v>
      </c>
      <c r="D1518" s="159" t="s">
        <v>142</v>
      </c>
      <c r="E1518" s="157" t="s">
        <v>140</v>
      </c>
      <c r="F1518" s="157"/>
      <c r="G1518" s="157" t="s">
        <v>1299</v>
      </c>
      <c r="H1518" s="157" t="s">
        <v>1300</v>
      </c>
      <c r="I1518" s="157" t="s">
        <v>1300</v>
      </c>
      <c r="J1518" s="157"/>
      <c r="K1518" s="157" t="s">
        <v>1274</v>
      </c>
      <c r="L1518" s="157" t="s">
        <v>9441</v>
      </c>
      <c r="M1518" s="157" t="str">
        <f t="shared" si="33"/>
        <v>Airbag Control Unit - Airbag</v>
      </c>
      <c r="N1518" s="157"/>
      <c r="O1518" s="157"/>
      <c r="P1518" s="159" t="s">
        <v>5754</v>
      </c>
      <c r="Q1518" s="157"/>
      <c r="R1518" s="157"/>
      <c r="S1518" s="157"/>
      <c r="T1518" s="157"/>
      <c r="U1518" s="159" t="s">
        <v>2138</v>
      </c>
      <c r="V1518" s="159" t="s">
        <v>2138</v>
      </c>
      <c r="W1518" s="159" t="s">
        <v>2138</v>
      </c>
      <c r="X1518" s="160">
        <v>1</v>
      </c>
      <c r="Y1518" s="160">
        <v>1</v>
      </c>
      <c r="Z1518" s="160">
        <v>1</v>
      </c>
      <c r="AA1518" s="160">
        <v>1</v>
      </c>
    </row>
    <row r="1519" spans="1:27" ht="18" customHeight="1" x14ac:dyDescent="0.25">
      <c r="A1519" s="159">
        <v>4005</v>
      </c>
      <c r="B1519" s="157" t="s">
        <v>22</v>
      </c>
      <c r="C1519" s="157" t="s">
        <v>132</v>
      </c>
      <c r="D1519" s="159" t="s">
        <v>217</v>
      </c>
      <c r="E1519" s="157" t="s">
        <v>215</v>
      </c>
      <c r="F1519" s="157"/>
      <c r="G1519" s="157" t="s">
        <v>1299</v>
      </c>
      <c r="H1519" s="157" t="s">
        <v>1300</v>
      </c>
      <c r="I1519" s="157" t="s">
        <v>1300</v>
      </c>
      <c r="J1519" s="157"/>
      <c r="K1519" s="157" t="s">
        <v>1274</v>
      </c>
      <c r="L1519" s="157" t="s">
        <v>9441</v>
      </c>
      <c r="M1519" s="157" t="str">
        <f t="shared" si="33"/>
        <v>Airbag Control Unit - Airbag</v>
      </c>
      <c r="N1519" s="157"/>
      <c r="O1519" s="157"/>
      <c r="P1519" s="159" t="s">
        <v>5754</v>
      </c>
      <c r="Q1519" s="157"/>
      <c r="R1519" s="157"/>
      <c r="S1519" s="157"/>
      <c r="T1519" s="157"/>
      <c r="U1519" s="159" t="s">
        <v>2138</v>
      </c>
      <c r="V1519" s="159" t="s">
        <v>2138</v>
      </c>
      <c r="W1519" s="159" t="s">
        <v>2138</v>
      </c>
      <c r="X1519" s="160">
        <v>1</v>
      </c>
      <c r="Y1519" s="160">
        <v>1</v>
      </c>
      <c r="Z1519" s="160">
        <v>1</v>
      </c>
      <c r="AA1519" s="160">
        <v>1</v>
      </c>
    </row>
    <row r="1520" spans="1:27" ht="18" customHeight="1" x14ac:dyDescent="0.25">
      <c r="A1520" s="159">
        <v>4005</v>
      </c>
      <c r="B1520" s="157" t="s">
        <v>22</v>
      </c>
      <c r="C1520" s="157" t="s">
        <v>132</v>
      </c>
      <c r="D1520" s="159" t="s">
        <v>612</v>
      </c>
      <c r="E1520" s="157" t="s">
        <v>610</v>
      </c>
      <c r="F1520" s="157"/>
      <c r="G1520" s="157" t="s">
        <v>1299</v>
      </c>
      <c r="H1520" s="157" t="s">
        <v>1300</v>
      </c>
      <c r="I1520" s="157" t="s">
        <v>1300</v>
      </c>
      <c r="J1520" s="157"/>
      <c r="K1520" s="157" t="s">
        <v>1274</v>
      </c>
      <c r="L1520" s="157" t="s">
        <v>9441</v>
      </c>
      <c r="M1520" s="157" t="str">
        <f t="shared" si="33"/>
        <v>Airbag Control Unit - Airbag</v>
      </c>
      <c r="N1520" s="157"/>
      <c r="O1520" s="157"/>
      <c r="P1520" s="159" t="s">
        <v>5754</v>
      </c>
      <c r="Q1520" s="157"/>
      <c r="R1520" s="157"/>
      <c r="S1520" s="157"/>
      <c r="T1520" s="157"/>
      <c r="U1520" s="159" t="s">
        <v>2138</v>
      </c>
      <c r="V1520" s="159" t="s">
        <v>2138</v>
      </c>
      <c r="W1520" s="159" t="s">
        <v>2138</v>
      </c>
      <c r="X1520" s="160">
        <v>1</v>
      </c>
      <c r="Y1520" s="160">
        <v>1</v>
      </c>
      <c r="Z1520" s="160">
        <v>1</v>
      </c>
      <c r="AA1520" s="160">
        <v>1</v>
      </c>
    </row>
    <row r="1521" spans="1:27" ht="18" customHeight="1" x14ac:dyDescent="0.25">
      <c r="A1521" s="159">
        <v>4005</v>
      </c>
      <c r="B1521" s="157" t="s">
        <v>22</v>
      </c>
      <c r="C1521" s="157" t="s">
        <v>132</v>
      </c>
      <c r="D1521" s="159" t="s">
        <v>893</v>
      </c>
      <c r="E1521" s="157" t="s">
        <v>892</v>
      </c>
      <c r="F1521" s="157"/>
      <c r="G1521" s="157" t="s">
        <v>1299</v>
      </c>
      <c r="H1521" s="157" t="s">
        <v>1300</v>
      </c>
      <c r="I1521" s="157" t="s">
        <v>1300</v>
      </c>
      <c r="J1521" s="157"/>
      <c r="K1521" s="157" t="s">
        <v>1274</v>
      </c>
      <c r="L1521" s="157" t="s">
        <v>9441</v>
      </c>
      <c r="M1521" s="157" t="str">
        <f t="shared" si="33"/>
        <v>Airbag Control Unit - Airbag</v>
      </c>
      <c r="N1521" s="157"/>
      <c r="O1521" s="157"/>
      <c r="P1521" s="159" t="s">
        <v>5754</v>
      </c>
      <c r="Q1521" s="157"/>
      <c r="R1521" s="157"/>
      <c r="S1521" s="157"/>
      <c r="T1521" s="157"/>
      <c r="U1521" s="159" t="s">
        <v>2138</v>
      </c>
      <c r="V1521" s="159" t="s">
        <v>2138</v>
      </c>
      <c r="W1521" s="159" t="s">
        <v>2138</v>
      </c>
      <c r="X1521" s="160">
        <v>1</v>
      </c>
      <c r="Y1521" s="160">
        <v>1</v>
      </c>
      <c r="Z1521" s="160">
        <v>1</v>
      </c>
      <c r="AA1521" s="160">
        <v>1</v>
      </c>
    </row>
    <row r="1522" spans="1:27" ht="18" customHeight="1" x14ac:dyDescent="0.25">
      <c r="A1522" s="159">
        <v>4005</v>
      </c>
      <c r="B1522" s="157" t="s">
        <v>22</v>
      </c>
      <c r="C1522" s="157" t="s">
        <v>132</v>
      </c>
      <c r="D1522" s="159" t="s">
        <v>913</v>
      </c>
      <c r="E1522" s="157" t="s">
        <v>911</v>
      </c>
      <c r="F1522" s="157"/>
      <c r="G1522" s="157" t="s">
        <v>1299</v>
      </c>
      <c r="H1522" s="157" t="s">
        <v>1300</v>
      </c>
      <c r="I1522" s="157" t="s">
        <v>1300</v>
      </c>
      <c r="J1522" s="157"/>
      <c r="K1522" s="157" t="s">
        <v>1274</v>
      </c>
      <c r="L1522" s="157" t="s">
        <v>9441</v>
      </c>
      <c r="M1522" s="157" t="str">
        <f t="shared" si="33"/>
        <v>Airbag Control Unit - Airbag</v>
      </c>
      <c r="N1522" s="157"/>
      <c r="O1522" s="157"/>
      <c r="P1522" s="159" t="s">
        <v>5754</v>
      </c>
      <c r="Q1522" s="157"/>
      <c r="R1522" s="157"/>
      <c r="S1522" s="157"/>
      <c r="T1522" s="157"/>
      <c r="U1522" s="159" t="s">
        <v>2138</v>
      </c>
      <c r="V1522" s="159" t="s">
        <v>2138</v>
      </c>
      <c r="W1522" s="159" t="s">
        <v>2138</v>
      </c>
      <c r="X1522" s="160">
        <v>1</v>
      </c>
      <c r="Y1522" s="160">
        <v>1</v>
      </c>
      <c r="Z1522" s="160">
        <v>1</v>
      </c>
      <c r="AA1522" s="160">
        <v>1</v>
      </c>
    </row>
    <row r="1523" spans="1:27" ht="18" customHeight="1" x14ac:dyDescent="0.25">
      <c r="A1523" s="159">
        <v>4005</v>
      </c>
      <c r="B1523" s="157" t="s">
        <v>22</v>
      </c>
      <c r="C1523" s="157" t="s">
        <v>35</v>
      </c>
      <c r="D1523" s="159" t="s">
        <v>38</v>
      </c>
      <c r="E1523" s="157" t="s">
        <v>36</v>
      </c>
      <c r="F1523" s="157"/>
      <c r="G1523" s="157" t="s">
        <v>1299</v>
      </c>
      <c r="H1523" s="157" t="s">
        <v>1300</v>
      </c>
      <c r="I1523" s="157" t="s">
        <v>1300</v>
      </c>
      <c r="J1523" s="157"/>
      <c r="K1523" s="157" t="s">
        <v>1274</v>
      </c>
      <c r="L1523" s="157" t="s">
        <v>9441</v>
      </c>
      <c r="M1523" s="157" t="str">
        <f t="shared" si="33"/>
        <v>Airbag Control Unit - Airbag</v>
      </c>
      <c r="N1523" s="157"/>
      <c r="O1523" s="157"/>
      <c r="P1523" s="159" t="s">
        <v>5754</v>
      </c>
      <c r="Q1523" s="157"/>
      <c r="R1523" s="157"/>
      <c r="S1523" s="157"/>
      <c r="T1523" s="157"/>
      <c r="U1523" s="159" t="s">
        <v>2138</v>
      </c>
      <c r="V1523" s="159" t="s">
        <v>2138</v>
      </c>
      <c r="W1523" s="159" t="s">
        <v>2138</v>
      </c>
      <c r="X1523" s="160">
        <v>1</v>
      </c>
      <c r="Y1523" s="160">
        <v>1</v>
      </c>
      <c r="Z1523" s="160">
        <v>1</v>
      </c>
      <c r="AA1523" s="160">
        <v>1</v>
      </c>
    </row>
    <row r="1524" spans="1:27" ht="18" customHeight="1" x14ac:dyDescent="0.25">
      <c r="A1524" s="159">
        <v>4005</v>
      </c>
      <c r="B1524" s="157" t="s">
        <v>22</v>
      </c>
      <c r="C1524" s="157" t="s">
        <v>35</v>
      </c>
      <c r="D1524" s="159" t="s">
        <v>188</v>
      </c>
      <c r="E1524" s="157" t="s">
        <v>186</v>
      </c>
      <c r="F1524" s="157"/>
      <c r="G1524" s="157" t="s">
        <v>1299</v>
      </c>
      <c r="H1524" s="157" t="s">
        <v>1300</v>
      </c>
      <c r="I1524" s="157" t="s">
        <v>1300</v>
      </c>
      <c r="J1524" s="157"/>
      <c r="K1524" s="157" t="s">
        <v>1274</v>
      </c>
      <c r="L1524" s="157" t="s">
        <v>9441</v>
      </c>
      <c r="M1524" s="157" t="str">
        <f t="shared" si="33"/>
        <v>Airbag Control Unit - Airbag</v>
      </c>
      <c r="N1524" s="157"/>
      <c r="O1524" s="157"/>
      <c r="P1524" s="159" t="s">
        <v>5754</v>
      </c>
      <c r="Q1524" s="157"/>
      <c r="R1524" s="157"/>
      <c r="S1524" s="157"/>
      <c r="T1524" s="157"/>
      <c r="U1524" s="159" t="s">
        <v>2138</v>
      </c>
      <c r="V1524" s="159" t="s">
        <v>2138</v>
      </c>
      <c r="W1524" s="159" t="s">
        <v>2138</v>
      </c>
      <c r="X1524" s="160">
        <v>1</v>
      </c>
      <c r="Y1524" s="160">
        <v>1</v>
      </c>
      <c r="Z1524" s="160">
        <v>1</v>
      </c>
      <c r="AA1524" s="160">
        <v>1</v>
      </c>
    </row>
    <row r="1525" spans="1:27" ht="18" customHeight="1" x14ac:dyDescent="0.25">
      <c r="A1525" s="159">
        <v>4005</v>
      </c>
      <c r="B1525" s="157" t="s">
        <v>22</v>
      </c>
      <c r="C1525" s="157" t="s">
        <v>35</v>
      </c>
      <c r="D1525" s="159" t="s">
        <v>621</v>
      </c>
      <c r="E1525" s="157" t="s">
        <v>619</v>
      </c>
      <c r="F1525" s="157"/>
      <c r="G1525" s="157" t="s">
        <v>1299</v>
      </c>
      <c r="H1525" s="157" t="s">
        <v>1300</v>
      </c>
      <c r="I1525" s="157" t="s">
        <v>1300</v>
      </c>
      <c r="J1525" s="157"/>
      <c r="K1525" s="157" t="s">
        <v>1274</v>
      </c>
      <c r="L1525" s="157" t="s">
        <v>9441</v>
      </c>
      <c r="M1525" s="157" t="str">
        <f t="shared" si="33"/>
        <v>Airbag Control Unit - Airbag</v>
      </c>
      <c r="N1525" s="157"/>
      <c r="O1525" s="157"/>
      <c r="P1525" s="159" t="s">
        <v>5754</v>
      </c>
      <c r="Q1525" s="157"/>
      <c r="R1525" s="157"/>
      <c r="S1525" s="157"/>
      <c r="T1525" s="157"/>
      <c r="U1525" s="159" t="s">
        <v>2138</v>
      </c>
      <c r="V1525" s="159" t="s">
        <v>2138</v>
      </c>
      <c r="W1525" s="159" t="s">
        <v>2138</v>
      </c>
      <c r="X1525" s="160">
        <v>1</v>
      </c>
      <c r="Y1525" s="160">
        <v>1</v>
      </c>
      <c r="Z1525" s="160">
        <v>1</v>
      </c>
      <c r="AA1525" s="160">
        <v>1</v>
      </c>
    </row>
    <row r="1526" spans="1:27" ht="18" customHeight="1" x14ac:dyDescent="0.25">
      <c r="A1526" s="159">
        <v>4007</v>
      </c>
      <c r="B1526" s="157" t="s">
        <v>256</v>
      </c>
      <c r="C1526" s="157" t="s">
        <v>543</v>
      </c>
      <c r="D1526" s="159" t="s">
        <v>597</v>
      </c>
      <c r="E1526" s="157" t="s">
        <v>595</v>
      </c>
      <c r="F1526" s="157"/>
      <c r="G1526" s="157" t="s">
        <v>1299</v>
      </c>
      <c r="H1526" s="157" t="s">
        <v>1638</v>
      </c>
      <c r="I1526" s="157" t="s">
        <v>1639</v>
      </c>
      <c r="J1526" s="157" t="s">
        <v>1640</v>
      </c>
      <c r="K1526" s="157" t="s">
        <v>1269</v>
      </c>
      <c r="L1526" s="157" t="s">
        <v>8458</v>
      </c>
      <c r="M1526" s="157" t="str">
        <f t="shared" si="33"/>
        <v>Dynamic Motor - Steering Ratio Variation</v>
      </c>
      <c r="N1526" s="157"/>
      <c r="O1526" s="157"/>
      <c r="P1526" s="159" t="s">
        <v>6578</v>
      </c>
      <c r="Q1526" s="157" t="s">
        <v>2115</v>
      </c>
      <c r="R1526" s="157" t="s">
        <v>8459</v>
      </c>
      <c r="S1526" s="157" t="s">
        <v>8628</v>
      </c>
      <c r="T1526" s="157"/>
      <c r="U1526" s="159" t="s">
        <v>2129</v>
      </c>
      <c r="V1526" s="159" t="s">
        <v>2129</v>
      </c>
      <c r="W1526" s="159" t="s">
        <v>2138</v>
      </c>
      <c r="X1526" s="160">
        <v>0</v>
      </c>
      <c r="Y1526" s="160">
        <v>0.1</v>
      </c>
      <c r="Z1526" s="160">
        <v>0</v>
      </c>
      <c r="AA1526" s="160">
        <v>0.1</v>
      </c>
    </row>
    <row r="1527" spans="1:27" ht="18" customHeight="1" x14ac:dyDescent="0.25">
      <c r="A1527" s="159">
        <v>4008</v>
      </c>
      <c r="B1527" s="157" t="s">
        <v>256</v>
      </c>
      <c r="C1527" s="157" t="s">
        <v>543</v>
      </c>
      <c r="D1527" s="159" t="s">
        <v>597</v>
      </c>
      <c r="E1527" s="157" t="s">
        <v>595</v>
      </c>
      <c r="F1527" s="157"/>
      <c r="G1527" s="157" t="s">
        <v>1299</v>
      </c>
      <c r="H1527" s="157" t="s">
        <v>1638</v>
      </c>
      <c r="I1527" s="157" t="s">
        <v>1461</v>
      </c>
      <c r="J1527" s="157" t="s">
        <v>1640</v>
      </c>
      <c r="K1527" s="157" t="s">
        <v>1312</v>
      </c>
      <c r="L1527" s="157" t="s">
        <v>2095</v>
      </c>
      <c r="M1527" s="157" t="str">
        <f t="shared" si="33"/>
        <v>Sensor - Rotor Signal - Sensing</v>
      </c>
      <c r="N1527" s="157"/>
      <c r="O1527" s="157"/>
      <c r="P1527" s="159" t="s">
        <v>6578</v>
      </c>
      <c r="Q1527" s="157"/>
      <c r="R1527" s="157"/>
      <c r="S1527" s="157"/>
      <c r="T1527" s="157"/>
      <c r="U1527" s="159" t="s">
        <v>2129</v>
      </c>
      <c r="V1527" s="159" t="s">
        <v>2129</v>
      </c>
      <c r="W1527" s="159" t="s">
        <v>2138</v>
      </c>
      <c r="X1527" s="160">
        <v>1</v>
      </c>
      <c r="Y1527" s="160">
        <v>1</v>
      </c>
      <c r="Z1527" s="160">
        <v>1</v>
      </c>
      <c r="AA1527" s="160">
        <v>1</v>
      </c>
    </row>
    <row r="1528" spans="1:27" ht="18" customHeight="1" x14ac:dyDescent="0.25">
      <c r="A1528" s="159">
        <v>4009</v>
      </c>
      <c r="B1528" s="157" t="s">
        <v>256</v>
      </c>
      <c r="C1528" s="157" t="s">
        <v>543</v>
      </c>
      <c r="D1528" s="159" t="s">
        <v>597</v>
      </c>
      <c r="E1528" s="157" t="s">
        <v>595</v>
      </c>
      <c r="F1528" s="157"/>
      <c r="G1528" s="157" t="s">
        <v>1299</v>
      </c>
      <c r="H1528" s="157" t="s">
        <v>1638</v>
      </c>
      <c r="I1528" s="157" t="s">
        <v>1641</v>
      </c>
      <c r="J1528" s="157" t="s">
        <v>1640</v>
      </c>
      <c r="K1528" s="157" t="s">
        <v>1269</v>
      </c>
      <c r="L1528" s="157" t="s">
        <v>2094</v>
      </c>
      <c r="M1528" s="157" t="str">
        <f t="shared" si="33"/>
        <v>Solenoid Lock - Steering Wheel Column Locking</v>
      </c>
      <c r="N1528" s="157"/>
      <c r="O1528" s="157"/>
      <c r="P1528" s="159"/>
      <c r="Q1528" s="157"/>
      <c r="R1528" s="157"/>
      <c r="S1528" s="157"/>
      <c r="T1528" s="157"/>
      <c r="U1528" s="159"/>
      <c r="V1528" s="159"/>
      <c r="W1528" s="159"/>
      <c r="X1528" s="160"/>
      <c r="Y1528" s="160"/>
      <c r="Z1528" s="160"/>
      <c r="AA1528" s="160"/>
    </row>
    <row r="1529" spans="1:27" ht="18" customHeight="1" x14ac:dyDescent="0.25">
      <c r="A1529" s="159">
        <v>4011</v>
      </c>
      <c r="B1529" s="157" t="s">
        <v>256</v>
      </c>
      <c r="C1529" s="157" t="s">
        <v>532</v>
      </c>
      <c r="D1529" s="159" t="s">
        <v>1216</v>
      </c>
      <c r="E1529" s="157" t="s">
        <v>1214</v>
      </c>
      <c r="F1529" s="157" t="s">
        <v>1010</v>
      </c>
      <c r="G1529" s="157" t="s">
        <v>1299</v>
      </c>
      <c r="H1529" s="157" t="s">
        <v>1326</v>
      </c>
      <c r="I1529" s="157" t="s">
        <v>1642</v>
      </c>
      <c r="J1529" s="157" t="s">
        <v>1643</v>
      </c>
      <c r="K1529" s="157" t="s">
        <v>1281</v>
      </c>
      <c r="L1529" s="157" t="s">
        <v>1644</v>
      </c>
      <c r="M1529" s="157" t="str">
        <f t="shared" si="33"/>
        <v>Signal Switch - User Selector - Ramp Assistance</v>
      </c>
      <c r="N1529" s="157"/>
      <c r="O1529" s="157"/>
      <c r="P1529" s="159" t="s">
        <v>5850</v>
      </c>
      <c r="Q1529" s="157"/>
      <c r="R1529" s="157"/>
      <c r="S1529" s="157"/>
      <c r="T1529" s="157"/>
      <c r="U1529" s="159" t="s">
        <v>2129</v>
      </c>
      <c r="V1529" s="159" t="s">
        <v>2129</v>
      </c>
      <c r="W1529" s="159" t="s">
        <v>2138</v>
      </c>
      <c r="X1529" s="160">
        <v>1</v>
      </c>
      <c r="Y1529" s="160">
        <v>1</v>
      </c>
      <c r="Z1529" s="160">
        <v>1</v>
      </c>
      <c r="AA1529" s="160">
        <v>1</v>
      </c>
    </row>
    <row r="1530" spans="1:27" ht="18" customHeight="1" x14ac:dyDescent="0.25">
      <c r="A1530" s="159">
        <v>4016</v>
      </c>
      <c r="B1530" s="157" t="s">
        <v>29</v>
      </c>
      <c r="C1530" s="157" t="s">
        <v>536</v>
      </c>
      <c r="D1530" s="159" t="s">
        <v>539</v>
      </c>
      <c r="E1530" s="157" t="s">
        <v>537</v>
      </c>
      <c r="F1530" s="157"/>
      <c r="G1530" s="157" t="s">
        <v>1299</v>
      </c>
      <c r="H1530" s="157" t="s">
        <v>1316</v>
      </c>
      <c r="I1530" s="157" t="s">
        <v>1645</v>
      </c>
      <c r="J1530" s="157" t="s">
        <v>1646</v>
      </c>
      <c r="K1530" s="157" t="s">
        <v>1281</v>
      </c>
      <c r="L1530" s="157" t="s">
        <v>1647</v>
      </c>
      <c r="M1530" s="157" t="str">
        <f t="shared" si="33"/>
        <v>User Command - Hitch Folding</v>
      </c>
      <c r="N1530" s="157"/>
      <c r="O1530" s="157"/>
      <c r="P1530" s="159" t="s">
        <v>7509</v>
      </c>
      <c r="Q1530" s="157"/>
      <c r="R1530" s="157"/>
      <c r="S1530" s="157"/>
      <c r="T1530" s="157"/>
      <c r="U1530" s="159" t="s">
        <v>2129</v>
      </c>
      <c r="V1530" s="159" t="s">
        <v>2129</v>
      </c>
      <c r="W1530" s="159" t="s">
        <v>2138</v>
      </c>
      <c r="X1530" s="160">
        <v>0</v>
      </c>
      <c r="Y1530" s="160">
        <v>0</v>
      </c>
      <c r="Z1530" s="160">
        <v>0</v>
      </c>
      <c r="AA1530" s="160">
        <v>0</v>
      </c>
    </row>
    <row r="1531" spans="1:27" ht="18" customHeight="1" x14ac:dyDescent="0.25">
      <c r="A1531" s="159">
        <v>4019</v>
      </c>
      <c r="B1531" s="157" t="s">
        <v>29</v>
      </c>
      <c r="C1531" s="157" t="s">
        <v>536</v>
      </c>
      <c r="D1531" s="159" t="s">
        <v>539</v>
      </c>
      <c r="E1531" s="157" t="s">
        <v>537</v>
      </c>
      <c r="F1531" s="157"/>
      <c r="G1531" s="157" t="s">
        <v>1299</v>
      </c>
      <c r="H1531" s="157" t="s">
        <v>1316</v>
      </c>
      <c r="I1531" s="157" t="s">
        <v>1645</v>
      </c>
      <c r="J1531" s="157" t="s">
        <v>1646</v>
      </c>
      <c r="K1531" s="157" t="s">
        <v>1269</v>
      </c>
      <c r="L1531" s="157" t="s">
        <v>1330</v>
      </c>
      <c r="M1531" s="157" t="str">
        <f t="shared" si="33"/>
        <v>Motor - Hitch Folding</v>
      </c>
      <c r="N1531" s="157"/>
      <c r="O1531" s="157"/>
      <c r="P1531" s="159" t="s">
        <v>5821</v>
      </c>
      <c r="Q1531" s="157"/>
      <c r="R1531" s="157"/>
      <c r="S1531" s="157"/>
      <c r="T1531" s="157"/>
      <c r="U1531" s="159" t="s">
        <v>2129</v>
      </c>
      <c r="V1531" s="159" t="s">
        <v>2129</v>
      </c>
      <c r="W1531" s="159" t="s">
        <v>2138</v>
      </c>
      <c r="X1531" s="160">
        <v>0</v>
      </c>
      <c r="Y1531" s="160">
        <v>0</v>
      </c>
      <c r="Z1531" s="160">
        <v>0</v>
      </c>
      <c r="AA1531" s="160">
        <v>0</v>
      </c>
    </row>
    <row r="1532" spans="1:27" ht="18" customHeight="1" x14ac:dyDescent="0.25">
      <c r="A1532" s="159">
        <v>4020</v>
      </c>
      <c r="B1532" s="157" t="s">
        <v>280</v>
      </c>
      <c r="C1532" s="157" t="s">
        <v>328</v>
      </c>
      <c r="D1532" s="159" t="s">
        <v>331</v>
      </c>
      <c r="E1532" s="157" t="s">
        <v>329</v>
      </c>
      <c r="F1532" s="157" t="s">
        <v>1264</v>
      </c>
      <c r="G1532" s="157" t="s">
        <v>1265</v>
      </c>
      <c r="H1532" s="157" t="s">
        <v>1266</v>
      </c>
      <c r="I1532" s="157" t="s">
        <v>1267</v>
      </c>
      <c r="J1532" s="157" t="s">
        <v>1268</v>
      </c>
      <c r="K1532" s="157" t="s">
        <v>1269</v>
      </c>
      <c r="L1532" s="157" t="s">
        <v>1270</v>
      </c>
      <c r="M1532" s="157" t="str">
        <f t="shared" si="33"/>
        <v>USB Outlet - Personal Device Charging and Connecting</v>
      </c>
      <c r="N1532" s="157"/>
      <c r="O1532" s="157"/>
      <c r="P1532" s="159" t="s">
        <v>5767</v>
      </c>
      <c r="Q1532" s="157" t="s">
        <v>2115</v>
      </c>
      <c r="R1532" s="157" t="s">
        <v>8598</v>
      </c>
      <c r="S1532" s="157" t="s">
        <v>8613</v>
      </c>
      <c r="T1532" s="157"/>
      <c r="U1532" s="159" t="s">
        <v>2129</v>
      </c>
      <c r="V1532" s="159" t="s">
        <v>2138</v>
      </c>
      <c r="W1532" s="159" t="s">
        <v>2138</v>
      </c>
      <c r="X1532" s="160">
        <v>1</v>
      </c>
      <c r="Y1532" s="160">
        <v>1</v>
      </c>
      <c r="Z1532" s="160">
        <v>1</v>
      </c>
      <c r="AA1532" s="160">
        <v>1</v>
      </c>
    </row>
    <row r="1533" spans="1:27" ht="18" customHeight="1" x14ac:dyDescent="0.25">
      <c r="A1533" s="159">
        <v>4020</v>
      </c>
      <c r="B1533" s="157" t="s">
        <v>280</v>
      </c>
      <c r="C1533" s="157" t="s">
        <v>328</v>
      </c>
      <c r="D1533" s="159" t="s">
        <v>857</v>
      </c>
      <c r="E1533" s="157" t="s">
        <v>855</v>
      </c>
      <c r="F1533" s="157" t="s">
        <v>1264</v>
      </c>
      <c r="G1533" s="157" t="s">
        <v>1265</v>
      </c>
      <c r="H1533" s="157" t="s">
        <v>1266</v>
      </c>
      <c r="I1533" s="157" t="s">
        <v>1267</v>
      </c>
      <c r="J1533" s="157" t="s">
        <v>1268</v>
      </c>
      <c r="K1533" s="157" t="s">
        <v>1269</v>
      </c>
      <c r="L1533" s="157" t="s">
        <v>1270</v>
      </c>
      <c r="M1533" s="157" t="str">
        <f t="shared" si="33"/>
        <v>USB Outlet - Personal Device Charging and Connecting</v>
      </c>
      <c r="N1533" s="157"/>
      <c r="O1533" s="157"/>
      <c r="P1533" s="159" t="s">
        <v>5767</v>
      </c>
      <c r="Q1533" s="157" t="s">
        <v>2115</v>
      </c>
      <c r="R1533" s="157" t="s">
        <v>8598</v>
      </c>
      <c r="S1533" s="157" t="s">
        <v>8613</v>
      </c>
      <c r="T1533" s="157"/>
      <c r="U1533" s="159" t="s">
        <v>2129</v>
      </c>
      <c r="V1533" s="159" t="s">
        <v>2138</v>
      </c>
      <c r="W1533" s="159" t="s">
        <v>2138</v>
      </c>
      <c r="X1533" s="160">
        <v>1</v>
      </c>
      <c r="Y1533" s="160">
        <v>1</v>
      </c>
      <c r="Z1533" s="160">
        <v>1</v>
      </c>
      <c r="AA1533" s="160">
        <v>1</v>
      </c>
    </row>
    <row r="1534" spans="1:27" ht="18" customHeight="1" x14ac:dyDescent="0.25">
      <c r="A1534" s="159">
        <v>4020</v>
      </c>
      <c r="B1534" s="157" t="s">
        <v>280</v>
      </c>
      <c r="C1534" s="157" t="s">
        <v>505</v>
      </c>
      <c r="D1534" s="159" t="s">
        <v>508</v>
      </c>
      <c r="E1534" s="157" t="s">
        <v>506</v>
      </c>
      <c r="F1534" s="157" t="s">
        <v>1264</v>
      </c>
      <c r="G1534" s="157" t="s">
        <v>1265</v>
      </c>
      <c r="H1534" s="157" t="s">
        <v>1266</v>
      </c>
      <c r="I1534" s="157" t="s">
        <v>1267</v>
      </c>
      <c r="J1534" s="157" t="s">
        <v>1268</v>
      </c>
      <c r="K1534" s="157" t="s">
        <v>1269</v>
      </c>
      <c r="L1534" s="157" t="s">
        <v>1270</v>
      </c>
      <c r="M1534" s="157" t="str">
        <f t="shared" si="33"/>
        <v>USB Outlet - Personal Device Charging and Connecting</v>
      </c>
      <c r="N1534" s="157"/>
      <c r="O1534" s="157"/>
      <c r="P1534" s="159" t="s">
        <v>5767</v>
      </c>
      <c r="Q1534" s="157" t="s">
        <v>2115</v>
      </c>
      <c r="R1534" s="157" t="s">
        <v>8598</v>
      </c>
      <c r="S1534" s="157" t="s">
        <v>8613</v>
      </c>
      <c r="T1534" s="157"/>
      <c r="U1534" s="159" t="s">
        <v>2129</v>
      </c>
      <c r="V1534" s="159" t="s">
        <v>2138</v>
      </c>
      <c r="W1534" s="159" t="s">
        <v>2138</v>
      </c>
      <c r="X1534" s="160">
        <v>1</v>
      </c>
      <c r="Y1534" s="160">
        <v>1</v>
      </c>
      <c r="Z1534" s="160">
        <v>1</v>
      </c>
      <c r="AA1534" s="160">
        <v>1</v>
      </c>
    </row>
    <row r="1535" spans="1:27" ht="18" customHeight="1" x14ac:dyDescent="0.25">
      <c r="A1535" s="159">
        <v>4020</v>
      </c>
      <c r="B1535" s="157" t="s">
        <v>280</v>
      </c>
      <c r="C1535" s="157" t="s">
        <v>505</v>
      </c>
      <c r="D1535" s="159" t="s">
        <v>713</v>
      </c>
      <c r="E1535" s="157" t="s">
        <v>711</v>
      </c>
      <c r="F1535" s="157" t="s">
        <v>1264</v>
      </c>
      <c r="G1535" s="157" t="s">
        <v>1265</v>
      </c>
      <c r="H1535" s="157" t="s">
        <v>1266</v>
      </c>
      <c r="I1535" s="157" t="s">
        <v>1267</v>
      </c>
      <c r="J1535" s="157" t="s">
        <v>1268</v>
      </c>
      <c r="K1535" s="157" t="s">
        <v>1269</v>
      </c>
      <c r="L1535" s="157" t="s">
        <v>1270</v>
      </c>
      <c r="M1535" s="157" t="str">
        <f t="shared" si="33"/>
        <v>USB Outlet - Personal Device Charging and Connecting</v>
      </c>
      <c r="N1535" s="157"/>
      <c r="O1535" s="157"/>
      <c r="P1535" s="159" t="s">
        <v>5767</v>
      </c>
      <c r="Q1535" s="157" t="s">
        <v>2115</v>
      </c>
      <c r="R1535" s="157" t="s">
        <v>8598</v>
      </c>
      <c r="S1535" s="157" t="s">
        <v>8613</v>
      </c>
      <c r="T1535" s="157"/>
      <c r="U1535" s="159" t="s">
        <v>2129</v>
      </c>
      <c r="V1535" s="159" t="s">
        <v>2138</v>
      </c>
      <c r="W1535" s="159" t="s">
        <v>2138</v>
      </c>
      <c r="X1535" s="160">
        <v>1</v>
      </c>
      <c r="Y1535" s="160">
        <v>1</v>
      </c>
      <c r="Z1535" s="160">
        <v>1</v>
      </c>
      <c r="AA1535" s="160">
        <v>1</v>
      </c>
    </row>
    <row r="1536" spans="1:27" ht="18" customHeight="1" x14ac:dyDescent="0.25">
      <c r="A1536" s="159">
        <v>4020</v>
      </c>
      <c r="B1536" s="157" t="s">
        <v>318</v>
      </c>
      <c r="C1536" s="157" t="s">
        <v>319</v>
      </c>
      <c r="D1536" s="159" t="s">
        <v>442</v>
      </c>
      <c r="E1536" s="157" t="s">
        <v>440</v>
      </c>
      <c r="F1536" s="157" t="s">
        <v>1264</v>
      </c>
      <c r="G1536" s="157" t="s">
        <v>1265</v>
      </c>
      <c r="H1536" s="157" t="s">
        <v>1266</v>
      </c>
      <c r="I1536" s="157" t="s">
        <v>1267</v>
      </c>
      <c r="J1536" s="157" t="s">
        <v>1268</v>
      </c>
      <c r="K1536" s="157" t="s">
        <v>1269</v>
      </c>
      <c r="L1536" s="157" t="s">
        <v>1270</v>
      </c>
      <c r="M1536" s="157" t="str">
        <f t="shared" si="33"/>
        <v>USB Outlet - Personal Device Charging and Connecting</v>
      </c>
      <c r="N1536" s="157"/>
      <c r="O1536" s="157"/>
      <c r="P1536" s="159" t="s">
        <v>5767</v>
      </c>
      <c r="Q1536" s="157" t="s">
        <v>2115</v>
      </c>
      <c r="R1536" s="157" t="s">
        <v>8598</v>
      </c>
      <c r="S1536" s="157" t="s">
        <v>8613</v>
      </c>
      <c r="T1536" s="157"/>
      <c r="U1536" s="159" t="s">
        <v>2129</v>
      </c>
      <c r="V1536" s="159" t="s">
        <v>2138</v>
      </c>
      <c r="W1536" s="159" t="s">
        <v>2138</v>
      </c>
      <c r="X1536" s="160">
        <v>1</v>
      </c>
      <c r="Y1536" s="160">
        <v>1</v>
      </c>
      <c r="Z1536" s="160">
        <v>1</v>
      </c>
      <c r="AA1536" s="160">
        <v>1</v>
      </c>
    </row>
    <row r="1537" spans="1:27" ht="18" customHeight="1" x14ac:dyDescent="0.25">
      <c r="A1537" s="159">
        <v>4021</v>
      </c>
      <c r="B1537" s="157" t="s">
        <v>280</v>
      </c>
      <c r="C1537" s="157" t="s">
        <v>463</v>
      </c>
      <c r="D1537" s="159" t="s">
        <v>720</v>
      </c>
      <c r="E1537" s="157" t="s">
        <v>718</v>
      </c>
      <c r="F1537" s="157" t="s">
        <v>1264</v>
      </c>
      <c r="G1537" s="157" t="s">
        <v>1265</v>
      </c>
      <c r="H1537" s="157" t="s">
        <v>1458</v>
      </c>
      <c r="I1537" s="157" t="s">
        <v>1456</v>
      </c>
      <c r="J1537" s="157"/>
      <c r="K1537" s="157" t="s">
        <v>1409</v>
      </c>
      <c r="L1537" s="157" t="s">
        <v>9590</v>
      </c>
      <c r="M1537" s="157" t="str">
        <f t="shared" si="33"/>
        <v>DAB Antenna (w/ Amplifier) - Radio Receiving</v>
      </c>
      <c r="N1537" s="157"/>
      <c r="O1537" s="157"/>
      <c r="P1537" s="159" t="s">
        <v>7231</v>
      </c>
      <c r="Q1537" s="157" t="s">
        <v>2115</v>
      </c>
      <c r="R1537" s="157" t="s">
        <v>8239</v>
      </c>
      <c r="S1537" s="157" t="s">
        <v>8604</v>
      </c>
      <c r="T1537" s="157"/>
      <c r="U1537" s="159" t="s">
        <v>2129</v>
      </c>
      <c r="V1537" s="159" t="s">
        <v>2138</v>
      </c>
      <c r="W1537" s="159" t="s">
        <v>2138</v>
      </c>
      <c r="X1537" s="160">
        <v>1</v>
      </c>
      <c r="Y1537" s="160">
        <v>1</v>
      </c>
      <c r="Z1537" s="160">
        <v>1</v>
      </c>
      <c r="AA1537" s="160">
        <v>1</v>
      </c>
    </row>
    <row r="1538" spans="1:27" ht="18" customHeight="1" x14ac:dyDescent="0.25">
      <c r="A1538" s="159">
        <v>4021</v>
      </c>
      <c r="B1538" s="157" t="s">
        <v>318</v>
      </c>
      <c r="C1538" s="157" t="s">
        <v>319</v>
      </c>
      <c r="D1538" s="159" t="s">
        <v>442</v>
      </c>
      <c r="E1538" s="157" t="s">
        <v>440</v>
      </c>
      <c r="F1538" s="157"/>
      <c r="G1538" s="157" t="s">
        <v>1278</v>
      </c>
      <c r="H1538" s="157" t="s">
        <v>9596</v>
      </c>
      <c r="I1538" s="157" t="s">
        <v>9597</v>
      </c>
      <c r="J1538" s="157"/>
      <c r="K1538" s="157" t="s">
        <v>1269</v>
      </c>
      <c r="L1538" s="157" t="s">
        <v>9596</v>
      </c>
      <c r="M1538" s="157" t="str">
        <f t="shared" si="33"/>
        <v>USB Charging Port - Personal Device Charging FL</v>
      </c>
      <c r="N1538" s="157"/>
      <c r="O1538" s="157"/>
      <c r="P1538" s="159" t="s">
        <v>5927</v>
      </c>
      <c r="Q1538" s="168" t="s">
        <v>2115</v>
      </c>
      <c r="R1538" s="168" t="s">
        <v>8260</v>
      </c>
      <c r="S1538" s="168" t="s">
        <v>8620</v>
      </c>
      <c r="T1538" s="157"/>
      <c r="U1538" s="159" t="s">
        <v>2129</v>
      </c>
      <c r="V1538" s="159" t="s">
        <v>2129</v>
      </c>
      <c r="W1538" s="159" t="s">
        <v>2138</v>
      </c>
      <c r="X1538" s="160">
        <v>0.6</v>
      </c>
      <c r="Y1538" s="160">
        <v>0.6</v>
      </c>
      <c r="Z1538" s="160">
        <v>0.6</v>
      </c>
      <c r="AA1538" s="160">
        <v>0.6</v>
      </c>
    </row>
    <row r="1539" spans="1:27" ht="18" customHeight="1" x14ac:dyDescent="0.25">
      <c r="A1539" s="159">
        <v>4022</v>
      </c>
      <c r="B1539" s="157" t="s">
        <v>318</v>
      </c>
      <c r="C1539" s="157" t="s">
        <v>319</v>
      </c>
      <c r="D1539" s="159" t="s">
        <v>442</v>
      </c>
      <c r="E1539" s="157" t="s">
        <v>440</v>
      </c>
      <c r="F1539" s="157"/>
      <c r="G1539" s="157" t="s">
        <v>1278</v>
      </c>
      <c r="H1539" s="157" t="s">
        <v>9596</v>
      </c>
      <c r="I1539" s="157" t="s">
        <v>9598</v>
      </c>
      <c r="J1539" s="157"/>
      <c r="K1539" s="157" t="s">
        <v>1269</v>
      </c>
      <c r="L1539" s="157" t="s">
        <v>9596</v>
      </c>
      <c r="M1539" s="157" t="str">
        <f t="shared" si="33"/>
        <v>USB Charging Port - Personal Device Charging FR</v>
      </c>
      <c r="N1539" s="157"/>
      <c r="O1539" s="157"/>
      <c r="P1539" s="159" t="s">
        <v>5555</v>
      </c>
      <c r="Q1539" s="168" t="s">
        <v>2115</v>
      </c>
      <c r="R1539" s="168" t="s">
        <v>8260</v>
      </c>
      <c r="S1539" s="168" t="s">
        <v>8620</v>
      </c>
      <c r="T1539" s="157"/>
      <c r="U1539" s="159" t="s">
        <v>2129</v>
      </c>
      <c r="V1539" s="159" t="s">
        <v>2129</v>
      </c>
      <c r="W1539" s="159" t="s">
        <v>2138</v>
      </c>
      <c r="X1539" s="160">
        <v>0.6</v>
      </c>
      <c r="Y1539" s="160">
        <v>0.6</v>
      </c>
      <c r="Z1539" s="160">
        <v>0.6</v>
      </c>
      <c r="AA1539" s="160">
        <v>0.6</v>
      </c>
    </row>
    <row r="1540" spans="1:27" ht="18" customHeight="1" x14ac:dyDescent="0.25">
      <c r="A1540" s="159">
        <v>4023</v>
      </c>
      <c r="B1540" s="157" t="s">
        <v>318</v>
      </c>
      <c r="C1540" s="157" t="s">
        <v>319</v>
      </c>
      <c r="D1540" s="159" t="s">
        <v>442</v>
      </c>
      <c r="E1540" s="157" t="s">
        <v>440</v>
      </c>
      <c r="F1540" s="157"/>
      <c r="G1540" s="157" t="s">
        <v>1278</v>
      </c>
      <c r="H1540" s="157" t="s">
        <v>9596</v>
      </c>
      <c r="I1540" s="157" t="s">
        <v>9599</v>
      </c>
      <c r="J1540" s="157"/>
      <c r="K1540" s="157" t="s">
        <v>1269</v>
      </c>
      <c r="L1540" s="157" t="s">
        <v>9596</v>
      </c>
      <c r="M1540" s="157" t="str">
        <f t="shared" si="33"/>
        <v>USB Charging Port - Personal Device Charging RL</v>
      </c>
      <c r="N1540" s="157"/>
      <c r="O1540" s="157"/>
      <c r="P1540" s="159" t="s">
        <v>5954</v>
      </c>
      <c r="Q1540" s="168" t="s">
        <v>2115</v>
      </c>
      <c r="R1540" s="168" t="s">
        <v>8260</v>
      </c>
      <c r="S1540" s="168" t="s">
        <v>8620</v>
      </c>
      <c r="T1540" s="157"/>
      <c r="U1540" s="159" t="s">
        <v>2129</v>
      </c>
      <c r="V1540" s="159" t="s">
        <v>2138</v>
      </c>
      <c r="W1540" s="159" t="s">
        <v>2138</v>
      </c>
      <c r="X1540" s="160">
        <v>0.6</v>
      </c>
      <c r="Y1540" s="160">
        <v>0.6</v>
      </c>
      <c r="Z1540" s="160">
        <v>0.6</v>
      </c>
      <c r="AA1540" s="160">
        <v>0.6</v>
      </c>
    </row>
    <row r="1541" spans="1:27" ht="18" customHeight="1" x14ac:dyDescent="0.25">
      <c r="A1541" s="159">
        <v>4024</v>
      </c>
      <c r="B1541" s="157" t="s">
        <v>29</v>
      </c>
      <c r="C1541" s="157" t="s">
        <v>30</v>
      </c>
      <c r="D1541" s="159" t="s">
        <v>236</v>
      </c>
      <c r="E1541" s="157" t="s">
        <v>234</v>
      </c>
      <c r="F1541" s="157" t="s">
        <v>1277</v>
      </c>
      <c r="G1541" s="157" t="s">
        <v>1299</v>
      </c>
      <c r="H1541" s="157" t="s">
        <v>1316</v>
      </c>
      <c r="I1541" s="157" t="s">
        <v>9759</v>
      </c>
      <c r="J1541" s="157" t="s">
        <v>1317</v>
      </c>
      <c r="K1541" s="157" t="s">
        <v>1269</v>
      </c>
      <c r="L1541" s="157" t="s">
        <v>1317</v>
      </c>
      <c r="M1541" s="157" t="str">
        <f t="shared" si="33"/>
        <v>Trailer Outlet - Turn Signal Left</v>
      </c>
      <c r="N1541" s="157"/>
      <c r="O1541" s="157"/>
      <c r="P1541" s="159" t="s">
        <v>5821</v>
      </c>
      <c r="Q1541" s="157"/>
      <c r="R1541" s="157"/>
      <c r="S1541" s="157"/>
      <c r="T1541" s="157"/>
      <c r="U1541" s="159" t="s">
        <v>2129</v>
      </c>
      <c r="V1541" s="159" t="s">
        <v>2129</v>
      </c>
      <c r="W1541" s="159" t="s">
        <v>2138</v>
      </c>
      <c r="X1541" s="160">
        <v>0.3</v>
      </c>
      <c r="Y1541" s="160">
        <v>0.1</v>
      </c>
      <c r="Z1541" s="160">
        <v>0.3</v>
      </c>
      <c r="AA1541" s="160">
        <v>0.1</v>
      </c>
    </row>
    <row r="1542" spans="1:27" ht="18" customHeight="1" x14ac:dyDescent="0.25">
      <c r="A1542" s="159">
        <v>4025</v>
      </c>
      <c r="B1542" s="157" t="s">
        <v>318</v>
      </c>
      <c r="C1542" s="157" t="s">
        <v>319</v>
      </c>
      <c r="D1542" s="159" t="s">
        <v>442</v>
      </c>
      <c r="E1542" s="157" t="s">
        <v>440</v>
      </c>
      <c r="F1542" s="157"/>
      <c r="G1542" s="157" t="s">
        <v>1278</v>
      </c>
      <c r="H1542" s="157" t="s">
        <v>9596</v>
      </c>
      <c r="I1542" s="157" t="s">
        <v>9600</v>
      </c>
      <c r="J1542" s="157"/>
      <c r="K1542" s="157" t="s">
        <v>1269</v>
      </c>
      <c r="L1542" s="157" t="s">
        <v>9596</v>
      </c>
      <c r="M1542" s="157" t="str">
        <f t="shared" si="33"/>
        <v>USB Charging Port - Personal Device Charging RR</v>
      </c>
      <c r="N1542" s="157"/>
      <c r="O1542" s="157"/>
      <c r="P1542" s="159" t="s">
        <v>5582</v>
      </c>
      <c r="Q1542" s="168" t="s">
        <v>2115</v>
      </c>
      <c r="R1542" s="168" t="s">
        <v>8260</v>
      </c>
      <c r="S1542" s="168" t="s">
        <v>8620</v>
      </c>
      <c r="T1542" s="157"/>
      <c r="U1542" s="159" t="s">
        <v>2129</v>
      </c>
      <c r="V1542" s="159" t="s">
        <v>2138</v>
      </c>
      <c r="W1542" s="159" t="s">
        <v>2138</v>
      </c>
      <c r="X1542" s="160">
        <v>0.6</v>
      </c>
      <c r="Y1542" s="160">
        <v>0.6</v>
      </c>
      <c r="Z1542" s="160">
        <v>0.6</v>
      </c>
      <c r="AA1542" s="160">
        <v>0.6</v>
      </c>
    </row>
    <row r="1543" spans="1:27" ht="18" customHeight="1" x14ac:dyDescent="0.25">
      <c r="A1543" s="159">
        <v>4026</v>
      </c>
      <c r="B1543" s="157" t="s">
        <v>318</v>
      </c>
      <c r="C1543" s="157" t="s">
        <v>319</v>
      </c>
      <c r="D1543" s="159" t="s">
        <v>442</v>
      </c>
      <c r="E1543" s="157" t="s">
        <v>440</v>
      </c>
      <c r="F1543" s="157"/>
      <c r="G1543" s="157" t="s">
        <v>1278</v>
      </c>
      <c r="H1543" s="157" t="s">
        <v>9596</v>
      </c>
      <c r="I1543" s="157" t="s">
        <v>9601</v>
      </c>
      <c r="J1543" s="157"/>
      <c r="K1543" s="157" t="s">
        <v>1269</v>
      </c>
      <c r="L1543" s="157" t="s">
        <v>9596</v>
      </c>
      <c r="M1543" s="157" t="str">
        <f t="shared" si="33"/>
        <v>USB Charging Port - Personal Device Charging RL - 3rd Seat Row</v>
      </c>
      <c r="N1543" s="157"/>
      <c r="O1543" s="157"/>
      <c r="P1543" s="159" t="s">
        <v>7506</v>
      </c>
      <c r="Q1543" s="168" t="s">
        <v>2115</v>
      </c>
      <c r="R1543" s="168" t="s">
        <v>8260</v>
      </c>
      <c r="S1543" s="168" t="s">
        <v>8620</v>
      </c>
      <c r="T1543" s="157"/>
      <c r="U1543" s="159" t="s">
        <v>2129</v>
      </c>
      <c r="V1543" s="159" t="s">
        <v>2129</v>
      </c>
      <c r="W1543" s="159" t="s">
        <v>2138</v>
      </c>
      <c r="X1543" s="160">
        <v>0.6</v>
      </c>
      <c r="Y1543" s="160">
        <v>0.6</v>
      </c>
      <c r="Z1543" s="160">
        <v>0.6</v>
      </c>
      <c r="AA1543" s="160">
        <v>0.6</v>
      </c>
    </row>
    <row r="1544" spans="1:27" ht="18" customHeight="1" x14ac:dyDescent="0.25">
      <c r="A1544" s="159">
        <v>4027</v>
      </c>
      <c r="B1544" s="157" t="s">
        <v>318</v>
      </c>
      <c r="C1544" s="157" t="s">
        <v>319</v>
      </c>
      <c r="D1544" s="159" t="s">
        <v>442</v>
      </c>
      <c r="E1544" s="157" t="s">
        <v>440</v>
      </c>
      <c r="F1544" s="157"/>
      <c r="G1544" s="157" t="s">
        <v>1278</v>
      </c>
      <c r="H1544" s="157" t="s">
        <v>9596</v>
      </c>
      <c r="I1544" s="157" t="s">
        <v>9602</v>
      </c>
      <c r="J1544" s="157"/>
      <c r="K1544" s="157" t="s">
        <v>1269</v>
      </c>
      <c r="L1544" s="157" t="s">
        <v>9596</v>
      </c>
      <c r="M1544" s="157" t="str">
        <f t="shared" si="33"/>
        <v>USB Charging Port - Personal Device Charging RR - 3rd Seat Row</v>
      </c>
      <c r="N1544" s="157"/>
      <c r="O1544" s="157"/>
      <c r="P1544" s="159" t="s">
        <v>4229</v>
      </c>
      <c r="Q1544" s="168" t="s">
        <v>2115</v>
      </c>
      <c r="R1544" s="168" t="s">
        <v>8260</v>
      </c>
      <c r="S1544" s="168" t="s">
        <v>8620</v>
      </c>
      <c r="T1544" s="157"/>
      <c r="U1544" s="159" t="s">
        <v>2129</v>
      </c>
      <c r="V1544" s="159" t="s">
        <v>2129</v>
      </c>
      <c r="W1544" s="159" t="s">
        <v>2138</v>
      </c>
      <c r="X1544" s="160">
        <v>0.6</v>
      </c>
      <c r="Y1544" s="160">
        <v>0.6</v>
      </c>
      <c r="Z1544" s="160">
        <v>0.6</v>
      </c>
      <c r="AA1544" s="160">
        <v>0.6</v>
      </c>
    </row>
    <row r="1545" spans="1:27" ht="18" customHeight="1" x14ac:dyDescent="0.25">
      <c r="A1545" s="159">
        <v>4030</v>
      </c>
      <c r="B1545" s="157" t="s">
        <v>29</v>
      </c>
      <c r="C1545" s="157" t="s">
        <v>30</v>
      </c>
      <c r="D1545" s="159" t="s">
        <v>148</v>
      </c>
      <c r="E1545" s="157" t="s">
        <v>146</v>
      </c>
      <c r="F1545" s="157" t="s">
        <v>1264</v>
      </c>
      <c r="G1545" s="157" t="s">
        <v>1265</v>
      </c>
      <c r="H1545" s="157" t="s">
        <v>1939</v>
      </c>
      <c r="I1545" s="157" t="s">
        <v>1650</v>
      </c>
      <c r="J1545" s="157" t="s">
        <v>1651</v>
      </c>
      <c r="K1545" s="157" t="s">
        <v>1269</v>
      </c>
      <c r="L1545" s="157" t="s">
        <v>1286</v>
      </c>
      <c r="M1545" s="157" t="str">
        <f t="shared" si="33"/>
        <v>LED Lamp - Hop Off Warning FR</v>
      </c>
      <c r="N1545" s="157"/>
      <c r="O1545" s="157"/>
      <c r="P1545" s="159" t="s">
        <v>3791</v>
      </c>
      <c r="Q1545" s="157" t="s">
        <v>2115</v>
      </c>
      <c r="R1545" s="157" t="s">
        <v>8566</v>
      </c>
      <c r="S1545" s="157" t="s">
        <v>8611</v>
      </c>
      <c r="T1545" s="157"/>
      <c r="U1545" s="159" t="s">
        <v>2129</v>
      </c>
      <c r="V1545" s="159" t="s">
        <v>2129</v>
      </c>
      <c r="W1545" s="159" t="s">
        <v>2138</v>
      </c>
      <c r="X1545" s="160">
        <v>0</v>
      </c>
      <c r="Y1545" s="160">
        <v>0</v>
      </c>
      <c r="Z1545" s="160">
        <v>0</v>
      </c>
      <c r="AA1545" s="160">
        <v>0</v>
      </c>
    </row>
    <row r="1546" spans="1:27" ht="18" customHeight="1" x14ac:dyDescent="0.25">
      <c r="A1546" s="159">
        <v>4031</v>
      </c>
      <c r="B1546" s="157" t="s">
        <v>29</v>
      </c>
      <c r="C1546" s="157" t="s">
        <v>30</v>
      </c>
      <c r="D1546" s="159" t="s">
        <v>148</v>
      </c>
      <c r="E1546" s="157" t="s">
        <v>146</v>
      </c>
      <c r="F1546" s="157" t="s">
        <v>1264</v>
      </c>
      <c r="G1546" s="157" t="s">
        <v>1265</v>
      </c>
      <c r="H1546" s="157" t="s">
        <v>1939</v>
      </c>
      <c r="I1546" s="157" t="s">
        <v>1652</v>
      </c>
      <c r="J1546" s="157" t="s">
        <v>1651</v>
      </c>
      <c r="K1546" s="157" t="s">
        <v>1269</v>
      </c>
      <c r="L1546" s="157" t="s">
        <v>1286</v>
      </c>
      <c r="M1546" s="157" t="str">
        <f t="shared" ref="M1546:M1609" si="34">CONCATENATE(L1546," - ",I1546)</f>
        <v>LED Lamp - Hop Off Warning FL</v>
      </c>
      <c r="N1546" s="157"/>
      <c r="O1546" s="157"/>
      <c r="P1546" s="159" t="s">
        <v>7939</v>
      </c>
      <c r="Q1546" s="157" t="s">
        <v>2115</v>
      </c>
      <c r="R1546" s="157" t="s">
        <v>8566</v>
      </c>
      <c r="S1546" s="157" t="s">
        <v>8611</v>
      </c>
      <c r="T1546" s="157"/>
      <c r="U1546" s="159" t="s">
        <v>2129</v>
      </c>
      <c r="V1546" s="159" t="s">
        <v>2129</v>
      </c>
      <c r="W1546" s="159" t="s">
        <v>2138</v>
      </c>
      <c r="X1546" s="160">
        <v>0</v>
      </c>
      <c r="Y1546" s="160">
        <v>0</v>
      </c>
      <c r="Z1546" s="160">
        <v>0</v>
      </c>
      <c r="AA1546" s="160">
        <v>0</v>
      </c>
    </row>
    <row r="1547" spans="1:27" ht="18" customHeight="1" x14ac:dyDescent="0.25">
      <c r="A1547" s="159">
        <v>4032</v>
      </c>
      <c r="B1547" s="157" t="s">
        <v>29</v>
      </c>
      <c r="C1547" s="157" t="s">
        <v>30</v>
      </c>
      <c r="D1547" s="159" t="s">
        <v>578</v>
      </c>
      <c r="E1547" s="157" t="s">
        <v>576</v>
      </c>
      <c r="F1547" s="157" t="s">
        <v>1264</v>
      </c>
      <c r="G1547" s="157" t="s">
        <v>1265</v>
      </c>
      <c r="H1547" s="157" t="s">
        <v>1939</v>
      </c>
      <c r="I1547" s="157" t="s">
        <v>1653</v>
      </c>
      <c r="J1547" s="157" t="s">
        <v>1651</v>
      </c>
      <c r="K1547" s="157" t="s">
        <v>1269</v>
      </c>
      <c r="L1547" s="157" t="s">
        <v>1286</v>
      </c>
      <c r="M1547" s="157" t="str">
        <f t="shared" si="34"/>
        <v>LED Lamp - Hop Off Warning RL</v>
      </c>
      <c r="N1547" s="157"/>
      <c r="O1547" s="157"/>
      <c r="P1547" s="159" t="s">
        <v>7963</v>
      </c>
      <c r="Q1547" s="157" t="s">
        <v>2115</v>
      </c>
      <c r="R1547" s="157" t="s">
        <v>8566</v>
      </c>
      <c r="S1547" s="157" t="s">
        <v>8611</v>
      </c>
      <c r="T1547" s="157"/>
      <c r="U1547" s="159" t="s">
        <v>2129</v>
      </c>
      <c r="V1547" s="159" t="s">
        <v>2129</v>
      </c>
      <c r="W1547" s="159" t="s">
        <v>2138</v>
      </c>
      <c r="X1547" s="160">
        <v>0</v>
      </c>
      <c r="Y1547" s="160">
        <v>0</v>
      </c>
      <c r="Z1547" s="160">
        <v>0</v>
      </c>
      <c r="AA1547" s="160">
        <v>0</v>
      </c>
    </row>
    <row r="1548" spans="1:27" ht="18" customHeight="1" x14ac:dyDescent="0.25">
      <c r="A1548" s="159">
        <v>4033</v>
      </c>
      <c r="B1548" s="157" t="s">
        <v>29</v>
      </c>
      <c r="C1548" s="157" t="s">
        <v>30</v>
      </c>
      <c r="D1548" s="159" t="s">
        <v>578</v>
      </c>
      <c r="E1548" s="157" t="s">
        <v>576</v>
      </c>
      <c r="F1548" s="157" t="s">
        <v>1264</v>
      </c>
      <c r="G1548" s="157" t="s">
        <v>1265</v>
      </c>
      <c r="H1548" s="157" t="s">
        <v>1939</v>
      </c>
      <c r="I1548" s="157" t="s">
        <v>1654</v>
      </c>
      <c r="J1548" s="157" t="s">
        <v>1651</v>
      </c>
      <c r="K1548" s="157" t="s">
        <v>1269</v>
      </c>
      <c r="L1548" s="157" t="s">
        <v>1286</v>
      </c>
      <c r="M1548" s="157" t="str">
        <f t="shared" si="34"/>
        <v>LED Lamp - Hop Off Warning RR</v>
      </c>
      <c r="N1548" s="157"/>
      <c r="O1548" s="157"/>
      <c r="P1548" s="159" t="s">
        <v>3815</v>
      </c>
      <c r="Q1548" s="157" t="s">
        <v>2115</v>
      </c>
      <c r="R1548" s="157" t="s">
        <v>8566</v>
      </c>
      <c r="S1548" s="157" t="s">
        <v>8611</v>
      </c>
      <c r="T1548" s="157"/>
      <c r="U1548" s="159" t="s">
        <v>2129</v>
      </c>
      <c r="V1548" s="159" t="s">
        <v>2129</v>
      </c>
      <c r="W1548" s="159" t="s">
        <v>2138</v>
      </c>
      <c r="X1548" s="160">
        <v>0</v>
      </c>
      <c r="Y1548" s="160">
        <v>0</v>
      </c>
      <c r="Z1548" s="160">
        <v>0</v>
      </c>
      <c r="AA1548" s="160">
        <v>0</v>
      </c>
    </row>
    <row r="1549" spans="1:27" ht="18" customHeight="1" x14ac:dyDescent="0.25">
      <c r="A1549" s="159">
        <v>4034</v>
      </c>
      <c r="B1549" s="157" t="s">
        <v>63</v>
      </c>
      <c r="C1549" s="157" t="s">
        <v>64</v>
      </c>
      <c r="D1549" s="159" t="s">
        <v>67</v>
      </c>
      <c r="E1549" s="157" t="s">
        <v>65</v>
      </c>
      <c r="F1549" s="157" t="s">
        <v>1264</v>
      </c>
      <c r="G1549" s="157" t="s">
        <v>1278</v>
      </c>
      <c r="H1549" s="157" t="s">
        <v>1378</v>
      </c>
      <c r="I1549" s="157" t="s">
        <v>1655</v>
      </c>
      <c r="J1549" s="157" t="s">
        <v>1285</v>
      </c>
      <c r="K1549" s="157" t="s">
        <v>1312</v>
      </c>
      <c r="L1549" s="157" t="s">
        <v>2069</v>
      </c>
      <c r="M1549" s="157" t="str">
        <f t="shared" si="34"/>
        <v>Temperature Sensor - External Temperature</v>
      </c>
      <c r="N1549" s="157"/>
      <c r="O1549" s="157"/>
      <c r="P1549" s="159" t="s">
        <v>3586</v>
      </c>
      <c r="Q1549" s="157" t="s">
        <v>2115</v>
      </c>
      <c r="R1549" s="157" t="s">
        <v>2136</v>
      </c>
      <c r="S1549" s="157" t="s">
        <v>8618</v>
      </c>
      <c r="T1549" s="157" t="s">
        <v>2129</v>
      </c>
      <c r="U1549" s="159" t="s">
        <v>2129</v>
      </c>
      <c r="V1549" s="159" t="s">
        <v>2138</v>
      </c>
      <c r="W1549" s="159" t="s">
        <v>2138</v>
      </c>
      <c r="X1549" s="160">
        <v>1</v>
      </c>
      <c r="Y1549" s="160">
        <v>1</v>
      </c>
      <c r="Z1549" s="160">
        <v>1</v>
      </c>
      <c r="AA1549" s="160">
        <v>1</v>
      </c>
    </row>
    <row r="1550" spans="1:27" ht="18" customHeight="1" x14ac:dyDescent="0.25">
      <c r="A1550" s="159">
        <v>4034</v>
      </c>
      <c r="B1550" s="157" t="s">
        <v>63</v>
      </c>
      <c r="C1550" s="157" t="s">
        <v>64</v>
      </c>
      <c r="D1550" s="159" t="s">
        <v>1147</v>
      </c>
      <c r="E1550" s="157" t="s">
        <v>1145</v>
      </c>
      <c r="F1550" s="157"/>
      <c r="G1550" s="157" t="s">
        <v>1278</v>
      </c>
      <c r="H1550" s="157" t="s">
        <v>1378</v>
      </c>
      <c r="I1550" s="157" t="s">
        <v>1655</v>
      </c>
      <c r="J1550" s="157" t="s">
        <v>1285</v>
      </c>
      <c r="K1550" s="157" t="s">
        <v>1312</v>
      </c>
      <c r="L1550" s="157" t="s">
        <v>2069</v>
      </c>
      <c r="M1550" s="157" t="str">
        <f t="shared" si="34"/>
        <v>Temperature Sensor - External Temperature</v>
      </c>
      <c r="N1550" s="157"/>
      <c r="O1550" s="157"/>
      <c r="P1550" s="159" t="s">
        <v>3586</v>
      </c>
      <c r="Q1550" s="157" t="s">
        <v>2115</v>
      </c>
      <c r="R1550" s="157" t="s">
        <v>2136</v>
      </c>
      <c r="S1550" s="157" t="s">
        <v>8618</v>
      </c>
      <c r="T1550" s="157" t="s">
        <v>2129</v>
      </c>
      <c r="U1550" s="159" t="s">
        <v>2129</v>
      </c>
      <c r="V1550" s="159" t="s">
        <v>2138</v>
      </c>
      <c r="W1550" s="159" t="s">
        <v>2138</v>
      </c>
      <c r="X1550" s="160">
        <v>1</v>
      </c>
      <c r="Y1550" s="160">
        <v>1</v>
      </c>
      <c r="Z1550" s="160">
        <v>1</v>
      </c>
      <c r="AA1550" s="160">
        <v>1</v>
      </c>
    </row>
    <row r="1551" spans="1:27" ht="18" customHeight="1" x14ac:dyDescent="0.25">
      <c r="A1551" s="159">
        <v>4034</v>
      </c>
      <c r="B1551" s="157" t="s">
        <v>57</v>
      </c>
      <c r="C1551" s="157" t="s">
        <v>58</v>
      </c>
      <c r="D1551" s="159" t="s">
        <v>61</v>
      </c>
      <c r="E1551" s="157" t="s">
        <v>59</v>
      </c>
      <c r="F1551" s="157" t="s">
        <v>1264</v>
      </c>
      <c r="G1551" s="157" t="s">
        <v>1278</v>
      </c>
      <c r="H1551" s="157" t="s">
        <v>1378</v>
      </c>
      <c r="I1551" s="157" t="s">
        <v>1655</v>
      </c>
      <c r="J1551" s="157" t="s">
        <v>1285</v>
      </c>
      <c r="K1551" s="157" t="s">
        <v>1312</v>
      </c>
      <c r="L1551" s="157" t="s">
        <v>2069</v>
      </c>
      <c r="M1551" s="157" t="str">
        <f t="shared" si="34"/>
        <v>Temperature Sensor - External Temperature</v>
      </c>
      <c r="N1551" s="157"/>
      <c r="O1551" s="157"/>
      <c r="P1551" s="159" t="s">
        <v>3586</v>
      </c>
      <c r="Q1551" s="157" t="s">
        <v>2115</v>
      </c>
      <c r="R1551" s="157" t="s">
        <v>2136</v>
      </c>
      <c r="S1551" s="157" t="s">
        <v>8618</v>
      </c>
      <c r="T1551" s="157" t="s">
        <v>2129</v>
      </c>
      <c r="U1551" s="159" t="s">
        <v>2129</v>
      </c>
      <c r="V1551" s="159" t="s">
        <v>2129</v>
      </c>
      <c r="W1551" s="159" t="s">
        <v>2138</v>
      </c>
      <c r="X1551" s="160">
        <v>1</v>
      </c>
      <c r="Y1551" s="160">
        <v>1</v>
      </c>
      <c r="Z1551" s="160">
        <v>1</v>
      </c>
      <c r="AA1551" s="160">
        <v>1</v>
      </c>
    </row>
    <row r="1552" spans="1:27" ht="18" customHeight="1" x14ac:dyDescent="0.25">
      <c r="A1552" s="159">
        <v>4034</v>
      </c>
      <c r="B1552" s="157" t="s">
        <v>57</v>
      </c>
      <c r="C1552" s="157" t="s">
        <v>58</v>
      </c>
      <c r="D1552" s="159" t="s">
        <v>414</v>
      </c>
      <c r="E1552" s="157" t="s">
        <v>412</v>
      </c>
      <c r="F1552" s="157" t="s">
        <v>1264</v>
      </c>
      <c r="G1552" s="157" t="s">
        <v>1278</v>
      </c>
      <c r="H1552" s="157" t="s">
        <v>1378</v>
      </c>
      <c r="I1552" s="157" t="s">
        <v>1655</v>
      </c>
      <c r="J1552" s="157" t="s">
        <v>1285</v>
      </c>
      <c r="K1552" s="157" t="s">
        <v>1312</v>
      </c>
      <c r="L1552" s="157" t="s">
        <v>2069</v>
      </c>
      <c r="M1552" s="157" t="str">
        <f t="shared" si="34"/>
        <v>Temperature Sensor - External Temperature</v>
      </c>
      <c r="N1552" s="157"/>
      <c r="O1552" s="157"/>
      <c r="P1552" s="159" t="s">
        <v>3586</v>
      </c>
      <c r="Q1552" s="157" t="s">
        <v>2115</v>
      </c>
      <c r="R1552" s="157" t="s">
        <v>2136</v>
      </c>
      <c r="S1552" s="157" t="s">
        <v>8618</v>
      </c>
      <c r="T1552" s="157" t="s">
        <v>2129</v>
      </c>
      <c r="U1552" s="159" t="s">
        <v>2129</v>
      </c>
      <c r="V1552" s="159" t="s">
        <v>2138</v>
      </c>
      <c r="W1552" s="159" t="s">
        <v>2138</v>
      </c>
      <c r="X1552" s="160">
        <v>1</v>
      </c>
      <c r="Y1552" s="160">
        <v>1</v>
      </c>
      <c r="Z1552" s="160">
        <v>1</v>
      </c>
      <c r="AA1552" s="160">
        <v>1</v>
      </c>
    </row>
    <row r="1553" spans="1:27" ht="18" customHeight="1" x14ac:dyDescent="0.25">
      <c r="A1553" s="159">
        <v>4034</v>
      </c>
      <c r="B1553" s="157" t="s">
        <v>57</v>
      </c>
      <c r="C1553" s="157" t="s">
        <v>58</v>
      </c>
      <c r="D1553" s="159" t="s">
        <v>417</v>
      </c>
      <c r="E1553" s="157" t="s">
        <v>415</v>
      </c>
      <c r="F1553" s="157" t="s">
        <v>1264</v>
      </c>
      <c r="G1553" s="157" t="s">
        <v>1278</v>
      </c>
      <c r="H1553" s="157" t="s">
        <v>1378</v>
      </c>
      <c r="I1553" s="157" t="s">
        <v>1655</v>
      </c>
      <c r="J1553" s="157" t="s">
        <v>1285</v>
      </c>
      <c r="K1553" s="157" t="s">
        <v>1312</v>
      </c>
      <c r="L1553" s="157" t="s">
        <v>2069</v>
      </c>
      <c r="M1553" s="157" t="str">
        <f t="shared" si="34"/>
        <v>Temperature Sensor - External Temperature</v>
      </c>
      <c r="N1553" s="157"/>
      <c r="O1553" s="157"/>
      <c r="P1553" s="159" t="s">
        <v>3586</v>
      </c>
      <c r="Q1553" s="157" t="s">
        <v>2115</v>
      </c>
      <c r="R1553" s="157" t="s">
        <v>2136</v>
      </c>
      <c r="S1553" s="157" t="s">
        <v>8618</v>
      </c>
      <c r="T1553" s="157" t="s">
        <v>2129</v>
      </c>
      <c r="U1553" s="159" t="s">
        <v>2129</v>
      </c>
      <c r="V1553" s="159" t="s">
        <v>2138</v>
      </c>
      <c r="W1553" s="159" t="s">
        <v>2138</v>
      </c>
      <c r="X1553" s="160">
        <v>1</v>
      </c>
      <c r="Y1553" s="160">
        <v>1</v>
      </c>
      <c r="Z1553" s="160">
        <v>1</v>
      </c>
      <c r="AA1553" s="160">
        <v>1</v>
      </c>
    </row>
    <row r="1554" spans="1:27" ht="18" customHeight="1" x14ac:dyDescent="0.25">
      <c r="A1554" s="159">
        <v>4034</v>
      </c>
      <c r="B1554" s="157" t="s">
        <v>57</v>
      </c>
      <c r="C1554" s="157" t="s">
        <v>58</v>
      </c>
      <c r="D1554" s="159" t="s">
        <v>664</v>
      </c>
      <c r="E1554" s="157" t="s">
        <v>662</v>
      </c>
      <c r="F1554" s="157" t="s">
        <v>1264</v>
      </c>
      <c r="G1554" s="157" t="s">
        <v>1278</v>
      </c>
      <c r="H1554" s="157" t="s">
        <v>1378</v>
      </c>
      <c r="I1554" s="157" t="s">
        <v>1655</v>
      </c>
      <c r="J1554" s="157" t="s">
        <v>1285</v>
      </c>
      <c r="K1554" s="157" t="s">
        <v>1312</v>
      </c>
      <c r="L1554" s="157" t="s">
        <v>2069</v>
      </c>
      <c r="M1554" s="157" t="str">
        <f t="shared" si="34"/>
        <v>Temperature Sensor - External Temperature</v>
      </c>
      <c r="N1554" s="157"/>
      <c r="O1554" s="157"/>
      <c r="P1554" s="159" t="s">
        <v>3586</v>
      </c>
      <c r="Q1554" s="157" t="s">
        <v>2115</v>
      </c>
      <c r="R1554" s="157" t="s">
        <v>2136</v>
      </c>
      <c r="S1554" s="157" t="s">
        <v>8618</v>
      </c>
      <c r="T1554" s="157" t="s">
        <v>2129</v>
      </c>
      <c r="U1554" s="159" t="s">
        <v>2138</v>
      </c>
      <c r="V1554" s="159" t="s">
        <v>2129</v>
      </c>
      <c r="W1554" s="159" t="s">
        <v>2129</v>
      </c>
      <c r="X1554" s="160">
        <v>1</v>
      </c>
      <c r="Y1554" s="160">
        <v>1</v>
      </c>
      <c r="Z1554" s="160">
        <v>1</v>
      </c>
      <c r="AA1554" s="160">
        <v>1</v>
      </c>
    </row>
    <row r="1555" spans="1:27" ht="18" customHeight="1" x14ac:dyDescent="0.25">
      <c r="A1555" s="159">
        <v>4034</v>
      </c>
      <c r="B1555" s="157" t="s">
        <v>57</v>
      </c>
      <c r="C1555" s="157" t="s">
        <v>58</v>
      </c>
      <c r="D1555" s="159" t="s">
        <v>841</v>
      </c>
      <c r="E1555" s="157" t="s">
        <v>839</v>
      </c>
      <c r="F1555" s="157" t="s">
        <v>1264</v>
      </c>
      <c r="G1555" s="157" t="s">
        <v>1278</v>
      </c>
      <c r="H1555" s="157" t="s">
        <v>1378</v>
      </c>
      <c r="I1555" s="157" t="s">
        <v>1655</v>
      </c>
      <c r="J1555" s="157" t="s">
        <v>1285</v>
      </c>
      <c r="K1555" s="157" t="s">
        <v>1312</v>
      </c>
      <c r="L1555" s="157" t="s">
        <v>2069</v>
      </c>
      <c r="M1555" s="157" t="str">
        <f t="shared" si="34"/>
        <v>Temperature Sensor - External Temperature</v>
      </c>
      <c r="N1555" s="157"/>
      <c r="O1555" s="157"/>
      <c r="P1555" s="159" t="s">
        <v>3586</v>
      </c>
      <c r="Q1555" s="157" t="s">
        <v>2115</v>
      </c>
      <c r="R1555" s="157" t="s">
        <v>2136</v>
      </c>
      <c r="S1555" s="157" t="s">
        <v>8618</v>
      </c>
      <c r="T1555" s="157" t="s">
        <v>2129</v>
      </c>
      <c r="U1555" s="159" t="s">
        <v>2129</v>
      </c>
      <c r="V1555" s="159" t="s">
        <v>2129</v>
      </c>
      <c r="W1555" s="159" t="s">
        <v>2138</v>
      </c>
      <c r="X1555" s="160">
        <v>1</v>
      </c>
      <c r="Y1555" s="160">
        <v>1</v>
      </c>
      <c r="Z1555" s="160">
        <v>1</v>
      </c>
      <c r="AA1555" s="160">
        <v>1</v>
      </c>
    </row>
    <row r="1556" spans="1:27" ht="18" customHeight="1" x14ac:dyDescent="0.25">
      <c r="A1556" s="159">
        <v>4034</v>
      </c>
      <c r="B1556" s="157" t="s">
        <v>57</v>
      </c>
      <c r="C1556" s="157" t="s">
        <v>58</v>
      </c>
      <c r="D1556" s="159" t="s">
        <v>842</v>
      </c>
      <c r="E1556" s="157" t="s">
        <v>843</v>
      </c>
      <c r="F1556" s="157" t="s">
        <v>1264</v>
      </c>
      <c r="G1556" s="157" t="s">
        <v>1278</v>
      </c>
      <c r="H1556" s="157" t="s">
        <v>1378</v>
      </c>
      <c r="I1556" s="157" t="s">
        <v>1655</v>
      </c>
      <c r="J1556" s="157" t="s">
        <v>1285</v>
      </c>
      <c r="K1556" s="157" t="s">
        <v>1312</v>
      </c>
      <c r="L1556" s="157" t="s">
        <v>2069</v>
      </c>
      <c r="M1556" s="157" t="str">
        <f t="shared" si="34"/>
        <v>Temperature Sensor - External Temperature</v>
      </c>
      <c r="N1556" s="157"/>
      <c r="O1556" s="157"/>
      <c r="P1556" s="159" t="s">
        <v>3586</v>
      </c>
      <c r="Q1556" s="157" t="s">
        <v>2115</v>
      </c>
      <c r="R1556" s="157" t="s">
        <v>2136</v>
      </c>
      <c r="S1556" s="157" t="s">
        <v>8618</v>
      </c>
      <c r="T1556" s="157" t="s">
        <v>2129</v>
      </c>
      <c r="U1556" s="159" t="s">
        <v>2129</v>
      </c>
      <c r="V1556" s="159" t="s">
        <v>2129</v>
      </c>
      <c r="W1556" s="159" t="s">
        <v>2138</v>
      </c>
      <c r="X1556" s="160">
        <v>1</v>
      </c>
      <c r="Y1556" s="160">
        <v>1</v>
      </c>
      <c r="Z1556" s="160">
        <v>1</v>
      </c>
      <c r="AA1556" s="160">
        <v>1</v>
      </c>
    </row>
    <row r="1557" spans="1:27" ht="18" customHeight="1" x14ac:dyDescent="0.25">
      <c r="A1557" s="159">
        <v>4034</v>
      </c>
      <c r="B1557" s="157" t="s">
        <v>57</v>
      </c>
      <c r="C1557" s="157" t="s">
        <v>58</v>
      </c>
      <c r="D1557" s="159" t="s">
        <v>62</v>
      </c>
      <c r="E1557" s="157" t="s">
        <v>991</v>
      </c>
      <c r="F1557" s="157" t="s">
        <v>1264</v>
      </c>
      <c r="G1557" s="157" t="s">
        <v>1278</v>
      </c>
      <c r="H1557" s="157" t="s">
        <v>1378</v>
      </c>
      <c r="I1557" s="157" t="s">
        <v>1655</v>
      </c>
      <c r="J1557" s="157" t="s">
        <v>1285</v>
      </c>
      <c r="K1557" s="157" t="s">
        <v>1312</v>
      </c>
      <c r="L1557" s="157" t="s">
        <v>2069</v>
      </c>
      <c r="M1557" s="157" t="str">
        <f t="shared" si="34"/>
        <v>Temperature Sensor - External Temperature</v>
      </c>
      <c r="N1557" s="157"/>
      <c r="O1557" s="157"/>
      <c r="P1557" s="159" t="s">
        <v>3586</v>
      </c>
      <c r="Q1557" s="157" t="s">
        <v>2115</v>
      </c>
      <c r="R1557" s="157" t="s">
        <v>2136</v>
      </c>
      <c r="S1557" s="157" t="s">
        <v>8618</v>
      </c>
      <c r="T1557" s="157" t="s">
        <v>2129</v>
      </c>
      <c r="U1557" s="159" t="s">
        <v>2129</v>
      </c>
      <c r="V1557" s="159" t="s">
        <v>2138</v>
      </c>
      <c r="W1557" s="159" t="s">
        <v>2129</v>
      </c>
      <c r="X1557" s="160">
        <v>1</v>
      </c>
      <c r="Y1557" s="160">
        <v>1</v>
      </c>
      <c r="Z1557" s="160">
        <v>1</v>
      </c>
      <c r="AA1557" s="160">
        <v>1</v>
      </c>
    </row>
    <row r="1558" spans="1:27" ht="18" customHeight="1" x14ac:dyDescent="0.25">
      <c r="A1558" s="159">
        <v>4034</v>
      </c>
      <c r="B1558" s="157" t="s">
        <v>57</v>
      </c>
      <c r="C1558" s="157" t="s">
        <v>58</v>
      </c>
      <c r="D1558" s="159" t="s">
        <v>995</v>
      </c>
      <c r="E1558" s="157" t="s">
        <v>993</v>
      </c>
      <c r="F1558" s="157" t="s">
        <v>1264</v>
      </c>
      <c r="G1558" s="157" t="s">
        <v>1278</v>
      </c>
      <c r="H1558" s="157" t="s">
        <v>1378</v>
      </c>
      <c r="I1558" s="157" t="s">
        <v>1655</v>
      </c>
      <c r="J1558" s="157" t="s">
        <v>1285</v>
      </c>
      <c r="K1558" s="157" t="s">
        <v>1312</v>
      </c>
      <c r="L1558" s="157" t="s">
        <v>2069</v>
      </c>
      <c r="M1558" s="157" t="str">
        <f t="shared" si="34"/>
        <v>Temperature Sensor - External Temperature</v>
      </c>
      <c r="N1558" s="157"/>
      <c r="O1558" s="157"/>
      <c r="P1558" s="159" t="s">
        <v>3586</v>
      </c>
      <c r="Q1558" s="157" t="s">
        <v>2115</v>
      </c>
      <c r="R1558" s="157" t="s">
        <v>2136</v>
      </c>
      <c r="S1558" s="157" t="s">
        <v>8618</v>
      </c>
      <c r="T1558" s="157" t="s">
        <v>2129</v>
      </c>
      <c r="U1558" s="159" t="s">
        <v>2129</v>
      </c>
      <c r="V1558" s="159" t="s">
        <v>2138</v>
      </c>
      <c r="W1558" s="159" t="s">
        <v>2138</v>
      </c>
      <c r="X1558" s="160">
        <v>1</v>
      </c>
      <c r="Y1558" s="160">
        <v>1</v>
      </c>
      <c r="Z1558" s="160">
        <v>1</v>
      </c>
      <c r="AA1558" s="160">
        <v>1</v>
      </c>
    </row>
    <row r="1559" spans="1:27" ht="18" customHeight="1" x14ac:dyDescent="0.25">
      <c r="A1559" s="159">
        <v>4036</v>
      </c>
      <c r="B1559" s="157" t="s">
        <v>22</v>
      </c>
      <c r="C1559" s="157" t="s">
        <v>40</v>
      </c>
      <c r="D1559" s="159" t="s">
        <v>39</v>
      </c>
      <c r="E1559" s="157" t="s">
        <v>740</v>
      </c>
      <c r="F1559" s="157" t="s">
        <v>1298</v>
      </c>
      <c r="G1559" s="157" t="s">
        <v>1299</v>
      </c>
      <c r="H1559" s="157" t="s">
        <v>1300</v>
      </c>
      <c r="I1559" s="157" t="s">
        <v>1656</v>
      </c>
      <c r="J1559" s="157" t="s">
        <v>1285</v>
      </c>
      <c r="K1559" s="157" t="s">
        <v>1302</v>
      </c>
      <c r="L1559" s="157" t="s">
        <v>8284</v>
      </c>
      <c r="M1559" s="157" t="str">
        <f t="shared" si="34"/>
        <v>Relief Valve FL - Relief Valve</v>
      </c>
      <c r="N1559" s="157"/>
      <c r="O1559" s="157"/>
      <c r="P1559" s="159" t="s">
        <v>7836</v>
      </c>
      <c r="Q1559" s="157" t="s">
        <v>2115</v>
      </c>
      <c r="R1559" s="157" t="s">
        <v>2118</v>
      </c>
      <c r="S1559" s="157" t="s">
        <v>2119</v>
      </c>
      <c r="T1559" s="157"/>
      <c r="U1559" s="159" t="s">
        <v>2138</v>
      </c>
      <c r="V1559" s="159" t="s">
        <v>2138</v>
      </c>
      <c r="W1559" s="159" t="s">
        <v>2138</v>
      </c>
      <c r="X1559" s="160">
        <v>0</v>
      </c>
      <c r="Y1559" s="160">
        <v>0</v>
      </c>
      <c r="Z1559" s="160">
        <v>0</v>
      </c>
      <c r="AA1559" s="160">
        <v>0</v>
      </c>
    </row>
    <row r="1560" spans="1:27" ht="18" customHeight="1" x14ac:dyDescent="0.25">
      <c r="A1560" s="159">
        <v>4037</v>
      </c>
      <c r="B1560" s="157" t="s">
        <v>22</v>
      </c>
      <c r="C1560" s="157" t="s">
        <v>40</v>
      </c>
      <c r="D1560" s="159" t="s">
        <v>39</v>
      </c>
      <c r="E1560" s="157" t="s">
        <v>740</v>
      </c>
      <c r="F1560" s="157" t="s">
        <v>1298</v>
      </c>
      <c r="G1560" s="157" t="s">
        <v>1299</v>
      </c>
      <c r="H1560" s="157" t="s">
        <v>1300</v>
      </c>
      <c r="I1560" s="157" t="s">
        <v>1656</v>
      </c>
      <c r="J1560" s="157" t="s">
        <v>1285</v>
      </c>
      <c r="K1560" s="157" t="s">
        <v>1302</v>
      </c>
      <c r="L1560" s="157" t="s">
        <v>1657</v>
      </c>
      <c r="M1560" s="157" t="str">
        <f t="shared" si="34"/>
        <v>Relief Valve FR - Relief Valve</v>
      </c>
      <c r="N1560" s="157"/>
      <c r="O1560" s="157"/>
      <c r="P1560" s="159" t="s">
        <v>3903</v>
      </c>
      <c r="Q1560" s="157" t="s">
        <v>2115</v>
      </c>
      <c r="R1560" s="157" t="s">
        <v>2118</v>
      </c>
      <c r="S1560" s="157" t="s">
        <v>2119</v>
      </c>
      <c r="T1560" s="157"/>
      <c r="U1560" s="159" t="s">
        <v>2138</v>
      </c>
      <c r="V1560" s="159" t="s">
        <v>2138</v>
      </c>
      <c r="W1560" s="159" t="s">
        <v>2138</v>
      </c>
      <c r="X1560" s="160">
        <v>0</v>
      </c>
      <c r="Y1560" s="160">
        <v>0</v>
      </c>
      <c r="Z1560" s="160">
        <v>0</v>
      </c>
      <c r="AA1560" s="160">
        <v>0</v>
      </c>
    </row>
    <row r="1561" spans="1:27" ht="18" customHeight="1" x14ac:dyDescent="0.25">
      <c r="A1561" s="159">
        <v>4039</v>
      </c>
      <c r="B1561" s="157" t="s">
        <v>251</v>
      </c>
      <c r="C1561" s="157" t="s">
        <v>366</v>
      </c>
      <c r="D1561" s="159" t="s">
        <v>369</v>
      </c>
      <c r="E1561" s="157" t="s">
        <v>367</v>
      </c>
      <c r="F1561" s="157"/>
      <c r="G1561" s="157" t="s">
        <v>13</v>
      </c>
      <c r="H1561" s="157" t="s">
        <v>1459</v>
      </c>
      <c r="I1561" s="157" t="s">
        <v>1460</v>
      </c>
      <c r="J1561" s="157" t="s">
        <v>1658</v>
      </c>
      <c r="K1561" s="157" t="s">
        <v>1269</v>
      </c>
      <c r="L1561" s="157" t="s">
        <v>1757</v>
      </c>
      <c r="M1561" s="157" t="str">
        <f t="shared" si="34"/>
        <v>12V Lead-Acid Battery BMS - 12V Battery Management</v>
      </c>
      <c r="N1561" s="157"/>
      <c r="O1561" s="157"/>
      <c r="P1561" s="159" t="s">
        <v>4130</v>
      </c>
      <c r="Q1561" s="157" t="s">
        <v>8279</v>
      </c>
      <c r="R1561" s="157" t="s">
        <v>8279</v>
      </c>
      <c r="S1561" s="157"/>
      <c r="T1561" s="157"/>
      <c r="U1561" s="159" t="s">
        <v>2129</v>
      </c>
      <c r="V1561" s="159" t="s">
        <v>2138</v>
      </c>
      <c r="W1561" s="159" t="s">
        <v>2138</v>
      </c>
      <c r="X1561" s="160">
        <v>1</v>
      </c>
      <c r="Y1561" s="160">
        <v>1</v>
      </c>
      <c r="Z1561" s="160">
        <v>1</v>
      </c>
      <c r="AA1561" s="160">
        <v>1</v>
      </c>
    </row>
    <row r="1562" spans="1:27" ht="18" customHeight="1" x14ac:dyDescent="0.25">
      <c r="A1562" s="159">
        <v>4039</v>
      </c>
      <c r="B1562" s="157" t="s">
        <v>318</v>
      </c>
      <c r="C1562" s="157" t="s">
        <v>371</v>
      </c>
      <c r="D1562" s="159" t="s">
        <v>374</v>
      </c>
      <c r="E1562" s="157" t="s">
        <v>372</v>
      </c>
      <c r="F1562" s="157"/>
      <c r="G1562" s="157" t="s">
        <v>13</v>
      </c>
      <c r="H1562" s="157" t="s">
        <v>1459</v>
      </c>
      <c r="I1562" s="157" t="s">
        <v>1460</v>
      </c>
      <c r="J1562" s="157" t="s">
        <v>1658</v>
      </c>
      <c r="K1562" s="157" t="s">
        <v>1269</v>
      </c>
      <c r="L1562" s="157" t="s">
        <v>1757</v>
      </c>
      <c r="M1562" s="157" t="str">
        <f t="shared" si="34"/>
        <v>12V Lead-Acid Battery BMS - 12V Battery Management</v>
      </c>
      <c r="N1562" s="157"/>
      <c r="O1562" s="157"/>
      <c r="P1562" s="159" t="s">
        <v>4130</v>
      </c>
      <c r="Q1562" s="157" t="s">
        <v>8279</v>
      </c>
      <c r="R1562" s="157" t="s">
        <v>8279</v>
      </c>
      <c r="S1562" s="157"/>
      <c r="T1562" s="157"/>
      <c r="U1562" s="159" t="s">
        <v>2129</v>
      </c>
      <c r="V1562" s="159" t="s">
        <v>2138</v>
      </c>
      <c r="W1562" s="159" t="s">
        <v>2138</v>
      </c>
      <c r="X1562" s="160">
        <v>1</v>
      </c>
      <c r="Y1562" s="160">
        <v>1</v>
      </c>
      <c r="Z1562" s="160">
        <v>1</v>
      </c>
      <c r="AA1562" s="160">
        <v>1</v>
      </c>
    </row>
    <row r="1563" spans="1:27" ht="18" customHeight="1" x14ac:dyDescent="0.25">
      <c r="A1563" s="159">
        <v>4039</v>
      </c>
      <c r="B1563" s="157" t="s">
        <v>318</v>
      </c>
      <c r="C1563" s="157" t="s">
        <v>443</v>
      </c>
      <c r="D1563" s="159" t="s">
        <v>763</v>
      </c>
      <c r="E1563" s="157" t="s">
        <v>761</v>
      </c>
      <c r="F1563" s="157"/>
      <c r="G1563" s="157" t="s">
        <v>13</v>
      </c>
      <c r="H1563" s="157" t="s">
        <v>1459</v>
      </c>
      <c r="I1563" s="157" t="s">
        <v>1460</v>
      </c>
      <c r="J1563" s="157" t="s">
        <v>1658</v>
      </c>
      <c r="K1563" s="157" t="s">
        <v>1269</v>
      </c>
      <c r="L1563" s="157" t="s">
        <v>1757</v>
      </c>
      <c r="M1563" s="157" t="str">
        <f t="shared" si="34"/>
        <v>12V Lead-Acid Battery BMS - 12V Battery Management</v>
      </c>
      <c r="N1563" s="157"/>
      <c r="O1563" s="157"/>
      <c r="P1563" s="159" t="s">
        <v>4130</v>
      </c>
      <c r="Q1563" s="157" t="s">
        <v>8279</v>
      </c>
      <c r="R1563" s="157" t="s">
        <v>8279</v>
      </c>
      <c r="S1563" s="157"/>
      <c r="T1563" s="157"/>
      <c r="U1563" s="159" t="s">
        <v>2129</v>
      </c>
      <c r="V1563" s="159" t="s">
        <v>2138</v>
      </c>
      <c r="W1563" s="159" t="s">
        <v>2138</v>
      </c>
      <c r="X1563" s="160">
        <v>1</v>
      </c>
      <c r="Y1563" s="160">
        <v>1</v>
      </c>
      <c r="Z1563" s="160">
        <v>1</v>
      </c>
      <c r="AA1563" s="160">
        <v>1</v>
      </c>
    </row>
    <row r="1564" spans="1:27" ht="18" customHeight="1" x14ac:dyDescent="0.25">
      <c r="A1564" s="159">
        <v>4039</v>
      </c>
      <c r="B1564" s="157" t="s">
        <v>318</v>
      </c>
      <c r="C1564" s="157" t="s">
        <v>319</v>
      </c>
      <c r="D1564" s="159" t="s">
        <v>323</v>
      </c>
      <c r="E1564" s="157" t="s">
        <v>666</v>
      </c>
      <c r="F1564" s="157"/>
      <c r="G1564" s="157" t="s">
        <v>13</v>
      </c>
      <c r="H1564" s="157" t="s">
        <v>1459</v>
      </c>
      <c r="I1564" s="157" t="s">
        <v>1460</v>
      </c>
      <c r="J1564" s="157" t="s">
        <v>1658</v>
      </c>
      <c r="K1564" s="157" t="s">
        <v>1269</v>
      </c>
      <c r="L1564" s="157" t="s">
        <v>1757</v>
      </c>
      <c r="M1564" s="157" t="str">
        <f t="shared" si="34"/>
        <v>12V Lead-Acid Battery BMS - 12V Battery Management</v>
      </c>
      <c r="N1564" s="157"/>
      <c r="O1564" s="157"/>
      <c r="P1564" s="159" t="s">
        <v>4130</v>
      </c>
      <c r="Q1564" s="157" t="s">
        <v>8279</v>
      </c>
      <c r="R1564" s="157" t="s">
        <v>8279</v>
      </c>
      <c r="S1564" s="157"/>
      <c r="T1564" s="157"/>
      <c r="U1564" s="159" t="s">
        <v>2129</v>
      </c>
      <c r="V1564" s="159" t="s">
        <v>2138</v>
      </c>
      <c r="W1564" s="159" t="s">
        <v>2138</v>
      </c>
      <c r="X1564" s="160">
        <v>1</v>
      </c>
      <c r="Y1564" s="160">
        <v>1</v>
      </c>
      <c r="Z1564" s="160">
        <v>1</v>
      </c>
      <c r="AA1564" s="160">
        <v>1</v>
      </c>
    </row>
    <row r="1565" spans="1:27" ht="18" customHeight="1" x14ac:dyDescent="0.25">
      <c r="A1565" s="159">
        <v>4040</v>
      </c>
      <c r="B1565" s="157" t="s">
        <v>318</v>
      </c>
      <c r="C1565" s="157" t="s">
        <v>319</v>
      </c>
      <c r="D1565" s="159" t="s">
        <v>746</v>
      </c>
      <c r="E1565" s="157" t="s">
        <v>744</v>
      </c>
      <c r="F1565" s="157"/>
      <c r="G1565" s="157" t="s">
        <v>13</v>
      </c>
      <c r="H1565" s="157" t="s">
        <v>1459</v>
      </c>
      <c r="I1565" s="157" t="s">
        <v>9525</v>
      </c>
      <c r="J1565" s="157"/>
      <c r="K1565" s="157" t="s">
        <v>9563</v>
      </c>
      <c r="L1565" s="157" t="s">
        <v>9622</v>
      </c>
      <c r="M1565" s="157" t="str">
        <f t="shared" si="34"/>
        <v>12V LiIon Battery - 12V Energy Storage</v>
      </c>
      <c r="N1565" s="157"/>
      <c r="O1565" s="157"/>
      <c r="P1565" s="159" t="s">
        <v>4130</v>
      </c>
      <c r="Q1565" s="157"/>
      <c r="R1565" s="157"/>
      <c r="S1565" s="157"/>
      <c r="T1565" s="157"/>
      <c r="U1565" s="159" t="s">
        <v>2129</v>
      </c>
      <c r="V1565" s="159" t="s">
        <v>2129</v>
      </c>
      <c r="W1565" s="159" t="s">
        <v>2138</v>
      </c>
      <c r="X1565" s="160">
        <v>1</v>
      </c>
      <c r="Y1565" s="160">
        <v>1</v>
      </c>
      <c r="Z1565" s="160">
        <v>1</v>
      </c>
      <c r="AA1565" s="160">
        <v>1</v>
      </c>
    </row>
    <row r="1566" spans="1:27" ht="18" customHeight="1" x14ac:dyDescent="0.25">
      <c r="A1566" s="159">
        <v>4041</v>
      </c>
      <c r="B1566" s="157" t="s">
        <v>22</v>
      </c>
      <c r="C1566" s="157" t="s">
        <v>103</v>
      </c>
      <c r="D1566" s="159" t="s">
        <v>50</v>
      </c>
      <c r="E1566" s="157" t="s">
        <v>858</v>
      </c>
      <c r="F1566" s="157"/>
      <c r="G1566" s="157" t="s">
        <v>13</v>
      </c>
      <c r="H1566" s="157" t="s">
        <v>1459</v>
      </c>
      <c r="I1566" s="157" t="s">
        <v>9623</v>
      </c>
      <c r="J1566" s="157"/>
      <c r="K1566" s="157" t="s">
        <v>9563</v>
      </c>
      <c r="L1566" s="157" t="s">
        <v>9624</v>
      </c>
      <c r="M1566" s="157" t="str">
        <f t="shared" si="34"/>
        <v>48V LiIon Battery - 48V Energy Storage</v>
      </c>
      <c r="N1566" s="157"/>
      <c r="O1566" s="157"/>
      <c r="P1566" s="159" t="s">
        <v>4130</v>
      </c>
      <c r="Q1566" s="157" t="s">
        <v>2115</v>
      </c>
      <c r="R1566" s="157" t="s">
        <v>8563</v>
      </c>
      <c r="S1566" s="157" t="s">
        <v>8565</v>
      </c>
      <c r="T1566" s="157"/>
      <c r="U1566" s="159" t="s">
        <v>2129</v>
      </c>
      <c r="V1566" s="159" t="s">
        <v>2138</v>
      </c>
      <c r="W1566" s="159" t="s">
        <v>2138</v>
      </c>
      <c r="X1566" s="160">
        <v>0</v>
      </c>
      <c r="Y1566" s="160">
        <v>0</v>
      </c>
      <c r="Z1566" s="160">
        <v>0</v>
      </c>
      <c r="AA1566" s="160">
        <v>0</v>
      </c>
    </row>
    <row r="1567" spans="1:27" ht="18" customHeight="1" x14ac:dyDescent="0.25">
      <c r="A1567" s="159">
        <v>4041</v>
      </c>
      <c r="B1567" s="157" t="s">
        <v>318</v>
      </c>
      <c r="C1567" s="157" t="s">
        <v>319</v>
      </c>
      <c r="D1567" s="159" t="s">
        <v>670</v>
      </c>
      <c r="E1567" s="157" t="s">
        <v>668</v>
      </c>
      <c r="F1567" s="157"/>
      <c r="G1567" s="157" t="s">
        <v>13</v>
      </c>
      <c r="H1567" s="157" t="s">
        <v>1459</v>
      </c>
      <c r="I1567" s="157" t="s">
        <v>9623</v>
      </c>
      <c r="J1567" s="157"/>
      <c r="K1567" s="157" t="s">
        <v>9563</v>
      </c>
      <c r="L1567" s="157" t="s">
        <v>9624</v>
      </c>
      <c r="M1567" s="157" t="str">
        <f t="shared" si="34"/>
        <v>48V LiIon Battery - 48V Energy Storage</v>
      </c>
      <c r="N1567" s="157"/>
      <c r="O1567" s="157"/>
      <c r="P1567" s="159" t="s">
        <v>4130</v>
      </c>
      <c r="Q1567" s="157"/>
      <c r="R1567" s="157"/>
      <c r="S1567" s="157"/>
      <c r="T1567" s="157"/>
      <c r="U1567" s="159" t="s">
        <v>2129</v>
      </c>
      <c r="V1567" s="159" t="s">
        <v>2138</v>
      </c>
      <c r="W1567" s="159" t="s">
        <v>2138</v>
      </c>
      <c r="X1567" s="160">
        <v>1</v>
      </c>
      <c r="Y1567" s="160">
        <v>1</v>
      </c>
      <c r="Z1567" s="160">
        <v>1</v>
      </c>
      <c r="AA1567" s="160">
        <v>1</v>
      </c>
    </row>
    <row r="1568" spans="1:27" ht="18" customHeight="1" x14ac:dyDescent="0.25">
      <c r="A1568" s="159">
        <v>4051</v>
      </c>
      <c r="B1568" s="157" t="s">
        <v>63</v>
      </c>
      <c r="C1568" s="157" t="s">
        <v>64</v>
      </c>
      <c r="D1568" s="159" t="s">
        <v>923</v>
      </c>
      <c r="E1568" s="157" t="s">
        <v>921</v>
      </c>
      <c r="F1568" s="157" t="s">
        <v>1298</v>
      </c>
      <c r="G1568" s="157" t="s">
        <v>1299</v>
      </c>
      <c r="H1568" s="157" t="s">
        <v>1326</v>
      </c>
      <c r="I1568" s="157" t="s">
        <v>1659</v>
      </c>
      <c r="J1568" s="157" t="s">
        <v>1285</v>
      </c>
      <c r="K1568" s="157" t="s">
        <v>1312</v>
      </c>
      <c r="L1568" s="157" t="s">
        <v>1660</v>
      </c>
      <c r="M1568" s="157" t="str">
        <f t="shared" si="34"/>
        <v>Pressure (Vaccum) Sensor - Pedal</v>
      </c>
      <c r="N1568" s="157"/>
      <c r="O1568" s="157"/>
      <c r="P1568" s="159" t="s">
        <v>2351</v>
      </c>
      <c r="Q1568" s="157" t="s">
        <v>2115</v>
      </c>
      <c r="R1568" s="157" t="s">
        <v>8451</v>
      </c>
      <c r="S1568" s="157" t="s">
        <v>8630</v>
      </c>
      <c r="T1568" s="157"/>
      <c r="U1568" s="159" t="s">
        <v>2129</v>
      </c>
      <c r="V1568" s="159" t="s">
        <v>2138</v>
      </c>
      <c r="W1568" s="159" t="s">
        <v>2138</v>
      </c>
      <c r="X1568" s="160">
        <v>1</v>
      </c>
      <c r="Y1568" s="160">
        <v>1</v>
      </c>
      <c r="Z1568" s="160">
        <v>1</v>
      </c>
      <c r="AA1568" s="160">
        <v>1</v>
      </c>
    </row>
    <row r="1569" spans="1:27" ht="18" customHeight="1" x14ac:dyDescent="0.25">
      <c r="A1569" s="159">
        <v>4051</v>
      </c>
      <c r="B1569" s="157" t="s">
        <v>256</v>
      </c>
      <c r="C1569" s="157" t="s">
        <v>532</v>
      </c>
      <c r="D1569" s="159" t="s">
        <v>535</v>
      </c>
      <c r="E1569" s="157" t="s">
        <v>533</v>
      </c>
      <c r="F1569" s="157"/>
      <c r="G1569" s="157" t="s">
        <v>1299</v>
      </c>
      <c r="H1569" s="157" t="s">
        <v>1326</v>
      </c>
      <c r="I1569" s="157" t="s">
        <v>1659</v>
      </c>
      <c r="J1569" s="157" t="s">
        <v>1285</v>
      </c>
      <c r="K1569" s="157" t="s">
        <v>1312</v>
      </c>
      <c r="L1569" s="157" t="s">
        <v>1660</v>
      </c>
      <c r="M1569" s="157" t="str">
        <f t="shared" si="34"/>
        <v>Pressure (Vaccum) Sensor - Pedal</v>
      </c>
      <c r="N1569" s="157"/>
      <c r="O1569" s="157"/>
      <c r="P1569" s="159" t="s">
        <v>2351</v>
      </c>
      <c r="Q1569" s="157" t="s">
        <v>2115</v>
      </c>
      <c r="R1569" s="157" t="s">
        <v>8451</v>
      </c>
      <c r="S1569" s="157" t="s">
        <v>8630</v>
      </c>
      <c r="T1569" s="157"/>
      <c r="U1569" s="159" t="s">
        <v>2129</v>
      </c>
      <c r="V1569" s="159" t="s">
        <v>2138</v>
      </c>
      <c r="W1569" s="159" t="s">
        <v>2138</v>
      </c>
      <c r="X1569" s="160">
        <v>1</v>
      </c>
      <c r="Y1569" s="160">
        <v>1</v>
      </c>
      <c r="Z1569" s="160">
        <v>1</v>
      </c>
      <c r="AA1569" s="160">
        <v>1</v>
      </c>
    </row>
    <row r="1570" spans="1:27" ht="18" customHeight="1" x14ac:dyDescent="0.25">
      <c r="A1570" s="159">
        <v>4051</v>
      </c>
      <c r="B1570" s="157" t="s">
        <v>256</v>
      </c>
      <c r="C1570" s="157" t="s">
        <v>532</v>
      </c>
      <c r="D1570" s="159" t="s">
        <v>1195</v>
      </c>
      <c r="E1570" s="157" t="s">
        <v>1193</v>
      </c>
      <c r="F1570" s="157" t="s">
        <v>1298</v>
      </c>
      <c r="G1570" s="157" t="s">
        <v>1299</v>
      </c>
      <c r="H1570" s="157" t="s">
        <v>1326</v>
      </c>
      <c r="I1570" s="157" t="s">
        <v>1659</v>
      </c>
      <c r="J1570" s="157" t="s">
        <v>1285</v>
      </c>
      <c r="K1570" s="157" t="s">
        <v>1312</v>
      </c>
      <c r="L1570" s="157" t="s">
        <v>1660</v>
      </c>
      <c r="M1570" s="157" t="str">
        <f t="shared" si="34"/>
        <v>Pressure (Vaccum) Sensor - Pedal</v>
      </c>
      <c r="N1570" s="157"/>
      <c r="O1570" s="157"/>
      <c r="P1570" s="159" t="s">
        <v>2351</v>
      </c>
      <c r="Q1570" s="157" t="s">
        <v>2115</v>
      </c>
      <c r="R1570" s="157" t="s">
        <v>8451</v>
      </c>
      <c r="S1570" s="157" t="s">
        <v>8630</v>
      </c>
      <c r="T1570" s="157"/>
      <c r="U1570" s="159" t="s">
        <v>2129</v>
      </c>
      <c r="V1570" s="159" t="s">
        <v>2138</v>
      </c>
      <c r="W1570" s="159" t="s">
        <v>2138</v>
      </c>
      <c r="X1570" s="160">
        <v>1</v>
      </c>
      <c r="Y1570" s="160">
        <v>1</v>
      </c>
      <c r="Z1570" s="160">
        <v>1</v>
      </c>
      <c r="AA1570" s="160">
        <v>1</v>
      </c>
    </row>
    <row r="1571" spans="1:27" ht="18" customHeight="1" x14ac:dyDescent="0.25">
      <c r="A1571" s="159">
        <v>4052</v>
      </c>
      <c r="B1571" s="157" t="s">
        <v>256</v>
      </c>
      <c r="C1571" s="157" t="s">
        <v>532</v>
      </c>
      <c r="D1571" s="159" t="s">
        <v>535</v>
      </c>
      <c r="E1571" s="157" t="s">
        <v>533</v>
      </c>
      <c r="F1571" s="157"/>
      <c r="G1571" s="157" t="s">
        <v>1299</v>
      </c>
      <c r="H1571" s="157" t="s">
        <v>1326</v>
      </c>
      <c r="I1571" s="157" t="s">
        <v>1659</v>
      </c>
      <c r="J1571" s="157" t="s">
        <v>1285</v>
      </c>
      <c r="K1571" s="157" t="s">
        <v>1281</v>
      </c>
      <c r="L1571" s="157" t="s">
        <v>1661</v>
      </c>
      <c r="M1571" s="157" t="str">
        <f t="shared" si="34"/>
        <v>Pedal Switch - Pedal</v>
      </c>
      <c r="N1571" s="157"/>
      <c r="O1571" s="157"/>
      <c r="P1571" s="159" t="s">
        <v>6575</v>
      </c>
      <c r="Q1571" s="157" t="s">
        <v>2115</v>
      </c>
      <c r="R1571" s="157" t="s">
        <v>8450</v>
      </c>
      <c r="S1571" s="157" t="s">
        <v>8631</v>
      </c>
      <c r="T1571" s="157"/>
      <c r="U1571" s="159" t="s">
        <v>2138</v>
      </c>
      <c r="V1571" s="159" t="s">
        <v>2138</v>
      </c>
      <c r="W1571" s="159" t="s">
        <v>2138</v>
      </c>
      <c r="X1571" s="160">
        <v>1</v>
      </c>
      <c r="Y1571" s="160">
        <v>1</v>
      </c>
      <c r="Z1571" s="160">
        <v>1</v>
      </c>
      <c r="AA1571" s="160">
        <v>1</v>
      </c>
    </row>
    <row r="1572" spans="1:27" ht="18" customHeight="1" x14ac:dyDescent="0.25">
      <c r="A1572" s="159">
        <v>4052</v>
      </c>
      <c r="B1572" s="157" t="s">
        <v>256</v>
      </c>
      <c r="C1572" s="157" t="s">
        <v>532</v>
      </c>
      <c r="D1572" s="159" t="s">
        <v>1195</v>
      </c>
      <c r="E1572" s="157" t="s">
        <v>1193</v>
      </c>
      <c r="F1572" s="157" t="s">
        <v>1298</v>
      </c>
      <c r="G1572" s="157" t="s">
        <v>1299</v>
      </c>
      <c r="H1572" s="157" t="s">
        <v>1326</v>
      </c>
      <c r="I1572" s="157" t="s">
        <v>1659</v>
      </c>
      <c r="J1572" s="157" t="s">
        <v>1285</v>
      </c>
      <c r="K1572" s="157" t="s">
        <v>1281</v>
      </c>
      <c r="L1572" s="157" t="s">
        <v>1661</v>
      </c>
      <c r="M1572" s="157" t="str">
        <f t="shared" si="34"/>
        <v>Pedal Switch - Pedal</v>
      </c>
      <c r="N1572" s="157"/>
      <c r="O1572" s="157"/>
      <c r="P1572" s="159" t="s">
        <v>6575</v>
      </c>
      <c r="Q1572" s="157" t="s">
        <v>2115</v>
      </c>
      <c r="R1572" s="157" t="s">
        <v>8450</v>
      </c>
      <c r="S1572" s="157" t="s">
        <v>8631</v>
      </c>
      <c r="T1572" s="157"/>
      <c r="U1572" s="159" t="s">
        <v>2138</v>
      </c>
      <c r="V1572" s="159" t="s">
        <v>2138</v>
      </c>
      <c r="W1572" s="159" t="s">
        <v>2138</v>
      </c>
      <c r="X1572" s="160">
        <v>1</v>
      </c>
      <c r="Y1572" s="160">
        <v>1</v>
      </c>
      <c r="Z1572" s="160">
        <v>1</v>
      </c>
      <c r="AA1572" s="160">
        <v>1</v>
      </c>
    </row>
    <row r="1573" spans="1:27" ht="18" customHeight="1" x14ac:dyDescent="0.25">
      <c r="A1573" s="159">
        <v>4052</v>
      </c>
      <c r="B1573" s="157" t="s">
        <v>266</v>
      </c>
      <c r="C1573" s="157" t="s">
        <v>267</v>
      </c>
      <c r="D1573" s="159" t="s">
        <v>270</v>
      </c>
      <c r="E1573" s="157" t="s">
        <v>268</v>
      </c>
      <c r="F1573" s="157"/>
      <c r="G1573" s="157" t="s">
        <v>1299</v>
      </c>
      <c r="H1573" s="157" t="s">
        <v>1326</v>
      </c>
      <c r="I1573" s="157" t="s">
        <v>1659</v>
      </c>
      <c r="J1573" s="157" t="s">
        <v>1285</v>
      </c>
      <c r="K1573" s="157" t="s">
        <v>1281</v>
      </c>
      <c r="L1573" s="157" t="s">
        <v>1661</v>
      </c>
      <c r="M1573" s="157" t="str">
        <f t="shared" si="34"/>
        <v>Pedal Switch - Pedal</v>
      </c>
      <c r="N1573" s="157"/>
      <c r="O1573" s="157"/>
      <c r="P1573" s="159" t="s">
        <v>6575</v>
      </c>
      <c r="Q1573" s="157" t="s">
        <v>2115</v>
      </c>
      <c r="R1573" s="157" t="s">
        <v>8450</v>
      </c>
      <c r="S1573" s="157" t="s">
        <v>8631</v>
      </c>
      <c r="T1573" s="157"/>
      <c r="U1573" s="159" t="s">
        <v>2138</v>
      </c>
      <c r="V1573" s="159" t="s">
        <v>2138</v>
      </c>
      <c r="W1573" s="159" t="s">
        <v>2138</v>
      </c>
      <c r="X1573" s="160">
        <v>1</v>
      </c>
      <c r="Y1573" s="160">
        <v>1</v>
      </c>
      <c r="Z1573" s="160">
        <v>1</v>
      </c>
      <c r="AA1573" s="160">
        <v>1</v>
      </c>
    </row>
    <row r="1574" spans="1:27" ht="18" customHeight="1" x14ac:dyDescent="0.25">
      <c r="A1574" s="159">
        <v>4053</v>
      </c>
      <c r="B1574" s="157" t="s">
        <v>77</v>
      </c>
      <c r="C1574" s="157" t="s">
        <v>124</v>
      </c>
      <c r="D1574" s="159" t="s">
        <v>676</v>
      </c>
      <c r="E1574" s="157" t="s">
        <v>674</v>
      </c>
      <c r="F1574" s="157" t="s">
        <v>1264</v>
      </c>
      <c r="G1574" s="157" t="s">
        <v>1278</v>
      </c>
      <c r="H1574" s="157" t="s">
        <v>1283</v>
      </c>
      <c r="I1574" s="157" t="s">
        <v>8570</v>
      </c>
      <c r="J1574" s="157" t="s">
        <v>1663</v>
      </c>
      <c r="K1574" s="157" t="s">
        <v>1269</v>
      </c>
      <c r="L1574" s="157" t="s">
        <v>1286</v>
      </c>
      <c r="M1574" s="157" t="str">
        <f t="shared" si="34"/>
        <v>LED Lamp - Door Speaker Illumination RR</v>
      </c>
      <c r="N1574" s="157"/>
      <c r="O1574" s="157"/>
      <c r="P1574" s="159" t="s">
        <v>3816</v>
      </c>
      <c r="Q1574" s="157" t="s">
        <v>2115</v>
      </c>
      <c r="R1574" s="157" t="s">
        <v>8566</v>
      </c>
      <c r="S1574" s="157" t="s">
        <v>8611</v>
      </c>
      <c r="T1574" s="157"/>
      <c r="U1574" s="159" t="s">
        <v>2129</v>
      </c>
      <c r="V1574" s="159" t="s">
        <v>2129</v>
      </c>
      <c r="W1574" s="159" t="s">
        <v>2138</v>
      </c>
      <c r="X1574" s="160">
        <v>0.05</v>
      </c>
      <c r="Y1574" s="160">
        <v>0.05</v>
      </c>
      <c r="Z1574" s="160">
        <v>1</v>
      </c>
      <c r="AA1574" s="160">
        <v>1</v>
      </c>
    </row>
    <row r="1575" spans="1:27" ht="18" customHeight="1" x14ac:dyDescent="0.25">
      <c r="A1575" s="159">
        <v>4054</v>
      </c>
      <c r="B1575" s="157" t="s">
        <v>77</v>
      </c>
      <c r="C1575" s="157" t="s">
        <v>124</v>
      </c>
      <c r="D1575" s="159" t="s">
        <v>676</v>
      </c>
      <c r="E1575" s="157" t="s">
        <v>674</v>
      </c>
      <c r="F1575" s="157" t="s">
        <v>1264</v>
      </c>
      <c r="G1575" s="157" t="s">
        <v>1278</v>
      </c>
      <c r="H1575" s="157" t="s">
        <v>1283</v>
      </c>
      <c r="I1575" s="157" t="s">
        <v>8571</v>
      </c>
      <c r="J1575" s="157" t="s">
        <v>1663</v>
      </c>
      <c r="K1575" s="157" t="s">
        <v>1269</v>
      </c>
      <c r="L1575" s="157" t="s">
        <v>1286</v>
      </c>
      <c r="M1575" s="157" t="str">
        <f t="shared" si="34"/>
        <v>LED Lamp - Door Speaker Illumination RL</v>
      </c>
      <c r="N1575" s="157"/>
      <c r="O1575" s="157"/>
      <c r="P1575" s="159" t="s">
        <v>7964</v>
      </c>
      <c r="Q1575" s="157" t="s">
        <v>2115</v>
      </c>
      <c r="R1575" s="157" t="s">
        <v>8566</v>
      </c>
      <c r="S1575" s="157" t="s">
        <v>8611</v>
      </c>
      <c r="T1575" s="157"/>
      <c r="U1575" s="159" t="s">
        <v>2129</v>
      </c>
      <c r="V1575" s="159" t="s">
        <v>2129</v>
      </c>
      <c r="W1575" s="159" t="s">
        <v>2138</v>
      </c>
      <c r="X1575" s="160">
        <v>0.05</v>
      </c>
      <c r="Y1575" s="160">
        <v>0.05</v>
      </c>
      <c r="Z1575" s="160">
        <v>1</v>
      </c>
      <c r="AA1575" s="160">
        <v>1</v>
      </c>
    </row>
    <row r="1576" spans="1:27" ht="18" customHeight="1" x14ac:dyDescent="0.25">
      <c r="A1576" s="159">
        <v>4055</v>
      </c>
      <c r="B1576" s="157" t="s">
        <v>77</v>
      </c>
      <c r="C1576" s="157" t="s">
        <v>124</v>
      </c>
      <c r="D1576" s="159" t="s">
        <v>676</v>
      </c>
      <c r="E1576" s="157" t="s">
        <v>674</v>
      </c>
      <c r="F1576" s="157" t="s">
        <v>1264</v>
      </c>
      <c r="G1576" s="157" t="s">
        <v>1278</v>
      </c>
      <c r="H1576" s="157" t="s">
        <v>1283</v>
      </c>
      <c r="I1576" s="157" t="s">
        <v>1662</v>
      </c>
      <c r="J1576" s="157" t="s">
        <v>1663</v>
      </c>
      <c r="K1576" s="157" t="s">
        <v>1269</v>
      </c>
      <c r="L1576" s="157" t="s">
        <v>1286</v>
      </c>
      <c r="M1576" s="157" t="str">
        <f t="shared" si="34"/>
        <v>LED Lamp - Door Speaker Illumination FR</v>
      </c>
      <c r="N1576" s="157"/>
      <c r="O1576" s="157"/>
      <c r="P1576" s="159" t="s">
        <v>3788</v>
      </c>
      <c r="Q1576" s="157" t="s">
        <v>2115</v>
      </c>
      <c r="R1576" s="157" t="s">
        <v>8566</v>
      </c>
      <c r="S1576" s="157" t="s">
        <v>8611</v>
      </c>
      <c r="T1576" s="157"/>
      <c r="U1576" s="159" t="s">
        <v>2129</v>
      </c>
      <c r="V1576" s="159" t="s">
        <v>2129</v>
      </c>
      <c r="W1576" s="159" t="s">
        <v>2138</v>
      </c>
      <c r="X1576" s="160">
        <v>0.05</v>
      </c>
      <c r="Y1576" s="160">
        <v>0.05</v>
      </c>
      <c r="Z1576" s="160">
        <v>1</v>
      </c>
      <c r="AA1576" s="160">
        <v>1</v>
      </c>
    </row>
    <row r="1577" spans="1:27" ht="18" customHeight="1" x14ac:dyDescent="0.25">
      <c r="A1577" s="159">
        <v>4056</v>
      </c>
      <c r="B1577" s="157" t="s">
        <v>77</v>
      </c>
      <c r="C1577" s="157" t="s">
        <v>124</v>
      </c>
      <c r="D1577" s="159" t="s">
        <v>676</v>
      </c>
      <c r="E1577" s="157" t="s">
        <v>674</v>
      </c>
      <c r="F1577" s="157" t="s">
        <v>1264</v>
      </c>
      <c r="G1577" s="157" t="s">
        <v>1278</v>
      </c>
      <c r="H1577" s="157" t="s">
        <v>1283</v>
      </c>
      <c r="I1577" s="157" t="s">
        <v>1664</v>
      </c>
      <c r="J1577" s="157" t="s">
        <v>1663</v>
      </c>
      <c r="K1577" s="157" t="s">
        <v>1269</v>
      </c>
      <c r="L1577" s="157" t="s">
        <v>1286</v>
      </c>
      <c r="M1577" s="157" t="str">
        <f t="shared" si="34"/>
        <v>LED Lamp - Door Speaker Illumination FL</v>
      </c>
      <c r="N1577" s="157"/>
      <c r="O1577" s="157"/>
      <c r="P1577" s="159" t="s">
        <v>7936</v>
      </c>
      <c r="Q1577" s="157" t="s">
        <v>2115</v>
      </c>
      <c r="R1577" s="157" t="s">
        <v>8566</v>
      </c>
      <c r="S1577" s="157" t="s">
        <v>8611</v>
      </c>
      <c r="T1577" s="157"/>
      <c r="U1577" s="159" t="s">
        <v>2129</v>
      </c>
      <c r="V1577" s="159" t="s">
        <v>2129</v>
      </c>
      <c r="W1577" s="159" t="s">
        <v>2138</v>
      </c>
      <c r="X1577" s="160">
        <v>0.05</v>
      </c>
      <c r="Y1577" s="160">
        <v>0.05</v>
      </c>
      <c r="Z1577" s="160">
        <v>1</v>
      </c>
      <c r="AA1577" s="160">
        <v>1</v>
      </c>
    </row>
    <row r="1578" spans="1:27" ht="18" customHeight="1" x14ac:dyDescent="0.25">
      <c r="A1578" s="159">
        <v>4057</v>
      </c>
      <c r="B1578" s="157" t="s">
        <v>63</v>
      </c>
      <c r="C1578" s="157" t="s">
        <v>64</v>
      </c>
      <c r="D1578" s="159" t="s">
        <v>491</v>
      </c>
      <c r="E1578" s="157" t="s">
        <v>489</v>
      </c>
      <c r="F1578" s="157" t="s">
        <v>1264</v>
      </c>
      <c r="G1578" s="157" t="s">
        <v>1299</v>
      </c>
      <c r="H1578" s="157" t="s">
        <v>1326</v>
      </c>
      <c r="I1578" s="157" t="s">
        <v>1478</v>
      </c>
      <c r="J1578" s="157" t="s">
        <v>1285</v>
      </c>
      <c r="K1578" s="157" t="s">
        <v>1312</v>
      </c>
      <c r="L1578" s="157" t="s">
        <v>1665</v>
      </c>
      <c r="M1578" s="157" t="str">
        <f t="shared" si="34"/>
        <v>Brake Fluid Sensor - Warning</v>
      </c>
      <c r="N1578" s="157"/>
      <c r="O1578" s="157"/>
      <c r="P1578" s="159" t="s">
        <v>6572</v>
      </c>
      <c r="Q1578" s="157"/>
      <c r="R1578" s="157"/>
      <c r="S1578" s="157"/>
      <c r="T1578" s="157"/>
      <c r="U1578" s="159" t="s">
        <v>2138</v>
      </c>
      <c r="V1578" s="159" t="s">
        <v>2138</v>
      </c>
      <c r="W1578" s="159" t="s">
        <v>2138</v>
      </c>
      <c r="X1578" s="160">
        <v>1</v>
      </c>
      <c r="Y1578" s="160">
        <v>1</v>
      </c>
      <c r="Z1578" s="160">
        <v>1</v>
      </c>
      <c r="AA1578" s="160">
        <v>1</v>
      </c>
    </row>
    <row r="1579" spans="1:27" ht="18" customHeight="1" x14ac:dyDescent="0.25">
      <c r="A1579" s="159">
        <v>4057</v>
      </c>
      <c r="B1579" s="157" t="s">
        <v>63</v>
      </c>
      <c r="C1579" s="157" t="s">
        <v>64</v>
      </c>
      <c r="D1579" s="159" t="s">
        <v>923</v>
      </c>
      <c r="E1579" s="157" t="s">
        <v>921</v>
      </c>
      <c r="F1579" s="157" t="s">
        <v>1298</v>
      </c>
      <c r="G1579" s="157" t="s">
        <v>1299</v>
      </c>
      <c r="H1579" s="157" t="s">
        <v>1326</v>
      </c>
      <c r="I1579" s="157" t="s">
        <v>1478</v>
      </c>
      <c r="J1579" s="157" t="s">
        <v>1285</v>
      </c>
      <c r="K1579" s="157" t="s">
        <v>1312</v>
      </c>
      <c r="L1579" s="157" t="s">
        <v>1665</v>
      </c>
      <c r="M1579" s="157" t="str">
        <f t="shared" si="34"/>
        <v>Brake Fluid Sensor - Warning</v>
      </c>
      <c r="N1579" s="157"/>
      <c r="O1579" s="157"/>
      <c r="P1579" s="159" t="s">
        <v>6572</v>
      </c>
      <c r="Q1579" s="157"/>
      <c r="R1579" s="157"/>
      <c r="S1579" s="157"/>
      <c r="T1579" s="157"/>
      <c r="U1579" s="159" t="s">
        <v>2138</v>
      </c>
      <c r="V1579" s="159" t="s">
        <v>2138</v>
      </c>
      <c r="W1579" s="159" t="s">
        <v>2138</v>
      </c>
      <c r="X1579" s="160">
        <v>1</v>
      </c>
      <c r="Y1579" s="160">
        <v>1</v>
      </c>
      <c r="Z1579" s="160">
        <v>1</v>
      </c>
      <c r="AA1579" s="160">
        <v>1</v>
      </c>
    </row>
    <row r="1580" spans="1:27" ht="18" customHeight="1" x14ac:dyDescent="0.25">
      <c r="A1580" s="159">
        <v>4057</v>
      </c>
      <c r="B1580" s="157" t="s">
        <v>256</v>
      </c>
      <c r="C1580" s="157" t="s">
        <v>532</v>
      </c>
      <c r="D1580" s="159" t="s">
        <v>535</v>
      </c>
      <c r="E1580" s="157" t="s">
        <v>533</v>
      </c>
      <c r="F1580" s="157"/>
      <c r="G1580" s="157" t="s">
        <v>1299</v>
      </c>
      <c r="H1580" s="157" t="s">
        <v>1326</v>
      </c>
      <c r="I1580" s="157" t="s">
        <v>1478</v>
      </c>
      <c r="J1580" s="157" t="s">
        <v>1285</v>
      </c>
      <c r="K1580" s="157" t="s">
        <v>1312</v>
      </c>
      <c r="L1580" s="157" t="s">
        <v>1665</v>
      </c>
      <c r="M1580" s="157" t="str">
        <f t="shared" si="34"/>
        <v>Brake Fluid Sensor - Warning</v>
      </c>
      <c r="N1580" s="157"/>
      <c r="O1580" s="157"/>
      <c r="P1580" s="159" t="s">
        <v>6572</v>
      </c>
      <c r="Q1580" s="157"/>
      <c r="R1580" s="157"/>
      <c r="S1580" s="157"/>
      <c r="T1580" s="157"/>
      <c r="U1580" s="159" t="s">
        <v>2138</v>
      </c>
      <c r="V1580" s="159" t="s">
        <v>2138</v>
      </c>
      <c r="W1580" s="159" t="s">
        <v>2138</v>
      </c>
      <c r="X1580" s="160">
        <v>1</v>
      </c>
      <c r="Y1580" s="160">
        <v>1</v>
      </c>
      <c r="Z1580" s="160">
        <v>1</v>
      </c>
      <c r="AA1580" s="160">
        <v>1</v>
      </c>
    </row>
    <row r="1581" spans="1:27" ht="18" customHeight="1" x14ac:dyDescent="0.25">
      <c r="A1581" s="159">
        <v>4057</v>
      </c>
      <c r="B1581" s="157" t="s">
        <v>256</v>
      </c>
      <c r="C1581" s="157" t="s">
        <v>532</v>
      </c>
      <c r="D1581" s="159" t="s">
        <v>1195</v>
      </c>
      <c r="E1581" s="157" t="s">
        <v>1193</v>
      </c>
      <c r="F1581" s="157" t="s">
        <v>1298</v>
      </c>
      <c r="G1581" s="157" t="s">
        <v>1299</v>
      </c>
      <c r="H1581" s="157" t="s">
        <v>1326</v>
      </c>
      <c r="I1581" s="157" t="s">
        <v>1478</v>
      </c>
      <c r="J1581" s="157" t="s">
        <v>1285</v>
      </c>
      <c r="K1581" s="157" t="s">
        <v>1312</v>
      </c>
      <c r="L1581" s="157" t="s">
        <v>1665</v>
      </c>
      <c r="M1581" s="157" t="str">
        <f t="shared" si="34"/>
        <v>Brake Fluid Sensor - Warning</v>
      </c>
      <c r="N1581" s="157"/>
      <c r="O1581" s="157"/>
      <c r="P1581" s="159" t="s">
        <v>6572</v>
      </c>
      <c r="Q1581" s="157"/>
      <c r="R1581" s="157"/>
      <c r="S1581" s="157"/>
      <c r="T1581" s="157"/>
      <c r="U1581" s="159" t="s">
        <v>2138</v>
      </c>
      <c r="V1581" s="159" t="s">
        <v>2138</v>
      </c>
      <c r="W1581" s="159" t="s">
        <v>2138</v>
      </c>
      <c r="X1581" s="160">
        <v>1</v>
      </c>
      <c r="Y1581" s="160">
        <v>1</v>
      </c>
      <c r="Z1581" s="160">
        <v>1</v>
      </c>
      <c r="AA1581" s="160">
        <v>1</v>
      </c>
    </row>
    <row r="1582" spans="1:27" ht="18" customHeight="1" x14ac:dyDescent="0.25">
      <c r="A1582" s="159">
        <v>4058</v>
      </c>
      <c r="B1582" s="157" t="s">
        <v>29</v>
      </c>
      <c r="C1582" s="157" t="s">
        <v>30</v>
      </c>
      <c r="D1582" s="159" t="s">
        <v>33</v>
      </c>
      <c r="E1582" s="157" t="s">
        <v>31</v>
      </c>
      <c r="F1582" s="157"/>
      <c r="G1582" s="157" t="s">
        <v>1536</v>
      </c>
      <c r="H1582" s="157" t="s">
        <v>1287</v>
      </c>
      <c r="I1582" s="157" t="s">
        <v>1580</v>
      </c>
      <c r="J1582" s="157" t="s">
        <v>1340</v>
      </c>
      <c r="K1582" s="157" t="s">
        <v>1269</v>
      </c>
      <c r="L1582" s="157" t="s">
        <v>9750</v>
      </c>
      <c r="M1582" s="157" t="str">
        <f t="shared" si="34"/>
        <v>High Mounted Brake Light Assy' Full LED - High Mounted Brake Lights</v>
      </c>
      <c r="N1582" s="157"/>
      <c r="O1582" s="157"/>
      <c r="P1582" s="159" t="s">
        <v>5791</v>
      </c>
      <c r="Q1582" s="157"/>
      <c r="R1582" s="157"/>
      <c r="S1582" s="157"/>
      <c r="T1582" s="157"/>
      <c r="U1582" s="159" t="s">
        <v>2129</v>
      </c>
      <c r="V1582" s="159" t="s">
        <v>2138</v>
      </c>
      <c r="W1582" s="159" t="s">
        <v>2138</v>
      </c>
      <c r="X1582" s="160">
        <v>0.6</v>
      </c>
      <c r="Y1582" s="160">
        <v>0.2</v>
      </c>
      <c r="Z1582" s="160">
        <v>0.6</v>
      </c>
      <c r="AA1582" s="160">
        <v>0.2</v>
      </c>
    </row>
    <row r="1583" spans="1:27" ht="18" customHeight="1" x14ac:dyDescent="0.25">
      <c r="A1583" s="159">
        <v>4058</v>
      </c>
      <c r="B1583" s="157" t="s">
        <v>29</v>
      </c>
      <c r="C1583" s="157" t="s">
        <v>30</v>
      </c>
      <c r="D1583" s="159" t="s">
        <v>233</v>
      </c>
      <c r="E1583" s="157" t="s">
        <v>231</v>
      </c>
      <c r="F1583" s="157" t="s">
        <v>1264</v>
      </c>
      <c r="G1583" s="157" t="s">
        <v>1536</v>
      </c>
      <c r="H1583" s="157" t="s">
        <v>1287</v>
      </c>
      <c r="I1583" s="157" t="s">
        <v>1580</v>
      </c>
      <c r="J1583" s="157" t="s">
        <v>1340</v>
      </c>
      <c r="K1583" s="157" t="s">
        <v>1269</v>
      </c>
      <c r="L1583" s="157" t="s">
        <v>9750</v>
      </c>
      <c r="M1583" s="157" t="str">
        <f t="shared" si="34"/>
        <v>High Mounted Brake Light Assy' Full LED - High Mounted Brake Lights</v>
      </c>
      <c r="N1583" s="157"/>
      <c r="O1583" s="157"/>
      <c r="P1583" s="159" t="s">
        <v>5791</v>
      </c>
      <c r="Q1583" s="157"/>
      <c r="R1583" s="157"/>
      <c r="S1583" s="157"/>
      <c r="T1583" s="157"/>
      <c r="U1583" s="159" t="s">
        <v>2129</v>
      </c>
      <c r="V1583" s="159" t="s">
        <v>2138</v>
      </c>
      <c r="W1583" s="159" t="s">
        <v>2138</v>
      </c>
      <c r="X1583" s="160">
        <v>0.6</v>
      </c>
      <c r="Y1583" s="160">
        <v>0.2</v>
      </c>
      <c r="Z1583" s="160">
        <v>0.6</v>
      </c>
      <c r="AA1583" s="160">
        <v>0.2</v>
      </c>
    </row>
    <row r="1584" spans="1:27" ht="18" customHeight="1" x14ac:dyDescent="0.25">
      <c r="A1584" s="159">
        <v>4058</v>
      </c>
      <c r="B1584" s="157" t="s">
        <v>29</v>
      </c>
      <c r="C1584" s="157" t="s">
        <v>30</v>
      </c>
      <c r="D1584" s="159" t="s">
        <v>34</v>
      </c>
      <c r="E1584" s="157" t="s">
        <v>404</v>
      </c>
      <c r="F1584" s="157"/>
      <c r="G1584" s="157" t="s">
        <v>1536</v>
      </c>
      <c r="H1584" s="157" t="s">
        <v>1287</v>
      </c>
      <c r="I1584" s="157" t="s">
        <v>1580</v>
      </c>
      <c r="J1584" s="157" t="s">
        <v>1340</v>
      </c>
      <c r="K1584" s="157" t="s">
        <v>1269</v>
      </c>
      <c r="L1584" s="157" t="s">
        <v>9750</v>
      </c>
      <c r="M1584" s="157" t="str">
        <f t="shared" si="34"/>
        <v>High Mounted Brake Light Assy' Full LED - High Mounted Brake Lights</v>
      </c>
      <c r="N1584" s="157"/>
      <c r="O1584" s="157"/>
      <c r="P1584" s="159" t="s">
        <v>5791</v>
      </c>
      <c r="Q1584" s="157"/>
      <c r="R1584" s="157"/>
      <c r="S1584" s="157"/>
      <c r="T1584" s="157"/>
      <c r="U1584" s="159" t="s">
        <v>2129</v>
      </c>
      <c r="V1584" s="159" t="s">
        <v>2138</v>
      </c>
      <c r="W1584" s="159" t="s">
        <v>2138</v>
      </c>
      <c r="X1584" s="160">
        <v>0.6</v>
      </c>
      <c r="Y1584" s="160">
        <v>0.2</v>
      </c>
      <c r="Z1584" s="160">
        <v>0.6</v>
      </c>
      <c r="AA1584" s="160">
        <v>0.2</v>
      </c>
    </row>
    <row r="1585" spans="1:27" ht="18" customHeight="1" x14ac:dyDescent="0.25">
      <c r="A1585" s="159">
        <v>4058</v>
      </c>
      <c r="B1585" s="157" t="s">
        <v>29</v>
      </c>
      <c r="C1585" s="157" t="s">
        <v>30</v>
      </c>
      <c r="D1585" s="159" t="s">
        <v>609</v>
      </c>
      <c r="E1585" s="157" t="s">
        <v>607</v>
      </c>
      <c r="F1585" s="157" t="s">
        <v>1275</v>
      </c>
      <c r="G1585" s="157" t="s">
        <v>1536</v>
      </c>
      <c r="H1585" s="157" t="s">
        <v>1287</v>
      </c>
      <c r="I1585" s="157" t="s">
        <v>1580</v>
      </c>
      <c r="J1585" s="157" t="s">
        <v>1340</v>
      </c>
      <c r="K1585" s="157" t="s">
        <v>1269</v>
      </c>
      <c r="L1585" s="157" t="s">
        <v>9750</v>
      </c>
      <c r="M1585" s="157" t="str">
        <f t="shared" si="34"/>
        <v>High Mounted Brake Light Assy' Full LED - High Mounted Brake Lights</v>
      </c>
      <c r="N1585" s="157"/>
      <c r="O1585" s="157"/>
      <c r="P1585" s="159" t="s">
        <v>5791</v>
      </c>
      <c r="Q1585" s="157"/>
      <c r="R1585" s="157"/>
      <c r="S1585" s="157"/>
      <c r="T1585" s="157"/>
      <c r="U1585" s="159" t="s">
        <v>2129</v>
      </c>
      <c r="V1585" s="159" t="s">
        <v>2138</v>
      </c>
      <c r="W1585" s="159" t="s">
        <v>2138</v>
      </c>
      <c r="X1585" s="160">
        <v>0.6</v>
      </c>
      <c r="Y1585" s="160">
        <v>0.2</v>
      </c>
      <c r="Z1585" s="160">
        <v>0.6</v>
      </c>
      <c r="AA1585" s="160">
        <v>0.2</v>
      </c>
    </row>
    <row r="1586" spans="1:27" ht="18" customHeight="1" x14ac:dyDescent="0.25">
      <c r="A1586" s="159">
        <v>4058</v>
      </c>
      <c r="B1586" s="157" t="s">
        <v>251</v>
      </c>
      <c r="C1586" s="157" t="s">
        <v>366</v>
      </c>
      <c r="D1586" s="159" t="s">
        <v>494</v>
      </c>
      <c r="E1586" s="157" t="s">
        <v>492</v>
      </c>
      <c r="F1586" s="157"/>
      <c r="G1586" s="157" t="s">
        <v>1536</v>
      </c>
      <c r="H1586" s="157" t="s">
        <v>1287</v>
      </c>
      <c r="I1586" s="157" t="s">
        <v>1580</v>
      </c>
      <c r="J1586" s="157" t="s">
        <v>1340</v>
      </c>
      <c r="K1586" s="157" t="s">
        <v>1269</v>
      </c>
      <c r="L1586" s="157" t="s">
        <v>9750</v>
      </c>
      <c r="M1586" s="157" t="str">
        <f t="shared" si="34"/>
        <v>High Mounted Brake Light Assy' Full LED - High Mounted Brake Lights</v>
      </c>
      <c r="N1586" s="157"/>
      <c r="O1586" s="157"/>
      <c r="P1586" s="159" t="s">
        <v>5791</v>
      </c>
      <c r="Q1586" s="157"/>
      <c r="R1586" s="157"/>
      <c r="S1586" s="157"/>
      <c r="T1586" s="157"/>
      <c r="U1586" s="159" t="s">
        <v>2129</v>
      </c>
      <c r="V1586" s="159" t="s">
        <v>2138</v>
      </c>
      <c r="W1586" s="159" t="s">
        <v>2138</v>
      </c>
      <c r="X1586" s="160">
        <v>0.6</v>
      </c>
      <c r="Y1586" s="160">
        <v>0.2</v>
      </c>
      <c r="Z1586" s="160">
        <v>0.6</v>
      </c>
      <c r="AA1586" s="160">
        <v>0.2</v>
      </c>
    </row>
    <row r="1587" spans="1:27" ht="18" customHeight="1" x14ac:dyDescent="0.25">
      <c r="A1587" s="159">
        <v>4059</v>
      </c>
      <c r="B1587" s="157" t="s">
        <v>63</v>
      </c>
      <c r="C1587" s="157" t="s">
        <v>64</v>
      </c>
      <c r="D1587" s="159" t="s">
        <v>926</v>
      </c>
      <c r="E1587" s="157" t="s">
        <v>924</v>
      </c>
      <c r="F1587" s="157"/>
      <c r="G1587" s="157" t="s">
        <v>1299</v>
      </c>
      <c r="H1587" s="157" t="s">
        <v>1300</v>
      </c>
      <c r="I1587" s="157" t="s">
        <v>1441</v>
      </c>
      <c r="J1587" s="157" t="s">
        <v>1442</v>
      </c>
      <c r="K1587" s="157" t="s">
        <v>1312</v>
      </c>
      <c r="L1587" s="157" t="s">
        <v>1666</v>
      </c>
      <c r="M1587" s="157" t="str">
        <f t="shared" si="34"/>
        <v>Side Impact Sensor R B-Pillar - Crash Sensor</v>
      </c>
      <c r="N1587" s="157"/>
      <c r="O1587" s="157"/>
      <c r="P1587" s="159" t="s">
        <v>3996</v>
      </c>
      <c r="Q1587" s="157"/>
      <c r="R1587" s="157"/>
      <c r="S1587" s="157"/>
      <c r="T1587" s="157"/>
      <c r="U1587" s="159" t="s">
        <v>2129</v>
      </c>
      <c r="V1587" s="159" t="s">
        <v>2129</v>
      </c>
      <c r="W1587" s="159" t="s">
        <v>2138</v>
      </c>
      <c r="X1587" s="160">
        <v>1</v>
      </c>
      <c r="Y1587" s="160">
        <v>1</v>
      </c>
      <c r="Z1587" s="160">
        <v>1</v>
      </c>
      <c r="AA1587" s="160">
        <v>1</v>
      </c>
    </row>
    <row r="1588" spans="1:27" ht="18" customHeight="1" x14ac:dyDescent="0.25">
      <c r="A1588" s="159">
        <v>4060</v>
      </c>
      <c r="B1588" s="157" t="s">
        <v>63</v>
      </c>
      <c r="C1588" s="157" t="s">
        <v>64</v>
      </c>
      <c r="D1588" s="159" t="s">
        <v>926</v>
      </c>
      <c r="E1588" s="157" t="s">
        <v>924</v>
      </c>
      <c r="F1588" s="157"/>
      <c r="G1588" s="157" t="s">
        <v>1299</v>
      </c>
      <c r="H1588" s="157" t="s">
        <v>1300</v>
      </c>
      <c r="I1588" s="157" t="s">
        <v>1441</v>
      </c>
      <c r="J1588" s="157" t="s">
        <v>1442</v>
      </c>
      <c r="K1588" s="157" t="s">
        <v>1312</v>
      </c>
      <c r="L1588" s="157" t="s">
        <v>1667</v>
      </c>
      <c r="M1588" s="157" t="str">
        <f t="shared" si="34"/>
        <v>Side Impact Sensor L B-Pillar - Crash Sensor</v>
      </c>
      <c r="N1588" s="157"/>
      <c r="O1588" s="157"/>
      <c r="P1588" s="159" t="s">
        <v>7711</v>
      </c>
      <c r="Q1588" s="157"/>
      <c r="R1588" s="157"/>
      <c r="S1588" s="157"/>
      <c r="T1588" s="157"/>
      <c r="U1588" s="159" t="s">
        <v>2129</v>
      </c>
      <c r="V1588" s="159" t="s">
        <v>2129</v>
      </c>
      <c r="W1588" s="159" t="s">
        <v>2138</v>
      </c>
      <c r="X1588" s="160">
        <v>1</v>
      </c>
      <c r="Y1588" s="160">
        <v>1</v>
      </c>
      <c r="Z1588" s="160">
        <v>1</v>
      </c>
      <c r="AA1588" s="160">
        <v>1</v>
      </c>
    </row>
    <row r="1589" spans="1:27" ht="18" customHeight="1" x14ac:dyDescent="0.25">
      <c r="A1589" s="159">
        <v>4064</v>
      </c>
      <c r="B1589" s="157" t="s">
        <v>280</v>
      </c>
      <c r="C1589" s="157" t="s">
        <v>505</v>
      </c>
      <c r="D1589" s="159" t="s">
        <v>1235</v>
      </c>
      <c r="E1589" s="157" t="s">
        <v>1233</v>
      </c>
      <c r="F1589" s="157" t="s">
        <v>1264</v>
      </c>
      <c r="G1589" s="157" t="s">
        <v>1265</v>
      </c>
      <c r="H1589" s="157" t="s">
        <v>1271</v>
      </c>
      <c r="I1589" s="157" t="s">
        <v>1414</v>
      </c>
      <c r="J1589" s="157" t="s">
        <v>1276</v>
      </c>
      <c r="K1589" s="157" t="s">
        <v>1269</v>
      </c>
      <c r="L1589" s="157" t="s">
        <v>1668</v>
      </c>
      <c r="M1589" s="157" t="str">
        <f t="shared" si="34"/>
        <v>Telephone Signal Amplifier - External Communication</v>
      </c>
      <c r="N1589" s="157"/>
      <c r="O1589" s="157"/>
      <c r="P1589" s="159"/>
      <c r="Q1589" s="157"/>
      <c r="R1589" s="157"/>
      <c r="S1589" s="157"/>
      <c r="T1589" s="157"/>
      <c r="U1589" s="159"/>
      <c r="V1589" s="159"/>
      <c r="W1589" s="159"/>
      <c r="X1589" s="160"/>
      <c r="Y1589" s="160"/>
      <c r="Z1589" s="160"/>
      <c r="AA1589" s="160"/>
    </row>
    <row r="1590" spans="1:27" ht="18" customHeight="1" x14ac:dyDescent="0.25">
      <c r="A1590" s="159">
        <v>4067</v>
      </c>
      <c r="B1590" s="157" t="s">
        <v>280</v>
      </c>
      <c r="C1590" s="157" t="s">
        <v>354</v>
      </c>
      <c r="D1590" s="159" t="s">
        <v>601</v>
      </c>
      <c r="E1590" s="157" t="s">
        <v>599</v>
      </c>
      <c r="F1590" s="157" t="s">
        <v>1264</v>
      </c>
      <c r="G1590" s="157" t="s">
        <v>1265</v>
      </c>
      <c r="H1590" s="157" t="s">
        <v>1458</v>
      </c>
      <c r="I1590" s="157" t="s">
        <v>1670</v>
      </c>
      <c r="J1590" s="157" t="s">
        <v>1671</v>
      </c>
      <c r="K1590" s="157" t="s">
        <v>1480</v>
      </c>
      <c r="L1590" s="157" t="s">
        <v>1672</v>
      </c>
      <c r="M1590" s="157" t="str">
        <f t="shared" si="34"/>
        <v>Loudspeaker - Door Front Left - Full Range Speaker</v>
      </c>
      <c r="N1590" s="157"/>
      <c r="O1590" s="157"/>
      <c r="P1590" s="159" t="s">
        <v>7937</v>
      </c>
      <c r="Q1590" s="157" t="s">
        <v>2115</v>
      </c>
      <c r="R1590" s="157" t="s">
        <v>2121</v>
      </c>
      <c r="S1590" s="157" t="s">
        <v>8632</v>
      </c>
      <c r="T1590" s="157"/>
      <c r="U1590" s="159" t="s">
        <v>2138</v>
      </c>
      <c r="V1590" s="159" t="s">
        <v>2129</v>
      </c>
      <c r="W1590" s="159" t="s">
        <v>2129</v>
      </c>
      <c r="X1590" s="160">
        <v>0.25</v>
      </c>
      <c r="Y1590" s="160">
        <v>0.35</v>
      </c>
      <c r="Z1590" s="160">
        <v>0.4</v>
      </c>
      <c r="AA1590" s="160">
        <v>0.3</v>
      </c>
    </row>
    <row r="1591" spans="1:27" ht="18" customHeight="1" x14ac:dyDescent="0.25">
      <c r="A1591" s="159">
        <v>4069</v>
      </c>
      <c r="B1591" s="157" t="s">
        <v>77</v>
      </c>
      <c r="C1591" s="157" t="s">
        <v>124</v>
      </c>
      <c r="D1591" s="159" t="s">
        <v>677</v>
      </c>
      <c r="E1591" s="157" t="s">
        <v>1029</v>
      </c>
      <c r="F1591" s="157" t="s">
        <v>1264</v>
      </c>
      <c r="G1591" s="157" t="s">
        <v>1278</v>
      </c>
      <c r="H1591" s="157" t="s">
        <v>1283</v>
      </c>
      <c r="I1591" s="157" t="s">
        <v>1673</v>
      </c>
      <c r="J1591" s="157" t="s">
        <v>1674</v>
      </c>
      <c r="K1591" s="157" t="s">
        <v>1269</v>
      </c>
      <c r="L1591" s="157" t="s">
        <v>1286</v>
      </c>
      <c r="M1591" s="157" t="str">
        <f t="shared" si="34"/>
        <v>LED Lamp - Console Illumination</v>
      </c>
      <c r="N1591" s="157"/>
      <c r="O1591" s="157"/>
      <c r="P1591" s="159" t="s">
        <v>5555</v>
      </c>
      <c r="Q1591" s="157" t="s">
        <v>2115</v>
      </c>
      <c r="R1591" s="157" t="s">
        <v>8436</v>
      </c>
      <c r="S1591" s="157" t="s">
        <v>8606</v>
      </c>
      <c r="T1591" s="157"/>
      <c r="U1591" s="159" t="s">
        <v>2129</v>
      </c>
      <c r="V1591" s="159" t="s">
        <v>2138</v>
      </c>
      <c r="W1591" s="159" t="s">
        <v>2138</v>
      </c>
      <c r="X1591" s="160">
        <v>0</v>
      </c>
      <c r="Y1591" s="160">
        <v>0</v>
      </c>
      <c r="Z1591" s="160">
        <v>1</v>
      </c>
      <c r="AA1591" s="160">
        <v>1</v>
      </c>
    </row>
    <row r="1592" spans="1:27" ht="18" customHeight="1" x14ac:dyDescent="0.25">
      <c r="A1592" s="159">
        <v>4070</v>
      </c>
      <c r="B1592" s="157" t="s">
        <v>77</v>
      </c>
      <c r="C1592" s="157" t="s">
        <v>124</v>
      </c>
      <c r="D1592" s="159" t="s">
        <v>677</v>
      </c>
      <c r="E1592" s="157" t="s">
        <v>1029</v>
      </c>
      <c r="F1592" s="157" t="s">
        <v>1264</v>
      </c>
      <c r="G1592" s="157" t="s">
        <v>1278</v>
      </c>
      <c r="H1592" s="157" t="s">
        <v>1283</v>
      </c>
      <c r="I1592" s="157" t="s">
        <v>1673</v>
      </c>
      <c r="J1592" s="157" t="s">
        <v>1674</v>
      </c>
      <c r="K1592" s="157" t="s">
        <v>1269</v>
      </c>
      <c r="L1592" s="157" t="s">
        <v>1286</v>
      </c>
      <c r="M1592" s="157" t="str">
        <f t="shared" si="34"/>
        <v>LED Lamp - Console Illumination</v>
      </c>
      <c r="N1592" s="157"/>
      <c r="O1592" s="157"/>
      <c r="P1592" s="159" t="s">
        <v>5927</v>
      </c>
      <c r="Q1592" s="157" t="s">
        <v>2115</v>
      </c>
      <c r="R1592" s="157" t="s">
        <v>8436</v>
      </c>
      <c r="S1592" s="157" t="s">
        <v>8606</v>
      </c>
      <c r="T1592" s="157"/>
      <c r="U1592" s="159" t="s">
        <v>2129</v>
      </c>
      <c r="V1592" s="159" t="s">
        <v>2138</v>
      </c>
      <c r="W1592" s="159" t="s">
        <v>2138</v>
      </c>
      <c r="X1592" s="160">
        <v>0</v>
      </c>
      <c r="Y1592" s="160">
        <v>0</v>
      </c>
      <c r="Z1592" s="160">
        <v>1</v>
      </c>
      <c r="AA1592" s="160">
        <v>1</v>
      </c>
    </row>
    <row r="1593" spans="1:27" ht="18" customHeight="1" x14ac:dyDescent="0.25">
      <c r="A1593" s="159">
        <v>4071</v>
      </c>
      <c r="B1593" s="157" t="s">
        <v>280</v>
      </c>
      <c r="C1593" s="157" t="s">
        <v>354</v>
      </c>
      <c r="D1593" s="159" t="s">
        <v>606</v>
      </c>
      <c r="E1593" s="157" t="s">
        <v>604</v>
      </c>
      <c r="F1593" s="157" t="s">
        <v>1264</v>
      </c>
      <c r="G1593" s="157" t="s">
        <v>1265</v>
      </c>
      <c r="H1593" s="157" t="s">
        <v>1458</v>
      </c>
      <c r="I1593" s="157" t="s">
        <v>1670</v>
      </c>
      <c r="J1593" s="157" t="s">
        <v>1671</v>
      </c>
      <c r="K1593" s="157" t="s">
        <v>1480</v>
      </c>
      <c r="L1593" s="157" t="s">
        <v>1675</v>
      </c>
      <c r="M1593" s="157" t="str">
        <f t="shared" si="34"/>
        <v>Loudspeaker - Door Rear Left / Rear Seat Left Trim - Full Range Speaker</v>
      </c>
      <c r="N1593" s="157"/>
      <c r="O1593" s="157"/>
      <c r="P1593" s="159" t="s">
        <v>8076</v>
      </c>
      <c r="Q1593" s="157" t="s">
        <v>2115</v>
      </c>
      <c r="R1593" s="157" t="s">
        <v>2121</v>
      </c>
      <c r="S1593" s="157" t="s">
        <v>8632</v>
      </c>
      <c r="T1593" s="157"/>
      <c r="U1593" s="159" t="s">
        <v>2138</v>
      </c>
      <c r="V1593" s="159" t="s">
        <v>2129</v>
      </c>
      <c r="W1593" s="159" t="s">
        <v>2129</v>
      </c>
      <c r="X1593" s="160">
        <v>0.25</v>
      </c>
      <c r="Y1593" s="160">
        <v>0.35</v>
      </c>
      <c r="Z1593" s="160">
        <v>0.4</v>
      </c>
      <c r="AA1593" s="160">
        <v>0.3</v>
      </c>
    </row>
    <row r="1594" spans="1:27" ht="18" customHeight="1" x14ac:dyDescent="0.25">
      <c r="A1594" s="159">
        <v>4072</v>
      </c>
      <c r="B1594" s="157"/>
      <c r="C1594" s="157"/>
      <c r="D1594" s="159"/>
      <c r="E1594" s="157"/>
      <c r="F1594" s="157" t="s">
        <v>1010</v>
      </c>
      <c r="G1594" s="157" t="s">
        <v>1321</v>
      </c>
      <c r="H1594" s="157" t="s">
        <v>1648</v>
      </c>
      <c r="I1594" s="157" t="s">
        <v>1676</v>
      </c>
      <c r="J1594" s="157" t="s">
        <v>1649</v>
      </c>
      <c r="K1594" s="157" t="s">
        <v>1312</v>
      </c>
      <c r="L1594" s="157" t="s">
        <v>1312</v>
      </c>
      <c r="M1594" s="157" t="str">
        <f t="shared" si="34"/>
        <v>Sensor - Intake Air Pressure</v>
      </c>
      <c r="N1594" s="157"/>
      <c r="O1594" s="157"/>
      <c r="P1594" s="159"/>
      <c r="Q1594" s="157"/>
      <c r="R1594" s="157"/>
      <c r="S1594" s="157"/>
      <c r="T1594" s="157"/>
      <c r="U1594" s="159"/>
      <c r="V1594" s="159"/>
      <c r="W1594" s="159"/>
      <c r="X1594" s="160"/>
      <c r="Y1594" s="160"/>
      <c r="Z1594" s="160"/>
      <c r="AA1594" s="160"/>
    </row>
    <row r="1595" spans="1:27" ht="18" customHeight="1" x14ac:dyDescent="0.25">
      <c r="A1595" s="159">
        <v>4075</v>
      </c>
      <c r="B1595" s="157" t="s">
        <v>318</v>
      </c>
      <c r="C1595" s="157" t="s">
        <v>443</v>
      </c>
      <c r="D1595" s="159" t="s">
        <v>446</v>
      </c>
      <c r="E1595" s="157" t="s">
        <v>444</v>
      </c>
      <c r="F1595" s="157"/>
      <c r="G1595" s="157" t="s">
        <v>13</v>
      </c>
      <c r="H1595" s="157" t="s">
        <v>1361</v>
      </c>
      <c r="I1595" s="157" t="s">
        <v>1362</v>
      </c>
      <c r="J1595" s="157" t="s">
        <v>1285</v>
      </c>
      <c r="K1595" s="157" t="s">
        <v>1329</v>
      </c>
      <c r="L1595" s="157" t="s">
        <v>1363</v>
      </c>
      <c r="M1595" s="157" t="str">
        <f t="shared" si="34"/>
        <v>OBD Outlet - Diagnose Service Port</v>
      </c>
      <c r="N1595" s="157"/>
      <c r="O1595" s="157"/>
      <c r="P1595" s="159" t="s">
        <v>7178</v>
      </c>
      <c r="Q1595" s="157"/>
      <c r="R1595" s="157"/>
      <c r="S1595" s="157"/>
      <c r="T1595" s="157"/>
      <c r="U1595" s="159" t="s">
        <v>2138</v>
      </c>
      <c r="V1595" s="159" t="s">
        <v>2138</v>
      </c>
      <c r="W1595" s="159" t="s">
        <v>2138</v>
      </c>
      <c r="X1595" s="160">
        <v>0</v>
      </c>
      <c r="Y1595" s="160">
        <v>0</v>
      </c>
      <c r="Z1595" s="160">
        <v>0</v>
      </c>
      <c r="AA1595" s="160">
        <v>0</v>
      </c>
    </row>
    <row r="1596" spans="1:27" ht="18" customHeight="1" x14ac:dyDescent="0.25">
      <c r="A1596" s="159">
        <v>4076</v>
      </c>
      <c r="B1596" s="157" t="s">
        <v>57</v>
      </c>
      <c r="C1596" s="157" t="s">
        <v>349</v>
      </c>
      <c r="D1596" s="159" t="s">
        <v>8441</v>
      </c>
      <c r="E1596" s="157" t="s">
        <v>8444</v>
      </c>
      <c r="F1596" s="157" t="s">
        <v>1381</v>
      </c>
      <c r="G1596" s="157" t="s">
        <v>1321</v>
      </c>
      <c r="H1596" s="157" t="s">
        <v>2022</v>
      </c>
      <c r="I1596" s="157" t="s">
        <v>1529</v>
      </c>
      <c r="J1596" s="157" t="s">
        <v>1649</v>
      </c>
      <c r="K1596" s="157" t="s">
        <v>1269</v>
      </c>
      <c r="L1596" s="157" t="s">
        <v>8437</v>
      </c>
      <c r="M1596" s="157" t="str">
        <f t="shared" si="34"/>
        <v>Cooling Fan Motor 400W - Radiator Ventilation</v>
      </c>
      <c r="N1596" s="157"/>
      <c r="O1596" s="157"/>
      <c r="P1596" s="159" t="s">
        <v>3434</v>
      </c>
      <c r="Q1596" s="157" t="s">
        <v>2115</v>
      </c>
      <c r="R1596" s="157" t="s">
        <v>2117</v>
      </c>
      <c r="S1596" s="157" t="s">
        <v>8622</v>
      </c>
      <c r="T1596" s="157"/>
      <c r="U1596" s="159" t="s">
        <v>2138</v>
      </c>
      <c r="V1596" s="159" t="s">
        <v>2129</v>
      </c>
      <c r="W1596" s="159" t="s">
        <v>2129</v>
      </c>
      <c r="X1596" s="160">
        <v>0.8</v>
      </c>
      <c r="Y1596" s="160">
        <v>0.3</v>
      </c>
      <c r="Z1596" s="160">
        <v>0.6</v>
      </c>
      <c r="AA1596" s="160">
        <v>0.4</v>
      </c>
    </row>
    <row r="1597" spans="1:27" ht="18" customHeight="1" x14ac:dyDescent="0.25">
      <c r="A1597" s="159">
        <v>4077</v>
      </c>
      <c r="B1597" s="157" t="s">
        <v>57</v>
      </c>
      <c r="C1597" s="157" t="s">
        <v>349</v>
      </c>
      <c r="D1597" s="159" t="s">
        <v>8442</v>
      </c>
      <c r="E1597" s="157" t="s">
        <v>8446</v>
      </c>
      <c r="F1597" s="157" t="s">
        <v>1381</v>
      </c>
      <c r="G1597" s="157" t="s">
        <v>1321</v>
      </c>
      <c r="H1597" s="157" t="s">
        <v>2022</v>
      </c>
      <c r="I1597" s="157" t="s">
        <v>1529</v>
      </c>
      <c r="J1597" s="157" t="s">
        <v>1649</v>
      </c>
      <c r="K1597" s="157" t="s">
        <v>1269</v>
      </c>
      <c r="L1597" s="157" t="s">
        <v>8438</v>
      </c>
      <c r="M1597" s="157" t="str">
        <f t="shared" si="34"/>
        <v>Cooling Fan Motor 600W - Radiator Ventilation</v>
      </c>
      <c r="N1597" s="157"/>
      <c r="O1597" s="157"/>
      <c r="P1597" s="159" t="s">
        <v>3434</v>
      </c>
      <c r="Q1597" s="157" t="s">
        <v>2115</v>
      </c>
      <c r="R1597" s="157" t="s">
        <v>2117</v>
      </c>
      <c r="S1597" s="157" t="s">
        <v>8622</v>
      </c>
      <c r="T1597" s="157"/>
      <c r="U1597" s="159" t="s">
        <v>2129</v>
      </c>
      <c r="V1597" s="159" t="s">
        <v>2138</v>
      </c>
      <c r="W1597" s="159" t="s">
        <v>2129</v>
      </c>
      <c r="X1597" s="160">
        <v>0.8</v>
      </c>
      <c r="Y1597" s="160">
        <v>0.3</v>
      </c>
      <c r="Z1597" s="160">
        <v>0.6</v>
      </c>
      <c r="AA1597" s="160">
        <v>0.4</v>
      </c>
    </row>
    <row r="1598" spans="1:27" ht="18" customHeight="1" x14ac:dyDescent="0.25">
      <c r="A1598" s="159">
        <v>4079</v>
      </c>
      <c r="B1598" s="157" t="s">
        <v>57</v>
      </c>
      <c r="C1598" s="157" t="s">
        <v>58</v>
      </c>
      <c r="D1598" s="159" t="s">
        <v>2090</v>
      </c>
      <c r="E1598" s="157" t="s">
        <v>1677</v>
      </c>
      <c r="F1598" s="157"/>
      <c r="G1598" s="157" t="s">
        <v>1278</v>
      </c>
      <c r="H1598" s="157" t="s">
        <v>1677</v>
      </c>
      <c r="I1598" s="157" t="s">
        <v>1678</v>
      </c>
      <c r="J1598" s="157" t="s">
        <v>1649</v>
      </c>
      <c r="K1598" s="157" t="s">
        <v>1269</v>
      </c>
      <c r="L1598" s="157" t="s">
        <v>1679</v>
      </c>
      <c r="M1598" s="157" t="str">
        <f t="shared" si="34"/>
        <v>Parking Heater Pump - Air Heating</v>
      </c>
      <c r="N1598" s="157"/>
      <c r="O1598" s="157"/>
      <c r="P1598" s="159" t="s">
        <v>4949</v>
      </c>
      <c r="Q1598" s="157" t="s">
        <v>2115</v>
      </c>
      <c r="R1598" s="157" t="s">
        <v>8283</v>
      </c>
      <c r="S1598" s="157" t="s">
        <v>8609</v>
      </c>
      <c r="T1598" s="157"/>
      <c r="U1598" s="159" t="s">
        <v>2129</v>
      </c>
      <c r="V1598" s="159" t="s">
        <v>2129</v>
      </c>
      <c r="W1598" s="159" t="s">
        <v>2138</v>
      </c>
      <c r="X1598" s="160">
        <v>0</v>
      </c>
      <c r="Y1598" s="160">
        <v>0</v>
      </c>
      <c r="Z1598" s="160">
        <v>0</v>
      </c>
      <c r="AA1598" s="160">
        <v>0</v>
      </c>
    </row>
    <row r="1599" spans="1:27" ht="18" customHeight="1" x14ac:dyDescent="0.25">
      <c r="A1599" s="159">
        <v>4080</v>
      </c>
      <c r="B1599" s="157" t="s">
        <v>63</v>
      </c>
      <c r="C1599" s="157" t="s">
        <v>64</v>
      </c>
      <c r="D1599" s="159" t="s">
        <v>926</v>
      </c>
      <c r="E1599" s="157" t="s">
        <v>924</v>
      </c>
      <c r="F1599" s="157"/>
      <c r="G1599" s="157" t="s">
        <v>1299</v>
      </c>
      <c r="H1599" s="157" t="s">
        <v>1300</v>
      </c>
      <c r="I1599" s="157" t="s">
        <v>1441</v>
      </c>
      <c r="J1599" s="157" t="s">
        <v>1442</v>
      </c>
      <c r="K1599" s="157" t="s">
        <v>1312</v>
      </c>
      <c r="L1599" s="157" t="s">
        <v>1680</v>
      </c>
      <c r="M1599" s="157" t="str">
        <f t="shared" si="34"/>
        <v>Side Impact Sensor FR - Crash Sensor</v>
      </c>
      <c r="N1599" s="157"/>
      <c r="O1599" s="157"/>
      <c r="P1599" s="159" t="s">
        <v>3608</v>
      </c>
      <c r="Q1599" s="157"/>
      <c r="R1599" s="157"/>
      <c r="S1599" s="157"/>
      <c r="T1599" s="157"/>
      <c r="U1599" s="159" t="s">
        <v>2129</v>
      </c>
      <c r="V1599" s="159" t="s">
        <v>2138</v>
      </c>
      <c r="W1599" s="159" t="s">
        <v>2138</v>
      </c>
      <c r="X1599" s="160">
        <v>1</v>
      </c>
      <c r="Y1599" s="160">
        <v>1</v>
      </c>
      <c r="Z1599" s="160">
        <v>1</v>
      </c>
      <c r="AA1599" s="160">
        <v>1</v>
      </c>
    </row>
    <row r="1600" spans="1:27" ht="18" customHeight="1" x14ac:dyDescent="0.25">
      <c r="A1600" s="159">
        <v>4081</v>
      </c>
      <c r="B1600" s="157" t="s">
        <v>63</v>
      </c>
      <c r="C1600" s="157" t="s">
        <v>64</v>
      </c>
      <c r="D1600" s="159" t="s">
        <v>926</v>
      </c>
      <c r="E1600" s="157" t="s">
        <v>924</v>
      </c>
      <c r="F1600" s="157"/>
      <c r="G1600" s="157" t="s">
        <v>1299</v>
      </c>
      <c r="H1600" s="157" t="s">
        <v>1300</v>
      </c>
      <c r="I1600" s="157" t="s">
        <v>1441</v>
      </c>
      <c r="J1600" s="157" t="s">
        <v>1442</v>
      </c>
      <c r="K1600" s="157" t="s">
        <v>1312</v>
      </c>
      <c r="L1600" s="157" t="s">
        <v>1681</v>
      </c>
      <c r="M1600" s="157" t="str">
        <f t="shared" si="34"/>
        <v>Side Impact Sensor FL - Crash Sensor</v>
      </c>
      <c r="N1600" s="157"/>
      <c r="O1600" s="157"/>
      <c r="P1600" s="159" t="s">
        <v>8169</v>
      </c>
      <c r="Q1600" s="157"/>
      <c r="R1600" s="157"/>
      <c r="S1600" s="157"/>
      <c r="T1600" s="157"/>
      <c r="U1600" s="159" t="s">
        <v>2129</v>
      </c>
      <c r="V1600" s="159" t="s">
        <v>2138</v>
      </c>
      <c r="W1600" s="159" t="s">
        <v>2138</v>
      </c>
      <c r="X1600" s="160">
        <v>1</v>
      </c>
      <c r="Y1600" s="160">
        <v>1</v>
      </c>
      <c r="Z1600" s="160">
        <v>1</v>
      </c>
      <c r="AA1600" s="160">
        <v>1</v>
      </c>
    </row>
    <row r="1601" spans="1:27" ht="18" customHeight="1" x14ac:dyDescent="0.25">
      <c r="A1601" s="159">
        <v>4084</v>
      </c>
      <c r="B1601" s="157" t="s">
        <v>22</v>
      </c>
      <c r="C1601" s="157" t="s">
        <v>40</v>
      </c>
      <c r="D1601" s="159" t="s">
        <v>39</v>
      </c>
      <c r="E1601" s="157" t="s">
        <v>740</v>
      </c>
      <c r="F1601" s="157" t="s">
        <v>1298</v>
      </c>
      <c r="G1601" s="157" t="s">
        <v>1299</v>
      </c>
      <c r="H1601" s="157" t="s">
        <v>1300</v>
      </c>
      <c r="I1601" s="157" t="s">
        <v>1682</v>
      </c>
      <c r="J1601" s="157" t="s">
        <v>1285</v>
      </c>
      <c r="K1601" s="157" t="s">
        <v>1312</v>
      </c>
      <c r="L1601" s="157" t="s">
        <v>1683</v>
      </c>
      <c r="M1601" s="157" t="str">
        <f t="shared" si="34"/>
        <v>Pressure Sensor Passenger - Pressure Sensor</v>
      </c>
      <c r="N1601" s="157"/>
      <c r="O1601" s="157"/>
      <c r="P1601" s="159" t="s">
        <v>2997</v>
      </c>
      <c r="Q1601" s="157" t="s">
        <v>2115</v>
      </c>
      <c r="R1601" s="157" t="s">
        <v>8575</v>
      </c>
      <c r="S1601" s="157" t="s">
        <v>8576</v>
      </c>
      <c r="T1601" s="157"/>
      <c r="U1601" s="159" t="s">
        <v>2129</v>
      </c>
      <c r="V1601" s="159" t="s">
        <v>2138</v>
      </c>
      <c r="W1601" s="159" t="s">
        <v>2138</v>
      </c>
      <c r="X1601" s="160">
        <v>1</v>
      </c>
      <c r="Y1601" s="160">
        <v>1</v>
      </c>
      <c r="Z1601" s="160">
        <v>1</v>
      </c>
      <c r="AA1601" s="160">
        <v>1</v>
      </c>
    </row>
    <row r="1602" spans="1:27" ht="18" customHeight="1" x14ac:dyDescent="0.25">
      <c r="A1602" s="159">
        <v>4085</v>
      </c>
      <c r="B1602" s="157" t="s">
        <v>22</v>
      </c>
      <c r="C1602" s="157" t="s">
        <v>40</v>
      </c>
      <c r="D1602" s="159" t="s">
        <v>44</v>
      </c>
      <c r="E1602" s="157" t="s">
        <v>48</v>
      </c>
      <c r="F1602" s="157" t="s">
        <v>1298</v>
      </c>
      <c r="G1602" s="157" t="s">
        <v>1299</v>
      </c>
      <c r="H1602" s="157" t="s">
        <v>1300</v>
      </c>
      <c r="I1602" s="157" t="s">
        <v>1682</v>
      </c>
      <c r="J1602" s="157" t="s">
        <v>1285</v>
      </c>
      <c r="K1602" s="157" t="s">
        <v>1312</v>
      </c>
      <c r="L1602" s="157" t="s">
        <v>1684</v>
      </c>
      <c r="M1602" s="157" t="str">
        <f t="shared" si="34"/>
        <v>Pressure Sensor Driver - Pressure Sensor</v>
      </c>
      <c r="N1602" s="157"/>
      <c r="O1602" s="157"/>
      <c r="P1602" s="159" t="s">
        <v>7655</v>
      </c>
      <c r="Q1602" s="157" t="s">
        <v>2115</v>
      </c>
      <c r="R1602" s="157" t="s">
        <v>8575</v>
      </c>
      <c r="S1602" s="157" t="s">
        <v>8576</v>
      </c>
      <c r="T1602" s="157"/>
      <c r="U1602" s="159" t="s">
        <v>2138</v>
      </c>
      <c r="V1602" s="159" t="s">
        <v>2138</v>
      </c>
      <c r="W1602" s="159" t="s">
        <v>2138</v>
      </c>
      <c r="X1602" s="160">
        <v>1</v>
      </c>
      <c r="Y1602" s="160">
        <v>1</v>
      </c>
      <c r="Z1602" s="160">
        <v>1</v>
      </c>
      <c r="AA1602" s="160">
        <v>1</v>
      </c>
    </row>
    <row r="1603" spans="1:27" ht="18" customHeight="1" x14ac:dyDescent="0.25">
      <c r="A1603" s="159">
        <v>4086</v>
      </c>
      <c r="B1603" s="157" t="s">
        <v>57</v>
      </c>
      <c r="C1603" s="157" t="s">
        <v>58</v>
      </c>
      <c r="D1603" s="159" t="s">
        <v>61</v>
      </c>
      <c r="E1603" s="157" t="s">
        <v>59</v>
      </c>
      <c r="F1603" s="157" t="s">
        <v>1264</v>
      </c>
      <c r="G1603" s="157" t="s">
        <v>1278</v>
      </c>
      <c r="H1603" s="157" t="s">
        <v>1378</v>
      </c>
      <c r="I1603" s="157" t="s">
        <v>1685</v>
      </c>
      <c r="J1603" s="157" t="s">
        <v>1504</v>
      </c>
      <c r="K1603" s="157" t="s">
        <v>1312</v>
      </c>
      <c r="L1603" s="157" t="s">
        <v>1682</v>
      </c>
      <c r="M1603" s="157" t="str">
        <f t="shared" si="34"/>
        <v>Pressure Sensor - Refrigerant Flow</v>
      </c>
      <c r="N1603" s="157"/>
      <c r="O1603" s="157"/>
      <c r="P1603" s="159" t="s">
        <v>2411</v>
      </c>
      <c r="Q1603" s="157" t="s">
        <v>2115</v>
      </c>
      <c r="R1603" s="157" t="s">
        <v>2137</v>
      </c>
      <c r="S1603" s="157" t="s">
        <v>8630</v>
      </c>
      <c r="T1603" s="157" t="s">
        <v>2138</v>
      </c>
      <c r="U1603" s="159" t="s">
        <v>2129</v>
      </c>
      <c r="V1603" s="159" t="s">
        <v>2129</v>
      </c>
      <c r="W1603" s="159" t="s">
        <v>2138</v>
      </c>
      <c r="X1603" s="160">
        <v>1</v>
      </c>
      <c r="Y1603" s="160">
        <v>1</v>
      </c>
      <c r="Z1603" s="160">
        <v>1</v>
      </c>
      <c r="AA1603" s="160">
        <v>1</v>
      </c>
    </row>
    <row r="1604" spans="1:27" ht="18" customHeight="1" x14ac:dyDescent="0.25">
      <c r="A1604" s="159">
        <v>4086</v>
      </c>
      <c r="B1604" s="157" t="s">
        <v>57</v>
      </c>
      <c r="C1604" s="157" t="s">
        <v>58</v>
      </c>
      <c r="D1604" s="159" t="s">
        <v>414</v>
      </c>
      <c r="E1604" s="157" t="s">
        <v>412</v>
      </c>
      <c r="F1604" s="157" t="s">
        <v>1264</v>
      </c>
      <c r="G1604" s="157" t="s">
        <v>1278</v>
      </c>
      <c r="H1604" s="157" t="s">
        <v>1378</v>
      </c>
      <c r="I1604" s="157" t="s">
        <v>1685</v>
      </c>
      <c r="J1604" s="157" t="s">
        <v>1504</v>
      </c>
      <c r="K1604" s="157" t="s">
        <v>1312</v>
      </c>
      <c r="L1604" s="157" t="s">
        <v>1682</v>
      </c>
      <c r="M1604" s="157" t="str">
        <f t="shared" si="34"/>
        <v>Pressure Sensor - Refrigerant Flow</v>
      </c>
      <c r="N1604" s="157"/>
      <c r="O1604" s="157"/>
      <c r="P1604" s="159" t="s">
        <v>2411</v>
      </c>
      <c r="Q1604" s="157" t="s">
        <v>2115</v>
      </c>
      <c r="R1604" s="157" t="s">
        <v>2137</v>
      </c>
      <c r="S1604" s="157" t="s">
        <v>8630</v>
      </c>
      <c r="T1604" s="157" t="s">
        <v>2138</v>
      </c>
      <c r="U1604" s="159" t="s">
        <v>2129</v>
      </c>
      <c r="V1604" s="159" t="s">
        <v>2138</v>
      </c>
      <c r="W1604" s="159" t="s">
        <v>2138</v>
      </c>
      <c r="X1604" s="160">
        <v>1</v>
      </c>
      <c r="Y1604" s="160">
        <v>1</v>
      </c>
      <c r="Z1604" s="160">
        <v>1</v>
      </c>
      <c r="AA1604" s="160">
        <v>1</v>
      </c>
    </row>
    <row r="1605" spans="1:27" ht="18" customHeight="1" x14ac:dyDescent="0.25">
      <c r="A1605" s="159">
        <v>4086</v>
      </c>
      <c r="B1605" s="157" t="s">
        <v>57</v>
      </c>
      <c r="C1605" s="157" t="s">
        <v>58</v>
      </c>
      <c r="D1605" s="159" t="s">
        <v>417</v>
      </c>
      <c r="E1605" s="157" t="s">
        <v>415</v>
      </c>
      <c r="F1605" s="157" t="s">
        <v>1264</v>
      </c>
      <c r="G1605" s="157" t="s">
        <v>1278</v>
      </c>
      <c r="H1605" s="157" t="s">
        <v>1378</v>
      </c>
      <c r="I1605" s="157" t="s">
        <v>1685</v>
      </c>
      <c r="J1605" s="157" t="s">
        <v>1504</v>
      </c>
      <c r="K1605" s="157" t="s">
        <v>1312</v>
      </c>
      <c r="L1605" s="157" t="s">
        <v>1682</v>
      </c>
      <c r="M1605" s="157" t="str">
        <f t="shared" si="34"/>
        <v>Pressure Sensor - Refrigerant Flow</v>
      </c>
      <c r="N1605" s="157"/>
      <c r="O1605" s="157"/>
      <c r="P1605" s="159" t="s">
        <v>2411</v>
      </c>
      <c r="Q1605" s="157" t="s">
        <v>2115</v>
      </c>
      <c r="R1605" s="157" t="s">
        <v>2137</v>
      </c>
      <c r="S1605" s="157" t="s">
        <v>8630</v>
      </c>
      <c r="T1605" s="157" t="s">
        <v>2138</v>
      </c>
      <c r="U1605" s="159" t="s">
        <v>2129</v>
      </c>
      <c r="V1605" s="159" t="s">
        <v>2138</v>
      </c>
      <c r="W1605" s="159" t="s">
        <v>2138</v>
      </c>
      <c r="X1605" s="160">
        <v>1</v>
      </c>
      <c r="Y1605" s="160">
        <v>1</v>
      </c>
      <c r="Z1605" s="160">
        <v>1</v>
      </c>
      <c r="AA1605" s="160">
        <v>1</v>
      </c>
    </row>
    <row r="1606" spans="1:27" ht="18" customHeight="1" x14ac:dyDescent="0.25">
      <c r="A1606" s="159">
        <v>4086</v>
      </c>
      <c r="B1606" s="157" t="s">
        <v>57</v>
      </c>
      <c r="C1606" s="157" t="s">
        <v>58</v>
      </c>
      <c r="D1606" s="159" t="s">
        <v>664</v>
      </c>
      <c r="E1606" s="157" t="s">
        <v>662</v>
      </c>
      <c r="F1606" s="157" t="s">
        <v>1264</v>
      </c>
      <c r="G1606" s="157" t="s">
        <v>1278</v>
      </c>
      <c r="H1606" s="157" t="s">
        <v>1378</v>
      </c>
      <c r="I1606" s="157" t="s">
        <v>1685</v>
      </c>
      <c r="J1606" s="157" t="s">
        <v>1504</v>
      </c>
      <c r="K1606" s="157" t="s">
        <v>1312</v>
      </c>
      <c r="L1606" s="157" t="s">
        <v>1682</v>
      </c>
      <c r="M1606" s="157" t="str">
        <f t="shared" si="34"/>
        <v>Pressure Sensor - Refrigerant Flow</v>
      </c>
      <c r="N1606" s="157"/>
      <c r="O1606" s="157"/>
      <c r="P1606" s="159" t="s">
        <v>2411</v>
      </c>
      <c r="Q1606" s="157" t="s">
        <v>2115</v>
      </c>
      <c r="R1606" s="157" t="s">
        <v>2137</v>
      </c>
      <c r="S1606" s="157" t="s">
        <v>8630</v>
      </c>
      <c r="T1606" s="157" t="s">
        <v>2138</v>
      </c>
      <c r="U1606" s="159" t="s">
        <v>2138</v>
      </c>
      <c r="V1606" s="159" t="s">
        <v>2129</v>
      </c>
      <c r="W1606" s="159" t="s">
        <v>2129</v>
      </c>
      <c r="X1606" s="160">
        <v>1</v>
      </c>
      <c r="Y1606" s="160">
        <v>1</v>
      </c>
      <c r="Z1606" s="160">
        <v>1</v>
      </c>
      <c r="AA1606" s="160">
        <v>1</v>
      </c>
    </row>
    <row r="1607" spans="1:27" ht="18" customHeight="1" x14ac:dyDescent="0.25">
      <c r="A1607" s="159">
        <v>4086</v>
      </c>
      <c r="B1607" s="157" t="s">
        <v>57</v>
      </c>
      <c r="C1607" s="157" t="s">
        <v>58</v>
      </c>
      <c r="D1607" s="159" t="s">
        <v>841</v>
      </c>
      <c r="E1607" s="157" t="s">
        <v>839</v>
      </c>
      <c r="F1607" s="157" t="s">
        <v>1264</v>
      </c>
      <c r="G1607" s="157" t="s">
        <v>1278</v>
      </c>
      <c r="H1607" s="157" t="s">
        <v>1378</v>
      </c>
      <c r="I1607" s="157" t="s">
        <v>1685</v>
      </c>
      <c r="J1607" s="157" t="s">
        <v>1504</v>
      </c>
      <c r="K1607" s="157" t="s">
        <v>1312</v>
      </c>
      <c r="L1607" s="157" t="s">
        <v>1682</v>
      </c>
      <c r="M1607" s="157" t="str">
        <f t="shared" si="34"/>
        <v>Pressure Sensor - Refrigerant Flow</v>
      </c>
      <c r="N1607" s="157"/>
      <c r="O1607" s="157"/>
      <c r="P1607" s="159" t="s">
        <v>2411</v>
      </c>
      <c r="Q1607" s="157" t="s">
        <v>2115</v>
      </c>
      <c r="R1607" s="157" t="s">
        <v>2137</v>
      </c>
      <c r="S1607" s="157" t="s">
        <v>8630</v>
      </c>
      <c r="T1607" s="157" t="s">
        <v>2138</v>
      </c>
      <c r="U1607" s="159" t="s">
        <v>2129</v>
      </c>
      <c r="V1607" s="159" t="s">
        <v>2129</v>
      </c>
      <c r="W1607" s="159" t="s">
        <v>2138</v>
      </c>
      <c r="X1607" s="160">
        <v>1</v>
      </c>
      <c r="Y1607" s="160">
        <v>1</v>
      </c>
      <c r="Z1607" s="160">
        <v>1</v>
      </c>
      <c r="AA1607" s="160">
        <v>1</v>
      </c>
    </row>
    <row r="1608" spans="1:27" ht="18" customHeight="1" x14ac:dyDescent="0.25">
      <c r="A1608" s="159">
        <v>4086</v>
      </c>
      <c r="B1608" s="157" t="s">
        <v>57</v>
      </c>
      <c r="C1608" s="157" t="s">
        <v>58</v>
      </c>
      <c r="D1608" s="159" t="s">
        <v>842</v>
      </c>
      <c r="E1608" s="157" t="s">
        <v>843</v>
      </c>
      <c r="F1608" s="157" t="s">
        <v>1264</v>
      </c>
      <c r="G1608" s="157" t="s">
        <v>1278</v>
      </c>
      <c r="H1608" s="157" t="s">
        <v>1378</v>
      </c>
      <c r="I1608" s="157" t="s">
        <v>1685</v>
      </c>
      <c r="J1608" s="157" t="s">
        <v>1504</v>
      </c>
      <c r="K1608" s="157" t="s">
        <v>1312</v>
      </c>
      <c r="L1608" s="157" t="s">
        <v>1682</v>
      </c>
      <c r="M1608" s="157" t="str">
        <f t="shared" si="34"/>
        <v>Pressure Sensor - Refrigerant Flow</v>
      </c>
      <c r="N1608" s="157"/>
      <c r="O1608" s="157"/>
      <c r="P1608" s="159" t="s">
        <v>2411</v>
      </c>
      <c r="Q1608" s="157" t="s">
        <v>2115</v>
      </c>
      <c r="R1608" s="157" t="s">
        <v>2137</v>
      </c>
      <c r="S1608" s="157" t="s">
        <v>8630</v>
      </c>
      <c r="T1608" s="157" t="s">
        <v>2138</v>
      </c>
      <c r="U1608" s="159" t="s">
        <v>2129</v>
      </c>
      <c r="V1608" s="159" t="s">
        <v>2129</v>
      </c>
      <c r="W1608" s="159" t="s">
        <v>2138</v>
      </c>
      <c r="X1608" s="160">
        <v>1</v>
      </c>
      <c r="Y1608" s="160">
        <v>1</v>
      </c>
      <c r="Z1608" s="160">
        <v>1</v>
      </c>
      <c r="AA1608" s="160">
        <v>1</v>
      </c>
    </row>
    <row r="1609" spans="1:27" ht="18" customHeight="1" x14ac:dyDescent="0.25">
      <c r="A1609" s="159">
        <v>4086</v>
      </c>
      <c r="B1609" s="157" t="s">
        <v>57</v>
      </c>
      <c r="C1609" s="157" t="s">
        <v>58</v>
      </c>
      <c r="D1609" s="159" t="s">
        <v>62</v>
      </c>
      <c r="E1609" s="157" t="s">
        <v>991</v>
      </c>
      <c r="F1609" s="157" t="s">
        <v>1264</v>
      </c>
      <c r="G1609" s="157" t="s">
        <v>1278</v>
      </c>
      <c r="H1609" s="157" t="s">
        <v>1378</v>
      </c>
      <c r="I1609" s="157" t="s">
        <v>1685</v>
      </c>
      <c r="J1609" s="157" t="s">
        <v>1504</v>
      </c>
      <c r="K1609" s="157" t="s">
        <v>1312</v>
      </c>
      <c r="L1609" s="157" t="s">
        <v>1682</v>
      </c>
      <c r="M1609" s="157" t="str">
        <f t="shared" si="34"/>
        <v>Pressure Sensor - Refrigerant Flow</v>
      </c>
      <c r="N1609" s="157"/>
      <c r="O1609" s="157"/>
      <c r="P1609" s="159" t="s">
        <v>2411</v>
      </c>
      <c r="Q1609" s="157" t="s">
        <v>2115</v>
      </c>
      <c r="R1609" s="157" t="s">
        <v>2137</v>
      </c>
      <c r="S1609" s="157" t="s">
        <v>8630</v>
      </c>
      <c r="T1609" s="157" t="s">
        <v>2138</v>
      </c>
      <c r="U1609" s="159" t="s">
        <v>2129</v>
      </c>
      <c r="V1609" s="159" t="s">
        <v>2138</v>
      </c>
      <c r="W1609" s="159" t="s">
        <v>2129</v>
      </c>
      <c r="X1609" s="160">
        <v>1</v>
      </c>
      <c r="Y1609" s="160">
        <v>1</v>
      </c>
      <c r="Z1609" s="160">
        <v>1</v>
      </c>
      <c r="AA1609" s="160">
        <v>1</v>
      </c>
    </row>
    <row r="1610" spans="1:27" ht="18" customHeight="1" x14ac:dyDescent="0.25">
      <c r="A1610" s="159">
        <v>4087</v>
      </c>
      <c r="B1610" s="157" t="s">
        <v>63</v>
      </c>
      <c r="C1610" s="157" t="s">
        <v>64</v>
      </c>
      <c r="D1610" s="159" t="s">
        <v>926</v>
      </c>
      <c r="E1610" s="157" t="s">
        <v>924</v>
      </c>
      <c r="F1610" s="157"/>
      <c r="G1610" s="157" t="s">
        <v>1299</v>
      </c>
      <c r="H1610" s="157" t="s">
        <v>1300</v>
      </c>
      <c r="I1610" s="157" t="s">
        <v>1441</v>
      </c>
      <c r="J1610" s="157" t="s">
        <v>1285</v>
      </c>
      <c r="K1610" s="157" t="s">
        <v>1312</v>
      </c>
      <c r="L1610" s="157" t="s">
        <v>1686</v>
      </c>
      <c r="M1610" s="157" t="str">
        <f t="shared" ref="M1610:M1673" si="35">CONCATENATE(L1610," - ",I1610)</f>
        <v>Front Impact Sensor Front Mid - Crash Sensor</v>
      </c>
      <c r="N1610" s="157"/>
      <c r="O1610" s="157"/>
      <c r="P1610" s="159" t="s">
        <v>3547</v>
      </c>
      <c r="Q1610" s="157" t="s">
        <v>2115</v>
      </c>
      <c r="R1610" s="157" t="s">
        <v>8258</v>
      </c>
      <c r="S1610" s="157" t="s">
        <v>8618</v>
      </c>
      <c r="T1610" s="157"/>
      <c r="U1610" s="159" t="s">
        <v>2129</v>
      </c>
      <c r="V1610" s="159" t="s">
        <v>2138</v>
      </c>
      <c r="W1610" s="159" t="s">
        <v>2138</v>
      </c>
      <c r="X1610" s="160">
        <v>1</v>
      </c>
      <c r="Y1610" s="160">
        <v>1</v>
      </c>
      <c r="Z1610" s="160">
        <v>1</v>
      </c>
      <c r="AA1610" s="160">
        <v>1</v>
      </c>
    </row>
    <row r="1611" spans="1:27" ht="18" customHeight="1" x14ac:dyDescent="0.25">
      <c r="A1611" s="159">
        <v>4087</v>
      </c>
      <c r="B1611" s="157" t="s">
        <v>22</v>
      </c>
      <c r="C1611" s="157" t="s">
        <v>103</v>
      </c>
      <c r="D1611" s="159" t="s">
        <v>27</v>
      </c>
      <c r="E1611" s="157" t="s">
        <v>989</v>
      </c>
      <c r="F1611" s="157"/>
      <c r="G1611" s="157" t="s">
        <v>1299</v>
      </c>
      <c r="H1611" s="157" t="s">
        <v>1300</v>
      </c>
      <c r="I1611" s="157" t="s">
        <v>1441</v>
      </c>
      <c r="J1611" s="157" t="s">
        <v>1285</v>
      </c>
      <c r="K1611" s="157" t="s">
        <v>1312</v>
      </c>
      <c r="L1611" s="157" t="s">
        <v>1686</v>
      </c>
      <c r="M1611" s="157" t="str">
        <f t="shared" si="35"/>
        <v>Front Impact Sensor Front Mid - Crash Sensor</v>
      </c>
      <c r="N1611" s="157"/>
      <c r="O1611" s="157"/>
      <c r="P1611" s="159" t="s">
        <v>3547</v>
      </c>
      <c r="Q1611" s="157" t="s">
        <v>2115</v>
      </c>
      <c r="R1611" s="157" t="s">
        <v>8258</v>
      </c>
      <c r="S1611" s="157" t="s">
        <v>8618</v>
      </c>
      <c r="T1611" s="157"/>
      <c r="U1611" s="159" t="s">
        <v>2129</v>
      </c>
      <c r="V1611" s="159" t="s">
        <v>2138</v>
      </c>
      <c r="W1611" s="159" t="s">
        <v>2138</v>
      </c>
      <c r="X1611" s="160">
        <v>1</v>
      </c>
      <c r="Y1611" s="160">
        <v>1</v>
      </c>
      <c r="Z1611" s="160">
        <v>1</v>
      </c>
      <c r="AA1611" s="160">
        <v>1</v>
      </c>
    </row>
    <row r="1612" spans="1:27" ht="18" customHeight="1" x14ac:dyDescent="0.25">
      <c r="A1612" s="159">
        <v>4088</v>
      </c>
      <c r="B1612" s="157" t="s">
        <v>280</v>
      </c>
      <c r="C1612" s="157" t="s">
        <v>328</v>
      </c>
      <c r="D1612" s="159" t="s">
        <v>8268</v>
      </c>
      <c r="E1612" s="157" t="s">
        <v>1690</v>
      </c>
      <c r="F1612" s="157"/>
      <c r="G1612" s="157" t="s">
        <v>1265</v>
      </c>
      <c r="H1612" s="157" t="s">
        <v>1687</v>
      </c>
      <c r="I1612" s="157" t="s">
        <v>1688</v>
      </c>
      <c r="J1612" s="157" t="s">
        <v>1689</v>
      </c>
      <c r="K1612" s="157" t="s">
        <v>1269</v>
      </c>
      <c r="L1612" s="157" t="s">
        <v>1690</v>
      </c>
      <c r="M1612" s="157" t="str">
        <f t="shared" si="35"/>
        <v>TV Receiver - Television Receiving</v>
      </c>
      <c r="N1612" s="157"/>
      <c r="O1612" s="157"/>
      <c r="P1612" s="159" t="s">
        <v>4126</v>
      </c>
      <c r="Q1612" s="157" t="s">
        <v>2115</v>
      </c>
      <c r="R1612" s="157" t="s">
        <v>8290</v>
      </c>
      <c r="S1612" s="157" t="s">
        <v>8644</v>
      </c>
      <c r="T1612" s="157"/>
      <c r="U1612" s="159" t="s">
        <v>2129</v>
      </c>
      <c r="V1612" s="159" t="s">
        <v>2129</v>
      </c>
      <c r="W1612" s="159" t="s">
        <v>2138</v>
      </c>
      <c r="X1612" s="160">
        <v>1</v>
      </c>
      <c r="Y1612" s="160">
        <v>1</v>
      </c>
      <c r="Z1612" s="160">
        <v>1</v>
      </c>
      <c r="AA1612" s="160">
        <v>1</v>
      </c>
    </row>
    <row r="1613" spans="1:27" ht="18" customHeight="1" x14ac:dyDescent="0.25">
      <c r="A1613" s="159">
        <v>4089</v>
      </c>
      <c r="B1613" s="157" t="s">
        <v>280</v>
      </c>
      <c r="C1613" s="157" t="s">
        <v>328</v>
      </c>
      <c r="D1613" s="159" t="s">
        <v>8268</v>
      </c>
      <c r="E1613" s="157" t="s">
        <v>1690</v>
      </c>
      <c r="F1613" s="157"/>
      <c r="G1613" s="157" t="s">
        <v>1265</v>
      </c>
      <c r="H1613" s="157" t="s">
        <v>1687</v>
      </c>
      <c r="I1613" s="157" t="s">
        <v>1688</v>
      </c>
      <c r="J1613" s="157" t="s">
        <v>1689</v>
      </c>
      <c r="K1613" s="157" t="s">
        <v>1269</v>
      </c>
      <c r="L1613" s="157" t="s">
        <v>1690</v>
      </c>
      <c r="M1613" s="157" t="str">
        <f t="shared" si="35"/>
        <v>TV Receiver - Television Receiving</v>
      </c>
      <c r="N1613" s="157"/>
      <c r="O1613" s="157"/>
      <c r="P1613" s="159" t="s">
        <v>4126</v>
      </c>
      <c r="Q1613" s="157"/>
      <c r="R1613" s="157"/>
      <c r="S1613" s="157"/>
      <c r="T1613" s="157"/>
      <c r="U1613" s="159" t="s">
        <v>2129</v>
      </c>
      <c r="V1613" s="159" t="s">
        <v>2129</v>
      </c>
      <c r="W1613" s="159" t="s">
        <v>2138</v>
      </c>
      <c r="X1613" s="160">
        <v>1</v>
      </c>
      <c r="Y1613" s="160">
        <v>1</v>
      </c>
      <c r="Z1613" s="160">
        <v>1</v>
      </c>
      <c r="AA1613" s="160">
        <v>1</v>
      </c>
    </row>
    <row r="1614" spans="1:27" ht="18" customHeight="1" x14ac:dyDescent="0.25">
      <c r="A1614" s="159">
        <v>4090</v>
      </c>
      <c r="B1614" s="157" t="s">
        <v>280</v>
      </c>
      <c r="C1614" s="157" t="s">
        <v>328</v>
      </c>
      <c r="D1614" s="159" t="s">
        <v>8268</v>
      </c>
      <c r="E1614" s="157" t="s">
        <v>1690</v>
      </c>
      <c r="F1614" s="157"/>
      <c r="G1614" s="157" t="s">
        <v>1265</v>
      </c>
      <c r="H1614" s="157" t="s">
        <v>1687</v>
      </c>
      <c r="I1614" s="157" t="s">
        <v>1688</v>
      </c>
      <c r="J1614" s="157" t="s">
        <v>1689</v>
      </c>
      <c r="K1614" s="157" t="s">
        <v>1409</v>
      </c>
      <c r="L1614" s="157" t="s">
        <v>9591</v>
      </c>
      <c r="M1614" s="157" t="str">
        <f t="shared" si="35"/>
        <v>TV Antenna 1 - Television Receiving</v>
      </c>
      <c r="N1614" s="157"/>
      <c r="O1614" s="157"/>
      <c r="P1614" s="159" t="s">
        <v>7242</v>
      </c>
      <c r="Q1614" s="157" t="s">
        <v>2115</v>
      </c>
      <c r="R1614" s="157" t="s">
        <v>8239</v>
      </c>
      <c r="S1614" s="157" t="s">
        <v>8604</v>
      </c>
      <c r="T1614" s="157"/>
      <c r="U1614" s="159" t="s">
        <v>2129</v>
      </c>
      <c r="V1614" s="159" t="s">
        <v>2129</v>
      </c>
      <c r="W1614" s="159" t="s">
        <v>2138</v>
      </c>
      <c r="X1614" s="160">
        <v>1</v>
      </c>
      <c r="Y1614" s="160">
        <v>1</v>
      </c>
      <c r="Z1614" s="160">
        <v>1</v>
      </c>
      <c r="AA1614" s="160">
        <v>1</v>
      </c>
    </row>
    <row r="1615" spans="1:27" ht="18" customHeight="1" x14ac:dyDescent="0.25">
      <c r="A1615" s="159">
        <v>4091</v>
      </c>
      <c r="B1615" s="157" t="s">
        <v>280</v>
      </c>
      <c r="C1615" s="157" t="s">
        <v>328</v>
      </c>
      <c r="D1615" s="159" t="s">
        <v>8268</v>
      </c>
      <c r="E1615" s="157" t="s">
        <v>1690</v>
      </c>
      <c r="F1615" s="157"/>
      <c r="G1615" s="157" t="s">
        <v>1265</v>
      </c>
      <c r="H1615" s="157" t="s">
        <v>1687</v>
      </c>
      <c r="I1615" s="157" t="s">
        <v>1688</v>
      </c>
      <c r="J1615" s="157" t="s">
        <v>1689</v>
      </c>
      <c r="K1615" s="157" t="s">
        <v>1409</v>
      </c>
      <c r="L1615" s="157" t="s">
        <v>9592</v>
      </c>
      <c r="M1615" s="157" t="str">
        <f t="shared" si="35"/>
        <v>TV Antenna 2 - Television Receiving</v>
      </c>
      <c r="N1615" s="157"/>
      <c r="O1615" s="157"/>
      <c r="P1615" s="159" t="s">
        <v>4396</v>
      </c>
      <c r="Q1615" s="157" t="s">
        <v>2115</v>
      </c>
      <c r="R1615" s="157" t="s">
        <v>8239</v>
      </c>
      <c r="S1615" s="157" t="s">
        <v>8604</v>
      </c>
      <c r="T1615" s="157"/>
      <c r="U1615" s="159" t="s">
        <v>2129</v>
      </c>
      <c r="V1615" s="159" t="s">
        <v>2129</v>
      </c>
      <c r="W1615" s="159" t="s">
        <v>2138</v>
      </c>
      <c r="X1615" s="160">
        <v>1</v>
      </c>
      <c r="Y1615" s="160">
        <v>1</v>
      </c>
      <c r="Z1615" s="160">
        <v>1</v>
      </c>
      <c r="AA1615" s="160">
        <v>1</v>
      </c>
    </row>
    <row r="1616" spans="1:27" ht="18" customHeight="1" x14ac:dyDescent="0.25">
      <c r="A1616" s="159">
        <v>4092</v>
      </c>
      <c r="B1616" s="157" t="s">
        <v>280</v>
      </c>
      <c r="C1616" s="157" t="s">
        <v>328</v>
      </c>
      <c r="D1616" s="159" t="s">
        <v>8268</v>
      </c>
      <c r="E1616" s="157" t="s">
        <v>1690</v>
      </c>
      <c r="F1616" s="157"/>
      <c r="G1616" s="157" t="s">
        <v>1265</v>
      </c>
      <c r="H1616" s="157" t="s">
        <v>1687</v>
      </c>
      <c r="I1616" s="157" t="s">
        <v>1688</v>
      </c>
      <c r="J1616" s="157" t="s">
        <v>1689</v>
      </c>
      <c r="K1616" s="157" t="s">
        <v>1409</v>
      </c>
      <c r="L1616" s="157" t="s">
        <v>9593</v>
      </c>
      <c r="M1616" s="157" t="str">
        <f t="shared" si="35"/>
        <v>TV Antenna 3 - Television Receiving</v>
      </c>
      <c r="N1616" s="157"/>
      <c r="O1616" s="157"/>
      <c r="P1616" s="159" t="s">
        <v>4407</v>
      </c>
      <c r="Q1616" s="157" t="s">
        <v>2115</v>
      </c>
      <c r="R1616" s="157" t="s">
        <v>8239</v>
      </c>
      <c r="S1616" s="157" t="s">
        <v>8604</v>
      </c>
      <c r="T1616" s="157"/>
      <c r="U1616" s="159" t="s">
        <v>2129</v>
      </c>
      <c r="V1616" s="159" t="s">
        <v>2129</v>
      </c>
      <c r="W1616" s="159" t="s">
        <v>2138</v>
      </c>
      <c r="X1616" s="160">
        <v>1</v>
      </c>
      <c r="Y1616" s="160">
        <v>1</v>
      </c>
      <c r="Z1616" s="160">
        <v>1</v>
      </c>
      <c r="AA1616" s="160">
        <v>1</v>
      </c>
    </row>
    <row r="1617" spans="1:27" ht="18" customHeight="1" x14ac:dyDescent="0.25">
      <c r="A1617" s="159">
        <v>4094</v>
      </c>
      <c r="B1617" s="157" t="s">
        <v>77</v>
      </c>
      <c r="C1617" s="157" t="s">
        <v>78</v>
      </c>
      <c r="D1617" s="159" t="s">
        <v>81</v>
      </c>
      <c r="E1617" s="157" t="s">
        <v>79</v>
      </c>
      <c r="F1617" s="157" t="s">
        <v>1264</v>
      </c>
      <c r="G1617" s="157" t="s">
        <v>1278</v>
      </c>
      <c r="H1617" s="157" t="s">
        <v>1518</v>
      </c>
      <c r="I1617" s="157" t="s">
        <v>1293</v>
      </c>
      <c r="J1617" s="157" t="s">
        <v>1519</v>
      </c>
      <c r="K1617" s="157" t="s">
        <v>1269</v>
      </c>
      <c r="L1617" s="157" t="s">
        <v>1691</v>
      </c>
      <c r="M1617" s="157" t="str">
        <f t="shared" si="35"/>
        <v>LCD - Rear View</v>
      </c>
      <c r="N1617" s="157"/>
      <c r="O1617" s="157"/>
      <c r="P1617" s="159" t="s">
        <v>5746</v>
      </c>
      <c r="Q1617" s="157"/>
      <c r="R1617" s="157"/>
      <c r="S1617" s="157"/>
      <c r="T1617" s="157"/>
      <c r="U1617" s="159" t="s">
        <v>2129</v>
      </c>
      <c r="V1617" s="159" t="s">
        <v>2138</v>
      </c>
      <c r="W1617" s="159" t="s">
        <v>2138</v>
      </c>
      <c r="X1617" s="160">
        <v>0.5</v>
      </c>
      <c r="Y1617" s="160">
        <v>0.5</v>
      </c>
      <c r="Z1617" s="160">
        <v>1</v>
      </c>
      <c r="AA1617" s="160">
        <v>1</v>
      </c>
    </row>
    <row r="1618" spans="1:27" ht="18" customHeight="1" x14ac:dyDescent="0.25">
      <c r="A1618" s="159">
        <v>4097</v>
      </c>
      <c r="B1618" s="157" t="s">
        <v>29</v>
      </c>
      <c r="C1618" s="157" t="s">
        <v>69</v>
      </c>
      <c r="D1618" s="159" t="s">
        <v>385</v>
      </c>
      <c r="E1618" s="157" t="s">
        <v>383</v>
      </c>
      <c r="F1618" s="157" t="s">
        <v>1298</v>
      </c>
      <c r="G1618" s="157" t="s">
        <v>1278</v>
      </c>
      <c r="H1618" s="157" t="s">
        <v>1294</v>
      </c>
      <c r="I1618" s="157" t="s">
        <v>1692</v>
      </c>
      <c r="J1618" s="157" t="s">
        <v>1693</v>
      </c>
      <c r="K1618" s="157" t="s">
        <v>1269</v>
      </c>
      <c r="L1618" s="157" t="s">
        <v>1694</v>
      </c>
      <c r="M1618" s="157" t="str">
        <f t="shared" si="35"/>
        <v>Solenoid - Steering Locking</v>
      </c>
      <c r="N1618" s="157"/>
      <c r="O1618" s="157"/>
      <c r="P1618" s="159" t="s">
        <v>6203</v>
      </c>
      <c r="Q1618" s="157" t="s">
        <v>2115</v>
      </c>
      <c r="R1618" s="157" t="s">
        <v>8460</v>
      </c>
      <c r="S1618" s="157" t="s">
        <v>8633</v>
      </c>
      <c r="T1618" s="157"/>
      <c r="U1618" s="159" t="s">
        <v>2129</v>
      </c>
      <c r="V1618" s="159" t="s">
        <v>2138</v>
      </c>
      <c r="W1618" s="159" t="s">
        <v>2138</v>
      </c>
      <c r="X1618" s="160">
        <v>1</v>
      </c>
      <c r="Y1618" s="160">
        <v>1</v>
      </c>
      <c r="Z1618" s="160">
        <v>1</v>
      </c>
      <c r="AA1618" s="160">
        <v>1</v>
      </c>
    </row>
    <row r="1619" spans="1:27" ht="18" customHeight="1" x14ac:dyDescent="0.25">
      <c r="A1619" s="159">
        <v>4099</v>
      </c>
      <c r="B1619" s="157" t="s">
        <v>256</v>
      </c>
      <c r="C1619" s="157" t="s">
        <v>532</v>
      </c>
      <c r="D1619" s="159" t="s">
        <v>1216</v>
      </c>
      <c r="E1619" s="157" t="s">
        <v>1214</v>
      </c>
      <c r="F1619" s="157"/>
      <c r="G1619" s="157" t="s">
        <v>1299</v>
      </c>
      <c r="H1619" s="157" t="s">
        <v>1326</v>
      </c>
      <c r="I1619" s="157" t="s">
        <v>1643</v>
      </c>
      <c r="J1619" s="157" t="s">
        <v>1695</v>
      </c>
      <c r="K1619" s="157" t="s">
        <v>1281</v>
      </c>
      <c r="L1619" s="157" t="s">
        <v>1644</v>
      </c>
      <c r="M1619" s="157" t="str">
        <f t="shared" si="35"/>
        <v>Signal Switch - User Selector - Electric Parking Brake</v>
      </c>
      <c r="N1619" s="157"/>
      <c r="O1619" s="157"/>
      <c r="P1619" s="159" t="s">
        <v>5849</v>
      </c>
      <c r="Q1619" s="157" t="s">
        <v>2115</v>
      </c>
      <c r="R1619" s="157" t="s">
        <v>8452</v>
      </c>
      <c r="S1619" s="157" t="s">
        <v>8605</v>
      </c>
      <c r="T1619" s="157"/>
      <c r="U1619" s="159" t="s">
        <v>2129</v>
      </c>
      <c r="V1619" s="159" t="s">
        <v>2138</v>
      </c>
      <c r="W1619" s="159" t="s">
        <v>2138</v>
      </c>
      <c r="X1619" s="160">
        <v>1</v>
      </c>
      <c r="Y1619" s="160">
        <v>1</v>
      </c>
      <c r="Z1619" s="160">
        <v>1</v>
      </c>
      <c r="AA1619" s="160">
        <v>1</v>
      </c>
    </row>
    <row r="1620" spans="1:27" ht="18" customHeight="1" x14ac:dyDescent="0.25">
      <c r="A1620" s="159">
        <v>4102</v>
      </c>
      <c r="B1620" s="157" t="s">
        <v>77</v>
      </c>
      <c r="C1620" s="157" t="s">
        <v>124</v>
      </c>
      <c r="D1620" s="159" t="s">
        <v>1033</v>
      </c>
      <c r="E1620" s="157" t="s">
        <v>1031</v>
      </c>
      <c r="F1620" s="157" t="s">
        <v>1264</v>
      </c>
      <c r="G1620" s="157" t="s">
        <v>1278</v>
      </c>
      <c r="H1620" s="157" t="s">
        <v>1283</v>
      </c>
      <c r="I1620" s="157" t="s">
        <v>1696</v>
      </c>
      <c r="J1620" s="157" t="s">
        <v>1697</v>
      </c>
      <c r="K1620" s="157" t="s">
        <v>1269</v>
      </c>
      <c r="L1620" s="157" t="s">
        <v>1286</v>
      </c>
      <c r="M1620" s="157" t="str">
        <f t="shared" si="35"/>
        <v>LED Lamp - Door Sill Illumination FR</v>
      </c>
      <c r="N1620" s="157"/>
      <c r="O1620" s="157"/>
      <c r="P1620" s="159" t="s">
        <v>3970</v>
      </c>
      <c r="Q1620" s="157" t="s">
        <v>2115</v>
      </c>
      <c r="R1620" s="157" t="s">
        <v>8436</v>
      </c>
      <c r="S1620" s="157" t="s">
        <v>8606</v>
      </c>
      <c r="T1620" s="157"/>
      <c r="U1620" s="159" t="s">
        <v>2129</v>
      </c>
      <c r="V1620" s="159" t="s">
        <v>2138</v>
      </c>
      <c r="W1620" s="159" t="s">
        <v>2138</v>
      </c>
      <c r="X1620" s="160">
        <v>0</v>
      </c>
      <c r="Y1620" s="160">
        <v>0</v>
      </c>
      <c r="Z1620" s="160">
        <v>0.05</v>
      </c>
      <c r="AA1620" s="160">
        <v>0.05</v>
      </c>
    </row>
    <row r="1621" spans="1:27" ht="18" customHeight="1" x14ac:dyDescent="0.25">
      <c r="A1621" s="159">
        <v>4103</v>
      </c>
      <c r="B1621" s="157" t="s">
        <v>77</v>
      </c>
      <c r="C1621" s="157" t="s">
        <v>124</v>
      </c>
      <c r="D1621" s="159" t="s">
        <v>1033</v>
      </c>
      <c r="E1621" s="157" t="s">
        <v>1031</v>
      </c>
      <c r="F1621" s="157" t="s">
        <v>1264</v>
      </c>
      <c r="G1621" s="157" t="s">
        <v>1278</v>
      </c>
      <c r="H1621" s="157" t="s">
        <v>1283</v>
      </c>
      <c r="I1621" s="157" t="s">
        <v>1698</v>
      </c>
      <c r="J1621" s="157" t="s">
        <v>1697</v>
      </c>
      <c r="K1621" s="157" t="s">
        <v>1269</v>
      </c>
      <c r="L1621" s="157" t="s">
        <v>1286</v>
      </c>
      <c r="M1621" s="157" t="str">
        <f t="shared" si="35"/>
        <v>LED Lamp - Door Sill Illumination FL</v>
      </c>
      <c r="N1621" s="157"/>
      <c r="O1621" s="157"/>
      <c r="P1621" s="159" t="s">
        <v>7685</v>
      </c>
      <c r="Q1621" s="157" t="s">
        <v>2115</v>
      </c>
      <c r="R1621" s="157" t="s">
        <v>8436</v>
      </c>
      <c r="S1621" s="157" t="s">
        <v>8606</v>
      </c>
      <c r="T1621" s="157"/>
      <c r="U1621" s="159" t="s">
        <v>2129</v>
      </c>
      <c r="V1621" s="159" t="s">
        <v>2138</v>
      </c>
      <c r="W1621" s="159" t="s">
        <v>2138</v>
      </c>
      <c r="X1621" s="160">
        <v>0</v>
      </c>
      <c r="Y1621" s="160">
        <v>0</v>
      </c>
      <c r="Z1621" s="160">
        <v>0.05</v>
      </c>
      <c r="AA1621" s="160">
        <v>0.05</v>
      </c>
    </row>
    <row r="1622" spans="1:27" ht="18" customHeight="1" x14ac:dyDescent="0.25">
      <c r="A1622" s="159">
        <v>4104</v>
      </c>
      <c r="B1622" s="157" t="s">
        <v>77</v>
      </c>
      <c r="C1622" s="157" t="s">
        <v>124</v>
      </c>
      <c r="D1622" s="159" t="s">
        <v>1033</v>
      </c>
      <c r="E1622" s="157" t="s">
        <v>1031</v>
      </c>
      <c r="F1622" s="157" t="s">
        <v>1264</v>
      </c>
      <c r="G1622" s="157" t="s">
        <v>1278</v>
      </c>
      <c r="H1622" s="157" t="s">
        <v>1283</v>
      </c>
      <c r="I1622" s="157" t="s">
        <v>1699</v>
      </c>
      <c r="J1622" s="157" t="s">
        <v>1697</v>
      </c>
      <c r="K1622" s="157" t="s">
        <v>1269</v>
      </c>
      <c r="L1622" s="157" t="s">
        <v>1286</v>
      </c>
      <c r="M1622" s="157" t="str">
        <f t="shared" si="35"/>
        <v>LED Lamp - Door Sill Illumination RL</v>
      </c>
      <c r="N1622" s="157"/>
      <c r="O1622" s="157"/>
      <c r="P1622" s="159" t="s">
        <v>7713</v>
      </c>
      <c r="Q1622" s="157" t="s">
        <v>2115</v>
      </c>
      <c r="R1622" s="157" t="s">
        <v>8436</v>
      </c>
      <c r="S1622" s="157" t="s">
        <v>8606</v>
      </c>
      <c r="T1622" s="157"/>
      <c r="U1622" s="159" t="s">
        <v>2129</v>
      </c>
      <c r="V1622" s="159" t="s">
        <v>2129</v>
      </c>
      <c r="W1622" s="159" t="s">
        <v>2138</v>
      </c>
      <c r="X1622" s="160">
        <v>0</v>
      </c>
      <c r="Y1622" s="160">
        <v>0</v>
      </c>
      <c r="Z1622" s="160">
        <v>0.05</v>
      </c>
      <c r="AA1622" s="160">
        <v>0.05</v>
      </c>
    </row>
    <row r="1623" spans="1:27" ht="18" customHeight="1" x14ac:dyDescent="0.25">
      <c r="A1623" s="159">
        <v>4105</v>
      </c>
      <c r="B1623" s="157" t="s">
        <v>77</v>
      </c>
      <c r="C1623" s="157" t="s">
        <v>124</v>
      </c>
      <c r="D1623" s="159" t="s">
        <v>1033</v>
      </c>
      <c r="E1623" s="157" t="s">
        <v>1031</v>
      </c>
      <c r="F1623" s="157" t="s">
        <v>1264</v>
      </c>
      <c r="G1623" s="157" t="s">
        <v>1278</v>
      </c>
      <c r="H1623" s="157" t="s">
        <v>1283</v>
      </c>
      <c r="I1623" s="157" t="s">
        <v>1700</v>
      </c>
      <c r="J1623" s="157" t="s">
        <v>1697</v>
      </c>
      <c r="K1623" s="157" t="s">
        <v>1269</v>
      </c>
      <c r="L1623" s="157" t="s">
        <v>1286</v>
      </c>
      <c r="M1623" s="157" t="str">
        <f t="shared" si="35"/>
        <v>LED Lamp - Door Sill Illumination RR</v>
      </c>
      <c r="N1623" s="157"/>
      <c r="O1623" s="157"/>
      <c r="P1623" s="159" t="s">
        <v>3998</v>
      </c>
      <c r="Q1623" s="157" t="s">
        <v>2115</v>
      </c>
      <c r="R1623" s="157" t="s">
        <v>8436</v>
      </c>
      <c r="S1623" s="157" t="s">
        <v>8606</v>
      </c>
      <c r="T1623" s="157"/>
      <c r="U1623" s="159" t="s">
        <v>2129</v>
      </c>
      <c r="V1623" s="159" t="s">
        <v>2129</v>
      </c>
      <c r="W1623" s="159" t="s">
        <v>2138</v>
      </c>
      <c r="X1623" s="160">
        <v>0</v>
      </c>
      <c r="Y1623" s="160">
        <v>0</v>
      </c>
      <c r="Z1623" s="160">
        <v>0.05</v>
      </c>
      <c r="AA1623" s="160">
        <v>0.05</v>
      </c>
    </row>
    <row r="1624" spans="1:27" ht="18" customHeight="1" x14ac:dyDescent="0.25">
      <c r="A1624" s="159">
        <v>4109</v>
      </c>
      <c r="B1624" s="157" t="s">
        <v>57</v>
      </c>
      <c r="C1624" s="157" t="s">
        <v>58</v>
      </c>
      <c r="D1624" s="159" t="s">
        <v>2090</v>
      </c>
      <c r="E1624" s="157" t="s">
        <v>1677</v>
      </c>
      <c r="F1624" s="157"/>
      <c r="G1624" s="157" t="s">
        <v>1278</v>
      </c>
      <c r="H1624" s="157" t="s">
        <v>1677</v>
      </c>
      <c r="I1624" s="157" t="s">
        <v>1701</v>
      </c>
      <c r="J1624" s="157" t="s">
        <v>1649</v>
      </c>
      <c r="K1624" s="157" t="s">
        <v>1409</v>
      </c>
      <c r="L1624" s="157" t="s">
        <v>8549</v>
      </c>
      <c r="M1624" s="157" t="str">
        <f t="shared" si="35"/>
        <v>Parking Heater Antenna - Command Receiving</v>
      </c>
      <c r="N1624" s="157"/>
      <c r="O1624" s="157"/>
      <c r="P1624" s="159" t="s">
        <v>5789</v>
      </c>
      <c r="Q1624" s="157" t="s">
        <v>2115</v>
      </c>
      <c r="R1624" s="157" t="s">
        <v>8239</v>
      </c>
      <c r="S1624" s="157" t="s">
        <v>8604</v>
      </c>
      <c r="T1624" s="157"/>
      <c r="U1624" s="159" t="s">
        <v>2129</v>
      </c>
      <c r="V1624" s="159" t="s">
        <v>2129</v>
      </c>
      <c r="W1624" s="159" t="s">
        <v>2138</v>
      </c>
      <c r="X1624" s="160">
        <v>1</v>
      </c>
      <c r="Y1624" s="160">
        <v>1</v>
      </c>
      <c r="Z1624" s="160">
        <v>1</v>
      </c>
      <c r="AA1624" s="160">
        <v>1</v>
      </c>
    </row>
    <row r="1625" spans="1:27" ht="18" customHeight="1" x14ac:dyDescent="0.25">
      <c r="A1625" s="159">
        <v>4118</v>
      </c>
      <c r="B1625" s="157" t="s">
        <v>63</v>
      </c>
      <c r="C1625" s="157" t="s">
        <v>162</v>
      </c>
      <c r="D1625" s="159" t="s">
        <v>2133</v>
      </c>
      <c r="E1625" s="157" t="s">
        <v>2131</v>
      </c>
      <c r="F1625" s="157" t="s">
        <v>1264</v>
      </c>
      <c r="G1625" s="157" t="s">
        <v>1536</v>
      </c>
      <c r="H1625" s="157" t="s">
        <v>1360</v>
      </c>
      <c r="I1625" s="157" t="s">
        <v>1478</v>
      </c>
      <c r="J1625" s="157" t="s">
        <v>1285</v>
      </c>
      <c r="K1625" s="157" t="s">
        <v>1269</v>
      </c>
      <c r="L1625" s="157" t="s">
        <v>1702</v>
      </c>
      <c r="M1625" s="157" t="str">
        <f t="shared" si="35"/>
        <v>High Tone Horn - Warning</v>
      </c>
      <c r="N1625" s="157"/>
      <c r="O1625" s="157"/>
      <c r="P1625" s="159" t="s">
        <v>3451</v>
      </c>
      <c r="Q1625" s="157" t="s">
        <v>2115</v>
      </c>
      <c r="R1625" s="157" t="s">
        <v>2130</v>
      </c>
      <c r="S1625" s="157" t="s">
        <v>8609</v>
      </c>
      <c r="T1625" s="157" t="s">
        <v>2129</v>
      </c>
      <c r="U1625" s="159" t="s">
        <v>2138</v>
      </c>
      <c r="V1625" s="159" t="s">
        <v>2129</v>
      </c>
      <c r="W1625" s="159" t="s">
        <v>2129</v>
      </c>
      <c r="X1625" s="160">
        <f>4*2/(20*60)</f>
        <v>6.6666666666666671E-3</v>
      </c>
      <c r="Y1625" s="160">
        <v>0</v>
      </c>
      <c r="Z1625" s="160">
        <f>4*2/(20*60)</f>
        <v>6.6666666666666671E-3</v>
      </c>
      <c r="AA1625" s="160">
        <v>0</v>
      </c>
    </row>
    <row r="1626" spans="1:27" ht="18" customHeight="1" x14ac:dyDescent="0.25">
      <c r="A1626" s="159">
        <v>4119</v>
      </c>
      <c r="B1626" s="157" t="s">
        <v>63</v>
      </c>
      <c r="C1626" s="157" t="s">
        <v>162</v>
      </c>
      <c r="D1626" s="159" t="s">
        <v>165</v>
      </c>
      <c r="E1626" s="157" t="s">
        <v>163</v>
      </c>
      <c r="F1626" s="157" t="s">
        <v>1264</v>
      </c>
      <c r="G1626" s="157" t="s">
        <v>1536</v>
      </c>
      <c r="H1626" s="157" t="s">
        <v>1360</v>
      </c>
      <c r="I1626" s="157" t="s">
        <v>1478</v>
      </c>
      <c r="J1626" s="157" t="s">
        <v>1285</v>
      </c>
      <c r="K1626" s="157" t="s">
        <v>1269</v>
      </c>
      <c r="L1626" s="157" t="s">
        <v>1702</v>
      </c>
      <c r="M1626" s="157" t="str">
        <f t="shared" si="35"/>
        <v>High Tone Horn - Warning</v>
      </c>
      <c r="N1626" s="157"/>
      <c r="O1626" s="157"/>
      <c r="P1626" s="159" t="s">
        <v>3451</v>
      </c>
      <c r="Q1626" s="157" t="s">
        <v>2115</v>
      </c>
      <c r="R1626" s="157" t="s">
        <v>2130</v>
      </c>
      <c r="S1626" s="157" t="s">
        <v>8609</v>
      </c>
      <c r="T1626" s="157" t="s">
        <v>2129</v>
      </c>
      <c r="U1626" s="159" t="s">
        <v>2129</v>
      </c>
      <c r="V1626" s="159" t="s">
        <v>2138</v>
      </c>
      <c r="W1626" s="159" t="s">
        <v>2138</v>
      </c>
      <c r="X1626" s="160">
        <f>4*2/(20*60)</f>
        <v>6.6666666666666671E-3</v>
      </c>
      <c r="Y1626" s="160">
        <v>0</v>
      </c>
      <c r="Z1626" s="160">
        <f>4*2/(20*60)</f>
        <v>6.6666666666666671E-3</v>
      </c>
      <c r="AA1626" s="160">
        <v>0</v>
      </c>
    </row>
    <row r="1627" spans="1:27" ht="18" customHeight="1" x14ac:dyDescent="0.25">
      <c r="A1627" s="159">
        <v>4120</v>
      </c>
      <c r="B1627" s="157" t="s">
        <v>251</v>
      </c>
      <c r="C1627" s="157" t="s">
        <v>311</v>
      </c>
      <c r="D1627" s="159" t="s">
        <v>980</v>
      </c>
      <c r="E1627" s="157" t="s">
        <v>978</v>
      </c>
      <c r="F1627" s="157"/>
      <c r="G1627" s="157" t="s">
        <v>1321</v>
      </c>
      <c r="H1627" s="157" t="s">
        <v>1648</v>
      </c>
      <c r="I1627" s="157" t="s">
        <v>1331</v>
      </c>
      <c r="J1627" s="157"/>
      <c r="K1627" s="157" t="s">
        <v>1312</v>
      </c>
      <c r="L1627" s="157" t="s">
        <v>1332</v>
      </c>
      <c r="M1627" s="157" t="str">
        <f t="shared" si="35"/>
        <v>Accelerator Pedal - Vehicle Acceleration and Deceleration</v>
      </c>
      <c r="N1627" s="157"/>
      <c r="O1627" s="157"/>
      <c r="P1627" s="159" t="s">
        <v>6293</v>
      </c>
      <c r="Q1627" s="157" t="s">
        <v>2115</v>
      </c>
      <c r="R1627" s="157" t="s">
        <v>2126</v>
      </c>
      <c r="S1627" s="157" t="s">
        <v>8564</v>
      </c>
      <c r="T1627" s="157"/>
      <c r="U1627" s="159" t="s">
        <v>2138</v>
      </c>
      <c r="V1627" s="159" t="s">
        <v>2138</v>
      </c>
      <c r="W1627" s="159" t="s">
        <v>2138</v>
      </c>
      <c r="X1627" s="160">
        <v>1</v>
      </c>
      <c r="Y1627" s="160">
        <v>1</v>
      </c>
      <c r="Z1627" s="160">
        <v>1</v>
      </c>
      <c r="AA1627" s="160">
        <v>1</v>
      </c>
    </row>
    <row r="1628" spans="1:27" ht="18" customHeight="1" x14ac:dyDescent="0.25">
      <c r="A1628" s="159">
        <v>4121</v>
      </c>
      <c r="B1628" s="157" t="s">
        <v>63</v>
      </c>
      <c r="C1628" s="157" t="s">
        <v>162</v>
      </c>
      <c r="D1628" s="159" t="s">
        <v>165</v>
      </c>
      <c r="E1628" s="157" t="s">
        <v>163</v>
      </c>
      <c r="F1628" s="157" t="s">
        <v>1264</v>
      </c>
      <c r="G1628" s="157" t="s">
        <v>1536</v>
      </c>
      <c r="H1628" s="157" t="s">
        <v>1360</v>
      </c>
      <c r="I1628" s="157" t="s">
        <v>1478</v>
      </c>
      <c r="J1628" s="157" t="s">
        <v>1285</v>
      </c>
      <c r="K1628" s="157" t="s">
        <v>1269</v>
      </c>
      <c r="L1628" s="157" t="s">
        <v>1703</v>
      </c>
      <c r="M1628" s="157" t="str">
        <f t="shared" si="35"/>
        <v>Low Tone Horn - Warning</v>
      </c>
      <c r="N1628" s="157"/>
      <c r="O1628" s="157"/>
      <c r="P1628" s="159" t="s">
        <v>3427</v>
      </c>
      <c r="Q1628" s="157" t="s">
        <v>2115</v>
      </c>
      <c r="R1628" s="157" t="s">
        <v>2130</v>
      </c>
      <c r="S1628" s="157" t="s">
        <v>8609</v>
      </c>
      <c r="T1628" s="157" t="s">
        <v>2129</v>
      </c>
      <c r="U1628" s="159" t="s">
        <v>2129</v>
      </c>
      <c r="V1628" s="159" t="s">
        <v>2138</v>
      </c>
      <c r="W1628" s="159" t="s">
        <v>2138</v>
      </c>
      <c r="X1628" s="160">
        <f>4*2/(20*60)</f>
        <v>6.6666666666666671E-3</v>
      </c>
      <c r="Y1628" s="160">
        <v>0</v>
      </c>
      <c r="Z1628" s="160">
        <f>4*2/(20*60)</f>
        <v>6.6666666666666671E-3</v>
      </c>
      <c r="AA1628" s="160">
        <v>0</v>
      </c>
    </row>
    <row r="1629" spans="1:27" ht="18" customHeight="1" x14ac:dyDescent="0.25">
      <c r="A1629" s="159">
        <v>4126</v>
      </c>
      <c r="B1629" s="157" t="s">
        <v>318</v>
      </c>
      <c r="C1629" s="157" t="s">
        <v>882</v>
      </c>
      <c r="D1629" s="159" t="s">
        <v>885</v>
      </c>
      <c r="E1629" s="157" t="s">
        <v>883</v>
      </c>
      <c r="F1629" s="157"/>
      <c r="G1629" s="157" t="s">
        <v>13</v>
      </c>
      <c r="H1629" s="157" t="s">
        <v>1354</v>
      </c>
      <c r="I1629" s="157" t="s">
        <v>8308</v>
      </c>
      <c r="J1629" s="157" t="s">
        <v>1285</v>
      </c>
      <c r="K1629" s="157" t="s">
        <v>1329</v>
      </c>
      <c r="L1629" s="157" t="s">
        <v>8307</v>
      </c>
      <c r="M1629" s="157" t="str">
        <f t="shared" si="35"/>
        <v>Diagnostic Interface for Databus - Service and Maintenance</v>
      </c>
      <c r="N1629" s="157"/>
      <c r="O1629" s="157"/>
      <c r="P1629" s="159"/>
      <c r="Q1629" s="157"/>
      <c r="R1629" s="157"/>
      <c r="S1629" s="157"/>
      <c r="T1629" s="157"/>
      <c r="U1629" s="159"/>
      <c r="V1629" s="159"/>
      <c r="W1629" s="159"/>
      <c r="X1629" s="160">
        <v>1</v>
      </c>
      <c r="Y1629" s="160">
        <v>1</v>
      </c>
      <c r="Z1629" s="160">
        <v>1</v>
      </c>
      <c r="AA1629" s="160">
        <v>1</v>
      </c>
    </row>
    <row r="1630" spans="1:27" ht="18" customHeight="1" x14ac:dyDescent="0.25">
      <c r="A1630" s="159">
        <v>4129</v>
      </c>
      <c r="B1630" s="157" t="s">
        <v>29</v>
      </c>
      <c r="C1630" s="157" t="s">
        <v>82</v>
      </c>
      <c r="D1630" s="159" t="s">
        <v>86</v>
      </c>
      <c r="E1630" s="157" t="s">
        <v>777</v>
      </c>
      <c r="F1630" s="157" t="s">
        <v>1264</v>
      </c>
      <c r="G1630" s="157" t="s">
        <v>1278</v>
      </c>
      <c r="H1630" s="157" t="s">
        <v>1294</v>
      </c>
      <c r="I1630" s="157" t="s">
        <v>9581</v>
      </c>
      <c r="J1630" s="157" t="s">
        <v>1296</v>
      </c>
      <c r="K1630" s="157" t="s">
        <v>1281</v>
      </c>
      <c r="L1630" s="157" t="s">
        <v>8309</v>
      </c>
      <c r="M1630" s="157" t="str">
        <f t="shared" si="35"/>
        <v>Tailgate Lock Cylinder Unlocking Button - Tailgate Open</v>
      </c>
      <c r="N1630" s="157"/>
      <c r="O1630" s="157"/>
      <c r="P1630" s="159" t="s">
        <v>5818</v>
      </c>
      <c r="Q1630" s="157"/>
      <c r="R1630" s="157"/>
      <c r="S1630" s="157"/>
      <c r="T1630" s="157"/>
      <c r="U1630" s="159" t="s">
        <v>2129</v>
      </c>
      <c r="V1630" s="159" t="s">
        <v>2138</v>
      </c>
      <c r="W1630" s="159" t="s">
        <v>2138</v>
      </c>
      <c r="X1630" s="160">
        <f>2/(20*60)</f>
        <v>1.6666666666666668E-3</v>
      </c>
      <c r="Y1630" s="160">
        <f>2/(20*60)</f>
        <v>1.6666666666666668E-3</v>
      </c>
      <c r="Z1630" s="160">
        <f>2/(20*60)</f>
        <v>1.6666666666666668E-3</v>
      </c>
      <c r="AA1630" s="160">
        <f>2/(20*60)</f>
        <v>1.6666666666666668E-3</v>
      </c>
    </row>
    <row r="1631" spans="1:27" ht="18" customHeight="1" x14ac:dyDescent="0.25">
      <c r="A1631" s="159">
        <v>4130</v>
      </c>
      <c r="B1631" s="157" t="s">
        <v>77</v>
      </c>
      <c r="C1631" s="157" t="s">
        <v>345</v>
      </c>
      <c r="D1631" s="159" t="s">
        <v>348</v>
      </c>
      <c r="E1631" s="157" t="s">
        <v>346</v>
      </c>
      <c r="F1631" s="157" t="s">
        <v>1264</v>
      </c>
      <c r="G1631" s="157" t="s">
        <v>1278</v>
      </c>
      <c r="H1631" s="157" t="s">
        <v>1704</v>
      </c>
      <c r="I1631" s="157" t="s">
        <v>1705</v>
      </c>
      <c r="J1631" s="157" t="s">
        <v>1706</v>
      </c>
      <c r="K1631" s="157" t="s">
        <v>1409</v>
      </c>
      <c r="L1631" s="157" t="s">
        <v>8550</v>
      </c>
      <c r="M1631" s="157" t="str">
        <f t="shared" si="35"/>
        <v>Garage Opener Intern Antenna - Command Emmiting</v>
      </c>
      <c r="N1631" s="157"/>
      <c r="O1631" s="157"/>
      <c r="P1631" s="159" t="s">
        <v>5788</v>
      </c>
      <c r="Q1631" s="157" t="s">
        <v>2115</v>
      </c>
      <c r="R1631" s="157" t="s">
        <v>8239</v>
      </c>
      <c r="S1631" s="157" t="s">
        <v>8604</v>
      </c>
      <c r="T1631" s="157"/>
      <c r="U1631" s="159" t="s">
        <v>2129</v>
      </c>
      <c r="V1631" s="159" t="s">
        <v>2129</v>
      </c>
      <c r="W1631" s="159" t="s">
        <v>2138</v>
      </c>
      <c r="X1631" s="160">
        <v>1</v>
      </c>
      <c r="Y1631" s="160">
        <v>1</v>
      </c>
      <c r="Z1631" s="160">
        <v>1</v>
      </c>
      <c r="AA1631" s="160">
        <v>1</v>
      </c>
    </row>
    <row r="1632" spans="1:27" ht="18" customHeight="1" x14ac:dyDescent="0.25">
      <c r="A1632" s="159">
        <v>4131</v>
      </c>
      <c r="B1632" s="157" t="s">
        <v>22</v>
      </c>
      <c r="C1632" s="157" t="s">
        <v>132</v>
      </c>
      <c r="D1632" s="159" t="s">
        <v>913</v>
      </c>
      <c r="E1632" s="157" t="s">
        <v>911</v>
      </c>
      <c r="F1632" s="157" t="s">
        <v>1264</v>
      </c>
      <c r="G1632" s="157" t="s">
        <v>1299</v>
      </c>
      <c r="H1632" s="157" t="s">
        <v>1300</v>
      </c>
      <c r="I1632" s="157" t="s">
        <v>1311</v>
      </c>
      <c r="J1632" s="157" t="s">
        <v>1285</v>
      </c>
      <c r="K1632" s="157" t="s">
        <v>1312</v>
      </c>
      <c r="L1632" s="157" t="s">
        <v>1313</v>
      </c>
      <c r="M1632" s="157" t="str">
        <f t="shared" si="35"/>
        <v>Seat Belt Sensor 1st Row R - Seat Belt</v>
      </c>
      <c r="N1632" s="157"/>
      <c r="O1632" s="157"/>
      <c r="P1632" s="159" t="s">
        <v>5673</v>
      </c>
      <c r="Q1632" s="157" t="s">
        <v>2115</v>
      </c>
      <c r="R1632" s="157" t="s">
        <v>2142</v>
      </c>
      <c r="S1632" s="157" t="s">
        <v>8608</v>
      </c>
      <c r="T1632" s="157" t="s">
        <v>2129</v>
      </c>
      <c r="U1632" s="159" t="s">
        <v>2138</v>
      </c>
      <c r="V1632" s="159" t="s">
        <v>2138</v>
      </c>
      <c r="W1632" s="159" t="s">
        <v>2138</v>
      </c>
      <c r="X1632" s="160">
        <v>1</v>
      </c>
      <c r="Y1632" s="160">
        <v>1</v>
      </c>
      <c r="Z1632" s="160">
        <v>1</v>
      </c>
      <c r="AA1632" s="160">
        <v>1</v>
      </c>
    </row>
    <row r="1633" spans="1:27" ht="18" customHeight="1" x14ac:dyDescent="0.25">
      <c r="A1633" s="159">
        <v>4132</v>
      </c>
      <c r="B1633" s="157" t="s">
        <v>22</v>
      </c>
      <c r="C1633" s="157" t="s">
        <v>132</v>
      </c>
      <c r="D1633" s="159" t="s">
        <v>217</v>
      </c>
      <c r="E1633" s="157" t="s">
        <v>215</v>
      </c>
      <c r="F1633" s="157" t="s">
        <v>1264</v>
      </c>
      <c r="G1633" s="157" t="s">
        <v>1299</v>
      </c>
      <c r="H1633" s="157" t="s">
        <v>1300</v>
      </c>
      <c r="I1633" s="157" t="s">
        <v>1311</v>
      </c>
      <c r="J1633" s="157" t="s">
        <v>1285</v>
      </c>
      <c r="K1633" s="157" t="s">
        <v>1312</v>
      </c>
      <c r="L1633" s="157" t="s">
        <v>1486</v>
      </c>
      <c r="M1633" s="157" t="str">
        <f t="shared" si="35"/>
        <v>Seat Belt Sensor 1st Row L - Seat Belt</v>
      </c>
      <c r="N1633" s="157"/>
      <c r="O1633" s="157"/>
      <c r="P1633" s="159" t="s">
        <v>5859</v>
      </c>
      <c r="Q1633" s="157" t="s">
        <v>2115</v>
      </c>
      <c r="R1633" s="157" t="s">
        <v>2143</v>
      </c>
      <c r="S1633" s="157" t="s">
        <v>8606</v>
      </c>
      <c r="T1633" s="157" t="s">
        <v>2129</v>
      </c>
      <c r="U1633" s="159" t="s">
        <v>2129</v>
      </c>
      <c r="V1633" s="159" t="s">
        <v>2129</v>
      </c>
      <c r="W1633" s="159" t="s">
        <v>2138</v>
      </c>
      <c r="X1633" s="160">
        <v>1</v>
      </c>
      <c r="Y1633" s="160">
        <v>1</v>
      </c>
      <c r="Z1633" s="160">
        <v>1</v>
      </c>
      <c r="AA1633" s="160">
        <v>1</v>
      </c>
    </row>
    <row r="1634" spans="1:27" ht="18" customHeight="1" x14ac:dyDescent="0.25">
      <c r="A1634" s="159">
        <v>4133</v>
      </c>
      <c r="B1634" s="157" t="s">
        <v>22</v>
      </c>
      <c r="C1634" s="157" t="s">
        <v>132</v>
      </c>
      <c r="D1634" s="159" t="s">
        <v>142</v>
      </c>
      <c r="E1634" s="157" t="s">
        <v>140</v>
      </c>
      <c r="F1634" s="157" t="s">
        <v>1298</v>
      </c>
      <c r="G1634" s="157" t="s">
        <v>1299</v>
      </c>
      <c r="H1634" s="157" t="s">
        <v>1300</v>
      </c>
      <c r="I1634" s="157" t="s">
        <v>1335</v>
      </c>
      <c r="J1634" s="157" t="s">
        <v>1285</v>
      </c>
      <c r="K1634" s="157" t="s">
        <v>1302</v>
      </c>
      <c r="L1634" s="157" t="s">
        <v>1707</v>
      </c>
      <c r="M1634" s="157" t="str">
        <f t="shared" si="35"/>
        <v>Retractor 1st Row R - Retractor</v>
      </c>
      <c r="N1634" s="157"/>
      <c r="O1634" s="157"/>
      <c r="P1634" s="159" t="s">
        <v>3995</v>
      </c>
      <c r="Q1634" s="157"/>
      <c r="R1634" s="157"/>
      <c r="S1634" s="157"/>
      <c r="T1634" s="157"/>
      <c r="U1634" s="159" t="s">
        <v>2138</v>
      </c>
      <c r="V1634" s="159" t="s">
        <v>2138</v>
      </c>
      <c r="W1634" s="159" t="s">
        <v>2138</v>
      </c>
      <c r="X1634" s="160">
        <v>0</v>
      </c>
      <c r="Y1634" s="160">
        <v>0</v>
      </c>
      <c r="Z1634" s="160">
        <v>0</v>
      </c>
      <c r="AA1634" s="160">
        <v>0</v>
      </c>
    </row>
    <row r="1635" spans="1:27" ht="18" customHeight="1" x14ac:dyDescent="0.25">
      <c r="A1635" s="159">
        <v>4135</v>
      </c>
      <c r="B1635" s="157" t="s">
        <v>22</v>
      </c>
      <c r="C1635" s="157" t="s">
        <v>132</v>
      </c>
      <c r="D1635" s="159" t="s">
        <v>142</v>
      </c>
      <c r="E1635" s="157" t="s">
        <v>140</v>
      </c>
      <c r="F1635" s="157" t="s">
        <v>1298</v>
      </c>
      <c r="G1635" s="157" t="s">
        <v>1299</v>
      </c>
      <c r="H1635" s="157" t="s">
        <v>1300</v>
      </c>
      <c r="I1635" s="157" t="s">
        <v>1335</v>
      </c>
      <c r="J1635" s="157" t="s">
        <v>1285</v>
      </c>
      <c r="K1635" s="157" t="s">
        <v>1302</v>
      </c>
      <c r="L1635" s="157" t="s">
        <v>1708</v>
      </c>
      <c r="M1635" s="157" t="str">
        <f t="shared" si="35"/>
        <v>Retractor 1st Row L - Retractor</v>
      </c>
      <c r="N1635" s="157"/>
      <c r="O1635" s="157"/>
      <c r="P1635" s="159" t="s">
        <v>7710</v>
      </c>
      <c r="Q1635" s="157"/>
      <c r="R1635" s="157"/>
      <c r="S1635" s="157"/>
      <c r="T1635" s="157"/>
      <c r="U1635" s="159" t="s">
        <v>2138</v>
      </c>
      <c r="V1635" s="159" t="s">
        <v>2138</v>
      </c>
      <c r="W1635" s="159" t="s">
        <v>2138</v>
      </c>
      <c r="X1635" s="160">
        <v>0</v>
      </c>
      <c r="Y1635" s="160">
        <v>0</v>
      </c>
      <c r="Z1635" s="160">
        <v>0</v>
      </c>
      <c r="AA1635" s="160">
        <v>0</v>
      </c>
    </row>
    <row r="1636" spans="1:27" ht="18" customHeight="1" x14ac:dyDescent="0.25">
      <c r="A1636" s="159">
        <v>4139</v>
      </c>
      <c r="B1636" s="157" t="s">
        <v>280</v>
      </c>
      <c r="C1636" s="157" t="s">
        <v>505</v>
      </c>
      <c r="D1636" s="159" t="s">
        <v>508</v>
      </c>
      <c r="E1636" s="157" t="s">
        <v>506</v>
      </c>
      <c r="F1636" s="157"/>
      <c r="G1636" s="157" t="s">
        <v>1265</v>
      </c>
      <c r="H1636" s="157" t="s">
        <v>1271</v>
      </c>
      <c r="I1636" s="157" t="s">
        <v>1267</v>
      </c>
      <c r="J1636" s="157" t="s">
        <v>1276</v>
      </c>
      <c r="K1636" s="157" t="s">
        <v>1269</v>
      </c>
      <c r="L1636" s="157" t="s">
        <v>8310</v>
      </c>
      <c r="M1636" s="157" t="str">
        <f t="shared" si="35"/>
        <v>Charger for Mobile Devices - Personal Device Charging and Connecting</v>
      </c>
      <c r="N1636" s="157"/>
      <c r="O1636" s="157"/>
      <c r="P1636" s="159" t="s">
        <v>5742</v>
      </c>
      <c r="Q1636" s="157"/>
      <c r="R1636" s="157"/>
      <c r="S1636" s="157"/>
      <c r="T1636" s="157"/>
      <c r="U1636" s="159" t="s">
        <v>2129</v>
      </c>
      <c r="V1636" s="159" t="s">
        <v>2129</v>
      </c>
      <c r="W1636" s="159" t="s">
        <v>2129</v>
      </c>
      <c r="X1636" s="160">
        <v>1</v>
      </c>
      <c r="Y1636" s="160">
        <v>1</v>
      </c>
      <c r="Z1636" s="160">
        <v>1</v>
      </c>
      <c r="AA1636" s="160">
        <v>1</v>
      </c>
    </row>
    <row r="1637" spans="1:27" ht="18" customHeight="1" x14ac:dyDescent="0.25">
      <c r="A1637" s="159">
        <v>4139</v>
      </c>
      <c r="B1637" s="157" t="s">
        <v>280</v>
      </c>
      <c r="C1637" s="157" t="s">
        <v>505</v>
      </c>
      <c r="D1637" s="159" t="s">
        <v>713</v>
      </c>
      <c r="E1637" s="157" t="s">
        <v>711</v>
      </c>
      <c r="F1637" s="157"/>
      <c r="G1637" s="157" t="s">
        <v>1265</v>
      </c>
      <c r="H1637" s="157" t="s">
        <v>1271</v>
      </c>
      <c r="I1637" s="157" t="s">
        <v>1267</v>
      </c>
      <c r="J1637" s="157" t="s">
        <v>1276</v>
      </c>
      <c r="K1637" s="157" t="s">
        <v>1269</v>
      </c>
      <c r="L1637" s="157" t="s">
        <v>8310</v>
      </c>
      <c r="M1637" s="157" t="str">
        <f t="shared" si="35"/>
        <v>Charger for Mobile Devices - Personal Device Charging and Connecting</v>
      </c>
      <c r="N1637" s="157"/>
      <c r="O1637" s="157"/>
      <c r="P1637" s="159" t="s">
        <v>5742</v>
      </c>
      <c r="Q1637" s="157"/>
      <c r="R1637" s="157"/>
      <c r="S1637" s="157"/>
      <c r="T1637" s="157"/>
      <c r="U1637" s="159" t="s">
        <v>2129</v>
      </c>
      <c r="V1637" s="159" t="s">
        <v>2129</v>
      </c>
      <c r="W1637" s="159" t="s">
        <v>2129</v>
      </c>
      <c r="X1637" s="160">
        <v>1</v>
      </c>
      <c r="Y1637" s="160">
        <v>1</v>
      </c>
      <c r="Z1637" s="160">
        <v>1</v>
      </c>
      <c r="AA1637" s="160">
        <v>1</v>
      </c>
    </row>
    <row r="1638" spans="1:27" ht="18" customHeight="1" x14ac:dyDescent="0.25">
      <c r="A1638" s="159">
        <v>4141</v>
      </c>
      <c r="B1638" s="157" t="s">
        <v>29</v>
      </c>
      <c r="C1638" s="157" t="s">
        <v>30</v>
      </c>
      <c r="D1638" s="159" t="s">
        <v>33</v>
      </c>
      <c r="E1638" s="157" t="s">
        <v>31</v>
      </c>
      <c r="F1638" s="157" t="s">
        <v>1275</v>
      </c>
      <c r="G1638" s="157" t="s">
        <v>1536</v>
      </c>
      <c r="H1638" s="157" t="s">
        <v>1287</v>
      </c>
      <c r="I1638" s="157" t="s">
        <v>1339</v>
      </c>
      <c r="J1638" s="157" t="s">
        <v>2099</v>
      </c>
      <c r="K1638" s="157" t="s">
        <v>1269</v>
      </c>
      <c r="L1638" s="157" t="s">
        <v>8481</v>
      </c>
      <c r="M1638" s="157" t="str">
        <f t="shared" si="35"/>
        <v>Taillamp Assy' LED Dynamic Blinker Left - Tailgate - Rear Lamps L</v>
      </c>
      <c r="N1638" s="157"/>
      <c r="O1638" s="157"/>
      <c r="P1638" s="159" t="s">
        <v>6953</v>
      </c>
      <c r="Q1638" s="157"/>
      <c r="R1638" s="157"/>
      <c r="S1638" s="157"/>
      <c r="T1638" s="157"/>
      <c r="U1638" s="159" t="s">
        <v>2129</v>
      </c>
      <c r="V1638" s="159" t="s">
        <v>2129</v>
      </c>
      <c r="W1638" s="159" t="s">
        <v>2138</v>
      </c>
      <c r="X1638" s="160">
        <v>0.66</v>
      </c>
      <c r="Y1638" s="160">
        <v>0.52</v>
      </c>
      <c r="Z1638" s="160">
        <v>0.66</v>
      </c>
      <c r="AA1638" s="160">
        <v>0.52</v>
      </c>
    </row>
    <row r="1639" spans="1:27" ht="18" customHeight="1" x14ac:dyDescent="0.25">
      <c r="A1639" s="159">
        <v>4141</v>
      </c>
      <c r="B1639" s="157" t="s">
        <v>29</v>
      </c>
      <c r="C1639" s="157" t="s">
        <v>30</v>
      </c>
      <c r="D1639" s="159" t="s">
        <v>95</v>
      </c>
      <c r="E1639" s="157" t="s">
        <v>93</v>
      </c>
      <c r="F1639" s="157" t="s">
        <v>1275</v>
      </c>
      <c r="G1639" s="157" t="s">
        <v>1536</v>
      </c>
      <c r="H1639" s="157" t="s">
        <v>1287</v>
      </c>
      <c r="I1639" s="157" t="s">
        <v>1339</v>
      </c>
      <c r="J1639" s="157" t="s">
        <v>2099</v>
      </c>
      <c r="K1639" s="157" t="s">
        <v>1269</v>
      </c>
      <c r="L1639" s="157" t="s">
        <v>8481</v>
      </c>
      <c r="M1639" s="157" t="str">
        <f t="shared" si="35"/>
        <v>Taillamp Assy' LED Dynamic Blinker Left - Tailgate - Rear Lamps L</v>
      </c>
      <c r="N1639" s="157"/>
      <c r="O1639" s="157"/>
      <c r="P1639" s="159" t="s">
        <v>6953</v>
      </c>
      <c r="Q1639" s="157"/>
      <c r="R1639" s="157"/>
      <c r="S1639" s="157"/>
      <c r="T1639" s="157"/>
      <c r="U1639" s="159" t="s">
        <v>2129</v>
      </c>
      <c r="V1639" s="159" t="s">
        <v>2129</v>
      </c>
      <c r="W1639" s="159" t="s">
        <v>2138</v>
      </c>
      <c r="X1639" s="160">
        <v>0.66</v>
      </c>
      <c r="Y1639" s="160">
        <v>0.52</v>
      </c>
      <c r="Z1639" s="160">
        <v>0.66</v>
      </c>
      <c r="AA1639" s="160">
        <v>0.52</v>
      </c>
    </row>
    <row r="1640" spans="1:27" ht="18" customHeight="1" x14ac:dyDescent="0.25">
      <c r="A1640" s="159">
        <v>4141</v>
      </c>
      <c r="B1640" s="157" t="s">
        <v>29</v>
      </c>
      <c r="C1640" s="157" t="s">
        <v>30</v>
      </c>
      <c r="D1640" s="159" t="s">
        <v>214</v>
      </c>
      <c r="E1640" s="157" t="s">
        <v>212</v>
      </c>
      <c r="F1640" s="157" t="s">
        <v>1264</v>
      </c>
      <c r="G1640" s="157" t="s">
        <v>1536</v>
      </c>
      <c r="H1640" s="157" t="s">
        <v>1287</v>
      </c>
      <c r="I1640" s="157" t="s">
        <v>1339</v>
      </c>
      <c r="J1640" s="157" t="s">
        <v>2099</v>
      </c>
      <c r="K1640" s="157" t="s">
        <v>1269</v>
      </c>
      <c r="L1640" s="157" t="s">
        <v>8481</v>
      </c>
      <c r="M1640" s="157" t="str">
        <f t="shared" si="35"/>
        <v>Taillamp Assy' LED Dynamic Blinker Left - Tailgate - Rear Lamps L</v>
      </c>
      <c r="N1640" s="157"/>
      <c r="O1640" s="157"/>
      <c r="P1640" s="159" t="s">
        <v>6953</v>
      </c>
      <c r="Q1640" s="157"/>
      <c r="R1640" s="157"/>
      <c r="S1640" s="157"/>
      <c r="T1640" s="157"/>
      <c r="U1640" s="159" t="s">
        <v>2129</v>
      </c>
      <c r="V1640" s="159" t="s">
        <v>2129</v>
      </c>
      <c r="W1640" s="159" t="s">
        <v>2138</v>
      </c>
      <c r="X1640" s="160">
        <v>0.66</v>
      </c>
      <c r="Y1640" s="160">
        <v>0.52</v>
      </c>
      <c r="Z1640" s="160">
        <v>0.66</v>
      </c>
      <c r="AA1640" s="160">
        <v>0.52</v>
      </c>
    </row>
    <row r="1641" spans="1:27" ht="18" customHeight="1" x14ac:dyDescent="0.25">
      <c r="A1641" s="159">
        <v>4141</v>
      </c>
      <c r="B1641" s="157" t="s">
        <v>29</v>
      </c>
      <c r="C1641" s="157" t="s">
        <v>30</v>
      </c>
      <c r="D1641" s="159" t="s">
        <v>233</v>
      </c>
      <c r="E1641" s="157" t="s">
        <v>231</v>
      </c>
      <c r="F1641" s="157" t="s">
        <v>1264</v>
      </c>
      <c r="G1641" s="157" t="s">
        <v>1536</v>
      </c>
      <c r="H1641" s="157" t="s">
        <v>1287</v>
      </c>
      <c r="I1641" s="157" t="s">
        <v>1339</v>
      </c>
      <c r="J1641" s="157" t="s">
        <v>2099</v>
      </c>
      <c r="K1641" s="157" t="s">
        <v>1269</v>
      </c>
      <c r="L1641" s="157" t="s">
        <v>8481</v>
      </c>
      <c r="M1641" s="157" t="str">
        <f t="shared" si="35"/>
        <v>Taillamp Assy' LED Dynamic Blinker Left - Tailgate - Rear Lamps L</v>
      </c>
      <c r="N1641" s="157"/>
      <c r="O1641" s="157"/>
      <c r="P1641" s="159" t="s">
        <v>6953</v>
      </c>
      <c r="Q1641" s="157"/>
      <c r="R1641" s="157"/>
      <c r="S1641" s="157"/>
      <c r="T1641" s="157"/>
      <c r="U1641" s="159" t="s">
        <v>2129</v>
      </c>
      <c r="V1641" s="159" t="s">
        <v>2129</v>
      </c>
      <c r="W1641" s="159" t="s">
        <v>2138</v>
      </c>
      <c r="X1641" s="160">
        <v>0.66</v>
      </c>
      <c r="Y1641" s="160">
        <v>0.52</v>
      </c>
      <c r="Z1641" s="160">
        <v>0.66</v>
      </c>
      <c r="AA1641" s="160">
        <v>0.52</v>
      </c>
    </row>
    <row r="1642" spans="1:27" ht="18" customHeight="1" x14ac:dyDescent="0.25">
      <c r="A1642" s="159">
        <v>4141</v>
      </c>
      <c r="B1642" s="157" t="s">
        <v>29</v>
      </c>
      <c r="C1642" s="157" t="s">
        <v>30</v>
      </c>
      <c r="D1642" s="159" t="s">
        <v>377</v>
      </c>
      <c r="E1642" s="157" t="s">
        <v>375</v>
      </c>
      <c r="F1642" s="157" t="s">
        <v>1264</v>
      </c>
      <c r="G1642" s="157" t="s">
        <v>1536</v>
      </c>
      <c r="H1642" s="157" t="s">
        <v>1287</v>
      </c>
      <c r="I1642" s="157" t="s">
        <v>1339</v>
      </c>
      <c r="J1642" s="157" t="s">
        <v>2099</v>
      </c>
      <c r="K1642" s="157" t="s">
        <v>1269</v>
      </c>
      <c r="L1642" s="157" t="s">
        <v>8481</v>
      </c>
      <c r="M1642" s="157" t="str">
        <f t="shared" si="35"/>
        <v>Taillamp Assy' LED Dynamic Blinker Left - Tailgate - Rear Lamps L</v>
      </c>
      <c r="N1642" s="157"/>
      <c r="O1642" s="157"/>
      <c r="P1642" s="159" t="s">
        <v>6953</v>
      </c>
      <c r="Q1642" s="157"/>
      <c r="R1642" s="157"/>
      <c r="S1642" s="157"/>
      <c r="T1642" s="157"/>
      <c r="U1642" s="159" t="s">
        <v>2129</v>
      </c>
      <c r="V1642" s="159" t="s">
        <v>2129</v>
      </c>
      <c r="W1642" s="159" t="s">
        <v>2138</v>
      </c>
      <c r="X1642" s="160">
        <v>0.66</v>
      </c>
      <c r="Y1642" s="160">
        <v>0.52</v>
      </c>
      <c r="Z1642" s="160">
        <v>0.66</v>
      </c>
      <c r="AA1642" s="160">
        <v>0.52</v>
      </c>
    </row>
    <row r="1643" spans="1:27" ht="18" customHeight="1" x14ac:dyDescent="0.25">
      <c r="A1643" s="159">
        <v>4141</v>
      </c>
      <c r="B1643" s="157" t="s">
        <v>29</v>
      </c>
      <c r="C1643" s="157" t="s">
        <v>30</v>
      </c>
      <c r="D1643" s="159" t="s">
        <v>380</v>
      </c>
      <c r="E1643" s="157" t="s">
        <v>378</v>
      </c>
      <c r="F1643" s="157" t="s">
        <v>1264</v>
      </c>
      <c r="G1643" s="157" t="s">
        <v>1536</v>
      </c>
      <c r="H1643" s="157" t="s">
        <v>1287</v>
      </c>
      <c r="I1643" s="157" t="s">
        <v>1339</v>
      </c>
      <c r="J1643" s="157" t="s">
        <v>2099</v>
      </c>
      <c r="K1643" s="157" t="s">
        <v>1269</v>
      </c>
      <c r="L1643" s="157" t="s">
        <v>8481</v>
      </c>
      <c r="M1643" s="157" t="str">
        <f t="shared" si="35"/>
        <v>Taillamp Assy' LED Dynamic Blinker Left - Tailgate - Rear Lamps L</v>
      </c>
      <c r="N1643" s="157"/>
      <c r="O1643" s="157"/>
      <c r="P1643" s="159" t="s">
        <v>6953</v>
      </c>
      <c r="Q1643" s="157"/>
      <c r="R1643" s="157"/>
      <c r="S1643" s="157"/>
      <c r="T1643" s="157"/>
      <c r="U1643" s="159" t="s">
        <v>2129</v>
      </c>
      <c r="V1643" s="159" t="s">
        <v>2129</v>
      </c>
      <c r="W1643" s="159" t="s">
        <v>2138</v>
      </c>
      <c r="X1643" s="160">
        <v>0.66</v>
      </c>
      <c r="Y1643" s="160">
        <v>0.52</v>
      </c>
      <c r="Z1643" s="160">
        <v>0.66</v>
      </c>
      <c r="AA1643" s="160">
        <v>0.52</v>
      </c>
    </row>
    <row r="1644" spans="1:27" ht="18" customHeight="1" x14ac:dyDescent="0.25">
      <c r="A1644" s="159">
        <v>4141</v>
      </c>
      <c r="B1644" s="157" t="s">
        <v>29</v>
      </c>
      <c r="C1644" s="157" t="s">
        <v>30</v>
      </c>
      <c r="D1644" s="159" t="s">
        <v>398</v>
      </c>
      <c r="E1644" s="157" t="s">
        <v>396</v>
      </c>
      <c r="F1644" s="157" t="s">
        <v>1264</v>
      </c>
      <c r="G1644" s="157" t="s">
        <v>1536</v>
      </c>
      <c r="H1644" s="157" t="s">
        <v>1287</v>
      </c>
      <c r="I1644" s="157" t="s">
        <v>1339</v>
      </c>
      <c r="J1644" s="157" t="s">
        <v>2099</v>
      </c>
      <c r="K1644" s="157" t="s">
        <v>1269</v>
      </c>
      <c r="L1644" s="157" t="s">
        <v>8481</v>
      </c>
      <c r="M1644" s="157" t="str">
        <f t="shared" si="35"/>
        <v>Taillamp Assy' LED Dynamic Blinker Left - Tailgate - Rear Lamps L</v>
      </c>
      <c r="N1644" s="157"/>
      <c r="O1644" s="157"/>
      <c r="P1644" s="159" t="s">
        <v>6953</v>
      </c>
      <c r="Q1644" s="157"/>
      <c r="R1644" s="157"/>
      <c r="S1644" s="157"/>
      <c r="T1644" s="157"/>
      <c r="U1644" s="159" t="s">
        <v>2129</v>
      </c>
      <c r="V1644" s="159" t="s">
        <v>2129</v>
      </c>
      <c r="W1644" s="159" t="s">
        <v>2138</v>
      </c>
      <c r="X1644" s="160">
        <v>0.66</v>
      </c>
      <c r="Y1644" s="160">
        <v>0.52</v>
      </c>
      <c r="Z1644" s="160">
        <v>0.66</v>
      </c>
      <c r="AA1644" s="160">
        <v>0.52</v>
      </c>
    </row>
    <row r="1645" spans="1:27" ht="18" customHeight="1" x14ac:dyDescent="0.25">
      <c r="A1645" s="159">
        <v>4141</v>
      </c>
      <c r="B1645" s="157" t="s">
        <v>29</v>
      </c>
      <c r="C1645" s="157" t="s">
        <v>30</v>
      </c>
      <c r="D1645" s="159" t="s">
        <v>401</v>
      </c>
      <c r="E1645" s="157" t="s">
        <v>399</v>
      </c>
      <c r="F1645" s="157" t="s">
        <v>1275</v>
      </c>
      <c r="G1645" s="157" t="s">
        <v>1536</v>
      </c>
      <c r="H1645" s="157" t="s">
        <v>1287</v>
      </c>
      <c r="I1645" s="157" t="s">
        <v>1339</v>
      </c>
      <c r="J1645" s="157" t="s">
        <v>2099</v>
      </c>
      <c r="K1645" s="157" t="s">
        <v>1269</v>
      </c>
      <c r="L1645" s="157" t="s">
        <v>8481</v>
      </c>
      <c r="M1645" s="157" t="str">
        <f t="shared" si="35"/>
        <v>Taillamp Assy' LED Dynamic Blinker Left - Tailgate - Rear Lamps L</v>
      </c>
      <c r="N1645" s="157"/>
      <c r="O1645" s="157"/>
      <c r="P1645" s="159" t="s">
        <v>6953</v>
      </c>
      <c r="Q1645" s="157"/>
      <c r="R1645" s="157"/>
      <c r="S1645" s="157"/>
      <c r="T1645" s="157"/>
      <c r="U1645" s="159" t="s">
        <v>2129</v>
      </c>
      <c r="V1645" s="159" t="s">
        <v>2129</v>
      </c>
      <c r="W1645" s="159" t="s">
        <v>2138</v>
      </c>
      <c r="X1645" s="160">
        <v>0.66</v>
      </c>
      <c r="Y1645" s="160">
        <v>0.52</v>
      </c>
      <c r="Z1645" s="160">
        <v>0.66</v>
      </c>
      <c r="AA1645" s="160">
        <v>0.52</v>
      </c>
    </row>
    <row r="1646" spans="1:27" ht="18" customHeight="1" x14ac:dyDescent="0.25">
      <c r="A1646" s="159">
        <v>4141</v>
      </c>
      <c r="B1646" s="157" t="s">
        <v>29</v>
      </c>
      <c r="C1646" s="157" t="s">
        <v>30</v>
      </c>
      <c r="D1646" s="159" t="s">
        <v>96</v>
      </c>
      <c r="E1646" s="157" t="s">
        <v>402</v>
      </c>
      <c r="F1646" s="157" t="s">
        <v>1275</v>
      </c>
      <c r="G1646" s="157" t="s">
        <v>1536</v>
      </c>
      <c r="H1646" s="157" t="s">
        <v>1287</v>
      </c>
      <c r="I1646" s="157" t="s">
        <v>1339</v>
      </c>
      <c r="J1646" s="157" t="s">
        <v>2099</v>
      </c>
      <c r="K1646" s="157" t="s">
        <v>1269</v>
      </c>
      <c r="L1646" s="157" t="s">
        <v>8481</v>
      </c>
      <c r="M1646" s="157" t="str">
        <f t="shared" si="35"/>
        <v>Taillamp Assy' LED Dynamic Blinker Left - Tailgate - Rear Lamps L</v>
      </c>
      <c r="N1646" s="157"/>
      <c r="O1646" s="157"/>
      <c r="P1646" s="159" t="s">
        <v>6953</v>
      </c>
      <c r="Q1646" s="157"/>
      <c r="R1646" s="157"/>
      <c r="S1646" s="157"/>
      <c r="T1646" s="157"/>
      <c r="U1646" s="159" t="s">
        <v>2129</v>
      </c>
      <c r="V1646" s="159" t="s">
        <v>2129</v>
      </c>
      <c r="W1646" s="159" t="s">
        <v>2138</v>
      </c>
      <c r="X1646" s="160">
        <v>0.66</v>
      </c>
      <c r="Y1646" s="160">
        <v>0.52</v>
      </c>
      <c r="Z1646" s="160">
        <v>0.66</v>
      </c>
      <c r="AA1646" s="160">
        <v>0.52</v>
      </c>
    </row>
    <row r="1647" spans="1:27" ht="18" customHeight="1" x14ac:dyDescent="0.25">
      <c r="A1647" s="159">
        <v>4141</v>
      </c>
      <c r="B1647" s="157" t="s">
        <v>29</v>
      </c>
      <c r="C1647" s="157" t="s">
        <v>30</v>
      </c>
      <c r="D1647" s="159" t="s">
        <v>34</v>
      </c>
      <c r="E1647" s="157" t="s">
        <v>404</v>
      </c>
      <c r="F1647" s="157" t="s">
        <v>1275</v>
      </c>
      <c r="G1647" s="157" t="s">
        <v>1536</v>
      </c>
      <c r="H1647" s="157" t="s">
        <v>1287</v>
      </c>
      <c r="I1647" s="157" t="s">
        <v>1339</v>
      </c>
      <c r="J1647" s="157" t="s">
        <v>2099</v>
      </c>
      <c r="K1647" s="157" t="s">
        <v>1269</v>
      </c>
      <c r="L1647" s="157" t="s">
        <v>8481</v>
      </c>
      <c r="M1647" s="157" t="str">
        <f t="shared" si="35"/>
        <v>Taillamp Assy' LED Dynamic Blinker Left - Tailgate - Rear Lamps L</v>
      </c>
      <c r="N1647" s="157"/>
      <c r="O1647" s="157"/>
      <c r="P1647" s="159" t="s">
        <v>6953</v>
      </c>
      <c r="Q1647" s="157"/>
      <c r="R1647" s="157"/>
      <c r="S1647" s="157"/>
      <c r="T1647" s="157"/>
      <c r="U1647" s="159" t="s">
        <v>2129</v>
      </c>
      <c r="V1647" s="159" t="s">
        <v>2129</v>
      </c>
      <c r="W1647" s="159" t="s">
        <v>2138</v>
      </c>
      <c r="X1647" s="160">
        <v>0.66</v>
      </c>
      <c r="Y1647" s="160">
        <v>0.52</v>
      </c>
      <c r="Z1647" s="160">
        <v>0.66</v>
      </c>
      <c r="AA1647" s="160">
        <v>0.52</v>
      </c>
    </row>
    <row r="1648" spans="1:27" ht="18" customHeight="1" x14ac:dyDescent="0.25">
      <c r="A1648" s="159">
        <v>4141</v>
      </c>
      <c r="B1648" s="157" t="s">
        <v>29</v>
      </c>
      <c r="C1648" s="157" t="s">
        <v>30</v>
      </c>
      <c r="D1648" s="159" t="s">
        <v>408</v>
      </c>
      <c r="E1648" s="157" t="s">
        <v>406</v>
      </c>
      <c r="F1648" s="157" t="s">
        <v>1264</v>
      </c>
      <c r="G1648" s="157" t="s">
        <v>1536</v>
      </c>
      <c r="H1648" s="157" t="s">
        <v>1287</v>
      </c>
      <c r="I1648" s="157" t="s">
        <v>1339</v>
      </c>
      <c r="J1648" s="157" t="s">
        <v>2099</v>
      </c>
      <c r="K1648" s="157" t="s">
        <v>1269</v>
      </c>
      <c r="L1648" s="157" t="s">
        <v>8481</v>
      </c>
      <c r="M1648" s="157" t="str">
        <f t="shared" si="35"/>
        <v>Taillamp Assy' LED Dynamic Blinker Left - Tailgate - Rear Lamps L</v>
      </c>
      <c r="N1648" s="157"/>
      <c r="O1648" s="157"/>
      <c r="P1648" s="159" t="s">
        <v>6953</v>
      </c>
      <c r="Q1648" s="157"/>
      <c r="R1648" s="157"/>
      <c r="S1648" s="157"/>
      <c r="T1648" s="157"/>
      <c r="U1648" s="159" t="s">
        <v>2129</v>
      </c>
      <c r="V1648" s="159" t="s">
        <v>2129</v>
      </c>
      <c r="W1648" s="159" t="s">
        <v>2138</v>
      </c>
      <c r="X1648" s="160">
        <v>0.66</v>
      </c>
      <c r="Y1648" s="160">
        <v>0.52</v>
      </c>
      <c r="Z1648" s="160">
        <v>0.66</v>
      </c>
      <c r="AA1648" s="160">
        <v>0.52</v>
      </c>
    </row>
    <row r="1649" spans="1:27" ht="18" customHeight="1" x14ac:dyDescent="0.25">
      <c r="A1649" s="159">
        <v>4141</v>
      </c>
      <c r="B1649" s="157" t="s">
        <v>29</v>
      </c>
      <c r="C1649" s="157" t="s">
        <v>30</v>
      </c>
      <c r="D1649" s="159" t="s">
        <v>573</v>
      </c>
      <c r="E1649" s="157" t="s">
        <v>574</v>
      </c>
      <c r="F1649" s="157"/>
      <c r="G1649" s="157" t="s">
        <v>1536</v>
      </c>
      <c r="H1649" s="157" t="s">
        <v>1287</v>
      </c>
      <c r="I1649" s="157" t="s">
        <v>1339</v>
      </c>
      <c r="J1649" s="157" t="s">
        <v>2099</v>
      </c>
      <c r="K1649" s="157" t="s">
        <v>1269</v>
      </c>
      <c r="L1649" s="157" t="s">
        <v>8481</v>
      </c>
      <c r="M1649" s="157" t="str">
        <f t="shared" si="35"/>
        <v>Taillamp Assy' LED Dynamic Blinker Left - Tailgate - Rear Lamps L</v>
      </c>
      <c r="N1649" s="157"/>
      <c r="O1649" s="157"/>
      <c r="P1649" s="159" t="s">
        <v>6953</v>
      </c>
      <c r="Q1649" s="157"/>
      <c r="R1649" s="157"/>
      <c r="S1649" s="157"/>
      <c r="T1649" s="157"/>
      <c r="U1649" s="159" t="s">
        <v>2129</v>
      </c>
      <c r="V1649" s="159" t="s">
        <v>2129</v>
      </c>
      <c r="W1649" s="159" t="s">
        <v>2138</v>
      </c>
      <c r="X1649" s="160">
        <v>0.66</v>
      </c>
      <c r="Y1649" s="160">
        <v>0.52</v>
      </c>
      <c r="Z1649" s="160">
        <v>0.66</v>
      </c>
      <c r="AA1649" s="160">
        <v>0.52</v>
      </c>
    </row>
    <row r="1650" spans="1:27" ht="18" customHeight="1" x14ac:dyDescent="0.25">
      <c r="A1650" s="159">
        <v>4141</v>
      </c>
      <c r="B1650" s="157" t="s">
        <v>251</v>
      </c>
      <c r="C1650" s="157" t="s">
        <v>366</v>
      </c>
      <c r="D1650" s="159" t="s">
        <v>494</v>
      </c>
      <c r="E1650" s="157" t="s">
        <v>492</v>
      </c>
      <c r="F1650" s="157" t="s">
        <v>1275</v>
      </c>
      <c r="G1650" s="157" t="s">
        <v>1536</v>
      </c>
      <c r="H1650" s="157" t="s">
        <v>1287</v>
      </c>
      <c r="I1650" s="157" t="s">
        <v>1339</v>
      </c>
      <c r="J1650" s="157" t="s">
        <v>2099</v>
      </c>
      <c r="K1650" s="157" t="s">
        <v>1269</v>
      </c>
      <c r="L1650" s="157" t="s">
        <v>8481</v>
      </c>
      <c r="M1650" s="157" t="str">
        <f t="shared" si="35"/>
        <v>Taillamp Assy' LED Dynamic Blinker Left - Tailgate - Rear Lamps L</v>
      </c>
      <c r="N1650" s="157"/>
      <c r="O1650" s="157"/>
      <c r="P1650" s="159" t="s">
        <v>6953</v>
      </c>
      <c r="Q1650" s="157"/>
      <c r="R1650" s="157"/>
      <c r="S1650" s="157"/>
      <c r="T1650" s="157"/>
      <c r="U1650" s="159" t="s">
        <v>2129</v>
      </c>
      <c r="V1650" s="159" t="s">
        <v>2129</v>
      </c>
      <c r="W1650" s="159" t="s">
        <v>2138</v>
      </c>
      <c r="X1650" s="160">
        <v>0.66</v>
      </c>
      <c r="Y1650" s="160">
        <v>0.52</v>
      </c>
      <c r="Z1650" s="160">
        <v>0.66</v>
      </c>
      <c r="AA1650" s="160">
        <v>0.52</v>
      </c>
    </row>
    <row r="1651" spans="1:27" ht="18" customHeight="1" x14ac:dyDescent="0.25">
      <c r="A1651" s="159">
        <v>4142</v>
      </c>
      <c r="B1651" s="157" t="s">
        <v>29</v>
      </c>
      <c r="C1651" s="157" t="s">
        <v>30</v>
      </c>
      <c r="D1651" s="159" t="s">
        <v>33</v>
      </c>
      <c r="E1651" s="157" t="s">
        <v>31</v>
      </c>
      <c r="F1651" s="157" t="s">
        <v>1275</v>
      </c>
      <c r="G1651" s="157" t="s">
        <v>1536</v>
      </c>
      <c r="H1651" s="157" t="s">
        <v>1287</v>
      </c>
      <c r="I1651" s="157" t="s">
        <v>1406</v>
      </c>
      <c r="J1651" s="157" t="s">
        <v>2099</v>
      </c>
      <c r="K1651" s="157" t="s">
        <v>1269</v>
      </c>
      <c r="L1651" s="157" t="s">
        <v>8482</v>
      </c>
      <c r="M1651" s="157" t="str">
        <f t="shared" si="35"/>
        <v>Taillamp Assy' LED Dynamic Blinker Right - Tailgate - Rear Lamps R</v>
      </c>
      <c r="N1651" s="157"/>
      <c r="O1651" s="157"/>
      <c r="P1651" s="159" t="s">
        <v>4702</v>
      </c>
      <c r="Q1651" s="157"/>
      <c r="R1651" s="157"/>
      <c r="S1651" s="157"/>
      <c r="T1651" s="157"/>
      <c r="U1651" s="159" t="s">
        <v>2129</v>
      </c>
      <c r="V1651" s="159" t="s">
        <v>2129</v>
      </c>
      <c r="W1651" s="159" t="s">
        <v>2138</v>
      </c>
      <c r="X1651" s="160">
        <v>0.66</v>
      </c>
      <c r="Y1651" s="160">
        <v>0.52</v>
      </c>
      <c r="Z1651" s="160">
        <v>0.66</v>
      </c>
      <c r="AA1651" s="160">
        <v>0.52</v>
      </c>
    </row>
    <row r="1652" spans="1:27" ht="18" customHeight="1" x14ac:dyDescent="0.25">
      <c r="A1652" s="159">
        <v>4142</v>
      </c>
      <c r="B1652" s="157" t="s">
        <v>29</v>
      </c>
      <c r="C1652" s="157" t="s">
        <v>30</v>
      </c>
      <c r="D1652" s="159" t="s">
        <v>95</v>
      </c>
      <c r="E1652" s="157" t="s">
        <v>93</v>
      </c>
      <c r="F1652" s="157" t="s">
        <v>1275</v>
      </c>
      <c r="G1652" s="157" t="s">
        <v>1536</v>
      </c>
      <c r="H1652" s="157" t="s">
        <v>1287</v>
      </c>
      <c r="I1652" s="157" t="s">
        <v>1406</v>
      </c>
      <c r="J1652" s="157" t="s">
        <v>2099</v>
      </c>
      <c r="K1652" s="157" t="s">
        <v>1269</v>
      </c>
      <c r="L1652" s="157" t="s">
        <v>8482</v>
      </c>
      <c r="M1652" s="157" t="str">
        <f t="shared" si="35"/>
        <v>Taillamp Assy' LED Dynamic Blinker Right - Tailgate - Rear Lamps R</v>
      </c>
      <c r="N1652" s="157"/>
      <c r="O1652" s="157"/>
      <c r="P1652" s="159" t="s">
        <v>4702</v>
      </c>
      <c r="Q1652" s="157"/>
      <c r="R1652" s="157"/>
      <c r="S1652" s="157"/>
      <c r="T1652" s="157"/>
      <c r="U1652" s="159" t="s">
        <v>2129</v>
      </c>
      <c r="V1652" s="159" t="s">
        <v>2129</v>
      </c>
      <c r="W1652" s="159" t="s">
        <v>2138</v>
      </c>
      <c r="X1652" s="160">
        <v>0.66</v>
      </c>
      <c r="Y1652" s="160">
        <v>0.52</v>
      </c>
      <c r="Z1652" s="160">
        <v>0.66</v>
      </c>
      <c r="AA1652" s="160">
        <v>0.52</v>
      </c>
    </row>
    <row r="1653" spans="1:27" ht="18" customHeight="1" x14ac:dyDescent="0.25">
      <c r="A1653" s="159">
        <v>4142</v>
      </c>
      <c r="B1653" s="157" t="s">
        <v>29</v>
      </c>
      <c r="C1653" s="157" t="s">
        <v>30</v>
      </c>
      <c r="D1653" s="159" t="s">
        <v>214</v>
      </c>
      <c r="E1653" s="157" t="s">
        <v>212</v>
      </c>
      <c r="F1653" s="157" t="s">
        <v>1264</v>
      </c>
      <c r="G1653" s="157" t="s">
        <v>1536</v>
      </c>
      <c r="H1653" s="157" t="s">
        <v>1287</v>
      </c>
      <c r="I1653" s="157" t="s">
        <v>1406</v>
      </c>
      <c r="J1653" s="157" t="s">
        <v>2099</v>
      </c>
      <c r="K1653" s="157" t="s">
        <v>1269</v>
      </c>
      <c r="L1653" s="157" t="s">
        <v>8482</v>
      </c>
      <c r="M1653" s="157" t="str">
        <f t="shared" si="35"/>
        <v>Taillamp Assy' LED Dynamic Blinker Right - Tailgate - Rear Lamps R</v>
      </c>
      <c r="N1653" s="157"/>
      <c r="O1653" s="157"/>
      <c r="P1653" s="159" t="s">
        <v>4702</v>
      </c>
      <c r="Q1653" s="157"/>
      <c r="R1653" s="157"/>
      <c r="S1653" s="157"/>
      <c r="T1653" s="157"/>
      <c r="U1653" s="159" t="s">
        <v>2129</v>
      </c>
      <c r="V1653" s="159" t="s">
        <v>2129</v>
      </c>
      <c r="W1653" s="159" t="s">
        <v>2138</v>
      </c>
      <c r="X1653" s="160">
        <v>0.66</v>
      </c>
      <c r="Y1653" s="160">
        <v>0.52</v>
      </c>
      <c r="Z1653" s="160">
        <v>0.66</v>
      </c>
      <c r="AA1653" s="160">
        <v>0.52</v>
      </c>
    </row>
    <row r="1654" spans="1:27" ht="18" customHeight="1" x14ac:dyDescent="0.25">
      <c r="A1654" s="159">
        <v>4142</v>
      </c>
      <c r="B1654" s="157" t="s">
        <v>29</v>
      </c>
      <c r="C1654" s="157" t="s">
        <v>30</v>
      </c>
      <c r="D1654" s="159" t="s">
        <v>233</v>
      </c>
      <c r="E1654" s="157" t="s">
        <v>231</v>
      </c>
      <c r="F1654" s="157" t="s">
        <v>1264</v>
      </c>
      <c r="G1654" s="157" t="s">
        <v>1536</v>
      </c>
      <c r="H1654" s="157" t="s">
        <v>1287</v>
      </c>
      <c r="I1654" s="157" t="s">
        <v>1406</v>
      </c>
      <c r="J1654" s="157" t="s">
        <v>2099</v>
      </c>
      <c r="K1654" s="157" t="s">
        <v>1269</v>
      </c>
      <c r="L1654" s="157" t="s">
        <v>8482</v>
      </c>
      <c r="M1654" s="157" t="str">
        <f t="shared" si="35"/>
        <v>Taillamp Assy' LED Dynamic Blinker Right - Tailgate - Rear Lamps R</v>
      </c>
      <c r="N1654" s="157"/>
      <c r="O1654" s="157"/>
      <c r="P1654" s="159" t="s">
        <v>4702</v>
      </c>
      <c r="Q1654" s="157"/>
      <c r="R1654" s="157"/>
      <c r="S1654" s="157"/>
      <c r="T1654" s="157"/>
      <c r="U1654" s="159" t="s">
        <v>2129</v>
      </c>
      <c r="V1654" s="159" t="s">
        <v>2129</v>
      </c>
      <c r="W1654" s="159" t="s">
        <v>2138</v>
      </c>
      <c r="X1654" s="160">
        <v>0.66</v>
      </c>
      <c r="Y1654" s="160">
        <v>0.52</v>
      </c>
      <c r="Z1654" s="160">
        <v>0.66</v>
      </c>
      <c r="AA1654" s="160">
        <v>0.52</v>
      </c>
    </row>
    <row r="1655" spans="1:27" ht="18" customHeight="1" x14ac:dyDescent="0.25">
      <c r="A1655" s="159">
        <v>4142</v>
      </c>
      <c r="B1655" s="157" t="s">
        <v>29</v>
      </c>
      <c r="C1655" s="157" t="s">
        <v>30</v>
      </c>
      <c r="D1655" s="159" t="s">
        <v>377</v>
      </c>
      <c r="E1655" s="157" t="s">
        <v>375</v>
      </c>
      <c r="F1655" s="157" t="s">
        <v>1264</v>
      </c>
      <c r="G1655" s="157" t="s">
        <v>1536</v>
      </c>
      <c r="H1655" s="157" t="s">
        <v>1287</v>
      </c>
      <c r="I1655" s="157" t="s">
        <v>1406</v>
      </c>
      <c r="J1655" s="157" t="s">
        <v>2099</v>
      </c>
      <c r="K1655" s="157" t="s">
        <v>1269</v>
      </c>
      <c r="L1655" s="157" t="s">
        <v>8482</v>
      </c>
      <c r="M1655" s="157" t="str">
        <f t="shared" si="35"/>
        <v>Taillamp Assy' LED Dynamic Blinker Right - Tailgate - Rear Lamps R</v>
      </c>
      <c r="N1655" s="157"/>
      <c r="O1655" s="157"/>
      <c r="P1655" s="159" t="s">
        <v>4702</v>
      </c>
      <c r="Q1655" s="157"/>
      <c r="R1655" s="157"/>
      <c r="S1655" s="157"/>
      <c r="T1655" s="157"/>
      <c r="U1655" s="159" t="s">
        <v>2129</v>
      </c>
      <c r="V1655" s="159" t="s">
        <v>2129</v>
      </c>
      <c r="W1655" s="159" t="s">
        <v>2138</v>
      </c>
      <c r="X1655" s="160">
        <v>0.66</v>
      </c>
      <c r="Y1655" s="160">
        <v>0.52</v>
      </c>
      <c r="Z1655" s="160">
        <v>0.66</v>
      </c>
      <c r="AA1655" s="160">
        <v>0.52</v>
      </c>
    </row>
    <row r="1656" spans="1:27" ht="18" customHeight="1" x14ac:dyDescent="0.25">
      <c r="A1656" s="159">
        <v>4142</v>
      </c>
      <c r="B1656" s="157" t="s">
        <v>29</v>
      </c>
      <c r="C1656" s="157" t="s">
        <v>30</v>
      </c>
      <c r="D1656" s="159" t="s">
        <v>380</v>
      </c>
      <c r="E1656" s="157" t="s">
        <v>378</v>
      </c>
      <c r="F1656" s="157" t="s">
        <v>1264</v>
      </c>
      <c r="G1656" s="157" t="s">
        <v>1536</v>
      </c>
      <c r="H1656" s="157" t="s">
        <v>1287</v>
      </c>
      <c r="I1656" s="157" t="s">
        <v>1406</v>
      </c>
      <c r="J1656" s="157" t="s">
        <v>2099</v>
      </c>
      <c r="K1656" s="157" t="s">
        <v>1269</v>
      </c>
      <c r="L1656" s="157" t="s">
        <v>8482</v>
      </c>
      <c r="M1656" s="157" t="str">
        <f t="shared" si="35"/>
        <v>Taillamp Assy' LED Dynamic Blinker Right - Tailgate - Rear Lamps R</v>
      </c>
      <c r="N1656" s="157"/>
      <c r="O1656" s="157"/>
      <c r="P1656" s="159" t="s">
        <v>4702</v>
      </c>
      <c r="Q1656" s="157"/>
      <c r="R1656" s="157"/>
      <c r="S1656" s="157"/>
      <c r="T1656" s="157"/>
      <c r="U1656" s="159" t="s">
        <v>2129</v>
      </c>
      <c r="V1656" s="159" t="s">
        <v>2129</v>
      </c>
      <c r="W1656" s="159" t="s">
        <v>2138</v>
      </c>
      <c r="X1656" s="160">
        <v>0.66</v>
      </c>
      <c r="Y1656" s="160">
        <v>0.52</v>
      </c>
      <c r="Z1656" s="160">
        <v>0.66</v>
      </c>
      <c r="AA1656" s="160">
        <v>0.52</v>
      </c>
    </row>
    <row r="1657" spans="1:27" ht="18" customHeight="1" x14ac:dyDescent="0.25">
      <c r="A1657" s="159">
        <v>4142</v>
      </c>
      <c r="B1657" s="157" t="s">
        <v>29</v>
      </c>
      <c r="C1657" s="157" t="s">
        <v>30</v>
      </c>
      <c r="D1657" s="159" t="s">
        <v>398</v>
      </c>
      <c r="E1657" s="157" t="s">
        <v>396</v>
      </c>
      <c r="F1657" s="157" t="s">
        <v>1264</v>
      </c>
      <c r="G1657" s="157" t="s">
        <v>1536</v>
      </c>
      <c r="H1657" s="157" t="s">
        <v>1287</v>
      </c>
      <c r="I1657" s="157" t="s">
        <v>1406</v>
      </c>
      <c r="J1657" s="157" t="s">
        <v>2099</v>
      </c>
      <c r="K1657" s="157" t="s">
        <v>1269</v>
      </c>
      <c r="L1657" s="157" t="s">
        <v>8482</v>
      </c>
      <c r="M1657" s="157" t="str">
        <f t="shared" si="35"/>
        <v>Taillamp Assy' LED Dynamic Blinker Right - Tailgate - Rear Lamps R</v>
      </c>
      <c r="N1657" s="157"/>
      <c r="O1657" s="157"/>
      <c r="P1657" s="159" t="s">
        <v>4702</v>
      </c>
      <c r="Q1657" s="157"/>
      <c r="R1657" s="157"/>
      <c r="S1657" s="157"/>
      <c r="T1657" s="157"/>
      <c r="U1657" s="159" t="s">
        <v>2129</v>
      </c>
      <c r="V1657" s="159" t="s">
        <v>2129</v>
      </c>
      <c r="W1657" s="159" t="s">
        <v>2138</v>
      </c>
      <c r="X1657" s="160">
        <v>0.66</v>
      </c>
      <c r="Y1657" s="160">
        <v>0.52</v>
      </c>
      <c r="Z1657" s="160">
        <v>0.66</v>
      </c>
      <c r="AA1657" s="160">
        <v>0.52</v>
      </c>
    </row>
    <row r="1658" spans="1:27" ht="18" customHeight="1" x14ac:dyDescent="0.25">
      <c r="A1658" s="159">
        <v>4142</v>
      </c>
      <c r="B1658" s="157" t="s">
        <v>29</v>
      </c>
      <c r="C1658" s="157" t="s">
        <v>30</v>
      </c>
      <c r="D1658" s="159" t="s">
        <v>401</v>
      </c>
      <c r="E1658" s="157" t="s">
        <v>399</v>
      </c>
      <c r="F1658" s="157" t="s">
        <v>1275</v>
      </c>
      <c r="G1658" s="157" t="s">
        <v>1536</v>
      </c>
      <c r="H1658" s="157" t="s">
        <v>1287</v>
      </c>
      <c r="I1658" s="157" t="s">
        <v>1406</v>
      </c>
      <c r="J1658" s="157" t="s">
        <v>2099</v>
      </c>
      <c r="K1658" s="157" t="s">
        <v>1269</v>
      </c>
      <c r="L1658" s="157" t="s">
        <v>8482</v>
      </c>
      <c r="M1658" s="157" t="str">
        <f t="shared" si="35"/>
        <v>Taillamp Assy' LED Dynamic Blinker Right - Tailgate - Rear Lamps R</v>
      </c>
      <c r="N1658" s="157"/>
      <c r="O1658" s="157"/>
      <c r="P1658" s="159" t="s">
        <v>4702</v>
      </c>
      <c r="Q1658" s="157"/>
      <c r="R1658" s="157"/>
      <c r="S1658" s="157"/>
      <c r="T1658" s="157"/>
      <c r="U1658" s="159" t="s">
        <v>2129</v>
      </c>
      <c r="V1658" s="159" t="s">
        <v>2129</v>
      </c>
      <c r="W1658" s="159" t="s">
        <v>2138</v>
      </c>
      <c r="X1658" s="160">
        <v>0.66</v>
      </c>
      <c r="Y1658" s="160">
        <v>0.52</v>
      </c>
      <c r="Z1658" s="160">
        <v>0.66</v>
      </c>
      <c r="AA1658" s="160">
        <v>0.52</v>
      </c>
    </row>
    <row r="1659" spans="1:27" ht="18" customHeight="1" x14ac:dyDescent="0.25">
      <c r="A1659" s="159">
        <v>4142</v>
      </c>
      <c r="B1659" s="157" t="s">
        <v>29</v>
      </c>
      <c r="C1659" s="157" t="s">
        <v>30</v>
      </c>
      <c r="D1659" s="159" t="s">
        <v>96</v>
      </c>
      <c r="E1659" s="157" t="s">
        <v>402</v>
      </c>
      <c r="F1659" s="157" t="s">
        <v>1275</v>
      </c>
      <c r="G1659" s="157" t="s">
        <v>1536</v>
      </c>
      <c r="H1659" s="157" t="s">
        <v>1287</v>
      </c>
      <c r="I1659" s="157" t="s">
        <v>1406</v>
      </c>
      <c r="J1659" s="157" t="s">
        <v>2099</v>
      </c>
      <c r="K1659" s="157" t="s">
        <v>1269</v>
      </c>
      <c r="L1659" s="157" t="s">
        <v>8482</v>
      </c>
      <c r="M1659" s="157" t="str">
        <f t="shared" si="35"/>
        <v>Taillamp Assy' LED Dynamic Blinker Right - Tailgate - Rear Lamps R</v>
      </c>
      <c r="N1659" s="157"/>
      <c r="O1659" s="157"/>
      <c r="P1659" s="159" t="s">
        <v>4702</v>
      </c>
      <c r="Q1659" s="157"/>
      <c r="R1659" s="157"/>
      <c r="S1659" s="157"/>
      <c r="T1659" s="157"/>
      <c r="U1659" s="159" t="s">
        <v>2129</v>
      </c>
      <c r="V1659" s="159" t="s">
        <v>2129</v>
      </c>
      <c r="W1659" s="159" t="s">
        <v>2138</v>
      </c>
      <c r="X1659" s="160">
        <v>0.66</v>
      </c>
      <c r="Y1659" s="160">
        <v>0.52</v>
      </c>
      <c r="Z1659" s="160">
        <v>0.66</v>
      </c>
      <c r="AA1659" s="160">
        <v>0.52</v>
      </c>
    </row>
    <row r="1660" spans="1:27" ht="18" customHeight="1" x14ac:dyDescent="0.25">
      <c r="A1660" s="159">
        <v>4142</v>
      </c>
      <c r="B1660" s="157" t="s">
        <v>29</v>
      </c>
      <c r="C1660" s="157" t="s">
        <v>30</v>
      </c>
      <c r="D1660" s="159" t="s">
        <v>34</v>
      </c>
      <c r="E1660" s="157" t="s">
        <v>404</v>
      </c>
      <c r="F1660" s="157" t="s">
        <v>1275</v>
      </c>
      <c r="G1660" s="157" t="s">
        <v>1536</v>
      </c>
      <c r="H1660" s="157" t="s">
        <v>1287</v>
      </c>
      <c r="I1660" s="157" t="s">
        <v>1406</v>
      </c>
      <c r="J1660" s="157" t="s">
        <v>2099</v>
      </c>
      <c r="K1660" s="157" t="s">
        <v>1269</v>
      </c>
      <c r="L1660" s="157" t="s">
        <v>8482</v>
      </c>
      <c r="M1660" s="157" t="str">
        <f t="shared" si="35"/>
        <v>Taillamp Assy' LED Dynamic Blinker Right - Tailgate - Rear Lamps R</v>
      </c>
      <c r="N1660" s="157"/>
      <c r="O1660" s="157"/>
      <c r="P1660" s="159" t="s">
        <v>4702</v>
      </c>
      <c r="Q1660" s="157"/>
      <c r="R1660" s="157"/>
      <c r="S1660" s="157"/>
      <c r="T1660" s="157"/>
      <c r="U1660" s="159" t="s">
        <v>2129</v>
      </c>
      <c r="V1660" s="159" t="s">
        <v>2129</v>
      </c>
      <c r="W1660" s="159" t="s">
        <v>2138</v>
      </c>
      <c r="X1660" s="160">
        <v>0.66</v>
      </c>
      <c r="Y1660" s="160">
        <v>0.52</v>
      </c>
      <c r="Z1660" s="160">
        <v>0.66</v>
      </c>
      <c r="AA1660" s="160">
        <v>0.52</v>
      </c>
    </row>
    <row r="1661" spans="1:27" ht="18" customHeight="1" x14ac:dyDescent="0.25">
      <c r="A1661" s="159">
        <v>4142</v>
      </c>
      <c r="B1661" s="157" t="s">
        <v>29</v>
      </c>
      <c r="C1661" s="157" t="s">
        <v>30</v>
      </c>
      <c r="D1661" s="159" t="s">
        <v>408</v>
      </c>
      <c r="E1661" s="157" t="s">
        <v>406</v>
      </c>
      <c r="F1661" s="157" t="s">
        <v>1264</v>
      </c>
      <c r="G1661" s="157" t="s">
        <v>1536</v>
      </c>
      <c r="H1661" s="157" t="s">
        <v>1287</v>
      </c>
      <c r="I1661" s="157" t="s">
        <v>1406</v>
      </c>
      <c r="J1661" s="157" t="s">
        <v>2099</v>
      </c>
      <c r="K1661" s="157" t="s">
        <v>1269</v>
      </c>
      <c r="L1661" s="157" t="s">
        <v>8482</v>
      </c>
      <c r="M1661" s="157" t="str">
        <f t="shared" si="35"/>
        <v>Taillamp Assy' LED Dynamic Blinker Right - Tailgate - Rear Lamps R</v>
      </c>
      <c r="N1661" s="157"/>
      <c r="O1661" s="157"/>
      <c r="P1661" s="159" t="s">
        <v>4702</v>
      </c>
      <c r="Q1661" s="157"/>
      <c r="R1661" s="157"/>
      <c r="S1661" s="157"/>
      <c r="T1661" s="157"/>
      <c r="U1661" s="159" t="s">
        <v>2129</v>
      </c>
      <c r="V1661" s="159" t="s">
        <v>2129</v>
      </c>
      <c r="W1661" s="159" t="s">
        <v>2138</v>
      </c>
      <c r="X1661" s="160">
        <v>0.66</v>
      </c>
      <c r="Y1661" s="160">
        <v>0.52</v>
      </c>
      <c r="Z1661" s="160">
        <v>0.66</v>
      </c>
      <c r="AA1661" s="160">
        <v>0.52</v>
      </c>
    </row>
    <row r="1662" spans="1:27" ht="18" customHeight="1" x14ac:dyDescent="0.25">
      <c r="A1662" s="159">
        <v>4142</v>
      </c>
      <c r="B1662" s="157" t="s">
        <v>29</v>
      </c>
      <c r="C1662" s="157" t="s">
        <v>30</v>
      </c>
      <c r="D1662" s="159" t="s">
        <v>573</v>
      </c>
      <c r="E1662" s="157" t="s">
        <v>574</v>
      </c>
      <c r="F1662" s="157"/>
      <c r="G1662" s="157" t="s">
        <v>1536</v>
      </c>
      <c r="H1662" s="157" t="s">
        <v>1287</v>
      </c>
      <c r="I1662" s="157" t="s">
        <v>1406</v>
      </c>
      <c r="J1662" s="157" t="s">
        <v>2099</v>
      </c>
      <c r="K1662" s="157" t="s">
        <v>1269</v>
      </c>
      <c r="L1662" s="157" t="s">
        <v>8482</v>
      </c>
      <c r="M1662" s="157" t="str">
        <f t="shared" si="35"/>
        <v>Taillamp Assy' LED Dynamic Blinker Right - Tailgate - Rear Lamps R</v>
      </c>
      <c r="N1662" s="157"/>
      <c r="O1662" s="157"/>
      <c r="P1662" s="159" t="s">
        <v>4702</v>
      </c>
      <c r="Q1662" s="157"/>
      <c r="R1662" s="157"/>
      <c r="S1662" s="157"/>
      <c r="T1662" s="157"/>
      <c r="U1662" s="159" t="s">
        <v>2129</v>
      </c>
      <c r="V1662" s="159" t="s">
        <v>2129</v>
      </c>
      <c r="W1662" s="159" t="s">
        <v>2138</v>
      </c>
      <c r="X1662" s="160">
        <v>0.66</v>
      </c>
      <c r="Y1662" s="160">
        <v>0.52</v>
      </c>
      <c r="Z1662" s="160">
        <v>0.66</v>
      </c>
      <c r="AA1662" s="160">
        <v>0.52</v>
      </c>
    </row>
    <row r="1663" spans="1:27" ht="18" customHeight="1" x14ac:dyDescent="0.25">
      <c r="A1663" s="159">
        <v>4142</v>
      </c>
      <c r="B1663" s="157" t="s">
        <v>251</v>
      </c>
      <c r="C1663" s="157" t="s">
        <v>366</v>
      </c>
      <c r="D1663" s="159" t="s">
        <v>494</v>
      </c>
      <c r="E1663" s="157" t="s">
        <v>492</v>
      </c>
      <c r="F1663" s="157" t="s">
        <v>1275</v>
      </c>
      <c r="G1663" s="157" t="s">
        <v>1536</v>
      </c>
      <c r="H1663" s="157" t="s">
        <v>1287</v>
      </c>
      <c r="I1663" s="157" t="s">
        <v>1406</v>
      </c>
      <c r="J1663" s="157" t="s">
        <v>2099</v>
      </c>
      <c r="K1663" s="157" t="s">
        <v>1269</v>
      </c>
      <c r="L1663" s="157" t="s">
        <v>8482</v>
      </c>
      <c r="M1663" s="157" t="str">
        <f t="shared" si="35"/>
        <v>Taillamp Assy' LED Dynamic Blinker Right - Tailgate - Rear Lamps R</v>
      </c>
      <c r="N1663" s="157"/>
      <c r="O1663" s="157"/>
      <c r="P1663" s="159" t="s">
        <v>4702</v>
      </c>
      <c r="Q1663" s="157"/>
      <c r="R1663" s="157"/>
      <c r="S1663" s="157"/>
      <c r="T1663" s="157"/>
      <c r="U1663" s="159" t="s">
        <v>2129</v>
      </c>
      <c r="V1663" s="159" t="s">
        <v>2129</v>
      </c>
      <c r="W1663" s="159" t="s">
        <v>2138</v>
      </c>
      <c r="X1663" s="160">
        <v>0.66</v>
      </c>
      <c r="Y1663" s="160">
        <v>0.52</v>
      </c>
      <c r="Z1663" s="160">
        <v>0.66</v>
      </c>
      <c r="AA1663" s="160">
        <v>0.52</v>
      </c>
    </row>
    <row r="1664" spans="1:27" ht="18" customHeight="1" x14ac:dyDescent="0.25">
      <c r="A1664" s="159">
        <v>4143</v>
      </c>
      <c r="B1664" s="157" t="s">
        <v>29</v>
      </c>
      <c r="C1664" s="157" t="s">
        <v>30</v>
      </c>
      <c r="D1664" s="159" t="s">
        <v>33</v>
      </c>
      <c r="E1664" s="157" t="s">
        <v>31</v>
      </c>
      <c r="F1664" s="157" t="s">
        <v>1275</v>
      </c>
      <c r="G1664" s="157" t="s">
        <v>1536</v>
      </c>
      <c r="H1664" s="157" t="s">
        <v>1287</v>
      </c>
      <c r="I1664" s="157" t="s">
        <v>1339</v>
      </c>
      <c r="J1664" s="157" t="s">
        <v>1578</v>
      </c>
      <c r="K1664" s="157" t="s">
        <v>1269</v>
      </c>
      <c r="L1664" s="157" t="s">
        <v>8483</v>
      </c>
      <c r="M1664" s="157" t="str">
        <f t="shared" si="35"/>
        <v>Taillamp Assy' P21W + P10W Left - Body - Rear Lamps L</v>
      </c>
      <c r="N1664" s="157"/>
      <c r="O1664" s="157"/>
      <c r="P1664" s="159" t="s">
        <v>7510</v>
      </c>
      <c r="Q1664" s="157"/>
      <c r="R1664" s="157"/>
      <c r="S1664" s="157"/>
      <c r="T1664" s="157"/>
      <c r="U1664" s="159" t="s">
        <v>2129</v>
      </c>
      <c r="V1664" s="159" t="s">
        <v>2129</v>
      </c>
      <c r="W1664" s="159" t="s">
        <v>2129</v>
      </c>
      <c r="X1664" s="160">
        <v>0.37</v>
      </c>
      <c r="Y1664" s="160">
        <v>0.17</v>
      </c>
      <c r="Z1664" s="160">
        <v>0.51</v>
      </c>
      <c r="AA1664" s="160">
        <v>0.31</v>
      </c>
    </row>
    <row r="1665" spans="1:27" ht="18" customHeight="1" x14ac:dyDescent="0.25">
      <c r="A1665" s="159">
        <v>4143</v>
      </c>
      <c r="B1665" s="157" t="s">
        <v>29</v>
      </c>
      <c r="C1665" s="157" t="s">
        <v>30</v>
      </c>
      <c r="D1665" s="159" t="s">
        <v>95</v>
      </c>
      <c r="E1665" s="157" t="s">
        <v>93</v>
      </c>
      <c r="F1665" s="157" t="s">
        <v>1275</v>
      </c>
      <c r="G1665" s="157" t="s">
        <v>1536</v>
      </c>
      <c r="H1665" s="157" t="s">
        <v>1287</v>
      </c>
      <c r="I1665" s="157" t="s">
        <v>1339</v>
      </c>
      <c r="J1665" s="157" t="s">
        <v>1578</v>
      </c>
      <c r="K1665" s="157" t="s">
        <v>1269</v>
      </c>
      <c r="L1665" s="157" t="s">
        <v>8483</v>
      </c>
      <c r="M1665" s="157" t="str">
        <f t="shared" si="35"/>
        <v>Taillamp Assy' P21W + P10W Left - Body - Rear Lamps L</v>
      </c>
      <c r="N1665" s="157"/>
      <c r="O1665" s="157"/>
      <c r="P1665" s="159" t="s">
        <v>7510</v>
      </c>
      <c r="Q1665" s="157"/>
      <c r="R1665" s="157"/>
      <c r="S1665" s="157"/>
      <c r="T1665" s="157"/>
      <c r="U1665" s="159" t="s">
        <v>2129</v>
      </c>
      <c r="V1665" s="159" t="s">
        <v>2129</v>
      </c>
      <c r="W1665" s="159" t="s">
        <v>2129</v>
      </c>
      <c r="X1665" s="160">
        <v>0.37</v>
      </c>
      <c r="Y1665" s="160">
        <v>0.17</v>
      </c>
      <c r="Z1665" s="160">
        <v>0.51</v>
      </c>
      <c r="AA1665" s="160">
        <v>0.31</v>
      </c>
    </row>
    <row r="1666" spans="1:27" ht="18" customHeight="1" x14ac:dyDescent="0.25">
      <c r="A1666" s="159">
        <v>4143</v>
      </c>
      <c r="B1666" s="157" t="s">
        <v>29</v>
      </c>
      <c r="C1666" s="157" t="s">
        <v>30</v>
      </c>
      <c r="D1666" s="159" t="s">
        <v>233</v>
      </c>
      <c r="E1666" s="157" t="s">
        <v>231</v>
      </c>
      <c r="F1666" s="157" t="s">
        <v>1264</v>
      </c>
      <c r="G1666" s="157" t="s">
        <v>1536</v>
      </c>
      <c r="H1666" s="157" t="s">
        <v>1287</v>
      </c>
      <c r="I1666" s="157" t="s">
        <v>1339</v>
      </c>
      <c r="J1666" s="157" t="s">
        <v>1578</v>
      </c>
      <c r="K1666" s="157" t="s">
        <v>1269</v>
      </c>
      <c r="L1666" s="157" t="s">
        <v>8483</v>
      </c>
      <c r="M1666" s="157" t="str">
        <f t="shared" si="35"/>
        <v>Taillamp Assy' P21W + P10W Left - Body - Rear Lamps L</v>
      </c>
      <c r="N1666" s="157"/>
      <c r="O1666" s="157"/>
      <c r="P1666" s="159" t="s">
        <v>7510</v>
      </c>
      <c r="Q1666" s="157"/>
      <c r="R1666" s="157"/>
      <c r="S1666" s="157"/>
      <c r="T1666" s="157"/>
      <c r="U1666" s="159" t="s">
        <v>2129</v>
      </c>
      <c r="V1666" s="159" t="s">
        <v>2129</v>
      </c>
      <c r="W1666" s="159" t="s">
        <v>2129</v>
      </c>
      <c r="X1666" s="160">
        <v>0.37</v>
      </c>
      <c r="Y1666" s="160">
        <v>0.17</v>
      </c>
      <c r="Z1666" s="160">
        <v>0.51</v>
      </c>
      <c r="AA1666" s="160">
        <v>0.31</v>
      </c>
    </row>
    <row r="1667" spans="1:27" ht="18" customHeight="1" x14ac:dyDescent="0.25">
      <c r="A1667" s="159">
        <v>4143</v>
      </c>
      <c r="B1667" s="157" t="s">
        <v>29</v>
      </c>
      <c r="C1667" s="157" t="s">
        <v>30</v>
      </c>
      <c r="D1667" s="159" t="s">
        <v>377</v>
      </c>
      <c r="E1667" s="157" t="s">
        <v>375</v>
      </c>
      <c r="F1667" s="157" t="s">
        <v>1264</v>
      </c>
      <c r="G1667" s="157" t="s">
        <v>1536</v>
      </c>
      <c r="H1667" s="157" t="s">
        <v>1287</v>
      </c>
      <c r="I1667" s="157" t="s">
        <v>1339</v>
      </c>
      <c r="J1667" s="157" t="s">
        <v>1578</v>
      </c>
      <c r="K1667" s="157" t="s">
        <v>1269</v>
      </c>
      <c r="L1667" s="157" t="s">
        <v>8483</v>
      </c>
      <c r="M1667" s="157" t="str">
        <f t="shared" si="35"/>
        <v>Taillamp Assy' P21W + P10W Left - Body - Rear Lamps L</v>
      </c>
      <c r="N1667" s="157"/>
      <c r="O1667" s="157"/>
      <c r="P1667" s="159" t="s">
        <v>7510</v>
      </c>
      <c r="Q1667" s="157"/>
      <c r="R1667" s="157"/>
      <c r="S1667" s="157"/>
      <c r="T1667" s="157"/>
      <c r="U1667" s="159" t="s">
        <v>2129</v>
      </c>
      <c r="V1667" s="159" t="s">
        <v>2129</v>
      </c>
      <c r="W1667" s="159" t="s">
        <v>2129</v>
      </c>
      <c r="X1667" s="160">
        <v>0.37</v>
      </c>
      <c r="Y1667" s="160">
        <v>0.17</v>
      </c>
      <c r="Z1667" s="160">
        <v>0.51</v>
      </c>
      <c r="AA1667" s="160">
        <v>0.31</v>
      </c>
    </row>
    <row r="1668" spans="1:27" ht="18" customHeight="1" x14ac:dyDescent="0.25">
      <c r="A1668" s="159">
        <v>4143</v>
      </c>
      <c r="B1668" s="157" t="s">
        <v>29</v>
      </c>
      <c r="C1668" s="157" t="s">
        <v>30</v>
      </c>
      <c r="D1668" s="159" t="s">
        <v>380</v>
      </c>
      <c r="E1668" s="157" t="s">
        <v>378</v>
      </c>
      <c r="F1668" s="157" t="s">
        <v>1264</v>
      </c>
      <c r="G1668" s="157" t="s">
        <v>1536</v>
      </c>
      <c r="H1668" s="157" t="s">
        <v>1287</v>
      </c>
      <c r="I1668" s="157" t="s">
        <v>1339</v>
      </c>
      <c r="J1668" s="157" t="s">
        <v>1578</v>
      </c>
      <c r="K1668" s="157" t="s">
        <v>1269</v>
      </c>
      <c r="L1668" s="157" t="s">
        <v>8483</v>
      </c>
      <c r="M1668" s="157" t="str">
        <f t="shared" si="35"/>
        <v>Taillamp Assy' P21W + P10W Left - Body - Rear Lamps L</v>
      </c>
      <c r="N1668" s="157"/>
      <c r="O1668" s="157"/>
      <c r="P1668" s="159" t="s">
        <v>7510</v>
      </c>
      <c r="Q1668" s="157"/>
      <c r="R1668" s="157"/>
      <c r="S1668" s="157"/>
      <c r="T1668" s="157"/>
      <c r="U1668" s="159" t="s">
        <v>2129</v>
      </c>
      <c r="V1668" s="159" t="s">
        <v>2129</v>
      </c>
      <c r="W1668" s="159" t="s">
        <v>2129</v>
      </c>
      <c r="X1668" s="160">
        <v>0.37</v>
      </c>
      <c r="Y1668" s="160">
        <v>0.17</v>
      </c>
      <c r="Z1668" s="160">
        <v>0.51</v>
      </c>
      <c r="AA1668" s="160">
        <v>0.31</v>
      </c>
    </row>
    <row r="1669" spans="1:27" ht="18" customHeight="1" x14ac:dyDescent="0.25">
      <c r="A1669" s="159">
        <v>4143</v>
      </c>
      <c r="B1669" s="157" t="s">
        <v>29</v>
      </c>
      <c r="C1669" s="157" t="s">
        <v>30</v>
      </c>
      <c r="D1669" s="159" t="s">
        <v>398</v>
      </c>
      <c r="E1669" s="157" t="s">
        <v>396</v>
      </c>
      <c r="F1669" s="157" t="s">
        <v>1264</v>
      </c>
      <c r="G1669" s="157" t="s">
        <v>1536</v>
      </c>
      <c r="H1669" s="157" t="s">
        <v>1287</v>
      </c>
      <c r="I1669" s="157" t="s">
        <v>1339</v>
      </c>
      <c r="J1669" s="157" t="s">
        <v>1578</v>
      </c>
      <c r="K1669" s="157" t="s">
        <v>1269</v>
      </c>
      <c r="L1669" s="157" t="s">
        <v>8483</v>
      </c>
      <c r="M1669" s="157" t="str">
        <f t="shared" si="35"/>
        <v>Taillamp Assy' P21W + P10W Left - Body - Rear Lamps L</v>
      </c>
      <c r="N1669" s="157"/>
      <c r="O1669" s="157"/>
      <c r="P1669" s="159" t="s">
        <v>7510</v>
      </c>
      <c r="Q1669" s="157"/>
      <c r="R1669" s="157"/>
      <c r="S1669" s="157"/>
      <c r="T1669" s="157"/>
      <c r="U1669" s="159" t="s">
        <v>2129</v>
      </c>
      <c r="V1669" s="159" t="s">
        <v>2129</v>
      </c>
      <c r="W1669" s="159" t="s">
        <v>2129</v>
      </c>
      <c r="X1669" s="160">
        <v>0.37</v>
      </c>
      <c r="Y1669" s="160">
        <v>0.17</v>
      </c>
      <c r="Z1669" s="160">
        <v>0.51</v>
      </c>
      <c r="AA1669" s="160">
        <v>0.31</v>
      </c>
    </row>
    <row r="1670" spans="1:27" ht="18" customHeight="1" x14ac:dyDescent="0.25">
      <c r="A1670" s="159">
        <v>4143</v>
      </c>
      <c r="B1670" s="157" t="s">
        <v>29</v>
      </c>
      <c r="C1670" s="157" t="s">
        <v>30</v>
      </c>
      <c r="D1670" s="159" t="s">
        <v>401</v>
      </c>
      <c r="E1670" s="157" t="s">
        <v>399</v>
      </c>
      <c r="F1670" s="157" t="s">
        <v>1275</v>
      </c>
      <c r="G1670" s="157" t="s">
        <v>1536</v>
      </c>
      <c r="H1670" s="157" t="s">
        <v>1287</v>
      </c>
      <c r="I1670" s="157" t="s">
        <v>1339</v>
      </c>
      <c r="J1670" s="157" t="s">
        <v>1578</v>
      </c>
      <c r="K1670" s="157" t="s">
        <v>1269</v>
      </c>
      <c r="L1670" s="157" t="s">
        <v>8483</v>
      </c>
      <c r="M1670" s="157" t="str">
        <f t="shared" si="35"/>
        <v>Taillamp Assy' P21W + P10W Left - Body - Rear Lamps L</v>
      </c>
      <c r="N1670" s="157"/>
      <c r="O1670" s="157"/>
      <c r="P1670" s="159" t="s">
        <v>7510</v>
      </c>
      <c r="Q1670" s="157"/>
      <c r="R1670" s="157"/>
      <c r="S1670" s="157"/>
      <c r="T1670" s="157"/>
      <c r="U1670" s="159" t="s">
        <v>2129</v>
      </c>
      <c r="V1670" s="159" t="s">
        <v>2129</v>
      </c>
      <c r="W1670" s="159" t="s">
        <v>2129</v>
      </c>
      <c r="X1670" s="160">
        <v>0.37</v>
      </c>
      <c r="Y1670" s="160">
        <v>0.17</v>
      </c>
      <c r="Z1670" s="160">
        <v>0.51</v>
      </c>
      <c r="AA1670" s="160">
        <v>0.31</v>
      </c>
    </row>
    <row r="1671" spans="1:27" ht="18" customHeight="1" x14ac:dyDescent="0.25">
      <c r="A1671" s="159">
        <v>4143</v>
      </c>
      <c r="B1671" s="157" t="s">
        <v>29</v>
      </c>
      <c r="C1671" s="157" t="s">
        <v>30</v>
      </c>
      <c r="D1671" s="159" t="s">
        <v>96</v>
      </c>
      <c r="E1671" s="157" t="s">
        <v>402</v>
      </c>
      <c r="F1671" s="157" t="s">
        <v>1275</v>
      </c>
      <c r="G1671" s="157" t="s">
        <v>1536</v>
      </c>
      <c r="H1671" s="157" t="s">
        <v>1287</v>
      </c>
      <c r="I1671" s="157" t="s">
        <v>1339</v>
      </c>
      <c r="J1671" s="157" t="s">
        <v>1578</v>
      </c>
      <c r="K1671" s="157" t="s">
        <v>1269</v>
      </c>
      <c r="L1671" s="157" t="s">
        <v>8483</v>
      </c>
      <c r="M1671" s="157" t="str">
        <f t="shared" si="35"/>
        <v>Taillamp Assy' P21W + P10W Left - Body - Rear Lamps L</v>
      </c>
      <c r="N1671" s="157"/>
      <c r="O1671" s="157"/>
      <c r="P1671" s="159" t="s">
        <v>7510</v>
      </c>
      <c r="Q1671" s="157"/>
      <c r="R1671" s="157"/>
      <c r="S1671" s="157"/>
      <c r="T1671" s="157"/>
      <c r="U1671" s="159" t="s">
        <v>2129</v>
      </c>
      <c r="V1671" s="159" t="s">
        <v>2129</v>
      </c>
      <c r="W1671" s="159" t="s">
        <v>2129</v>
      </c>
      <c r="X1671" s="160">
        <v>0.37</v>
      </c>
      <c r="Y1671" s="160">
        <v>0.17</v>
      </c>
      <c r="Z1671" s="160">
        <v>0.51</v>
      </c>
      <c r="AA1671" s="160">
        <v>0.31</v>
      </c>
    </row>
    <row r="1672" spans="1:27" ht="18" customHeight="1" x14ac:dyDescent="0.25">
      <c r="A1672" s="159">
        <v>4143</v>
      </c>
      <c r="B1672" s="157" t="s">
        <v>29</v>
      </c>
      <c r="C1672" s="157" t="s">
        <v>30</v>
      </c>
      <c r="D1672" s="159" t="s">
        <v>34</v>
      </c>
      <c r="E1672" s="157" t="s">
        <v>404</v>
      </c>
      <c r="F1672" s="157" t="s">
        <v>1275</v>
      </c>
      <c r="G1672" s="157" t="s">
        <v>1536</v>
      </c>
      <c r="H1672" s="157" t="s">
        <v>1287</v>
      </c>
      <c r="I1672" s="157" t="s">
        <v>1339</v>
      </c>
      <c r="J1672" s="157" t="s">
        <v>1578</v>
      </c>
      <c r="K1672" s="157" t="s">
        <v>1269</v>
      </c>
      <c r="L1672" s="157" t="s">
        <v>8483</v>
      </c>
      <c r="M1672" s="157" t="str">
        <f t="shared" si="35"/>
        <v>Taillamp Assy' P21W + P10W Left - Body - Rear Lamps L</v>
      </c>
      <c r="N1672" s="157"/>
      <c r="O1672" s="157"/>
      <c r="P1672" s="159" t="s">
        <v>7510</v>
      </c>
      <c r="Q1672" s="157"/>
      <c r="R1672" s="157"/>
      <c r="S1672" s="157"/>
      <c r="T1672" s="157"/>
      <c r="U1672" s="159" t="s">
        <v>2129</v>
      </c>
      <c r="V1672" s="159" t="s">
        <v>2129</v>
      </c>
      <c r="W1672" s="159" t="s">
        <v>2129</v>
      </c>
      <c r="X1672" s="160">
        <v>0.37</v>
      </c>
      <c r="Y1672" s="160">
        <v>0.17</v>
      </c>
      <c r="Z1672" s="160">
        <v>0.51</v>
      </c>
      <c r="AA1672" s="160">
        <v>0.31</v>
      </c>
    </row>
    <row r="1673" spans="1:27" ht="18" customHeight="1" x14ac:dyDescent="0.25">
      <c r="A1673" s="159">
        <v>4143</v>
      </c>
      <c r="B1673" s="157" t="s">
        <v>29</v>
      </c>
      <c r="C1673" s="157" t="s">
        <v>30</v>
      </c>
      <c r="D1673" s="159" t="s">
        <v>408</v>
      </c>
      <c r="E1673" s="157" t="s">
        <v>406</v>
      </c>
      <c r="F1673" s="157" t="s">
        <v>1264</v>
      </c>
      <c r="G1673" s="157" t="s">
        <v>1536</v>
      </c>
      <c r="H1673" s="157" t="s">
        <v>1287</v>
      </c>
      <c r="I1673" s="157" t="s">
        <v>1339</v>
      </c>
      <c r="J1673" s="157" t="s">
        <v>1578</v>
      </c>
      <c r="K1673" s="157" t="s">
        <v>1269</v>
      </c>
      <c r="L1673" s="157" t="s">
        <v>8483</v>
      </c>
      <c r="M1673" s="157" t="str">
        <f t="shared" si="35"/>
        <v>Taillamp Assy' P21W + P10W Left - Body - Rear Lamps L</v>
      </c>
      <c r="N1673" s="157"/>
      <c r="O1673" s="157"/>
      <c r="P1673" s="159" t="s">
        <v>7510</v>
      </c>
      <c r="Q1673" s="157"/>
      <c r="R1673" s="157"/>
      <c r="S1673" s="157"/>
      <c r="T1673" s="157"/>
      <c r="U1673" s="159" t="s">
        <v>2129</v>
      </c>
      <c r="V1673" s="159" t="s">
        <v>2129</v>
      </c>
      <c r="W1673" s="159" t="s">
        <v>2129</v>
      </c>
      <c r="X1673" s="160">
        <v>0.37</v>
      </c>
      <c r="Y1673" s="160">
        <v>0.17</v>
      </c>
      <c r="Z1673" s="160">
        <v>0.51</v>
      </c>
      <c r="AA1673" s="160">
        <v>0.31</v>
      </c>
    </row>
    <row r="1674" spans="1:27" ht="18" customHeight="1" x14ac:dyDescent="0.25">
      <c r="A1674" s="159">
        <v>4143</v>
      </c>
      <c r="B1674" s="157" t="s">
        <v>29</v>
      </c>
      <c r="C1674" s="157" t="s">
        <v>30</v>
      </c>
      <c r="D1674" s="159" t="s">
        <v>573</v>
      </c>
      <c r="E1674" s="157" t="s">
        <v>574</v>
      </c>
      <c r="F1674" s="157"/>
      <c r="G1674" s="157" t="s">
        <v>1536</v>
      </c>
      <c r="H1674" s="157" t="s">
        <v>1287</v>
      </c>
      <c r="I1674" s="157" t="s">
        <v>1339</v>
      </c>
      <c r="J1674" s="157" t="s">
        <v>1578</v>
      </c>
      <c r="K1674" s="157" t="s">
        <v>1269</v>
      </c>
      <c r="L1674" s="157" t="s">
        <v>8483</v>
      </c>
      <c r="M1674" s="157" t="str">
        <f t="shared" ref="M1674:M1737" si="36">CONCATENATE(L1674," - ",I1674)</f>
        <v>Taillamp Assy' P21W + P10W Left - Body - Rear Lamps L</v>
      </c>
      <c r="N1674" s="157"/>
      <c r="O1674" s="157"/>
      <c r="P1674" s="159" t="s">
        <v>7510</v>
      </c>
      <c r="Q1674" s="157"/>
      <c r="R1674" s="157"/>
      <c r="S1674" s="157"/>
      <c r="T1674" s="157"/>
      <c r="U1674" s="159" t="s">
        <v>2129</v>
      </c>
      <c r="V1674" s="159" t="s">
        <v>2129</v>
      </c>
      <c r="W1674" s="159" t="s">
        <v>2129</v>
      </c>
      <c r="X1674" s="160">
        <v>0.37</v>
      </c>
      <c r="Y1674" s="160">
        <v>0.17</v>
      </c>
      <c r="Z1674" s="160">
        <v>0.51</v>
      </c>
      <c r="AA1674" s="160">
        <v>0.31</v>
      </c>
    </row>
    <row r="1675" spans="1:27" ht="18" customHeight="1" x14ac:dyDescent="0.25">
      <c r="A1675" s="159">
        <v>4143</v>
      </c>
      <c r="B1675" s="157" t="s">
        <v>251</v>
      </c>
      <c r="C1675" s="157" t="s">
        <v>366</v>
      </c>
      <c r="D1675" s="159" t="s">
        <v>494</v>
      </c>
      <c r="E1675" s="157" t="s">
        <v>492</v>
      </c>
      <c r="F1675" s="157" t="s">
        <v>1275</v>
      </c>
      <c r="G1675" s="157" t="s">
        <v>1536</v>
      </c>
      <c r="H1675" s="157" t="s">
        <v>1287</v>
      </c>
      <c r="I1675" s="157" t="s">
        <v>1339</v>
      </c>
      <c r="J1675" s="157" t="s">
        <v>1578</v>
      </c>
      <c r="K1675" s="157" t="s">
        <v>1269</v>
      </c>
      <c r="L1675" s="157" t="s">
        <v>8483</v>
      </c>
      <c r="M1675" s="157" t="str">
        <f t="shared" si="36"/>
        <v>Taillamp Assy' P21W + P10W Left - Body - Rear Lamps L</v>
      </c>
      <c r="N1675" s="157"/>
      <c r="O1675" s="157"/>
      <c r="P1675" s="159" t="s">
        <v>7510</v>
      </c>
      <c r="Q1675" s="157"/>
      <c r="R1675" s="157"/>
      <c r="S1675" s="157"/>
      <c r="T1675" s="157"/>
      <c r="U1675" s="159" t="s">
        <v>2129</v>
      </c>
      <c r="V1675" s="159" t="s">
        <v>2129</v>
      </c>
      <c r="W1675" s="159" t="s">
        <v>2129</v>
      </c>
      <c r="X1675" s="160">
        <v>0.37</v>
      </c>
      <c r="Y1675" s="160">
        <v>0.17</v>
      </c>
      <c r="Z1675" s="160">
        <v>0.51</v>
      </c>
      <c r="AA1675" s="160">
        <v>0.31</v>
      </c>
    </row>
    <row r="1676" spans="1:27" ht="18" customHeight="1" x14ac:dyDescent="0.25">
      <c r="A1676" s="159">
        <v>4144</v>
      </c>
      <c r="B1676" s="157" t="s">
        <v>29</v>
      </c>
      <c r="C1676" s="157" t="s">
        <v>30</v>
      </c>
      <c r="D1676" s="159" t="s">
        <v>33</v>
      </c>
      <c r="E1676" s="157" t="s">
        <v>31</v>
      </c>
      <c r="F1676" s="157" t="s">
        <v>1275</v>
      </c>
      <c r="G1676" s="157" t="s">
        <v>1536</v>
      </c>
      <c r="H1676" s="157" t="s">
        <v>1287</v>
      </c>
      <c r="I1676" s="157" t="s">
        <v>1406</v>
      </c>
      <c r="J1676" s="157" t="s">
        <v>1578</v>
      </c>
      <c r="K1676" s="157" t="s">
        <v>1269</v>
      </c>
      <c r="L1676" s="157" t="s">
        <v>8484</v>
      </c>
      <c r="M1676" s="157" t="str">
        <f t="shared" si="36"/>
        <v>Taillamp Assy' P21W + P10W Right - Body - Rear Lamps R</v>
      </c>
      <c r="N1676" s="157"/>
      <c r="O1676" s="157"/>
      <c r="P1676" s="159" t="s">
        <v>4233</v>
      </c>
      <c r="Q1676" s="157"/>
      <c r="R1676" s="157"/>
      <c r="S1676" s="157"/>
      <c r="T1676" s="157"/>
      <c r="U1676" s="159" t="s">
        <v>2129</v>
      </c>
      <c r="V1676" s="159" t="s">
        <v>2129</v>
      </c>
      <c r="W1676" s="159" t="s">
        <v>2129</v>
      </c>
      <c r="X1676" s="160">
        <v>0.37</v>
      </c>
      <c r="Y1676" s="160">
        <v>0.17</v>
      </c>
      <c r="Z1676" s="160">
        <v>0.51</v>
      </c>
      <c r="AA1676" s="160">
        <v>0.31</v>
      </c>
    </row>
    <row r="1677" spans="1:27" ht="18" customHeight="1" x14ac:dyDescent="0.25">
      <c r="A1677" s="159">
        <v>4144</v>
      </c>
      <c r="B1677" s="157" t="s">
        <v>29</v>
      </c>
      <c r="C1677" s="157" t="s">
        <v>30</v>
      </c>
      <c r="D1677" s="159" t="s">
        <v>95</v>
      </c>
      <c r="E1677" s="157" t="s">
        <v>93</v>
      </c>
      <c r="F1677" s="157" t="s">
        <v>1275</v>
      </c>
      <c r="G1677" s="157" t="s">
        <v>1536</v>
      </c>
      <c r="H1677" s="157" t="s">
        <v>1287</v>
      </c>
      <c r="I1677" s="157" t="s">
        <v>1406</v>
      </c>
      <c r="J1677" s="157" t="s">
        <v>1578</v>
      </c>
      <c r="K1677" s="157" t="s">
        <v>1269</v>
      </c>
      <c r="L1677" s="157" t="s">
        <v>8484</v>
      </c>
      <c r="M1677" s="157" t="str">
        <f t="shared" si="36"/>
        <v>Taillamp Assy' P21W + P10W Right - Body - Rear Lamps R</v>
      </c>
      <c r="N1677" s="157"/>
      <c r="O1677" s="157"/>
      <c r="P1677" s="159" t="s">
        <v>4233</v>
      </c>
      <c r="Q1677" s="157"/>
      <c r="R1677" s="157"/>
      <c r="S1677" s="157"/>
      <c r="T1677" s="157"/>
      <c r="U1677" s="159" t="s">
        <v>2129</v>
      </c>
      <c r="V1677" s="159" t="s">
        <v>2129</v>
      </c>
      <c r="W1677" s="159" t="s">
        <v>2129</v>
      </c>
      <c r="X1677" s="160">
        <v>0.37</v>
      </c>
      <c r="Y1677" s="160">
        <v>0.17</v>
      </c>
      <c r="Z1677" s="160">
        <v>0.51</v>
      </c>
      <c r="AA1677" s="160">
        <v>0.31</v>
      </c>
    </row>
    <row r="1678" spans="1:27" ht="18" customHeight="1" x14ac:dyDescent="0.25">
      <c r="A1678" s="159">
        <v>4144</v>
      </c>
      <c r="B1678" s="157" t="s">
        <v>29</v>
      </c>
      <c r="C1678" s="157" t="s">
        <v>30</v>
      </c>
      <c r="D1678" s="159" t="s">
        <v>233</v>
      </c>
      <c r="E1678" s="157" t="s">
        <v>231</v>
      </c>
      <c r="F1678" s="157" t="s">
        <v>1264</v>
      </c>
      <c r="G1678" s="157" t="s">
        <v>1536</v>
      </c>
      <c r="H1678" s="157" t="s">
        <v>1287</v>
      </c>
      <c r="I1678" s="157" t="s">
        <v>1406</v>
      </c>
      <c r="J1678" s="157" t="s">
        <v>1578</v>
      </c>
      <c r="K1678" s="157" t="s">
        <v>1269</v>
      </c>
      <c r="L1678" s="157" t="s">
        <v>8484</v>
      </c>
      <c r="M1678" s="157" t="str">
        <f t="shared" si="36"/>
        <v>Taillamp Assy' P21W + P10W Right - Body - Rear Lamps R</v>
      </c>
      <c r="N1678" s="157"/>
      <c r="O1678" s="157"/>
      <c r="P1678" s="159" t="s">
        <v>4233</v>
      </c>
      <c r="Q1678" s="157"/>
      <c r="R1678" s="157"/>
      <c r="S1678" s="157"/>
      <c r="T1678" s="157"/>
      <c r="U1678" s="159" t="s">
        <v>2129</v>
      </c>
      <c r="V1678" s="159" t="s">
        <v>2129</v>
      </c>
      <c r="W1678" s="159" t="s">
        <v>2129</v>
      </c>
      <c r="X1678" s="160">
        <v>0.37</v>
      </c>
      <c r="Y1678" s="160">
        <v>0.17</v>
      </c>
      <c r="Z1678" s="160">
        <v>0.51</v>
      </c>
      <c r="AA1678" s="160">
        <v>0.31</v>
      </c>
    </row>
    <row r="1679" spans="1:27" ht="18" customHeight="1" x14ac:dyDescent="0.25">
      <c r="A1679" s="159">
        <v>4144</v>
      </c>
      <c r="B1679" s="157" t="s">
        <v>29</v>
      </c>
      <c r="C1679" s="157" t="s">
        <v>30</v>
      </c>
      <c r="D1679" s="159" t="s">
        <v>377</v>
      </c>
      <c r="E1679" s="157" t="s">
        <v>375</v>
      </c>
      <c r="F1679" s="157" t="s">
        <v>1264</v>
      </c>
      <c r="G1679" s="157" t="s">
        <v>1536</v>
      </c>
      <c r="H1679" s="157" t="s">
        <v>1287</v>
      </c>
      <c r="I1679" s="157" t="s">
        <v>1406</v>
      </c>
      <c r="J1679" s="157" t="s">
        <v>1578</v>
      </c>
      <c r="K1679" s="157" t="s">
        <v>1269</v>
      </c>
      <c r="L1679" s="157" t="s">
        <v>8484</v>
      </c>
      <c r="M1679" s="157" t="str">
        <f t="shared" si="36"/>
        <v>Taillamp Assy' P21W + P10W Right - Body - Rear Lamps R</v>
      </c>
      <c r="N1679" s="157"/>
      <c r="O1679" s="157"/>
      <c r="P1679" s="159" t="s">
        <v>4233</v>
      </c>
      <c r="Q1679" s="157"/>
      <c r="R1679" s="157"/>
      <c r="S1679" s="157"/>
      <c r="T1679" s="157"/>
      <c r="U1679" s="159" t="s">
        <v>2129</v>
      </c>
      <c r="V1679" s="159" t="s">
        <v>2129</v>
      </c>
      <c r="W1679" s="159" t="s">
        <v>2129</v>
      </c>
      <c r="X1679" s="160">
        <v>0.37</v>
      </c>
      <c r="Y1679" s="160">
        <v>0.17</v>
      </c>
      <c r="Z1679" s="160">
        <v>0.51</v>
      </c>
      <c r="AA1679" s="160">
        <v>0.31</v>
      </c>
    </row>
    <row r="1680" spans="1:27" ht="18" customHeight="1" x14ac:dyDescent="0.25">
      <c r="A1680" s="159">
        <v>4144</v>
      </c>
      <c r="B1680" s="157" t="s">
        <v>29</v>
      </c>
      <c r="C1680" s="157" t="s">
        <v>30</v>
      </c>
      <c r="D1680" s="159" t="s">
        <v>380</v>
      </c>
      <c r="E1680" s="157" t="s">
        <v>378</v>
      </c>
      <c r="F1680" s="157" t="s">
        <v>1264</v>
      </c>
      <c r="G1680" s="157" t="s">
        <v>1536</v>
      </c>
      <c r="H1680" s="157" t="s">
        <v>1287</v>
      </c>
      <c r="I1680" s="157" t="s">
        <v>1406</v>
      </c>
      <c r="J1680" s="157" t="s">
        <v>1578</v>
      </c>
      <c r="K1680" s="157" t="s">
        <v>1269</v>
      </c>
      <c r="L1680" s="157" t="s">
        <v>8484</v>
      </c>
      <c r="M1680" s="157" t="str">
        <f t="shared" si="36"/>
        <v>Taillamp Assy' P21W + P10W Right - Body - Rear Lamps R</v>
      </c>
      <c r="N1680" s="157"/>
      <c r="O1680" s="157"/>
      <c r="P1680" s="159" t="s">
        <v>4233</v>
      </c>
      <c r="Q1680" s="157"/>
      <c r="R1680" s="157"/>
      <c r="S1680" s="157"/>
      <c r="T1680" s="157"/>
      <c r="U1680" s="159" t="s">
        <v>2129</v>
      </c>
      <c r="V1680" s="159" t="s">
        <v>2129</v>
      </c>
      <c r="W1680" s="159" t="s">
        <v>2129</v>
      </c>
      <c r="X1680" s="160">
        <v>0.37</v>
      </c>
      <c r="Y1680" s="160">
        <v>0.17</v>
      </c>
      <c r="Z1680" s="160">
        <v>0.51</v>
      </c>
      <c r="AA1680" s="160">
        <v>0.31</v>
      </c>
    </row>
    <row r="1681" spans="1:27" ht="18" customHeight="1" x14ac:dyDescent="0.25">
      <c r="A1681" s="159">
        <v>4144</v>
      </c>
      <c r="B1681" s="157" t="s">
        <v>29</v>
      </c>
      <c r="C1681" s="157" t="s">
        <v>30</v>
      </c>
      <c r="D1681" s="159" t="s">
        <v>398</v>
      </c>
      <c r="E1681" s="157" t="s">
        <v>396</v>
      </c>
      <c r="F1681" s="157" t="s">
        <v>1264</v>
      </c>
      <c r="G1681" s="157" t="s">
        <v>1536</v>
      </c>
      <c r="H1681" s="157" t="s">
        <v>1287</v>
      </c>
      <c r="I1681" s="157" t="s">
        <v>1406</v>
      </c>
      <c r="J1681" s="157" t="s">
        <v>1578</v>
      </c>
      <c r="K1681" s="157" t="s">
        <v>1269</v>
      </c>
      <c r="L1681" s="157" t="s">
        <v>8484</v>
      </c>
      <c r="M1681" s="157" t="str">
        <f t="shared" si="36"/>
        <v>Taillamp Assy' P21W + P10W Right - Body - Rear Lamps R</v>
      </c>
      <c r="N1681" s="157"/>
      <c r="O1681" s="157"/>
      <c r="P1681" s="159" t="s">
        <v>4233</v>
      </c>
      <c r="Q1681" s="157"/>
      <c r="R1681" s="157"/>
      <c r="S1681" s="157"/>
      <c r="T1681" s="157"/>
      <c r="U1681" s="159" t="s">
        <v>2129</v>
      </c>
      <c r="V1681" s="159" t="s">
        <v>2129</v>
      </c>
      <c r="W1681" s="159" t="s">
        <v>2129</v>
      </c>
      <c r="X1681" s="160">
        <v>0.37</v>
      </c>
      <c r="Y1681" s="160">
        <v>0.17</v>
      </c>
      <c r="Z1681" s="160">
        <v>0.51</v>
      </c>
      <c r="AA1681" s="160">
        <v>0.31</v>
      </c>
    </row>
    <row r="1682" spans="1:27" ht="18" customHeight="1" x14ac:dyDescent="0.25">
      <c r="A1682" s="159">
        <v>4144</v>
      </c>
      <c r="B1682" s="157" t="s">
        <v>29</v>
      </c>
      <c r="C1682" s="157" t="s">
        <v>30</v>
      </c>
      <c r="D1682" s="159" t="s">
        <v>401</v>
      </c>
      <c r="E1682" s="157" t="s">
        <v>399</v>
      </c>
      <c r="F1682" s="157" t="s">
        <v>1275</v>
      </c>
      <c r="G1682" s="157" t="s">
        <v>1536</v>
      </c>
      <c r="H1682" s="157" t="s">
        <v>1287</v>
      </c>
      <c r="I1682" s="157" t="s">
        <v>1406</v>
      </c>
      <c r="J1682" s="157" t="s">
        <v>1578</v>
      </c>
      <c r="K1682" s="157" t="s">
        <v>1269</v>
      </c>
      <c r="L1682" s="157" t="s">
        <v>8484</v>
      </c>
      <c r="M1682" s="157" t="str">
        <f t="shared" si="36"/>
        <v>Taillamp Assy' P21W + P10W Right - Body - Rear Lamps R</v>
      </c>
      <c r="N1682" s="157"/>
      <c r="O1682" s="157"/>
      <c r="P1682" s="159" t="s">
        <v>4233</v>
      </c>
      <c r="Q1682" s="157"/>
      <c r="R1682" s="157"/>
      <c r="S1682" s="157"/>
      <c r="T1682" s="157"/>
      <c r="U1682" s="159" t="s">
        <v>2129</v>
      </c>
      <c r="V1682" s="159" t="s">
        <v>2129</v>
      </c>
      <c r="W1682" s="159" t="s">
        <v>2129</v>
      </c>
      <c r="X1682" s="160">
        <v>0.37</v>
      </c>
      <c r="Y1682" s="160">
        <v>0.17</v>
      </c>
      <c r="Z1682" s="160">
        <v>0.51</v>
      </c>
      <c r="AA1682" s="160">
        <v>0.31</v>
      </c>
    </row>
    <row r="1683" spans="1:27" ht="18" customHeight="1" x14ac:dyDescent="0.25">
      <c r="A1683" s="159">
        <v>4144</v>
      </c>
      <c r="B1683" s="157" t="s">
        <v>29</v>
      </c>
      <c r="C1683" s="157" t="s">
        <v>30</v>
      </c>
      <c r="D1683" s="159" t="s">
        <v>96</v>
      </c>
      <c r="E1683" s="157" t="s">
        <v>402</v>
      </c>
      <c r="F1683" s="157" t="s">
        <v>1275</v>
      </c>
      <c r="G1683" s="157" t="s">
        <v>1536</v>
      </c>
      <c r="H1683" s="157" t="s">
        <v>1287</v>
      </c>
      <c r="I1683" s="157" t="s">
        <v>1406</v>
      </c>
      <c r="J1683" s="157" t="s">
        <v>1578</v>
      </c>
      <c r="K1683" s="157" t="s">
        <v>1269</v>
      </c>
      <c r="L1683" s="157" t="s">
        <v>8484</v>
      </c>
      <c r="M1683" s="157" t="str">
        <f t="shared" si="36"/>
        <v>Taillamp Assy' P21W + P10W Right - Body - Rear Lamps R</v>
      </c>
      <c r="N1683" s="157"/>
      <c r="O1683" s="157"/>
      <c r="P1683" s="159" t="s">
        <v>4233</v>
      </c>
      <c r="Q1683" s="157"/>
      <c r="R1683" s="157"/>
      <c r="S1683" s="157"/>
      <c r="T1683" s="157"/>
      <c r="U1683" s="159" t="s">
        <v>2129</v>
      </c>
      <c r="V1683" s="159" t="s">
        <v>2129</v>
      </c>
      <c r="W1683" s="159" t="s">
        <v>2129</v>
      </c>
      <c r="X1683" s="160">
        <v>0.37</v>
      </c>
      <c r="Y1683" s="160">
        <v>0.17</v>
      </c>
      <c r="Z1683" s="160">
        <v>0.51</v>
      </c>
      <c r="AA1683" s="160">
        <v>0.31</v>
      </c>
    </row>
    <row r="1684" spans="1:27" ht="18" customHeight="1" x14ac:dyDescent="0.25">
      <c r="A1684" s="159">
        <v>4144</v>
      </c>
      <c r="B1684" s="157" t="s">
        <v>29</v>
      </c>
      <c r="C1684" s="157" t="s">
        <v>30</v>
      </c>
      <c r="D1684" s="159" t="s">
        <v>34</v>
      </c>
      <c r="E1684" s="157" t="s">
        <v>404</v>
      </c>
      <c r="F1684" s="157" t="s">
        <v>1275</v>
      </c>
      <c r="G1684" s="157" t="s">
        <v>1536</v>
      </c>
      <c r="H1684" s="157" t="s">
        <v>1287</v>
      </c>
      <c r="I1684" s="157" t="s">
        <v>1406</v>
      </c>
      <c r="J1684" s="157" t="s">
        <v>1578</v>
      </c>
      <c r="K1684" s="157" t="s">
        <v>1269</v>
      </c>
      <c r="L1684" s="157" t="s">
        <v>8484</v>
      </c>
      <c r="M1684" s="157" t="str">
        <f t="shared" si="36"/>
        <v>Taillamp Assy' P21W + P10W Right - Body - Rear Lamps R</v>
      </c>
      <c r="N1684" s="157"/>
      <c r="O1684" s="157"/>
      <c r="P1684" s="159" t="s">
        <v>4233</v>
      </c>
      <c r="Q1684" s="157"/>
      <c r="R1684" s="157"/>
      <c r="S1684" s="157"/>
      <c r="T1684" s="157"/>
      <c r="U1684" s="159" t="s">
        <v>2129</v>
      </c>
      <c r="V1684" s="159" t="s">
        <v>2129</v>
      </c>
      <c r="W1684" s="159" t="s">
        <v>2129</v>
      </c>
      <c r="X1684" s="160">
        <v>0.37</v>
      </c>
      <c r="Y1684" s="160">
        <v>0.17</v>
      </c>
      <c r="Z1684" s="160">
        <v>0.51</v>
      </c>
      <c r="AA1684" s="160">
        <v>0.31</v>
      </c>
    </row>
    <row r="1685" spans="1:27" ht="18" customHeight="1" x14ac:dyDescent="0.25">
      <c r="A1685" s="159">
        <v>4144</v>
      </c>
      <c r="B1685" s="157" t="s">
        <v>29</v>
      </c>
      <c r="C1685" s="157" t="s">
        <v>30</v>
      </c>
      <c r="D1685" s="159" t="s">
        <v>408</v>
      </c>
      <c r="E1685" s="157" t="s">
        <v>406</v>
      </c>
      <c r="F1685" s="157" t="s">
        <v>1264</v>
      </c>
      <c r="G1685" s="157" t="s">
        <v>1536</v>
      </c>
      <c r="H1685" s="157" t="s">
        <v>1287</v>
      </c>
      <c r="I1685" s="157" t="s">
        <v>1406</v>
      </c>
      <c r="J1685" s="157" t="s">
        <v>1578</v>
      </c>
      <c r="K1685" s="157" t="s">
        <v>1269</v>
      </c>
      <c r="L1685" s="157" t="s">
        <v>8484</v>
      </c>
      <c r="M1685" s="157" t="str">
        <f t="shared" si="36"/>
        <v>Taillamp Assy' P21W + P10W Right - Body - Rear Lamps R</v>
      </c>
      <c r="N1685" s="157"/>
      <c r="O1685" s="157"/>
      <c r="P1685" s="159" t="s">
        <v>4233</v>
      </c>
      <c r="Q1685" s="157"/>
      <c r="R1685" s="157"/>
      <c r="S1685" s="157"/>
      <c r="T1685" s="157"/>
      <c r="U1685" s="159" t="s">
        <v>2129</v>
      </c>
      <c r="V1685" s="159" t="s">
        <v>2129</v>
      </c>
      <c r="W1685" s="159" t="s">
        <v>2129</v>
      </c>
      <c r="X1685" s="160">
        <v>0.37</v>
      </c>
      <c r="Y1685" s="160">
        <v>0.17</v>
      </c>
      <c r="Z1685" s="160">
        <v>0.51</v>
      </c>
      <c r="AA1685" s="160">
        <v>0.31</v>
      </c>
    </row>
    <row r="1686" spans="1:27" ht="18" customHeight="1" x14ac:dyDescent="0.25">
      <c r="A1686" s="159">
        <v>4144</v>
      </c>
      <c r="B1686" s="157" t="s">
        <v>29</v>
      </c>
      <c r="C1686" s="157" t="s">
        <v>30</v>
      </c>
      <c r="D1686" s="159" t="s">
        <v>573</v>
      </c>
      <c r="E1686" s="157" t="s">
        <v>574</v>
      </c>
      <c r="F1686" s="157"/>
      <c r="G1686" s="157" t="s">
        <v>1536</v>
      </c>
      <c r="H1686" s="157" t="s">
        <v>1287</v>
      </c>
      <c r="I1686" s="157" t="s">
        <v>1406</v>
      </c>
      <c r="J1686" s="157" t="s">
        <v>1578</v>
      </c>
      <c r="K1686" s="157" t="s">
        <v>1269</v>
      </c>
      <c r="L1686" s="157" t="s">
        <v>8484</v>
      </c>
      <c r="M1686" s="157" t="str">
        <f t="shared" si="36"/>
        <v>Taillamp Assy' P21W + P10W Right - Body - Rear Lamps R</v>
      </c>
      <c r="N1686" s="157"/>
      <c r="O1686" s="157"/>
      <c r="P1686" s="159" t="s">
        <v>4233</v>
      </c>
      <c r="Q1686" s="157"/>
      <c r="R1686" s="157"/>
      <c r="S1686" s="157"/>
      <c r="T1686" s="157"/>
      <c r="U1686" s="159" t="s">
        <v>2129</v>
      </c>
      <c r="V1686" s="159" t="s">
        <v>2129</v>
      </c>
      <c r="W1686" s="159" t="s">
        <v>2129</v>
      </c>
      <c r="X1686" s="160">
        <v>0.37</v>
      </c>
      <c r="Y1686" s="160">
        <v>0.17</v>
      </c>
      <c r="Z1686" s="160">
        <v>0.51</v>
      </c>
      <c r="AA1686" s="160">
        <v>0.31</v>
      </c>
    </row>
    <row r="1687" spans="1:27" ht="18" customHeight="1" x14ac:dyDescent="0.25">
      <c r="A1687" s="159">
        <v>4144</v>
      </c>
      <c r="B1687" s="157" t="s">
        <v>251</v>
      </c>
      <c r="C1687" s="157" t="s">
        <v>366</v>
      </c>
      <c r="D1687" s="159" t="s">
        <v>494</v>
      </c>
      <c r="E1687" s="157" t="s">
        <v>492</v>
      </c>
      <c r="F1687" s="157" t="s">
        <v>1275</v>
      </c>
      <c r="G1687" s="157" t="s">
        <v>1536</v>
      </c>
      <c r="H1687" s="157" t="s">
        <v>1287</v>
      </c>
      <c r="I1687" s="157" t="s">
        <v>1406</v>
      </c>
      <c r="J1687" s="157" t="s">
        <v>1578</v>
      </c>
      <c r="K1687" s="157" t="s">
        <v>1269</v>
      </c>
      <c r="L1687" s="157" t="s">
        <v>8484</v>
      </c>
      <c r="M1687" s="157" t="str">
        <f t="shared" si="36"/>
        <v>Taillamp Assy' P21W + P10W Right - Body - Rear Lamps R</v>
      </c>
      <c r="N1687" s="157"/>
      <c r="O1687" s="157"/>
      <c r="P1687" s="159" t="s">
        <v>4233</v>
      </c>
      <c r="Q1687" s="157"/>
      <c r="R1687" s="157"/>
      <c r="S1687" s="157"/>
      <c r="T1687" s="157"/>
      <c r="U1687" s="159" t="s">
        <v>2129</v>
      </c>
      <c r="V1687" s="159" t="s">
        <v>2129</v>
      </c>
      <c r="W1687" s="159" t="s">
        <v>2129</v>
      </c>
      <c r="X1687" s="160">
        <v>0.37</v>
      </c>
      <c r="Y1687" s="160">
        <v>0.17</v>
      </c>
      <c r="Z1687" s="160">
        <v>0.51</v>
      </c>
      <c r="AA1687" s="160">
        <v>0.31</v>
      </c>
    </row>
    <row r="1688" spans="1:27" ht="18" customHeight="1" x14ac:dyDescent="0.25">
      <c r="A1688" s="159">
        <v>4147</v>
      </c>
      <c r="B1688" s="157" t="s">
        <v>29</v>
      </c>
      <c r="C1688" s="157" t="s">
        <v>82</v>
      </c>
      <c r="D1688" s="159" t="s">
        <v>1110</v>
      </c>
      <c r="E1688" s="157" t="s">
        <v>1108</v>
      </c>
      <c r="F1688" s="157"/>
      <c r="G1688" s="157" t="s">
        <v>1278</v>
      </c>
      <c r="H1688" s="157" t="s">
        <v>1294</v>
      </c>
      <c r="I1688" s="157" t="s">
        <v>9581</v>
      </c>
      <c r="J1688" s="157"/>
      <c r="K1688" s="157" t="s">
        <v>1281</v>
      </c>
      <c r="L1688" s="157" t="s">
        <v>8311</v>
      </c>
      <c r="M1688" s="157" t="str">
        <f t="shared" si="36"/>
        <v>Tailgate Remote Opening Button - Tailgate Open</v>
      </c>
      <c r="N1688" s="157"/>
      <c r="O1688" s="157"/>
      <c r="P1688" s="159" t="s">
        <v>7939</v>
      </c>
      <c r="Q1688" s="157"/>
      <c r="R1688" s="157"/>
      <c r="S1688" s="157"/>
      <c r="T1688" s="157"/>
      <c r="U1688" s="159" t="s">
        <v>2129</v>
      </c>
      <c r="V1688" s="159" t="s">
        <v>2138</v>
      </c>
      <c r="W1688" s="159" t="s">
        <v>2138</v>
      </c>
      <c r="X1688" s="160">
        <f>1*2/(20*60)</f>
        <v>1.6666666666666668E-3</v>
      </c>
      <c r="Y1688" s="160">
        <f>1*2/(20*60)</f>
        <v>1.6666666666666668E-3</v>
      </c>
      <c r="Z1688" s="160">
        <f>1*2/(20*60)</f>
        <v>1.6666666666666668E-3</v>
      </c>
      <c r="AA1688" s="160">
        <f>1*2/(20*60)</f>
        <v>1.6666666666666668E-3</v>
      </c>
    </row>
    <row r="1689" spans="1:27" ht="18" customHeight="1" x14ac:dyDescent="0.25">
      <c r="A1689" s="159">
        <v>4150</v>
      </c>
      <c r="B1689" s="157" t="s">
        <v>29</v>
      </c>
      <c r="C1689" s="157" t="s">
        <v>30</v>
      </c>
      <c r="D1689" s="159" t="s">
        <v>185</v>
      </c>
      <c r="E1689" s="157" t="s">
        <v>391</v>
      </c>
      <c r="F1689" s="157" t="s">
        <v>1275</v>
      </c>
      <c r="G1689" s="157" t="s">
        <v>1536</v>
      </c>
      <c r="H1689" s="157" t="s">
        <v>1287</v>
      </c>
      <c r="I1689" s="157" t="s">
        <v>9756</v>
      </c>
      <c r="J1689" s="157" t="s">
        <v>1709</v>
      </c>
      <c r="K1689" s="157" t="s">
        <v>1269</v>
      </c>
      <c r="L1689" s="157" t="s">
        <v>9763</v>
      </c>
      <c r="M1689" s="157" t="str">
        <f t="shared" si="36"/>
        <v>Headlamp Assy' Full LED Matrix Left - Position Lamp Left</v>
      </c>
      <c r="N1689" s="157"/>
      <c r="O1689" s="157"/>
      <c r="P1689" s="159" t="s">
        <v>7396</v>
      </c>
      <c r="Q1689" s="157" t="s">
        <v>2115</v>
      </c>
      <c r="R1689" s="157" t="s">
        <v>8262</v>
      </c>
      <c r="S1689" s="157" t="s">
        <v>8634</v>
      </c>
      <c r="T1689" s="157"/>
      <c r="U1689" s="159" t="s">
        <v>2129</v>
      </c>
      <c r="V1689" s="159" t="s">
        <v>2129</v>
      </c>
      <c r="W1689" s="159" t="s">
        <v>2138</v>
      </c>
      <c r="X1689" s="160">
        <v>0</v>
      </c>
      <c r="Y1689" s="160">
        <v>0</v>
      </c>
      <c r="Z1689" s="160">
        <v>1</v>
      </c>
      <c r="AA1689" s="160">
        <v>1</v>
      </c>
    </row>
    <row r="1690" spans="1:27" ht="18" customHeight="1" x14ac:dyDescent="0.25">
      <c r="A1690" s="159">
        <v>4150</v>
      </c>
      <c r="B1690" s="157" t="s">
        <v>29</v>
      </c>
      <c r="C1690" s="157" t="s">
        <v>30</v>
      </c>
      <c r="D1690" s="159" t="s">
        <v>395</v>
      </c>
      <c r="E1690" s="157" t="s">
        <v>393</v>
      </c>
      <c r="F1690" s="157" t="s">
        <v>1277</v>
      </c>
      <c r="G1690" s="157" t="s">
        <v>1536</v>
      </c>
      <c r="H1690" s="157" t="s">
        <v>1287</v>
      </c>
      <c r="I1690" s="157" t="s">
        <v>9756</v>
      </c>
      <c r="J1690" s="157" t="s">
        <v>1709</v>
      </c>
      <c r="K1690" s="157" t="s">
        <v>1269</v>
      </c>
      <c r="L1690" s="157" t="s">
        <v>9763</v>
      </c>
      <c r="M1690" s="157" t="str">
        <f t="shared" si="36"/>
        <v>Headlamp Assy' Full LED Matrix Left - Position Lamp Left</v>
      </c>
      <c r="N1690" s="157"/>
      <c r="O1690" s="157"/>
      <c r="P1690" s="159" t="s">
        <v>7396</v>
      </c>
      <c r="Q1690" s="157" t="s">
        <v>2115</v>
      </c>
      <c r="R1690" s="157" t="s">
        <v>8262</v>
      </c>
      <c r="S1690" s="157" t="s">
        <v>8634</v>
      </c>
      <c r="T1690" s="157"/>
      <c r="U1690" s="159" t="s">
        <v>2129</v>
      </c>
      <c r="V1690" s="159" t="s">
        <v>2129</v>
      </c>
      <c r="W1690" s="159" t="s">
        <v>2138</v>
      </c>
      <c r="X1690" s="160">
        <v>0</v>
      </c>
      <c r="Y1690" s="160">
        <v>0</v>
      </c>
      <c r="Z1690" s="160">
        <v>1</v>
      </c>
      <c r="AA1690" s="160">
        <v>1</v>
      </c>
    </row>
    <row r="1691" spans="1:27" ht="18" customHeight="1" x14ac:dyDescent="0.25">
      <c r="A1691" s="159">
        <v>4150</v>
      </c>
      <c r="B1691" s="157" t="s">
        <v>29</v>
      </c>
      <c r="C1691" s="157" t="s">
        <v>30</v>
      </c>
      <c r="D1691" s="159" t="s">
        <v>398</v>
      </c>
      <c r="E1691" s="157" t="s">
        <v>396</v>
      </c>
      <c r="F1691" s="157" t="s">
        <v>1264</v>
      </c>
      <c r="G1691" s="157" t="s">
        <v>1536</v>
      </c>
      <c r="H1691" s="157" t="s">
        <v>1287</v>
      </c>
      <c r="I1691" s="157" t="s">
        <v>9756</v>
      </c>
      <c r="J1691" s="157" t="s">
        <v>1709</v>
      </c>
      <c r="K1691" s="157" t="s">
        <v>1269</v>
      </c>
      <c r="L1691" s="157" t="s">
        <v>9763</v>
      </c>
      <c r="M1691" s="157" t="str">
        <f t="shared" si="36"/>
        <v>Headlamp Assy' Full LED Matrix Left - Position Lamp Left</v>
      </c>
      <c r="N1691" s="157"/>
      <c r="O1691" s="157"/>
      <c r="P1691" s="159" t="s">
        <v>7396</v>
      </c>
      <c r="Q1691" s="157" t="s">
        <v>2115</v>
      </c>
      <c r="R1691" s="157" t="s">
        <v>8262</v>
      </c>
      <c r="S1691" s="157" t="s">
        <v>8634</v>
      </c>
      <c r="T1691" s="157"/>
      <c r="U1691" s="159" t="s">
        <v>2129</v>
      </c>
      <c r="V1691" s="159" t="s">
        <v>2129</v>
      </c>
      <c r="W1691" s="159" t="s">
        <v>2138</v>
      </c>
      <c r="X1691" s="160">
        <v>0</v>
      </c>
      <c r="Y1691" s="160">
        <v>0</v>
      </c>
      <c r="Z1691" s="160">
        <v>1</v>
      </c>
      <c r="AA1691" s="160">
        <v>1</v>
      </c>
    </row>
    <row r="1692" spans="1:27" ht="18" customHeight="1" x14ac:dyDescent="0.25">
      <c r="A1692" s="159">
        <v>4150</v>
      </c>
      <c r="B1692" s="157" t="s">
        <v>266</v>
      </c>
      <c r="C1692" s="157" t="s">
        <v>286</v>
      </c>
      <c r="D1692" s="159" t="s">
        <v>289</v>
      </c>
      <c r="E1692" s="157" t="s">
        <v>287</v>
      </c>
      <c r="F1692" s="157" t="s">
        <v>1277</v>
      </c>
      <c r="G1692" s="157" t="s">
        <v>1536</v>
      </c>
      <c r="H1692" s="157" t="s">
        <v>1287</v>
      </c>
      <c r="I1692" s="157" t="s">
        <v>9756</v>
      </c>
      <c r="J1692" s="157" t="s">
        <v>1709</v>
      </c>
      <c r="K1692" s="157" t="s">
        <v>1269</v>
      </c>
      <c r="L1692" s="157" t="s">
        <v>9763</v>
      </c>
      <c r="M1692" s="157" t="str">
        <f t="shared" si="36"/>
        <v>Headlamp Assy' Full LED Matrix Left - Position Lamp Left</v>
      </c>
      <c r="N1692" s="157"/>
      <c r="O1692" s="157"/>
      <c r="P1692" s="159" t="s">
        <v>7396</v>
      </c>
      <c r="Q1692" s="157" t="s">
        <v>2115</v>
      </c>
      <c r="R1692" s="157" t="s">
        <v>8262</v>
      </c>
      <c r="S1692" s="157" t="s">
        <v>8634</v>
      </c>
      <c r="T1692" s="157"/>
      <c r="U1692" s="159" t="s">
        <v>2129</v>
      </c>
      <c r="V1692" s="159" t="s">
        <v>2129</v>
      </c>
      <c r="W1692" s="159" t="s">
        <v>2138</v>
      </c>
      <c r="X1692" s="160">
        <v>0</v>
      </c>
      <c r="Y1692" s="160">
        <v>0</v>
      </c>
      <c r="Z1692" s="160">
        <v>1</v>
      </c>
      <c r="AA1692" s="160">
        <v>1</v>
      </c>
    </row>
    <row r="1693" spans="1:27" ht="18" customHeight="1" x14ac:dyDescent="0.25">
      <c r="A1693" s="159">
        <v>4152</v>
      </c>
      <c r="B1693" s="157" t="s">
        <v>280</v>
      </c>
      <c r="C1693" s="157" t="s">
        <v>354</v>
      </c>
      <c r="D1693" s="159" t="s">
        <v>474</v>
      </c>
      <c r="E1693" s="157" t="s">
        <v>602</v>
      </c>
      <c r="F1693" s="157" t="s">
        <v>1264</v>
      </c>
      <c r="G1693" s="157" t="s">
        <v>1265</v>
      </c>
      <c r="H1693" s="157" t="s">
        <v>1458</v>
      </c>
      <c r="I1693" s="157" t="s">
        <v>1710</v>
      </c>
      <c r="J1693" s="157" t="s">
        <v>1711</v>
      </c>
      <c r="K1693" s="157" t="s">
        <v>1480</v>
      </c>
      <c r="L1693" s="157" t="s">
        <v>1712</v>
      </c>
      <c r="M1693" s="157" t="str">
        <f t="shared" si="36"/>
        <v>Loudspeaker - Front Left - High Tone Speaker</v>
      </c>
      <c r="N1693" s="157"/>
      <c r="O1693" s="157"/>
      <c r="P1693" s="159" t="s">
        <v>7174</v>
      </c>
      <c r="Q1693" s="157" t="s">
        <v>2115</v>
      </c>
      <c r="R1693" s="157" t="s">
        <v>2122</v>
      </c>
      <c r="S1693" s="157" t="s">
        <v>8635</v>
      </c>
      <c r="T1693" s="157"/>
      <c r="U1693" s="159" t="s">
        <v>2129</v>
      </c>
      <c r="V1693" s="159" t="s">
        <v>2138</v>
      </c>
      <c r="W1693" s="159" t="s">
        <v>2138</v>
      </c>
      <c r="X1693" s="160">
        <v>0.25</v>
      </c>
      <c r="Y1693" s="160">
        <v>0.35</v>
      </c>
      <c r="Z1693" s="160">
        <v>0.4</v>
      </c>
      <c r="AA1693" s="160">
        <v>0.3</v>
      </c>
    </row>
    <row r="1694" spans="1:27" ht="18" customHeight="1" x14ac:dyDescent="0.25">
      <c r="A1694" s="159">
        <v>4152</v>
      </c>
      <c r="B1694" s="157" t="s">
        <v>280</v>
      </c>
      <c r="C1694" s="157" t="s">
        <v>354</v>
      </c>
      <c r="D1694" s="159" t="s">
        <v>1189</v>
      </c>
      <c r="E1694" s="157" t="s">
        <v>1187</v>
      </c>
      <c r="F1694" s="157" t="s">
        <v>1264</v>
      </c>
      <c r="G1694" s="157" t="s">
        <v>1265</v>
      </c>
      <c r="H1694" s="157" t="s">
        <v>1458</v>
      </c>
      <c r="I1694" s="157" t="s">
        <v>1710</v>
      </c>
      <c r="J1694" s="157" t="s">
        <v>1711</v>
      </c>
      <c r="K1694" s="157" t="s">
        <v>1480</v>
      </c>
      <c r="L1694" s="157" t="s">
        <v>1712</v>
      </c>
      <c r="M1694" s="157" t="str">
        <f t="shared" si="36"/>
        <v>Loudspeaker - Front Left - High Tone Speaker</v>
      </c>
      <c r="N1694" s="157"/>
      <c r="O1694" s="157"/>
      <c r="P1694" s="159" t="s">
        <v>7174</v>
      </c>
      <c r="Q1694" s="157" t="s">
        <v>2115</v>
      </c>
      <c r="R1694" s="157" t="s">
        <v>2122</v>
      </c>
      <c r="S1694" s="157" t="s">
        <v>8635</v>
      </c>
      <c r="T1694" s="157"/>
      <c r="U1694" s="159" t="s">
        <v>2129</v>
      </c>
      <c r="V1694" s="159" t="s">
        <v>2138</v>
      </c>
      <c r="W1694" s="159" t="s">
        <v>2138</v>
      </c>
      <c r="X1694" s="160">
        <v>0.25</v>
      </c>
      <c r="Y1694" s="160">
        <v>0.35</v>
      </c>
      <c r="Z1694" s="160">
        <v>0.4</v>
      </c>
      <c r="AA1694" s="160">
        <v>0.3</v>
      </c>
    </row>
    <row r="1695" spans="1:27" ht="18" customHeight="1" x14ac:dyDescent="0.25">
      <c r="A1695" s="159">
        <v>4155</v>
      </c>
      <c r="B1695" s="157" t="s">
        <v>280</v>
      </c>
      <c r="C1695" s="157" t="s">
        <v>354</v>
      </c>
      <c r="D1695" s="159" t="s">
        <v>474</v>
      </c>
      <c r="E1695" s="157" t="s">
        <v>602</v>
      </c>
      <c r="F1695" s="157" t="s">
        <v>1264</v>
      </c>
      <c r="G1695" s="157" t="s">
        <v>1265</v>
      </c>
      <c r="H1695" s="157" t="s">
        <v>1458</v>
      </c>
      <c r="I1695" s="157" t="s">
        <v>1710</v>
      </c>
      <c r="J1695" s="157" t="s">
        <v>1711</v>
      </c>
      <c r="K1695" s="157" t="s">
        <v>1480</v>
      </c>
      <c r="L1695" s="157" t="s">
        <v>1714</v>
      </c>
      <c r="M1695" s="157" t="str">
        <f t="shared" si="36"/>
        <v>Loudspeaker - Front Right - High Tone Speaker</v>
      </c>
      <c r="N1695" s="157"/>
      <c r="O1695" s="157"/>
      <c r="P1695" s="159" t="s">
        <v>4339</v>
      </c>
      <c r="Q1695" s="157" t="s">
        <v>2115</v>
      </c>
      <c r="R1695" s="157" t="s">
        <v>2122</v>
      </c>
      <c r="S1695" s="157" t="s">
        <v>8635</v>
      </c>
      <c r="T1695" s="157"/>
      <c r="U1695" s="159" t="s">
        <v>2129</v>
      </c>
      <c r="V1695" s="159" t="s">
        <v>2138</v>
      </c>
      <c r="W1695" s="159" t="s">
        <v>2138</v>
      </c>
      <c r="X1695" s="160">
        <v>0.25</v>
      </c>
      <c r="Y1695" s="160">
        <v>0.35</v>
      </c>
      <c r="Z1695" s="160">
        <v>0.4</v>
      </c>
      <c r="AA1695" s="160">
        <v>0.3</v>
      </c>
    </row>
    <row r="1696" spans="1:27" ht="18" customHeight="1" x14ac:dyDescent="0.25">
      <c r="A1696" s="159">
        <v>4155</v>
      </c>
      <c r="B1696" s="157" t="s">
        <v>280</v>
      </c>
      <c r="C1696" s="157" t="s">
        <v>354</v>
      </c>
      <c r="D1696" s="159" t="s">
        <v>1189</v>
      </c>
      <c r="E1696" s="157" t="s">
        <v>1187</v>
      </c>
      <c r="F1696" s="157" t="s">
        <v>1264</v>
      </c>
      <c r="G1696" s="157" t="s">
        <v>1265</v>
      </c>
      <c r="H1696" s="157" t="s">
        <v>1458</v>
      </c>
      <c r="I1696" s="157" t="s">
        <v>1710</v>
      </c>
      <c r="J1696" s="157" t="s">
        <v>1711</v>
      </c>
      <c r="K1696" s="157" t="s">
        <v>1480</v>
      </c>
      <c r="L1696" s="157" t="s">
        <v>1714</v>
      </c>
      <c r="M1696" s="157" t="str">
        <f t="shared" si="36"/>
        <v>Loudspeaker - Front Right - High Tone Speaker</v>
      </c>
      <c r="N1696" s="157"/>
      <c r="O1696" s="157"/>
      <c r="P1696" s="159" t="s">
        <v>4339</v>
      </c>
      <c r="Q1696" s="157" t="s">
        <v>2115</v>
      </c>
      <c r="R1696" s="157" t="s">
        <v>2122</v>
      </c>
      <c r="S1696" s="157" t="s">
        <v>8635</v>
      </c>
      <c r="T1696" s="157"/>
      <c r="U1696" s="159" t="s">
        <v>2129</v>
      </c>
      <c r="V1696" s="159" t="s">
        <v>2138</v>
      </c>
      <c r="W1696" s="159" t="s">
        <v>2138</v>
      </c>
      <c r="X1696" s="160">
        <v>0.25</v>
      </c>
      <c r="Y1696" s="160">
        <v>0.35</v>
      </c>
      <c r="Z1696" s="160">
        <v>0.4</v>
      </c>
      <c r="AA1696" s="160">
        <v>0.3</v>
      </c>
    </row>
    <row r="1697" spans="1:27" ht="18" customHeight="1" x14ac:dyDescent="0.25">
      <c r="A1697" s="159">
        <v>4158</v>
      </c>
      <c r="B1697" s="157" t="s">
        <v>57</v>
      </c>
      <c r="C1697" s="157" t="s">
        <v>58</v>
      </c>
      <c r="D1697" s="159" t="s">
        <v>664</v>
      </c>
      <c r="E1697" s="157" t="s">
        <v>662</v>
      </c>
      <c r="F1697" s="157" t="s">
        <v>1264</v>
      </c>
      <c r="G1697" s="157" t="s">
        <v>1278</v>
      </c>
      <c r="H1697" s="157" t="s">
        <v>1378</v>
      </c>
      <c r="I1697" s="157" t="s">
        <v>1716</v>
      </c>
      <c r="J1697" s="157" t="s">
        <v>1285</v>
      </c>
      <c r="K1697" s="157" t="s">
        <v>1269</v>
      </c>
      <c r="L1697" s="157" t="s">
        <v>1717</v>
      </c>
      <c r="M1697" s="157" t="str">
        <f t="shared" si="36"/>
        <v>Internal Blower Motor Front - Internal Ventilation Front</v>
      </c>
      <c r="N1697" s="157"/>
      <c r="O1697" s="157"/>
      <c r="P1697" s="159" t="s">
        <v>5082</v>
      </c>
      <c r="Q1697" s="157"/>
      <c r="R1697" s="157"/>
      <c r="S1697" s="157"/>
      <c r="T1697" s="157"/>
      <c r="U1697" s="159" t="s">
        <v>2138</v>
      </c>
      <c r="V1697" s="159" t="s">
        <v>2129</v>
      </c>
      <c r="W1697" s="159" t="s">
        <v>2129</v>
      </c>
      <c r="X1697" s="160">
        <v>0.75</v>
      </c>
      <c r="Y1697" s="160">
        <v>0.25</v>
      </c>
      <c r="Z1697" s="160">
        <v>0.5</v>
      </c>
      <c r="AA1697" s="160">
        <v>0.5</v>
      </c>
    </row>
    <row r="1698" spans="1:27" ht="18" customHeight="1" x14ac:dyDescent="0.25">
      <c r="A1698" s="159">
        <v>4158</v>
      </c>
      <c r="B1698" s="157" t="s">
        <v>57</v>
      </c>
      <c r="C1698" s="157" t="s">
        <v>58</v>
      </c>
      <c r="D1698" s="159" t="s">
        <v>1002</v>
      </c>
      <c r="E1698" s="157" t="s">
        <v>1005</v>
      </c>
      <c r="F1698" s="157" t="s">
        <v>1264</v>
      </c>
      <c r="G1698" s="157" t="s">
        <v>1278</v>
      </c>
      <c r="H1698" s="157" t="s">
        <v>1378</v>
      </c>
      <c r="I1698" s="157" t="s">
        <v>1716</v>
      </c>
      <c r="J1698" s="157" t="s">
        <v>1285</v>
      </c>
      <c r="K1698" s="157" t="s">
        <v>1269</v>
      </c>
      <c r="L1698" s="157" t="s">
        <v>1717</v>
      </c>
      <c r="M1698" s="157" t="str">
        <f t="shared" si="36"/>
        <v>Internal Blower Motor Front - Internal Ventilation Front</v>
      </c>
      <c r="N1698" s="157"/>
      <c r="O1698" s="157"/>
      <c r="P1698" s="159" t="s">
        <v>5082</v>
      </c>
      <c r="Q1698" s="157"/>
      <c r="R1698" s="157"/>
      <c r="S1698" s="157"/>
      <c r="T1698" s="157"/>
      <c r="U1698" s="159" t="s">
        <v>2129</v>
      </c>
      <c r="V1698" s="159" t="s">
        <v>2129</v>
      </c>
      <c r="W1698" s="159" t="s">
        <v>2129</v>
      </c>
      <c r="X1698" s="160">
        <v>0.75</v>
      </c>
      <c r="Y1698" s="160">
        <v>0.25</v>
      </c>
      <c r="Z1698" s="160">
        <v>0.5</v>
      </c>
      <c r="AA1698" s="160">
        <v>0.5</v>
      </c>
    </row>
    <row r="1699" spans="1:27" ht="18" customHeight="1" x14ac:dyDescent="0.25">
      <c r="A1699" s="159">
        <v>4159</v>
      </c>
      <c r="B1699" s="157" t="s">
        <v>29</v>
      </c>
      <c r="C1699" s="157" t="s">
        <v>82</v>
      </c>
      <c r="D1699" s="159" t="s">
        <v>92</v>
      </c>
      <c r="E1699" s="157" t="s">
        <v>90</v>
      </c>
      <c r="F1699" s="157" t="s">
        <v>1264</v>
      </c>
      <c r="G1699" s="157" t="s">
        <v>1278</v>
      </c>
      <c r="H1699" s="157" t="s">
        <v>1344</v>
      </c>
      <c r="I1699" s="157" t="s">
        <v>8722</v>
      </c>
      <c r="J1699" s="157" t="s">
        <v>8277</v>
      </c>
      <c r="K1699" s="157" t="s">
        <v>1409</v>
      </c>
      <c r="L1699" s="157" t="s">
        <v>8724</v>
      </c>
      <c r="M1699" s="157" t="str">
        <f t="shared" si="36"/>
        <v>Near Field Communication Rear Bumber Antenna - Rear Bumber Receiving</v>
      </c>
      <c r="N1699" s="157"/>
      <c r="O1699" s="157"/>
      <c r="P1699" s="159" t="s">
        <v>5821</v>
      </c>
      <c r="Q1699" s="157" t="s">
        <v>2115</v>
      </c>
      <c r="R1699" s="157" t="s">
        <v>8259</v>
      </c>
      <c r="S1699" s="157" t="s">
        <v>8614</v>
      </c>
      <c r="T1699" s="157"/>
      <c r="U1699" s="159" t="s">
        <v>2129</v>
      </c>
      <c r="V1699" s="159" t="s">
        <v>2138</v>
      </c>
      <c r="W1699" s="159" t="s">
        <v>2138</v>
      </c>
      <c r="X1699" s="160">
        <v>0</v>
      </c>
      <c r="Y1699" s="160">
        <v>0</v>
      </c>
      <c r="Z1699" s="160">
        <v>0</v>
      </c>
      <c r="AA1699" s="160">
        <v>0</v>
      </c>
    </row>
    <row r="1700" spans="1:27" ht="18" customHeight="1" x14ac:dyDescent="0.25">
      <c r="A1700" s="159">
        <v>4160</v>
      </c>
      <c r="B1700" s="157" t="s">
        <v>318</v>
      </c>
      <c r="C1700" s="157" t="s">
        <v>433</v>
      </c>
      <c r="D1700" s="159" t="s">
        <v>436</v>
      </c>
      <c r="E1700" s="157" t="s">
        <v>434</v>
      </c>
      <c r="F1700" s="157" t="s">
        <v>1264</v>
      </c>
      <c r="G1700" s="157" t="s">
        <v>1265</v>
      </c>
      <c r="H1700" s="157" t="s">
        <v>1612</v>
      </c>
      <c r="I1700" s="157" t="s">
        <v>1715</v>
      </c>
      <c r="J1700" s="157" t="s">
        <v>1715</v>
      </c>
      <c r="K1700" s="157" t="s">
        <v>1269</v>
      </c>
      <c r="L1700" s="157" t="s">
        <v>1715</v>
      </c>
      <c r="M1700" s="157" t="str">
        <f t="shared" si="36"/>
        <v>Head-Up Display - Head-Up Display</v>
      </c>
      <c r="N1700" s="157"/>
      <c r="O1700" s="157"/>
      <c r="P1700" s="159" t="s">
        <v>6575</v>
      </c>
      <c r="Q1700" s="157"/>
      <c r="R1700" s="157"/>
      <c r="S1700" s="157"/>
      <c r="T1700" s="157"/>
      <c r="U1700" s="159" t="s">
        <v>2129</v>
      </c>
      <c r="V1700" s="159" t="s">
        <v>2129</v>
      </c>
      <c r="W1700" s="159" t="s">
        <v>2138</v>
      </c>
      <c r="X1700" s="160">
        <v>1</v>
      </c>
      <c r="Y1700" s="160">
        <v>1</v>
      </c>
      <c r="Z1700" s="160">
        <v>0.8</v>
      </c>
      <c r="AA1700" s="160">
        <v>0.8</v>
      </c>
    </row>
    <row r="1701" spans="1:27" ht="18" customHeight="1" x14ac:dyDescent="0.25">
      <c r="A1701" s="159">
        <v>4161</v>
      </c>
      <c r="B1701" s="157" t="s">
        <v>57</v>
      </c>
      <c r="C1701" s="157" t="s">
        <v>58</v>
      </c>
      <c r="D1701" s="159" t="s">
        <v>61</v>
      </c>
      <c r="E1701" s="157" t="s">
        <v>59</v>
      </c>
      <c r="F1701" s="157" t="s">
        <v>1264</v>
      </c>
      <c r="G1701" s="157" t="s">
        <v>1278</v>
      </c>
      <c r="H1701" s="157" t="s">
        <v>1378</v>
      </c>
      <c r="I1701" s="157" t="s">
        <v>1716</v>
      </c>
      <c r="J1701" s="157" t="s">
        <v>1285</v>
      </c>
      <c r="K1701" s="157" t="s">
        <v>1269</v>
      </c>
      <c r="L1701" s="157" t="s">
        <v>1717</v>
      </c>
      <c r="M1701" s="157" t="str">
        <f t="shared" si="36"/>
        <v>Internal Blower Motor Front - Internal Ventilation Front</v>
      </c>
      <c r="N1701" s="157"/>
      <c r="O1701" s="157"/>
      <c r="P1701" s="159" t="s">
        <v>5082</v>
      </c>
      <c r="Q1701" s="157"/>
      <c r="R1701" s="157"/>
      <c r="S1701" s="157"/>
      <c r="T1701" s="157"/>
      <c r="U1701" s="159" t="s">
        <v>2129</v>
      </c>
      <c r="V1701" s="159" t="s">
        <v>2129</v>
      </c>
      <c r="W1701" s="159" t="s">
        <v>2138</v>
      </c>
      <c r="X1701" s="160">
        <v>0.75</v>
      </c>
      <c r="Y1701" s="160">
        <v>0.25</v>
      </c>
      <c r="Z1701" s="160">
        <v>0.5</v>
      </c>
      <c r="AA1701" s="160">
        <v>0.5</v>
      </c>
    </row>
    <row r="1702" spans="1:27" ht="18" customHeight="1" x14ac:dyDescent="0.25">
      <c r="A1702" s="159">
        <v>4161</v>
      </c>
      <c r="B1702" s="157" t="s">
        <v>57</v>
      </c>
      <c r="C1702" s="157" t="s">
        <v>58</v>
      </c>
      <c r="D1702" s="159" t="s">
        <v>414</v>
      </c>
      <c r="E1702" s="157" t="s">
        <v>412</v>
      </c>
      <c r="F1702" s="157" t="s">
        <v>1264</v>
      </c>
      <c r="G1702" s="157" t="s">
        <v>1278</v>
      </c>
      <c r="H1702" s="157" t="s">
        <v>1378</v>
      </c>
      <c r="I1702" s="157" t="s">
        <v>1716</v>
      </c>
      <c r="J1702" s="157" t="s">
        <v>1285</v>
      </c>
      <c r="K1702" s="157" t="s">
        <v>1269</v>
      </c>
      <c r="L1702" s="157" t="s">
        <v>1717</v>
      </c>
      <c r="M1702" s="157" t="str">
        <f t="shared" si="36"/>
        <v>Internal Blower Motor Front - Internal Ventilation Front</v>
      </c>
      <c r="N1702" s="157"/>
      <c r="O1702" s="157"/>
      <c r="P1702" s="159" t="s">
        <v>5082</v>
      </c>
      <c r="Q1702" s="157"/>
      <c r="R1702" s="157"/>
      <c r="S1702" s="157"/>
      <c r="T1702" s="157"/>
      <c r="U1702" s="159" t="s">
        <v>2129</v>
      </c>
      <c r="V1702" s="159" t="s">
        <v>2138</v>
      </c>
      <c r="W1702" s="159" t="s">
        <v>2138</v>
      </c>
      <c r="X1702" s="160">
        <v>0.75</v>
      </c>
      <c r="Y1702" s="160">
        <v>0.25</v>
      </c>
      <c r="Z1702" s="160">
        <v>0.5</v>
      </c>
      <c r="AA1702" s="160">
        <v>0.5</v>
      </c>
    </row>
    <row r="1703" spans="1:27" ht="18" customHeight="1" x14ac:dyDescent="0.25">
      <c r="A1703" s="159">
        <v>4161</v>
      </c>
      <c r="B1703" s="157" t="s">
        <v>57</v>
      </c>
      <c r="C1703" s="157" t="s">
        <v>58</v>
      </c>
      <c r="D1703" s="159" t="s">
        <v>417</v>
      </c>
      <c r="E1703" s="157" t="s">
        <v>415</v>
      </c>
      <c r="F1703" s="157" t="s">
        <v>1264</v>
      </c>
      <c r="G1703" s="157" t="s">
        <v>1278</v>
      </c>
      <c r="H1703" s="157" t="s">
        <v>1378</v>
      </c>
      <c r="I1703" s="157" t="s">
        <v>1716</v>
      </c>
      <c r="J1703" s="157" t="s">
        <v>1285</v>
      </c>
      <c r="K1703" s="157" t="s">
        <v>1269</v>
      </c>
      <c r="L1703" s="157" t="s">
        <v>1717</v>
      </c>
      <c r="M1703" s="157" t="str">
        <f t="shared" si="36"/>
        <v>Internal Blower Motor Front - Internal Ventilation Front</v>
      </c>
      <c r="N1703" s="157"/>
      <c r="O1703" s="157"/>
      <c r="P1703" s="159" t="s">
        <v>5082</v>
      </c>
      <c r="Q1703" s="157"/>
      <c r="R1703" s="157"/>
      <c r="S1703" s="157"/>
      <c r="T1703" s="157"/>
      <c r="U1703" s="159" t="s">
        <v>2129</v>
      </c>
      <c r="V1703" s="159" t="s">
        <v>2138</v>
      </c>
      <c r="W1703" s="159" t="s">
        <v>2138</v>
      </c>
      <c r="X1703" s="160">
        <v>0.75</v>
      </c>
      <c r="Y1703" s="160">
        <v>0.25</v>
      </c>
      <c r="Z1703" s="160">
        <v>0.5</v>
      </c>
      <c r="AA1703" s="160">
        <v>0.5</v>
      </c>
    </row>
    <row r="1704" spans="1:27" ht="18" customHeight="1" x14ac:dyDescent="0.25">
      <c r="A1704" s="159">
        <v>4161</v>
      </c>
      <c r="B1704" s="157" t="s">
        <v>57</v>
      </c>
      <c r="C1704" s="157" t="s">
        <v>58</v>
      </c>
      <c r="D1704" s="159" t="s">
        <v>841</v>
      </c>
      <c r="E1704" s="157" t="s">
        <v>839</v>
      </c>
      <c r="F1704" s="157" t="s">
        <v>1264</v>
      </c>
      <c r="G1704" s="157" t="s">
        <v>1278</v>
      </c>
      <c r="H1704" s="157" t="s">
        <v>1378</v>
      </c>
      <c r="I1704" s="157" t="s">
        <v>1716</v>
      </c>
      <c r="J1704" s="157" t="s">
        <v>1285</v>
      </c>
      <c r="K1704" s="157" t="s">
        <v>1269</v>
      </c>
      <c r="L1704" s="157" t="s">
        <v>1717</v>
      </c>
      <c r="M1704" s="157" t="str">
        <f t="shared" si="36"/>
        <v>Internal Blower Motor Front - Internal Ventilation Front</v>
      </c>
      <c r="N1704" s="157"/>
      <c r="O1704" s="157"/>
      <c r="P1704" s="159" t="s">
        <v>5082</v>
      </c>
      <c r="Q1704" s="157"/>
      <c r="R1704" s="157"/>
      <c r="S1704" s="157"/>
      <c r="T1704" s="157"/>
      <c r="U1704" s="159" t="s">
        <v>2129</v>
      </c>
      <c r="V1704" s="159" t="s">
        <v>2129</v>
      </c>
      <c r="W1704" s="159" t="s">
        <v>2138</v>
      </c>
      <c r="X1704" s="160">
        <v>0.75</v>
      </c>
      <c r="Y1704" s="160">
        <v>0.25</v>
      </c>
      <c r="Z1704" s="160">
        <v>0.5</v>
      </c>
      <c r="AA1704" s="160">
        <v>0.5</v>
      </c>
    </row>
    <row r="1705" spans="1:27" ht="18" customHeight="1" x14ac:dyDescent="0.25">
      <c r="A1705" s="159">
        <v>4161</v>
      </c>
      <c r="B1705" s="157" t="s">
        <v>57</v>
      </c>
      <c r="C1705" s="157" t="s">
        <v>58</v>
      </c>
      <c r="D1705" s="159" t="s">
        <v>929</v>
      </c>
      <c r="E1705" s="157" t="s">
        <v>927</v>
      </c>
      <c r="F1705" s="157" t="s">
        <v>1264</v>
      </c>
      <c r="G1705" s="157" t="s">
        <v>1278</v>
      </c>
      <c r="H1705" s="157" t="s">
        <v>1378</v>
      </c>
      <c r="I1705" s="157" t="s">
        <v>1716</v>
      </c>
      <c r="J1705" s="157" t="s">
        <v>1285</v>
      </c>
      <c r="K1705" s="157" t="s">
        <v>1269</v>
      </c>
      <c r="L1705" s="157" t="s">
        <v>1717</v>
      </c>
      <c r="M1705" s="157" t="str">
        <f t="shared" si="36"/>
        <v>Internal Blower Motor Front - Internal Ventilation Front</v>
      </c>
      <c r="N1705" s="157"/>
      <c r="O1705" s="157"/>
      <c r="P1705" s="159" t="s">
        <v>5082</v>
      </c>
      <c r="Q1705" s="157"/>
      <c r="R1705" s="157"/>
      <c r="S1705" s="157"/>
      <c r="T1705" s="157"/>
      <c r="U1705" s="159" t="s">
        <v>2129</v>
      </c>
      <c r="V1705" s="159" t="s">
        <v>2129</v>
      </c>
      <c r="W1705" s="159" t="s">
        <v>2138</v>
      </c>
      <c r="X1705" s="160">
        <v>0.75</v>
      </c>
      <c r="Y1705" s="160">
        <v>0.25</v>
      </c>
      <c r="Z1705" s="160">
        <v>0.5</v>
      </c>
      <c r="AA1705" s="160">
        <v>0.5</v>
      </c>
    </row>
    <row r="1706" spans="1:27" ht="18" customHeight="1" x14ac:dyDescent="0.25">
      <c r="A1706" s="159">
        <v>4161</v>
      </c>
      <c r="B1706" s="157" t="s">
        <v>57</v>
      </c>
      <c r="C1706" s="157" t="s">
        <v>58</v>
      </c>
      <c r="D1706" s="159" t="s">
        <v>62</v>
      </c>
      <c r="E1706" s="157" t="s">
        <v>991</v>
      </c>
      <c r="F1706" s="157" t="s">
        <v>1264</v>
      </c>
      <c r="G1706" s="157" t="s">
        <v>1278</v>
      </c>
      <c r="H1706" s="157" t="s">
        <v>1378</v>
      </c>
      <c r="I1706" s="157" t="s">
        <v>1716</v>
      </c>
      <c r="J1706" s="157" t="s">
        <v>1285</v>
      </c>
      <c r="K1706" s="157" t="s">
        <v>1269</v>
      </c>
      <c r="L1706" s="157" t="s">
        <v>1717</v>
      </c>
      <c r="M1706" s="157" t="str">
        <f t="shared" si="36"/>
        <v>Internal Blower Motor Front - Internal Ventilation Front</v>
      </c>
      <c r="N1706" s="157"/>
      <c r="O1706" s="157"/>
      <c r="P1706" s="159" t="s">
        <v>5082</v>
      </c>
      <c r="Q1706" s="157"/>
      <c r="R1706" s="157"/>
      <c r="S1706" s="157"/>
      <c r="T1706" s="157"/>
      <c r="U1706" s="159" t="s">
        <v>2129</v>
      </c>
      <c r="V1706" s="159" t="s">
        <v>2138</v>
      </c>
      <c r="W1706" s="159" t="s">
        <v>2129</v>
      </c>
      <c r="X1706" s="160">
        <v>0.75</v>
      </c>
      <c r="Y1706" s="160">
        <v>0.25</v>
      </c>
      <c r="Z1706" s="160">
        <v>0.5</v>
      </c>
      <c r="AA1706" s="160">
        <v>0.5</v>
      </c>
    </row>
    <row r="1707" spans="1:27" ht="18" customHeight="1" x14ac:dyDescent="0.25">
      <c r="A1707" s="159">
        <v>4162</v>
      </c>
      <c r="B1707" s="157" t="s">
        <v>29</v>
      </c>
      <c r="C1707" s="157" t="s">
        <v>69</v>
      </c>
      <c r="D1707" s="159" t="s">
        <v>558</v>
      </c>
      <c r="E1707" s="157" t="s">
        <v>556</v>
      </c>
      <c r="F1707" s="157"/>
      <c r="G1707" s="157" t="s">
        <v>1278</v>
      </c>
      <c r="H1707" s="157" t="s">
        <v>1514</v>
      </c>
      <c r="I1707" s="157" t="s">
        <v>1720</v>
      </c>
      <c r="J1707" s="157" t="s">
        <v>1514</v>
      </c>
      <c r="K1707" s="157" t="s">
        <v>1312</v>
      </c>
      <c r="L1707" s="157" t="s">
        <v>1312</v>
      </c>
      <c r="M1707" s="157" t="str">
        <f t="shared" si="36"/>
        <v>Sensor - Internal Compartment Monitoring</v>
      </c>
      <c r="N1707" s="157"/>
      <c r="O1707" s="157"/>
      <c r="P1707" s="159" t="s">
        <v>5749</v>
      </c>
      <c r="Q1707" s="157" t="s">
        <v>2115</v>
      </c>
      <c r="R1707" s="157" t="s">
        <v>8260</v>
      </c>
      <c r="S1707" s="157" t="s">
        <v>8620</v>
      </c>
      <c r="T1707" s="157"/>
      <c r="U1707" s="159" t="s">
        <v>2129</v>
      </c>
      <c r="V1707" s="159" t="s">
        <v>2138</v>
      </c>
      <c r="W1707" s="159" t="s">
        <v>2138</v>
      </c>
      <c r="X1707" s="160">
        <v>0</v>
      </c>
      <c r="Y1707" s="160">
        <v>0</v>
      </c>
      <c r="Z1707" s="160">
        <v>0</v>
      </c>
      <c r="AA1707" s="160">
        <v>0</v>
      </c>
    </row>
    <row r="1708" spans="1:27" ht="18" customHeight="1" x14ac:dyDescent="0.25">
      <c r="A1708" s="159">
        <v>4163</v>
      </c>
      <c r="B1708" s="157" t="s">
        <v>280</v>
      </c>
      <c r="C1708" s="157" t="s">
        <v>354</v>
      </c>
      <c r="D1708" s="159" t="s">
        <v>1042</v>
      </c>
      <c r="E1708" s="157" t="s">
        <v>1040</v>
      </c>
      <c r="F1708" s="157" t="s">
        <v>1010</v>
      </c>
      <c r="G1708" s="157" t="s">
        <v>1265</v>
      </c>
      <c r="H1708" s="157" t="s">
        <v>1458</v>
      </c>
      <c r="I1708" s="157" t="s">
        <v>1721</v>
      </c>
      <c r="J1708" s="157" t="s">
        <v>1713</v>
      </c>
      <c r="K1708" s="157" t="s">
        <v>1480</v>
      </c>
      <c r="L1708" s="157" t="s">
        <v>1672</v>
      </c>
      <c r="M1708" s="157" t="str">
        <f t="shared" si="36"/>
        <v>Loudspeaker - Door Front Left - Mid Range Speaker</v>
      </c>
      <c r="N1708" s="157"/>
      <c r="O1708" s="157"/>
      <c r="P1708" s="159" t="s">
        <v>7937</v>
      </c>
      <c r="Q1708" s="157" t="s">
        <v>2115</v>
      </c>
      <c r="R1708" s="157" t="s">
        <v>2121</v>
      </c>
      <c r="S1708" s="157" t="s">
        <v>8632</v>
      </c>
      <c r="T1708" s="157"/>
      <c r="U1708" s="159" t="s">
        <v>2129</v>
      </c>
      <c r="V1708" s="159" t="s">
        <v>2129</v>
      </c>
      <c r="W1708" s="159" t="s">
        <v>2138</v>
      </c>
      <c r="X1708" s="160">
        <v>0.25</v>
      </c>
      <c r="Y1708" s="160">
        <v>0.35</v>
      </c>
      <c r="Z1708" s="160">
        <v>0.4</v>
      </c>
      <c r="AA1708" s="160">
        <v>0.3</v>
      </c>
    </row>
    <row r="1709" spans="1:27" ht="18" customHeight="1" x14ac:dyDescent="0.25">
      <c r="A1709" s="159">
        <v>4163</v>
      </c>
      <c r="B1709" s="157" t="s">
        <v>280</v>
      </c>
      <c r="C1709" s="157" t="s">
        <v>354</v>
      </c>
      <c r="D1709" s="159" t="s">
        <v>1189</v>
      </c>
      <c r="E1709" s="157" t="s">
        <v>1187</v>
      </c>
      <c r="F1709" s="157" t="s">
        <v>1264</v>
      </c>
      <c r="G1709" s="157" t="s">
        <v>1265</v>
      </c>
      <c r="H1709" s="157" t="s">
        <v>1458</v>
      </c>
      <c r="I1709" s="157" t="s">
        <v>1721</v>
      </c>
      <c r="J1709" s="157" t="s">
        <v>1713</v>
      </c>
      <c r="K1709" s="157" t="s">
        <v>1480</v>
      </c>
      <c r="L1709" s="157" t="s">
        <v>1672</v>
      </c>
      <c r="M1709" s="157" t="str">
        <f t="shared" si="36"/>
        <v>Loudspeaker - Door Front Left - Mid Range Speaker</v>
      </c>
      <c r="N1709" s="157"/>
      <c r="O1709" s="157"/>
      <c r="P1709" s="159" t="s">
        <v>7937</v>
      </c>
      <c r="Q1709" s="157" t="s">
        <v>2115</v>
      </c>
      <c r="R1709" s="157" t="s">
        <v>2121</v>
      </c>
      <c r="S1709" s="157" t="s">
        <v>8632</v>
      </c>
      <c r="T1709" s="157"/>
      <c r="U1709" s="159" t="s">
        <v>2129</v>
      </c>
      <c r="V1709" s="159" t="s">
        <v>2129</v>
      </c>
      <c r="W1709" s="159" t="s">
        <v>2138</v>
      </c>
      <c r="X1709" s="160">
        <v>0.25</v>
      </c>
      <c r="Y1709" s="160">
        <v>0.35</v>
      </c>
      <c r="Z1709" s="160">
        <v>0.4</v>
      </c>
      <c r="AA1709" s="160">
        <v>0.3</v>
      </c>
    </row>
    <row r="1710" spans="1:27" ht="18" customHeight="1" x14ac:dyDescent="0.25">
      <c r="A1710" s="159">
        <v>4164</v>
      </c>
      <c r="B1710" s="157" t="s">
        <v>29</v>
      </c>
      <c r="C1710" s="157" t="s">
        <v>82</v>
      </c>
      <c r="D1710" s="159" t="s">
        <v>92</v>
      </c>
      <c r="E1710" s="157" t="s">
        <v>90</v>
      </c>
      <c r="F1710" s="157" t="s">
        <v>1264</v>
      </c>
      <c r="G1710" s="157" t="s">
        <v>1278</v>
      </c>
      <c r="H1710" s="157" t="s">
        <v>1344</v>
      </c>
      <c r="I1710" s="157" t="s">
        <v>1722</v>
      </c>
      <c r="J1710" s="157" t="s">
        <v>8277</v>
      </c>
      <c r="K1710" s="157" t="s">
        <v>1409</v>
      </c>
      <c r="L1710" s="157" t="s">
        <v>8709</v>
      </c>
      <c r="M1710" s="157" t="str">
        <f t="shared" si="36"/>
        <v>Near Field Communication Trunk Antenna - Trunk Compartment Receiving</v>
      </c>
      <c r="N1710" s="157"/>
      <c r="O1710" s="157"/>
      <c r="P1710" s="159" t="s">
        <v>5793</v>
      </c>
      <c r="Q1710" s="157" t="s">
        <v>2115</v>
      </c>
      <c r="R1710" s="157" t="s">
        <v>8288</v>
      </c>
      <c r="S1710" s="157" t="s">
        <v>8611</v>
      </c>
      <c r="T1710" s="157"/>
      <c r="U1710" s="159" t="s">
        <v>2129</v>
      </c>
      <c r="V1710" s="159" t="s">
        <v>2129</v>
      </c>
      <c r="W1710" s="159" t="s">
        <v>2138</v>
      </c>
      <c r="X1710" s="160">
        <v>0</v>
      </c>
      <c r="Y1710" s="160">
        <v>0</v>
      </c>
      <c r="Z1710" s="160">
        <v>0</v>
      </c>
      <c r="AA1710" s="160">
        <v>0</v>
      </c>
    </row>
    <row r="1711" spans="1:27" ht="18" customHeight="1" x14ac:dyDescent="0.25">
      <c r="A1711" s="159">
        <v>4165</v>
      </c>
      <c r="B1711" s="157" t="s">
        <v>29</v>
      </c>
      <c r="C1711" s="157" t="s">
        <v>82</v>
      </c>
      <c r="D1711" s="159" t="s">
        <v>92</v>
      </c>
      <c r="E1711" s="157" t="s">
        <v>90</v>
      </c>
      <c r="F1711" s="157" t="s">
        <v>1264</v>
      </c>
      <c r="G1711" s="157" t="s">
        <v>1278</v>
      </c>
      <c r="H1711" s="157" t="s">
        <v>1344</v>
      </c>
      <c r="I1711" s="157" t="s">
        <v>8721</v>
      </c>
      <c r="J1711" s="157" t="s">
        <v>8277</v>
      </c>
      <c r="K1711" s="157" t="s">
        <v>1409</v>
      </c>
      <c r="L1711" s="157" t="s">
        <v>8723</v>
      </c>
      <c r="M1711" s="157" t="str">
        <f t="shared" si="36"/>
        <v>Near Field Communication Interior Rear Antenna - Interior Compartment Rear Receiving</v>
      </c>
      <c r="N1711" s="157"/>
      <c r="O1711" s="157"/>
      <c r="P1711" s="159" t="s">
        <v>5767</v>
      </c>
      <c r="Q1711" s="157" t="s">
        <v>2115</v>
      </c>
      <c r="R1711" s="157" t="s">
        <v>8288</v>
      </c>
      <c r="S1711" s="157" t="s">
        <v>8611</v>
      </c>
      <c r="T1711" s="157"/>
      <c r="U1711" s="159" t="s">
        <v>2129</v>
      </c>
      <c r="V1711" s="159" t="s">
        <v>2129</v>
      </c>
      <c r="W1711" s="159" t="s">
        <v>2138</v>
      </c>
      <c r="X1711" s="160">
        <v>0</v>
      </c>
      <c r="Y1711" s="160">
        <v>0</v>
      </c>
      <c r="Z1711" s="160">
        <v>0</v>
      </c>
      <c r="AA1711" s="160">
        <v>0</v>
      </c>
    </row>
    <row r="1712" spans="1:27" ht="18" customHeight="1" x14ac:dyDescent="0.25">
      <c r="A1712" s="159">
        <v>4166</v>
      </c>
      <c r="B1712" s="157" t="s">
        <v>29</v>
      </c>
      <c r="C1712" s="157" t="s">
        <v>69</v>
      </c>
      <c r="D1712" s="159" t="s">
        <v>169</v>
      </c>
      <c r="E1712" s="157" t="s">
        <v>170</v>
      </c>
      <c r="F1712" s="157" t="s">
        <v>1277</v>
      </c>
      <c r="G1712" s="157" t="s">
        <v>1278</v>
      </c>
      <c r="H1712" s="157" t="s">
        <v>1344</v>
      </c>
      <c r="I1712" s="157" t="s">
        <v>1345</v>
      </c>
      <c r="J1712" s="157" t="s">
        <v>8277</v>
      </c>
      <c r="K1712" s="157" t="s">
        <v>1409</v>
      </c>
      <c r="L1712" s="157" t="s">
        <v>8708</v>
      </c>
      <c r="M1712" s="157" t="str">
        <f t="shared" si="36"/>
        <v>Near Field Communication Center Console Antenna - Center Console Receiving</v>
      </c>
      <c r="N1712" s="157"/>
      <c r="O1712" s="157"/>
      <c r="P1712" s="159" t="s">
        <v>5742</v>
      </c>
      <c r="Q1712" s="157" t="s">
        <v>2115</v>
      </c>
      <c r="R1712" s="157" t="s">
        <v>8288</v>
      </c>
      <c r="S1712" s="157" t="s">
        <v>8611</v>
      </c>
      <c r="T1712" s="157"/>
      <c r="U1712" s="159" t="s">
        <v>2129</v>
      </c>
      <c r="V1712" s="159" t="s">
        <v>2138</v>
      </c>
      <c r="W1712" s="159" t="s">
        <v>2138</v>
      </c>
      <c r="X1712" s="160">
        <v>1</v>
      </c>
      <c r="Y1712" s="160">
        <v>1</v>
      </c>
      <c r="Z1712" s="160">
        <v>1</v>
      </c>
      <c r="AA1712" s="160">
        <v>1</v>
      </c>
    </row>
    <row r="1713" spans="1:27" ht="18" customHeight="1" x14ac:dyDescent="0.25">
      <c r="A1713" s="159">
        <v>4167</v>
      </c>
      <c r="B1713" s="157" t="s">
        <v>29</v>
      </c>
      <c r="C1713" s="157" t="s">
        <v>113</v>
      </c>
      <c r="D1713" s="159" t="s">
        <v>439</v>
      </c>
      <c r="E1713" s="157" t="s">
        <v>437</v>
      </c>
      <c r="F1713" s="157"/>
      <c r="G1713" s="157" t="s">
        <v>1349</v>
      </c>
      <c r="H1713" s="157" t="s">
        <v>1418</v>
      </c>
      <c r="I1713" s="157" t="s">
        <v>1723</v>
      </c>
      <c r="J1713" s="157" t="s">
        <v>1553</v>
      </c>
      <c r="K1713" s="157" t="s">
        <v>1352</v>
      </c>
      <c r="L1713" s="157" t="s">
        <v>1724</v>
      </c>
      <c r="M1713" s="157" t="str">
        <f t="shared" si="36"/>
        <v>Surround Camera Left - Left Side View</v>
      </c>
      <c r="N1713" s="157"/>
      <c r="O1713" s="157"/>
      <c r="P1713" s="159" t="s">
        <v>8236</v>
      </c>
      <c r="Q1713" s="157" t="s">
        <v>2115</v>
      </c>
      <c r="R1713" s="157" t="s">
        <v>8599</v>
      </c>
      <c r="S1713" s="157" t="s">
        <v>8612</v>
      </c>
      <c r="T1713" s="157" t="s">
        <v>2134</v>
      </c>
      <c r="U1713" s="159" t="s">
        <v>2129</v>
      </c>
      <c r="V1713" s="159" t="s">
        <v>2138</v>
      </c>
      <c r="W1713" s="159" t="s">
        <v>2129</v>
      </c>
      <c r="X1713" s="160">
        <v>1</v>
      </c>
      <c r="Y1713" s="160">
        <v>1</v>
      </c>
      <c r="Z1713" s="160">
        <v>1</v>
      </c>
      <c r="AA1713" s="160">
        <v>1</v>
      </c>
    </row>
    <row r="1714" spans="1:27" ht="18" customHeight="1" x14ac:dyDescent="0.25">
      <c r="A1714" s="159">
        <v>4167</v>
      </c>
      <c r="B1714" s="157" t="s">
        <v>29</v>
      </c>
      <c r="C1714" s="157" t="s">
        <v>113</v>
      </c>
      <c r="D1714" s="159" t="s">
        <v>932</v>
      </c>
      <c r="E1714" s="157" t="s">
        <v>930</v>
      </c>
      <c r="F1714" s="157"/>
      <c r="G1714" s="157" t="s">
        <v>1349</v>
      </c>
      <c r="H1714" s="157" t="s">
        <v>1418</v>
      </c>
      <c r="I1714" s="157" t="s">
        <v>1723</v>
      </c>
      <c r="J1714" s="157" t="s">
        <v>1553</v>
      </c>
      <c r="K1714" s="157" t="s">
        <v>1352</v>
      </c>
      <c r="L1714" s="157" t="s">
        <v>1724</v>
      </c>
      <c r="M1714" s="157" t="str">
        <f t="shared" si="36"/>
        <v>Surround Camera Left - Left Side View</v>
      </c>
      <c r="N1714" s="157"/>
      <c r="O1714" s="157"/>
      <c r="P1714" s="159" t="s">
        <v>8236</v>
      </c>
      <c r="Q1714" s="157" t="s">
        <v>2115</v>
      </c>
      <c r="R1714" s="157" t="s">
        <v>8599</v>
      </c>
      <c r="S1714" s="157" t="s">
        <v>8612</v>
      </c>
      <c r="T1714" s="157" t="s">
        <v>2134</v>
      </c>
      <c r="U1714" s="159" t="s">
        <v>2129</v>
      </c>
      <c r="V1714" s="159" t="s">
        <v>2138</v>
      </c>
      <c r="W1714" s="159" t="s">
        <v>2129</v>
      </c>
      <c r="X1714" s="160">
        <v>1</v>
      </c>
      <c r="Y1714" s="160">
        <v>1</v>
      </c>
      <c r="Z1714" s="160">
        <v>1</v>
      </c>
      <c r="AA1714" s="160">
        <v>1</v>
      </c>
    </row>
    <row r="1715" spans="1:27" ht="18" customHeight="1" x14ac:dyDescent="0.25">
      <c r="A1715" s="159">
        <v>4167</v>
      </c>
      <c r="B1715" s="157" t="s">
        <v>266</v>
      </c>
      <c r="C1715" s="157" t="s">
        <v>276</v>
      </c>
      <c r="D1715" s="159" t="s">
        <v>317</v>
      </c>
      <c r="E1715" s="157" t="s">
        <v>315</v>
      </c>
      <c r="F1715" s="157"/>
      <c r="G1715" s="157" t="s">
        <v>1349</v>
      </c>
      <c r="H1715" s="157" t="s">
        <v>1418</v>
      </c>
      <c r="I1715" s="157" t="s">
        <v>1723</v>
      </c>
      <c r="J1715" s="157" t="s">
        <v>1553</v>
      </c>
      <c r="K1715" s="157" t="s">
        <v>1352</v>
      </c>
      <c r="L1715" s="157" t="s">
        <v>1724</v>
      </c>
      <c r="M1715" s="157" t="str">
        <f t="shared" si="36"/>
        <v>Surround Camera Left - Left Side View</v>
      </c>
      <c r="N1715" s="157"/>
      <c r="O1715" s="157"/>
      <c r="P1715" s="159" t="s">
        <v>8236</v>
      </c>
      <c r="Q1715" s="157" t="s">
        <v>2115</v>
      </c>
      <c r="R1715" s="157" t="s">
        <v>8599</v>
      </c>
      <c r="S1715" s="157" t="s">
        <v>8612</v>
      </c>
      <c r="T1715" s="157" t="s">
        <v>2134</v>
      </c>
      <c r="U1715" s="159" t="s">
        <v>2129</v>
      </c>
      <c r="V1715" s="159" t="s">
        <v>2138</v>
      </c>
      <c r="W1715" s="159" t="s">
        <v>2129</v>
      </c>
      <c r="X1715" s="160">
        <v>1</v>
      </c>
      <c r="Y1715" s="160">
        <v>1</v>
      </c>
      <c r="Z1715" s="160">
        <v>1</v>
      </c>
      <c r="AA1715" s="160">
        <v>1</v>
      </c>
    </row>
    <row r="1716" spans="1:27" ht="18" customHeight="1" x14ac:dyDescent="0.25">
      <c r="A1716" s="159">
        <v>4167</v>
      </c>
      <c r="B1716" s="157" t="s">
        <v>266</v>
      </c>
      <c r="C1716" s="157" t="s">
        <v>276</v>
      </c>
      <c r="D1716" s="159" t="s">
        <v>734</v>
      </c>
      <c r="E1716" s="157" t="s">
        <v>732</v>
      </c>
      <c r="F1716" s="157"/>
      <c r="G1716" s="157" t="s">
        <v>1349</v>
      </c>
      <c r="H1716" s="157" t="s">
        <v>1418</v>
      </c>
      <c r="I1716" s="157" t="s">
        <v>1723</v>
      </c>
      <c r="J1716" s="157" t="s">
        <v>1553</v>
      </c>
      <c r="K1716" s="157" t="s">
        <v>1352</v>
      </c>
      <c r="L1716" s="157" t="s">
        <v>1724</v>
      </c>
      <c r="M1716" s="157" t="str">
        <f t="shared" si="36"/>
        <v>Surround Camera Left - Left Side View</v>
      </c>
      <c r="N1716" s="157"/>
      <c r="O1716" s="157"/>
      <c r="P1716" s="159" t="s">
        <v>8236</v>
      </c>
      <c r="Q1716" s="157" t="s">
        <v>2115</v>
      </c>
      <c r="R1716" s="157" t="s">
        <v>8599</v>
      </c>
      <c r="S1716" s="157" t="s">
        <v>8612</v>
      </c>
      <c r="T1716" s="157" t="s">
        <v>2134</v>
      </c>
      <c r="U1716" s="159" t="s">
        <v>2129</v>
      </c>
      <c r="V1716" s="159" t="s">
        <v>2138</v>
      </c>
      <c r="W1716" s="159" t="s">
        <v>2129</v>
      </c>
      <c r="X1716" s="160">
        <v>1</v>
      </c>
      <c r="Y1716" s="160">
        <v>1</v>
      </c>
      <c r="Z1716" s="160">
        <v>1</v>
      </c>
      <c r="AA1716" s="160">
        <v>1</v>
      </c>
    </row>
    <row r="1717" spans="1:27" ht="18" customHeight="1" x14ac:dyDescent="0.25">
      <c r="A1717" s="159">
        <v>4167</v>
      </c>
      <c r="B1717" s="157" t="s">
        <v>266</v>
      </c>
      <c r="C1717" s="157" t="s">
        <v>294</v>
      </c>
      <c r="D1717" s="159" t="s">
        <v>297</v>
      </c>
      <c r="E1717" s="157" t="s">
        <v>295</v>
      </c>
      <c r="F1717" s="157"/>
      <c r="G1717" s="157" t="s">
        <v>1349</v>
      </c>
      <c r="H1717" s="157" t="s">
        <v>1418</v>
      </c>
      <c r="I1717" s="157" t="s">
        <v>1723</v>
      </c>
      <c r="J1717" s="157" t="s">
        <v>1553</v>
      </c>
      <c r="K1717" s="157" t="s">
        <v>1352</v>
      </c>
      <c r="L1717" s="157" t="s">
        <v>1724</v>
      </c>
      <c r="M1717" s="157" t="str">
        <f t="shared" si="36"/>
        <v>Surround Camera Left - Left Side View</v>
      </c>
      <c r="N1717" s="157"/>
      <c r="O1717" s="157"/>
      <c r="P1717" s="159" t="s">
        <v>8236</v>
      </c>
      <c r="Q1717" s="157" t="s">
        <v>2115</v>
      </c>
      <c r="R1717" s="157" t="s">
        <v>8599</v>
      </c>
      <c r="S1717" s="157" t="s">
        <v>8612</v>
      </c>
      <c r="T1717" s="157" t="s">
        <v>2134</v>
      </c>
      <c r="U1717" s="159" t="s">
        <v>2129</v>
      </c>
      <c r="V1717" s="159" t="s">
        <v>2138</v>
      </c>
      <c r="W1717" s="159" t="s">
        <v>2129</v>
      </c>
      <c r="X1717" s="160">
        <v>1</v>
      </c>
      <c r="Y1717" s="160">
        <v>1</v>
      </c>
      <c r="Z1717" s="160">
        <v>1</v>
      </c>
      <c r="AA1717" s="160">
        <v>1</v>
      </c>
    </row>
    <row r="1718" spans="1:27" ht="18" customHeight="1" x14ac:dyDescent="0.25">
      <c r="A1718" s="159">
        <v>4167</v>
      </c>
      <c r="B1718" s="157" t="s">
        <v>266</v>
      </c>
      <c r="C1718" s="157" t="s">
        <v>294</v>
      </c>
      <c r="D1718" s="159" t="s">
        <v>298</v>
      </c>
      <c r="E1718" s="157" t="s">
        <v>299</v>
      </c>
      <c r="F1718" s="157"/>
      <c r="G1718" s="157" t="s">
        <v>1349</v>
      </c>
      <c r="H1718" s="157" t="s">
        <v>1418</v>
      </c>
      <c r="I1718" s="157" t="s">
        <v>1723</v>
      </c>
      <c r="J1718" s="157" t="s">
        <v>1553</v>
      </c>
      <c r="K1718" s="157" t="s">
        <v>1352</v>
      </c>
      <c r="L1718" s="157" t="s">
        <v>1724</v>
      </c>
      <c r="M1718" s="157" t="str">
        <f t="shared" si="36"/>
        <v>Surround Camera Left - Left Side View</v>
      </c>
      <c r="N1718" s="157"/>
      <c r="O1718" s="157"/>
      <c r="P1718" s="159" t="s">
        <v>8236</v>
      </c>
      <c r="Q1718" s="157" t="s">
        <v>2115</v>
      </c>
      <c r="R1718" s="157" t="s">
        <v>8599</v>
      </c>
      <c r="S1718" s="157" t="s">
        <v>8612</v>
      </c>
      <c r="T1718" s="157" t="s">
        <v>2134</v>
      </c>
      <c r="U1718" s="159" t="s">
        <v>2129</v>
      </c>
      <c r="V1718" s="159" t="s">
        <v>2138</v>
      </c>
      <c r="W1718" s="159" t="s">
        <v>2129</v>
      </c>
      <c r="X1718" s="160">
        <v>1</v>
      </c>
      <c r="Y1718" s="160">
        <v>1</v>
      </c>
      <c r="Z1718" s="160">
        <v>1</v>
      </c>
      <c r="AA1718" s="160">
        <v>1</v>
      </c>
    </row>
    <row r="1719" spans="1:27" ht="18" customHeight="1" x14ac:dyDescent="0.25">
      <c r="A1719" s="159">
        <v>4167</v>
      </c>
      <c r="B1719" s="157" t="s">
        <v>266</v>
      </c>
      <c r="C1719" s="157" t="s">
        <v>294</v>
      </c>
      <c r="D1719" s="159" t="s">
        <v>1177</v>
      </c>
      <c r="E1719" s="157" t="s">
        <v>1175</v>
      </c>
      <c r="F1719" s="157"/>
      <c r="G1719" s="157" t="s">
        <v>1349</v>
      </c>
      <c r="H1719" s="157" t="s">
        <v>1418</v>
      </c>
      <c r="I1719" s="157" t="s">
        <v>1723</v>
      </c>
      <c r="J1719" s="157" t="s">
        <v>1553</v>
      </c>
      <c r="K1719" s="157" t="s">
        <v>1352</v>
      </c>
      <c r="L1719" s="157" t="s">
        <v>1724</v>
      </c>
      <c r="M1719" s="157" t="str">
        <f t="shared" si="36"/>
        <v>Surround Camera Left - Left Side View</v>
      </c>
      <c r="N1719" s="157"/>
      <c r="O1719" s="157"/>
      <c r="P1719" s="159" t="s">
        <v>8236</v>
      </c>
      <c r="Q1719" s="157" t="s">
        <v>2115</v>
      </c>
      <c r="R1719" s="157" t="s">
        <v>8599</v>
      </c>
      <c r="S1719" s="157" t="s">
        <v>8612</v>
      </c>
      <c r="T1719" s="157" t="s">
        <v>2134</v>
      </c>
      <c r="U1719" s="159" t="s">
        <v>2129</v>
      </c>
      <c r="V1719" s="159" t="s">
        <v>2138</v>
      </c>
      <c r="W1719" s="159" t="s">
        <v>2129</v>
      </c>
      <c r="X1719" s="160">
        <v>1</v>
      </c>
      <c r="Y1719" s="160">
        <v>1</v>
      </c>
      <c r="Z1719" s="160">
        <v>1</v>
      </c>
      <c r="AA1719" s="160">
        <v>1</v>
      </c>
    </row>
    <row r="1720" spans="1:27" ht="18" customHeight="1" x14ac:dyDescent="0.25">
      <c r="A1720" s="159">
        <v>4167</v>
      </c>
      <c r="B1720" s="157" t="s">
        <v>266</v>
      </c>
      <c r="C1720" s="157" t="s">
        <v>294</v>
      </c>
      <c r="D1720" s="159" t="s">
        <v>1178</v>
      </c>
      <c r="E1720" s="157" t="s">
        <v>1179</v>
      </c>
      <c r="F1720" s="157"/>
      <c r="G1720" s="157" t="s">
        <v>1349</v>
      </c>
      <c r="H1720" s="157" t="s">
        <v>1418</v>
      </c>
      <c r="I1720" s="157" t="s">
        <v>1723</v>
      </c>
      <c r="J1720" s="157" t="s">
        <v>1553</v>
      </c>
      <c r="K1720" s="157" t="s">
        <v>1352</v>
      </c>
      <c r="L1720" s="157" t="s">
        <v>1724</v>
      </c>
      <c r="M1720" s="157" t="str">
        <f t="shared" si="36"/>
        <v>Surround Camera Left - Left Side View</v>
      </c>
      <c r="N1720" s="157"/>
      <c r="O1720" s="157"/>
      <c r="P1720" s="159" t="s">
        <v>8236</v>
      </c>
      <c r="Q1720" s="157" t="s">
        <v>2115</v>
      </c>
      <c r="R1720" s="157" t="s">
        <v>8599</v>
      </c>
      <c r="S1720" s="157" t="s">
        <v>8612</v>
      </c>
      <c r="T1720" s="157" t="s">
        <v>2134</v>
      </c>
      <c r="U1720" s="159" t="s">
        <v>2129</v>
      </c>
      <c r="V1720" s="159" t="s">
        <v>2138</v>
      </c>
      <c r="W1720" s="159" t="s">
        <v>2129</v>
      </c>
      <c r="X1720" s="160">
        <v>1</v>
      </c>
      <c r="Y1720" s="160">
        <v>1</v>
      </c>
      <c r="Z1720" s="160">
        <v>1</v>
      </c>
      <c r="AA1720" s="160">
        <v>1</v>
      </c>
    </row>
    <row r="1721" spans="1:27" ht="18" customHeight="1" x14ac:dyDescent="0.25">
      <c r="A1721" s="159">
        <v>4167</v>
      </c>
      <c r="B1721" s="157" t="s">
        <v>266</v>
      </c>
      <c r="C1721" s="157" t="s">
        <v>294</v>
      </c>
      <c r="D1721" s="159" t="s">
        <v>1207</v>
      </c>
      <c r="E1721" s="157" t="s">
        <v>1205</v>
      </c>
      <c r="F1721" s="157"/>
      <c r="G1721" s="157" t="s">
        <v>1349</v>
      </c>
      <c r="H1721" s="157" t="s">
        <v>1418</v>
      </c>
      <c r="I1721" s="157" t="s">
        <v>1723</v>
      </c>
      <c r="J1721" s="157" t="s">
        <v>1553</v>
      </c>
      <c r="K1721" s="157" t="s">
        <v>1352</v>
      </c>
      <c r="L1721" s="157" t="s">
        <v>1724</v>
      </c>
      <c r="M1721" s="157" t="str">
        <f t="shared" si="36"/>
        <v>Surround Camera Left - Left Side View</v>
      </c>
      <c r="N1721" s="157"/>
      <c r="O1721" s="157"/>
      <c r="P1721" s="159" t="s">
        <v>8236</v>
      </c>
      <c r="Q1721" s="157" t="s">
        <v>2115</v>
      </c>
      <c r="R1721" s="157" t="s">
        <v>8599</v>
      </c>
      <c r="S1721" s="157" t="s">
        <v>8612</v>
      </c>
      <c r="T1721" s="157" t="s">
        <v>2134</v>
      </c>
      <c r="U1721" s="159" t="s">
        <v>2129</v>
      </c>
      <c r="V1721" s="159" t="s">
        <v>2138</v>
      </c>
      <c r="W1721" s="159" t="s">
        <v>2129</v>
      </c>
      <c r="X1721" s="160">
        <v>1</v>
      </c>
      <c r="Y1721" s="160">
        <v>1</v>
      </c>
      <c r="Z1721" s="160">
        <v>1</v>
      </c>
      <c r="AA1721" s="160">
        <v>1</v>
      </c>
    </row>
    <row r="1722" spans="1:27" ht="18" customHeight="1" x14ac:dyDescent="0.25">
      <c r="A1722" s="159">
        <v>4168</v>
      </c>
      <c r="B1722" s="157" t="s">
        <v>29</v>
      </c>
      <c r="C1722" s="157" t="s">
        <v>113</v>
      </c>
      <c r="D1722" s="159" t="s">
        <v>439</v>
      </c>
      <c r="E1722" s="157" t="s">
        <v>437</v>
      </c>
      <c r="F1722" s="157"/>
      <c r="G1722" s="157" t="s">
        <v>1349</v>
      </c>
      <c r="H1722" s="157" t="s">
        <v>1418</v>
      </c>
      <c r="I1722" s="157" t="s">
        <v>1725</v>
      </c>
      <c r="J1722" s="157" t="s">
        <v>1553</v>
      </c>
      <c r="K1722" s="157" t="s">
        <v>1352</v>
      </c>
      <c r="L1722" s="157" t="s">
        <v>1726</v>
      </c>
      <c r="M1722" s="157" t="str">
        <f t="shared" si="36"/>
        <v>Surround Camera Right - Right Side View</v>
      </c>
      <c r="N1722" s="157"/>
      <c r="O1722" s="157"/>
      <c r="P1722" s="159" t="s">
        <v>3582</v>
      </c>
      <c r="Q1722" s="157" t="s">
        <v>2115</v>
      </c>
      <c r="R1722" s="157" t="s">
        <v>8599</v>
      </c>
      <c r="S1722" s="157" t="s">
        <v>8612</v>
      </c>
      <c r="T1722" s="157" t="s">
        <v>2134</v>
      </c>
      <c r="U1722" s="159" t="s">
        <v>2129</v>
      </c>
      <c r="V1722" s="159" t="s">
        <v>2138</v>
      </c>
      <c r="W1722" s="159" t="s">
        <v>2129</v>
      </c>
      <c r="X1722" s="160">
        <v>1</v>
      </c>
      <c r="Y1722" s="160">
        <v>1</v>
      </c>
      <c r="Z1722" s="160">
        <v>1</v>
      </c>
      <c r="AA1722" s="160">
        <v>1</v>
      </c>
    </row>
    <row r="1723" spans="1:27" ht="18" customHeight="1" x14ac:dyDescent="0.25">
      <c r="A1723" s="159">
        <v>4168</v>
      </c>
      <c r="B1723" s="157" t="s">
        <v>29</v>
      </c>
      <c r="C1723" s="157" t="s">
        <v>113</v>
      </c>
      <c r="D1723" s="159" t="s">
        <v>932</v>
      </c>
      <c r="E1723" s="157" t="s">
        <v>930</v>
      </c>
      <c r="F1723" s="157"/>
      <c r="G1723" s="157" t="s">
        <v>1349</v>
      </c>
      <c r="H1723" s="157" t="s">
        <v>1418</v>
      </c>
      <c r="I1723" s="157" t="s">
        <v>1725</v>
      </c>
      <c r="J1723" s="157" t="s">
        <v>1553</v>
      </c>
      <c r="K1723" s="157" t="s">
        <v>1352</v>
      </c>
      <c r="L1723" s="157" t="s">
        <v>1726</v>
      </c>
      <c r="M1723" s="157" t="str">
        <f t="shared" si="36"/>
        <v>Surround Camera Right - Right Side View</v>
      </c>
      <c r="N1723" s="157"/>
      <c r="O1723" s="157"/>
      <c r="P1723" s="159" t="s">
        <v>3582</v>
      </c>
      <c r="Q1723" s="157" t="s">
        <v>2115</v>
      </c>
      <c r="R1723" s="157" t="s">
        <v>8599</v>
      </c>
      <c r="S1723" s="157" t="s">
        <v>8612</v>
      </c>
      <c r="T1723" s="157" t="s">
        <v>2134</v>
      </c>
      <c r="U1723" s="159" t="s">
        <v>2129</v>
      </c>
      <c r="V1723" s="159" t="s">
        <v>2138</v>
      </c>
      <c r="W1723" s="159" t="s">
        <v>2129</v>
      </c>
      <c r="X1723" s="160">
        <v>1</v>
      </c>
      <c r="Y1723" s="160">
        <v>1</v>
      </c>
      <c r="Z1723" s="160">
        <v>1</v>
      </c>
      <c r="AA1723" s="160">
        <v>1</v>
      </c>
    </row>
    <row r="1724" spans="1:27" ht="18" customHeight="1" x14ac:dyDescent="0.25">
      <c r="A1724" s="159">
        <v>4168</v>
      </c>
      <c r="B1724" s="157" t="s">
        <v>266</v>
      </c>
      <c r="C1724" s="157" t="s">
        <v>276</v>
      </c>
      <c r="D1724" s="159" t="s">
        <v>317</v>
      </c>
      <c r="E1724" s="157" t="s">
        <v>315</v>
      </c>
      <c r="F1724" s="157"/>
      <c r="G1724" s="157" t="s">
        <v>1349</v>
      </c>
      <c r="H1724" s="157" t="s">
        <v>1418</v>
      </c>
      <c r="I1724" s="157" t="s">
        <v>1725</v>
      </c>
      <c r="J1724" s="157" t="s">
        <v>1553</v>
      </c>
      <c r="K1724" s="157" t="s">
        <v>1352</v>
      </c>
      <c r="L1724" s="157" t="s">
        <v>1726</v>
      </c>
      <c r="M1724" s="157" t="str">
        <f t="shared" si="36"/>
        <v>Surround Camera Right - Right Side View</v>
      </c>
      <c r="N1724" s="157"/>
      <c r="O1724" s="157"/>
      <c r="P1724" s="159" t="s">
        <v>3582</v>
      </c>
      <c r="Q1724" s="157" t="s">
        <v>2115</v>
      </c>
      <c r="R1724" s="157" t="s">
        <v>8599</v>
      </c>
      <c r="S1724" s="157" t="s">
        <v>8612</v>
      </c>
      <c r="T1724" s="157" t="s">
        <v>2134</v>
      </c>
      <c r="U1724" s="159" t="s">
        <v>2129</v>
      </c>
      <c r="V1724" s="159" t="s">
        <v>2138</v>
      </c>
      <c r="W1724" s="159" t="s">
        <v>2129</v>
      </c>
      <c r="X1724" s="160">
        <v>1</v>
      </c>
      <c r="Y1724" s="160">
        <v>1</v>
      </c>
      <c r="Z1724" s="160">
        <v>1</v>
      </c>
      <c r="AA1724" s="160">
        <v>1</v>
      </c>
    </row>
    <row r="1725" spans="1:27" ht="18" customHeight="1" x14ac:dyDescent="0.25">
      <c r="A1725" s="159">
        <v>4168</v>
      </c>
      <c r="B1725" s="157" t="s">
        <v>266</v>
      </c>
      <c r="C1725" s="157" t="s">
        <v>276</v>
      </c>
      <c r="D1725" s="159" t="s">
        <v>734</v>
      </c>
      <c r="E1725" s="157" t="s">
        <v>732</v>
      </c>
      <c r="F1725" s="157"/>
      <c r="G1725" s="157" t="s">
        <v>1349</v>
      </c>
      <c r="H1725" s="157" t="s">
        <v>1418</v>
      </c>
      <c r="I1725" s="157" t="s">
        <v>1725</v>
      </c>
      <c r="J1725" s="157" t="s">
        <v>1553</v>
      </c>
      <c r="K1725" s="157" t="s">
        <v>1352</v>
      </c>
      <c r="L1725" s="157" t="s">
        <v>1726</v>
      </c>
      <c r="M1725" s="157" t="str">
        <f t="shared" si="36"/>
        <v>Surround Camera Right - Right Side View</v>
      </c>
      <c r="N1725" s="157"/>
      <c r="O1725" s="157"/>
      <c r="P1725" s="159" t="s">
        <v>3582</v>
      </c>
      <c r="Q1725" s="157" t="s">
        <v>2115</v>
      </c>
      <c r="R1725" s="157" t="s">
        <v>8599</v>
      </c>
      <c r="S1725" s="157" t="s">
        <v>8612</v>
      </c>
      <c r="T1725" s="157" t="s">
        <v>2134</v>
      </c>
      <c r="U1725" s="159" t="s">
        <v>2129</v>
      </c>
      <c r="V1725" s="159" t="s">
        <v>2138</v>
      </c>
      <c r="W1725" s="159" t="s">
        <v>2129</v>
      </c>
      <c r="X1725" s="160">
        <v>1</v>
      </c>
      <c r="Y1725" s="160">
        <v>1</v>
      </c>
      <c r="Z1725" s="160">
        <v>1</v>
      </c>
      <c r="AA1725" s="160">
        <v>1</v>
      </c>
    </row>
    <row r="1726" spans="1:27" ht="18" customHeight="1" x14ac:dyDescent="0.25">
      <c r="A1726" s="159">
        <v>4168</v>
      </c>
      <c r="B1726" s="157" t="s">
        <v>266</v>
      </c>
      <c r="C1726" s="157" t="s">
        <v>294</v>
      </c>
      <c r="D1726" s="159" t="s">
        <v>297</v>
      </c>
      <c r="E1726" s="157" t="s">
        <v>295</v>
      </c>
      <c r="F1726" s="157"/>
      <c r="G1726" s="157" t="s">
        <v>1349</v>
      </c>
      <c r="H1726" s="157" t="s">
        <v>1418</v>
      </c>
      <c r="I1726" s="157" t="s">
        <v>1725</v>
      </c>
      <c r="J1726" s="157" t="s">
        <v>1553</v>
      </c>
      <c r="K1726" s="157" t="s">
        <v>1352</v>
      </c>
      <c r="L1726" s="157" t="s">
        <v>1726</v>
      </c>
      <c r="M1726" s="157" t="str">
        <f t="shared" si="36"/>
        <v>Surround Camera Right - Right Side View</v>
      </c>
      <c r="N1726" s="157"/>
      <c r="O1726" s="157"/>
      <c r="P1726" s="159" t="s">
        <v>3582</v>
      </c>
      <c r="Q1726" s="157" t="s">
        <v>2115</v>
      </c>
      <c r="R1726" s="157" t="s">
        <v>8599</v>
      </c>
      <c r="S1726" s="157" t="s">
        <v>8612</v>
      </c>
      <c r="T1726" s="157" t="s">
        <v>2134</v>
      </c>
      <c r="U1726" s="159" t="s">
        <v>2129</v>
      </c>
      <c r="V1726" s="159" t="s">
        <v>2138</v>
      </c>
      <c r="W1726" s="159" t="s">
        <v>2129</v>
      </c>
      <c r="X1726" s="160">
        <v>1</v>
      </c>
      <c r="Y1726" s="160">
        <v>1</v>
      </c>
      <c r="Z1726" s="160">
        <v>1</v>
      </c>
      <c r="AA1726" s="160">
        <v>1</v>
      </c>
    </row>
    <row r="1727" spans="1:27" ht="18" customHeight="1" x14ac:dyDescent="0.25">
      <c r="A1727" s="159">
        <v>4168</v>
      </c>
      <c r="B1727" s="157" t="s">
        <v>266</v>
      </c>
      <c r="C1727" s="157" t="s">
        <v>294</v>
      </c>
      <c r="D1727" s="159" t="s">
        <v>298</v>
      </c>
      <c r="E1727" s="157" t="s">
        <v>299</v>
      </c>
      <c r="F1727" s="157"/>
      <c r="G1727" s="157" t="s">
        <v>1349</v>
      </c>
      <c r="H1727" s="157" t="s">
        <v>1418</v>
      </c>
      <c r="I1727" s="157" t="s">
        <v>1725</v>
      </c>
      <c r="J1727" s="157" t="s">
        <v>1553</v>
      </c>
      <c r="K1727" s="157" t="s">
        <v>1352</v>
      </c>
      <c r="L1727" s="157" t="s">
        <v>1726</v>
      </c>
      <c r="M1727" s="157" t="str">
        <f t="shared" si="36"/>
        <v>Surround Camera Right - Right Side View</v>
      </c>
      <c r="N1727" s="157"/>
      <c r="O1727" s="157"/>
      <c r="P1727" s="159" t="s">
        <v>3582</v>
      </c>
      <c r="Q1727" s="157" t="s">
        <v>2115</v>
      </c>
      <c r="R1727" s="157" t="s">
        <v>8599</v>
      </c>
      <c r="S1727" s="157" t="s">
        <v>8612</v>
      </c>
      <c r="T1727" s="157" t="s">
        <v>2134</v>
      </c>
      <c r="U1727" s="159" t="s">
        <v>2129</v>
      </c>
      <c r="V1727" s="159" t="s">
        <v>2138</v>
      </c>
      <c r="W1727" s="159" t="s">
        <v>2129</v>
      </c>
      <c r="X1727" s="160">
        <v>1</v>
      </c>
      <c r="Y1727" s="160">
        <v>1</v>
      </c>
      <c r="Z1727" s="160">
        <v>1</v>
      </c>
      <c r="AA1727" s="160">
        <v>1</v>
      </c>
    </row>
    <row r="1728" spans="1:27" ht="18" customHeight="1" x14ac:dyDescent="0.25">
      <c r="A1728" s="159">
        <v>4168</v>
      </c>
      <c r="B1728" s="157" t="s">
        <v>266</v>
      </c>
      <c r="C1728" s="157" t="s">
        <v>294</v>
      </c>
      <c r="D1728" s="159" t="s">
        <v>1177</v>
      </c>
      <c r="E1728" s="157" t="s">
        <v>1175</v>
      </c>
      <c r="F1728" s="157"/>
      <c r="G1728" s="157" t="s">
        <v>1349</v>
      </c>
      <c r="H1728" s="157" t="s">
        <v>1418</v>
      </c>
      <c r="I1728" s="157" t="s">
        <v>1725</v>
      </c>
      <c r="J1728" s="157" t="s">
        <v>1553</v>
      </c>
      <c r="K1728" s="157" t="s">
        <v>1352</v>
      </c>
      <c r="L1728" s="157" t="s">
        <v>1726</v>
      </c>
      <c r="M1728" s="157" t="str">
        <f t="shared" si="36"/>
        <v>Surround Camera Right - Right Side View</v>
      </c>
      <c r="N1728" s="157"/>
      <c r="O1728" s="157"/>
      <c r="P1728" s="159" t="s">
        <v>3582</v>
      </c>
      <c r="Q1728" s="157" t="s">
        <v>2115</v>
      </c>
      <c r="R1728" s="157" t="s">
        <v>8599</v>
      </c>
      <c r="S1728" s="157" t="s">
        <v>8612</v>
      </c>
      <c r="T1728" s="157" t="s">
        <v>2134</v>
      </c>
      <c r="U1728" s="159" t="s">
        <v>2129</v>
      </c>
      <c r="V1728" s="159" t="s">
        <v>2138</v>
      </c>
      <c r="W1728" s="159" t="s">
        <v>2129</v>
      </c>
      <c r="X1728" s="160">
        <v>1</v>
      </c>
      <c r="Y1728" s="160">
        <v>1</v>
      </c>
      <c r="Z1728" s="160">
        <v>1</v>
      </c>
      <c r="AA1728" s="160">
        <v>1</v>
      </c>
    </row>
    <row r="1729" spans="1:27" ht="18" customHeight="1" x14ac:dyDescent="0.25">
      <c r="A1729" s="159">
        <v>4168</v>
      </c>
      <c r="B1729" s="157" t="s">
        <v>266</v>
      </c>
      <c r="C1729" s="157" t="s">
        <v>294</v>
      </c>
      <c r="D1729" s="159" t="s">
        <v>1178</v>
      </c>
      <c r="E1729" s="157" t="s">
        <v>1179</v>
      </c>
      <c r="F1729" s="157"/>
      <c r="G1729" s="157" t="s">
        <v>1349</v>
      </c>
      <c r="H1729" s="157" t="s">
        <v>1418</v>
      </c>
      <c r="I1729" s="157" t="s">
        <v>1725</v>
      </c>
      <c r="J1729" s="157" t="s">
        <v>1553</v>
      </c>
      <c r="K1729" s="157" t="s">
        <v>1352</v>
      </c>
      <c r="L1729" s="157" t="s">
        <v>1726</v>
      </c>
      <c r="M1729" s="157" t="str">
        <f t="shared" si="36"/>
        <v>Surround Camera Right - Right Side View</v>
      </c>
      <c r="N1729" s="157"/>
      <c r="O1729" s="157"/>
      <c r="P1729" s="159" t="s">
        <v>3582</v>
      </c>
      <c r="Q1729" s="157" t="s">
        <v>2115</v>
      </c>
      <c r="R1729" s="157" t="s">
        <v>8599</v>
      </c>
      <c r="S1729" s="157" t="s">
        <v>8612</v>
      </c>
      <c r="T1729" s="157" t="s">
        <v>2134</v>
      </c>
      <c r="U1729" s="159" t="s">
        <v>2129</v>
      </c>
      <c r="V1729" s="159" t="s">
        <v>2138</v>
      </c>
      <c r="W1729" s="159" t="s">
        <v>2129</v>
      </c>
      <c r="X1729" s="160">
        <v>1</v>
      </c>
      <c r="Y1729" s="160">
        <v>1</v>
      </c>
      <c r="Z1729" s="160">
        <v>1</v>
      </c>
      <c r="AA1729" s="160">
        <v>1</v>
      </c>
    </row>
    <row r="1730" spans="1:27" ht="18" customHeight="1" x14ac:dyDescent="0.25">
      <c r="A1730" s="159">
        <v>4168</v>
      </c>
      <c r="B1730" s="157" t="s">
        <v>266</v>
      </c>
      <c r="C1730" s="157" t="s">
        <v>294</v>
      </c>
      <c r="D1730" s="159" t="s">
        <v>1207</v>
      </c>
      <c r="E1730" s="157" t="s">
        <v>1205</v>
      </c>
      <c r="F1730" s="157"/>
      <c r="G1730" s="157" t="s">
        <v>1349</v>
      </c>
      <c r="H1730" s="157" t="s">
        <v>1418</v>
      </c>
      <c r="I1730" s="157" t="s">
        <v>1725</v>
      </c>
      <c r="J1730" s="157" t="s">
        <v>1553</v>
      </c>
      <c r="K1730" s="157" t="s">
        <v>1352</v>
      </c>
      <c r="L1730" s="157" t="s">
        <v>1726</v>
      </c>
      <c r="M1730" s="157" t="str">
        <f t="shared" si="36"/>
        <v>Surround Camera Right - Right Side View</v>
      </c>
      <c r="N1730" s="157"/>
      <c r="O1730" s="157"/>
      <c r="P1730" s="159" t="s">
        <v>3582</v>
      </c>
      <c r="Q1730" s="157" t="s">
        <v>2115</v>
      </c>
      <c r="R1730" s="157" t="s">
        <v>8599</v>
      </c>
      <c r="S1730" s="157" t="s">
        <v>8612</v>
      </c>
      <c r="T1730" s="157" t="s">
        <v>2134</v>
      </c>
      <c r="U1730" s="159" t="s">
        <v>2129</v>
      </c>
      <c r="V1730" s="159" t="s">
        <v>2138</v>
      </c>
      <c r="W1730" s="159" t="s">
        <v>2129</v>
      </c>
      <c r="X1730" s="160">
        <v>1</v>
      </c>
      <c r="Y1730" s="160">
        <v>1</v>
      </c>
      <c r="Z1730" s="160">
        <v>1</v>
      </c>
      <c r="AA1730" s="160">
        <v>1</v>
      </c>
    </row>
    <row r="1731" spans="1:27" ht="18" customHeight="1" x14ac:dyDescent="0.25">
      <c r="A1731" s="159">
        <v>4169</v>
      </c>
      <c r="B1731" s="157" t="s">
        <v>57</v>
      </c>
      <c r="C1731" s="157" t="s">
        <v>58</v>
      </c>
      <c r="D1731" s="159" t="s">
        <v>841</v>
      </c>
      <c r="E1731" s="157" t="s">
        <v>839</v>
      </c>
      <c r="F1731" s="157" t="s">
        <v>1264</v>
      </c>
      <c r="G1731" s="157" t="s">
        <v>1278</v>
      </c>
      <c r="H1731" s="157" t="s">
        <v>1378</v>
      </c>
      <c r="I1731" s="157" t="s">
        <v>1727</v>
      </c>
      <c r="J1731" s="157" t="s">
        <v>1718</v>
      </c>
      <c r="K1731" s="157" t="s">
        <v>1274</v>
      </c>
      <c r="L1731" s="157" t="s">
        <v>1719</v>
      </c>
      <c r="M1731" s="157" t="str">
        <f t="shared" si="36"/>
        <v>Rear Control Unit with User Selector - Command Panel and Computing</v>
      </c>
      <c r="N1731" s="157"/>
      <c r="O1731" s="157"/>
      <c r="P1731" s="159" t="s">
        <v>5767</v>
      </c>
      <c r="Q1731" s="157" t="s">
        <v>2115</v>
      </c>
      <c r="R1731" s="157" t="s">
        <v>2139</v>
      </c>
      <c r="S1731" s="157" t="s">
        <v>8605</v>
      </c>
      <c r="T1731" s="157" t="s">
        <v>2129</v>
      </c>
      <c r="U1731" s="159" t="s">
        <v>2129</v>
      </c>
      <c r="V1731" s="159" t="s">
        <v>2129</v>
      </c>
      <c r="W1731" s="159" t="s">
        <v>2138</v>
      </c>
      <c r="X1731" s="160">
        <v>1</v>
      </c>
      <c r="Y1731" s="160">
        <v>1</v>
      </c>
      <c r="Z1731" s="160">
        <v>1</v>
      </c>
      <c r="AA1731" s="160">
        <v>1</v>
      </c>
    </row>
    <row r="1732" spans="1:27" ht="18" customHeight="1" x14ac:dyDescent="0.25">
      <c r="A1732" s="159">
        <v>4169</v>
      </c>
      <c r="B1732" s="157" t="s">
        <v>57</v>
      </c>
      <c r="C1732" s="157" t="s">
        <v>58</v>
      </c>
      <c r="D1732" s="159" t="s">
        <v>842</v>
      </c>
      <c r="E1732" s="157" t="s">
        <v>843</v>
      </c>
      <c r="F1732" s="157" t="s">
        <v>1264</v>
      </c>
      <c r="G1732" s="157" t="s">
        <v>1278</v>
      </c>
      <c r="H1732" s="157" t="s">
        <v>1378</v>
      </c>
      <c r="I1732" s="157" t="s">
        <v>1727</v>
      </c>
      <c r="J1732" s="157" t="s">
        <v>1718</v>
      </c>
      <c r="K1732" s="157" t="s">
        <v>1274</v>
      </c>
      <c r="L1732" s="157" t="s">
        <v>1719</v>
      </c>
      <c r="M1732" s="157" t="str">
        <f t="shared" si="36"/>
        <v>Rear Control Unit with User Selector - Command Panel and Computing</v>
      </c>
      <c r="N1732" s="157"/>
      <c r="O1732" s="157"/>
      <c r="P1732" s="159" t="s">
        <v>5767</v>
      </c>
      <c r="Q1732" s="157" t="s">
        <v>2115</v>
      </c>
      <c r="R1732" s="157" t="s">
        <v>2139</v>
      </c>
      <c r="S1732" s="157" t="s">
        <v>8605</v>
      </c>
      <c r="T1732" s="157" t="s">
        <v>2129</v>
      </c>
      <c r="U1732" s="159" t="s">
        <v>2129</v>
      </c>
      <c r="V1732" s="159" t="s">
        <v>2129</v>
      </c>
      <c r="W1732" s="159" t="s">
        <v>2138</v>
      </c>
      <c r="X1732" s="160">
        <v>1</v>
      </c>
      <c r="Y1732" s="160">
        <v>1</v>
      </c>
      <c r="Z1732" s="160">
        <v>1</v>
      </c>
      <c r="AA1732" s="160">
        <v>1</v>
      </c>
    </row>
    <row r="1733" spans="1:27" ht="18" customHeight="1" x14ac:dyDescent="0.25">
      <c r="A1733" s="159">
        <v>4171</v>
      </c>
      <c r="B1733" s="157" t="s">
        <v>251</v>
      </c>
      <c r="C1733" s="157"/>
      <c r="D1733" s="159"/>
      <c r="E1733" s="157"/>
      <c r="F1733" s="157" t="s">
        <v>1010</v>
      </c>
      <c r="G1733" s="157" t="s">
        <v>1321</v>
      </c>
      <c r="H1733" s="157" t="s">
        <v>1648</v>
      </c>
      <c r="I1733" s="157" t="s">
        <v>1533</v>
      </c>
      <c r="J1733" s="157" t="s">
        <v>1649</v>
      </c>
      <c r="K1733" s="157" t="s">
        <v>1269</v>
      </c>
      <c r="L1733" s="157" t="s">
        <v>1533</v>
      </c>
      <c r="M1733" s="157" t="str">
        <f t="shared" si="36"/>
        <v>Fuel Pump - Fuel Pump</v>
      </c>
      <c r="N1733" s="157"/>
      <c r="O1733" s="157"/>
      <c r="P1733" s="159"/>
      <c r="Q1733" s="157"/>
      <c r="R1733" s="157"/>
      <c r="S1733" s="157"/>
      <c r="T1733" s="157"/>
      <c r="U1733" s="159"/>
      <c r="V1733" s="159"/>
      <c r="W1733" s="159"/>
      <c r="X1733" s="160"/>
      <c r="Y1733" s="160"/>
      <c r="Z1733" s="160"/>
      <c r="AA1733" s="160"/>
    </row>
    <row r="1734" spans="1:27" ht="18" customHeight="1" x14ac:dyDescent="0.25">
      <c r="A1734" s="159">
        <v>4172</v>
      </c>
      <c r="B1734" s="157" t="s">
        <v>63</v>
      </c>
      <c r="C1734" s="157" t="s">
        <v>64</v>
      </c>
      <c r="D1734" s="159" t="s">
        <v>335</v>
      </c>
      <c r="E1734" s="157" t="s">
        <v>333</v>
      </c>
      <c r="F1734" s="157"/>
      <c r="G1734" s="157" t="s">
        <v>1321</v>
      </c>
      <c r="H1734" s="157" t="s">
        <v>1648</v>
      </c>
      <c r="I1734" s="157" t="s">
        <v>1728</v>
      </c>
      <c r="J1734" s="157" t="s">
        <v>1649</v>
      </c>
      <c r="K1734" s="157" t="s">
        <v>1312</v>
      </c>
      <c r="L1734" s="157" t="s">
        <v>1533</v>
      </c>
      <c r="M1734" s="157" t="str">
        <f t="shared" si="36"/>
        <v>Fuel Pump - Fuel Level</v>
      </c>
      <c r="N1734" s="157"/>
      <c r="O1734" s="157"/>
      <c r="P1734" s="159"/>
      <c r="Q1734" s="157"/>
      <c r="R1734" s="157"/>
      <c r="S1734" s="157"/>
      <c r="T1734" s="157"/>
      <c r="U1734" s="159"/>
      <c r="V1734" s="159"/>
      <c r="W1734" s="159"/>
      <c r="X1734" s="160"/>
      <c r="Y1734" s="160"/>
      <c r="Z1734" s="160"/>
      <c r="AA1734" s="160"/>
    </row>
    <row r="1735" spans="1:27" ht="18" customHeight="1" x14ac:dyDescent="0.25">
      <c r="A1735" s="159">
        <v>4173</v>
      </c>
      <c r="B1735" s="157" t="s">
        <v>77</v>
      </c>
      <c r="C1735" s="157" t="s">
        <v>149</v>
      </c>
      <c r="D1735" s="159" t="s">
        <v>581</v>
      </c>
      <c r="E1735" s="157" t="s">
        <v>579</v>
      </c>
      <c r="F1735" s="157" t="s">
        <v>1264</v>
      </c>
      <c r="G1735" s="157" t="s">
        <v>1278</v>
      </c>
      <c r="H1735" s="157" t="s">
        <v>1283</v>
      </c>
      <c r="I1735" s="157" t="s">
        <v>1729</v>
      </c>
      <c r="J1735" s="157" t="s">
        <v>1285</v>
      </c>
      <c r="K1735" s="157" t="s">
        <v>1269</v>
      </c>
      <c r="L1735" s="157" t="s">
        <v>1286</v>
      </c>
      <c r="M1735" s="157" t="str">
        <f t="shared" si="36"/>
        <v>LED Lamp - Luggage Compartment Illumination</v>
      </c>
      <c r="N1735" s="157"/>
      <c r="O1735" s="157"/>
      <c r="P1735" s="159" t="s">
        <v>7506</v>
      </c>
      <c r="Q1735" s="157" t="s">
        <v>2115</v>
      </c>
      <c r="R1735" s="157" t="s">
        <v>2124</v>
      </c>
      <c r="S1735" s="157" t="s">
        <v>8608</v>
      </c>
      <c r="T1735" s="157"/>
      <c r="U1735" s="159" t="s">
        <v>2138</v>
      </c>
      <c r="V1735" s="159" t="s">
        <v>2138</v>
      </c>
      <c r="W1735" s="159" t="s">
        <v>2138</v>
      </c>
      <c r="X1735" s="160">
        <v>0</v>
      </c>
      <c r="Y1735" s="160">
        <v>0</v>
      </c>
      <c r="Z1735" s="160">
        <v>0</v>
      </c>
      <c r="AA1735" s="160">
        <v>0</v>
      </c>
    </row>
    <row r="1736" spans="1:27" ht="18" customHeight="1" x14ac:dyDescent="0.25">
      <c r="A1736" s="159">
        <v>4174</v>
      </c>
      <c r="B1736" s="157" t="s">
        <v>63</v>
      </c>
      <c r="C1736" s="157" t="s">
        <v>64</v>
      </c>
      <c r="D1736" s="159" t="s">
        <v>335</v>
      </c>
      <c r="E1736" s="157" t="s">
        <v>333</v>
      </c>
      <c r="F1736" s="157"/>
      <c r="G1736" s="157" t="s">
        <v>1265</v>
      </c>
      <c r="H1736" s="157" t="s">
        <v>1612</v>
      </c>
      <c r="I1736" s="157" t="s">
        <v>1613</v>
      </c>
      <c r="J1736" s="157" t="s">
        <v>1285</v>
      </c>
      <c r="K1736" s="157" t="s">
        <v>1269</v>
      </c>
      <c r="L1736" s="157" t="s">
        <v>1612</v>
      </c>
      <c r="M1736" s="157" t="str">
        <f t="shared" si="36"/>
        <v>Instrument Cluster - Driver Information</v>
      </c>
      <c r="N1736" s="157"/>
      <c r="O1736" s="157"/>
      <c r="P1736" s="159" t="s">
        <v>6578</v>
      </c>
      <c r="Q1736" s="157"/>
      <c r="R1736" s="157"/>
      <c r="S1736" s="157"/>
      <c r="T1736" s="157"/>
      <c r="U1736" s="159" t="s">
        <v>2138</v>
      </c>
      <c r="V1736" s="159" t="s">
        <v>2129</v>
      </c>
      <c r="W1736" s="159" t="s">
        <v>2129</v>
      </c>
      <c r="X1736" s="160">
        <v>0.7</v>
      </c>
      <c r="Y1736" s="160">
        <v>0.7</v>
      </c>
      <c r="Z1736" s="160">
        <v>0.5</v>
      </c>
      <c r="AA1736" s="160">
        <v>0.5</v>
      </c>
    </row>
    <row r="1737" spans="1:27" ht="18" customHeight="1" x14ac:dyDescent="0.25">
      <c r="A1737" s="159">
        <v>4174</v>
      </c>
      <c r="B1737" s="157" t="s">
        <v>318</v>
      </c>
      <c r="C1737" s="157" t="s">
        <v>433</v>
      </c>
      <c r="D1737" s="159" t="s">
        <v>336</v>
      </c>
      <c r="E1737" s="157" t="s">
        <v>1231</v>
      </c>
      <c r="F1737" s="157"/>
      <c r="G1737" s="157" t="s">
        <v>1265</v>
      </c>
      <c r="H1737" s="157" t="s">
        <v>1612</v>
      </c>
      <c r="I1737" s="157" t="s">
        <v>1613</v>
      </c>
      <c r="J1737" s="157" t="s">
        <v>1285</v>
      </c>
      <c r="K1737" s="157" t="s">
        <v>1269</v>
      </c>
      <c r="L1737" s="157" t="s">
        <v>1612</v>
      </c>
      <c r="M1737" s="157" t="str">
        <f t="shared" si="36"/>
        <v>Instrument Cluster - Driver Information</v>
      </c>
      <c r="N1737" s="157"/>
      <c r="O1737" s="157"/>
      <c r="P1737" s="159" t="s">
        <v>6578</v>
      </c>
      <c r="Q1737" s="157"/>
      <c r="R1737" s="157"/>
      <c r="S1737" s="157"/>
      <c r="T1737" s="157"/>
      <c r="U1737" s="159" t="s">
        <v>2138</v>
      </c>
      <c r="V1737" s="159" t="s">
        <v>2129</v>
      </c>
      <c r="W1737" s="159" t="s">
        <v>2129</v>
      </c>
      <c r="X1737" s="160">
        <v>0.7</v>
      </c>
      <c r="Y1737" s="160">
        <v>0.7</v>
      </c>
      <c r="Z1737" s="160">
        <v>0.5</v>
      </c>
      <c r="AA1737" s="160">
        <v>0.5</v>
      </c>
    </row>
    <row r="1738" spans="1:27" ht="18" customHeight="1" x14ac:dyDescent="0.25">
      <c r="A1738" s="159">
        <v>4187</v>
      </c>
      <c r="B1738" s="157" t="s">
        <v>57</v>
      </c>
      <c r="C1738" s="157" t="s">
        <v>58</v>
      </c>
      <c r="D1738" s="159" t="s">
        <v>61</v>
      </c>
      <c r="E1738" s="157" t="s">
        <v>59</v>
      </c>
      <c r="F1738" s="157" t="s">
        <v>1264</v>
      </c>
      <c r="G1738" s="157" t="s">
        <v>1278</v>
      </c>
      <c r="H1738" s="157" t="s">
        <v>1378</v>
      </c>
      <c r="I1738" s="157" t="s">
        <v>1685</v>
      </c>
      <c r="J1738" s="157" t="s">
        <v>9572</v>
      </c>
      <c r="K1738" s="157" t="s">
        <v>1269</v>
      </c>
      <c r="L1738" s="157" t="s">
        <v>9573</v>
      </c>
      <c r="M1738" s="157" t="str">
        <f t="shared" ref="M1738:M1801" si="37">CONCATENATE(L1738," - ",I1738)</f>
        <v>Clutch Compressor HV - Refrigerant Flow</v>
      </c>
      <c r="N1738" s="157"/>
      <c r="O1738" s="157"/>
      <c r="P1738" s="159" t="s">
        <v>2992</v>
      </c>
      <c r="Q1738" s="157" t="s">
        <v>2115</v>
      </c>
      <c r="R1738" s="157" t="s">
        <v>8287</v>
      </c>
      <c r="S1738" s="157" t="s">
        <v>8619</v>
      </c>
      <c r="T1738" s="157"/>
      <c r="U1738" s="159" t="s">
        <v>2129</v>
      </c>
      <c r="V1738" s="159" t="s">
        <v>2129</v>
      </c>
      <c r="W1738" s="159" t="s">
        <v>2138</v>
      </c>
      <c r="X1738" s="160">
        <v>0.7</v>
      </c>
      <c r="Y1738" s="160">
        <v>0</v>
      </c>
      <c r="Z1738" s="160">
        <v>0</v>
      </c>
      <c r="AA1738" s="160">
        <v>0.7</v>
      </c>
    </row>
    <row r="1739" spans="1:27" ht="18" customHeight="1" x14ac:dyDescent="0.25">
      <c r="A1739" s="159">
        <v>4187</v>
      </c>
      <c r="B1739" s="157" t="s">
        <v>57</v>
      </c>
      <c r="C1739" s="157" t="s">
        <v>58</v>
      </c>
      <c r="D1739" s="159" t="s">
        <v>414</v>
      </c>
      <c r="E1739" s="157" t="s">
        <v>412</v>
      </c>
      <c r="F1739" s="157" t="s">
        <v>1264</v>
      </c>
      <c r="G1739" s="157" t="s">
        <v>1278</v>
      </c>
      <c r="H1739" s="157" t="s">
        <v>1378</v>
      </c>
      <c r="I1739" s="157" t="s">
        <v>1685</v>
      </c>
      <c r="J1739" s="157" t="s">
        <v>9572</v>
      </c>
      <c r="K1739" s="157" t="s">
        <v>1269</v>
      </c>
      <c r="L1739" s="157" t="s">
        <v>9573</v>
      </c>
      <c r="M1739" s="157" t="str">
        <f t="shared" si="37"/>
        <v>Clutch Compressor HV - Refrigerant Flow</v>
      </c>
      <c r="N1739" s="157"/>
      <c r="O1739" s="157"/>
      <c r="P1739" s="159" t="s">
        <v>2992</v>
      </c>
      <c r="Q1739" s="157" t="s">
        <v>2115</v>
      </c>
      <c r="R1739" s="157" t="s">
        <v>8287</v>
      </c>
      <c r="S1739" s="157" t="s">
        <v>8619</v>
      </c>
      <c r="T1739" s="157"/>
      <c r="U1739" s="159" t="s">
        <v>2129</v>
      </c>
      <c r="V1739" s="159" t="s">
        <v>2138</v>
      </c>
      <c r="W1739" s="159" t="s">
        <v>2138</v>
      </c>
      <c r="X1739" s="160">
        <v>0.7</v>
      </c>
      <c r="Y1739" s="160">
        <v>0</v>
      </c>
      <c r="Z1739" s="160">
        <v>0</v>
      </c>
      <c r="AA1739" s="160">
        <v>0.7</v>
      </c>
    </row>
    <row r="1740" spans="1:27" ht="18" customHeight="1" x14ac:dyDescent="0.25">
      <c r="A1740" s="159">
        <v>4187</v>
      </c>
      <c r="B1740" s="157" t="s">
        <v>57</v>
      </c>
      <c r="C1740" s="157" t="s">
        <v>58</v>
      </c>
      <c r="D1740" s="159" t="s">
        <v>417</v>
      </c>
      <c r="E1740" s="157" t="s">
        <v>415</v>
      </c>
      <c r="F1740" s="157" t="s">
        <v>1264</v>
      </c>
      <c r="G1740" s="157" t="s">
        <v>1278</v>
      </c>
      <c r="H1740" s="157" t="s">
        <v>1378</v>
      </c>
      <c r="I1740" s="157" t="s">
        <v>1685</v>
      </c>
      <c r="J1740" s="157" t="s">
        <v>9572</v>
      </c>
      <c r="K1740" s="157" t="s">
        <v>1269</v>
      </c>
      <c r="L1740" s="157" t="s">
        <v>9573</v>
      </c>
      <c r="M1740" s="157" t="str">
        <f t="shared" si="37"/>
        <v>Clutch Compressor HV - Refrigerant Flow</v>
      </c>
      <c r="N1740" s="157"/>
      <c r="O1740" s="157"/>
      <c r="P1740" s="159" t="s">
        <v>2992</v>
      </c>
      <c r="Q1740" s="157" t="s">
        <v>2115</v>
      </c>
      <c r="R1740" s="157" t="s">
        <v>8287</v>
      </c>
      <c r="S1740" s="157" t="s">
        <v>8619</v>
      </c>
      <c r="T1740" s="157"/>
      <c r="U1740" s="159" t="s">
        <v>2129</v>
      </c>
      <c r="V1740" s="159" t="s">
        <v>2138</v>
      </c>
      <c r="W1740" s="159" t="s">
        <v>2138</v>
      </c>
      <c r="X1740" s="160">
        <v>0.7</v>
      </c>
      <c r="Y1740" s="160">
        <v>0</v>
      </c>
      <c r="Z1740" s="160">
        <v>0</v>
      </c>
      <c r="AA1740" s="160">
        <v>0.7</v>
      </c>
    </row>
    <row r="1741" spans="1:27" ht="18" customHeight="1" x14ac:dyDescent="0.25">
      <c r="A1741" s="159">
        <v>4187</v>
      </c>
      <c r="B1741" s="157" t="s">
        <v>57</v>
      </c>
      <c r="C1741" s="157" t="s">
        <v>58</v>
      </c>
      <c r="D1741" s="159" t="s">
        <v>664</v>
      </c>
      <c r="E1741" s="157" t="s">
        <v>662</v>
      </c>
      <c r="F1741" s="157" t="s">
        <v>1264</v>
      </c>
      <c r="G1741" s="157" t="s">
        <v>1278</v>
      </c>
      <c r="H1741" s="157" t="s">
        <v>1378</v>
      </c>
      <c r="I1741" s="157" t="s">
        <v>1685</v>
      </c>
      <c r="J1741" s="157" t="s">
        <v>9572</v>
      </c>
      <c r="K1741" s="157" t="s">
        <v>1269</v>
      </c>
      <c r="L1741" s="157" t="s">
        <v>9573</v>
      </c>
      <c r="M1741" s="157" t="str">
        <f t="shared" si="37"/>
        <v>Clutch Compressor HV - Refrigerant Flow</v>
      </c>
      <c r="N1741" s="157"/>
      <c r="O1741" s="157"/>
      <c r="P1741" s="159" t="s">
        <v>2992</v>
      </c>
      <c r="Q1741" s="157" t="s">
        <v>2115</v>
      </c>
      <c r="R1741" s="157" t="s">
        <v>8287</v>
      </c>
      <c r="S1741" s="157" t="s">
        <v>8619</v>
      </c>
      <c r="T1741" s="157"/>
      <c r="U1741" s="159" t="s">
        <v>2138</v>
      </c>
      <c r="V1741" s="159" t="s">
        <v>2129</v>
      </c>
      <c r="W1741" s="159" t="s">
        <v>2129</v>
      </c>
      <c r="X1741" s="160">
        <v>0.7</v>
      </c>
      <c r="Y1741" s="160">
        <v>0</v>
      </c>
      <c r="Z1741" s="160">
        <v>0</v>
      </c>
      <c r="AA1741" s="160">
        <v>0.7</v>
      </c>
    </row>
    <row r="1742" spans="1:27" ht="18" customHeight="1" x14ac:dyDescent="0.25">
      <c r="A1742" s="159">
        <v>4187</v>
      </c>
      <c r="B1742" s="157" t="s">
        <v>57</v>
      </c>
      <c r="C1742" s="157" t="s">
        <v>58</v>
      </c>
      <c r="D1742" s="159" t="s">
        <v>841</v>
      </c>
      <c r="E1742" s="157" t="s">
        <v>839</v>
      </c>
      <c r="F1742" s="157" t="s">
        <v>1264</v>
      </c>
      <c r="G1742" s="157" t="s">
        <v>1278</v>
      </c>
      <c r="H1742" s="157" t="s">
        <v>1378</v>
      </c>
      <c r="I1742" s="157" t="s">
        <v>1685</v>
      </c>
      <c r="J1742" s="157" t="s">
        <v>9572</v>
      </c>
      <c r="K1742" s="157" t="s">
        <v>1269</v>
      </c>
      <c r="L1742" s="157" t="s">
        <v>9573</v>
      </c>
      <c r="M1742" s="157" t="str">
        <f t="shared" si="37"/>
        <v>Clutch Compressor HV - Refrigerant Flow</v>
      </c>
      <c r="N1742" s="157"/>
      <c r="O1742" s="157"/>
      <c r="P1742" s="159" t="s">
        <v>2992</v>
      </c>
      <c r="Q1742" s="157" t="s">
        <v>2115</v>
      </c>
      <c r="R1742" s="157" t="s">
        <v>8287</v>
      </c>
      <c r="S1742" s="157" t="s">
        <v>8619</v>
      </c>
      <c r="T1742" s="157"/>
      <c r="U1742" s="159" t="s">
        <v>2129</v>
      </c>
      <c r="V1742" s="159" t="s">
        <v>2129</v>
      </c>
      <c r="W1742" s="159" t="s">
        <v>2138</v>
      </c>
      <c r="X1742" s="160">
        <v>0.7</v>
      </c>
      <c r="Y1742" s="160">
        <v>0</v>
      </c>
      <c r="Z1742" s="160">
        <v>0</v>
      </c>
      <c r="AA1742" s="160">
        <v>0.7</v>
      </c>
    </row>
    <row r="1743" spans="1:27" ht="18" customHeight="1" x14ac:dyDescent="0.25">
      <c r="A1743" s="159">
        <v>4187</v>
      </c>
      <c r="B1743" s="157" t="s">
        <v>57</v>
      </c>
      <c r="C1743" s="157" t="s">
        <v>58</v>
      </c>
      <c r="D1743" s="159" t="s">
        <v>842</v>
      </c>
      <c r="E1743" s="157" t="s">
        <v>843</v>
      </c>
      <c r="F1743" s="157" t="s">
        <v>1264</v>
      </c>
      <c r="G1743" s="157" t="s">
        <v>1278</v>
      </c>
      <c r="H1743" s="157" t="s">
        <v>1378</v>
      </c>
      <c r="I1743" s="157" t="s">
        <v>1685</v>
      </c>
      <c r="J1743" s="157" t="s">
        <v>9572</v>
      </c>
      <c r="K1743" s="157" t="s">
        <v>1269</v>
      </c>
      <c r="L1743" s="157" t="s">
        <v>9573</v>
      </c>
      <c r="M1743" s="157" t="str">
        <f t="shared" si="37"/>
        <v>Clutch Compressor HV - Refrigerant Flow</v>
      </c>
      <c r="N1743" s="157"/>
      <c r="O1743" s="157"/>
      <c r="P1743" s="159" t="s">
        <v>2992</v>
      </c>
      <c r="Q1743" s="157" t="s">
        <v>2115</v>
      </c>
      <c r="R1743" s="157" t="s">
        <v>8287</v>
      </c>
      <c r="S1743" s="157" t="s">
        <v>8619</v>
      </c>
      <c r="T1743" s="157"/>
      <c r="U1743" s="159" t="s">
        <v>2129</v>
      </c>
      <c r="V1743" s="159" t="s">
        <v>2129</v>
      </c>
      <c r="W1743" s="159" t="s">
        <v>2138</v>
      </c>
      <c r="X1743" s="160">
        <v>0.7</v>
      </c>
      <c r="Y1743" s="160">
        <v>0</v>
      </c>
      <c r="Z1743" s="160">
        <v>0</v>
      </c>
      <c r="AA1743" s="160">
        <v>0.7</v>
      </c>
    </row>
    <row r="1744" spans="1:27" ht="18" customHeight="1" x14ac:dyDescent="0.25">
      <c r="A1744" s="159">
        <v>4187</v>
      </c>
      <c r="B1744" s="157" t="s">
        <v>57</v>
      </c>
      <c r="C1744" s="157" t="s">
        <v>58</v>
      </c>
      <c r="D1744" s="159" t="s">
        <v>62</v>
      </c>
      <c r="E1744" s="157" t="s">
        <v>991</v>
      </c>
      <c r="F1744" s="157" t="s">
        <v>1264</v>
      </c>
      <c r="G1744" s="157" t="s">
        <v>1278</v>
      </c>
      <c r="H1744" s="157" t="s">
        <v>1378</v>
      </c>
      <c r="I1744" s="157" t="s">
        <v>1685</v>
      </c>
      <c r="J1744" s="157" t="s">
        <v>9572</v>
      </c>
      <c r="K1744" s="157" t="s">
        <v>1269</v>
      </c>
      <c r="L1744" s="157" t="s">
        <v>9573</v>
      </c>
      <c r="M1744" s="157" t="str">
        <f t="shared" si="37"/>
        <v>Clutch Compressor HV - Refrigerant Flow</v>
      </c>
      <c r="N1744" s="157"/>
      <c r="O1744" s="157"/>
      <c r="P1744" s="159" t="s">
        <v>2992</v>
      </c>
      <c r="Q1744" s="157" t="s">
        <v>2115</v>
      </c>
      <c r="R1744" s="157" t="s">
        <v>8287</v>
      </c>
      <c r="S1744" s="157" t="s">
        <v>8619</v>
      </c>
      <c r="T1744" s="157"/>
      <c r="U1744" s="159" t="s">
        <v>2129</v>
      </c>
      <c r="V1744" s="159" t="s">
        <v>2138</v>
      </c>
      <c r="W1744" s="159" t="s">
        <v>2129</v>
      </c>
      <c r="X1744" s="160">
        <v>0.7</v>
      </c>
      <c r="Y1744" s="160">
        <v>0</v>
      </c>
      <c r="Z1744" s="160">
        <v>0</v>
      </c>
      <c r="AA1744" s="160">
        <v>0.7</v>
      </c>
    </row>
    <row r="1745" spans="1:27" ht="18" customHeight="1" x14ac:dyDescent="0.25">
      <c r="A1745" s="159">
        <v>4188</v>
      </c>
      <c r="B1745" s="157" t="s">
        <v>57</v>
      </c>
      <c r="C1745" s="157" t="s">
        <v>58</v>
      </c>
      <c r="D1745" s="159" t="s">
        <v>61</v>
      </c>
      <c r="E1745" s="157" t="s">
        <v>59</v>
      </c>
      <c r="F1745" s="157" t="s">
        <v>1264</v>
      </c>
      <c r="G1745" s="157" t="s">
        <v>1278</v>
      </c>
      <c r="H1745" s="157" t="s">
        <v>1378</v>
      </c>
      <c r="I1745" s="157" t="s">
        <v>1685</v>
      </c>
      <c r="J1745" s="157" t="s">
        <v>1504</v>
      </c>
      <c r="K1745" s="157" t="s">
        <v>1269</v>
      </c>
      <c r="L1745" s="157" t="s">
        <v>1730</v>
      </c>
      <c r="M1745" s="157" t="str">
        <f t="shared" si="37"/>
        <v>Clutch Compressor - Refrigerant Flow</v>
      </c>
      <c r="N1745" s="157"/>
      <c r="O1745" s="157"/>
      <c r="P1745" s="159" t="s">
        <v>2992</v>
      </c>
      <c r="Q1745" s="157" t="s">
        <v>2115</v>
      </c>
      <c r="R1745" s="157" t="s">
        <v>8287</v>
      </c>
      <c r="S1745" s="157" t="s">
        <v>8619</v>
      </c>
      <c r="T1745" s="157"/>
      <c r="U1745" s="159" t="s">
        <v>2129</v>
      </c>
      <c r="V1745" s="159" t="s">
        <v>2129</v>
      </c>
      <c r="W1745" s="159" t="s">
        <v>2138</v>
      </c>
      <c r="X1745" s="160">
        <v>0.7</v>
      </c>
      <c r="Y1745" s="160">
        <v>0</v>
      </c>
      <c r="Z1745" s="160">
        <v>0</v>
      </c>
      <c r="AA1745" s="160">
        <v>0.5</v>
      </c>
    </row>
    <row r="1746" spans="1:27" ht="18" customHeight="1" x14ac:dyDescent="0.25">
      <c r="A1746" s="159">
        <v>4188</v>
      </c>
      <c r="B1746" s="157" t="s">
        <v>57</v>
      </c>
      <c r="C1746" s="157" t="s">
        <v>58</v>
      </c>
      <c r="D1746" s="159" t="s">
        <v>414</v>
      </c>
      <c r="E1746" s="157" t="s">
        <v>412</v>
      </c>
      <c r="F1746" s="157" t="s">
        <v>1264</v>
      </c>
      <c r="G1746" s="157" t="s">
        <v>1278</v>
      </c>
      <c r="H1746" s="157" t="s">
        <v>1378</v>
      </c>
      <c r="I1746" s="157" t="s">
        <v>1685</v>
      </c>
      <c r="J1746" s="157" t="s">
        <v>1504</v>
      </c>
      <c r="K1746" s="157" t="s">
        <v>1269</v>
      </c>
      <c r="L1746" s="157" t="s">
        <v>1730</v>
      </c>
      <c r="M1746" s="157" t="str">
        <f t="shared" si="37"/>
        <v>Clutch Compressor - Refrigerant Flow</v>
      </c>
      <c r="N1746" s="157"/>
      <c r="O1746" s="157"/>
      <c r="P1746" s="159" t="s">
        <v>2992</v>
      </c>
      <c r="Q1746" s="157" t="s">
        <v>2115</v>
      </c>
      <c r="R1746" s="157" t="s">
        <v>8287</v>
      </c>
      <c r="S1746" s="157" t="s">
        <v>8619</v>
      </c>
      <c r="T1746" s="157"/>
      <c r="U1746" s="159" t="s">
        <v>2129</v>
      </c>
      <c r="V1746" s="159" t="s">
        <v>2138</v>
      </c>
      <c r="W1746" s="159" t="s">
        <v>2138</v>
      </c>
      <c r="X1746" s="160">
        <v>0.7</v>
      </c>
      <c r="Y1746" s="160">
        <v>0</v>
      </c>
      <c r="Z1746" s="160">
        <v>0</v>
      </c>
      <c r="AA1746" s="160">
        <v>0.5</v>
      </c>
    </row>
    <row r="1747" spans="1:27" ht="18" customHeight="1" x14ac:dyDescent="0.25">
      <c r="A1747" s="159">
        <v>4188</v>
      </c>
      <c r="B1747" s="157" t="s">
        <v>57</v>
      </c>
      <c r="C1747" s="157" t="s">
        <v>58</v>
      </c>
      <c r="D1747" s="159" t="s">
        <v>417</v>
      </c>
      <c r="E1747" s="157" t="s">
        <v>415</v>
      </c>
      <c r="F1747" s="157" t="s">
        <v>1264</v>
      </c>
      <c r="G1747" s="157" t="s">
        <v>1278</v>
      </c>
      <c r="H1747" s="157" t="s">
        <v>1378</v>
      </c>
      <c r="I1747" s="157" t="s">
        <v>1685</v>
      </c>
      <c r="J1747" s="157" t="s">
        <v>1504</v>
      </c>
      <c r="K1747" s="157" t="s">
        <v>1269</v>
      </c>
      <c r="L1747" s="157" t="s">
        <v>1730</v>
      </c>
      <c r="M1747" s="157" t="str">
        <f t="shared" si="37"/>
        <v>Clutch Compressor - Refrigerant Flow</v>
      </c>
      <c r="N1747" s="157"/>
      <c r="O1747" s="157"/>
      <c r="P1747" s="159" t="s">
        <v>2992</v>
      </c>
      <c r="Q1747" s="157" t="s">
        <v>2115</v>
      </c>
      <c r="R1747" s="157" t="s">
        <v>8287</v>
      </c>
      <c r="S1747" s="157" t="s">
        <v>8619</v>
      </c>
      <c r="T1747" s="157"/>
      <c r="U1747" s="159" t="s">
        <v>2129</v>
      </c>
      <c r="V1747" s="159" t="s">
        <v>2138</v>
      </c>
      <c r="W1747" s="159" t="s">
        <v>2138</v>
      </c>
      <c r="X1747" s="160">
        <v>0.7</v>
      </c>
      <c r="Y1747" s="160">
        <v>0</v>
      </c>
      <c r="Z1747" s="160">
        <v>0</v>
      </c>
      <c r="AA1747" s="160">
        <v>0.5</v>
      </c>
    </row>
    <row r="1748" spans="1:27" ht="18" customHeight="1" x14ac:dyDescent="0.25">
      <c r="A1748" s="159">
        <v>4188</v>
      </c>
      <c r="B1748" s="157" t="s">
        <v>57</v>
      </c>
      <c r="C1748" s="157" t="s">
        <v>58</v>
      </c>
      <c r="D1748" s="159" t="s">
        <v>664</v>
      </c>
      <c r="E1748" s="157" t="s">
        <v>662</v>
      </c>
      <c r="F1748" s="157" t="s">
        <v>1264</v>
      </c>
      <c r="G1748" s="157" t="s">
        <v>1278</v>
      </c>
      <c r="H1748" s="157" t="s">
        <v>1378</v>
      </c>
      <c r="I1748" s="157" t="s">
        <v>1685</v>
      </c>
      <c r="J1748" s="157" t="s">
        <v>1504</v>
      </c>
      <c r="K1748" s="157" t="s">
        <v>1269</v>
      </c>
      <c r="L1748" s="157" t="s">
        <v>1730</v>
      </c>
      <c r="M1748" s="157" t="str">
        <f t="shared" si="37"/>
        <v>Clutch Compressor - Refrigerant Flow</v>
      </c>
      <c r="N1748" s="157"/>
      <c r="O1748" s="157"/>
      <c r="P1748" s="159" t="s">
        <v>2992</v>
      </c>
      <c r="Q1748" s="157" t="s">
        <v>2115</v>
      </c>
      <c r="R1748" s="157" t="s">
        <v>8287</v>
      </c>
      <c r="S1748" s="157" t="s">
        <v>8619</v>
      </c>
      <c r="T1748" s="157"/>
      <c r="U1748" s="159" t="s">
        <v>2138</v>
      </c>
      <c r="V1748" s="159" t="s">
        <v>2129</v>
      </c>
      <c r="W1748" s="159" t="s">
        <v>2129</v>
      </c>
      <c r="X1748" s="160">
        <v>0.7</v>
      </c>
      <c r="Y1748" s="160">
        <v>0</v>
      </c>
      <c r="Z1748" s="160">
        <v>0</v>
      </c>
      <c r="AA1748" s="160">
        <v>0.5</v>
      </c>
    </row>
    <row r="1749" spans="1:27" ht="18" customHeight="1" x14ac:dyDescent="0.25">
      <c r="A1749" s="159">
        <v>4188</v>
      </c>
      <c r="B1749" s="157" t="s">
        <v>57</v>
      </c>
      <c r="C1749" s="157" t="s">
        <v>58</v>
      </c>
      <c r="D1749" s="159" t="s">
        <v>841</v>
      </c>
      <c r="E1749" s="157" t="s">
        <v>839</v>
      </c>
      <c r="F1749" s="157" t="s">
        <v>1264</v>
      </c>
      <c r="G1749" s="157" t="s">
        <v>1278</v>
      </c>
      <c r="H1749" s="157" t="s">
        <v>1378</v>
      </c>
      <c r="I1749" s="157" t="s">
        <v>1685</v>
      </c>
      <c r="J1749" s="157" t="s">
        <v>1504</v>
      </c>
      <c r="K1749" s="157" t="s">
        <v>1269</v>
      </c>
      <c r="L1749" s="157" t="s">
        <v>1730</v>
      </c>
      <c r="M1749" s="157" t="str">
        <f t="shared" si="37"/>
        <v>Clutch Compressor - Refrigerant Flow</v>
      </c>
      <c r="N1749" s="157"/>
      <c r="O1749" s="157"/>
      <c r="P1749" s="159" t="s">
        <v>2992</v>
      </c>
      <c r="Q1749" s="157" t="s">
        <v>2115</v>
      </c>
      <c r="R1749" s="157" t="s">
        <v>8287</v>
      </c>
      <c r="S1749" s="157" t="s">
        <v>8619</v>
      </c>
      <c r="T1749" s="157"/>
      <c r="U1749" s="159" t="s">
        <v>2129</v>
      </c>
      <c r="V1749" s="159" t="s">
        <v>2129</v>
      </c>
      <c r="W1749" s="159" t="s">
        <v>2138</v>
      </c>
      <c r="X1749" s="160">
        <v>0.7</v>
      </c>
      <c r="Y1749" s="160">
        <v>0</v>
      </c>
      <c r="Z1749" s="160">
        <v>0</v>
      </c>
      <c r="AA1749" s="160">
        <v>0.5</v>
      </c>
    </row>
    <row r="1750" spans="1:27" ht="18" customHeight="1" x14ac:dyDescent="0.25">
      <c r="A1750" s="159">
        <v>4188</v>
      </c>
      <c r="B1750" s="157" t="s">
        <v>57</v>
      </c>
      <c r="C1750" s="157" t="s">
        <v>58</v>
      </c>
      <c r="D1750" s="159" t="s">
        <v>842</v>
      </c>
      <c r="E1750" s="157" t="s">
        <v>843</v>
      </c>
      <c r="F1750" s="157" t="s">
        <v>1264</v>
      </c>
      <c r="G1750" s="157" t="s">
        <v>1278</v>
      </c>
      <c r="H1750" s="157" t="s">
        <v>1378</v>
      </c>
      <c r="I1750" s="157" t="s">
        <v>1685</v>
      </c>
      <c r="J1750" s="157" t="s">
        <v>1504</v>
      </c>
      <c r="K1750" s="157" t="s">
        <v>1269</v>
      </c>
      <c r="L1750" s="157" t="s">
        <v>1730</v>
      </c>
      <c r="M1750" s="157" t="str">
        <f t="shared" si="37"/>
        <v>Clutch Compressor - Refrigerant Flow</v>
      </c>
      <c r="N1750" s="157"/>
      <c r="O1750" s="157"/>
      <c r="P1750" s="159" t="s">
        <v>2992</v>
      </c>
      <c r="Q1750" s="157" t="s">
        <v>2115</v>
      </c>
      <c r="R1750" s="157" t="s">
        <v>8287</v>
      </c>
      <c r="S1750" s="157" t="s">
        <v>8619</v>
      </c>
      <c r="T1750" s="157"/>
      <c r="U1750" s="159" t="s">
        <v>2129</v>
      </c>
      <c r="V1750" s="159" t="s">
        <v>2129</v>
      </c>
      <c r="W1750" s="159" t="s">
        <v>2138</v>
      </c>
      <c r="X1750" s="160">
        <v>0.7</v>
      </c>
      <c r="Y1750" s="160">
        <v>0</v>
      </c>
      <c r="Z1750" s="160">
        <v>0</v>
      </c>
      <c r="AA1750" s="160">
        <v>0.5</v>
      </c>
    </row>
    <row r="1751" spans="1:27" ht="18" customHeight="1" x14ac:dyDescent="0.25">
      <c r="A1751" s="159">
        <v>4188</v>
      </c>
      <c r="B1751" s="157" t="s">
        <v>57</v>
      </c>
      <c r="C1751" s="157" t="s">
        <v>58</v>
      </c>
      <c r="D1751" s="159" t="s">
        <v>62</v>
      </c>
      <c r="E1751" s="157" t="s">
        <v>991</v>
      </c>
      <c r="F1751" s="157" t="s">
        <v>1264</v>
      </c>
      <c r="G1751" s="157" t="s">
        <v>1278</v>
      </c>
      <c r="H1751" s="157" t="s">
        <v>1378</v>
      </c>
      <c r="I1751" s="157" t="s">
        <v>1685</v>
      </c>
      <c r="J1751" s="157" t="s">
        <v>1504</v>
      </c>
      <c r="K1751" s="157" t="s">
        <v>1269</v>
      </c>
      <c r="L1751" s="157" t="s">
        <v>1730</v>
      </c>
      <c r="M1751" s="157" t="str">
        <f t="shared" si="37"/>
        <v>Clutch Compressor - Refrigerant Flow</v>
      </c>
      <c r="N1751" s="157"/>
      <c r="O1751" s="157"/>
      <c r="P1751" s="159" t="s">
        <v>2992</v>
      </c>
      <c r="Q1751" s="157" t="s">
        <v>2115</v>
      </c>
      <c r="R1751" s="157" t="s">
        <v>8287</v>
      </c>
      <c r="S1751" s="157" t="s">
        <v>8619</v>
      </c>
      <c r="T1751" s="157"/>
      <c r="U1751" s="159" t="s">
        <v>2129</v>
      </c>
      <c r="V1751" s="159" t="s">
        <v>2138</v>
      </c>
      <c r="W1751" s="159" t="s">
        <v>2129</v>
      </c>
      <c r="X1751" s="160">
        <v>0.7</v>
      </c>
      <c r="Y1751" s="160">
        <v>0</v>
      </c>
      <c r="Z1751" s="160">
        <v>0</v>
      </c>
      <c r="AA1751" s="160">
        <v>0.5</v>
      </c>
    </row>
    <row r="1752" spans="1:27" ht="18" customHeight="1" x14ac:dyDescent="0.25">
      <c r="A1752" s="159">
        <v>4189</v>
      </c>
      <c r="B1752" s="157" t="s">
        <v>57</v>
      </c>
      <c r="C1752" s="157" t="s">
        <v>58</v>
      </c>
      <c r="D1752" s="159" t="s">
        <v>664</v>
      </c>
      <c r="E1752" s="157" t="s">
        <v>662</v>
      </c>
      <c r="F1752" s="157" t="s">
        <v>1264</v>
      </c>
      <c r="G1752" s="157" t="s">
        <v>1278</v>
      </c>
      <c r="H1752" s="157" t="s">
        <v>1378</v>
      </c>
      <c r="I1752" s="157" t="s">
        <v>1685</v>
      </c>
      <c r="J1752" s="157" t="s">
        <v>1504</v>
      </c>
      <c r="K1752" s="157" t="s">
        <v>1269</v>
      </c>
      <c r="L1752" s="157" t="s">
        <v>1730</v>
      </c>
      <c r="M1752" s="157" t="str">
        <f t="shared" si="37"/>
        <v>Clutch Compressor - Refrigerant Flow</v>
      </c>
      <c r="N1752" s="157"/>
      <c r="O1752" s="157"/>
      <c r="P1752" s="159" t="s">
        <v>2760</v>
      </c>
      <c r="Q1752" s="157" t="s">
        <v>2115</v>
      </c>
      <c r="R1752" s="157" t="s">
        <v>2130</v>
      </c>
      <c r="S1752" s="157" t="s">
        <v>8609</v>
      </c>
      <c r="T1752" s="157"/>
      <c r="U1752" s="159" t="s">
        <v>2138</v>
      </c>
      <c r="V1752" s="159" t="s">
        <v>2129</v>
      </c>
      <c r="W1752" s="159" t="s">
        <v>2129</v>
      </c>
      <c r="X1752" s="160">
        <v>0.7</v>
      </c>
      <c r="Y1752" s="160">
        <v>0</v>
      </c>
      <c r="Z1752" s="160">
        <v>0</v>
      </c>
      <c r="AA1752" s="160">
        <v>0.5</v>
      </c>
    </row>
    <row r="1753" spans="1:27" ht="18" customHeight="1" x14ac:dyDescent="0.25">
      <c r="A1753" s="159">
        <v>4191</v>
      </c>
      <c r="B1753" s="157" t="s">
        <v>57</v>
      </c>
      <c r="C1753" s="157" t="s">
        <v>58</v>
      </c>
      <c r="D1753" s="159" t="s">
        <v>61</v>
      </c>
      <c r="E1753" s="157" t="s">
        <v>59</v>
      </c>
      <c r="F1753" s="157" t="s">
        <v>1264</v>
      </c>
      <c r="G1753" s="157" t="s">
        <v>1278</v>
      </c>
      <c r="H1753" s="157" t="s">
        <v>1378</v>
      </c>
      <c r="I1753" s="157" t="s">
        <v>1727</v>
      </c>
      <c r="J1753" s="157" t="s">
        <v>1380</v>
      </c>
      <c r="K1753" s="157" t="s">
        <v>1274</v>
      </c>
      <c r="L1753" s="157" t="s">
        <v>1731</v>
      </c>
      <c r="M1753" s="157" t="str">
        <f t="shared" si="37"/>
        <v>Front Control Unit with User Selector - Command Panel and Computing</v>
      </c>
      <c r="N1753" s="157"/>
      <c r="O1753" s="157"/>
      <c r="P1753" s="159" t="s">
        <v>5646</v>
      </c>
      <c r="Q1753" s="157" t="s">
        <v>2115</v>
      </c>
      <c r="R1753" s="157" t="s">
        <v>8436</v>
      </c>
      <c r="S1753" s="157" t="s">
        <v>8606</v>
      </c>
      <c r="T1753" s="157"/>
      <c r="U1753" s="159" t="s">
        <v>2129</v>
      </c>
      <c r="V1753" s="159" t="s">
        <v>2129</v>
      </c>
      <c r="W1753" s="159" t="s">
        <v>2138</v>
      </c>
      <c r="X1753" s="160">
        <v>1</v>
      </c>
      <c r="Y1753" s="160">
        <v>1</v>
      </c>
      <c r="Z1753" s="160">
        <v>0.5</v>
      </c>
      <c r="AA1753" s="160">
        <v>0.5</v>
      </c>
    </row>
    <row r="1754" spans="1:27" ht="18" customHeight="1" x14ac:dyDescent="0.25">
      <c r="A1754" s="159">
        <v>4191</v>
      </c>
      <c r="B1754" s="157" t="s">
        <v>57</v>
      </c>
      <c r="C1754" s="157" t="s">
        <v>58</v>
      </c>
      <c r="D1754" s="159" t="s">
        <v>243</v>
      </c>
      <c r="E1754" s="157" t="s">
        <v>241</v>
      </c>
      <c r="F1754" s="157" t="s">
        <v>1264</v>
      </c>
      <c r="G1754" s="157" t="s">
        <v>1278</v>
      </c>
      <c r="H1754" s="157" t="s">
        <v>1378</v>
      </c>
      <c r="I1754" s="157" t="s">
        <v>1727</v>
      </c>
      <c r="J1754" s="157" t="s">
        <v>1380</v>
      </c>
      <c r="K1754" s="157" t="s">
        <v>1274</v>
      </c>
      <c r="L1754" s="157" t="s">
        <v>1731</v>
      </c>
      <c r="M1754" s="157" t="str">
        <f t="shared" si="37"/>
        <v>Front Control Unit with User Selector - Command Panel and Computing</v>
      </c>
      <c r="N1754" s="157"/>
      <c r="O1754" s="157"/>
      <c r="P1754" s="159" t="s">
        <v>5646</v>
      </c>
      <c r="Q1754" s="157" t="s">
        <v>2115</v>
      </c>
      <c r="R1754" s="157" t="s">
        <v>8436</v>
      </c>
      <c r="S1754" s="157" t="s">
        <v>8606</v>
      </c>
      <c r="T1754" s="157"/>
      <c r="U1754" s="159" t="s">
        <v>2129</v>
      </c>
      <c r="V1754" s="159" t="s">
        <v>2138</v>
      </c>
      <c r="W1754" s="159" t="s">
        <v>2138</v>
      </c>
      <c r="X1754" s="160">
        <v>1</v>
      </c>
      <c r="Y1754" s="160">
        <v>1</v>
      </c>
      <c r="Z1754" s="160">
        <v>0.5</v>
      </c>
      <c r="AA1754" s="160">
        <v>0.5</v>
      </c>
    </row>
    <row r="1755" spans="1:27" ht="18" customHeight="1" x14ac:dyDescent="0.25">
      <c r="A1755" s="159">
        <v>4191</v>
      </c>
      <c r="B1755" s="157" t="s">
        <v>57</v>
      </c>
      <c r="C1755" s="157" t="s">
        <v>58</v>
      </c>
      <c r="D1755" s="159" t="s">
        <v>414</v>
      </c>
      <c r="E1755" s="157" t="s">
        <v>412</v>
      </c>
      <c r="F1755" s="157" t="s">
        <v>1264</v>
      </c>
      <c r="G1755" s="157" t="s">
        <v>1278</v>
      </c>
      <c r="H1755" s="157" t="s">
        <v>1378</v>
      </c>
      <c r="I1755" s="157" t="s">
        <v>1727</v>
      </c>
      <c r="J1755" s="157" t="s">
        <v>1380</v>
      </c>
      <c r="K1755" s="157" t="s">
        <v>1274</v>
      </c>
      <c r="L1755" s="157" t="s">
        <v>1731</v>
      </c>
      <c r="M1755" s="157" t="str">
        <f t="shared" si="37"/>
        <v>Front Control Unit with User Selector - Command Panel and Computing</v>
      </c>
      <c r="N1755" s="157"/>
      <c r="O1755" s="157"/>
      <c r="P1755" s="159" t="s">
        <v>5646</v>
      </c>
      <c r="Q1755" s="157" t="s">
        <v>2115</v>
      </c>
      <c r="R1755" s="157" t="s">
        <v>8436</v>
      </c>
      <c r="S1755" s="157" t="s">
        <v>8606</v>
      </c>
      <c r="T1755" s="157"/>
      <c r="U1755" s="159" t="s">
        <v>2129</v>
      </c>
      <c r="V1755" s="159" t="s">
        <v>2138</v>
      </c>
      <c r="W1755" s="159" t="s">
        <v>2138</v>
      </c>
      <c r="X1755" s="160">
        <v>1</v>
      </c>
      <c r="Y1755" s="160">
        <v>1</v>
      </c>
      <c r="Z1755" s="160">
        <v>0.5</v>
      </c>
      <c r="AA1755" s="160">
        <v>0.5</v>
      </c>
    </row>
    <row r="1756" spans="1:27" ht="18" customHeight="1" x14ac:dyDescent="0.25">
      <c r="A1756" s="159">
        <v>4191</v>
      </c>
      <c r="B1756" s="157" t="s">
        <v>57</v>
      </c>
      <c r="C1756" s="157" t="s">
        <v>58</v>
      </c>
      <c r="D1756" s="159" t="s">
        <v>417</v>
      </c>
      <c r="E1756" s="157" t="s">
        <v>415</v>
      </c>
      <c r="F1756" s="157" t="s">
        <v>1264</v>
      </c>
      <c r="G1756" s="157" t="s">
        <v>1278</v>
      </c>
      <c r="H1756" s="157" t="s">
        <v>1378</v>
      </c>
      <c r="I1756" s="157" t="s">
        <v>1727</v>
      </c>
      <c r="J1756" s="157" t="s">
        <v>1380</v>
      </c>
      <c r="K1756" s="157" t="s">
        <v>1274</v>
      </c>
      <c r="L1756" s="157" t="s">
        <v>1731</v>
      </c>
      <c r="M1756" s="157" t="str">
        <f t="shared" si="37"/>
        <v>Front Control Unit with User Selector - Command Panel and Computing</v>
      </c>
      <c r="N1756" s="157"/>
      <c r="O1756" s="157"/>
      <c r="P1756" s="159" t="s">
        <v>5646</v>
      </c>
      <c r="Q1756" s="157" t="s">
        <v>2115</v>
      </c>
      <c r="R1756" s="157" t="s">
        <v>8436</v>
      </c>
      <c r="S1756" s="157" t="s">
        <v>8606</v>
      </c>
      <c r="T1756" s="157"/>
      <c r="U1756" s="159" t="s">
        <v>2129</v>
      </c>
      <c r="V1756" s="159" t="s">
        <v>2138</v>
      </c>
      <c r="W1756" s="159" t="s">
        <v>2138</v>
      </c>
      <c r="X1756" s="160">
        <v>1</v>
      </c>
      <c r="Y1756" s="160">
        <v>1</v>
      </c>
      <c r="Z1756" s="160">
        <v>0.5</v>
      </c>
      <c r="AA1756" s="160">
        <v>0.5</v>
      </c>
    </row>
    <row r="1757" spans="1:27" ht="18" customHeight="1" x14ac:dyDescent="0.25">
      <c r="A1757" s="159">
        <v>4191</v>
      </c>
      <c r="B1757" s="157" t="s">
        <v>57</v>
      </c>
      <c r="C1757" s="157" t="s">
        <v>58</v>
      </c>
      <c r="D1757" s="159" t="s">
        <v>929</v>
      </c>
      <c r="E1757" s="157" t="s">
        <v>927</v>
      </c>
      <c r="F1757" s="157" t="s">
        <v>1264</v>
      </c>
      <c r="G1757" s="157" t="s">
        <v>1278</v>
      </c>
      <c r="H1757" s="157" t="s">
        <v>1378</v>
      </c>
      <c r="I1757" s="157" t="s">
        <v>1727</v>
      </c>
      <c r="J1757" s="157" t="s">
        <v>1380</v>
      </c>
      <c r="K1757" s="157" t="s">
        <v>1274</v>
      </c>
      <c r="L1757" s="157" t="s">
        <v>1731</v>
      </c>
      <c r="M1757" s="157" t="str">
        <f t="shared" si="37"/>
        <v>Front Control Unit with User Selector - Command Panel and Computing</v>
      </c>
      <c r="N1757" s="157"/>
      <c r="O1757" s="157"/>
      <c r="P1757" s="159" t="s">
        <v>5646</v>
      </c>
      <c r="Q1757" s="157" t="s">
        <v>2115</v>
      </c>
      <c r="R1757" s="157" t="s">
        <v>8436</v>
      </c>
      <c r="S1757" s="157" t="s">
        <v>8606</v>
      </c>
      <c r="T1757" s="157"/>
      <c r="U1757" s="159" t="s">
        <v>2129</v>
      </c>
      <c r="V1757" s="159" t="s">
        <v>2129</v>
      </c>
      <c r="W1757" s="159" t="s">
        <v>2138</v>
      </c>
      <c r="X1757" s="160">
        <v>1</v>
      </c>
      <c r="Y1757" s="160">
        <v>1</v>
      </c>
      <c r="Z1757" s="160">
        <v>0.5</v>
      </c>
      <c r="AA1757" s="160">
        <v>0.5</v>
      </c>
    </row>
    <row r="1758" spans="1:27" ht="18" customHeight="1" x14ac:dyDescent="0.25">
      <c r="A1758" s="159">
        <v>4191</v>
      </c>
      <c r="B1758" s="157" t="s">
        <v>57</v>
      </c>
      <c r="C1758" s="157" t="s">
        <v>58</v>
      </c>
      <c r="D1758" s="159" t="s">
        <v>62</v>
      </c>
      <c r="E1758" s="157" t="s">
        <v>991</v>
      </c>
      <c r="F1758" s="157" t="s">
        <v>1264</v>
      </c>
      <c r="G1758" s="157" t="s">
        <v>1278</v>
      </c>
      <c r="H1758" s="157" t="s">
        <v>1378</v>
      </c>
      <c r="I1758" s="157" t="s">
        <v>1727</v>
      </c>
      <c r="J1758" s="157" t="s">
        <v>1380</v>
      </c>
      <c r="K1758" s="157" t="s">
        <v>1274</v>
      </c>
      <c r="L1758" s="157" t="s">
        <v>1731</v>
      </c>
      <c r="M1758" s="157" t="str">
        <f t="shared" si="37"/>
        <v>Front Control Unit with User Selector - Command Panel and Computing</v>
      </c>
      <c r="N1758" s="157"/>
      <c r="O1758" s="157"/>
      <c r="P1758" s="159" t="s">
        <v>5646</v>
      </c>
      <c r="Q1758" s="157" t="s">
        <v>2115</v>
      </c>
      <c r="R1758" s="157" t="s">
        <v>8436</v>
      </c>
      <c r="S1758" s="157" t="s">
        <v>8606</v>
      </c>
      <c r="T1758" s="157"/>
      <c r="U1758" s="159" t="s">
        <v>2129</v>
      </c>
      <c r="V1758" s="159" t="s">
        <v>2138</v>
      </c>
      <c r="W1758" s="159" t="s">
        <v>2129</v>
      </c>
      <c r="X1758" s="160">
        <v>1</v>
      </c>
      <c r="Y1758" s="160">
        <v>1</v>
      </c>
      <c r="Z1758" s="160">
        <v>0.5</v>
      </c>
      <c r="AA1758" s="160">
        <v>0.5</v>
      </c>
    </row>
    <row r="1759" spans="1:27" ht="18" customHeight="1" x14ac:dyDescent="0.25">
      <c r="A1759" s="159">
        <v>4191</v>
      </c>
      <c r="B1759" s="157" t="s">
        <v>57</v>
      </c>
      <c r="C1759" s="157" t="s">
        <v>58</v>
      </c>
      <c r="D1759" s="159" t="s">
        <v>995</v>
      </c>
      <c r="E1759" s="157" t="s">
        <v>993</v>
      </c>
      <c r="F1759" s="157" t="s">
        <v>1264</v>
      </c>
      <c r="G1759" s="157" t="s">
        <v>1278</v>
      </c>
      <c r="H1759" s="157" t="s">
        <v>1378</v>
      </c>
      <c r="I1759" s="157" t="s">
        <v>1727</v>
      </c>
      <c r="J1759" s="157" t="s">
        <v>1380</v>
      </c>
      <c r="K1759" s="157" t="s">
        <v>1274</v>
      </c>
      <c r="L1759" s="157" t="s">
        <v>1731</v>
      </c>
      <c r="M1759" s="157" t="str">
        <f t="shared" si="37"/>
        <v>Front Control Unit with User Selector - Command Panel and Computing</v>
      </c>
      <c r="N1759" s="157"/>
      <c r="O1759" s="157"/>
      <c r="P1759" s="159" t="s">
        <v>5646</v>
      </c>
      <c r="Q1759" s="157" t="s">
        <v>2115</v>
      </c>
      <c r="R1759" s="157" t="s">
        <v>8436</v>
      </c>
      <c r="S1759" s="157" t="s">
        <v>8606</v>
      </c>
      <c r="T1759" s="157"/>
      <c r="U1759" s="159" t="s">
        <v>2129</v>
      </c>
      <c r="V1759" s="159" t="s">
        <v>2138</v>
      </c>
      <c r="W1759" s="159" t="s">
        <v>2138</v>
      </c>
      <c r="X1759" s="160">
        <v>1</v>
      </c>
      <c r="Y1759" s="160">
        <v>1</v>
      </c>
      <c r="Z1759" s="160">
        <v>0.5</v>
      </c>
      <c r="AA1759" s="160">
        <v>0.5</v>
      </c>
    </row>
    <row r="1760" spans="1:27" ht="18" customHeight="1" x14ac:dyDescent="0.25">
      <c r="A1760" s="159">
        <v>4191</v>
      </c>
      <c r="B1760" s="157" t="s">
        <v>57</v>
      </c>
      <c r="C1760" s="157" t="s">
        <v>58</v>
      </c>
      <c r="D1760" s="159" t="s">
        <v>998</v>
      </c>
      <c r="E1760" s="157" t="s">
        <v>996</v>
      </c>
      <c r="F1760" s="157" t="s">
        <v>1264</v>
      </c>
      <c r="G1760" s="157" t="s">
        <v>1278</v>
      </c>
      <c r="H1760" s="157" t="s">
        <v>1378</v>
      </c>
      <c r="I1760" s="157" t="s">
        <v>1727</v>
      </c>
      <c r="J1760" s="157" t="s">
        <v>1380</v>
      </c>
      <c r="K1760" s="157" t="s">
        <v>1274</v>
      </c>
      <c r="L1760" s="157" t="s">
        <v>1731</v>
      </c>
      <c r="M1760" s="157" t="str">
        <f t="shared" si="37"/>
        <v>Front Control Unit with User Selector - Command Panel and Computing</v>
      </c>
      <c r="N1760" s="157"/>
      <c r="O1760" s="157"/>
      <c r="P1760" s="159" t="s">
        <v>5646</v>
      </c>
      <c r="Q1760" s="157" t="s">
        <v>2115</v>
      </c>
      <c r="R1760" s="157" t="s">
        <v>8436</v>
      </c>
      <c r="S1760" s="157" t="s">
        <v>8606</v>
      </c>
      <c r="T1760" s="157"/>
      <c r="U1760" s="159" t="s">
        <v>2129</v>
      </c>
      <c r="V1760" s="159" t="s">
        <v>2138</v>
      </c>
      <c r="W1760" s="159" t="s">
        <v>2138</v>
      </c>
      <c r="X1760" s="160">
        <v>1</v>
      </c>
      <c r="Y1760" s="160">
        <v>1</v>
      </c>
      <c r="Z1760" s="160">
        <v>0.5</v>
      </c>
      <c r="AA1760" s="160">
        <v>0.5</v>
      </c>
    </row>
    <row r="1761" spans="1:27" ht="18" customHeight="1" x14ac:dyDescent="0.25">
      <c r="A1761" s="159">
        <v>4191</v>
      </c>
      <c r="B1761" s="157" t="s">
        <v>57</v>
      </c>
      <c r="C1761" s="157" t="s">
        <v>58</v>
      </c>
      <c r="D1761" s="159" t="s">
        <v>1001</v>
      </c>
      <c r="E1761" s="157" t="s">
        <v>999</v>
      </c>
      <c r="F1761" s="157"/>
      <c r="G1761" s="157" t="s">
        <v>1278</v>
      </c>
      <c r="H1761" s="157" t="s">
        <v>1378</v>
      </c>
      <c r="I1761" s="157" t="s">
        <v>1727</v>
      </c>
      <c r="J1761" s="157" t="s">
        <v>1380</v>
      </c>
      <c r="K1761" s="157" t="s">
        <v>1274</v>
      </c>
      <c r="L1761" s="157" t="s">
        <v>1731</v>
      </c>
      <c r="M1761" s="157" t="str">
        <f t="shared" si="37"/>
        <v>Front Control Unit with User Selector - Command Panel and Computing</v>
      </c>
      <c r="N1761" s="157"/>
      <c r="O1761" s="157"/>
      <c r="P1761" s="159" t="s">
        <v>5646</v>
      </c>
      <c r="Q1761" s="157" t="s">
        <v>2115</v>
      </c>
      <c r="R1761" s="157" t="s">
        <v>8436</v>
      </c>
      <c r="S1761" s="157" t="s">
        <v>8606</v>
      </c>
      <c r="T1761" s="157"/>
      <c r="U1761" s="159" t="s">
        <v>2129</v>
      </c>
      <c r="V1761" s="159" t="s">
        <v>2129</v>
      </c>
      <c r="W1761" s="159" t="s">
        <v>2138</v>
      </c>
      <c r="X1761" s="160">
        <v>1</v>
      </c>
      <c r="Y1761" s="160">
        <v>1</v>
      </c>
      <c r="Z1761" s="160">
        <v>0.5</v>
      </c>
      <c r="AA1761" s="160">
        <v>0.5</v>
      </c>
    </row>
    <row r="1762" spans="1:27" ht="18" customHeight="1" x14ac:dyDescent="0.25">
      <c r="A1762" s="159">
        <v>4191</v>
      </c>
      <c r="B1762" s="157" t="s">
        <v>57</v>
      </c>
      <c r="C1762" s="157" t="s">
        <v>58</v>
      </c>
      <c r="D1762" s="159" t="s">
        <v>1004</v>
      </c>
      <c r="E1762" s="157" t="s">
        <v>1003</v>
      </c>
      <c r="F1762" s="157"/>
      <c r="G1762" s="157" t="s">
        <v>1278</v>
      </c>
      <c r="H1762" s="157" t="s">
        <v>1378</v>
      </c>
      <c r="I1762" s="157" t="s">
        <v>1727</v>
      </c>
      <c r="J1762" s="157" t="s">
        <v>1380</v>
      </c>
      <c r="K1762" s="157" t="s">
        <v>1274</v>
      </c>
      <c r="L1762" s="157" t="s">
        <v>1731</v>
      </c>
      <c r="M1762" s="157" t="str">
        <f t="shared" si="37"/>
        <v>Front Control Unit with User Selector - Command Panel and Computing</v>
      </c>
      <c r="N1762" s="157"/>
      <c r="O1762" s="157"/>
      <c r="P1762" s="159" t="s">
        <v>5646</v>
      </c>
      <c r="Q1762" s="157" t="s">
        <v>2115</v>
      </c>
      <c r="R1762" s="157" t="s">
        <v>8436</v>
      </c>
      <c r="S1762" s="157" t="s">
        <v>8606</v>
      </c>
      <c r="T1762" s="157"/>
      <c r="U1762" s="159" t="s">
        <v>2129</v>
      </c>
      <c r="V1762" s="159" t="s">
        <v>2129</v>
      </c>
      <c r="W1762" s="159" t="s">
        <v>2138</v>
      </c>
      <c r="X1762" s="160">
        <v>1</v>
      </c>
      <c r="Y1762" s="160">
        <v>1</v>
      </c>
      <c r="Z1762" s="160">
        <v>0.5</v>
      </c>
      <c r="AA1762" s="160">
        <v>0.5</v>
      </c>
    </row>
    <row r="1763" spans="1:27" ht="18" customHeight="1" x14ac:dyDescent="0.25">
      <c r="A1763" s="159">
        <v>4194</v>
      </c>
      <c r="B1763" s="157"/>
      <c r="C1763" s="157"/>
      <c r="D1763" s="159"/>
      <c r="E1763" s="157"/>
      <c r="F1763" s="157"/>
      <c r="G1763" s="157" t="s">
        <v>13</v>
      </c>
      <c r="H1763" s="157" t="s">
        <v>1354</v>
      </c>
      <c r="I1763" s="157"/>
      <c r="J1763" s="157"/>
      <c r="K1763" s="157" t="s">
        <v>1281</v>
      </c>
      <c r="L1763" s="157" t="s">
        <v>8315</v>
      </c>
      <c r="M1763" s="157" t="str">
        <f t="shared" si="37"/>
        <v xml:space="preserve">Panel Combined Switches - </v>
      </c>
      <c r="N1763" s="157"/>
      <c r="O1763" s="157"/>
      <c r="P1763" s="159"/>
      <c r="Q1763" s="157"/>
      <c r="R1763" s="157"/>
      <c r="S1763" s="157"/>
      <c r="T1763" s="157"/>
      <c r="U1763" s="159"/>
      <c r="V1763" s="159"/>
      <c r="W1763" s="159"/>
      <c r="X1763" s="160"/>
      <c r="Y1763" s="160"/>
      <c r="Z1763" s="160"/>
      <c r="AA1763" s="160"/>
    </row>
    <row r="1764" spans="1:27" ht="18" customHeight="1" x14ac:dyDescent="0.25">
      <c r="A1764" s="159">
        <v>4196</v>
      </c>
      <c r="B1764" s="157" t="s">
        <v>251</v>
      </c>
      <c r="C1764" s="157" t="s">
        <v>311</v>
      </c>
      <c r="D1764" s="159" t="s">
        <v>9667</v>
      </c>
      <c r="E1764" s="157" t="s">
        <v>9665</v>
      </c>
      <c r="F1764" s="157"/>
      <c r="G1764" s="157" t="s">
        <v>1321</v>
      </c>
      <c r="H1764" s="157" t="s">
        <v>9546</v>
      </c>
      <c r="I1764" s="157" t="s">
        <v>1533</v>
      </c>
      <c r="J1764" s="157" t="s">
        <v>1649</v>
      </c>
      <c r="K1764" s="157" t="s">
        <v>1269</v>
      </c>
      <c r="L1764" s="157" t="s">
        <v>1533</v>
      </c>
      <c r="M1764" s="157" t="str">
        <f t="shared" si="37"/>
        <v>Fuel Pump - Fuel Pump</v>
      </c>
      <c r="N1764" s="157"/>
      <c r="O1764" s="157"/>
      <c r="P1764" s="159" t="s">
        <v>4862</v>
      </c>
      <c r="Q1764" s="157"/>
      <c r="R1764" s="157"/>
      <c r="S1764" s="157"/>
      <c r="T1764" s="157"/>
      <c r="U1764" s="159" t="s">
        <v>2138</v>
      </c>
      <c r="V1764" s="159" t="s">
        <v>2129</v>
      </c>
      <c r="W1764" s="159" t="s">
        <v>2129</v>
      </c>
      <c r="X1764" s="160">
        <v>0.5</v>
      </c>
      <c r="Y1764" s="160">
        <v>0.7</v>
      </c>
      <c r="Z1764" s="160">
        <v>0.5</v>
      </c>
      <c r="AA1764" s="160">
        <v>0.7</v>
      </c>
    </row>
    <row r="1765" spans="1:27" ht="18" customHeight="1" x14ac:dyDescent="0.25">
      <c r="A1765" s="159">
        <v>4196</v>
      </c>
      <c r="B1765" s="157" t="s">
        <v>251</v>
      </c>
      <c r="C1765" s="157" t="s">
        <v>311</v>
      </c>
      <c r="D1765" s="159" t="s">
        <v>9667</v>
      </c>
      <c r="E1765" s="157" t="s">
        <v>9665</v>
      </c>
      <c r="F1765" s="157"/>
      <c r="G1765" s="157" t="s">
        <v>1321</v>
      </c>
      <c r="H1765" s="157" t="s">
        <v>9546</v>
      </c>
      <c r="I1765" s="157" t="s">
        <v>1533</v>
      </c>
      <c r="J1765" s="157" t="s">
        <v>1649</v>
      </c>
      <c r="K1765" s="157" t="s">
        <v>1312</v>
      </c>
      <c r="L1765" s="157" t="s">
        <v>9791</v>
      </c>
      <c r="M1765" s="157" t="str">
        <f t="shared" si="37"/>
        <v>Fuel Tank Level Sensor - Fuel Pump</v>
      </c>
      <c r="N1765" s="157"/>
      <c r="O1765" s="157"/>
      <c r="P1765" s="159" t="s">
        <v>4862</v>
      </c>
      <c r="Q1765" s="157"/>
      <c r="R1765" s="157"/>
      <c r="S1765" s="157"/>
      <c r="T1765" s="157"/>
      <c r="U1765" s="159" t="s">
        <v>2138</v>
      </c>
      <c r="V1765" s="159" t="s">
        <v>2129</v>
      </c>
      <c r="W1765" s="159" t="s">
        <v>2129</v>
      </c>
      <c r="X1765" s="160">
        <v>1</v>
      </c>
      <c r="Y1765" s="160">
        <v>1</v>
      </c>
      <c r="Z1765" s="160">
        <v>1</v>
      </c>
      <c r="AA1765" s="160">
        <v>1</v>
      </c>
    </row>
    <row r="1766" spans="1:27" ht="18" customHeight="1" x14ac:dyDescent="0.25">
      <c r="A1766" s="159">
        <v>4197</v>
      </c>
      <c r="B1766" s="157" t="s">
        <v>280</v>
      </c>
      <c r="C1766" s="157" t="s">
        <v>354</v>
      </c>
      <c r="D1766" s="159" t="s">
        <v>1045</v>
      </c>
      <c r="E1766" s="157" t="s">
        <v>1043</v>
      </c>
      <c r="F1766" s="157" t="s">
        <v>1010</v>
      </c>
      <c r="G1766" s="157" t="s">
        <v>1265</v>
      </c>
      <c r="H1766" s="157" t="s">
        <v>1458</v>
      </c>
      <c r="I1766" s="157" t="s">
        <v>1721</v>
      </c>
      <c r="J1766" s="157" t="s">
        <v>1713</v>
      </c>
      <c r="K1766" s="157" t="s">
        <v>1480</v>
      </c>
      <c r="L1766" s="157" t="s">
        <v>1675</v>
      </c>
      <c r="M1766" s="157" t="str">
        <f t="shared" si="37"/>
        <v>Loudspeaker - Door Rear Left / Rear Seat Left Trim - Mid Range Speaker</v>
      </c>
      <c r="N1766" s="157"/>
      <c r="O1766" s="157"/>
      <c r="P1766" s="159" t="s">
        <v>8076</v>
      </c>
      <c r="Q1766" s="157" t="s">
        <v>2115</v>
      </c>
      <c r="R1766" s="157" t="s">
        <v>2121</v>
      </c>
      <c r="S1766" s="157" t="s">
        <v>8632</v>
      </c>
      <c r="T1766" s="157"/>
      <c r="U1766" s="159" t="s">
        <v>2129</v>
      </c>
      <c r="V1766" s="159" t="s">
        <v>2129</v>
      </c>
      <c r="W1766" s="159" t="s">
        <v>2138</v>
      </c>
      <c r="X1766" s="160">
        <v>0.25</v>
      </c>
      <c r="Y1766" s="160">
        <v>0.35</v>
      </c>
      <c r="Z1766" s="160">
        <v>0.4</v>
      </c>
      <c r="AA1766" s="160">
        <v>0.3</v>
      </c>
    </row>
    <row r="1767" spans="1:27" ht="18" customHeight="1" x14ac:dyDescent="0.25">
      <c r="A1767" s="159">
        <v>4197</v>
      </c>
      <c r="B1767" s="157" t="s">
        <v>280</v>
      </c>
      <c r="C1767" s="157" t="s">
        <v>354</v>
      </c>
      <c r="D1767" s="159" t="s">
        <v>1189</v>
      </c>
      <c r="E1767" s="157" t="s">
        <v>1187</v>
      </c>
      <c r="F1767" s="157" t="s">
        <v>1264</v>
      </c>
      <c r="G1767" s="157" t="s">
        <v>1265</v>
      </c>
      <c r="H1767" s="157" t="s">
        <v>1458</v>
      </c>
      <c r="I1767" s="157" t="s">
        <v>1721</v>
      </c>
      <c r="J1767" s="157" t="s">
        <v>1713</v>
      </c>
      <c r="K1767" s="157" t="s">
        <v>1480</v>
      </c>
      <c r="L1767" s="157" t="s">
        <v>1675</v>
      </c>
      <c r="M1767" s="157" t="str">
        <f t="shared" si="37"/>
        <v>Loudspeaker - Door Rear Left / Rear Seat Left Trim - Mid Range Speaker</v>
      </c>
      <c r="N1767" s="157"/>
      <c r="O1767" s="157"/>
      <c r="P1767" s="159" t="s">
        <v>8076</v>
      </c>
      <c r="Q1767" s="157" t="s">
        <v>2115</v>
      </c>
      <c r="R1767" s="157" t="s">
        <v>2121</v>
      </c>
      <c r="S1767" s="157" t="s">
        <v>8632</v>
      </c>
      <c r="T1767" s="157"/>
      <c r="U1767" s="159" t="s">
        <v>2129</v>
      </c>
      <c r="V1767" s="159" t="s">
        <v>2129</v>
      </c>
      <c r="W1767" s="159" t="s">
        <v>2138</v>
      </c>
      <c r="X1767" s="160">
        <v>0.25</v>
      </c>
      <c r="Y1767" s="160">
        <v>0.35</v>
      </c>
      <c r="Z1767" s="160">
        <v>0.4</v>
      </c>
      <c r="AA1767" s="160">
        <v>0.3</v>
      </c>
    </row>
    <row r="1768" spans="1:27" ht="18" customHeight="1" x14ac:dyDescent="0.25">
      <c r="A1768" s="159">
        <v>4198</v>
      </c>
      <c r="B1768" s="157" t="s">
        <v>280</v>
      </c>
      <c r="C1768" s="157" t="s">
        <v>354</v>
      </c>
      <c r="D1768" s="159" t="s">
        <v>1045</v>
      </c>
      <c r="E1768" s="157" t="s">
        <v>1043</v>
      </c>
      <c r="F1768" s="157" t="s">
        <v>1010</v>
      </c>
      <c r="G1768" s="157" t="s">
        <v>1265</v>
      </c>
      <c r="H1768" s="157" t="s">
        <v>1458</v>
      </c>
      <c r="I1768" s="157" t="s">
        <v>1721</v>
      </c>
      <c r="J1768" s="157" t="s">
        <v>1713</v>
      </c>
      <c r="K1768" s="157" t="s">
        <v>1480</v>
      </c>
      <c r="L1768" s="157" t="s">
        <v>8289</v>
      </c>
      <c r="M1768" s="157" t="str">
        <f t="shared" si="37"/>
        <v>Loudspeaker - Door Rear Right / Rear Seat Right Trim - Mid Range Speaker</v>
      </c>
      <c r="N1768" s="157"/>
      <c r="O1768" s="157"/>
      <c r="P1768" s="159" t="s">
        <v>3718</v>
      </c>
      <c r="Q1768" s="157" t="s">
        <v>2115</v>
      </c>
      <c r="R1768" s="157" t="s">
        <v>2121</v>
      </c>
      <c r="S1768" s="157" t="s">
        <v>8632</v>
      </c>
      <c r="T1768" s="157"/>
      <c r="U1768" s="159" t="s">
        <v>2129</v>
      </c>
      <c r="V1768" s="159" t="s">
        <v>2129</v>
      </c>
      <c r="W1768" s="159" t="s">
        <v>2138</v>
      </c>
      <c r="X1768" s="160">
        <v>0.25</v>
      </c>
      <c r="Y1768" s="160">
        <v>0.35</v>
      </c>
      <c r="Z1768" s="160">
        <v>0.4</v>
      </c>
      <c r="AA1768" s="160">
        <v>0.3</v>
      </c>
    </row>
    <row r="1769" spans="1:27" ht="18" customHeight="1" x14ac:dyDescent="0.25">
      <c r="A1769" s="159">
        <v>4198</v>
      </c>
      <c r="B1769" s="157" t="s">
        <v>280</v>
      </c>
      <c r="C1769" s="157" t="s">
        <v>354</v>
      </c>
      <c r="D1769" s="159" t="s">
        <v>1189</v>
      </c>
      <c r="E1769" s="157" t="s">
        <v>1187</v>
      </c>
      <c r="F1769" s="157" t="s">
        <v>1264</v>
      </c>
      <c r="G1769" s="157" t="s">
        <v>1265</v>
      </c>
      <c r="H1769" s="157" t="s">
        <v>1458</v>
      </c>
      <c r="I1769" s="157" t="s">
        <v>1721</v>
      </c>
      <c r="J1769" s="157" t="s">
        <v>1713</v>
      </c>
      <c r="K1769" s="157" t="s">
        <v>1480</v>
      </c>
      <c r="L1769" s="157" t="s">
        <v>8289</v>
      </c>
      <c r="M1769" s="157" t="str">
        <f t="shared" si="37"/>
        <v>Loudspeaker - Door Rear Right / Rear Seat Right Trim - Mid Range Speaker</v>
      </c>
      <c r="N1769" s="157"/>
      <c r="O1769" s="157"/>
      <c r="P1769" s="159" t="s">
        <v>3718</v>
      </c>
      <c r="Q1769" s="157" t="s">
        <v>2115</v>
      </c>
      <c r="R1769" s="157" t="s">
        <v>2121</v>
      </c>
      <c r="S1769" s="157" t="s">
        <v>8632</v>
      </c>
      <c r="T1769" s="157"/>
      <c r="U1769" s="159" t="s">
        <v>2129</v>
      </c>
      <c r="V1769" s="159" t="s">
        <v>2129</v>
      </c>
      <c r="W1769" s="159" t="s">
        <v>2138</v>
      </c>
      <c r="X1769" s="160">
        <v>0.25</v>
      </c>
      <c r="Y1769" s="160">
        <v>0.35</v>
      </c>
      <c r="Z1769" s="160">
        <v>0.4</v>
      </c>
      <c r="AA1769" s="160">
        <v>0.3</v>
      </c>
    </row>
    <row r="1770" spans="1:27" ht="18" customHeight="1" x14ac:dyDescent="0.25">
      <c r="A1770" s="159">
        <v>4212</v>
      </c>
      <c r="B1770" s="157" t="s">
        <v>256</v>
      </c>
      <c r="C1770" s="157" t="s">
        <v>543</v>
      </c>
      <c r="D1770" s="159" t="s">
        <v>546</v>
      </c>
      <c r="E1770" s="157" t="s">
        <v>544</v>
      </c>
      <c r="F1770" s="157"/>
      <c r="G1770" s="157" t="s">
        <v>1299</v>
      </c>
      <c r="H1770" s="157" t="s">
        <v>1465</v>
      </c>
      <c r="I1770" s="157" t="s">
        <v>1466</v>
      </c>
      <c r="J1770" s="157" t="s">
        <v>8454</v>
      </c>
      <c r="K1770" s="157" t="s">
        <v>1269</v>
      </c>
      <c r="L1770" s="157" t="s">
        <v>2089</v>
      </c>
      <c r="M1770" s="157" t="str">
        <f t="shared" si="37"/>
        <v>Steering Motor Unit - Steering</v>
      </c>
      <c r="N1770" s="157"/>
      <c r="O1770" s="157"/>
      <c r="P1770" s="159" t="s">
        <v>2925</v>
      </c>
      <c r="Q1770" s="157" t="s">
        <v>2115</v>
      </c>
      <c r="R1770" s="157" t="s">
        <v>8456</v>
      </c>
      <c r="S1770" s="157" t="s">
        <v>8627</v>
      </c>
      <c r="T1770" s="157"/>
      <c r="U1770" s="159" t="s">
        <v>2129</v>
      </c>
      <c r="V1770" s="159" t="s">
        <v>2129</v>
      </c>
      <c r="W1770" s="159" t="s">
        <v>2138</v>
      </c>
      <c r="X1770" s="160">
        <v>1</v>
      </c>
      <c r="Y1770" s="160">
        <v>1</v>
      </c>
      <c r="Z1770" s="160">
        <v>1</v>
      </c>
      <c r="AA1770" s="160">
        <v>1</v>
      </c>
    </row>
    <row r="1771" spans="1:27" ht="18" customHeight="1" x14ac:dyDescent="0.25">
      <c r="A1771" s="159">
        <v>4212</v>
      </c>
      <c r="B1771" s="157" t="s">
        <v>256</v>
      </c>
      <c r="C1771" s="157" t="s">
        <v>543</v>
      </c>
      <c r="D1771" s="159" t="s">
        <v>549</v>
      </c>
      <c r="E1771" s="157" t="s">
        <v>547</v>
      </c>
      <c r="F1771" s="157"/>
      <c r="G1771" s="157" t="s">
        <v>1299</v>
      </c>
      <c r="H1771" s="157" t="s">
        <v>1465</v>
      </c>
      <c r="I1771" s="157" t="s">
        <v>1466</v>
      </c>
      <c r="J1771" s="157" t="s">
        <v>8454</v>
      </c>
      <c r="K1771" s="157" t="s">
        <v>1269</v>
      </c>
      <c r="L1771" s="157" t="s">
        <v>2089</v>
      </c>
      <c r="M1771" s="157" t="str">
        <f t="shared" si="37"/>
        <v>Steering Motor Unit - Steering</v>
      </c>
      <c r="N1771" s="157"/>
      <c r="O1771" s="157"/>
      <c r="P1771" s="159" t="s">
        <v>2925</v>
      </c>
      <c r="Q1771" s="157" t="s">
        <v>2115</v>
      </c>
      <c r="R1771" s="157" t="s">
        <v>8456</v>
      </c>
      <c r="S1771" s="157" t="s">
        <v>8627</v>
      </c>
      <c r="T1771" s="157"/>
      <c r="U1771" s="159" t="s">
        <v>2129</v>
      </c>
      <c r="V1771" s="159" t="s">
        <v>2129</v>
      </c>
      <c r="W1771" s="159" t="s">
        <v>2138</v>
      </c>
      <c r="X1771" s="160">
        <v>1</v>
      </c>
      <c r="Y1771" s="160">
        <v>1</v>
      </c>
      <c r="Z1771" s="160">
        <v>1</v>
      </c>
      <c r="AA1771" s="160">
        <v>1</v>
      </c>
    </row>
    <row r="1772" spans="1:27" ht="18" customHeight="1" x14ac:dyDescent="0.25">
      <c r="A1772" s="159">
        <v>4212</v>
      </c>
      <c r="B1772" s="157" t="s">
        <v>256</v>
      </c>
      <c r="C1772" s="157" t="s">
        <v>543</v>
      </c>
      <c r="D1772" s="159" t="s">
        <v>597</v>
      </c>
      <c r="E1772" s="157" t="s">
        <v>595</v>
      </c>
      <c r="F1772" s="157"/>
      <c r="G1772" s="157" t="s">
        <v>1299</v>
      </c>
      <c r="H1772" s="157" t="s">
        <v>1465</v>
      </c>
      <c r="I1772" s="157" t="s">
        <v>1466</v>
      </c>
      <c r="J1772" s="157" t="s">
        <v>8454</v>
      </c>
      <c r="K1772" s="157" t="s">
        <v>1269</v>
      </c>
      <c r="L1772" s="157" t="s">
        <v>2089</v>
      </c>
      <c r="M1772" s="157" t="str">
        <f t="shared" si="37"/>
        <v>Steering Motor Unit - Steering</v>
      </c>
      <c r="N1772" s="157"/>
      <c r="O1772" s="157"/>
      <c r="P1772" s="159" t="s">
        <v>2925</v>
      </c>
      <c r="Q1772" s="157" t="s">
        <v>2115</v>
      </c>
      <c r="R1772" s="157" t="s">
        <v>8456</v>
      </c>
      <c r="S1772" s="157" t="s">
        <v>8627</v>
      </c>
      <c r="T1772" s="157"/>
      <c r="U1772" s="159" t="s">
        <v>2129</v>
      </c>
      <c r="V1772" s="159" t="s">
        <v>2129</v>
      </c>
      <c r="W1772" s="159" t="s">
        <v>2138</v>
      </c>
      <c r="X1772" s="160">
        <v>1</v>
      </c>
      <c r="Y1772" s="160">
        <v>1</v>
      </c>
      <c r="Z1772" s="160">
        <v>1</v>
      </c>
      <c r="AA1772" s="160">
        <v>1</v>
      </c>
    </row>
    <row r="1773" spans="1:27" ht="18" customHeight="1" x14ac:dyDescent="0.25">
      <c r="A1773" s="159">
        <v>4212</v>
      </c>
      <c r="B1773" s="157" t="s">
        <v>266</v>
      </c>
      <c r="C1773" s="157" t="s">
        <v>276</v>
      </c>
      <c r="D1773" s="159" t="s">
        <v>686</v>
      </c>
      <c r="E1773" s="157" t="s">
        <v>684</v>
      </c>
      <c r="F1773" s="157" t="s">
        <v>1264</v>
      </c>
      <c r="G1773" s="157" t="s">
        <v>1299</v>
      </c>
      <c r="H1773" s="157" t="s">
        <v>1465</v>
      </c>
      <c r="I1773" s="157" t="s">
        <v>1466</v>
      </c>
      <c r="J1773" s="157" t="s">
        <v>8454</v>
      </c>
      <c r="K1773" s="157" t="s">
        <v>1269</v>
      </c>
      <c r="L1773" s="157" t="s">
        <v>2089</v>
      </c>
      <c r="M1773" s="157" t="str">
        <f t="shared" si="37"/>
        <v>Steering Motor Unit - Steering</v>
      </c>
      <c r="N1773" s="157"/>
      <c r="O1773" s="157"/>
      <c r="P1773" s="159" t="s">
        <v>2925</v>
      </c>
      <c r="Q1773" s="157" t="s">
        <v>2115</v>
      </c>
      <c r="R1773" s="157" t="s">
        <v>8456</v>
      </c>
      <c r="S1773" s="157" t="s">
        <v>8627</v>
      </c>
      <c r="T1773" s="157"/>
      <c r="U1773" s="159" t="s">
        <v>2129</v>
      </c>
      <c r="V1773" s="159" t="s">
        <v>2129</v>
      </c>
      <c r="W1773" s="159" t="s">
        <v>2138</v>
      </c>
      <c r="X1773" s="160">
        <v>1</v>
      </c>
      <c r="Y1773" s="160">
        <v>1</v>
      </c>
      <c r="Z1773" s="160">
        <v>1</v>
      </c>
      <c r="AA1773" s="160">
        <v>1</v>
      </c>
    </row>
    <row r="1774" spans="1:27" ht="18" customHeight="1" x14ac:dyDescent="0.25">
      <c r="A1774" s="159">
        <v>4213</v>
      </c>
      <c r="B1774" s="157" t="s">
        <v>256</v>
      </c>
      <c r="C1774" s="157" t="s">
        <v>543</v>
      </c>
      <c r="D1774" s="159" t="s">
        <v>522</v>
      </c>
      <c r="E1774" s="157" t="s">
        <v>520</v>
      </c>
      <c r="F1774" s="157"/>
      <c r="G1774" s="157" t="s">
        <v>1299</v>
      </c>
      <c r="H1774" s="157" t="s">
        <v>1465</v>
      </c>
      <c r="I1774" s="157" t="s">
        <v>1466</v>
      </c>
      <c r="J1774" s="157" t="s">
        <v>8455</v>
      </c>
      <c r="K1774" s="157" t="s">
        <v>1269</v>
      </c>
      <c r="L1774" s="157" t="s">
        <v>2089</v>
      </c>
      <c r="M1774" s="157" t="str">
        <f t="shared" si="37"/>
        <v>Steering Motor Unit - Steering</v>
      </c>
      <c r="N1774" s="157"/>
      <c r="O1774" s="157"/>
      <c r="P1774" s="159" t="s">
        <v>2953</v>
      </c>
      <c r="Q1774" s="157" t="s">
        <v>2115</v>
      </c>
      <c r="R1774" s="157" t="s">
        <v>8456</v>
      </c>
      <c r="S1774" s="157" t="s">
        <v>8627</v>
      </c>
      <c r="T1774" s="157"/>
      <c r="U1774" s="159" t="s">
        <v>2129</v>
      </c>
      <c r="V1774" s="159" t="s">
        <v>2129</v>
      </c>
      <c r="W1774" s="159" t="s">
        <v>2138</v>
      </c>
      <c r="X1774" s="160">
        <v>1</v>
      </c>
      <c r="Y1774" s="160">
        <v>1</v>
      </c>
      <c r="Z1774" s="160">
        <v>1</v>
      </c>
      <c r="AA1774" s="160">
        <v>1</v>
      </c>
    </row>
    <row r="1775" spans="1:27" ht="18" customHeight="1" x14ac:dyDescent="0.25">
      <c r="A1775" s="159">
        <v>4213</v>
      </c>
      <c r="B1775" s="157" t="s">
        <v>256</v>
      </c>
      <c r="C1775" s="157" t="s">
        <v>543</v>
      </c>
      <c r="D1775" s="159" t="s">
        <v>526</v>
      </c>
      <c r="E1775" s="157" t="s">
        <v>524</v>
      </c>
      <c r="F1775" s="157"/>
      <c r="G1775" s="157" t="s">
        <v>1299</v>
      </c>
      <c r="H1775" s="157" t="s">
        <v>1465</v>
      </c>
      <c r="I1775" s="157" t="s">
        <v>1466</v>
      </c>
      <c r="J1775" s="157" t="s">
        <v>8455</v>
      </c>
      <c r="K1775" s="157" t="s">
        <v>1269</v>
      </c>
      <c r="L1775" s="157" t="s">
        <v>2089</v>
      </c>
      <c r="M1775" s="157" t="str">
        <f t="shared" si="37"/>
        <v>Steering Motor Unit - Steering</v>
      </c>
      <c r="N1775" s="157"/>
      <c r="O1775" s="157"/>
      <c r="P1775" s="159" t="s">
        <v>2953</v>
      </c>
      <c r="Q1775" s="157" t="s">
        <v>2115</v>
      </c>
      <c r="R1775" s="157" t="s">
        <v>8456</v>
      </c>
      <c r="S1775" s="157" t="s">
        <v>8627</v>
      </c>
      <c r="T1775" s="157"/>
      <c r="U1775" s="159" t="s">
        <v>2129</v>
      </c>
      <c r="V1775" s="159" t="s">
        <v>2129</v>
      </c>
      <c r="W1775" s="159" t="s">
        <v>2138</v>
      </c>
      <c r="X1775" s="160">
        <v>1</v>
      </c>
      <c r="Y1775" s="160">
        <v>1</v>
      </c>
      <c r="Z1775" s="160">
        <v>1</v>
      </c>
      <c r="AA1775" s="160">
        <v>1</v>
      </c>
    </row>
    <row r="1776" spans="1:27" ht="18" customHeight="1" x14ac:dyDescent="0.25">
      <c r="A1776" s="159">
        <v>4213</v>
      </c>
      <c r="B1776" s="157" t="s">
        <v>256</v>
      </c>
      <c r="C1776" s="157" t="s">
        <v>543</v>
      </c>
      <c r="D1776" s="159" t="s">
        <v>530</v>
      </c>
      <c r="E1776" s="157" t="s">
        <v>528</v>
      </c>
      <c r="F1776" s="157"/>
      <c r="G1776" s="157" t="s">
        <v>1299</v>
      </c>
      <c r="H1776" s="157" t="s">
        <v>1465</v>
      </c>
      <c r="I1776" s="157" t="s">
        <v>1466</v>
      </c>
      <c r="J1776" s="157" t="s">
        <v>8455</v>
      </c>
      <c r="K1776" s="157" t="s">
        <v>1269</v>
      </c>
      <c r="L1776" s="157" t="s">
        <v>2089</v>
      </c>
      <c r="M1776" s="157" t="str">
        <f t="shared" si="37"/>
        <v>Steering Motor Unit - Steering</v>
      </c>
      <c r="N1776" s="157"/>
      <c r="O1776" s="157"/>
      <c r="P1776" s="159" t="s">
        <v>2953</v>
      </c>
      <c r="Q1776" s="157" t="s">
        <v>2115</v>
      </c>
      <c r="R1776" s="157" t="s">
        <v>8456</v>
      </c>
      <c r="S1776" s="157" t="s">
        <v>8627</v>
      </c>
      <c r="T1776" s="157"/>
      <c r="U1776" s="159" t="s">
        <v>2129</v>
      </c>
      <c r="V1776" s="159" t="s">
        <v>2129</v>
      </c>
      <c r="W1776" s="159" t="s">
        <v>2138</v>
      </c>
      <c r="X1776" s="160">
        <v>1</v>
      </c>
      <c r="Y1776" s="160">
        <v>1</v>
      </c>
      <c r="Z1776" s="160">
        <v>1</v>
      </c>
      <c r="AA1776" s="160">
        <v>1</v>
      </c>
    </row>
    <row r="1777" spans="1:27" ht="18" customHeight="1" x14ac:dyDescent="0.25">
      <c r="A1777" s="159">
        <v>4213</v>
      </c>
      <c r="B1777" s="157" t="s">
        <v>256</v>
      </c>
      <c r="C1777" s="157" t="s">
        <v>543</v>
      </c>
      <c r="D1777" s="159" t="s">
        <v>787</v>
      </c>
      <c r="E1777" s="157" t="s">
        <v>785</v>
      </c>
      <c r="F1777" s="157"/>
      <c r="G1777" s="157" t="s">
        <v>1299</v>
      </c>
      <c r="H1777" s="157" t="s">
        <v>1465</v>
      </c>
      <c r="I1777" s="157" t="s">
        <v>1466</v>
      </c>
      <c r="J1777" s="157" t="s">
        <v>8455</v>
      </c>
      <c r="K1777" s="157" t="s">
        <v>1269</v>
      </c>
      <c r="L1777" s="157" t="s">
        <v>2089</v>
      </c>
      <c r="M1777" s="157" t="str">
        <f t="shared" si="37"/>
        <v>Steering Motor Unit - Steering</v>
      </c>
      <c r="N1777" s="157"/>
      <c r="O1777" s="157"/>
      <c r="P1777" s="159" t="s">
        <v>2953</v>
      </c>
      <c r="Q1777" s="157" t="s">
        <v>2115</v>
      </c>
      <c r="R1777" s="157" t="s">
        <v>8456</v>
      </c>
      <c r="S1777" s="157" t="s">
        <v>8627</v>
      </c>
      <c r="T1777" s="157"/>
      <c r="U1777" s="159" t="s">
        <v>2129</v>
      </c>
      <c r="V1777" s="159" t="s">
        <v>2129</v>
      </c>
      <c r="W1777" s="159" t="s">
        <v>2138</v>
      </c>
      <c r="X1777" s="160">
        <v>1</v>
      </c>
      <c r="Y1777" s="160">
        <v>1</v>
      </c>
      <c r="Z1777" s="160">
        <v>1</v>
      </c>
      <c r="AA1777" s="160">
        <v>1</v>
      </c>
    </row>
    <row r="1778" spans="1:27" ht="18" customHeight="1" x14ac:dyDescent="0.25">
      <c r="A1778" s="159">
        <v>4213</v>
      </c>
      <c r="B1778" s="157" t="s">
        <v>256</v>
      </c>
      <c r="C1778" s="157" t="s">
        <v>543</v>
      </c>
      <c r="D1778" s="159" t="s">
        <v>935</v>
      </c>
      <c r="E1778" s="157" t="s">
        <v>933</v>
      </c>
      <c r="F1778" s="157"/>
      <c r="G1778" s="157" t="s">
        <v>1299</v>
      </c>
      <c r="H1778" s="157" t="s">
        <v>1465</v>
      </c>
      <c r="I1778" s="157" t="s">
        <v>1466</v>
      </c>
      <c r="J1778" s="157" t="s">
        <v>8455</v>
      </c>
      <c r="K1778" s="157" t="s">
        <v>1269</v>
      </c>
      <c r="L1778" s="157" t="s">
        <v>2089</v>
      </c>
      <c r="M1778" s="157" t="str">
        <f t="shared" si="37"/>
        <v>Steering Motor Unit - Steering</v>
      </c>
      <c r="N1778" s="157"/>
      <c r="O1778" s="157"/>
      <c r="P1778" s="159" t="s">
        <v>2953</v>
      </c>
      <c r="Q1778" s="157" t="s">
        <v>2115</v>
      </c>
      <c r="R1778" s="157" t="s">
        <v>8456</v>
      </c>
      <c r="S1778" s="157" t="s">
        <v>8627</v>
      </c>
      <c r="T1778" s="157"/>
      <c r="U1778" s="159" t="s">
        <v>2129</v>
      </c>
      <c r="V1778" s="159" t="s">
        <v>2129</v>
      </c>
      <c r="W1778" s="159" t="s">
        <v>2138</v>
      </c>
      <c r="X1778" s="160">
        <v>1</v>
      </c>
      <c r="Y1778" s="160">
        <v>1</v>
      </c>
      <c r="Z1778" s="160">
        <v>1</v>
      </c>
      <c r="AA1778" s="160">
        <v>1</v>
      </c>
    </row>
    <row r="1779" spans="1:27" ht="18" customHeight="1" x14ac:dyDescent="0.25">
      <c r="A1779" s="159">
        <v>4213</v>
      </c>
      <c r="B1779" s="157" t="s">
        <v>256</v>
      </c>
      <c r="C1779" s="157" t="s">
        <v>543</v>
      </c>
      <c r="D1779" s="159" t="s">
        <v>1151</v>
      </c>
      <c r="E1779" s="157" t="s">
        <v>1149</v>
      </c>
      <c r="F1779" s="157"/>
      <c r="G1779" s="157" t="s">
        <v>1299</v>
      </c>
      <c r="H1779" s="157" t="s">
        <v>1465</v>
      </c>
      <c r="I1779" s="157" t="s">
        <v>1466</v>
      </c>
      <c r="J1779" s="157" t="s">
        <v>8455</v>
      </c>
      <c r="K1779" s="157" t="s">
        <v>1269</v>
      </c>
      <c r="L1779" s="157" t="s">
        <v>2089</v>
      </c>
      <c r="M1779" s="157" t="str">
        <f t="shared" si="37"/>
        <v>Steering Motor Unit - Steering</v>
      </c>
      <c r="N1779" s="157"/>
      <c r="O1779" s="157"/>
      <c r="P1779" s="159" t="s">
        <v>2953</v>
      </c>
      <c r="Q1779" s="157" t="s">
        <v>2115</v>
      </c>
      <c r="R1779" s="157" t="s">
        <v>8456</v>
      </c>
      <c r="S1779" s="157" t="s">
        <v>8627</v>
      </c>
      <c r="T1779" s="157"/>
      <c r="U1779" s="159" t="s">
        <v>2129</v>
      </c>
      <c r="V1779" s="159" t="s">
        <v>2129</v>
      </c>
      <c r="W1779" s="159" t="s">
        <v>2138</v>
      </c>
      <c r="X1779" s="160">
        <v>1</v>
      </c>
      <c r="Y1779" s="160">
        <v>1</v>
      </c>
      <c r="Z1779" s="160">
        <v>1</v>
      </c>
      <c r="AA1779" s="160">
        <v>1</v>
      </c>
    </row>
    <row r="1780" spans="1:27" ht="18" customHeight="1" x14ac:dyDescent="0.25">
      <c r="A1780" s="159">
        <v>4213</v>
      </c>
      <c r="B1780" s="157" t="s">
        <v>256</v>
      </c>
      <c r="C1780" s="157" t="s">
        <v>543</v>
      </c>
      <c r="D1780" s="159" t="s">
        <v>1159</v>
      </c>
      <c r="E1780" s="157" t="s">
        <v>1157</v>
      </c>
      <c r="F1780" s="157"/>
      <c r="G1780" s="157" t="s">
        <v>1299</v>
      </c>
      <c r="H1780" s="157" t="s">
        <v>1465</v>
      </c>
      <c r="I1780" s="157" t="s">
        <v>1466</v>
      </c>
      <c r="J1780" s="157" t="s">
        <v>8455</v>
      </c>
      <c r="K1780" s="157" t="s">
        <v>1269</v>
      </c>
      <c r="L1780" s="157" t="s">
        <v>2089</v>
      </c>
      <c r="M1780" s="157" t="str">
        <f t="shared" si="37"/>
        <v>Steering Motor Unit - Steering</v>
      </c>
      <c r="N1780" s="157"/>
      <c r="O1780" s="157"/>
      <c r="P1780" s="159" t="s">
        <v>2953</v>
      </c>
      <c r="Q1780" s="157" t="s">
        <v>2115</v>
      </c>
      <c r="R1780" s="157" t="s">
        <v>8456</v>
      </c>
      <c r="S1780" s="157" t="s">
        <v>8627</v>
      </c>
      <c r="T1780" s="157"/>
      <c r="U1780" s="159" t="s">
        <v>2129</v>
      </c>
      <c r="V1780" s="159" t="s">
        <v>2129</v>
      </c>
      <c r="W1780" s="159" t="s">
        <v>2138</v>
      </c>
      <c r="X1780" s="160">
        <v>1</v>
      </c>
      <c r="Y1780" s="160">
        <v>1</v>
      </c>
      <c r="Z1780" s="160">
        <v>1</v>
      </c>
      <c r="AA1780" s="160">
        <v>1</v>
      </c>
    </row>
    <row r="1781" spans="1:27" ht="18" customHeight="1" x14ac:dyDescent="0.25">
      <c r="A1781" s="159">
        <v>4213</v>
      </c>
      <c r="B1781" s="157" t="s">
        <v>266</v>
      </c>
      <c r="C1781" s="157" t="s">
        <v>276</v>
      </c>
      <c r="D1781" s="159" t="s">
        <v>686</v>
      </c>
      <c r="E1781" s="157" t="s">
        <v>684</v>
      </c>
      <c r="F1781" s="157" t="s">
        <v>1264</v>
      </c>
      <c r="G1781" s="157" t="s">
        <v>1299</v>
      </c>
      <c r="H1781" s="157" t="s">
        <v>1465</v>
      </c>
      <c r="I1781" s="157" t="s">
        <v>1466</v>
      </c>
      <c r="J1781" s="157" t="s">
        <v>8455</v>
      </c>
      <c r="K1781" s="157" t="s">
        <v>1269</v>
      </c>
      <c r="L1781" s="157" t="s">
        <v>2089</v>
      </c>
      <c r="M1781" s="157" t="str">
        <f t="shared" si="37"/>
        <v>Steering Motor Unit - Steering</v>
      </c>
      <c r="N1781" s="157"/>
      <c r="O1781" s="157"/>
      <c r="P1781" s="159" t="s">
        <v>2953</v>
      </c>
      <c r="Q1781" s="157" t="s">
        <v>2115</v>
      </c>
      <c r="R1781" s="157" t="s">
        <v>8456</v>
      </c>
      <c r="S1781" s="157" t="s">
        <v>8627</v>
      </c>
      <c r="T1781" s="157"/>
      <c r="U1781" s="159" t="s">
        <v>2129</v>
      </c>
      <c r="V1781" s="159" t="s">
        <v>2129</v>
      </c>
      <c r="W1781" s="159" t="s">
        <v>2138</v>
      </c>
      <c r="X1781" s="160">
        <v>1</v>
      </c>
      <c r="Y1781" s="160">
        <v>1</v>
      </c>
      <c r="Z1781" s="160">
        <v>1</v>
      </c>
      <c r="AA1781" s="160">
        <v>1</v>
      </c>
    </row>
    <row r="1782" spans="1:27" ht="18" customHeight="1" x14ac:dyDescent="0.25">
      <c r="A1782" s="159">
        <v>4233</v>
      </c>
      <c r="B1782" s="157" t="s">
        <v>77</v>
      </c>
      <c r="C1782" s="157" t="s">
        <v>128</v>
      </c>
      <c r="D1782" s="159" t="s">
        <v>564</v>
      </c>
      <c r="E1782" s="157" t="s">
        <v>562</v>
      </c>
      <c r="F1782" s="157" t="s">
        <v>1264</v>
      </c>
      <c r="G1782" s="157" t="s">
        <v>1278</v>
      </c>
      <c r="H1782" s="157" t="s">
        <v>1304</v>
      </c>
      <c r="I1782" s="157" t="s">
        <v>1732</v>
      </c>
      <c r="J1782" s="157" t="s">
        <v>1733</v>
      </c>
      <c r="K1782" s="157" t="s">
        <v>1269</v>
      </c>
      <c r="L1782" s="157" t="s">
        <v>1734</v>
      </c>
      <c r="M1782" s="157" t="str">
        <f t="shared" si="37"/>
        <v>Seat Heater FR - Heating Seat Back Passenger</v>
      </c>
      <c r="N1782" s="157"/>
      <c r="O1782" s="157"/>
      <c r="P1782" s="159" t="s">
        <v>4169</v>
      </c>
      <c r="Q1782" s="157" t="s">
        <v>2115</v>
      </c>
      <c r="R1782" s="157" t="s">
        <v>8652</v>
      </c>
      <c r="S1782" s="157" t="s">
        <v>8653</v>
      </c>
      <c r="T1782" s="157"/>
      <c r="U1782" s="159" t="s">
        <v>2129</v>
      </c>
      <c r="V1782" s="159" t="s">
        <v>2138</v>
      </c>
      <c r="W1782" s="159" t="s">
        <v>2138</v>
      </c>
      <c r="X1782" s="160">
        <v>0</v>
      </c>
      <c r="Y1782" s="160">
        <f>0.75*5/20+0.5*5/20+0.25*5/20</f>
        <v>0.375</v>
      </c>
      <c r="Z1782" s="160">
        <f>0.75*5/20+0.5*5/20+0.25*5/20</f>
        <v>0.375</v>
      </c>
      <c r="AA1782" s="160">
        <v>0</v>
      </c>
    </row>
    <row r="1783" spans="1:27" ht="18" customHeight="1" x14ac:dyDescent="0.25">
      <c r="A1783" s="159">
        <v>4238</v>
      </c>
      <c r="B1783" s="157"/>
      <c r="C1783" s="157"/>
      <c r="D1783" s="159"/>
      <c r="E1783" s="157"/>
      <c r="F1783" s="157"/>
      <c r="G1783" s="157" t="s">
        <v>1265</v>
      </c>
      <c r="H1783" s="157" t="s">
        <v>1687</v>
      </c>
      <c r="I1783" s="157" t="s">
        <v>1376</v>
      </c>
      <c r="J1783" s="157" t="s">
        <v>1735</v>
      </c>
      <c r="K1783" s="157" t="s">
        <v>1274</v>
      </c>
      <c r="L1783" s="157" t="s">
        <v>8499</v>
      </c>
      <c r="M1783" s="157" t="str">
        <f t="shared" si="37"/>
        <v>Rear Seat Touch Screen Left - User Interaction</v>
      </c>
      <c r="N1783" s="157"/>
      <c r="O1783" s="157"/>
      <c r="P1783" s="159"/>
      <c r="Q1783" s="157"/>
      <c r="R1783" s="157"/>
      <c r="S1783" s="157"/>
      <c r="T1783" s="157"/>
      <c r="U1783" s="159"/>
      <c r="V1783" s="159"/>
      <c r="W1783" s="159"/>
      <c r="X1783" s="160"/>
      <c r="Y1783" s="160"/>
      <c r="Z1783" s="160"/>
      <c r="AA1783" s="160"/>
    </row>
    <row r="1784" spans="1:27" ht="18" customHeight="1" x14ac:dyDescent="0.25">
      <c r="A1784" s="159">
        <v>4239</v>
      </c>
      <c r="B1784" s="157" t="s">
        <v>77</v>
      </c>
      <c r="C1784" s="157" t="s">
        <v>128</v>
      </c>
      <c r="D1784" s="159" t="s">
        <v>131</v>
      </c>
      <c r="E1784" s="157" t="s">
        <v>129</v>
      </c>
      <c r="F1784" s="157" t="s">
        <v>1264</v>
      </c>
      <c r="G1784" s="157" t="s">
        <v>1278</v>
      </c>
      <c r="H1784" s="157" t="s">
        <v>1304</v>
      </c>
      <c r="I1784" s="157" t="s">
        <v>1736</v>
      </c>
      <c r="J1784" s="157" t="s">
        <v>1306</v>
      </c>
      <c r="K1784" s="157" t="s">
        <v>1269</v>
      </c>
      <c r="L1784" s="157" t="s">
        <v>1307</v>
      </c>
      <c r="M1784" s="157" t="str">
        <f t="shared" si="37"/>
        <v>Seat Heater FL - Heating Seat Back Driver</v>
      </c>
      <c r="N1784" s="157"/>
      <c r="O1784" s="157"/>
      <c r="P1784" s="159" t="s">
        <v>7446</v>
      </c>
      <c r="Q1784" s="157" t="s">
        <v>2115</v>
      </c>
      <c r="R1784" s="157" t="s">
        <v>8652</v>
      </c>
      <c r="S1784" s="157" t="s">
        <v>8653</v>
      </c>
      <c r="T1784" s="157"/>
      <c r="U1784" s="159" t="s">
        <v>2129</v>
      </c>
      <c r="V1784" s="159" t="s">
        <v>2138</v>
      </c>
      <c r="W1784" s="159" t="s">
        <v>2138</v>
      </c>
      <c r="X1784" s="160">
        <v>0</v>
      </c>
      <c r="Y1784" s="160">
        <f>0.75*5/20+0.5*5/20+0.25*5/20</f>
        <v>0.375</v>
      </c>
      <c r="Z1784" s="160">
        <f>0.75*5/20+0.5*5/20+0.25*5/20</f>
        <v>0.375</v>
      </c>
      <c r="AA1784" s="160">
        <v>0</v>
      </c>
    </row>
    <row r="1785" spans="1:27" ht="18" customHeight="1" x14ac:dyDescent="0.25">
      <c r="A1785" s="159">
        <v>4243</v>
      </c>
      <c r="B1785" s="157"/>
      <c r="C1785" s="157"/>
      <c r="D1785" s="159"/>
      <c r="E1785" s="157"/>
      <c r="F1785" s="157"/>
      <c r="G1785" s="157" t="s">
        <v>1265</v>
      </c>
      <c r="H1785" s="157" t="s">
        <v>1687</v>
      </c>
      <c r="I1785" s="157" t="s">
        <v>1376</v>
      </c>
      <c r="J1785" s="157" t="s">
        <v>1735</v>
      </c>
      <c r="K1785" s="157" t="s">
        <v>1274</v>
      </c>
      <c r="L1785" s="157" t="s">
        <v>8500</v>
      </c>
      <c r="M1785" s="157" t="str">
        <f t="shared" si="37"/>
        <v>Rear Seat Touch Screen Right - User Interaction</v>
      </c>
      <c r="N1785" s="157"/>
      <c r="O1785" s="157"/>
      <c r="P1785" s="159"/>
      <c r="Q1785" s="157"/>
      <c r="R1785" s="157"/>
      <c r="S1785" s="157"/>
      <c r="T1785" s="157"/>
      <c r="U1785" s="159"/>
      <c r="V1785" s="159"/>
      <c r="W1785" s="159"/>
      <c r="X1785" s="160"/>
      <c r="Y1785" s="160"/>
      <c r="Z1785" s="160"/>
      <c r="AA1785" s="160"/>
    </row>
    <row r="1786" spans="1:27" ht="18" customHeight="1" x14ac:dyDescent="0.25">
      <c r="A1786" s="159">
        <v>4244</v>
      </c>
      <c r="B1786" s="157" t="s">
        <v>77</v>
      </c>
      <c r="C1786" s="157" t="s">
        <v>128</v>
      </c>
      <c r="D1786" s="159" t="s">
        <v>564</v>
      </c>
      <c r="E1786" s="157" t="s">
        <v>562</v>
      </c>
      <c r="F1786" s="157" t="s">
        <v>1264</v>
      </c>
      <c r="G1786" s="157" t="s">
        <v>1278</v>
      </c>
      <c r="H1786" s="157" t="s">
        <v>1304</v>
      </c>
      <c r="I1786" s="157" t="s">
        <v>1737</v>
      </c>
      <c r="J1786" s="157" t="s">
        <v>1733</v>
      </c>
      <c r="K1786" s="157" t="s">
        <v>1269</v>
      </c>
      <c r="L1786" s="157" t="s">
        <v>1734</v>
      </c>
      <c r="M1786" s="157" t="str">
        <f t="shared" si="37"/>
        <v>Seat Heater FR - Heating Seat Pan Passenger</v>
      </c>
      <c r="N1786" s="157"/>
      <c r="O1786" s="157"/>
      <c r="P1786" s="159" t="s">
        <v>4169</v>
      </c>
      <c r="Q1786" s="157" t="s">
        <v>2115</v>
      </c>
      <c r="R1786" s="157" t="s">
        <v>8652</v>
      </c>
      <c r="S1786" s="157" t="s">
        <v>8653</v>
      </c>
      <c r="T1786" s="157"/>
      <c r="U1786" s="159" t="s">
        <v>2129</v>
      </c>
      <c r="V1786" s="159" t="s">
        <v>2138</v>
      </c>
      <c r="W1786" s="159" t="s">
        <v>2138</v>
      </c>
      <c r="X1786" s="160">
        <v>0</v>
      </c>
      <c r="Y1786" s="160">
        <f>0.75*5/20+0.5*5/20+0.25*5/20</f>
        <v>0.375</v>
      </c>
      <c r="Z1786" s="160">
        <f>0.75*5/20+0.5*5/20+0.25*5/20</f>
        <v>0.375</v>
      </c>
      <c r="AA1786" s="160">
        <v>0</v>
      </c>
    </row>
    <row r="1787" spans="1:27" ht="18" customHeight="1" x14ac:dyDescent="0.25">
      <c r="A1787" s="159">
        <v>4245</v>
      </c>
      <c r="B1787" s="157"/>
      <c r="C1787" s="157"/>
      <c r="D1787" s="159"/>
      <c r="E1787" s="157"/>
      <c r="F1787" s="157"/>
      <c r="G1787" s="157" t="s">
        <v>1321</v>
      </c>
      <c r="H1787" s="157" t="s">
        <v>2022</v>
      </c>
      <c r="I1787" s="157" t="s">
        <v>1516</v>
      </c>
      <c r="J1787" s="157" t="s">
        <v>1649</v>
      </c>
      <c r="K1787" s="157" t="s">
        <v>1269</v>
      </c>
      <c r="L1787" s="157" t="s">
        <v>9655</v>
      </c>
      <c r="M1787" s="157" t="str">
        <f t="shared" si="37"/>
        <v>Louver Stepper Motor 2 - Radiator Air Flow Control</v>
      </c>
      <c r="N1787" s="157"/>
      <c r="O1787" s="157"/>
      <c r="P1787" s="159"/>
      <c r="Q1787" s="157"/>
      <c r="R1787" s="157"/>
      <c r="S1787" s="157"/>
      <c r="T1787" s="157"/>
      <c r="U1787" s="159"/>
      <c r="V1787" s="159"/>
      <c r="W1787" s="159"/>
      <c r="X1787" s="160"/>
      <c r="Y1787" s="160"/>
      <c r="Z1787" s="160"/>
      <c r="AA1787" s="160"/>
    </row>
    <row r="1788" spans="1:27" ht="18" customHeight="1" x14ac:dyDescent="0.25">
      <c r="A1788" s="159">
        <v>4246</v>
      </c>
      <c r="B1788" s="157" t="s">
        <v>251</v>
      </c>
      <c r="C1788" s="157" t="s">
        <v>366</v>
      </c>
      <c r="D1788" s="159" t="s">
        <v>369</v>
      </c>
      <c r="E1788" s="157" t="s">
        <v>367</v>
      </c>
      <c r="F1788" s="157"/>
      <c r="G1788" s="157" t="s">
        <v>13</v>
      </c>
      <c r="H1788" s="157" t="s">
        <v>1459</v>
      </c>
      <c r="I1788" s="157" t="s">
        <v>9730</v>
      </c>
      <c r="J1788" s="157" t="s">
        <v>1649</v>
      </c>
      <c r="K1788" s="157" t="s">
        <v>1269</v>
      </c>
      <c r="L1788" s="157" t="s">
        <v>9731</v>
      </c>
      <c r="M1788" s="157" t="str">
        <f t="shared" si="37"/>
        <v>12V Belt Start Generator - Power Generation and Engine Start</v>
      </c>
      <c r="N1788" s="157"/>
      <c r="O1788" s="157"/>
      <c r="P1788" s="159" t="s">
        <v>3148</v>
      </c>
      <c r="Q1788" s="157"/>
      <c r="R1788" s="157"/>
      <c r="S1788" s="157"/>
      <c r="T1788" s="157"/>
      <c r="U1788" s="159" t="s">
        <v>2138</v>
      </c>
      <c r="V1788" s="159" t="s">
        <v>2129</v>
      </c>
      <c r="W1788" s="159" t="s">
        <v>2129</v>
      </c>
      <c r="X1788" s="160">
        <v>1</v>
      </c>
      <c r="Y1788" s="160">
        <v>1</v>
      </c>
      <c r="Z1788" s="160">
        <v>1</v>
      </c>
      <c r="AA1788" s="160">
        <v>1</v>
      </c>
    </row>
    <row r="1789" spans="1:27" ht="18" customHeight="1" x14ac:dyDescent="0.25">
      <c r="A1789" s="159">
        <v>4246</v>
      </c>
      <c r="B1789" s="157" t="s">
        <v>318</v>
      </c>
      <c r="C1789" s="157" t="s">
        <v>764</v>
      </c>
      <c r="D1789" s="159" t="s">
        <v>767</v>
      </c>
      <c r="E1789" s="157" t="s">
        <v>765</v>
      </c>
      <c r="F1789" s="157"/>
      <c r="G1789" s="157" t="s">
        <v>13</v>
      </c>
      <c r="H1789" s="157" t="s">
        <v>1459</v>
      </c>
      <c r="I1789" s="157" t="s">
        <v>9730</v>
      </c>
      <c r="J1789" s="157" t="s">
        <v>1649</v>
      </c>
      <c r="K1789" s="157" t="s">
        <v>1269</v>
      </c>
      <c r="L1789" s="157" t="s">
        <v>9731</v>
      </c>
      <c r="M1789" s="157" t="str">
        <f t="shared" si="37"/>
        <v>12V Belt Start Generator - Power Generation and Engine Start</v>
      </c>
      <c r="N1789" s="157"/>
      <c r="O1789" s="157"/>
      <c r="P1789" s="159" t="s">
        <v>3148</v>
      </c>
      <c r="Q1789" s="157"/>
      <c r="R1789" s="157"/>
      <c r="S1789" s="157"/>
      <c r="T1789" s="157"/>
      <c r="U1789" s="159" t="s">
        <v>2138</v>
      </c>
      <c r="V1789" s="159" t="s">
        <v>2129</v>
      </c>
      <c r="W1789" s="159" t="s">
        <v>2129</v>
      </c>
      <c r="X1789" s="160">
        <v>1</v>
      </c>
      <c r="Y1789" s="160">
        <v>1</v>
      </c>
      <c r="Z1789" s="160">
        <v>1</v>
      </c>
      <c r="AA1789" s="160">
        <v>1</v>
      </c>
    </row>
    <row r="1790" spans="1:27" ht="18" customHeight="1" x14ac:dyDescent="0.25">
      <c r="A1790" s="159">
        <v>4246</v>
      </c>
      <c r="B1790" s="157" t="s">
        <v>318</v>
      </c>
      <c r="C1790" s="157" t="s">
        <v>764</v>
      </c>
      <c r="D1790" s="159" t="s">
        <v>1164</v>
      </c>
      <c r="E1790" s="157" t="s">
        <v>1162</v>
      </c>
      <c r="F1790" s="157"/>
      <c r="G1790" s="157" t="s">
        <v>13</v>
      </c>
      <c r="H1790" s="157" t="s">
        <v>1459</v>
      </c>
      <c r="I1790" s="157" t="s">
        <v>9730</v>
      </c>
      <c r="J1790" s="157" t="s">
        <v>1649</v>
      </c>
      <c r="K1790" s="157" t="s">
        <v>1269</v>
      </c>
      <c r="L1790" s="157" t="s">
        <v>9731</v>
      </c>
      <c r="M1790" s="157" t="str">
        <f t="shared" si="37"/>
        <v>12V Belt Start Generator - Power Generation and Engine Start</v>
      </c>
      <c r="N1790" s="157"/>
      <c r="O1790" s="157"/>
      <c r="P1790" s="159" t="s">
        <v>3148</v>
      </c>
      <c r="Q1790" s="157"/>
      <c r="R1790" s="157"/>
      <c r="S1790" s="157"/>
      <c r="T1790" s="157"/>
      <c r="U1790" s="159" t="s">
        <v>2138</v>
      </c>
      <c r="V1790" s="159" t="s">
        <v>2129</v>
      </c>
      <c r="W1790" s="159" t="s">
        <v>2129</v>
      </c>
      <c r="X1790" s="160">
        <v>1</v>
      </c>
      <c r="Y1790" s="160">
        <v>1</v>
      </c>
      <c r="Z1790" s="160">
        <v>1</v>
      </c>
      <c r="AA1790" s="160">
        <v>1</v>
      </c>
    </row>
    <row r="1791" spans="1:27" ht="18" customHeight="1" x14ac:dyDescent="0.25">
      <c r="A1791" s="159">
        <v>4246</v>
      </c>
      <c r="B1791" s="157" t="s">
        <v>318</v>
      </c>
      <c r="C1791" s="157" t="s">
        <v>371</v>
      </c>
      <c r="D1791" s="159" t="s">
        <v>709</v>
      </c>
      <c r="E1791" s="157" t="s">
        <v>707</v>
      </c>
      <c r="F1791" s="157"/>
      <c r="G1791" s="157" t="s">
        <v>13</v>
      </c>
      <c r="H1791" s="157" t="s">
        <v>1459</v>
      </c>
      <c r="I1791" s="157" t="s">
        <v>9730</v>
      </c>
      <c r="J1791" s="157" t="s">
        <v>1649</v>
      </c>
      <c r="K1791" s="157" t="s">
        <v>1269</v>
      </c>
      <c r="L1791" s="157" t="s">
        <v>9731</v>
      </c>
      <c r="M1791" s="157" t="str">
        <f t="shared" si="37"/>
        <v>12V Belt Start Generator - Power Generation and Engine Start</v>
      </c>
      <c r="N1791" s="157"/>
      <c r="O1791" s="157"/>
      <c r="P1791" s="159" t="s">
        <v>3148</v>
      </c>
      <c r="Q1791" s="157"/>
      <c r="R1791" s="157"/>
      <c r="S1791" s="157"/>
      <c r="T1791" s="157"/>
      <c r="U1791" s="159" t="s">
        <v>2138</v>
      </c>
      <c r="V1791" s="159" t="s">
        <v>2129</v>
      </c>
      <c r="W1791" s="159" t="s">
        <v>2129</v>
      </c>
      <c r="X1791" s="160">
        <v>1</v>
      </c>
      <c r="Y1791" s="160">
        <v>1</v>
      </c>
      <c r="Z1791" s="160">
        <v>1</v>
      </c>
      <c r="AA1791" s="160">
        <v>1</v>
      </c>
    </row>
    <row r="1792" spans="1:27" ht="18" customHeight="1" x14ac:dyDescent="0.25">
      <c r="A1792" s="159">
        <v>4246</v>
      </c>
      <c r="B1792" s="157" t="s">
        <v>318</v>
      </c>
      <c r="C1792" s="157" t="s">
        <v>319</v>
      </c>
      <c r="D1792" s="159" t="s">
        <v>323</v>
      </c>
      <c r="E1792" s="157" t="s">
        <v>666</v>
      </c>
      <c r="F1792" s="157"/>
      <c r="G1792" s="157" t="s">
        <v>13</v>
      </c>
      <c r="H1792" s="157" t="s">
        <v>1459</v>
      </c>
      <c r="I1792" s="157" t="s">
        <v>9730</v>
      </c>
      <c r="J1792" s="157" t="s">
        <v>1649</v>
      </c>
      <c r="K1792" s="157" t="s">
        <v>1269</v>
      </c>
      <c r="L1792" s="157" t="s">
        <v>9731</v>
      </c>
      <c r="M1792" s="157" t="str">
        <f t="shared" si="37"/>
        <v>12V Belt Start Generator - Power Generation and Engine Start</v>
      </c>
      <c r="N1792" s="157"/>
      <c r="O1792" s="157"/>
      <c r="P1792" s="159" t="s">
        <v>3148</v>
      </c>
      <c r="Q1792" s="157"/>
      <c r="R1792" s="157"/>
      <c r="S1792" s="157"/>
      <c r="T1792" s="157"/>
      <c r="U1792" s="159" t="s">
        <v>2138</v>
      </c>
      <c r="V1792" s="159" t="s">
        <v>2129</v>
      </c>
      <c r="W1792" s="159" t="s">
        <v>2129</v>
      </c>
      <c r="X1792" s="160">
        <v>1</v>
      </c>
      <c r="Y1792" s="160">
        <v>1</v>
      </c>
      <c r="Z1792" s="160">
        <v>1</v>
      </c>
      <c r="AA1792" s="160">
        <v>1</v>
      </c>
    </row>
    <row r="1793" spans="1:27" ht="18" customHeight="1" x14ac:dyDescent="0.25">
      <c r="A1793" s="159">
        <v>4247</v>
      </c>
      <c r="B1793" s="157"/>
      <c r="C1793" s="157"/>
      <c r="D1793" s="159"/>
      <c r="E1793" s="157"/>
      <c r="F1793" s="157"/>
      <c r="G1793" s="157" t="s">
        <v>1321</v>
      </c>
      <c r="H1793" s="157" t="s">
        <v>1648</v>
      </c>
      <c r="I1793" s="157" t="s">
        <v>1738</v>
      </c>
      <c r="J1793" s="157" t="s">
        <v>1649</v>
      </c>
      <c r="K1793" s="157"/>
      <c r="L1793" s="157" t="s">
        <v>1739</v>
      </c>
      <c r="M1793" s="157" t="str">
        <f t="shared" si="37"/>
        <v>Start - Start-Stop Motor</v>
      </c>
      <c r="N1793" s="157"/>
      <c r="O1793" s="157"/>
      <c r="P1793" s="159"/>
      <c r="Q1793" s="157"/>
      <c r="R1793" s="157"/>
      <c r="S1793" s="157"/>
      <c r="T1793" s="157"/>
      <c r="U1793" s="159"/>
      <c r="V1793" s="159"/>
      <c r="W1793" s="159"/>
      <c r="X1793" s="160"/>
      <c r="Y1793" s="160"/>
      <c r="Z1793" s="160"/>
      <c r="AA1793" s="160"/>
    </row>
    <row r="1794" spans="1:27" ht="18" customHeight="1" x14ac:dyDescent="0.25">
      <c r="A1794" s="159">
        <v>4248</v>
      </c>
      <c r="B1794" s="157" t="s">
        <v>251</v>
      </c>
      <c r="C1794" s="157" t="s">
        <v>366</v>
      </c>
      <c r="D1794" s="159" t="s">
        <v>369</v>
      </c>
      <c r="E1794" s="157" t="s">
        <v>367</v>
      </c>
      <c r="F1794" s="157"/>
      <c r="G1794" s="157" t="s">
        <v>13</v>
      </c>
      <c r="H1794" s="157" t="s">
        <v>1459</v>
      </c>
      <c r="I1794" s="157" t="s">
        <v>9730</v>
      </c>
      <c r="J1794" s="157" t="s">
        <v>1649</v>
      </c>
      <c r="K1794" s="157" t="s">
        <v>1269</v>
      </c>
      <c r="L1794" s="157" t="s">
        <v>9732</v>
      </c>
      <c r="M1794" s="157" t="str">
        <f t="shared" si="37"/>
        <v>48V Belt Start Generator - Power Generation and Engine Start</v>
      </c>
      <c r="N1794" s="157"/>
      <c r="O1794" s="157"/>
      <c r="P1794" s="159" t="s">
        <v>3148</v>
      </c>
      <c r="Q1794" s="157"/>
      <c r="R1794" s="157"/>
      <c r="S1794" s="157"/>
      <c r="T1794" s="157"/>
      <c r="U1794" s="159" t="s">
        <v>2129</v>
      </c>
      <c r="V1794" s="159" t="s">
        <v>2138</v>
      </c>
      <c r="W1794" s="159" t="s">
        <v>2129</v>
      </c>
      <c r="X1794" s="160">
        <v>1</v>
      </c>
      <c r="Y1794" s="160">
        <v>1</v>
      </c>
      <c r="Z1794" s="160">
        <v>1</v>
      </c>
      <c r="AA1794" s="160">
        <v>1</v>
      </c>
    </row>
    <row r="1795" spans="1:27" ht="18" customHeight="1" x14ac:dyDescent="0.25">
      <c r="A1795" s="159">
        <v>4248</v>
      </c>
      <c r="B1795" s="157" t="s">
        <v>318</v>
      </c>
      <c r="C1795" s="157" t="s">
        <v>764</v>
      </c>
      <c r="D1795" s="159" t="s">
        <v>767</v>
      </c>
      <c r="E1795" s="157" t="s">
        <v>765</v>
      </c>
      <c r="F1795" s="157"/>
      <c r="G1795" s="157" t="s">
        <v>13</v>
      </c>
      <c r="H1795" s="157" t="s">
        <v>1459</v>
      </c>
      <c r="I1795" s="157" t="s">
        <v>9730</v>
      </c>
      <c r="J1795" s="157" t="s">
        <v>1649</v>
      </c>
      <c r="K1795" s="157" t="s">
        <v>1269</v>
      </c>
      <c r="L1795" s="157" t="s">
        <v>9732</v>
      </c>
      <c r="M1795" s="157" t="str">
        <f t="shared" si="37"/>
        <v>48V Belt Start Generator - Power Generation and Engine Start</v>
      </c>
      <c r="N1795" s="157"/>
      <c r="O1795" s="157"/>
      <c r="P1795" s="159" t="s">
        <v>3148</v>
      </c>
      <c r="Q1795" s="157"/>
      <c r="R1795" s="157"/>
      <c r="S1795" s="157"/>
      <c r="T1795" s="157"/>
      <c r="U1795" s="159" t="s">
        <v>2129</v>
      </c>
      <c r="V1795" s="159" t="s">
        <v>2138</v>
      </c>
      <c r="W1795" s="159" t="s">
        <v>2129</v>
      </c>
      <c r="X1795" s="160">
        <v>1</v>
      </c>
      <c r="Y1795" s="160">
        <v>1</v>
      </c>
      <c r="Z1795" s="160">
        <v>1</v>
      </c>
      <c r="AA1795" s="160">
        <v>1</v>
      </c>
    </row>
    <row r="1796" spans="1:27" ht="18" customHeight="1" x14ac:dyDescent="0.25">
      <c r="A1796" s="159">
        <v>4248</v>
      </c>
      <c r="B1796" s="157" t="s">
        <v>318</v>
      </c>
      <c r="C1796" s="157" t="s">
        <v>764</v>
      </c>
      <c r="D1796" s="159" t="s">
        <v>1164</v>
      </c>
      <c r="E1796" s="157" t="s">
        <v>1162</v>
      </c>
      <c r="F1796" s="157"/>
      <c r="G1796" s="157" t="s">
        <v>13</v>
      </c>
      <c r="H1796" s="157" t="s">
        <v>1459</v>
      </c>
      <c r="I1796" s="157" t="s">
        <v>9730</v>
      </c>
      <c r="J1796" s="157" t="s">
        <v>1649</v>
      </c>
      <c r="K1796" s="157" t="s">
        <v>1269</v>
      </c>
      <c r="L1796" s="157" t="s">
        <v>9732</v>
      </c>
      <c r="M1796" s="157" t="str">
        <f t="shared" si="37"/>
        <v>48V Belt Start Generator - Power Generation and Engine Start</v>
      </c>
      <c r="N1796" s="157"/>
      <c r="O1796" s="157"/>
      <c r="P1796" s="159" t="s">
        <v>3148</v>
      </c>
      <c r="Q1796" s="157"/>
      <c r="R1796" s="157"/>
      <c r="S1796" s="157"/>
      <c r="T1796" s="157"/>
      <c r="U1796" s="159" t="s">
        <v>2129</v>
      </c>
      <c r="V1796" s="159" t="s">
        <v>2138</v>
      </c>
      <c r="W1796" s="159" t="s">
        <v>2129</v>
      </c>
      <c r="X1796" s="160">
        <v>1</v>
      </c>
      <c r="Y1796" s="160">
        <v>1</v>
      </c>
      <c r="Z1796" s="160">
        <v>1</v>
      </c>
      <c r="AA1796" s="160">
        <v>1</v>
      </c>
    </row>
    <row r="1797" spans="1:27" ht="18" customHeight="1" x14ac:dyDescent="0.25">
      <c r="A1797" s="159">
        <v>4248</v>
      </c>
      <c r="B1797" s="157" t="s">
        <v>318</v>
      </c>
      <c r="C1797" s="157" t="s">
        <v>371</v>
      </c>
      <c r="D1797" s="159" t="s">
        <v>709</v>
      </c>
      <c r="E1797" s="157" t="s">
        <v>707</v>
      </c>
      <c r="F1797" s="157"/>
      <c r="G1797" s="157" t="s">
        <v>13</v>
      </c>
      <c r="H1797" s="157" t="s">
        <v>1459</v>
      </c>
      <c r="I1797" s="157" t="s">
        <v>9730</v>
      </c>
      <c r="J1797" s="157" t="s">
        <v>1649</v>
      </c>
      <c r="K1797" s="157" t="s">
        <v>1269</v>
      </c>
      <c r="L1797" s="157" t="s">
        <v>9732</v>
      </c>
      <c r="M1797" s="157" t="str">
        <f t="shared" si="37"/>
        <v>48V Belt Start Generator - Power Generation and Engine Start</v>
      </c>
      <c r="N1797" s="157"/>
      <c r="O1797" s="157"/>
      <c r="P1797" s="159" t="s">
        <v>3148</v>
      </c>
      <c r="Q1797" s="157"/>
      <c r="R1797" s="157"/>
      <c r="S1797" s="157"/>
      <c r="T1797" s="157"/>
      <c r="U1797" s="159" t="s">
        <v>2129</v>
      </c>
      <c r="V1797" s="159" t="s">
        <v>2138</v>
      </c>
      <c r="W1797" s="159" t="s">
        <v>2129</v>
      </c>
      <c r="X1797" s="160">
        <v>1</v>
      </c>
      <c r="Y1797" s="160">
        <v>1</v>
      </c>
      <c r="Z1797" s="160">
        <v>1</v>
      </c>
      <c r="AA1797" s="160">
        <v>1</v>
      </c>
    </row>
    <row r="1798" spans="1:27" ht="18" customHeight="1" x14ac:dyDescent="0.25">
      <c r="A1798" s="159">
        <v>4248</v>
      </c>
      <c r="B1798" s="157" t="s">
        <v>318</v>
      </c>
      <c r="C1798" s="157" t="s">
        <v>319</v>
      </c>
      <c r="D1798" s="159" t="s">
        <v>670</v>
      </c>
      <c r="E1798" s="157" t="s">
        <v>668</v>
      </c>
      <c r="F1798" s="157"/>
      <c r="G1798" s="157" t="s">
        <v>13</v>
      </c>
      <c r="H1798" s="157" t="s">
        <v>1459</v>
      </c>
      <c r="I1798" s="157" t="s">
        <v>9730</v>
      </c>
      <c r="J1798" s="157" t="s">
        <v>1649</v>
      </c>
      <c r="K1798" s="157" t="s">
        <v>1269</v>
      </c>
      <c r="L1798" s="157" t="s">
        <v>9732</v>
      </c>
      <c r="M1798" s="157" t="str">
        <f t="shared" si="37"/>
        <v>48V Belt Start Generator - Power Generation and Engine Start</v>
      </c>
      <c r="N1798" s="157"/>
      <c r="O1798" s="157"/>
      <c r="P1798" s="159" t="s">
        <v>3148</v>
      </c>
      <c r="Q1798" s="157"/>
      <c r="R1798" s="157"/>
      <c r="S1798" s="157"/>
      <c r="T1798" s="157"/>
      <c r="U1798" s="159" t="s">
        <v>2129</v>
      </c>
      <c r="V1798" s="159" t="s">
        <v>2138</v>
      </c>
      <c r="W1798" s="159" t="s">
        <v>2129</v>
      </c>
      <c r="X1798" s="160">
        <v>1</v>
      </c>
      <c r="Y1798" s="160">
        <v>1</v>
      </c>
      <c r="Z1798" s="160">
        <v>1</v>
      </c>
      <c r="AA1798" s="160">
        <v>1</v>
      </c>
    </row>
    <row r="1799" spans="1:27" ht="18" customHeight="1" x14ac:dyDescent="0.25">
      <c r="A1799" s="159">
        <v>4249</v>
      </c>
      <c r="B1799" s="157" t="s">
        <v>251</v>
      </c>
      <c r="C1799" s="157" t="s">
        <v>366</v>
      </c>
      <c r="D1799" s="159" t="s">
        <v>369</v>
      </c>
      <c r="E1799" s="157" t="s">
        <v>367</v>
      </c>
      <c r="F1799" s="157"/>
      <c r="G1799" s="157" t="s">
        <v>13</v>
      </c>
      <c r="H1799" s="157" t="s">
        <v>1459</v>
      </c>
      <c r="I1799" s="157" t="s">
        <v>1460</v>
      </c>
      <c r="J1799" s="157" t="s">
        <v>1285</v>
      </c>
      <c r="K1799" s="157" t="s">
        <v>1312</v>
      </c>
      <c r="L1799" s="157" t="s">
        <v>1740</v>
      </c>
      <c r="M1799" s="157" t="str">
        <f t="shared" si="37"/>
        <v>12V Li-Ion Battery BMS - 12V Battery Management</v>
      </c>
      <c r="N1799" s="157"/>
      <c r="O1799" s="157"/>
      <c r="P1799" s="159" t="s">
        <v>4130</v>
      </c>
      <c r="Q1799" s="157" t="s">
        <v>2115</v>
      </c>
      <c r="R1799" s="157" t="s">
        <v>8273</v>
      </c>
      <c r="S1799" s="157" t="s">
        <v>8274</v>
      </c>
      <c r="T1799" s="157"/>
      <c r="U1799" s="159" t="s">
        <v>2129</v>
      </c>
      <c r="V1799" s="159" t="s">
        <v>2129</v>
      </c>
      <c r="W1799" s="159" t="s">
        <v>2138</v>
      </c>
      <c r="X1799" s="160">
        <v>1</v>
      </c>
      <c r="Y1799" s="160">
        <v>1</v>
      </c>
      <c r="Z1799" s="160">
        <v>1</v>
      </c>
      <c r="AA1799" s="160">
        <v>1</v>
      </c>
    </row>
    <row r="1800" spans="1:27" ht="18" customHeight="1" x14ac:dyDescent="0.25">
      <c r="A1800" s="159">
        <v>4249</v>
      </c>
      <c r="B1800" s="157" t="s">
        <v>318</v>
      </c>
      <c r="C1800" s="157" t="s">
        <v>371</v>
      </c>
      <c r="D1800" s="159" t="s">
        <v>374</v>
      </c>
      <c r="E1800" s="157" t="s">
        <v>372</v>
      </c>
      <c r="F1800" s="157"/>
      <c r="G1800" s="157" t="s">
        <v>13</v>
      </c>
      <c r="H1800" s="157" t="s">
        <v>1459</v>
      </c>
      <c r="I1800" s="157" t="s">
        <v>1460</v>
      </c>
      <c r="J1800" s="157" t="s">
        <v>1285</v>
      </c>
      <c r="K1800" s="157" t="s">
        <v>1312</v>
      </c>
      <c r="L1800" s="157" t="s">
        <v>1740</v>
      </c>
      <c r="M1800" s="157" t="str">
        <f t="shared" si="37"/>
        <v>12V Li-Ion Battery BMS - 12V Battery Management</v>
      </c>
      <c r="N1800" s="157"/>
      <c r="O1800" s="157"/>
      <c r="P1800" s="159" t="s">
        <v>4130</v>
      </c>
      <c r="Q1800" s="157" t="s">
        <v>2115</v>
      </c>
      <c r="R1800" s="157" t="s">
        <v>8273</v>
      </c>
      <c r="S1800" s="157" t="s">
        <v>8274</v>
      </c>
      <c r="T1800" s="157"/>
      <c r="U1800" s="159" t="s">
        <v>2129</v>
      </c>
      <c r="V1800" s="159" t="s">
        <v>2129</v>
      </c>
      <c r="W1800" s="159" t="s">
        <v>2138</v>
      </c>
      <c r="X1800" s="160">
        <v>1</v>
      </c>
      <c r="Y1800" s="160">
        <v>1</v>
      </c>
      <c r="Z1800" s="160">
        <v>1</v>
      </c>
      <c r="AA1800" s="160">
        <v>1</v>
      </c>
    </row>
    <row r="1801" spans="1:27" ht="18" customHeight="1" x14ac:dyDescent="0.25">
      <c r="A1801" s="159">
        <v>4249</v>
      </c>
      <c r="B1801" s="157" t="s">
        <v>318</v>
      </c>
      <c r="C1801" s="157" t="s">
        <v>443</v>
      </c>
      <c r="D1801" s="159" t="s">
        <v>763</v>
      </c>
      <c r="E1801" s="157" t="s">
        <v>761</v>
      </c>
      <c r="F1801" s="157"/>
      <c r="G1801" s="157" t="s">
        <v>13</v>
      </c>
      <c r="H1801" s="157" t="s">
        <v>1459</v>
      </c>
      <c r="I1801" s="157" t="s">
        <v>1460</v>
      </c>
      <c r="J1801" s="157" t="s">
        <v>1285</v>
      </c>
      <c r="K1801" s="157" t="s">
        <v>1312</v>
      </c>
      <c r="L1801" s="157" t="s">
        <v>1740</v>
      </c>
      <c r="M1801" s="157" t="str">
        <f t="shared" si="37"/>
        <v>12V Li-Ion Battery BMS - 12V Battery Management</v>
      </c>
      <c r="N1801" s="157"/>
      <c r="O1801" s="157"/>
      <c r="P1801" s="159" t="s">
        <v>4130</v>
      </c>
      <c r="Q1801" s="157" t="s">
        <v>2115</v>
      </c>
      <c r="R1801" s="157" t="s">
        <v>8273</v>
      </c>
      <c r="S1801" s="157" t="s">
        <v>8274</v>
      </c>
      <c r="T1801" s="157"/>
      <c r="U1801" s="159" t="s">
        <v>2129</v>
      </c>
      <c r="V1801" s="159" t="s">
        <v>2129</v>
      </c>
      <c r="W1801" s="159" t="s">
        <v>2138</v>
      </c>
      <c r="X1801" s="160">
        <v>1</v>
      </c>
      <c r="Y1801" s="160">
        <v>1</v>
      </c>
      <c r="Z1801" s="160">
        <v>1</v>
      </c>
      <c r="AA1801" s="160">
        <v>1</v>
      </c>
    </row>
    <row r="1802" spans="1:27" ht="18" customHeight="1" x14ac:dyDescent="0.25">
      <c r="A1802" s="159">
        <v>4249</v>
      </c>
      <c r="B1802" s="157" t="s">
        <v>318</v>
      </c>
      <c r="C1802" s="157" t="s">
        <v>319</v>
      </c>
      <c r="D1802" s="159" t="s">
        <v>323</v>
      </c>
      <c r="E1802" s="157" t="s">
        <v>666</v>
      </c>
      <c r="F1802" s="157"/>
      <c r="G1802" s="157" t="s">
        <v>13</v>
      </c>
      <c r="H1802" s="157" t="s">
        <v>1459</v>
      </c>
      <c r="I1802" s="157" t="s">
        <v>1460</v>
      </c>
      <c r="J1802" s="157" t="s">
        <v>1285</v>
      </c>
      <c r="K1802" s="157" t="s">
        <v>1312</v>
      </c>
      <c r="L1802" s="157" t="s">
        <v>1740</v>
      </c>
      <c r="M1802" s="157" t="str">
        <f t="shared" ref="M1802:M1865" si="38">CONCATENATE(L1802," - ",I1802)</f>
        <v>12V Li-Ion Battery BMS - 12V Battery Management</v>
      </c>
      <c r="N1802" s="157"/>
      <c r="O1802" s="157"/>
      <c r="P1802" s="159" t="s">
        <v>4130</v>
      </c>
      <c r="Q1802" s="157" t="s">
        <v>2115</v>
      </c>
      <c r="R1802" s="157" t="s">
        <v>8273</v>
      </c>
      <c r="S1802" s="157" t="s">
        <v>8274</v>
      </c>
      <c r="T1802" s="157"/>
      <c r="U1802" s="159" t="s">
        <v>2129</v>
      </c>
      <c r="V1802" s="159" t="s">
        <v>2129</v>
      </c>
      <c r="W1802" s="159" t="s">
        <v>2138</v>
      </c>
      <c r="X1802" s="160">
        <v>1</v>
      </c>
      <c r="Y1802" s="160">
        <v>1</v>
      </c>
      <c r="Z1802" s="160">
        <v>1</v>
      </c>
      <c r="AA1802" s="160">
        <v>1</v>
      </c>
    </row>
    <row r="1803" spans="1:27" ht="18" customHeight="1" x14ac:dyDescent="0.25">
      <c r="A1803" s="159">
        <v>4250</v>
      </c>
      <c r="B1803" s="157" t="s">
        <v>251</v>
      </c>
      <c r="C1803" s="157" t="s">
        <v>366</v>
      </c>
      <c r="D1803" s="159" t="s">
        <v>369</v>
      </c>
      <c r="E1803" s="157" t="s">
        <v>367</v>
      </c>
      <c r="F1803" s="157"/>
      <c r="G1803" s="157" t="s">
        <v>13</v>
      </c>
      <c r="H1803" s="157" t="s">
        <v>1459</v>
      </c>
      <c r="I1803" s="157" t="s">
        <v>9730</v>
      </c>
      <c r="J1803" s="157" t="s">
        <v>1649</v>
      </c>
      <c r="K1803" s="157" t="s">
        <v>1269</v>
      </c>
      <c r="L1803" s="157" t="s">
        <v>9733</v>
      </c>
      <c r="M1803" s="157" t="str">
        <f t="shared" si="38"/>
        <v>48V Integrated Start Generator - Power Generation and Engine Start</v>
      </c>
      <c r="N1803" s="157"/>
      <c r="O1803" s="157"/>
      <c r="P1803" s="159" t="s">
        <v>2847</v>
      </c>
      <c r="Q1803" s="157"/>
      <c r="R1803" s="157"/>
      <c r="S1803" s="157"/>
      <c r="T1803" s="157"/>
      <c r="U1803" s="159" t="s">
        <v>2129</v>
      </c>
      <c r="V1803" s="159" t="s">
        <v>2129</v>
      </c>
      <c r="W1803" s="159" t="s">
        <v>2129</v>
      </c>
      <c r="X1803" s="160">
        <v>1</v>
      </c>
      <c r="Y1803" s="160">
        <v>1</v>
      </c>
      <c r="Z1803" s="160">
        <v>1</v>
      </c>
      <c r="AA1803" s="160">
        <v>1</v>
      </c>
    </row>
    <row r="1804" spans="1:27" ht="18" customHeight="1" x14ac:dyDescent="0.25">
      <c r="A1804" s="159">
        <v>4250</v>
      </c>
      <c r="B1804" s="157" t="s">
        <v>318</v>
      </c>
      <c r="C1804" s="157" t="s">
        <v>764</v>
      </c>
      <c r="D1804" s="159" t="s">
        <v>767</v>
      </c>
      <c r="E1804" s="157" t="s">
        <v>765</v>
      </c>
      <c r="F1804" s="157"/>
      <c r="G1804" s="157" t="s">
        <v>13</v>
      </c>
      <c r="H1804" s="157" t="s">
        <v>1459</v>
      </c>
      <c r="I1804" s="157" t="s">
        <v>9730</v>
      </c>
      <c r="J1804" s="157" t="s">
        <v>1649</v>
      </c>
      <c r="K1804" s="157" t="s">
        <v>1269</v>
      </c>
      <c r="L1804" s="157" t="s">
        <v>9733</v>
      </c>
      <c r="M1804" s="157" t="str">
        <f t="shared" si="38"/>
        <v>48V Integrated Start Generator - Power Generation and Engine Start</v>
      </c>
      <c r="N1804" s="157"/>
      <c r="O1804" s="157"/>
      <c r="P1804" s="159" t="s">
        <v>2847</v>
      </c>
      <c r="Q1804" s="157"/>
      <c r="R1804" s="157"/>
      <c r="S1804" s="157"/>
      <c r="T1804" s="157"/>
      <c r="U1804" s="159" t="s">
        <v>2129</v>
      </c>
      <c r="V1804" s="159" t="s">
        <v>2129</v>
      </c>
      <c r="W1804" s="159" t="s">
        <v>2129</v>
      </c>
      <c r="X1804" s="160">
        <v>1</v>
      </c>
      <c r="Y1804" s="160">
        <v>1</v>
      </c>
      <c r="Z1804" s="160">
        <v>1</v>
      </c>
      <c r="AA1804" s="160">
        <v>1</v>
      </c>
    </row>
    <row r="1805" spans="1:27" ht="18" customHeight="1" x14ac:dyDescent="0.25">
      <c r="A1805" s="159">
        <v>4250</v>
      </c>
      <c r="B1805" s="157" t="s">
        <v>318</v>
      </c>
      <c r="C1805" s="157" t="s">
        <v>764</v>
      </c>
      <c r="D1805" s="159" t="s">
        <v>1164</v>
      </c>
      <c r="E1805" s="157" t="s">
        <v>1162</v>
      </c>
      <c r="F1805" s="157"/>
      <c r="G1805" s="157" t="s">
        <v>13</v>
      </c>
      <c r="H1805" s="157" t="s">
        <v>1459</v>
      </c>
      <c r="I1805" s="157" t="s">
        <v>9730</v>
      </c>
      <c r="J1805" s="157" t="s">
        <v>1649</v>
      </c>
      <c r="K1805" s="157" t="s">
        <v>1269</v>
      </c>
      <c r="L1805" s="157" t="s">
        <v>9733</v>
      </c>
      <c r="M1805" s="157" t="str">
        <f t="shared" si="38"/>
        <v>48V Integrated Start Generator - Power Generation and Engine Start</v>
      </c>
      <c r="N1805" s="157"/>
      <c r="O1805" s="157"/>
      <c r="P1805" s="159" t="s">
        <v>2847</v>
      </c>
      <c r="Q1805" s="157"/>
      <c r="R1805" s="157"/>
      <c r="S1805" s="157"/>
      <c r="T1805" s="157"/>
      <c r="U1805" s="159" t="s">
        <v>2129</v>
      </c>
      <c r="V1805" s="159" t="s">
        <v>2129</v>
      </c>
      <c r="W1805" s="159" t="s">
        <v>2129</v>
      </c>
      <c r="X1805" s="160">
        <v>1</v>
      </c>
      <c r="Y1805" s="160">
        <v>1</v>
      </c>
      <c r="Z1805" s="160">
        <v>1</v>
      </c>
      <c r="AA1805" s="160">
        <v>1</v>
      </c>
    </row>
    <row r="1806" spans="1:27" ht="18" customHeight="1" x14ac:dyDescent="0.25">
      <c r="A1806" s="159">
        <v>4250</v>
      </c>
      <c r="B1806" s="157" t="s">
        <v>318</v>
      </c>
      <c r="C1806" s="157" t="s">
        <v>371</v>
      </c>
      <c r="D1806" s="159" t="s">
        <v>709</v>
      </c>
      <c r="E1806" s="157" t="s">
        <v>707</v>
      </c>
      <c r="F1806" s="157"/>
      <c r="G1806" s="157" t="s">
        <v>13</v>
      </c>
      <c r="H1806" s="157" t="s">
        <v>1459</v>
      </c>
      <c r="I1806" s="157" t="s">
        <v>9730</v>
      </c>
      <c r="J1806" s="157" t="s">
        <v>1649</v>
      </c>
      <c r="K1806" s="157" t="s">
        <v>1269</v>
      </c>
      <c r="L1806" s="157" t="s">
        <v>9733</v>
      </c>
      <c r="M1806" s="157" t="str">
        <f t="shared" si="38"/>
        <v>48V Integrated Start Generator - Power Generation and Engine Start</v>
      </c>
      <c r="N1806" s="157"/>
      <c r="O1806" s="157"/>
      <c r="P1806" s="159" t="s">
        <v>2847</v>
      </c>
      <c r="Q1806" s="157"/>
      <c r="R1806" s="157"/>
      <c r="S1806" s="157"/>
      <c r="T1806" s="157"/>
      <c r="U1806" s="159" t="s">
        <v>2129</v>
      </c>
      <c r="V1806" s="159" t="s">
        <v>2129</v>
      </c>
      <c r="W1806" s="159" t="s">
        <v>2129</v>
      </c>
      <c r="X1806" s="160">
        <v>1</v>
      </c>
      <c r="Y1806" s="160">
        <v>1</v>
      </c>
      <c r="Z1806" s="160">
        <v>1</v>
      </c>
      <c r="AA1806" s="160">
        <v>1</v>
      </c>
    </row>
    <row r="1807" spans="1:27" ht="18" customHeight="1" x14ac:dyDescent="0.25">
      <c r="A1807" s="159">
        <v>4250</v>
      </c>
      <c r="B1807" s="157" t="s">
        <v>318</v>
      </c>
      <c r="C1807" s="157" t="s">
        <v>319</v>
      </c>
      <c r="D1807" s="159" t="s">
        <v>670</v>
      </c>
      <c r="E1807" s="157" t="s">
        <v>668</v>
      </c>
      <c r="F1807" s="157"/>
      <c r="G1807" s="157" t="s">
        <v>13</v>
      </c>
      <c r="H1807" s="157" t="s">
        <v>1459</v>
      </c>
      <c r="I1807" s="157" t="s">
        <v>9730</v>
      </c>
      <c r="J1807" s="157" t="s">
        <v>1649</v>
      </c>
      <c r="K1807" s="157" t="s">
        <v>1269</v>
      </c>
      <c r="L1807" s="157" t="s">
        <v>9733</v>
      </c>
      <c r="M1807" s="157" t="str">
        <f t="shared" si="38"/>
        <v>48V Integrated Start Generator - Power Generation and Engine Start</v>
      </c>
      <c r="N1807" s="157"/>
      <c r="O1807" s="157"/>
      <c r="P1807" s="159" t="s">
        <v>2847</v>
      </c>
      <c r="Q1807" s="157"/>
      <c r="R1807" s="157"/>
      <c r="S1807" s="157"/>
      <c r="T1807" s="157"/>
      <c r="U1807" s="159" t="s">
        <v>2129</v>
      </c>
      <c r="V1807" s="159" t="s">
        <v>2129</v>
      </c>
      <c r="W1807" s="159" t="s">
        <v>2129</v>
      </c>
      <c r="X1807" s="160">
        <v>1</v>
      </c>
      <c r="Y1807" s="160">
        <v>1</v>
      </c>
      <c r="Z1807" s="160">
        <v>1</v>
      </c>
      <c r="AA1807" s="160">
        <v>1</v>
      </c>
    </row>
    <row r="1808" spans="1:27" ht="18" customHeight="1" x14ac:dyDescent="0.25">
      <c r="A1808" s="159">
        <v>4254</v>
      </c>
      <c r="B1808" s="157" t="s">
        <v>251</v>
      </c>
      <c r="C1808" s="157" t="s">
        <v>311</v>
      </c>
      <c r="D1808" s="159" t="s">
        <v>9668</v>
      </c>
      <c r="E1808" s="157" t="s">
        <v>9666</v>
      </c>
      <c r="F1808" s="157"/>
      <c r="G1808" s="157" t="s">
        <v>1321</v>
      </c>
      <c r="H1808" s="157" t="s">
        <v>9546</v>
      </c>
      <c r="I1808" s="157" t="s">
        <v>1741</v>
      </c>
      <c r="J1808" s="157" t="s">
        <v>1649</v>
      </c>
      <c r="K1808" s="157" t="s">
        <v>1318</v>
      </c>
      <c r="L1808" s="157" t="s">
        <v>1741</v>
      </c>
      <c r="M1808" s="157" t="str">
        <f t="shared" si="38"/>
        <v>Fuel Tank Pressure - Fuel Tank Pressure</v>
      </c>
      <c r="N1808" s="157"/>
      <c r="O1808" s="157"/>
      <c r="P1808" s="159" t="s">
        <v>4862</v>
      </c>
      <c r="Q1808" s="157"/>
      <c r="R1808" s="157"/>
      <c r="S1808" s="157"/>
      <c r="T1808" s="157"/>
      <c r="U1808" s="159" t="s">
        <v>2129</v>
      </c>
      <c r="V1808" s="159" t="s">
        <v>2138</v>
      </c>
      <c r="W1808" s="159" t="s">
        <v>2129</v>
      </c>
      <c r="X1808" s="160">
        <v>1</v>
      </c>
      <c r="Y1808" s="160">
        <v>1</v>
      </c>
      <c r="Z1808" s="160">
        <v>1</v>
      </c>
      <c r="AA1808" s="160">
        <v>1</v>
      </c>
    </row>
    <row r="1809" spans="1:27" ht="18" customHeight="1" x14ac:dyDescent="0.25">
      <c r="A1809" s="159">
        <v>4267</v>
      </c>
      <c r="B1809" s="157"/>
      <c r="C1809" s="157"/>
      <c r="D1809" s="159"/>
      <c r="E1809" s="157"/>
      <c r="F1809" s="157"/>
      <c r="G1809" s="157" t="s">
        <v>1299</v>
      </c>
      <c r="H1809" s="157" t="s">
        <v>1316</v>
      </c>
      <c r="I1809" s="157" t="s">
        <v>1461</v>
      </c>
      <c r="J1809" s="157" t="s">
        <v>1742</v>
      </c>
      <c r="K1809" s="157" t="s">
        <v>1312</v>
      </c>
      <c r="L1809" s="157" t="s">
        <v>1312</v>
      </c>
      <c r="M1809" s="157" t="str">
        <f t="shared" si="38"/>
        <v>Sensor - Sensing</v>
      </c>
      <c r="N1809" s="157"/>
      <c r="O1809" s="157"/>
      <c r="P1809" s="159"/>
      <c r="Q1809" s="157"/>
      <c r="R1809" s="157"/>
      <c r="S1809" s="157"/>
      <c r="T1809" s="157"/>
      <c r="U1809" s="159"/>
      <c r="V1809" s="159"/>
      <c r="W1809" s="159"/>
      <c r="X1809" s="160"/>
      <c r="Y1809" s="160"/>
      <c r="Z1809" s="160"/>
      <c r="AA1809" s="160"/>
    </row>
    <row r="1810" spans="1:27" ht="18" customHeight="1" x14ac:dyDescent="0.25">
      <c r="A1810" s="159">
        <v>4268</v>
      </c>
      <c r="B1810" s="157"/>
      <c r="C1810" s="157"/>
      <c r="D1810" s="159"/>
      <c r="E1810" s="157"/>
      <c r="F1810" s="157"/>
      <c r="G1810" s="157" t="s">
        <v>1321</v>
      </c>
      <c r="H1810" s="157" t="s">
        <v>2022</v>
      </c>
      <c r="I1810" s="157" t="s">
        <v>1743</v>
      </c>
      <c r="J1810" s="157" t="s">
        <v>1649</v>
      </c>
      <c r="K1810" s="157" t="s">
        <v>1312</v>
      </c>
      <c r="L1810" s="157" t="s">
        <v>9741</v>
      </c>
      <c r="M1810" s="157" t="str">
        <f t="shared" si="38"/>
        <v>Coolant Level Sensor - Coolant Level</v>
      </c>
      <c r="N1810" s="157"/>
      <c r="O1810" s="157"/>
      <c r="P1810" s="159" t="s">
        <v>2341</v>
      </c>
      <c r="Q1810" s="157"/>
      <c r="R1810" s="157"/>
      <c r="S1810" s="157"/>
      <c r="T1810" s="157"/>
      <c r="U1810" s="159" t="s">
        <v>2138</v>
      </c>
      <c r="V1810" s="159" t="s">
        <v>2138</v>
      </c>
      <c r="W1810" s="159" t="s">
        <v>2138</v>
      </c>
      <c r="X1810" s="160">
        <v>1</v>
      </c>
      <c r="Y1810" s="160">
        <v>1</v>
      </c>
      <c r="Z1810" s="160">
        <v>1</v>
      </c>
      <c r="AA1810" s="160">
        <v>1</v>
      </c>
    </row>
    <row r="1811" spans="1:27" ht="18" customHeight="1" x14ac:dyDescent="0.25">
      <c r="A1811" s="159">
        <v>4272</v>
      </c>
      <c r="B1811" s="157" t="s">
        <v>29</v>
      </c>
      <c r="C1811" s="157" t="s">
        <v>30</v>
      </c>
      <c r="D1811" s="159" t="s">
        <v>99</v>
      </c>
      <c r="E1811" s="157" t="s">
        <v>97</v>
      </c>
      <c r="F1811" s="157"/>
      <c r="G1811" s="157" t="s">
        <v>1536</v>
      </c>
      <c r="H1811" s="157" t="s">
        <v>1287</v>
      </c>
      <c r="I1811" s="157" t="s">
        <v>1581</v>
      </c>
      <c r="J1811" s="157" t="s">
        <v>1549</v>
      </c>
      <c r="K1811" s="157" t="s">
        <v>1281</v>
      </c>
      <c r="L1811" s="157" t="s">
        <v>1591</v>
      </c>
      <c r="M1811" s="157" t="str">
        <f t="shared" si="38"/>
        <v>LIN Switch - Lights Switch</v>
      </c>
      <c r="N1811" s="157"/>
      <c r="O1811" s="157"/>
      <c r="P1811" s="159" t="s">
        <v>7179</v>
      </c>
      <c r="Q1811" s="157"/>
      <c r="R1811" s="157"/>
      <c r="S1811" s="157"/>
      <c r="T1811" s="157"/>
      <c r="U1811" s="159" t="s">
        <v>2138</v>
      </c>
      <c r="V1811" s="159" t="s">
        <v>2138</v>
      </c>
      <c r="W1811" s="159" t="s">
        <v>2138</v>
      </c>
      <c r="X1811" s="160">
        <v>1</v>
      </c>
      <c r="Y1811" s="160">
        <v>1</v>
      </c>
      <c r="Z1811" s="160">
        <v>1</v>
      </c>
      <c r="AA1811" s="160">
        <v>1</v>
      </c>
    </row>
    <row r="1812" spans="1:27" ht="18" customHeight="1" x14ac:dyDescent="0.25">
      <c r="A1812" s="159">
        <v>4272</v>
      </c>
      <c r="B1812" s="157" t="s">
        <v>29</v>
      </c>
      <c r="C1812" s="157" t="s">
        <v>30</v>
      </c>
      <c r="D1812" s="159" t="s">
        <v>174</v>
      </c>
      <c r="E1812" s="157" t="s">
        <v>172</v>
      </c>
      <c r="F1812" s="157"/>
      <c r="G1812" s="157" t="s">
        <v>1536</v>
      </c>
      <c r="H1812" s="157" t="s">
        <v>1287</v>
      </c>
      <c r="I1812" s="157" t="s">
        <v>1581</v>
      </c>
      <c r="J1812" s="157" t="s">
        <v>1549</v>
      </c>
      <c r="K1812" s="157" t="s">
        <v>1281</v>
      </c>
      <c r="L1812" s="157" t="s">
        <v>1591</v>
      </c>
      <c r="M1812" s="157" t="str">
        <f t="shared" si="38"/>
        <v>LIN Switch - Lights Switch</v>
      </c>
      <c r="N1812" s="157"/>
      <c r="O1812" s="157"/>
      <c r="P1812" s="159" t="s">
        <v>7179</v>
      </c>
      <c r="Q1812" s="157"/>
      <c r="R1812" s="157"/>
      <c r="S1812" s="157"/>
      <c r="T1812" s="157"/>
      <c r="U1812" s="159" t="s">
        <v>2138</v>
      </c>
      <c r="V1812" s="159" t="s">
        <v>2138</v>
      </c>
      <c r="W1812" s="159" t="s">
        <v>2138</v>
      </c>
      <c r="X1812" s="160">
        <v>1</v>
      </c>
      <c r="Y1812" s="160">
        <v>1</v>
      </c>
      <c r="Z1812" s="160">
        <v>1</v>
      </c>
      <c r="AA1812" s="160">
        <v>1</v>
      </c>
    </row>
    <row r="1813" spans="1:27" ht="18" customHeight="1" x14ac:dyDescent="0.25">
      <c r="A1813" s="159">
        <v>4272</v>
      </c>
      <c r="B1813" s="157" t="s">
        <v>29</v>
      </c>
      <c r="C1813" s="157" t="s">
        <v>30</v>
      </c>
      <c r="D1813" s="159" t="s">
        <v>181</v>
      </c>
      <c r="E1813" s="157" t="s">
        <v>179</v>
      </c>
      <c r="F1813" s="157"/>
      <c r="G1813" s="157" t="s">
        <v>1536</v>
      </c>
      <c r="H1813" s="157" t="s">
        <v>1287</v>
      </c>
      <c r="I1813" s="157" t="s">
        <v>1581</v>
      </c>
      <c r="J1813" s="157" t="s">
        <v>1549</v>
      </c>
      <c r="K1813" s="157" t="s">
        <v>1281</v>
      </c>
      <c r="L1813" s="157" t="s">
        <v>1591</v>
      </c>
      <c r="M1813" s="157" t="str">
        <f t="shared" si="38"/>
        <v>LIN Switch - Lights Switch</v>
      </c>
      <c r="N1813" s="157"/>
      <c r="O1813" s="157"/>
      <c r="P1813" s="159" t="s">
        <v>7179</v>
      </c>
      <c r="Q1813" s="157"/>
      <c r="R1813" s="157"/>
      <c r="S1813" s="157"/>
      <c r="T1813" s="157"/>
      <c r="U1813" s="159" t="s">
        <v>2138</v>
      </c>
      <c r="V1813" s="159" t="s">
        <v>2138</v>
      </c>
      <c r="W1813" s="159" t="s">
        <v>2138</v>
      </c>
      <c r="X1813" s="160">
        <v>1</v>
      </c>
      <c r="Y1813" s="160">
        <v>1</v>
      </c>
      <c r="Z1813" s="160">
        <v>1</v>
      </c>
      <c r="AA1813" s="160">
        <v>1</v>
      </c>
    </row>
    <row r="1814" spans="1:27" ht="18" customHeight="1" x14ac:dyDescent="0.25">
      <c r="A1814" s="159">
        <v>4272</v>
      </c>
      <c r="B1814" s="157" t="s">
        <v>29</v>
      </c>
      <c r="C1814" s="157" t="s">
        <v>30</v>
      </c>
      <c r="D1814" s="159" t="s">
        <v>220</v>
      </c>
      <c r="E1814" s="157" t="s">
        <v>218</v>
      </c>
      <c r="F1814" s="157"/>
      <c r="G1814" s="157" t="s">
        <v>1536</v>
      </c>
      <c r="H1814" s="157" t="s">
        <v>1287</v>
      </c>
      <c r="I1814" s="157" t="s">
        <v>1581</v>
      </c>
      <c r="J1814" s="157" t="s">
        <v>1549</v>
      </c>
      <c r="K1814" s="157" t="s">
        <v>1281</v>
      </c>
      <c r="L1814" s="157" t="s">
        <v>1591</v>
      </c>
      <c r="M1814" s="157" t="str">
        <f t="shared" si="38"/>
        <v>LIN Switch - Lights Switch</v>
      </c>
      <c r="N1814" s="157"/>
      <c r="O1814" s="157"/>
      <c r="P1814" s="159" t="s">
        <v>7179</v>
      </c>
      <c r="Q1814" s="157"/>
      <c r="R1814" s="157"/>
      <c r="S1814" s="157"/>
      <c r="T1814" s="157"/>
      <c r="U1814" s="159" t="s">
        <v>2138</v>
      </c>
      <c r="V1814" s="159" t="s">
        <v>2138</v>
      </c>
      <c r="W1814" s="159" t="s">
        <v>2138</v>
      </c>
      <c r="X1814" s="160">
        <v>1</v>
      </c>
      <c r="Y1814" s="160">
        <v>1</v>
      </c>
      <c r="Z1814" s="160">
        <v>1</v>
      </c>
      <c r="AA1814" s="160">
        <v>1</v>
      </c>
    </row>
    <row r="1815" spans="1:27" ht="18" customHeight="1" x14ac:dyDescent="0.25">
      <c r="A1815" s="159">
        <v>4272</v>
      </c>
      <c r="B1815" s="157" t="s">
        <v>29</v>
      </c>
      <c r="C1815" s="157" t="s">
        <v>30</v>
      </c>
      <c r="D1815" s="159" t="s">
        <v>233</v>
      </c>
      <c r="E1815" s="157" t="s">
        <v>231</v>
      </c>
      <c r="F1815" s="157"/>
      <c r="G1815" s="157" t="s">
        <v>1536</v>
      </c>
      <c r="H1815" s="157" t="s">
        <v>1287</v>
      </c>
      <c r="I1815" s="157" t="s">
        <v>1581</v>
      </c>
      <c r="J1815" s="157" t="s">
        <v>1549</v>
      </c>
      <c r="K1815" s="157" t="s">
        <v>1281</v>
      </c>
      <c r="L1815" s="157" t="s">
        <v>1591</v>
      </c>
      <c r="M1815" s="157" t="str">
        <f t="shared" si="38"/>
        <v>LIN Switch - Lights Switch</v>
      </c>
      <c r="N1815" s="157"/>
      <c r="O1815" s="157"/>
      <c r="P1815" s="159" t="s">
        <v>7179</v>
      </c>
      <c r="Q1815" s="157"/>
      <c r="R1815" s="157"/>
      <c r="S1815" s="157"/>
      <c r="T1815" s="157"/>
      <c r="U1815" s="159" t="s">
        <v>2138</v>
      </c>
      <c r="V1815" s="159" t="s">
        <v>2138</v>
      </c>
      <c r="W1815" s="159" t="s">
        <v>2138</v>
      </c>
      <c r="X1815" s="160">
        <v>1</v>
      </c>
      <c r="Y1815" s="160">
        <v>1</v>
      </c>
      <c r="Z1815" s="160">
        <v>1</v>
      </c>
      <c r="AA1815" s="160">
        <v>1</v>
      </c>
    </row>
    <row r="1816" spans="1:27" ht="18" customHeight="1" x14ac:dyDescent="0.25">
      <c r="A1816" s="159">
        <v>4272</v>
      </c>
      <c r="B1816" s="157" t="s">
        <v>29</v>
      </c>
      <c r="C1816" s="157" t="s">
        <v>30</v>
      </c>
      <c r="D1816" s="159" t="s">
        <v>185</v>
      </c>
      <c r="E1816" s="157" t="s">
        <v>391</v>
      </c>
      <c r="F1816" s="157"/>
      <c r="G1816" s="157" t="s">
        <v>1536</v>
      </c>
      <c r="H1816" s="157" t="s">
        <v>1287</v>
      </c>
      <c r="I1816" s="157" t="s">
        <v>1581</v>
      </c>
      <c r="J1816" s="157" t="s">
        <v>1549</v>
      </c>
      <c r="K1816" s="157" t="s">
        <v>1281</v>
      </c>
      <c r="L1816" s="157" t="s">
        <v>1591</v>
      </c>
      <c r="M1816" s="157" t="str">
        <f t="shared" si="38"/>
        <v>LIN Switch - Lights Switch</v>
      </c>
      <c r="N1816" s="157"/>
      <c r="O1816" s="157"/>
      <c r="P1816" s="159" t="s">
        <v>7179</v>
      </c>
      <c r="Q1816" s="157"/>
      <c r="R1816" s="157"/>
      <c r="S1816" s="157"/>
      <c r="T1816" s="157"/>
      <c r="U1816" s="159" t="s">
        <v>2138</v>
      </c>
      <c r="V1816" s="159" t="s">
        <v>2138</v>
      </c>
      <c r="W1816" s="159" t="s">
        <v>2138</v>
      </c>
      <c r="X1816" s="160">
        <v>1</v>
      </c>
      <c r="Y1816" s="160">
        <v>1</v>
      </c>
      <c r="Z1816" s="160">
        <v>1</v>
      </c>
      <c r="AA1816" s="160">
        <v>1</v>
      </c>
    </row>
    <row r="1817" spans="1:27" ht="18" customHeight="1" x14ac:dyDescent="0.25">
      <c r="A1817" s="159">
        <v>4272</v>
      </c>
      <c r="B1817" s="157" t="s">
        <v>29</v>
      </c>
      <c r="C1817" s="157" t="s">
        <v>30</v>
      </c>
      <c r="D1817" s="159" t="s">
        <v>398</v>
      </c>
      <c r="E1817" s="157" t="s">
        <v>396</v>
      </c>
      <c r="F1817" s="157"/>
      <c r="G1817" s="157" t="s">
        <v>1536</v>
      </c>
      <c r="H1817" s="157" t="s">
        <v>1287</v>
      </c>
      <c r="I1817" s="157" t="s">
        <v>1581</v>
      </c>
      <c r="J1817" s="157" t="s">
        <v>1549</v>
      </c>
      <c r="K1817" s="157" t="s">
        <v>1281</v>
      </c>
      <c r="L1817" s="157" t="s">
        <v>1591</v>
      </c>
      <c r="M1817" s="157" t="str">
        <f t="shared" si="38"/>
        <v>LIN Switch - Lights Switch</v>
      </c>
      <c r="N1817" s="157"/>
      <c r="O1817" s="157"/>
      <c r="P1817" s="159" t="s">
        <v>7179</v>
      </c>
      <c r="Q1817" s="157"/>
      <c r="R1817" s="157"/>
      <c r="S1817" s="157"/>
      <c r="T1817" s="157"/>
      <c r="U1817" s="159" t="s">
        <v>2138</v>
      </c>
      <c r="V1817" s="159" t="s">
        <v>2138</v>
      </c>
      <c r="W1817" s="159" t="s">
        <v>2138</v>
      </c>
      <c r="X1817" s="160">
        <v>1</v>
      </c>
      <c r="Y1817" s="160">
        <v>1</v>
      </c>
      <c r="Z1817" s="160">
        <v>1</v>
      </c>
      <c r="AA1817" s="160">
        <v>1</v>
      </c>
    </row>
    <row r="1818" spans="1:27" ht="18" customHeight="1" x14ac:dyDescent="0.25">
      <c r="A1818" s="159">
        <v>4272</v>
      </c>
      <c r="B1818" s="157" t="s">
        <v>29</v>
      </c>
      <c r="C1818" s="157" t="s">
        <v>30</v>
      </c>
      <c r="D1818" s="159" t="s">
        <v>408</v>
      </c>
      <c r="E1818" s="157" t="s">
        <v>406</v>
      </c>
      <c r="F1818" s="157"/>
      <c r="G1818" s="157" t="s">
        <v>1536</v>
      </c>
      <c r="H1818" s="157" t="s">
        <v>1287</v>
      </c>
      <c r="I1818" s="157" t="s">
        <v>1581</v>
      </c>
      <c r="J1818" s="157" t="s">
        <v>1549</v>
      </c>
      <c r="K1818" s="157" t="s">
        <v>1281</v>
      </c>
      <c r="L1818" s="157" t="s">
        <v>1591</v>
      </c>
      <c r="M1818" s="157" t="str">
        <f t="shared" si="38"/>
        <v>LIN Switch - Lights Switch</v>
      </c>
      <c r="N1818" s="157"/>
      <c r="O1818" s="157"/>
      <c r="P1818" s="159" t="s">
        <v>7179</v>
      </c>
      <c r="Q1818" s="157"/>
      <c r="R1818" s="157"/>
      <c r="S1818" s="157"/>
      <c r="T1818" s="157"/>
      <c r="U1818" s="159" t="s">
        <v>2138</v>
      </c>
      <c r="V1818" s="159" t="s">
        <v>2138</v>
      </c>
      <c r="W1818" s="159" t="s">
        <v>2138</v>
      </c>
      <c r="X1818" s="160">
        <v>1</v>
      </c>
      <c r="Y1818" s="160">
        <v>1</v>
      </c>
      <c r="Z1818" s="160">
        <v>1</v>
      </c>
      <c r="AA1818" s="160">
        <v>1</v>
      </c>
    </row>
    <row r="1819" spans="1:27" ht="18" customHeight="1" x14ac:dyDescent="0.25">
      <c r="A1819" s="159">
        <v>4272</v>
      </c>
      <c r="B1819" s="157" t="s">
        <v>29</v>
      </c>
      <c r="C1819" s="157" t="s">
        <v>30</v>
      </c>
      <c r="D1819" s="159" t="s">
        <v>175</v>
      </c>
      <c r="E1819" s="157" t="s">
        <v>571</v>
      </c>
      <c r="F1819" s="157"/>
      <c r="G1819" s="157" t="s">
        <v>1536</v>
      </c>
      <c r="H1819" s="157" t="s">
        <v>1287</v>
      </c>
      <c r="I1819" s="157" t="s">
        <v>1581</v>
      </c>
      <c r="J1819" s="157" t="s">
        <v>1549</v>
      </c>
      <c r="K1819" s="157" t="s">
        <v>1281</v>
      </c>
      <c r="L1819" s="157" t="s">
        <v>1591</v>
      </c>
      <c r="M1819" s="157" t="str">
        <f t="shared" si="38"/>
        <v>LIN Switch - Lights Switch</v>
      </c>
      <c r="N1819" s="157"/>
      <c r="O1819" s="157"/>
      <c r="P1819" s="159" t="s">
        <v>7179</v>
      </c>
      <c r="Q1819" s="157"/>
      <c r="R1819" s="157"/>
      <c r="S1819" s="157"/>
      <c r="T1819" s="157"/>
      <c r="U1819" s="159" t="s">
        <v>2138</v>
      </c>
      <c r="V1819" s="159" t="s">
        <v>2138</v>
      </c>
      <c r="W1819" s="159" t="s">
        <v>2138</v>
      </c>
      <c r="X1819" s="160">
        <v>1</v>
      </c>
      <c r="Y1819" s="160">
        <v>1</v>
      </c>
      <c r="Z1819" s="160">
        <v>1</v>
      </c>
      <c r="AA1819" s="160">
        <v>1</v>
      </c>
    </row>
    <row r="1820" spans="1:27" ht="18" customHeight="1" x14ac:dyDescent="0.25">
      <c r="A1820" s="159">
        <v>4272</v>
      </c>
      <c r="B1820" s="157" t="s">
        <v>29</v>
      </c>
      <c r="C1820" s="157" t="s">
        <v>30</v>
      </c>
      <c r="D1820" s="159" t="s">
        <v>573</v>
      </c>
      <c r="E1820" s="157" t="s">
        <v>574</v>
      </c>
      <c r="F1820" s="157"/>
      <c r="G1820" s="157" t="s">
        <v>1536</v>
      </c>
      <c r="H1820" s="157" t="s">
        <v>1287</v>
      </c>
      <c r="I1820" s="157" t="s">
        <v>1581</v>
      </c>
      <c r="J1820" s="157" t="s">
        <v>1549</v>
      </c>
      <c r="K1820" s="157" t="s">
        <v>1281</v>
      </c>
      <c r="L1820" s="157" t="s">
        <v>1591</v>
      </c>
      <c r="M1820" s="157" t="str">
        <f t="shared" si="38"/>
        <v>LIN Switch - Lights Switch</v>
      </c>
      <c r="N1820" s="157"/>
      <c r="O1820" s="157"/>
      <c r="P1820" s="159" t="s">
        <v>7179</v>
      </c>
      <c r="Q1820" s="157"/>
      <c r="R1820" s="157"/>
      <c r="S1820" s="157"/>
      <c r="T1820" s="157"/>
      <c r="U1820" s="159" t="s">
        <v>2138</v>
      </c>
      <c r="V1820" s="159" t="s">
        <v>2138</v>
      </c>
      <c r="W1820" s="159" t="s">
        <v>2138</v>
      </c>
      <c r="X1820" s="160">
        <v>1</v>
      </c>
      <c r="Y1820" s="160">
        <v>1</v>
      </c>
      <c r="Z1820" s="160">
        <v>1</v>
      </c>
      <c r="AA1820" s="160">
        <v>1</v>
      </c>
    </row>
    <row r="1821" spans="1:27" ht="18" customHeight="1" x14ac:dyDescent="0.25">
      <c r="A1821" s="159">
        <v>4272</v>
      </c>
      <c r="B1821" s="157" t="s">
        <v>29</v>
      </c>
      <c r="C1821" s="157" t="s">
        <v>30</v>
      </c>
      <c r="D1821" s="159" t="s">
        <v>749</v>
      </c>
      <c r="E1821" s="157" t="s">
        <v>747</v>
      </c>
      <c r="F1821" s="157"/>
      <c r="G1821" s="157" t="s">
        <v>1536</v>
      </c>
      <c r="H1821" s="157" t="s">
        <v>1287</v>
      </c>
      <c r="I1821" s="157" t="s">
        <v>1581</v>
      </c>
      <c r="J1821" s="157" t="s">
        <v>1549</v>
      </c>
      <c r="K1821" s="157" t="s">
        <v>1281</v>
      </c>
      <c r="L1821" s="157" t="s">
        <v>1591</v>
      </c>
      <c r="M1821" s="157" t="str">
        <f t="shared" si="38"/>
        <v>LIN Switch - Lights Switch</v>
      </c>
      <c r="N1821" s="157"/>
      <c r="O1821" s="157"/>
      <c r="P1821" s="159" t="s">
        <v>7179</v>
      </c>
      <c r="Q1821" s="157"/>
      <c r="R1821" s="157"/>
      <c r="S1821" s="157"/>
      <c r="T1821" s="157"/>
      <c r="U1821" s="159" t="s">
        <v>2138</v>
      </c>
      <c r="V1821" s="159" t="s">
        <v>2138</v>
      </c>
      <c r="W1821" s="159" t="s">
        <v>2138</v>
      </c>
      <c r="X1821" s="160">
        <v>1</v>
      </c>
      <c r="Y1821" s="160">
        <v>1</v>
      </c>
      <c r="Z1821" s="160">
        <v>1</v>
      </c>
      <c r="AA1821" s="160">
        <v>1</v>
      </c>
    </row>
    <row r="1822" spans="1:27" ht="18" customHeight="1" x14ac:dyDescent="0.25">
      <c r="A1822" s="159">
        <v>4272</v>
      </c>
      <c r="B1822" s="157" t="s">
        <v>29</v>
      </c>
      <c r="C1822" s="157" t="s">
        <v>30</v>
      </c>
      <c r="D1822" s="159" t="s">
        <v>9735</v>
      </c>
      <c r="E1822" s="157" t="s">
        <v>9736</v>
      </c>
      <c r="F1822" s="157"/>
      <c r="G1822" s="157" t="s">
        <v>1536</v>
      </c>
      <c r="H1822" s="157" t="s">
        <v>1287</v>
      </c>
      <c r="I1822" s="157" t="s">
        <v>1581</v>
      </c>
      <c r="J1822" s="157" t="s">
        <v>1549</v>
      </c>
      <c r="K1822" s="157" t="s">
        <v>1281</v>
      </c>
      <c r="L1822" s="157" t="s">
        <v>1591</v>
      </c>
      <c r="M1822" s="157" t="str">
        <f t="shared" si="38"/>
        <v>LIN Switch - Lights Switch</v>
      </c>
      <c r="N1822" s="157"/>
      <c r="O1822" s="157"/>
      <c r="P1822" s="159" t="s">
        <v>7179</v>
      </c>
      <c r="Q1822" s="157"/>
      <c r="R1822" s="157"/>
      <c r="S1822" s="157"/>
      <c r="T1822" s="157"/>
      <c r="U1822" s="159" t="s">
        <v>2138</v>
      </c>
      <c r="V1822" s="159" t="s">
        <v>2138</v>
      </c>
      <c r="W1822" s="159" t="s">
        <v>2138</v>
      </c>
      <c r="X1822" s="160">
        <v>1</v>
      </c>
      <c r="Y1822" s="160">
        <v>1</v>
      </c>
      <c r="Z1822" s="160">
        <v>1</v>
      </c>
      <c r="AA1822" s="160">
        <v>1</v>
      </c>
    </row>
    <row r="1823" spans="1:27" ht="18" customHeight="1" x14ac:dyDescent="0.25">
      <c r="A1823" s="159">
        <v>4273</v>
      </c>
      <c r="B1823" s="157" t="s">
        <v>57</v>
      </c>
      <c r="C1823" s="157" t="s">
        <v>58</v>
      </c>
      <c r="D1823" s="159" t="s">
        <v>61</v>
      </c>
      <c r="E1823" s="157" t="s">
        <v>59</v>
      </c>
      <c r="F1823" s="157" t="s">
        <v>1264</v>
      </c>
      <c r="G1823" s="157" t="s">
        <v>1278</v>
      </c>
      <c r="H1823" s="157" t="s">
        <v>1378</v>
      </c>
      <c r="I1823" s="157" t="s">
        <v>1744</v>
      </c>
      <c r="J1823" s="157" t="s">
        <v>1468</v>
      </c>
      <c r="K1823" s="157" t="s">
        <v>1312</v>
      </c>
      <c r="L1823" s="157" t="s">
        <v>1745</v>
      </c>
      <c r="M1823" s="157" t="str">
        <f t="shared" si="38"/>
        <v>Air Quality - CO2 Detection</v>
      </c>
      <c r="N1823" s="157"/>
      <c r="O1823" s="157"/>
      <c r="P1823" s="159" t="s">
        <v>5461</v>
      </c>
      <c r="Q1823" s="157" t="s">
        <v>2115</v>
      </c>
      <c r="R1823" s="157" t="s">
        <v>8260</v>
      </c>
      <c r="S1823" s="157" t="s">
        <v>8620</v>
      </c>
      <c r="T1823" s="157"/>
      <c r="U1823" s="159" t="s">
        <v>2129</v>
      </c>
      <c r="V1823" s="159" t="s">
        <v>2129</v>
      </c>
      <c r="W1823" s="159" t="s">
        <v>2138</v>
      </c>
      <c r="X1823" s="160">
        <v>1</v>
      </c>
      <c r="Y1823" s="160">
        <v>1</v>
      </c>
      <c r="Z1823" s="160">
        <v>1</v>
      </c>
      <c r="AA1823" s="160">
        <v>1</v>
      </c>
    </row>
    <row r="1824" spans="1:27" ht="18" customHeight="1" x14ac:dyDescent="0.25">
      <c r="A1824" s="159">
        <v>4273</v>
      </c>
      <c r="B1824" s="157" t="s">
        <v>57</v>
      </c>
      <c r="C1824" s="157" t="s">
        <v>58</v>
      </c>
      <c r="D1824" s="159" t="s">
        <v>62</v>
      </c>
      <c r="E1824" s="157" t="s">
        <v>991</v>
      </c>
      <c r="F1824" s="157" t="s">
        <v>1264</v>
      </c>
      <c r="G1824" s="157" t="s">
        <v>1278</v>
      </c>
      <c r="H1824" s="157" t="s">
        <v>1378</v>
      </c>
      <c r="I1824" s="157" t="s">
        <v>1744</v>
      </c>
      <c r="J1824" s="157" t="s">
        <v>1468</v>
      </c>
      <c r="K1824" s="157" t="s">
        <v>1312</v>
      </c>
      <c r="L1824" s="157" t="s">
        <v>1745</v>
      </c>
      <c r="M1824" s="157" t="str">
        <f t="shared" si="38"/>
        <v>Air Quality - CO2 Detection</v>
      </c>
      <c r="N1824" s="157"/>
      <c r="O1824" s="157"/>
      <c r="P1824" s="159" t="s">
        <v>5461</v>
      </c>
      <c r="Q1824" s="157" t="s">
        <v>2115</v>
      </c>
      <c r="R1824" s="157" t="s">
        <v>8260</v>
      </c>
      <c r="S1824" s="157" t="s">
        <v>8620</v>
      </c>
      <c r="T1824" s="157"/>
      <c r="U1824" s="159" t="s">
        <v>2129</v>
      </c>
      <c r="V1824" s="159" t="s">
        <v>2138</v>
      </c>
      <c r="W1824" s="159" t="s">
        <v>2129</v>
      </c>
      <c r="X1824" s="160">
        <v>1</v>
      </c>
      <c r="Y1824" s="160">
        <v>1</v>
      </c>
      <c r="Z1824" s="160">
        <v>1</v>
      </c>
      <c r="AA1824" s="160">
        <v>1</v>
      </c>
    </row>
    <row r="1825" spans="1:27" ht="18" customHeight="1" x14ac:dyDescent="0.25">
      <c r="A1825" s="159">
        <v>4273</v>
      </c>
      <c r="B1825" s="157" t="s">
        <v>57</v>
      </c>
      <c r="C1825" s="157" t="s">
        <v>58</v>
      </c>
      <c r="D1825" s="159" t="s">
        <v>995</v>
      </c>
      <c r="E1825" s="157" t="s">
        <v>993</v>
      </c>
      <c r="F1825" s="157" t="s">
        <v>1264</v>
      </c>
      <c r="G1825" s="157" t="s">
        <v>1278</v>
      </c>
      <c r="H1825" s="157" t="s">
        <v>1378</v>
      </c>
      <c r="I1825" s="157" t="s">
        <v>1744</v>
      </c>
      <c r="J1825" s="157" t="s">
        <v>1468</v>
      </c>
      <c r="K1825" s="157" t="s">
        <v>1312</v>
      </c>
      <c r="L1825" s="157" t="s">
        <v>1745</v>
      </c>
      <c r="M1825" s="157" t="str">
        <f t="shared" si="38"/>
        <v>Air Quality - CO2 Detection</v>
      </c>
      <c r="N1825" s="157"/>
      <c r="O1825" s="157"/>
      <c r="P1825" s="159" t="s">
        <v>5461</v>
      </c>
      <c r="Q1825" s="157" t="s">
        <v>2115</v>
      </c>
      <c r="R1825" s="157" t="s">
        <v>8260</v>
      </c>
      <c r="S1825" s="157" t="s">
        <v>8620</v>
      </c>
      <c r="T1825" s="157"/>
      <c r="U1825" s="159" t="s">
        <v>2129</v>
      </c>
      <c r="V1825" s="159" t="s">
        <v>2138</v>
      </c>
      <c r="W1825" s="159" t="s">
        <v>2138</v>
      </c>
      <c r="X1825" s="160">
        <v>1</v>
      </c>
      <c r="Y1825" s="160">
        <v>1</v>
      </c>
      <c r="Z1825" s="160">
        <v>1</v>
      </c>
      <c r="AA1825" s="160">
        <v>1</v>
      </c>
    </row>
    <row r="1826" spans="1:27" ht="18" customHeight="1" x14ac:dyDescent="0.25">
      <c r="A1826" s="159">
        <v>4275</v>
      </c>
      <c r="B1826" s="157"/>
      <c r="C1826" s="157"/>
      <c r="D1826" s="159"/>
      <c r="E1826" s="157"/>
      <c r="F1826" s="157"/>
      <c r="G1826" s="157" t="s">
        <v>1321</v>
      </c>
      <c r="H1826" s="157" t="s">
        <v>1648</v>
      </c>
      <c r="I1826" s="157" t="s">
        <v>1746</v>
      </c>
      <c r="J1826" s="157" t="s">
        <v>1649</v>
      </c>
      <c r="K1826" s="157" t="s">
        <v>1312</v>
      </c>
      <c r="L1826" s="157" t="s">
        <v>1747</v>
      </c>
      <c r="M1826" s="157" t="str">
        <f t="shared" si="38"/>
        <v>Oxigen Sensor - Exhaust Measurement</v>
      </c>
      <c r="N1826" s="157"/>
      <c r="O1826" s="157"/>
      <c r="P1826" s="159"/>
      <c r="Q1826" s="157"/>
      <c r="R1826" s="157"/>
      <c r="S1826" s="157"/>
      <c r="T1826" s="157"/>
      <c r="U1826" s="159"/>
      <c r="V1826" s="159"/>
      <c r="W1826" s="159"/>
      <c r="X1826" s="160"/>
      <c r="Y1826" s="160"/>
      <c r="Z1826" s="160"/>
      <c r="AA1826" s="160"/>
    </row>
    <row r="1827" spans="1:27" ht="18" customHeight="1" x14ac:dyDescent="0.25">
      <c r="A1827" s="159">
        <v>4276</v>
      </c>
      <c r="B1827" s="157"/>
      <c r="C1827" s="157"/>
      <c r="D1827" s="159"/>
      <c r="E1827" s="157"/>
      <c r="F1827" s="157"/>
      <c r="G1827" s="157" t="s">
        <v>1321</v>
      </c>
      <c r="H1827" s="157" t="s">
        <v>1648</v>
      </c>
      <c r="I1827" s="157" t="s">
        <v>1746</v>
      </c>
      <c r="J1827" s="157" t="s">
        <v>1649</v>
      </c>
      <c r="K1827" s="157" t="s">
        <v>1312</v>
      </c>
      <c r="L1827" s="157" t="s">
        <v>1747</v>
      </c>
      <c r="M1827" s="157" t="str">
        <f t="shared" si="38"/>
        <v>Oxigen Sensor - Exhaust Measurement</v>
      </c>
      <c r="N1827" s="157"/>
      <c r="O1827" s="157"/>
      <c r="P1827" s="159"/>
      <c r="Q1827" s="157"/>
      <c r="R1827" s="157"/>
      <c r="S1827" s="157"/>
      <c r="T1827" s="157"/>
      <c r="U1827" s="159"/>
      <c r="V1827" s="159"/>
      <c r="W1827" s="159"/>
      <c r="X1827" s="160"/>
      <c r="Y1827" s="160"/>
      <c r="Z1827" s="160"/>
      <c r="AA1827" s="160"/>
    </row>
    <row r="1828" spans="1:27" ht="18" customHeight="1" x14ac:dyDescent="0.25">
      <c r="A1828" s="159">
        <v>4277</v>
      </c>
      <c r="B1828" s="157" t="s">
        <v>77</v>
      </c>
      <c r="C1828" s="157" t="s">
        <v>124</v>
      </c>
      <c r="D1828" s="159" t="s">
        <v>677</v>
      </c>
      <c r="E1828" s="157" t="s">
        <v>1029</v>
      </c>
      <c r="F1828" s="157" t="s">
        <v>1264</v>
      </c>
      <c r="G1828" s="157" t="s">
        <v>1278</v>
      </c>
      <c r="H1828" s="157" t="s">
        <v>1283</v>
      </c>
      <c r="I1828" s="157" t="s">
        <v>1748</v>
      </c>
      <c r="J1828" s="157" t="s">
        <v>1674</v>
      </c>
      <c r="K1828" s="157" t="s">
        <v>1269</v>
      </c>
      <c r="L1828" s="157" t="s">
        <v>1286</v>
      </c>
      <c r="M1828" s="157" t="str">
        <f t="shared" si="38"/>
        <v>LED Lamp - Console Illumination FL</v>
      </c>
      <c r="N1828" s="157"/>
      <c r="O1828" s="157"/>
      <c r="P1828" s="159" t="s">
        <v>5847</v>
      </c>
      <c r="Q1828" s="157" t="s">
        <v>2115</v>
      </c>
      <c r="R1828" s="157" t="s">
        <v>8436</v>
      </c>
      <c r="S1828" s="157" t="s">
        <v>8606</v>
      </c>
      <c r="T1828" s="157"/>
      <c r="U1828" s="159" t="s">
        <v>2129</v>
      </c>
      <c r="V1828" s="159" t="s">
        <v>2129</v>
      </c>
      <c r="W1828" s="159" t="s">
        <v>2138</v>
      </c>
      <c r="X1828" s="160">
        <v>0</v>
      </c>
      <c r="Y1828" s="160">
        <v>0</v>
      </c>
      <c r="Z1828" s="160">
        <v>1</v>
      </c>
      <c r="AA1828" s="160">
        <v>1</v>
      </c>
    </row>
    <row r="1829" spans="1:27" ht="18" customHeight="1" x14ac:dyDescent="0.25">
      <c r="A1829" s="159">
        <v>4278</v>
      </c>
      <c r="B1829" s="157" t="s">
        <v>77</v>
      </c>
      <c r="C1829" s="157" t="s">
        <v>124</v>
      </c>
      <c r="D1829" s="159" t="s">
        <v>677</v>
      </c>
      <c r="E1829" s="157" t="s">
        <v>1029</v>
      </c>
      <c r="F1829" s="157" t="s">
        <v>1264</v>
      </c>
      <c r="G1829" s="157" t="s">
        <v>1278</v>
      </c>
      <c r="H1829" s="157" t="s">
        <v>1283</v>
      </c>
      <c r="I1829" s="157" t="s">
        <v>1749</v>
      </c>
      <c r="J1829" s="157" t="s">
        <v>1674</v>
      </c>
      <c r="K1829" s="157" t="s">
        <v>1269</v>
      </c>
      <c r="L1829" s="157" t="s">
        <v>1286</v>
      </c>
      <c r="M1829" s="157" t="str">
        <f t="shared" si="38"/>
        <v>LED Lamp - Console Illumination FR</v>
      </c>
      <c r="N1829" s="157"/>
      <c r="O1829" s="157"/>
      <c r="P1829" s="159" t="s">
        <v>5661</v>
      </c>
      <c r="Q1829" s="157" t="s">
        <v>2115</v>
      </c>
      <c r="R1829" s="157" t="s">
        <v>8436</v>
      </c>
      <c r="S1829" s="157" t="s">
        <v>8606</v>
      </c>
      <c r="T1829" s="157"/>
      <c r="U1829" s="159" t="s">
        <v>2129</v>
      </c>
      <c r="V1829" s="159" t="s">
        <v>2129</v>
      </c>
      <c r="W1829" s="159" t="s">
        <v>2138</v>
      </c>
      <c r="X1829" s="160">
        <v>0</v>
      </c>
      <c r="Y1829" s="160">
        <v>0</v>
      </c>
      <c r="Z1829" s="160">
        <v>1</v>
      </c>
      <c r="AA1829" s="160">
        <v>1</v>
      </c>
    </row>
    <row r="1830" spans="1:27" ht="18" customHeight="1" x14ac:dyDescent="0.25">
      <c r="A1830" s="159">
        <v>4279</v>
      </c>
      <c r="B1830" s="157" t="s">
        <v>77</v>
      </c>
      <c r="C1830" s="157" t="s">
        <v>124</v>
      </c>
      <c r="D1830" s="159" t="s">
        <v>676</v>
      </c>
      <c r="E1830" s="157" t="s">
        <v>674</v>
      </c>
      <c r="F1830" s="157" t="s">
        <v>1264</v>
      </c>
      <c r="G1830" s="157" t="s">
        <v>1278</v>
      </c>
      <c r="H1830" s="157" t="s">
        <v>1283</v>
      </c>
      <c r="I1830" s="157" t="s">
        <v>1750</v>
      </c>
      <c r="J1830" s="157" t="s">
        <v>1751</v>
      </c>
      <c r="K1830" s="157" t="s">
        <v>1269</v>
      </c>
      <c r="L1830" s="157" t="s">
        <v>1752</v>
      </c>
      <c r="M1830" s="157" t="str">
        <f t="shared" si="38"/>
        <v>LED Lamp RGB - Door Panel Illumination FR</v>
      </c>
      <c r="N1830" s="157"/>
      <c r="O1830" s="157"/>
      <c r="P1830" s="159" t="s">
        <v>3794</v>
      </c>
      <c r="Q1830" s="157" t="s">
        <v>2115</v>
      </c>
      <c r="R1830" s="157" t="s">
        <v>8436</v>
      </c>
      <c r="S1830" s="157" t="s">
        <v>8606</v>
      </c>
      <c r="T1830" s="157"/>
      <c r="U1830" s="159" t="s">
        <v>2129</v>
      </c>
      <c r="V1830" s="159" t="s">
        <v>2138</v>
      </c>
      <c r="W1830" s="159" t="s">
        <v>2138</v>
      </c>
      <c r="X1830" s="160">
        <v>0.05</v>
      </c>
      <c r="Y1830" s="160">
        <v>0.05</v>
      </c>
      <c r="Z1830" s="160">
        <v>1</v>
      </c>
      <c r="AA1830" s="160">
        <v>1</v>
      </c>
    </row>
    <row r="1831" spans="1:27" ht="18" customHeight="1" x14ac:dyDescent="0.25">
      <c r="A1831" s="159">
        <v>4280</v>
      </c>
      <c r="B1831" s="157" t="s">
        <v>77</v>
      </c>
      <c r="C1831" s="157" t="s">
        <v>124</v>
      </c>
      <c r="D1831" s="159" t="s">
        <v>676</v>
      </c>
      <c r="E1831" s="157" t="s">
        <v>674</v>
      </c>
      <c r="F1831" s="157" t="s">
        <v>1264</v>
      </c>
      <c r="G1831" s="157" t="s">
        <v>1278</v>
      </c>
      <c r="H1831" s="157" t="s">
        <v>1283</v>
      </c>
      <c r="I1831" s="157" t="s">
        <v>1753</v>
      </c>
      <c r="J1831" s="157" t="s">
        <v>1751</v>
      </c>
      <c r="K1831" s="157" t="s">
        <v>1269</v>
      </c>
      <c r="L1831" s="157" t="s">
        <v>1752</v>
      </c>
      <c r="M1831" s="157" t="str">
        <f t="shared" si="38"/>
        <v>LED Lamp RGB - Door Panel Illumination FL</v>
      </c>
      <c r="N1831" s="157"/>
      <c r="O1831" s="157"/>
      <c r="P1831" s="159" t="s">
        <v>7942</v>
      </c>
      <c r="Q1831" s="157" t="s">
        <v>2115</v>
      </c>
      <c r="R1831" s="157" t="s">
        <v>8436</v>
      </c>
      <c r="S1831" s="157" t="s">
        <v>8606</v>
      </c>
      <c r="T1831" s="157"/>
      <c r="U1831" s="159" t="s">
        <v>2129</v>
      </c>
      <c r="V1831" s="159" t="s">
        <v>2138</v>
      </c>
      <c r="W1831" s="159" t="s">
        <v>2138</v>
      </c>
      <c r="X1831" s="160">
        <v>0.05</v>
      </c>
      <c r="Y1831" s="160">
        <v>0.05</v>
      </c>
      <c r="Z1831" s="160">
        <v>1</v>
      </c>
      <c r="AA1831" s="160">
        <v>1</v>
      </c>
    </row>
    <row r="1832" spans="1:27" ht="18" customHeight="1" x14ac:dyDescent="0.25">
      <c r="A1832" s="159">
        <v>4281</v>
      </c>
      <c r="B1832" s="157" t="s">
        <v>77</v>
      </c>
      <c r="C1832" s="157" t="s">
        <v>124</v>
      </c>
      <c r="D1832" s="159" t="s">
        <v>676</v>
      </c>
      <c r="E1832" s="157" t="s">
        <v>674</v>
      </c>
      <c r="F1832" s="157" t="s">
        <v>1264</v>
      </c>
      <c r="G1832" s="157" t="s">
        <v>1278</v>
      </c>
      <c r="H1832" s="157" t="s">
        <v>1283</v>
      </c>
      <c r="I1832" s="157" t="s">
        <v>1754</v>
      </c>
      <c r="J1832" s="157" t="s">
        <v>1751</v>
      </c>
      <c r="K1832" s="157" t="s">
        <v>1269</v>
      </c>
      <c r="L1832" s="157" t="s">
        <v>1752</v>
      </c>
      <c r="M1832" s="157" t="str">
        <f t="shared" si="38"/>
        <v>LED Lamp RGB - Door Panel Illumination RL</v>
      </c>
      <c r="N1832" s="157"/>
      <c r="O1832" s="157"/>
      <c r="P1832" s="159" t="s">
        <v>7965</v>
      </c>
      <c r="Q1832" s="157" t="s">
        <v>2115</v>
      </c>
      <c r="R1832" s="157" t="s">
        <v>8436</v>
      </c>
      <c r="S1832" s="157" t="s">
        <v>8606</v>
      </c>
      <c r="T1832" s="157"/>
      <c r="U1832" s="159" t="s">
        <v>2129</v>
      </c>
      <c r="V1832" s="159" t="s">
        <v>2138</v>
      </c>
      <c r="W1832" s="159" t="s">
        <v>2138</v>
      </c>
      <c r="X1832" s="160">
        <v>0.05</v>
      </c>
      <c r="Y1832" s="160">
        <v>0.05</v>
      </c>
      <c r="Z1832" s="160">
        <v>1</v>
      </c>
      <c r="AA1832" s="160">
        <v>1</v>
      </c>
    </row>
    <row r="1833" spans="1:27" ht="18" customHeight="1" x14ac:dyDescent="0.25">
      <c r="A1833" s="159">
        <v>4282</v>
      </c>
      <c r="B1833" s="157" t="s">
        <v>77</v>
      </c>
      <c r="C1833" s="157" t="s">
        <v>124</v>
      </c>
      <c r="D1833" s="159" t="s">
        <v>676</v>
      </c>
      <c r="E1833" s="157" t="s">
        <v>674</v>
      </c>
      <c r="F1833" s="157" t="s">
        <v>1264</v>
      </c>
      <c r="G1833" s="157" t="s">
        <v>1278</v>
      </c>
      <c r="H1833" s="157" t="s">
        <v>1283</v>
      </c>
      <c r="I1833" s="157" t="s">
        <v>1755</v>
      </c>
      <c r="J1833" s="157" t="s">
        <v>1751</v>
      </c>
      <c r="K1833" s="157" t="s">
        <v>1269</v>
      </c>
      <c r="L1833" s="157" t="s">
        <v>1752</v>
      </c>
      <c r="M1833" s="157" t="str">
        <f t="shared" si="38"/>
        <v>LED Lamp RGB - Door Panel Illumination RR</v>
      </c>
      <c r="N1833" s="157"/>
      <c r="O1833" s="157"/>
      <c r="P1833" s="159" t="s">
        <v>3817</v>
      </c>
      <c r="Q1833" s="157" t="s">
        <v>2115</v>
      </c>
      <c r="R1833" s="157" t="s">
        <v>8436</v>
      </c>
      <c r="S1833" s="157" t="s">
        <v>8606</v>
      </c>
      <c r="T1833" s="157"/>
      <c r="U1833" s="159" t="s">
        <v>2129</v>
      </c>
      <c r="V1833" s="159" t="s">
        <v>2138</v>
      </c>
      <c r="W1833" s="159" t="s">
        <v>2138</v>
      </c>
      <c r="X1833" s="160">
        <v>0.05</v>
      </c>
      <c r="Y1833" s="160">
        <v>0.05</v>
      </c>
      <c r="Z1833" s="160">
        <v>1</v>
      </c>
      <c r="AA1833" s="160">
        <v>1</v>
      </c>
    </row>
    <row r="1834" spans="1:27" ht="18" customHeight="1" x14ac:dyDescent="0.25">
      <c r="A1834" s="159">
        <v>4284</v>
      </c>
      <c r="B1834" s="157" t="s">
        <v>280</v>
      </c>
      <c r="C1834" s="157" t="s">
        <v>281</v>
      </c>
      <c r="D1834" s="159" t="s">
        <v>284</v>
      </c>
      <c r="E1834" s="157" t="s">
        <v>282</v>
      </c>
      <c r="F1834" s="157" t="s">
        <v>1264</v>
      </c>
      <c r="G1834" s="157" t="s">
        <v>1265</v>
      </c>
      <c r="H1834" s="157" t="s">
        <v>1271</v>
      </c>
      <c r="I1834" s="157" t="s">
        <v>1669</v>
      </c>
      <c r="J1834" s="157" t="s">
        <v>1285</v>
      </c>
      <c r="K1834" s="157" t="s">
        <v>1480</v>
      </c>
      <c r="L1834" s="157" t="s">
        <v>1480</v>
      </c>
      <c r="M1834" s="157" t="str">
        <f t="shared" si="38"/>
        <v>Loudspeaker - Emergency Call</v>
      </c>
      <c r="N1834" s="157"/>
      <c r="O1834" s="157"/>
      <c r="P1834" s="159" t="s">
        <v>5749</v>
      </c>
      <c r="Q1834" s="157" t="s">
        <v>2115</v>
      </c>
      <c r="R1834" s="157" t="s">
        <v>2122</v>
      </c>
      <c r="S1834" s="157" t="s">
        <v>8635</v>
      </c>
      <c r="T1834" s="157"/>
      <c r="U1834" s="159" t="s">
        <v>2138</v>
      </c>
      <c r="V1834" s="159" t="s">
        <v>2138</v>
      </c>
      <c r="W1834" s="159" t="s">
        <v>2138</v>
      </c>
      <c r="X1834" s="160">
        <v>0</v>
      </c>
      <c r="Y1834" s="160">
        <v>0</v>
      </c>
      <c r="Z1834" s="160">
        <v>0</v>
      </c>
      <c r="AA1834" s="160">
        <v>0</v>
      </c>
    </row>
    <row r="1835" spans="1:27" ht="18" customHeight="1" x14ac:dyDescent="0.25">
      <c r="A1835" s="159">
        <v>4285</v>
      </c>
      <c r="B1835" s="157" t="s">
        <v>266</v>
      </c>
      <c r="C1835" s="157" t="s">
        <v>294</v>
      </c>
      <c r="D1835" s="159" t="s">
        <v>297</v>
      </c>
      <c r="E1835" s="157" t="s">
        <v>295</v>
      </c>
      <c r="F1835" s="157" t="s">
        <v>1264</v>
      </c>
      <c r="G1835" s="157" t="s">
        <v>1349</v>
      </c>
      <c r="H1835" s="157" t="s">
        <v>1418</v>
      </c>
      <c r="I1835" s="157" t="s">
        <v>1756</v>
      </c>
      <c r="J1835" s="157"/>
      <c r="K1835" s="157" t="s">
        <v>1269</v>
      </c>
      <c r="L1835" s="157" t="s">
        <v>1454</v>
      </c>
      <c r="M1835" s="157" t="str">
        <f t="shared" si="38"/>
        <v>Buzzer - Short Range Distance Warning</v>
      </c>
      <c r="N1835" s="157"/>
      <c r="O1835" s="157"/>
      <c r="P1835" s="159" t="s">
        <v>6580</v>
      </c>
      <c r="Q1835" s="157" t="s">
        <v>2115</v>
      </c>
      <c r="R1835" s="157" t="s">
        <v>8288</v>
      </c>
      <c r="S1835" s="157" t="s">
        <v>8611</v>
      </c>
      <c r="T1835" s="157"/>
      <c r="U1835" s="159" t="s">
        <v>2138</v>
      </c>
      <c r="V1835" s="159" t="s">
        <v>2138</v>
      </c>
      <c r="W1835" s="159" t="s">
        <v>2138</v>
      </c>
      <c r="X1835" s="160">
        <v>0</v>
      </c>
      <c r="Y1835" s="160">
        <v>0</v>
      </c>
      <c r="Z1835" s="160">
        <v>0</v>
      </c>
      <c r="AA1835" s="160">
        <v>0</v>
      </c>
    </row>
    <row r="1836" spans="1:27" ht="18" customHeight="1" x14ac:dyDescent="0.25">
      <c r="A1836" s="159">
        <v>4285</v>
      </c>
      <c r="B1836" s="157" t="s">
        <v>266</v>
      </c>
      <c r="C1836" s="157" t="s">
        <v>294</v>
      </c>
      <c r="D1836" s="159" t="s">
        <v>298</v>
      </c>
      <c r="E1836" s="157" t="s">
        <v>299</v>
      </c>
      <c r="F1836" s="157" t="s">
        <v>1264</v>
      </c>
      <c r="G1836" s="157" t="s">
        <v>1349</v>
      </c>
      <c r="H1836" s="157" t="s">
        <v>1418</v>
      </c>
      <c r="I1836" s="157" t="s">
        <v>1756</v>
      </c>
      <c r="J1836" s="157"/>
      <c r="K1836" s="157" t="s">
        <v>1269</v>
      </c>
      <c r="L1836" s="157" t="s">
        <v>1454</v>
      </c>
      <c r="M1836" s="157" t="str">
        <f t="shared" si="38"/>
        <v>Buzzer - Short Range Distance Warning</v>
      </c>
      <c r="N1836" s="157"/>
      <c r="O1836" s="157"/>
      <c r="P1836" s="159" t="s">
        <v>6580</v>
      </c>
      <c r="Q1836" s="157" t="s">
        <v>2115</v>
      </c>
      <c r="R1836" s="157" t="s">
        <v>8288</v>
      </c>
      <c r="S1836" s="157" t="s">
        <v>8611</v>
      </c>
      <c r="T1836" s="157"/>
      <c r="U1836" s="159" t="s">
        <v>2138</v>
      </c>
      <c r="V1836" s="159" t="s">
        <v>2138</v>
      </c>
      <c r="W1836" s="159" t="s">
        <v>2138</v>
      </c>
      <c r="X1836" s="160">
        <v>0</v>
      </c>
      <c r="Y1836" s="160">
        <v>0</v>
      </c>
      <c r="Z1836" s="160">
        <v>0</v>
      </c>
      <c r="AA1836" s="160">
        <v>0</v>
      </c>
    </row>
    <row r="1837" spans="1:27" ht="18" customHeight="1" x14ac:dyDescent="0.25">
      <c r="A1837" s="159">
        <v>4285</v>
      </c>
      <c r="B1837" s="157" t="s">
        <v>266</v>
      </c>
      <c r="C1837" s="157" t="s">
        <v>294</v>
      </c>
      <c r="D1837" s="159" t="s">
        <v>1178</v>
      </c>
      <c r="E1837" s="157" t="s">
        <v>1179</v>
      </c>
      <c r="F1837" s="157" t="s">
        <v>1264</v>
      </c>
      <c r="G1837" s="157" t="s">
        <v>1349</v>
      </c>
      <c r="H1837" s="157" t="s">
        <v>1418</v>
      </c>
      <c r="I1837" s="157" t="s">
        <v>1756</v>
      </c>
      <c r="J1837" s="157"/>
      <c r="K1837" s="157" t="s">
        <v>1269</v>
      </c>
      <c r="L1837" s="157" t="s">
        <v>1454</v>
      </c>
      <c r="M1837" s="157" t="str">
        <f t="shared" si="38"/>
        <v>Buzzer - Short Range Distance Warning</v>
      </c>
      <c r="N1837" s="157"/>
      <c r="O1837" s="157"/>
      <c r="P1837" s="159" t="s">
        <v>6580</v>
      </c>
      <c r="Q1837" s="157" t="s">
        <v>2115</v>
      </c>
      <c r="R1837" s="157" t="s">
        <v>8288</v>
      </c>
      <c r="S1837" s="157" t="s">
        <v>8611</v>
      </c>
      <c r="T1837" s="157"/>
      <c r="U1837" s="159" t="s">
        <v>2138</v>
      </c>
      <c r="V1837" s="159" t="s">
        <v>2138</v>
      </c>
      <c r="W1837" s="159" t="s">
        <v>2138</v>
      </c>
      <c r="X1837" s="160">
        <v>0</v>
      </c>
      <c r="Y1837" s="160">
        <v>0</v>
      </c>
      <c r="Z1837" s="160">
        <v>0</v>
      </c>
      <c r="AA1837" s="160">
        <v>0</v>
      </c>
    </row>
    <row r="1838" spans="1:27" ht="18" customHeight="1" x14ac:dyDescent="0.25">
      <c r="A1838" s="159">
        <v>4286</v>
      </c>
      <c r="B1838" s="157" t="s">
        <v>29</v>
      </c>
      <c r="C1838" s="157" t="s">
        <v>30</v>
      </c>
      <c r="D1838" s="159" t="s">
        <v>89</v>
      </c>
      <c r="E1838" s="157" t="s">
        <v>87</v>
      </c>
      <c r="F1838" s="157" t="s">
        <v>1264</v>
      </c>
      <c r="G1838" s="157" t="s">
        <v>1536</v>
      </c>
      <c r="H1838" s="157" t="s">
        <v>1287</v>
      </c>
      <c r="I1838" s="157" t="s">
        <v>8424</v>
      </c>
      <c r="J1838" s="157"/>
      <c r="K1838" s="157" t="s">
        <v>1312</v>
      </c>
      <c r="L1838" s="157" t="s">
        <v>9521</v>
      </c>
      <c r="M1838" s="157" t="str">
        <f t="shared" si="38"/>
        <v>Vehicle Level Sensor Rear Left - Vehicle Level Information</v>
      </c>
      <c r="N1838" s="157"/>
      <c r="O1838" s="157"/>
      <c r="P1838" s="159" t="s">
        <v>7619</v>
      </c>
      <c r="Q1838" s="157" t="s">
        <v>2115</v>
      </c>
      <c r="R1838" s="157" t="s">
        <v>8583</v>
      </c>
      <c r="S1838" s="157" t="s">
        <v>8584</v>
      </c>
      <c r="T1838" s="157"/>
      <c r="U1838" s="159" t="s">
        <v>2129</v>
      </c>
      <c r="V1838" s="159" t="s">
        <v>2138</v>
      </c>
      <c r="W1838" s="159" t="s">
        <v>2138</v>
      </c>
      <c r="X1838" s="160">
        <v>1</v>
      </c>
      <c r="Y1838" s="160">
        <v>1</v>
      </c>
      <c r="Z1838" s="160">
        <v>1</v>
      </c>
      <c r="AA1838" s="160">
        <v>1</v>
      </c>
    </row>
    <row r="1839" spans="1:27" ht="18" customHeight="1" x14ac:dyDescent="0.25">
      <c r="A1839" s="159">
        <v>4286</v>
      </c>
      <c r="B1839" s="157" t="s">
        <v>256</v>
      </c>
      <c r="C1839" s="157" t="s">
        <v>257</v>
      </c>
      <c r="D1839" s="159" t="s">
        <v>260</v>
      </c>
      <c r="E1839" s="157" t="s">
        <v>258</v>
      </c>
      <c r="F1839" s="157"/>
      <c r="G1839" s="157" t="s">
        <v>1299</v>
      </c>
      <c r="H1839" s="157" t="s">
        <v>1432</v>
      </c>
      <c r="I1839" s="157" t="s">
        <v>8424</v>
      </c>
      <c r="J1839" s="157"/>
      <c r="K1839" s="157" t="s">
        <v>1312</v>
      </c>
      <c r="L1839" s="157" t="s">
        <v>9521</v>
      </c>
      <c r="M1839" s="157" t="str">
        <f t="shared" si="38"/>
        <v>Vehicle Level Sensor Rear Left - Vehicle Level Information</v>
      </c>
      <c r="N1839" s="157"/>
      <c r="O1839" s="157"/>
      <c r="P1839" s="159" t="s">
        <v>7619</v>
      </c>
      <c r="Q1839" s="157" t="s">
        <v>2115</v>
      </c>
      <c r="R1839" s="157" t="s">
        <v>8583</v>
      </c>
      <c r="S1839" s="157" t="s">
        <v>8584</v>
      </c>
      <c r="T1839" s="157"/>
      <c r="U1839" s="159" t="s">
        <v>2129</v>
      </c>
      <c r="V1839" s="159" t="s">
        <v>2129</v>
      </c>
      <c r="W1839" s="159" t="s">
        <v>2138</v>
      </c>
      <c r="X1839" s="160">
        <v>1</v>
      </c>
      <c r="Y1839" s="160">
        <v>1</v>
      </c>
      <c r="Z1839" s="160">
        <v>1</v>
      </c>
      <c r="AA1839" s="160">
        <v>1</v>
      </c>
    </row>
    <row r="1840" spans="1:27" ht="18" customHeight="1" x14ac:dyDescent="0.25">
      <c r="A1840" s="159">
        <v>4288</v>
      </c>
      <c r="B1840" s="157" t="s">
        <v>251</v>
      </c>
      <c r="C1840" s="157" t="s">
        <v>366</v>
      </c>
      <c r="D1840" s="159" t="s">
        <v>369</v>
      </c>
      <c r="E1840" s="157" t="s">
        <v>367</v>
      </c>
      <c r="F1840" s="157"/>
      <c r="G1840" s="157" t="s">
        <v>13</v>
      </c>
      <c r="H1840" s="157" t="s">
        <v>1459</v>
      </c>
      <c r="I1840" s="157" t="s">
        <v>1460</v>
      </c>
      <c r="J1840" s="157" t="s">
        <v>1285</v>
      </c>
      <c r="K1840" s="157" t="s">
        <v>1312</v>
      </c>
      <c r="L1840" s="157" t="s">
        <v>1757</v>
      </c>
      <c r="M1840" s="157" t="str">
        <f t="shared" si="38"/>
        <v>12V Lead-Acid Battery BMS - 12V Battery Management</v>
      </c>
      <c r="N1840" s="157"/>
      <c r="O1840" s="157"/>
      <c r="P1840" s="159" t="s">
        <v>4130</v>
      </c>
      <c r="Q1840" s="157" t="s">
        <v>8279</v>
      </c>
      <c r="R1840" s="157" t="s">
        <v>8279</v>
      </c>
      <c r="S1840" s="157"/>
      <c r="T1840" s="157"/>
      <c r="U1840" s="159" t="s">
        <v>2138</v>
      </c>
      <c r="V1840" s="159" t="s">
        <v>2129</v>
      </c>
      <c r="W1840" s="159" t="s">
        <v>2129</v>
      </c>
      <c r="X1840" s="160">
        <v>1</v>
      </c>
      <c r="Y1840" s="160">
        <v>1</v>
      </c>
      <c r="Z1840" s="160">
        <v>1</v>
      </c>
      <c r="AA1840" s="160">
        <v>1</v>
      </c>
    </row>
    <row r="1841" spans="1:27" ht="18" customHeight="1" x14ac:dyDescent="0.25">
      <c r="A1841" s="159">
        <v>4288</v>
      </c>
      <c r="B1841" s="157" t="s">
        <v>318</v>
      </c>
      <c r="C1841" s="157" t="s">
        <v>371</v>
      </c>
      <c r="D1841" s="159" t="s">
        <v>374</v>
      </c>
      <c r="E1841" s="157" t="s">
        <v>372</v>
      </c>
      <c r="F1841" s="157"/>
      <c r="G1841" s="157" t="s">
        <v>13</v>
      </c>
      <c r="H1841" s="157" t="s">
        <v>1459</v>
      </c>
      <c r="I1841" s="157" t="s">
        <v>1460</v>
      </c>
      <c r="J1841" s="157" t="s">
        <v>1285</v>
      </c>
      <c r="K1841" s="157" t="s">
        <v>1312</v>
      </c>
      <c r="L1841" s="157" t="s">
        <v>1757</v>
      </c>
      <c r="M1841" s="157" t="str">
        <f t="shared" si="38"/>
        <v>12V Lead-Acid Battery BMS - 12V Battery Management</v>
      </c>
      <c r="N1841" s="157"/>
      <c r="O1841" s="157"/>
      <c r="P1841" s="159" t="s">
        <v>4130</v>
      </c>
      <c r="Q1841" s="157" t="s">
        <v>8279</v>
      </c>
      <c r="R1841" s="157" t="s">
        <v>8279</v>
      </c>
      <c r="S1841" s="157"/>
      <c r="T1841" s="157"/>
      <c r="U1841" s="159" t="s">
        <v>2138</v>
      </c>
      <c r="V1841" s="159" t="s">
        <v>2129</v>
      </c>
      <c r="W1841" s="159" t="s">
        <v>2129</v>
      </c>
      <c r="X1841" s="160">
        <v>1</v>
      </c>
      <c r="Y1841" s="160">
        <v>1</v>
      </c>
      <c r="Z1841" s="160">
        <v>1</v>
      </c>
      <c r="AA1841" s="160">
        <v>1</v>
      </c>
    </row>
    <row r="1842" spans="1:27" ht="18" customHeight="1" x14ac:dyDescent="0.25">
      <c r="A1842" s="159">
        <v>4288</v>
      </c>
      <c r="B1842" s="157" t="s">
        <v>318</v>
      </c>
      <c r="C1842" s="157" t="s">
        <v>443</v>
      </c>
      <c r="D1842" s="159" t="s">
        <v>763</v>
      </c>
      <c r="E1842" s="157" t="s">
        <v>761</v>
      </c>
      <c r="F1842" s="157"/>
      <c r="G1842" s="157" t="s">
        <v>13</v>
      </c>
      <c r="H1842" s="157" t="s">
        <v>1459</v>
      </c>
      <c r="I1842" s="157" t="s">
        <v>1460</v>
      </c>
      <c r="J1842" s="157" t="s">
        <v>1285</v>
      </c>
      <c r="K1842" s="157" t="s">
        <v>1312</v>
      </c>
      <c r="L1842" s="157" t="s">
        <v>1757</v>
      </c>
      <c r="M1842" s="157" t="str">
        <f t="shared" si="38"/>
        <v>12V Lead-Acid Battery BMS - 12V Battery Management</v>
      </c>
      <c r="N1842" s="157"/>
      <c r="O1842" s="157"/>
      <c r="P1842" s="159" t="s">
        <v>4130</v>
      </c>
      <c r="Q1842" s="157" t="s">
        <v>8279</v>
      </c>
      <c r="R1842" s="157" t="s">
        <v>8279</v>
      </c>
      <c r="S1842" s="157"/>
      <c r="T1842" s="157"/>
      <c r="U1842" s="159" t="s">
        <v>2138</v>
      </c>
      <c r="V1842" s="159" t="s">
        <v>2129</v>
      </c>
      <c r="W1842" s="159" t="s">
        <v>2129</v>
      </c>
      <c r="X1842" s="160">
        <v>1</v>
      </c>
      <c r="Y1842" s="160">
        <v>1</v>
      </c>
      <c r="Z1842" s="160">
        <v>1</v>
      </c>
      <c r="AA1842" s="160">
        <v>1</v>
      </c>
    </row>
    <row r="1843" spans="1:27" ht="18" customHeight="1" x14ac:dyDescent="0.25">
      <c r="A1843" s="159">
        <v>4288</v>
      </c>
      <c r="B1843" s="157" t="s">
        <v>318</v>
      </c>
      <c r="C1843" s="157" t="s">
        <v>319</v>
      </c>
      <c r="D1843" s="159" t="s">
        <v>323</v>
      </c>
      <c r="E1843" s="157" t="s">
        <v>666</v>
      </c>
      <c r="F1843" s="157"/>
      <c r="G1843" s="157" t="s">
        <v>13</v>
      </c>
      <c r="H1843" s="157" t="s">
        <v>1459</v>
      </c>
      <c r="I1843" s="157" t="s">
        <v>1460</v>
      </c>
      <c r="J1843" s="157" t="s">
        <v>1285</v>
      </c>
      <c r="K1843" s="157" t="s">
        <v>1312</v>
      </c>
      <c r="L1843" s="157" t="s">
        <v>1757</v>
      </c>
      <c r="M1843" s="157" t="str">
        <f t="shared" si="38"/>
        <v>12V Lead-Acid Battery BMS - 12V Battery Management</v>
      </c>
      <c r="N1843" s="157"/>
      <c r="O1843" s="157"/>
      <c r="P1843" s="159" t="s">
        <v>4130</v>
      </c>
      <c r="Q1843" s="157" t="s">
        <v>8279</v>
      </c>
      <c r="R1843" s="157" t="s">
        <v>8279</v>
      </c>
      <c r="S1843" s="157"/>
      <c r="T1843" s="157"/>
      <c r="U1843" s="159" t="s">
        <v>2138</v>
      </c>
      <c r="V1843" s="159" t="s">
        <v>2129</v>
      </c>
      <c r="W1843" s="159" t="s">
        <v>2129</v>
      </c>
      <c r="X1843" s="160">
        <v>1</v>
      </c>
      <c r="Y1843" s="160">
        <v>1</v>
      </c>
      <c r="Z1843" s="160">
        <v>1</v>
      </c>
      <c r="AA1843" s="160">
        <v>1</v>
      </c>
    </row>
    <row r="1844" spans="1:27" ht="18" customHeight="1" x14ac:dyDescent="0.25">
      <c r="A1844" s="159">
        <v>4289</v>
      </c>
      <c r="B1844" s="157" t="s">
        <v>22</v>
      </c>
      <c r="C1844" s="157" t="s">
        <v>103</v>
      </c>
      <c r="D1844" s="159" t="s">
        <v>27</v>
      </c>
      <c r="E1844" s="157" t="s">
        <v>989</v>
      </c>
      <c r="F1844" s="157"/>
      <c r="G1844" s="157" t="s">
        <v>1299</v>
      </c>
      <c r="H1844" s="157" t="s">
        <v>1300</v>
      </c>
      <c r="I1844" s="157" t="s">
        <v>1441</v>
      </c>
      <c r="J1844" s="157" t="s">
        <v>1758</v>
      </c>
      <c r="K1844" s="157" t="s">
        <v>1312</v>
      </c>
      <c r="L1844" s="157" t="s">
        <v>1759</v>
      </c>
      <c r="M1844" s="157" t="str">
        <f t="shared" si="38"/>
        <v>Pedestrian Impact Sensor FR - Crash Sensor</v>
      </c>
      <c r="N1844" s="157"/>
      <c r="O1844" s="157"/>
      <c r="P1844" s="159" t="s">
        <v>3519</v>
      </c>
      <c r="Q1844" s="157" t="s">
        <v>2115</v>
      </c>
      <c r="R1844" s="157" t="s">
        <v>8280</v>
      </c>
      <c r="S1844" s="157" t="s">
        <v>8636</v>
      </c>
      <c r="T1844" s="157"/>
      <c r="U1844" s="159" t="s">
        <v>2129</v>
      </c>
      <c r="V1844" s="159" t="s">
        <v>2129</v>
      </c>
      <c r="W1844" s="159" t="s">
        <v>2138</v>
      </c>
      <c r="X1844" s="160">
        <v>1</v>
      </c>
      <c r="Y1844" s="160">
        <v>1</v>
      </c>
      <c r="Z1844" s="160">
        <v>1</v>
      </c>
      <c r="AA1844" s="160">
        <v>1</v>
      </c>
    </row>
    <row r="1845" spans="1:27" ht="18" customHeight="1" x14ac:dyDescent="0.25">
      <c r="A1845" s="159">
        <v>4290</v>
      </c>
      <c r="B1845" s="157" t="s">
        <v>22</v>
      </c>
      <c r="C1845" s="157" t="s">
        <v>103</v>
      </c>
      <c r="D1845" s="159" t="s">
        <v>27</v>
      </c>
      <c r="E1845" s="157" t="s">
        <v>989</v>
      </c>
      <c r="F1845" s="157"/>
      <c r="G1845" s="157" t="s">
        <v>1299</v>
      </c>
      <c r="H1845" s="157" t="s">
        <v>1300</v>
      </c>
      <c r="I1845" s="157" t="s">
        <v>1441</v>
      </c>
      <c r="J1845" s="157" t="s">
        <v>1758</v>
      </c>
      <c r="K1845" s="157" t="s">
        <v>1312</v>
      </c>
      <c r="L1845" s="157" t="s">
        <v>1760</v>
      </c>
      <c r="M1845" s="157" t="str">
        <f t="shared" si="38"/>
        <v>Pedestrian Impact Sensor FL - Crash Sensor</v>
      </c>
      <c r="N1845" s="157"/>
      <c r="O1845" s="157"/>
      <c r="P1845" s="159" t="s">
        <v>3495</v>
      </c>
      <c r="Q1845" s="157" t="s">
        <v>2115</v>
      </c>
      <c r="R1845" s="157" t="s">
        <v>8280</v>
      </c>
      <c r="S1845" s="157" t="s">
        <v>8636</v>
      </c>
      <c r="T1845" s="157"/>
      <c r="U1845" s="159" t="s">
        <v>2129</v>
      </c>
      <c r="V1845" s="159" t="s">
        <v>2129</v>
      </c>
      <c r="W1845" s="159" t="s">
        <v>2138</v>
      </c>
      <c r="X1845" s="160">
        <v>1</v>
      </c>
      <c r="Y1845" s="160">
        <v>1</v>
      </c>
      <c r="Z1845" s="160">
        <v>1</v>
      </c>
      <c r="AA1845" s="160">
        <v>1</v>
      </c>
    </row>
    <row r="1846" spans="1:27" ht="18" customHeight="1" x14ac:dyDescent="0.25">
      <c r="A1846" s="159">
        <v>4292</v>
      </c>
      <c r="B1846" s="157" t="s">
        <v>318</v>
      </c>
      <c r="C1846" s="157" t="s">
        <v>319</v>
      </c>
      <c r="D1846" s="159" t="s">
        <v>746</v>
      </c>
      <c r="E1846" s="157" t="s">
        <v>744</v>
      </c>
      <c r="F1846" s="157" t="s">
        <v>1010</v>
      </c>
      <c r="G1846" s="157" t="s">
        <v>13</v>
      </c>
      <c r="H1846" s="157" t="s">
        <v>1459</v>
      </c>
      <c r="I1846" s="157" t="s">
        <v>9525</v>
      </c>
      <c r="J1846" s="157" t="s">
        <v>1285</v>
      </c>
      <c r="K1846" s="157" t="s">
        <v>9563</v>
      </c>
      <c r="L1846" s="157" t="s">
        <v>9524</v>
      </c>
      <c r="M1846" s="157" t="str">
        <f t="shared" si="38"/>
        <v>12V Lead-Acid Battery Main - 12V Energy Storage</v>
      </c>
      <c r="N1846" s="157"/>
      <c r="O1846" s="157"/>
      <c r="P1846" s="159" t="s">
        <v>4130</v>
      </c>
      <c r="Q1846" s="157"/>
      <c r="R1846" s="157"/>
      <c r="S1846" s="157"/>
      <c r="T1846" s="157"/>
      <c r="U1846" s="159" t="s">
        <v>2138</v>
      </c>
      <c r="V1846" s="159" t="s">
        <v>2138</v>
      </c>
      <c r="W1846" s="159" t="s">
        <v>2138</v>
      </c>
      <c r="X1846" s="160">
        <v>1</v>
      </c>
      <c r="Y1846" s="160">
        <v>1</v>
      </c>
      <c r="Z1846" s="160">
        <v>1</v>
      </c>
      <c r="AA1846" s="160">
        <v>1</v>
      </c>
    </row>
    <row r="1847" spans="1:27" ht="18" customHeight="1" x14ac:dyDescent="0.25">
      <c r="A1847" s="159">
        <v>4293</v>
      </c>
      <c r="B1847" s="157" t="s">
        <v>57</v>
      </c>
      <c r="C1847" s="157" t="s">
        <v>58</v>
      </c>
      <c r="D1847" s="159" t="s">
        <v>61</v>
      </c>
      <c r="E1847" s="157" t="s">
        <v>59</v>
      </c>
      <c r="F1847" s="157" t="s">
        <v>1264</v>
      </c>
      <c r="G1847" s="157" t="s">
        <v>1278</v>
      </c>
      <c r="H1847" s="157" t="s">
        <v>1378</v>
      </c>
      <c r="I1847" s="157" t="s">
        <v>1379</v>
      </c>
      <c r="J1847" s="157" t="s">
        <v>1380</v>
      </c>
      <c r="K1847" s="157" t="s">
        <v>1281</v>
      </c>
      <c r="L1847" s="157" t="s">
        <v>1761</v>
      </c>
      <c r="M1847" s="157" t="str">
        <f t="shared" si="38"/>
        <v>User Selector Potentiometer - Cockpit Center Air Diffuser Left - Air Flow Deflection</v>
      </c>
      <c r="N1847" s="157"/>
      <c r="O1847" s="157"/>
      <c r="P1847" s="159" t="s">
        <v>6018</v>
      </c>
      <c r="Q1847" s="157"/>
      <c r="R1847" s="157"/>
      <c r="S1847" s="157"/>
      <c r="T1847" s="157"/>
      <c r="U1847" s="159" t="s">
        <v>2129</v>
      </c>
      <c r="V1847" s="159" t="s">
        <v>2129</v>
      </c>
      <c r="W1847" s="159" t="s">
        <v>2138</v>
      </c>
      <c r="X1847" s="160">
        <v>0</v>
      </c>
      <c r="Y1847" s="160">
        <v>0</v>
      </c>
      <c r="Z1847" s="160">
        <v>1</v>
      </c>
      <c r="AA1847" s="160">
        <v>1</v>
      </c>
    </row>
    <row r="1848" spans="1:27" ht="18" customHeight="1" x14ac:dyDescent="0.25">
      <c r="A1848" s="159">
        <v>4293</v>
      </c>
      <c r="B1848" s="157" t="s">
        <v>57</v>
      </c>
      <c r="C1848" s="157" t="s">
        <v>58</v>
      </c>
      <c r="D1848" s="159" t="s">
        <v>417</v>
      </c>
      <c r="E1848" s="157" t="s">
        <v>415</v>
      </c>
      <c r="F1848" s="157" t="s">
        <v>1264</v>
      </c>
      <c r="G1848" s="157" t="s">
        <v>1278</v>
      </c>
      <c r="H1848" s="157" t="s">
        <v>1378</v>
      </c>
      <c r="I1848" s="157" t="s">
        <v>1379</v>
      </c>
      <c r="J1848" s="157" t="s">
        <v>1380</v>
      </c>
      <c r="K1848" s="157" t="s">
        <v>1281</v>
      </c>
      <c r="L1848" s="157" t="s">
        <v>1761</v>
      </c>
      <c r="M1848" s="157" t="str">
        <f t="shared" si="38"/>
        <v>User Selector Potentiometer - Cockpit Center Air Diffuser Left - Air Flow Deflection</v>
      </c>
      <c r="N1848" s="157"/>
      <c r="O1848" s="157"/>
      <c r="P1848" s="159" t="s">
        <v>6018</v>
      </c>
      <c r="Q1848" s="157"/>
      <c r="R1848" s="157"/>
      <c r="S1848" s="157"/>
      <c r="T1848" s="157"/>
      <c r="U1848" s="159" t="s">
        <v>2129</v>
      </c>
      <c r="V1848" s="159" t="s">
        <v>2138</v>
      </c>
      <c r="W1848" s="159" t="s">
        <v>2138</v>
      </c>
      <c r="X1848" s="160">
        <v>0</v>
      </c>
      <c r="Y1848" s="160">
        <v>0</v>
      </c>
      <c r="Z1848" s="160">
        <v>1</v>
      </c>
      <c r="AA1848" s="160">
        <v>1</v>
      </c>
    </row>
    <row r="1849" spans="1:27" ht="18" customHeight="1" x14ac:dyDescent="0.25">
      <c r="A1849" s="159">
        <v>4293</v>
      </c>
      <c r="B1849" s="157" t="s">
        <v>57</v>
      </c>
      <c r="C1849" s="157" t="s">
        <v>58</v>
      </c>
      <c r="D1849" s="159" t="s">
        <v>62</v>
      </c>
      <c r="E1849" s="157" t="s">
        <v>991</v>
      </c>
      <c r="F1849" s="157" t="s">
        <v>1264</v>
      </c>
      <c r="G1849" s="157" t="s">
        <v>1278</v>
      </c>
      <c r="H1849" s="157" t="s">
        <v>1378</v>
      </c>
      <c r="I1849" s="157" t="s">
        <v>1379</v>
      </c>
      <c r="J1849" s="157" t="s">
        <v>1380</v>
      </c>
      <c r="K1849" s="157" t="s">
        <v>1281</v>
      </c>
      <c r="L1849" s="157" t="s">
        <v>1761</v>
      </c>
      <c r="M1849" s="157" t="str">
        <f t="shared" si="38"/>
        <v>User Selector Potentiometer - Cockpit Center Air Diffuser Left - Air Flow Deflection</v>
      </c>
      <c r="N1849" s="157"/>
      <c r="O1849" s="157"/>
      <c r="P1849" s="159" t="s">
        <v>6018</v>
      </c>
      <c r="Q1849" s="157"/>
      <c r="R1849" s="157"/>
      <c r="S1849" s="157"/>
      <c r="T1849" s="157"/>
      <c r="U1849" s="159" t="s">
        <v>2129</v>
      </c>
      <c r="V1849" s="159" t="s">
        <v>2138</v>
      </c>
      <c r="W1849" s="159" t="s">
        <v>2129</v>
      </c>
      <c r="X1849" s="160">
        <v>0</v>
      </c>
      <c r="Y1849" s="160">
        <v>0</v>
      </c>
      <c r="Z1849" s="160">
        <v>1</v>
      </c>
      <c r="AA1849" s="160">
        <v>1</v>
      </c>
    </row>
    <row r="1850" spans="1:27" ht="18" customHeight="1" x14ac:dyDescent="0.25">
      <c r="A1850" s="159">
        <v>4294</v>
      </c>
      <c r="B1850" s="157" t="s">
        <v>29</v>
      </c>
      <c r="C1850" s="157" t="s">
        <v>82</v>
      </c>
      <c r="D1850" s="159" t="s">
        <v>1101</v>
      </c>
      <c r="E1850" s="157" t="s">
        <v>1099</v>
      </c>
      <c r="F1850" s="157"/>
      <c r="G1850" s="157" t="s">
        <v>1278</v>
      </c>
      <c r="H1850" s="157" t="s">
        <v>1514</v>
      </c>
      <c r="I1850" s="157" t="s">
        <v>8703</v>
      </c>
      <c r="J1850" s="157" t="s">
        <v>1296</v>
      </c>
      <c r="K1850" s="157" t="s">
        <v>1281</v>
      </c>
      <c r="L1850" s="157" t="s">
        <v>8319</v>
      </c>
      <c r="M1850" s="157" t="str">
        <f t="shared" si="38"/>
        <v>Hood Switch Left - Intrusion Detection</v>
      </c>
      <c r="N1850" s="157"/>
      <c r="O1850" s="157"/>
      <c r="P1850" s="159" t="s">
        <v>7655</v>
      </c>
      <c r="Q1850" s="157" t="s">
        <v>2115</v>
      </c>
      <c r="R1850" s="157" t="s">
        <v>8259</v>
      </c>
      <c r="S1850" s="157" t="s">
        <v>8614</v>
      </c>
      <c r="T1850" s="157"/>
      <c r="U1850" s="159" t="s">
        <v>2129</v>
      </c>
      <c r="V1850" s="159" t="s">
        <v>2138</v>
      </c>
      <c r="W1850" s="159" t="s">
        <v>2138</v>
      </c>
      <c r="X1850" s="160">
        <v>0</v>
      </c>
      <c r="Y1850" s="160">
        <v>0</v>
      </c>
      <c r="Z1850" s="160">
        <v>0</v>
      </c>
      <c r="AA1850" s="160">
        <v>0</v>
      </c>
    </row>
    <row r="1851" spans="1:27" ht="18" customHeight="1" x14ac:dyDescent="0.25">
      <c r="A1851" s="159">
        <v>4294</v>
      </c>
      <c r="B1851" s="157" t="s">
        <v>29</v>
      </c>
      <c r="C1851" s="157" t="s">
        <v>69</v>
      </c>
      <c r="D1851" s="159" t="s">
        <v>72</v>
      </c>
      <c r="E1851" s="157" t="s">
        <v>70</v>
      </c>
      <c r="F1851" s="157"/>
      <c r="G1851" s="157" t="s">
        <v>1278</v>
      </c>
      <c r="H1851" s="157" t="s">
        <v>1514</v>
      </c>
      <c r="I1851" s="157" t="s">
        <v>8703</v>
      </c>
      <c r="J1851" s="157" t="s">
        <v>1296</v>
      </c>
      <c r="K1851" s="157" t="s">
        <v>1281</v>
      </c>
      <c r="L1851" s="157" t="s">
        <v>8319</v>
      </c>
      <c r="M1851" s="157" t="str">
        <f t="shared" si="38"/>
        <v>Hood Switch Left - Intrusion Detection</v>
      </c>
      <c r="N1851" s="157"/>
      <c r="O1851" s="157"/>
      <c r="P1851" s="159" t="s">
        <v>7655</v>
      </c>
      <c r="Q1851" s="157" t="s">
        <v>2115</v>
      </c>
      <c r="R1851" s="157" t="s">
        <v>8259</v>
      </c>
      <c r="S1851" s="157" t="s">
        <v>8614</v>
      </c>
      <c r="T1851" s="157"/>
      <c r="U1851" s="159" t="s">
        <v>2129</v>
      </c>
      <c r="V1851" s="159" t="s">
        <v>2138</v>
      </c>
      <c r="W1851" s="159" t="s">
        <v>2138</v>
      </c>
      <c r="X1851" s="160">
        <v>0</v>
      </c>
      <c r="Y1851" s="160">
        <v>0</v>
      </c>
      <c r="Z1851" s="160">
        <v>0</v>
      </c>
      <c r="AA1851" s="160">
        <v>0</v>
      </c>
    </row>
    <row r="1852" spans="1:27" ht="18" customHeight="1" x14ac:dyDescent="0.25">
      <c r="A1852" s="159">
        <v>4295</v>
      </c>
      <c r="B1852" s="157" t="s">
        <v>29</v>
      </c>
      <c r="C1852" s="157" t="s">
        <v>82</v>
      </c>
      <c r="D1852" s="159" t="s">
        <v>1101</v>
      </c>
      <c r="E1852" s="157" t="s">
        <v>1099</v>
      </c>
      <c r="F1852" s="157"/>
      <c r="G1852" s="157" t="s">
        <v>1278</v>
      </c>
      <c r="H1852" s="157" t="s">
        <v>1514</v>
      </c>
      <c r="I1852" s="157" t="s">
        <v>8703</v>
      </c>
      <c r="J1852" s="157" t="s">
        <v>1296</v>
      </c>
      <c r="K1852" s="157" t="s">
        <v>1281</v>
      </c>
      <c r="L1852" s="157" t="s">
        <v>8320</v>
      </c>
      <c r="M1852" s="157" t="str">
        <f t="shared" si="38"/>
        <v>Hood Switch Right - Intrusion Detection</v>
      </c>
      <c r="N1852" s="157"/>
      <c r="O1852" s="157"/>
      <c r="P1852" s="159" t="s">
        <v>2997</v>
      </c>
      <c r="Q1852" s="157" t="s">
        <v>2115</v>
      </c>
      <c r="R1852" s="157" t="s">
        <v>8259</v>
      </c>
      <c r="S1852" s="157" t="s">
        <v>8614</v>
      </c>
      <c r="T1852" s="157"/>
      <c r="U1852" s="159" t="s">
        <v>2129</v>
      </c>
      <c r="V1852" s="159" t="s">
        <v>2138</v>
      </c>
      <c r="W1852" s="159" t="s">
        <v>2138</v>
      </c>
      <c r="X1852" s="160">
        <v>0</v>
      </c>
      <c r="Y1852" s="160">
        <v>0</v>
      </c>
      <c r="Z1852" s="160">
        <v>0</v>
      </c>
      <c r="AA1852" s="160">
        <v>0</v>
      </c>
    </row>
    <row r="1853" spans="1:27" ht="18" customHeight="1" x14ac:dyDescent="0.25">
      <c r="A1853" s="159">
        <v>4295</v>
      </c>
      <c r="B1853" s="157" t="s">
        <v>29</v>
      </c>
      <c r="C1853" s="157" t="s">
        <v>69</v>
      </c>
      <c r="D1853" s="159" t="s">
        <v>72</v>
      </c>
      <c r="E1853" s="157" t="s">
        <v>70</v>
      </c>
      <c r="F1853" s="157"/>
      <c r="G1853" s="157" t="s">
        <v>1278</v>
      </c>
      <c r="H1853" s="157" t="s">
        <v>1514</v>
      </c>
      <c r="I1853" s="157" t="s">
        <v>8703</v>
      </c>
      <c r="J1853" s="157" t="s">
        <v>1296</v>
      </c>
      <c r="K1853" s="157" t="s">
        <v>1281</v>
      </c>
      <c r="L1853" s="157" t="s">
        <v>8320</v>
      </c>
      <c r="M1853" s="157" t="str">
        <f t="shared" si="38"/>
        <v>Hood Switch Right - Intrusion Detection</v>
      </c>
      <c r="N1853" s="157"/>
      <c r="O1853" s="157"/>
      <c r="P1853" s="159" t="s">
        <v>2997</v>
      </c>
      <c r="Q1853" s="157" t="s">
        <v>2115</v>
      </c>
      <c r="R1853" s="157" t="s">
        <v>8259</v>
      </c>
      <c r="S1853" s="157" t="s">
        <v>8614</v>
      </c>
      <c r="T1853" s="157"/>
      <c r="U1853" s="159" t="s">
        <v>2129</v>
      </c>
      <c r="V1853" s="159" t="s">
        <v>2138</v>
      </c>
      <c r="W1853" s="159" t="s">
        <v>2138</v>
      </c>
      <c r="X1853" s="160">
        <v>0</v>
      </c>
      <c r="Y1853" s="160">
        <v>0</v>
      </c>
      <c r="Z1853" s="160">
        <v>0</v>
      </c>
      <c r="AA1853" s="160">
        <v>0</v>
      </c>
    </row>
    <row r="1854" spans="1:27" ht="18" customHeight="1" x14ac:dyDescent="0.25">
      <c r="A1854" s="159">
        <v>4296</v>
      </c>
      <c r="B1854" s="157" t="s">
        <v>280</v>
      </c>
      <c r="C1854" s="157" t="s">
        <v>354</v>
      </c>
      <c r="D1854" s="159" t="s">
        <v>358</v>
      </c>
      <c r="E1854" s="157" t="s">
        <v>472</v>
      </c>
      <c r="F1854" s="157"/>
      <c r="G1854" s="157" t="s">
        <v>1265</v>
      </c>
      <c r="H1854" s="157" t="s">
        <v>1458</v>
      </c>
      <c r="I1854" s="157" t="s">
        <v>9586</v>
      </c>
      <c r="J1854" s="157" t="s">
        <v>8596</v>
      </c>
      <c r="K1854" s="157" t="s">
        <v>1269</v>
      </c>
      <c r="L1854" s="157" t="s">
        <v>8321</v>
      </c>
      <c r="M1854" s="157" t="str">
        <f t="shared" si="38"/>
        <v>Audio Amplifier - Amplifier</v>
      </c>
      <c r="N1854" s="157"/>
      <c r="O1854" s="157"/>
      <c r="P1854" s="159" t="s">
        <v>4122</v>
      </c>
      <c r="Q1854" s="157" t="s">
        <v>2115</v>
      </c>
      <c r="R1854" s="157" t="s">
        <v>8597</v>
      </c>
      <c r="S1854" s="157" t="s">
        <v>8637</v>
      </c>
      <c r="T1854" s="157"/>
      <c r="U1854" s="159" t="s">
        <v>2129</v>
      </c>
      <c r="V1854" s="159" t="s">
        <v>2138</v>
      </c>
      <c r="W1854" s="159" t="s">
        <v>2129</v>
      </c>
      <c r="X1854" s="160">
        <v>0.3</v>
      </c>
      <c r="Y1854" s="160">
        <v>0.3</v>
      </c>
      <c r="Z1854" s="160">
        <v>0.3</v>
      </c>
      <c r="AA1854" s="160">
        <v>0.3</v>
      </c>
    </row>
    <row r="1855" spans="1:27" ht="18" customHeight="1" x14ac:dyDescent="0.25">
      <c r="A1855" s="159">
        <v>4297</v>
      </c>
      <c r="B1855" s="157" t="s">
        <v>280</v>
      </c>
      <c r="C1855" s="157" t="s">
        <v>281</v>
      </c>
      <c r="D1855" s="159" t="s">
        <v>284</v>
      </c>
      <c r="E1855" s="157" t="s">
        <v>282</v>
      </c>
      <c r="F1855" s="157" t="s">
        <v>1264</v>
      </c>
      <c r="G1855" s="157" t="s">
        <v>1265</v>
      </c>
      <c r="H1855" s="157" t="s">
        <v>1458</v>
      </c>
      <c r="I1855" s="157" t="s">
        <v>1669</v>
      </c>
      <c r="J1855" s="157" t="s">
        <v>1285</v>
      </c>
      <c r="K1855" s="157" t="s">
        <v>1312</v>
      </c>
      <c r="L1855" s="157" t="s">
        <v>1762</v>
      </c>
      <c r="M1855" s="157" t="str">
        <f t="shared" si="38"/>
        <v>Microphone - Emergency Call</v>
      </c>
      <c r="N1855" s="157"/>
      <c r="O1855" s="157"/>
      <c r="P1855" s="159" t="s">
        <v>5749</v>
      </c>
      <c r="Q1855" s="157" t="s">
        <v>2115</v>
      </c>
      <c r="R1855" s="157" t="s">
        <v>2124</v>
      </c>
      <c r="S1855" s="157" t="s">
        <v>8608</v>
      </c>
      <c r="T1855" s="157"/>
      <c r="U1855" s="159" t="s">
        <v>2138</v>
      </c>
      <c r="V1855" s="159" t="s">
        <v>2138</v>
      </c>
      <c r="W1855" s="159" t="s">
        <v>2138</v>
      </c>
      <c r="X1855" s="160">
        <v>0</v>
      </c>
      <c r="Y1855" s="160">
        <v>0</v>
      </c>
      <c r="Z1855" s="160">
        <v>0</v>
      </c>
      <c r="AA1855" s="160">
        <v>0</v>
      </c>
    </row>
    <row r="1856" spans="1:27" ht="18" customHeight="1" x14ac:dyDescent="0.25">
      <c r="A1856" s="159">
        <v>4299</v>
      </c>
      <c r="B1856" s="157" t="s">
        <v>29</v>
      </c>
      <c r="C1856" s="157" t="s">
        <v>113</v>
      </c>
      <c r="D1856" s="159" t="s">
        <v>307</v>
      </c>
      <c r="E1856" s="157" t="s">
        <v>305</v>
      </c>
      <c r="F1856" s="157"/>
      <c r="G1856" s="157" t="s">
        <v>1265</v>
      </c>
      <c r="H1856" s="157" t="s">
        <v>1458</v>
      </c>
      <c r="I1856" s="157" t="s">
        <v>1323</v>
      </c>
      <c r="J1856" s="157" t="s">
        <v>1285</v>
      </c>
      <c r="K1856" s="157" t="s">
        <v>1269</v>
      </c>
      <c r="L1856" s="157" t="s">
        <v>2083</v>
      </c>
      <c r="M1856" s="157" t="str">
        <f t="shared" si="38"/>
        <v>Radio Head Unit und Information Electronics - Computing</v>
      </c>
      <c r="N1856" s="157"/>
      <c r="O1856" s="157"/>
      <c r="P1856" s="159" t="s">
        <v>5550</v>
      </c>
      <c r="Q1856" s="157" t="s">
        <v>2115</v>
      </c>
      <c r="R1856" s="157" t="s">
        <v>8595</v>
      </c>
      <c r="S1856" s="157" t="s">
        <v>8638</v>
      </c>
      <c r="T1856" s="157"/>
      <c r="U1856" s="159" t="s">
        <v>2129</v>
      </c>
      <c r="V1856" s="159" t="s">
        <v>2129</v>
      </c>
      <c r="W1856" s="159" t="s">
        <v>2138</v>
      </c>
      <c r="X1856" s="160">
        <v>1</v>
      </c>
      <c r="Y1856" s="160">
        <v>1</v>
      </c>
      <c r="Z1856" s="160">
        <v>1</v>
      </c>
      <c r="AA1856" s="160">
        <v>1</v>
      </c>
    </row>
    <row r="1857" spans="1:27" ht="18" customHeight="1" x14ac:dyDescent="0.25">
      <c r="A1857" s="159">
        <v>4299</v>
      </c>
      <c r="B1857" s="157" t="s">
        <v>29</v>
      </c>
      <c r="C1857" s="157" t="s">
        <v>113</v>
      </c>
      <c r="D1857" s="159" t="s">
        <v>932</v>
      </c>
      <c r="E1857" s="157" t="s">
        <v>930</v>
      </c>
      <c r="F1857" s="157"/>
      <c r="G1857" s="157" t="s">
        <v>1265</v>
      </c>
      <c r="H1857" s="157" t="s">
        <v>1458</v>
      </c>
      <c r="I1857" s="157" t="s">
        <v>1323</v>
      </c>
      <c r="J1857" s="157" t="s">
        <v>1285</v>
      </c>
      <c r="K1857" s="157" t="s">
        <v>1269</v>
      </c>
      <c r="L1857" s="157" t="s">
        <v>2083</v>
      </c>
      <c r="M1857" s="157" t="str">
        <f t="shared" si="38"/>
        <v>Radio Head Unit und Information Electronics - Computing</v>
      </c>
      <c r="N1857" s="157"/>
      <c r="O1857" s="157"/>
      <c r="P1857" s="159" t="s">
        <v>5550</v>
      </c>
      <c r="Q1857" s="157" t="s">
        <v>2115</v>
      </c>
      <c r="R1857" s="157" t="s">
        <v>8595</v>
      </c>
      <c r="S1857" s="157" t="s">
        <v>8638</v>
      </c>
      <c r="T1857" s="157"/>
      <c r="U1857" s="159" t="s">
        <v>2129</v>
      </c>
      <c r="V1857" s="159" t="s">
        <v>2129</v>
      </c>
      <c r="W1857" s="159" t="s">
        <v>2138</v>
      </c>
      <c r="X1857" s="160">
        <v>1</v>
      </c>
      <c r="Y1857" s="160">
        <v>1</v>
      </c>
      <c r="Z1857" s="160">
        <v>1</v>
      </c>
      <c r="AA1857" s="160">
        <v>1</v>
      </c>
    </row>
    <row r="1858" spans="1:27" ht="18" customHeight="1" x14ac:dyDescent="0.25">
      <c r="A1858" s="159">
        <v>4299</v>
      </c>
      <c r="B1858" s="157" t="s">
        <v>280</v>
      </c>
      <c r="C1858" s="157" t="s">
        <v>463</v>
      </c>
      <c r="D1858" s="159" t="s">
        <v>466</v>
      </c>
      <c r="E1858" s="157" t="s">
        <v>464</v>
      </c>
      <c r="F1858" s="157"/>
      <c r="G1858" s="157" t="s">
        <v>1265</v>
      </c>
      <c r="H1858" s="157" t="s">
        <v>1458</v>
      </c>
      <c r="I1858" s="157" t="s">
        <v>1323</v>
      </c>
      <c r="J1858" s="157" t="s">
        <v>1285</v>
      </c>
      <c r="K1858" s="157" t="s">
        <v>1269</v>
      </c>
      <c r="L1858" s="157" t="s">
        <v>2083</v>
      </c>
      <c r="M1858" s="157" t="str">
        <f t="shared" si="38"/>
        <v>Radio Head Unit und Information Electronics - Computing</v>
      </c>
      <c r="N1858" s="157"/>
      <c r="O1858" s="157"/>
      <c r="P1858" s="159" t="s">
        <v>5550</v>
      </c>
      <c r="Q1858" s="157" t="s">
        <v>2115</v>
      </c>
      <c r="R1858" s="157" t="s">
        <v>8594</v>
      </c>
      <c r="S1858" s="157" t="s">
        <v>8640</v>
      </c>
      <c r="T1858" s="157"/>
      <c r="U1858" s="159" t="s">
        <v>2138</v>
      </c>
      <c r="V1858" s="159" t="s">
        <v>2138</v>
      </c>
      <c r="W1858" s="159" t="s">
        <v>2138</v>
      </c>
      <c r="X1858" s="160">
        <v>0</v>
      </c>
      <c r="Y1858" s="160">
        <v>0</v>
      </c>
      <c r="Z1858" s="160">
        <v>0</v>
      </c>
      <c r="AA1858" s="160">
        <v>0</v>
      </c>
    </row>
    <row r="1859" spans="1:27" ht="18" customHeight="1" x14ac:dyDescent="0.25">
      <c r="A1859" s="159">
        <v>4299</v>
      </c>
      <c r="B1859" s="157" t="s">
        <v>280</v>
      </c>
      <c r="C1859" s="157" t="s">
        <v>463</v>
      </c>
      <c r="D1859" s="159" t="s">
        <v>720</v>
      </c>
      <c r="E1859" s="157" t="s">
        <v>718</v>
      </c>
      <c r="F1859" s="157"/>
      <c r="G1859" s="157" t="s">
        <v>1265</v>
      </c>
      <c r="H1859" s="157" t="s">
        <v>1458</v>
      </c>
      <c r="I1859" s="157" t="s">
        <v>1323</v>
      </c>
      <c r="J1859" s="157" t="s">
        <v>1285</v>
      </c>
      <c r="K1859" s="157" t="s">
        <v>1269</v>
      </c>
      <c r="L1859" s="157" t="s">
        <v>2083</v>
      </c>
      <c r="M1859" s="157" t="str">
        <f t="shared" si="38"/>
        <v>Radio Head Unit und Information Electronics - Computing</v>
      </c>
      <c r="N1859" s="157"/>
      <c r="O1859" s="157"/>
      <c r="P1859" s="159" t="s">
        <v>5550</v>
      </c>
      <c r="Q1859" s="157" t="s">
        <v>2115</v>
      </c>
      <c r="R1859" s="157" t="s">
        <v>8594</v>
      </c>
      <c r="S1859" s="157" t="s">
        <v>8640</v>
      </c>
      <c r="T1859" s="157"/>
      <c r="U1859" s="159" t="s">
        <v>2138</v>
      </c>
      <c r="V1859" s="159" t="s">
        <v>2138</v>
      </c>
      <c r="W1859" s="159" t="s">
        <v>2138</v>
      </c>
      <c r="X1859" s="160">
        <v>0</v>
      </c>
      <c r="Y1859" s="160">
        <v>0</v>
      </c>
      <c r="Z1859" s="160">
        <v>0</v>
      </c>
      <c r="AA1859" s="160">
        <v>0</v>
      </c>
    </row>
    <row r="1860" spans="1:27" ht="18" customHeight="1" x14ac:dyDescent="0.25">
      <c r="A1860" s="159">
        <v>4299</v>
      </c>
      <c r="B1860" s="157" t="s">
        <v>280</v>
      </c>
      <c r="C1860" s="157" t="s">
        <v>463</v>
      </c>
      <c r="D1860" s="159" t="s">
        <v>467</v>
      </c>
      <c r="E1860" s="157" t="s">
        <v>798</v>
      </c>
      <c r="F1860" s="157"/>
      <c r="G1860" s="157" t="s">
        <v>1265</v>
      </c>
      <c r="H1860" s="157" t="s">
        <v>1458</v>
      </c>
      <c r="I1860" s="157" t="s">
        <v>1323</v>
      </c>
      <c r="J1860" s="157" t="s">
        <v>1285</v>
      </c>
      <c r="K1860" s="157" t="s">
        <v>1269</v>
      </c>
      <c r="L1860" s="157" t="s">
        <v>2083</v>
      </c>
      <c r="M1860" s="157" t="str">
        <f t="shared" si="38"/>
        <v>Radio Head Unit und Information Electronics - Computing</v>
      </c>
      <c r="N1860" s="157"/>
      <c r="O1860" s="157"/>
      <c r="P1860" s="159" t="s">
        <v>5550</v>
      </c>
      <c r="Q1860" s="157" t="s">
        <v>2115</v>
      </c>
      <c r="R1860" s="157" t="s">
        <v>8594</v>
      </c>
      <c r="S1860" s="157" t="s">
        <v>8640</v>
      </c>
      <c r="T1860" s="157"/>
      <c r="U1860" s="159" t="s">
        <v>2138</v>
      </c>
      <c r="V1860" s="159" t="s">
        <v>2138</v>
      </c>
      <c r="W1860" s="159" t="s">
        <v>2138</v>
      </c>
      <c r="X1860" s="160">
        <v>0</v>
      </c>
      <c r="Y1860" s="160">
        <v>0</v>
      </c>
      <c r="Z1860" s="160">
        <v>0</v>
      </c>
      <c r="AA1860" s="160">
        <v>0</v>
      </c>
    </row>
    <row r="1861" spans="1:27" ht="18" customHeight="1" x14ac:dyDescent="0.25">
      <c r="A1861" s="159">
        <v>4299</v>
      </c>
      <c r="B1861" s="157" t="s">
        <v>280</v>
      </c>
      <c r="C1861" s="157" t="s">
        <v>354</v>
      </c>
      <c r="D1861" s="159" t="s">
        <v>1189</v>
      </c>
      <c r="E1861" s="157" t="s">
        <v>1187</v>
      </c>
      <c r="F1861" s="157"/>
      <c r="G1861" s="157" t="s">
        <v>1265</v>
      </c>
      <c r="H1861" s="157" t="s">
        <v>1458</v>
      </c>
      <c r="I1861" s="157" t="s">
        <v>1323</v>
      </c>
      <c r="J1861" s="157" t="s">
        <v>1285</v>
      </c>
      <c r="K1861" s="157" t="s">
        <v>1269</v>
      </c>
      <c r="L1861" s="157" t="s">
        <v>2083</v>
      </c>
      <c r="M1861" s="157" t="str">
        <f t="shared" si="38"/>
        <v>Radio Head Unit und Information Electronics - Computing</v>
      </c>
      <c r="N1861" s="157"/>
      <c r="O1861" s="157"/>
      <c r="P1861" s="159" t="s">
        <v>5550</v>
      </c>
      <c r="Q1861" s="157" t="s">
        <v>2115</v>
      </c>
      <c r="R1861" s="157" t="s">
        <v>8594</v>
      </c>
      <c r="S1861" s="157" t="s">
        <v>8640</v>
      </c>
      <c r="T1861" s="157"/>
      <c r="U1861" s="159" t="s">
        <v>2138</v>
      </c>
      <c r="V1861" s="159" t="s">
        <v>2138</v>
      </c>
      <c r="W1861" s="159" t="s">
        <v>2138</v>
      </c>
      <c r="X1861" s="160">
        <v>0</v>
      </c>
      <c r="Y1861" s="160">
        <v>0</v>
      </c>
      <c r="Z1861" s="160">
        <v>0</v>
      </c>
      <c r="AA1861" s="160">
        <v>0</v>
      </c>
    </row>
    <row r="1862" spans="1:27" ht="18" customHeight="1" x14ac:dyDescent="0.25">
      <c r="A1862" s="159">
        <v>4299</v>
      </c>
      <c r="B1862" s="157" t="s">
        <v>280</v>
      </c>
      <c r="C1862" s="157" t="s">
        <v>337</v>
      </c>
      <c r="D1862" s="159" t="s">
        <v>1088</v>
      </c>
      <c r="E1862" s="157" t="s">
        <v>1086</v>
      </c>
      <c r="F1862" s="157"/>
      <c r="G1862" s="157" t="s">
        <v>1265</v>
      </c>
      <c r="H1862" s="157" t="s">
        <v>1458</v>
      </c>
      <c r="I1862" s="157" t="s">
        <v>1323</v>
      </c>
      <c r="J1862" s="157" t="s">
        <v>1285</v>
      </c>
      <c r="K1862" s="157" t="s">
        <v>1269</v>
      </c>
      <c r="L1862" s="157" t="s">
        <v>2083</v>
      </c>
      <c r="M1862" s="157" t="str">
        <f t="shared" si="38"/>
        <v>Radio Head Unit und Information Electronics - Computing</v>
      </c>
      <c r="N1862" s="157"/>
      <c r="O1862" s="157"/>
      <c r="P1862" s="159" t="s">
        <v>5550</v>
      </c>
      <c r="Q1862" s="157" t="s">
        <v>2115</v>
      </c>
      <c r="R1862" s="157" t="s">
        <v>8595</v>
      </c>
      <c r="S1862" s="157" t="s">
        <v>8638</v>
      </c>
      <c r="T1862" s="157"/>
      <c r="U1862" s="159" t="s">
        <v>2129</v>
      </c>
      <c r="V1862" s="159" t="s">
        <v>2129</v>
      </c>
      <c r="W1862" s="159" t="s">
        <v>2138</v>
      </c>
      <c r="X1862" s="160">
        <v>1</v>
      </c>
      <c r="Y1862" s="160">
        <v>1</v>
      </c>
      <c r="Z1862" s="160">
        <v>1</v>
      </c>
      <c r="AA1862" s="160">
        <v>1</v>
      </c>
    </row>
    <row r="1863" spans="1:27" ht="18" customHeight="1" x14ac:dyDescent="0.25">
      <c r="A1863" s="159">
        <v>4299</v>
      </c>
      <c r="B1863" s="157" t="s">
        <v>318</v>
      </c>
      <c r="C1863" s="157" t="s">
        <v>433</v>
      </c>
      <c r="D1863" s="159" t="s">
        <v>1230</v>
      </c>
      <c r="E1863" s="157" t="s">
        <v>1228</v>
      </c>
      <c r="F1863" s="157"/>
      <c r="G1863" s="157" t="s">
        <v>1265</v>
      </c>
      <c r="H1863" s="157" t="s">
        <v>1458</v>
      </c>
      <c r="I1863" s="157" t="s">
        <v>1323</v>
      </c>
      <c r="J1863" s="157" t="s">
        <v>1285</v>
      </c>
      <c r="K1863" s="157" t="s">
        <v>1269</v>
      </c>
      <c r="L1863" s="157" t="s">
        <v>2083</v>
      </c>
      <c r="M1863" s="157" t="str">
        <f t="shared" si="38"/>
        <v>Radio Head Unit und Information Electronics - Computing</v>
      </c>
      <c r="N1863" s="157"/>
      <c r="O1863" s="157"/>
      <c r="P1863" s="159" t="s">
        <v>5550</v>
      </c>
      <c r="Q1863" s="157" t="s">
        <v>2115</v>
      </c>
      <c r="R1863" s="157" t="s">
        <v>8594</v>
      </c>
      <c r="S1863" s="157" t="s">
        <v>8640</v>
      </c>
      <c r="T1863" s="157"/>
      <c r="U1863" s="159" t="s">
        <v>2138</v>
      </c>
      <c r="V1863" s="159" t="s">
        <v>2138</v>
      </c>
      <c r="W1863" s="159" t="s">
        <v>2138</v>
      </c>
      <c r="X1863" s="160">
        <v>0</v>
      </c>
      <c r="Y1863" s="160">
        <v>0</v>
      </c>
      <c r="Z1863" s="160">
        <v>0</v>
      </c>
      <c r="AA1863" s="160">
        <v>0</v>
      </c>
    </row>
    <row r="1864" spans="1:27" ht="18" customHeight="1" x14ac:dyDescent="0.25">
      <c r="A1864" s="159">
        <v>4304</v>
      </c>
      <c r="B1864" s="157"/>
      <c r="C1864" s="157"/>
      <c r="D1864" s="159"/>
      <c r="E1864" s="157"/>
      <c r="F1864" s="157"/>
      <c r="G1864" s="157" t="s">
        <v>1265</v>
      </c>
      <c r="H1864" s="157" t="s">
        <v>1763</v>
      </c>
      <c r="I1864" s="157" t="s">
        <v>1323</v>
      </c>
      <c r="J1864" s="157" t="s">
        <v>1285</v>
      </c>
      <c r="K1864" s="157" t="s">
        <v>1269</v>
      </c>
      <c r="L1864" s="157" t="s">
        <v>2083</v>
      </c>
      <c r="M1864" s="157" t="str">
        <f t="shared" si="38"/>
        <v>Radio Head Unit und Information Electronics - Computing</v>
      </c>
      <c r="N1864" s="157"/>
      <c r="O1864" s="157"/>
      <c r="P1864" s="159"/>
      <c r="Q1864" s="157"/>
      <c r="R1864" s="157"/>
      <c r="S1864" s="157"/>
      <c r="T1864" s="157"/>
      <c r="U1864" s="159"/>
      <c r="V1864" s="159"/>
      <c r="W1864" s="159"/>
      <c r="X1864" s="160"/>
      <c r="Y1864" s="160"/>
      <c r="Z1864" s="160"/>
      <c r="AA1864" s="160"/>
    </row>
    <row r="1865" spans="1:27" ht="18" customHeight="1" x14ac:dyDescent="0.25">
      <c r="A1865" s="159">
        <v>4305</v>
      </c>
      <c r="B1865" s="157" t="s">
        <v>63</v>
      </c>
      <c r="C1865" s="157" t="s">
        <v>224</v>
      </c>
      <c r="D1865" s="159" t="s">
        <v>1192</v>
      </c>
      <c r="E1865" s="157" t="s">
        <v>1190</v>
      </c>
      <c r="F1865" s="157" t="s">
        <v>1264</v>
      </c>
      <c r="G1865" s="157" t="s">
        <v>1265</v>
      </c>
      <c r="H1865" s="157" t="s">
        <v>1271</v>
      </c>
      <c r="I1865" s="157" t="s">
        <v>1764</v>
      </c>
      <c r="J1865" s="157" t="s">
        <v>1276</v>
      </c>
      <c r="K1865" s="157" t="s">
        <v>1312</v>
      </c>
      <c r="L1865" s="157" t="s">
        <v>2081</v>
      </c>
      <c r="M1865" s="157" t="str">
        <f t="shared" si="38"/>
        <v>Microphone Left - Voice Capturing</v>
      </c>
      <c r="N1865" s="157"/>
      <c r="O1865" s="157"/>
      <c r="P1865" s="159" t="s">
        <v>6026</v>
      </c>
      <c r="Q1865" s="157" t="s">
        <v>2115</v>
      </c>
      <c r="R1865" s="157" t="s">
        <v>2124</v>
      </c>
      <c r="S1865" s="157" t="s">
        <v>8608</v>
      </c>
      <c r="T1865" s="157"/>
      <c r="U1865" s="159" t="s">
        <v>2129</v>
      </c>
      <c r="V1865" s="159" t="s">
        <v>2138</v>
      </c>
      <c r="W1865" s="159" t="s">
        <v>2138</v>
      </c>
      <c r="X1865" s="160">
        <v>1</v>
      </c>
      <c r="Y1865" s="160">
        <v>1</v>
      </c>
      <c r="Z1865" s="160">
        <v>1</v>
      </c>
      <c r="AA1865" s="160">
        <v>1</v>
      </c>
    </row>
    <row r="1866" spans="1:27" ht="18" customHeight="1" x14ac:dyDescent="0.25">
      <c r="A1866" s="159">
        <v>4305</v>
      </c>
      <c r="B1866" s="157" t="s">
        <v>280</v>
      </c>
      <c r="C1866" s="157" t="s">
        <v>505</v>
      </c>
      <c r="D1866" s="159" t="s">
        <v>833</v>
      </c>
      <c r="E1866" s="157" t="s">
        <v>831</v>
      </c>
      <c r="F1866" s="157" t="s">
        <v>1264</v>
      </c>
      <c r="G1866" s="157" t="s">
        <v>1265</v>
      </c>
      <c r="H1866" s="157" t="s">
        <v>1271</v>
      </c>
      <c r="I1866" s="157" t="s">
        <v>1764</v>
      </c>
      <c r="J1866" s="157" t="s">
        <v>1276</v>
      </c>
      <c r="K1866" s="157" t="s">
        <v>1312</v>
      </c>
      <c r="L1866" s="157" t="s">
        <v>2081</v>
      </c>
      <c r="M1866" s="157" t="str">
        <f t="shared" ref="M1866:M1929" si="39">CONCATENATE(L1866," - ",I1866)</f>
        <v>Microphone Left - Voice Capturing</v>
      </c>
      <c r="N1866" s="157"/>
      <c r="O1866" s="157"/>
      <c r="P1866" s="159" t="s">
        <v>6026</v>
      </c>
      <c r="Q1866" s="157" t="s">
        <v>2115</v>
      </c>
      <c r="R1866" s="157" t="s">
        <v>2124</v>
      </c>
      <c r="S1866" s="157" t="s">
        <v>8608</v>
      </c>
      <c r="T1866" s="157"/>
      <c r="U1866" s="159" t="s">
        <v>2129</v>
      </c>
      <c r="V1866" s="159" t="s">
        <v>2138</v>
      </c>
      <c r="W1866" s="159" t="s">
        <v>2138</v>
      </c>
      <c r="X1866" s="160">
        <v>1</v>
      </c>
      <c r="Y1866" s="160">
        <v>1</v>
      </c>
      <c r="Z1866" s="160">
        <v>1</v>
      </c>
      <c r="AA1866" s="160">
        <v>1</v>
      </c>
    </row>
    <row r="1867" spans="1:27" ht="18" customHeight="1" x14ac:dyDescent="0.25">
      <c r="A1867" s="159">
        <v>4305</v>
      </c>
      <c r="B1867" s="157" t="s">
        <v>280</v>
      </c>
      <c r="C1867" s="157" t="s">
        <v>505</v>
      </c>
      <c r="D1867" s="159" t="s">
        <v>837</v>
      </c>
      <c r="E1867" s="157" t="s">
        <v>835</v>
      </c>
      <c r="F1867" s="157" t="s">
        <v>1264</v>
      </c>
      <c r="G1867" s="157" t="s">
        <v>1265</v>
      </c>
      <c r="H1867" s="157" t="s">
        <v>1271</v>
      </c>
      <c r="I1867" s="157" t="s">
        <v>1764</v>
      </c>
      <c r="J1867" s="157" t="s">
        <v>1276</v>
      </c>
      <c r="K1867" s="157" t="s">
        <v>1312</v>
      </c>
      <c r="L1867" s="157" t="s">
        <v>2081</v>
      </c>
      <c r="M1867" s="157" t="str">
        <f t="shared" si="39"/>
        <v>Microphone Left - Voice Capturing</v>
      </c>
      <c r="N1867" s="157"/>
      <c r="O1867" s="157"/>
      <c r="P1867" s="159" t="s">
        <v>6026</v>
      </c>
      <c r="Q1867" s="157" t="s">
        <v>2115</v>
      </c>
      <c r="R1867" s="157" t="s">
        <v>2124</v>
      </c>
      <c r="S1867" s="157" t="s">
        <v>8608</v>
      </c>
      <c r="T1867" s="157"/>
      <c r="U1867" s="159" t="s">
        <v>2129</v>
      </c>
      <c r="V1867" s="159" t="s">
        <v>2138</v>
      </c>
      <c r="W1867" s="159" t="s">
        <v>2138</v>
      </c>
      <c r="X1867" s="160">
        <v>1</v>
      </c>
      <c r="Y1867" s="160">
        <v>1</v>
      </c>
      <c r="Z1867" s="160">
        <v>1</v>
      </c>
      <c r="AA1867" s="160">
        <v>1</v>
      </c>
    </row>
    <row r="1868" spans="1:27" ht="18" customHeight="1" x14ac:dyDescent="0.25">
      <c r="A1868" s="159">
        <v>4306</v>
      </c>
      <c r="B1868" s="157" t="s">
        <v>63</v>
      </c>
      <c r="C1868" s="157" t="s">
        <v>224</v>
      </c>
      <c r="D1868" s="159" t="s">
        <v>1192</v>
      </c>
      <c r="E1868" s="157" t="s">
        <v>1190</v>
      </c>
      <c r="F1868" s="157" t="s">
        <v>1264</v>
      </c>
      <c r="G1868" s="157" t="s">
        <v>1265</v>
      </c>
      <c r="H1868" s="157" t="s">
        <v>1271</v>
      </c>
      <c r="I1868" s="157" t="s">
        <v>1764</v>
      </c>
      <c r="J1868" s="157" t="s">
        <v>1276</v>
      </c>
      <c r="K1868" s="157" t="s">
        <v>1312</v>
      </c>
      <c r="L1868" s="157" t="s">
        <v>2082</v>
      </c>
      <c r="M1868" s="157" t="str">
        <f t="shared" si="39"/>
        <v>Microphone Right - Voice Capturing</v>
      </c>
      <c r="N1868" s="157"/>
      <c r="O1868" s="157"/>
      <c r="P1868" s="159" t="s">
        <v>6026</v>
      </c>
      <c r="Q1868" s="157" t="s">
        <v>2115</v>
      </c>
      <c r="R1868" s="157" t="s">
        <v>2124</v>
      </c>
      <c r="S1868" s="157" t="s">
        <v>8608</v>
      </c>
      <c r="T1868" s="157"/>
      <c r="U1868" s="159" t="s">
        <v>2129</v>
      </c>
      <c r="V1868" s="159" t="s">
        <v>2138</v>
      </c>
      <c r="W1868" s="159" t="s">
        <v>2138</v>
      </c>
      <c r="X1868" s="160">
        <v>1</v>
      </c>
      <c r="Y1868" s="160">
        <v>1</v>
      </c>
      <c r="Z1868" s="160">
        <v>1</v>
      </c>
      <c r="AA1868" s="160">
        <v>1</v>
      </c>
    </row>
    <row r="1869" spans="1:27" ht="18" customHeight="1" x14ac:dyDescent="0.25">
      <c r="A1869" s="159">
        <v>4306</v>
      </c>
      <c r="B1869" s="157" t="s">
        <v>280</v>
      </c>
      <c r="C1869" s="157" t="s">
        <v>505</v>
      </c>
      <c r="D1869" s="159" t="s">
        <v>833</v>
      </c>
      <c r="E1869" s="157" t="s">
        <v>831</v>
      </c>
      <c r="F1869" s="157" t="s">
        <v>1264</v>
      </c>
      <c r="G1869" s="157" t="s">
        <v>1265</v>
      </c>
      <c r="H1869" s="157" t="s">
        <v>1271</v>
      </c>
      <c r="I1869" s="157" t="s">
        <v>1764</v>
      </c>
      <c r="J1869" s="157" t="s">
        <v>1276</v>
      </c>
      <c r="K1869" s="157" t="s">
        <v>1312</v>
      </c>
      <c r="L1869" s="157" t="s">
        <v>2082</v>
      </c>
      <c r="M1869" s="157" t="str">
        <f t="shared" si="39"/>
        <v>Microphone Right - Voice Capturing</v>
      </c>
      <c r="N1869" s="157"/>
      <c r="O1869" s="157"/>
      <c r="P1869" s="159" t="s">
        <v>6026</v>
      </c>
      <c r="Q1869" s="157" t="s">
        <v>2115</v>
      </c>
      <c r="R1869" s="157" t="s">
        <v>2124</v>
      </c>
      <c r="S1869" s="157" t="s">
        <v>8608</v>
      </c>
      <c r="T1869" s="157"/>
      <c r="U1869" s="159" t="s">
        <v>2129</v>
      </c>
      <c r="V1869" s="159" t="s">
        <v>2138</v>
      </c>
      <c r="W1869" s="159" t="s">
        <v>2138</v>
      </c>
      <c r="X1869" s="160">
        <v>1</v>
      </c>
      <c r="Y1869" s="160">
        <v>1</v>
      </c>
      <c r="Z1869" s="160">
        <v>1</v>
      </c>
      <c r="AA1869" s="160">
        <v>1</v>
      </c>
    </row>
    <row r="1870" spans="1:27" ht="18" customHeight="1" x14ac:dyDescent="0.25">
      <c r="A1870" s="159">
        <v>4306</v>
      </c>
      <c r="B1870" s="157" t="s">
        <v>280</v>
      </c>
      <c r="C1870" s="157" t="s">
        <v>505</v>
      </c>
      <c r="D1870" s="159" t="s">
        <v>837</v>
      </c>
      <c r="E1870" s="157" t="s">
        <v>835</v>
      </c>
      <c r="F1870" s="157" t="s">
        <v>1264</v>
      </c>
      <c r="G1870" s="157" t="s">
        <v>1265</v>
      </c>
      <c r="H1870" s="157" t="s">
        <v>1271</v>
      </c>
      <c r="I1870" s="157" t="s">
        <v>1764</v>
      </c>
      <c r="J1870" s="157" t="s">
        <v>1276</v>
      </c>
      <c r="K1870" s="157" t="s">
        <v>1312</v>
      </c>
      <c r="L1870" s="157" t="s">
        <v>2082</v>
      </c>
      <c r="M1870" s="157" t="str">
        <f t="shared" si="39"/>
        <v>Microphone Right - Voice Capturing</v>
      </c>
      <c r="N1870" s="157"/>
      <c r="O1870" s="157"/>
      <c r="P1870" s="159" t="s">
        <v>6026</v>
      </c>
      <c r="Q1870" s="157" t="s">
        <v>2115</v>
      </c>
      <c r="R1870" s="157" t="s">
        <v>2124</v>
      </c>
      <c r="S1870" s="157" t="s">
        <v>8608</v>
      </c>
      <c r="T1870" s="157"/>
      <c r="U1870" s="159" t="s">
        <v>2129</v>
      </c>
      <c r="V1870" s="159" t="s">
        <v>2138</v>
      </c>
      <c r="W1870" s="159" t="s">
        <v>2138</v>
      </c>
      <c r="X1870" s="160">
        <v>1</v>
      </c>
      <c r="Y1870" s="160">
        <v>1</v>
      </c>
      <c r="Z1870" s="160">
        <v>1</v>
      </c>
      <c r="AA1870" s="160">
        <v>1</v>
      </c>
    </row>
    <row r="1871" spans="1:27" ht="18" customHeight="1" x14ac:dyDescent="0.25">
      <c r="A1871" s="159">
        <v>4307</v>
      </c>
      <c r="B1871" s="157"/>
      <c r="C1871" s="157"/>
      <c r="D1871" s="159"/>
      <c r="E1871" s="157"/>
      <c r="F1871" s="157"/>
      <c r="G1871" s="157" t="s">
        <v>1321</v>
      </c>
      <c r="H1871" s="157" t="s">
        <v>1648</v>
      </c>
      <c r="I1871" s="157" t="s">
        <v>9547</v>
      </c>
      <c r="J1871" s="157" t="s">
        <v>1649</v>
      </c>
      <c r="K1871" s="157" t="s">
        <v>1269</v>
      </c>
      <c r="L1871" s="157" t="s">
        <v>8422</v>
      </c>
      <c r="M1871" s="157" t="str">
        <f t="shared" si="39"/>
        <v>Magnetic Valve for Engine Mounting Left - Hydraulic Vibration Damping</v>
      </c>
      <c r="N1871" s="157"/>
      <c r="O1871" s="157"/>
      <c r="P1871" s="159"/>
      <c r="Q1871" s="157"/>
      <c r="R1871" s="157"/>
      <c r="S1871" s="157"/>
      <c r="T1871" s="157"/>
      <c r="U1871" s="159"/>
      <c r="V1871" s="159"/>
      <c r="W1871" s="159"/>
      <c r="X1871" s="160"/>
      <c r="Y1871" s="160"/>
      <c r="Z1871" s="160"/>
      <c r="AA1871" s="160"/>
    </row>
    <row r="1872" spans="1:27" ht="18" customHeight="1" x14ac:dyDescent="0.25">
      <c r="A1872" s="159">
        <v>4308</v>
      </c>
      <c r="B1872" s="157"/>
      <c r="C1872" s="157"/>
      <c r="D1872" s="159"/>
      <c r="E1872" s="157"/>
      <c r="F1872" s="157"/>
      <c r="G1872" s="157" t="s">
        <v>1321</v>
      </c>
      <c r="H1872" s="157" t="s">
        <v>1648</v>
      </c>
      <c r="I1872" s="157" t="s">
        <v>9547</v>
      </c>
      <c r="J1872" s="157" t="s">
        <v>1649</v>
      </c>
      <c r="K1872" s="157" t="s">
        <v>1269</v>
      </c>
      <c r="L1872" s="157" t="s">
        <v>8423</v>
      </c>
      <c r="M1872" s="157" t="str">
        <f t="shared" si="39"/>
        <v>Magnetic Valve for Engine Mounting Right - Hydraulic Vibration Damping</v>
      </c>
      <c r="N1872" s="157"/>
      <c r="O1872" s="157"/>
      <c r="P1872" s="159"/>
      <c r="Q1872" s="157"/>
      <c r="R1872" s="157"/>
      <c r="S1872" s="157"/>
      <c r="T1872" s="157"/>
      <c r="U1872" s="159"/>
      <c r="V1872" s="159"/>
      <c r="W1872" s="159"/>
      <c r="X1872" s="160"/>
      <c r="Y1872" s="160"/>
      <c r="Z1872" s="160"/>
      <c r="AA1872" s="160"/>
    </row>
    <row r="1873" spans="1:27" ht="18" customHeight="1" x14ac:dyDescent="0.25">
      <c r="A1873" s="159">
        <v>4309</v>
      </c>
      <c r="B1873" s="157" t="s">
        <v>57</v>
      </c>
      <c r="C1873" s="157" t="s">
        <v>349</v>
      </c>
      <c r="D1873" s="159" t="s">
        <v>8443</v>
      </c>
      <c r="E1873" s="157" t="s">
        <v>8447</v>
      </c>
      <c r="F1873" s="157" t="s">
        <v>1381</v>
      </c>
      <c r="G1873" s="157" t="s">
        <v>1321</v>
      </c>
      <c r="H1873" s="157" t="s">
        <v>2022</v>
      </c>
      <c r="I1873" s="157" t="s">
        <v>1529</v>
      </c>
      <c r="J1873" s="157" t="s">
        <v>1649</v>
      </c>
      <c r="K1873" s="157" t="s">
        <v>1269</v>
      </c>
      <c r="L1873" s="157" t="s">
        <v>8440</v>
      </c>
      <c r="M1873" s="157" t="str">
        <f t="shared" si="39"/>
        <v>Cooling Fan Motor 2x600W - Radiator Ventilation</v>
      </c>
      <c r="N1873" s="157"/>
      <c r="O1873" s="157"/>
      <c r="P1873" s="159" t="s">
        <v>3428</v>
      </c>
      <c r="Q1873" s="157" t="s">
        <v>2115</v>
      </c>
      <c r="R1873" s="157" t="s">
        <v>2117</v>
      </c>
      <c r="S1873" s="157" t="s">
        <v>8622</v>
      </c>
      <c r="T1873" s="157"/>
      <c r="U1873" s="159" t="s">
        <v>2129</v>
      </c>
      <c r="V1873" s="159" t="s">
        <v>2129</v>
      </c>
      <c r="W1873" s="159" t="s">
        <v>2138</v>
      </c>
      <c r="X1873" s="160">
        <v>0.8</v>
      </c>
      <c r="Y1873" s="160">
        <v>0.3</v>
      </c>
      <c r="Z1873" s="160">
        <v>0.6</v>
      </c>
      <c r="AA1873" s="160">
        <v>0.4</v>
      </c>
    </row>
    <row r="1874" spans="1:27" ht="18" customHeight="1" x14ac:dyDescent="0.25">
      <c r="A1874" s="159">
        <v>4311</v>
      </c>
      <c r="B1874" s="157" t="s">
        <v>280</v>
      </c>
      <c r="C1874" s="157" t="s">
        <v>354</v>
      </c>
      <c r="D1874" s="159" t="s">
        <v>1042</v>
      </c>
      <c r="E1874" s="157" t="s">
        <v>1040</v>
      </c>
      <c r="F1874" s="157" t="s">
        <v>1010</v>
      </c>
      <c r="G1874" s="157" t="s">
        <v>1265</v>
      </c>
      <c r="H1874" s="157" t="s">
        <v>1458</v>
      </c>
      <c r="I1874" s="157" t="s">
        <v>1721</v>
      </c>
      <c r="J1874" s="157" t="s">
        <v>1713</v>
      </c>
      <c r="K1874" s="157" t="s">
        <v>1480</v>
      </c>
      <c r="L1874" s="157" t="s">
        <v>1765</v>
      </c>
      <c r="M1874" s="157" t="str">
        <f t="shared" si="39"/>
        <v>Loudspeaker - Door Front Right - Mid Range Speaker</v>
      </c>
      <c r="N1874" s="157"/>
      <c r="O1874" s="157"/>
      <c r="P1874" s="159" t="s">
        <v>3789</v>
      </c>
      <c r="Q1874" s="157" t="s">
        <v>2115</v>
      </c>
      <c r="R1874" s="157" t="s">
        <v>2121</v>
      </c>
      <c r="S1874" s="157" t="s">
        <v>8632</v>
      </c>
      <c r="T1874" s="157"/>
      <c r="U1874" s="159" t="s">
        <v>2129</v>
      </c>
      <c r="V1874" s="159" t="s">
        <v>2129</v>
      </c>
      <c r="W1874" s="159" t="s">
        <v>2138</v>
      </c>
      <c r="X1874" s="160">
        <v>0.25</v>
      </c>
      <c r="Y1874" s="160">
        <v>0.35</v>
      </c>
      <c r="Z1874" s="160">
        <v>0.4</v>
      </c>
      <c r="AA1874" s="160">
        <v>0.3</v>
      </c>
    </row>
    <row r="1875" spans="1:27" ht="18" customHeight="1" x14ac:dyDescent="0.25">
      <c r="A1875" s="159">
        <v>4311</v>
      </c>
      <c r="B1875" s="157" t="s">
        <v>280</v>
      </c>
      <c r="C1875" s="157" t="s">
        <v>354</v>
      </c>
      <c r="D1875" s="159" t="s">
        <v>1189</v>
      </c>
      <c r="E1875" s="157" t="s">
        <v>1187</v>
      </c>
      <c r="F1875" s="157" t="s">
        <v>1264</v>
      </c>
      <c r="G1875" s="157" t="s">
        <v>1265</v>
      </c>
      <c r="H1875" s="157" t="s">
        <v>1458</v>
      </c>
      <c r="I1875" s="157" t="s">
        <v>1721</v>
      </c>
      <c r="J1875" s="157" t="s">
        <v>1713</v>
      </c>
      <c r="K1875" s="157" t="s">
        <v>1480</v>
      </c>
      <c r="L1875" s="157" t="s">
        <v>1765</v>
      </c>
      <c r="M1875" s="157" t="str">
        <f t="shared" si="39"/>
        <v>Loudspeaker - Door Front Right - Mid Range Speaker</v>
      </c>
      <c r="N1875" s="157"/>
      <c r="O1875" s="157"/>
      <c r="P1875" s="159" t="s">
        <v>3789</v>
      </c>
      <c r="Q1875" s="157" t="s">
        <v>2115</v>
      </c>
      <c r="R1875" s="157" t="s">
        <v>2121</v>
      </c>
      <c r="S1875" s="157" t="s">
        <v>8632</v>
      </c>
      <c r="T1875" s="157"/>
      <c r="U1875" s="159" t="s">
        <v>2129</v>
      </c>
      <c r="V1875" s="159" t="s">
        <v>2129</v>
      </c>
      <c r="W1875" s="159" t="s">
        <v>2138</v>
      </c>
      <c r="X1875" s="160">
        <v>0.25</v>
      </c>
      <c r="Y1875" s="160">
        <v>0.35</v>
      </c>
      <c r="Z1875" s="160">
        <v>0.4</v>
      </c>
      <c r="AA1875" s="160">
        <v>0.3</v>
      </c>
    </row>
    <row r="1876" spans="1:27" ht="18" customHeight="1" x14ac:dyDescent="0.25">
      <c r="A1876" s="159">
        <v>4312</v>
      </c>
      <c r="B1876" s="157" t="s">
        <v>77</v>
      </c>
      <c r="C1876" s="157" t="s">
        <v>149</v>
      </c>
      <c r="D1876" s="159" t="s">
        <v>584</v>
      </c>
      <c r="E1876" s="157" t="s">
        <v>582</v>
      </c>
      <c r="F1876" s="157" t="s">
        <v>1264</v>
      </c>
      <c r="G1876" s="157" t="s">
        <v>1278</v>
      </c>
      <c r="H1876" s="157" t="s">
        <v>1283</v>
      </c>
      <c r="I1876" s="157" t="s">
        <v>1427</v>
      </c>
      <c r="J1876" s="157" t="s">
        <v>1428</v>
      </c>
      <c r="K1876" s="157" t="s">
        <v>1269</v>
      </c>
      <c r="L1876" s="157" t="s">
        <v>1286</v>
      </c>
      <c r="M1876" s="157" t="str">
        <f t="shared" si="39"/>
        <v>LED Lamp - Vanity Mirror Illumination FL</v>
      </c>
      <c r="N1876" s="157"/>
      <c r="O1876" s="157"/>
      <c r="P1876" s="159" t="s">
        <v>7085</v>
      </c>
      <c r="Q1876" s="157" t="s">
        <v>2115</v>
      </c>
      <c r="R1876" s="157" t="s">
        <v>8566</v>
      </c>
      <c r="S1876" s="157" t="s">
        <v>8611</v>
      </c>
      <c r="T1876" s="157"/>
      <c r="U1876" s="159" t="s">
        <v>2129</v>
      </c>
      <c r="V1876" s="159" t="s">
        <v>2138</v>
      </c>
      <c r="W1876" s="159" t="s">
        <v>2138</v>
      </c>
      <c r="X1876" s="160">
        <v>0.05</v>
      </c>
      <c r="Y1876" s="160">
        <v>0.05</v>
      </c>
      <c r="Z1876" s="160">
        <v>0.05</v>
      </c>
      <c r="AA1876" s="160">
        <v>0.05</v>
      </c>
    </row>
    <row r="1877" spans="1:27" ht="18" customHeight="1" x14ac:dyDescent="0.25">
      <c r="A1877" s="159">
        <v>4313</v>
      </c>
      <c r="B1877" s="157" t="s">
        <v>77</v>
      </c>
      <c r="C1877" s="157" t="s">
        <v>149</v>
      </c>
      <c r="D1877" s="159" t="s">
        <v>584</v>
      </c>
      <c r="E1877" s="157" t="s">
        <v>582</v>
      </c>
      <c r="F1877" s="157" t="s">
        <v>1264</v>
      </c>
      <c r="G1877" s="157" t="s">
        <v>1278</v>
      </c>
      <c r="H1877" s="157" t="s">
        <v>1283</v>
      </c>
      <c r="I1877" s="157" t="s">
        <v>1429</v>
      </c>
      <c r="J1877" s="157" t="s">
        <v>1428</v>
      </c>
      <c r="K1877" s="157" t="s">
        <v>1269</v>
      </c>
      <c r="L1877" s="157" t="s">
        <v>1286</v>
      </c>
      <c r="M1877" s="157" t="str">
        <f t="shared" si="39"/>
        <v>LED Lamp - Vanity Mirror Illumination FR</v>
      </c>
      <c r="N1877" s="157"/>
      <c r="O1877" s="157"/>
      <c r="P1877" s="159" t="s">
        <v>4447</v>
      </c>
      <c r="Q1877" s="157" t="s">
        <v>2115</v>
      </c>
      <c r="R1877" s="157" t="s">
        <v>8566</v>
      </c>
      <c r="S1877" s="157" t="s">
        <v>8611</v>
      </c>
      <c r="T1877" s="157"/>
      <c r="U1877" s="159" t="s">
        <v>2138</v>
      </c>
      <c r="V1877" s="159" t="s">
        <v>2138</v>
      </c>
      <c r="W1877" s="159" t="s">
        <v>2138</v>
      </c>
      <c r="X1877" s="160">
        <v>0.05</v>
      </c>
      <c r="Y1877" s="160">
        <v>0.05</v>
      </c>
      <c r="Z1877" s="160">
        <v>0.05</v>
      </c>
      <c r="AA1877" s="160">
        <v>0.05</v>
      </c>
    </row>
    <row r="1878" spans="1:27" ht="18" customHeight="1" x14ac:dyDescent="0.25">
      <c r="A1878" s="159">
        <v>4316</v>
      </c>
      <c r="B1878" s="157"/>
      <c r="C1878" s="157"/>
      <c r="D1878" s="159"/>
      <c r="E1878" s="157"/>
      <c r="F1878" s="157"/>
      <c r="G1878" s="157" t="s">
        <v>1278</v>
      </c>
      <c r="H1878" s="157" t="s">
        <v>1344</v>
      </c>
      <c r="I1878" s="157" t="s">
        <v>8713</v>
      </c>
      <c r="J1878" s="157"/>
      <c r="K1878" s="157" t="s">
        <v>1269</v>
      </c>
      <c r="L1878" s="157" t="s">
        <v>8712</v>
      </c>
      <c r="M1878" s="157" t="str">
        <f t="shared" si="39"/>
        <v>Near Field Communication Unit - Driver Door - Key Recogniton and User Hand Detection</v>
      </c>
      <c r="N1878" s="157"/>
      <c r="O1878" s="157"/>
      <c r="P1878" s="159" t="s">
        <v>8181</v>
      </c>
      <c r="Q1878" s="157" t="s">
        <v>2115</v>
      </c>
      <c r="R1878" s="157" t="s">
        <v>8699</v>
      </c>
      <c r="S1878" s="157" t="s">
        <v>8700</v>
      </c>
      <c r="T1878" s="157"/>
      <c r="U1878" s="159" t="s">
        <v>2129</v>
      </c>
      <c r="V1878" s="159" t="s">
        <v>2129</v>
      </c>
      <c r="W1878" s="159" t="s">
        <v>2138</v>
      </c>
      <c r="X1878" s="160">
        <v>0</v>
      </c>
      <c r="Y1878" s="160">
        <v>0</v>
      </c>
      <c r="Z1878" s="160">
        <v>0</v>
      </c>
      <c r="AA1878" s="160">
        <v>0</v>
      </c>
    </row>
    <row r="1879" spans="1:27" ht="18" customHeight="1" x14ac:dyDescent="0.25">
      <c r="A1879" s="159">
        <v>4317</v>
      </c>
      <c r="B1879" s="157"/>
      <c r="C1879" s="157"/>
      <c r="D1879" s="159"/>
      <c r="E1879" s="157"/>
      <c r="F1879" s="157"/>
      <c r="G1879" s="157" t="s">
        <v>1278</v>
      </c>
      <c r="H1879" s="157" t="s">
        <v>1344</v>
      </c>
      <c r="I1879" s="157" t="s">
        <v>8713</v>
      </c>
      <c r="J1879" s="157"/>
      <c r="K1879" s="157" t="s">
        <v>1269</v>
      </c>
      <c r="L1879" s="157" t="s">
        <v>8714</v>
      </c>
      <c r="M1879" s="157" t="str">
        <f t="shared" si="39"/>
        <v>Near Field Communication Unit - Passenger Door - Key Recogniton and User Hand Detection</v>
      </c>
      <c r="N1879" s="157"/>
      <c r="O1879" s="157"/>
      <c r="P1879" s="159" t="s">
        <v>3620</v>
      </c>
      <c r="Q1879" s="157" t="s">
        <v>2115</v>
      </c>
      <c r="R1879" s="157" t="s">
        <v>8699</v>
      </c>
      <c r="S1879" s="157" t="s">
        <v>8700</v>
      </c>
      <c r="T1879" s="157"/>
      <c r="U1879" s="159" t="s">
        <v>2129</v>
      </c>
      <c r="V1879" s="159" t="s">
        <v>2129</v>
      </c>
      <c r="W1879" s="159" t="s">
        <v>2138</v>
      </c>
      <c r="X1879" s="160">
        <v>0</v>
      </c>
      <c r="Y1879" s="160">
        <v>0</v>
      </c>
      <c r="Z1879" s="160">
        <v>0</v>
      </c>
      <c r="AA1879" s="160">
        <v>0</v>
      </c>
    </row>
    <row r="1880" spans="1:27" ht="18" customHeight="1" x14ac:dyDescent="0.25">
      <c r="A1880" s="159">
        <v>4318</v>
      </c>
      <c r="B1880" s="157"/>
      <c r="C1880" s="157"/>
      <c r="D1880" s="159"/>
      <c r="E1880" s="157"/>
      <c r="F1880" s="157"/>
      <c r="G1880" s="157" t="s">
        <v>1278</v>
      </c>
      <c r="H1880" s="157" t="s">
        <v>1344</v>
      </c>
      <c r="I1880" s="157" t="s">
        <v>8713</v>
      </c>
      <c r="J1880" s="157"/>
      <c r="K1880" s="157" t="s">
        <v>1269</v>
      </c>
      <c r="L1880" s="157" t="s">
        <v>8715</v>
      </c>
      <c r="M1880" s="157" t="str">
        <f t="shared" si="39"/>
        <v>Near Field Communication Unit - Door Rear Left - Key Recogniton and User Hand Detection</v>
      </c>
      <c r="N1880" s="157"/>
      <c r="O1880" s="157"/>
      <c r="P1880" s="159" t="s">
        <v>8206</v>
      </c>
      <c r="Q1880" s="157" t="s">
        <v>2115</v>
      </c>
      <c r="R1880" s="157" t="s">
        <v>8699</v>
      </c>
      <c r="S1880" s="157" t="s">
        <v>8700</v>
      </c>
      <c r="T1880" s="157"/>
      <c r="U1880" s="159" t="s">
        <v>2129</v>
      </c>
      <c r="V1880" s="159" t="s">
        <v>2129</v>
      </c>
      <c r="W1880" s="159" t="s">
        <v>2138</v>
      </c>
      <c r="X1880" s="160">
        <v>0</v>
      </c>
      <c r="Y1880" s="160">
        <v>0</v>
      </c>
      <c r="Z1880" s="160">
        <v>0</v>
      </c>
      <c r="AA1880" s="160">
        <v>0</v>
      </c>
    </row>
    <row r="1881" spans="1:27" ht="18" customHeight="1" x14ac:dyDescent="0.25">
      <c r="A1881" s="159">
        <v>4319</v>
      </c>
      <c r="B1881" s="157"/>
      <c r="C1881" s="157"/>
      <c r="D1881" s="159"/>
      <c r="E1881" s="157"/>
      <c r="F1881" s="157"/>
      <c r="G1881" s="157" t="s">
        <v>1278</v>
      </c>
      <c r="H1881" s="157" t="s">
        <v>1344</v>
      </c>
      <c r="I1881" s="157" t="s">
        <v>8713</v>
      </c>
      <c r="J1881" s="157"/>
      <c r="K1881" s="157" t="s">
        <v>1269</v>
      </c>
      <c r="L1881" s="157" t="s">
        <v>8716</v>
      </c>
      <c r="M1881" s="157" t="str">
        <f t="shared" si="39"/>
        <v>Near Field Communication Unit - Door Rear Right - Key Recogniton and User Hand Detection</v>
      </c>
      <c r="N1881" s="157"/>
      <c r="O1881" s="157"/>
      <c r="P1881" s="159" t="s">
        <v>3645</v>
      </c>
      <c r="Q1881" s="157" t="s">
        <v>2115</v>
      </c>
      <c r="R1881" s="157" t="s">
        <v>8699</v>
      </c>
      <c r="S1881" s="157" t="s">
        <v>8700</v>
      </c>
      <c r="T1881" s="157"/>
      <c r="U1881" s="159" t="s">
        <v>2129</v>
      </c>
      <c r="V1881" s="159" t="s">
        <v>2129</v>
      </c>
      <c r="W1881" s="159" t="s">
        <v>2138</v>
      </c>
      <c r="X1881" s="160">
        <v>0</v>
      </c>
      <c r="Y1881" s="160">
        <v>0</v>
      </c>
      <c r="Z1881" s="160">
        <v>0</v>
      </c>
      <c r="AA1881" s="160">
        <v>0</v>
      </c>
    </row>
    <row r="1882" spans="1:27" ht="18" customHeight="1" x14ac:dyDescent="0.25">
      <c r="A1882" s="159">
        <v>4320</v>
      </c>
      <c r="B1882" s="157" t="s">
        <v>256</v>
      </c>
      <c r="C1882" s="157" t="s">
        <v>257</v>
      </c>
      <c r="D1882" s="159" t="s">
        <v>260</v>
      </c>
      <c r="E1882" s="157" t="s">
        <v>258</v>
      </c>
      <c r="F1882" s="157"/>
      <c r="G1882" s="157" t="s">
        <v>1299</v>
      </c>
      <c r="H1882" s="157" t="s">
        <v>1432</v>
      </c>
      <c r="I1882" s="157" t="s">
        <v>8424</v>
      </c>
      <c r="J1882" s="157"/>
      <c r="K1882" s="157" t="s">
        <v>1312</v>
      </c>
      <c r="L1882" s="157" t="s">
        <v>9738</v>
      </c>
      <c r="M1882" s="157" t="str">
        <f t="shared" si="39"/>
        <v>Vehicle Level Sensor Rear Right - Vehicle Level Information</v>
      </c>
      <c r="N1882" s="157"/>
      <c r="O1882" s="157"/>
      <c r="P1882" s="159" t="s">
        <v>4122</v>
      </c>
      <c r="Q1882" s="157" t="s">
        <v>2115</v>
      </c>
      <c r="R1882" s="157" t="s">
        <v>8583</v>
      </c>
      <c r="S1882" s="157" t="s">
        <v>8584</v>
      </c>
      <c r="T1882" s="157"/>
      <c r="U1882" s="159" t="s">
        <v>2129</v>
      </c>
      <c r="V1882" s="159" t="s">
        <v>2129</v>
      </c>
      <c r="W1882" s="159" t="s">
        <v>2138</v>
      </c>
      <c r="X1882" s="160">
        <v>1</v>
      </c>
      <c r="Y1882" s="160">
        <v>1</v>
      </c>
      <c r="Z1882" s="160">
        <v>1</v>
      </c>
      <c r="AA1882" s="160">
        <v>1</v>
      </c>
    </row>
    <row r="1883" spans="1:27" ht="18" customHeight="1" x14ac:dyDescent="0.25">
      <c r="A1883" s="159">
        <v>4322</v>
      </c>
      <c r="B1883" s="157" t="s">
        <v>29</v>
      </c>
      <c r="C1883" s="157" t="s">
        <v>30</v>
      </c>
      <c r="D1883" s="159" t="s">
        <v>89</v>
      </c>
      <c r="E1883" s="157" t="s">
        <v>87</v>
      </c>
      <c r="F1883" s="157" t="s">
        <v>1264</v>
      </c>
      <c r="G1883" s="157" t="s">
        <v>1536</v>
      </c>
      <c r="H1883" s="157" t="s">
        <v>1287</v>
      </c>
      <c r="I1883" s="157" t="s">
        <v>8424</v>
      </c>
      <c r="J1883" s="157"/>
      <c r="K1883" s="157" t="s">
        <v>1312</v>
      </c>
      <c r="L1883" s="157" t="s">
        <v>9739</v>
      </c>
      <c r="M1883" s="157" t="str">
        <f t="shared" si="39"/>
        <v>Vehicle Level Sensor Front Right - Vehicle Level Information</v>
      </c>
      <c r="N1883" s="157"/>
      <c r="O1883" s="157"/>
      <c r="P1883" s="159" t="s">
        <v>2723</v>
      </c>
      <c r="Q1883" s="157" t="s">
        <v>2115</v>
      </c>
      <c r="R1883" s="157" t="s">
        <v>8583</v>
      </c>
      <c r="S1883" s="157" t="s">
        <v>8584</v>
      </c>
      <c r="T1883" s="157"/>
      <c r="U1883" s="159" t="s">
        <v>2129</v>
      </c>
      <c r="V1883" s="159" t="s">
        <v>2138</v>
      </c>
      <c r="W1883" s="159" t="s">
        <v>2138</v>
      </c>
      <c r="X1883" s="160">
        <v>1</v>
      </c>
      <c r="Y1883" s="160">
        <v>1</v>
      </c>
      <c r="Z1883" s="160">
        <v>1</v>
      </c>
      <c r="AA1883" s="160">
        <v>1</v>
      </c>
    </row>
    <row r="1884" spans="1:27" ht="18" customHeight="1" x14ac:dyDescent="0.25">
      <c r="A1884" s="159">
        <v>4322</v>
      </c>
      <c r="B1884" s="157" t="s">
        <v>256</v>
      </c>
      <c r="C1884" s="157" t="s">
        <v>257</v>
      </c>
      <c r="D1884" s="159" t="s">
        <v>260</v>
      </c>
      <c r="E1884" s="157" t="s">
        <v>258</v>
      </c>
      <c r="F1884" s="157"/>
      <c r="G1884" s="157" t="s">
        <v>1299</v>
      </c>
      <c r="H1884" s="157" t="s">
        <v>1432</v>
      </c>
      <c r="I1884" s="157" t="s">
        <v>8424</v>
      </c>
      <c r="J1884" s="157"/>
      <c r="K1884" s="157" t="s">
        <v>1312</v>
      </c>
      <c r="L1884" s="157" t="s">
        <v>9739</v>
      </c>
      <c r="M1884" s="157" t="str">
        <f t="shared" si="39"/>
        <v>Vehicle Level Sensor Front Right - Vehicle Level Information</v>
      </c>
      <c r="N1884" s="157"/>
      <c r="O1884" s="157"/>
      <c r="P1884" s="159" t="s">
        <v>2723</v>
      </c>
      <c r="Q1884" s="157" t="s">
        <v>2115</v>
      </c>
      <c r="R1884" s="157" t="s">
        <v>8583</v>
      </c>
      <c r="S1884" s="157" t="s">
        <v>8584</v>
      </c>
      <c r="T1884" s="157"/>
      <c r="U1884" s="159" t="s">
        <v>2129</v>
      </c>
      <c r="V1884" s="159" t="s">
        <v>2129</v>
      </c>
      <c r="W1884" s="159" t="s">
        <v>2138</v>
      </c>
      <c r="X1884" s="160">
        <v>1</v>
      </c>
      <c r="Y1884" s="160">
        <v>1</v>
      </c>
      <c r="Z1884" s="160">
        <v>1</v>
      </c>
      <c r="AA1884" s="160">
        <v>1</v>
      </c>
    </row>
    <row r="1885" spans="1:27" ht="18" customHeight="1" x14ac:dyDescent="0.25">
      <c r="A1885" s="159">
        <v>4323</v>
      </c>
      <c r="B1885" s="157" t="s">
        <v>251</v>
      </c>
      <c r="C1885" s="157" t="s">
        <v>311</v>
      </c>
      <c r="D1885" s="159" t="s">
        <v>598</v>
      </c>
      <c r="E1885" s="157" t="s">
        <v>1209</v>
      </c>
      <c r="F1885" s="157"/>
      <c r="G1885" s="157" t="s">
        <v>1321</v>
      </c>
      <c r="H1885" s="157" t="s">
        <v>1436</v>
      </c>
      <c r="I1885" s="157" t="s">
        <v>1017</v>
      </c>
      <c r="J1885" s="157" t="s">
        <v>1766</v>
      </c>
      <c r="K1885" s="157" t="s">
        <v>1269</v>
      </c>
      <c r="L1885" s="157" t="s">
        <v>8534</v>
      </c>
      <c r="M1885" s="157" t="str">
        <f t="shared" si="39"/>
        <v>All Wheel Drive Unit (Valves Block 1) - Differential Lockout</v>
      </c>
      <c r="N1885" s="157"/>
      <c r="O1885" s="157"/>
      <c r="P1885" s="159" t="s">
        <v>5794</v>
      </c>
      <c r="Q1885" s="157"/>
      <c r="R1885" s="157"/>
      <c r="S1885" s="157"/>
      <c r="T1885" s="157"/>
      <c r="U1885" s="159" t="s">
        <v>2129</v>
      </c>
      <c r="V1885" s="159" t="s">
        <v>2129</v>
      </c>
      <c r="W1885" s="159" t="s">
        <v>2138</v>
      </c>
      <c r="X1885" s="160">
        <v>0</v>
      </c>
      <c r="Y1885" s="160">
        <v>0.02</v>
      </c>
      <c r="Z1885" s="160">
        <v>0</v>
      </c>
      <c r="AA1885" s="160">
        <v>0.02</v>
      </c>
    </row>
    <row r="1886" spans="1:27" ht="18" customHeight="1" x14ac:dyDescent="0.25">
      <c r="A1886" s="159">
        <v>4324</v>
      </c>
      <c r="B1886" s="157" t="s">
        <v>251</v>
      </c>
      <c r="C1886" s="157" t="s">
        <v>311</v>
      </c>
      <c r="D1886" s="159" t="s">
        <v>598</v>
      </c>
      <c r="E1886" s="157" t="s">
        <v>1209</v>
      </c>
      <c r="F1886" s="157"/>
      <c r="G1886" s="157" t="s">
        <v>1321</v>
      </c>
      <c r="H1886" s="157" t="s">
        <v>1436</v>
      </c>
      <c r="I1886" s="157" t="s">
        <v>1017</v>
      </c>
      <c r="J1886" s="157" t="s">
        <v>1766</v>
      </c>
      <c r="K1886" s="157" t="s">
        <v>1269</v>
      </c>
      <c r="L1886" s="157" t="s">
        <v>8535</v>
      </c>
      <c r="M1886" s="157" t="str">
        <f t="shared" si="39"/>
        <v>All Wheel Drive Unit (Valves Block 2) - Differential Lockout</v>
      </c>
      <c r="N1886" s="157"/>
      <c r="O1886" s="157"/>
      <c r="P1886" s="159" t="s">
        <v>5794</v>
      </c>
      <c r="Q1886" s="157"/>
      <c r="R1886" s="157"/>
      <c r="S1886" s="157"/>
      <c r="T1886" s="157"/>
      <c r="U1886" s="159" t="s">
        <v>2129</v>
      </c>
      <c r="V1886" s="159" t="s">
        <v>2129</v>
      </c>
      <c r="W1886" s="159" t="s">
        <v>2138</v>
      </c>
      <c r="X1886" s="160">
        <v>0</v>
      </c>
      <c r="Y1886" s="160">
        <v>0.02</v>
      </c>
      <c r="Z1886" s="160">
        <v>0</v>
      </c>
      <c r="AA1886" s="160">
        <v>0.02</v>
      </c>
    </row>
    <row r="1887" spans="1:27" ht="18" customHeight="1" x14ac:dyDescent="0.25">
      <c r="A1887" s="159">
        <v>4325</v>
      </c>
      <c r="B1887" s="157" t="s">
        <v>251</v>
      </c>
      <c r="C1887" s="157" t="s">
        <v>311</v>
      </c>
      <c r="D1887" s="159" t="s">
        <v>598</v>
      </c>
      <c r="E1887" s="157" t="s">
        <v>1209</v>
      </c>
      <c r="F1887" s="157"/>
      <c r="G1887" s="157" t="s">
        <v>1321</v>
      </c>
      <c r="H1887" s="157" t="s">
        <v>1436</v>
      </c>
      <c r="I1887" s="157" t="s">
        <v>1017</v>
      </c>
      <c r="J1887" s="157" t="s">
        <v>1766</v>
      </c>
      <c r="K1887" s="157" t="s">
        <v>1269</v>
      </c>
      <c r="L1887" s="157" t="s">
        <v>8536</v>
      </c>
      <c r="M1887" s="157" t="str">
        <f t="shared" si="39"/>
        <v>All Wheel Drive Unit (Motor) - Differential Lockout</v>
      </c>
      <c r="N1887" s="157"/>
      <c r="O1887" s="157"/>
      <c r="P1887" s="159" t="s">
        <v>5794</v>
      </c>
      <c r="Q1887" s="157"/>
      <c r="R1887" s="157"/>
      <c r="S1887" s="157"/>
      <c r="T1887" s="157"/>
      <c r="U1887" s="159" t="s">
        <v>2129</v>
      </c>
      <c r="V1887" s="159" t="s">
        <v>2129</v>
      </c>
      <c r="W1887" s="159" t="s">
        <v>2138</v>
      </c>
      <c r="X1887" s="160">
        <v>0</v>
      </c>
      <c r="Y1887" s="160">
        <v>0.02</v>
      </c>
      <c r="Z1887" s="160">
        <v>0</v>
      </c>
      <c r="AA1887" s="160">
        <v>0.02</v>
      </c>
    </row>
    <row r="1888" spans="1:27" ht="18" customHeight="1" x14ac:dyDescent="0.25">
      <c r="A1888" s="159">
        <v>4326</v>
      </c>
      <c r="B1888" s="157" t="s">
        <v>251</v>
      </c>
      <c r="C1888" s="157" t="s">
        <v>311</v>
      </c>
      <c r="D1888" s="159" t="s">
        <v>598</v>
      </c>
      <c r="E1888" s="157" t="s">
        <v>1209</v>
      </c>
      <c r="F1888" s="157"/>
      <c r="G1888" s="157" t="s">
        <v>1321</v>
      </c>
      <c r="H1888" s="157" t="s">
        <v>1436</v>
      </c>
      <c r="I1888" s="157" t="s">
        <v>1017</v>
      </c>
      <c r="J1888" s="157" t="s">
        <v>1766</v>
      </c>
      <c r="K1888" s="157" t="s">
        <v>1312</v>
      </c>
      <c r="L1888" s="157" t="s">
        <v>8537</v>
      </c>
      <c r="M1888" s="157" t="str">
        <f t="shared" si="39"/>
        <v>All Wheel Drive Unit (Sensors Block 2) - Differential Lockout</v>
      </c>
      <c r="N1888" s="157"/>
      <c r="O1888" s="157"/>
      <c r="P1888" s="159" t="s">
        <v>5794</v>
      </c>
      <c r="Q1888" s="157"/>
      <c r="R1888" s="157"/>
      <c r="S1888" s="157"/>
      <c r="T1888" s="157"/>
      <c r="U1888" s="159" t="s">
        <v>2129</v>
      </c>
      <c r="V1888" s="159" t="s">
        <v>2129</v>
      </c>
      <c r="W1888" s="159" t="s">
        <v>2138</v>
      </c>
      <c r="X1888" s="160">
        <v>0</v>
      </c>
      <c r="Y1888" s="160">
        <v>0.02</v>
      </c>
      <c r="Z1888" s="160">
        <v>0</v>
      </c>
      <c r="AA1888" s="160">
        <v>0.02</v>
      </c>
    </row>
    <row r="1889" spans="1:27" ht="18" customHeight="1" x14ac:dyDescent="0.25">
      <c r="A1889" s="159">
        <v>4327</v>
      </c>
      <c r="B1889" s="157" t="s">
        <v>251</v>
      </c>
      <c r="C1889" s="157" t="s">
        <v>311</v>
      </c>
      <c r="D1889" s="159" t="s">
        <v>598</v>
      </c>
      <c r="E1889" s="157" t="s">
        <v>1209</v>
      </c>
      <c r="F1889" s="157"/>
      <c r="G1889" s="157" t="s">
        <v>1321</v>
      </c>
      <c r="H1889" s="157" t="s">
        <v>1436</v>
      </c>
      <c r="I1889" s="157" t="s">
        <v>1017</v>
      </c>
      <c r="J1889" s="157" t="s">
        <v>1766</v>
      </c>
      <c r="K1889" s="157" t="s">
        <v>1312</v>
      </c>
      <c r="L1889" s="157" t="s">
        <v>8538</v>
      </c>
      <c r="M1889" s="157" t="str">
        <f t="shared" si="39"/>
        <v>All Wheel Drive Unit (Sensors Block 1) - Differential Lockout</v>
      </c>
      <c r="N1889" s="157"/>
      <c r="O1889" s="157"/>
      <c r="P1889" s="159" t="s">
        <v>5794</v>
      </c>
      <c r="Q1889" s="157"/>
      <c r="R1889" s="157"/>
      <c r="S1889" s="157"/>
      <c r="T1889" s="157"/>
      <c r="U1889" s="159" t="s">
        <v>2129</v>
      </c>
      <c r="V1889" s="159" t="s">
        <v>2129</v>
      </c>
      <c r="W1889" s="159" t="s">
        <v>2138</v>
      </c>
      <c r="X1889" s="160">
        <v>0</v>
      </c>
      <c r="Y1889" s="160">
        <v>0.02</v>
      </c>
      <c r="Z1889" s="160">
        <v>0</v>
      </c>
      <c r="AA1889" s="160">
        <v>0.02</v>
      </c>
    </row>
    <row r="1890" spans="1:27" ht="18" customHeight="1" x14ac:dyDescent="0.25">
      <c r="A1890" s="159">
        <v>4328</v>
      </c>
      <c r="B1890" s="157" t="s">
        <v>251</v>
      </c>
      <c r="C1890" s="157" t="s">
        <v>1006</v>
      </c>
      <c r="D1890" s="159" t="s">
        <v>1019</v>
      </c>
      <c r="E1890" s="157" t="s">
        <v>1017</v>
      </c>
      <c r="F1890" s="157"/>
      <c r="G1890" s="157" t="s">
        <v>1321</v>
      </c>
      <c r="H1890" s="157" t="s">
        <v>1436</v>
      </c>
      <c r="I1890" s="157" t="s">
        <v>1017</v>
      </c>
      <c r="J1890" s="157" t="s">
        <v>1766</v>
      </c>
      <c r="K1890" s="157" t="s">
        <v>1269</v>
      </c>
      <c r="L1890" s="157" t="s">
        <v>1767</v>
      </c>
      <c r="M1890" s="157" t="str">
        <f t="shared" si="39"/>
        <v>Differential Lockout Solenoid - Differential Lockout</v>
      </c>
      <c r="N1890" s="157"/>
      <c r="O1890" s="157"/>
      <c r="P1890" s="159"/>
      <c r="Q1890" s="157"/>
      <c r="R1890" s="157"/>
      <c r="S1890" s="157"/>
      <c r="T1890" s="157"/>
      <c r="U1890" s="159"/>
      <c r="V1890" s="159"/>
      <c r="W1890" s="159"/>
      <c r="X1890" s="160"/>
      <c r="Y1890" s="160"/>
      <c r="Z1890" s="160"/>
      <c r="AA1890" s="160"/>
    </row>
    <row r="1891" spans="1:27" ht="18" customHeight="1" x14ac:dyDescent="0.25">
      <c r="A1891" s="159">
        <v>4346</v>
      </c>
      <c r="B1891" s="157" t="s">
        <v>251</v>
      </c>
      <c r="C1891" s="157" t="s">
        <v>366</v>
      </c>
      <c r="D1891" s="159" t="s">
        <v>369</v>
      </c>
      <c r="E1891" s="157" t="s">
        <v>367</v>
      </c>
      <c r="F1891" s="157"/>
      <c r="G1891" s="157" t="s">
        <v>1321</v>
      </c>
      <c r="H1891" s="157" t="s">
        <v>1648</v>
      </c>
      <c r="I1891" s="157" t="s">
        <v>1770</v>
      </c>
      <c r="J1891" s="157" t="s">
        <v>1649</v>
      </c>
      <c r="K1891" s="157" t="s">
        <v>1269</v>
      </c>
      <c r="L1891" s="157" t="s">
        <v>1771</v>
      </c>
      <c r="M1891" s="157" t="str">
        <f t="shared" si="39"/>
        <v>Electical Machine - Starter Generator</v>
      </c>
      <c r="N1891" s="157"/>
      <c r="O1891" s="157"/>
      <c r="P1891" s="159"/>
      <c r="Q1891" s="157"/>
      <c r="R1891" s="157"/>
      <c r="S1891" s="157"/>
      <c r="T1891" s="157"/>
      <c r="U1891" s="159"/>
      <c r="V1891" s="159"/>
      <c r="W1891" s="159"/>
      <c r="X1891" s="160"/>
      <c r="Y1891" s="160"/>
      <c r="Z1891" s="160"/>
      <c r="AA1891" s="160"/>
    </row>
    <row r="1892" spans="1:27" ht="18" customHeight="1" x14ac:dyDescent="0.25">
      <c r="A1892" s="159">
        <v>4347</v>
      </c>
      <c r="B1892" s="157" t="s">
        <v>22</v>
      </c>
      <c r="C1892" s="157" t="s">
        <v>40</v>
      </c>
      <c r="D1892" s="159" t="s">
        <v>56</v>
      </c>
      <c r="E1892" s="157" t="s">
        <v>54</v>
      </c>
      <c r="F1892" s="157" t="s">
        <v>1298</v>
      </c>
      <c r="G1892" s="157" t="s">
        <v>1299</v>
      </c>
      <c r="H1892" s="157" t="s">
        <v>1300</v>
      </c>
      <c r="I1892" s="157" t="s">
        <v>1300</v>
      </c>
      <c r="J1892" s="157" t="s">
        <v>1442</v>
      </c>
      <c r="K1892" s="157" t="s">
        <v>1302</v>
      </c>
      <c r="L1892" s="157" t="s">
        <v>1772</v>
      </c>
      <c r="M1892" s="157" t="str">
        <f t="shared" si="39"/>
        <v>Side Airbag RR - Airbag</v>
      </c>
      <c r="N1892" s="157"/>
      <c r="O1892" s="157"/>
      <c r="P1892" s="159" t="s">
        <v>3796</v>
      </c>
      <c r="Q1892" s="157" t="s">
        <v>2115</v>
      </c>
      <c r="R1892" s="157" t="s">
        <v>2118</v>
      </c>
      <c r="S1892" s="157" t="s">
        <v>2119</v>
      </c>
      <c r="T1892" s="157"/>
      <c r="U1892" s="159" t="s">
        <v>2129</v>
      </c>
      <c r="V1892" s="159" t="s">
        <v>2129</v>
      </c>
      <c r="W1892" s="159" t="s">
        <v>2138</v>
      </c>
      <c r="X1892" s="160">
        <v>0</v>
      </c>
      <c r="Y1892" s="160">
        <v>0</v>
      </c>
      <c r="Z1892" s="160">
        <v>0</v>
      </c>
      <c r="AA1892" s="160">
        <v>0</v>
      </c>
    </row>
    <row r="1893" spans="1:27" ht="18" customHeight="1" x14ac:dyDescent="0.25">
      <c r="A1893" s="159">
        <v>4348</v>
      </c>
      <c r="B1893" s="157" t="s">
        <v>22</v>
      </c>
      <c r="C1893" s="157" t="s">
        <v>40</v>
      </c>
      <c r="D1893" s="159" t="s">
        <v>56</v>
      </c>
      <c r="E1893" s="157" t="s">
        <v>54</v>
      </c>
      <c r="F1893" s="157" t="s">
        <v>1298</v>
      </c>
      <c r="G1893" s="157" t="s">
        <v>1299</v>
      </c>
      <c r="H1893" s="157" t="s">
        <v>1300</v>
      </c>
      <c r="I1893" s="157" t="s">
        <v>1300</v>
      </c>
      <c r="J1893" s="157" t="s">
        <v>1442</v>
      </c>
      <c r="K1893" s="157" t="s">
        <v>1302</v>
      </c>
      <c r="L1893" s="157" t="s">
        <v>1773</v>
      </c>
      <c r="M1893" s="157" t="str">
        <f t="shared" si="39"/>
        <v>Side Airbag RL - Airbag</v>
      </c>
      <c r="N1893" s="157"/>
      <c r="O1893" s="157"/>
      <c r="P1893" s="159" t="s">
        <v>7944</v>
      </c>
      <c r="Q1893" s="157" t="s">
        <v>2115</v>
      </c>
      <c r="R1893" s="157" t="s">
        <v>2118</v>
      </c>
      <c r="S1893" s="157" t="s">
        <v>2119</v>
      </c>
      <c r="T1893" s="157"/>
      <c r="U1893" s="159" t="s">
        <v>2129</v>
      </c>
      <c r="V1893" s="159" t="s">
        <v>2129</v>
      </c>
      <c r="W1893" s="159" t="s">
        <v>2138</v>
      </c>
      <c r="X1893" s="160">
        <v>0</v>
      </c>
      <c r="Y1893" s="160">
        <v>0</v>
      </c>
      <c r="Z1893" s="160">
        <v>0</v>
      </c>
      <c r="AA1893" s="160">
        <v>0</v>
      </c>
    </row>
    <row r="1894" spans="1:27" ht="18" customHeight="1" x14ac:dyDescent="0.25">
      <c r="A1894" s="159">
        <v>4354</v>
      </c>
      <c r="B1894" s="157" t="s">
        <v>29</v>
      </c>
      <c r="C1894" s="157" t="s">
        <v>30</v>
      </c>
      <c r="D1894" s="159" t="s">
        <v>214</v>
      </c>
      <c r="E1894" s="157" t="s">
        <v>212</v>
      </c>
      <c r="F1894" s="157" t="s">
        <v>1264</v>
      </c>
      <c r="G1894" s="157" t="s">
        <v>1321</v>
      </c>
      <c r="H1894" s="157" t="s">
        <v>1436</v>
      </c>
      <c r="I1894" s="157" t="s">
        <v>1774</v>
      </c>
      <c r="J1894" s="157" t="s">
        <v>1285</v>
      </c>
      <c r="K1894" s="157" t="s">
        <v>1312</v>
      </c>
      <c r="L1894" s="157" t="s">
        <v>1775</v>
      </c>
      <c r="M1894" s="157" t="str">
        <f t="shared" si="39"/>
        <v>Shift Lever - User Selector - Gear Selection</v>
      </c>
      <c r="N1894" s="157"/>
      <c r="O1894" s="157"/>
      <c r="P1894" s="159"/>
      <c r="Q1894" s="157"/>
      <c r="R1894" s="157"/>
      <c r="S1894" s="157"/>
      <c r="T1894" s="157"/>
      <c r="U1894" s="159"/>
      <c r="V1894" s="159"/>
      <c r="W1894" s="159"/>
      <c r="X1894" s="160"/>
      <c r="Y1894" s="160"/>
      <c r="Z1894" s="160"/>
      <c r="AA1894" s="160"/>
    </row>
    <row r="1895" spans="1:27" ht="18" customHeight="1" x14ac:dyDescent="0.25">
      <c r="A1895" s="159">
        <v>4354</v>
      </c>
      <c r="B1895" s="157" t="s">
        <v>63</v>
      </c>
      <c r="C1895" s="157" t="s">
        <v>64</v>
      </c>
      <c r="D1895" s="159" t="s">
        <v>878</v>
      </c>
      <c r="E1895" s="157" t="s">
        <v>876</v>
      </c>
      <c r="F1895" s="157" t="s">
        <v>1275</v>
      </c>
      <c r="G1895" s="157" t="s">
        <v>1321</v>
      </c>
      <c r="H1895" s="157" t="s">
        <v>1436</v>
      </c>
      <c r="I1895" s="157" t="s">
        <v>1774</v>
      </c>
      <c r="J1895" s="157" t="s">
        <v>1285</v>
      </c>
      <c r="K1895" s="157" t="s">
        <v>1312</v>
      </c>
      <c r="L1895" s="157" t="s">
        <v>1775</v>
      </c>
      <c r="M1895" s="157" t="str">
        <f t="shared" si="39"/>
        <v>Shift Lever - User Selector - Gear Selection</v>
      </c>
      <c r="N1895" s="157"/>
      <c r="O1895" s="157"/>
      <c r="P1895" s="159"/>
      <c r="Q1895" s="157"/>
      <c r="R1895" s="157"/>
      <c r="S1895" s="157"/>
      <c r="T1895" s="157"/>
      <c r="U1895" s="159"/>
      <c r="V1895" s="159"/>
      <c r="W1895" s="159"/>
      <c r="X1895" s="160"/>
      <c r="Y1895" s="160"/>
      <c r="Z1895" s="160"/>
      <c r="AA1895" s="160"/>
    </row>
    <row r="1896" spans="1:27" ht="18" customHeight="1" x14ac:dyDescent="0.25">
      <c r="A1896" s="159">
        <v>4354</v>
      </c>
      <c r="B1896" s="157" t="s">
        <v>63</v>
      </c>
      <c r="C1896" s="157" t="s">
        <v>224</v>
      </c>
      <c r="D1896" s="159" t="s">
        <v>462</v>
      </c>
      <c r="E1896" s="157" t="s">
        <v>460</v>
      </c>
      <c r="F1896" s="157" t="s">
        <v>1275</v>
      </c>
      <c r="G1896" s="157" t="s">
        <v>1321</v>
      </c>
      <c r="H1896" s="157" t="s">
        <v>1436</v>
      </c>
      <c r="I1896" s="157" t="s">
        <v>1774</v>
      </c>
      <c r="J1896" s="157" t="s">
        <v>1285</v>
      </c>
      <c r="K1896" s="157" t="s">
        <v>1312</v>
      </c>
      <c r="L1896" s="157" t="s">
        <v>1775</v>
      </c>
      <c r="M1896" s="157" t="str">
        <f t="shared" si="39"/>
        <v>Shift Lever - User Selector - Gear Selection</v>
      </c>
      <c r="N1896" s="157"/>
      <c r="O1896" s="157"/>
      <c r="P1896" s="159"/>
      <c r="Q1896" s="157"/>
      <c r="R1896" s="157"/>
      <c r="S1896" s="157"/>
      <c r="T1896" s="157"/>
      <c r="U1896" s="159"/>
      <c r="V1896" s="159"/>
      <c r="W1896" s="159"/>
      <c r="X1896" s="160"/>
      <c r="Y1896" s="160"/>
      <c r="Z1896" s="160"/>
      <c r="AA1896" s="160"/>
    </row>
    <row r="1897" spans="1:27" ht="18" customHeight="1" x14ac:dyDescent="0.25">
      <c r="A1897" s="159">
        <v>4354</v>
      </c>
      <c r="B1897" s="157" t="s">
        <v>251</v>
      </c>
      <c r="C1897" s="157" t="s">
        <v>311</v>
      </c>
      <c r="D1897" s="159" t="s">
        <v>598</v>
      </c>
      <c r="E1897" s="157" t="s">
        <v>1209</v>
      </c>
      <c r="F1897" s="157"/>
      <c r="G1897" s="157" t="s">
        <v>1321</v>
      </c>
      <c r="H1897" s="157" t="s">
        <v>1436</v>
      </c>
      <c r="I1897" s="157" t="s">
        <v>1774</v>
      </c>
      <c r="J1897" s="157" t="s">
        <v>1285</v>
      </c>
      <c r="K1897" s="157" t="s">
        <v>1312</v>
      </c>
      <c r="L1897" s="157" t="s">
        <v>1775</v>
      </c>
      <c r="M1897" s="157" t="str">
        <f t="shared" si="39"/>
        <v>Shift Lever - User Selector - Gear Selection</v>
      </c>
      <c r="N1897" s="157"/>
      <c r="O1897" s="157"/>
      <c r="P1897" s="159"/>
      <c r="Q1897" s="157"/>
      <c r="R1897" s="157"/>
      <c r="S1897" s="157"/>
      <c r="T1897" s="157"/>
      <c r="U1897" s="159"/>
      <c r="V1897" s="159"/>
      <c r="W1897" s="159"/>
      <c r="X1897" s="160"/>
      <c r="Y1897" s="160"/>
      <c r="Z1897" s="160"/>
      <c r="AA1897" s="160"/>
    </row>
    <row r="1898" spans="1:27" ht="18" customHeight="1" x14ac:dyDescent="0.25">
      <c r="A1898" s="159">
        <v>4355</v>
      </c>
      <c r="B1898" s="157" t="s">
        <v>77</v>
      </c>
      <c r="C1898" s="157" t="s">
        <v>149</v>
      </c>
      <c r="D1898" s="159" t="s">
        <v>584</v>
      </c>
      <c r="E1898" s="157" t="s">
        <v>582</v>
      </c>
      <c r="F1898" s="157" t="s">
        <v>1264</v>
      </c>
      <c r="G1898" s="157" t="s">
        <v>1278</v>
      </c>
      <c r="H1898" s="157" t="s">
        <v>1283</v>
      </c>
      <c r="I1898" s="157" t="s">
        <v>1427</v>
      </c>
      <c r="J1898" s="157" t="s">
        <v>1428</v>
      </c>
      <c r="K1898" s="157" t="s">
        <v>1281</v>
      </c>
      <c r="L1898" s="157" t="s">
        <v>1281</v>
      </c>
      <c r="M1898" s="157" t="str">
        <f t="shared" si="39"/>
        <v>Switch - Vanity Mirror Illumination FL</v>
      </c>
      <c r="N1898" s="157"/>
      <c r="O1898" s="157"/>
      <c r="P1898" s="159" t="s">
        <v>7085</v>
      </c>
      <c r="Q1898" s="157" t="s">
        <v>2115</v>
      </c>
      <c r="R1898" s="157" t="s">
        <v>2124</v>
      </c>
      <c r="S1898" s="157" t="s">
        <v>8608</v>
      </c>
      <c r="T1898" s="157"/>
      <c r="U1898" s="159" t="s">
        <v>2129</v>
      </c>
      <c r="V1898" s="159" t="s">
        <v>2138</v>
      </c>
      <c r="W1898" s="159" t="s">
        <v>2138</v>
      </c>
      <c r="X1898" s="160">
        <v>0.05</v>
      </c>
      <c r="Y1898" s="160">
        <v>0.05</v>
      </c>
      <c r="Z1898" s="160">
        <v>0.05</v>
      </c>
      <c r="AA1898" s="160">
        <v>0.05</v>
      </c>
    </row>
    <row r="1899" spans="1:27" ht="18" customHeight="1" x14ac:dyDescent="0.25">
      <c r="A1899" s="159">
        <v>4356</v>
      </c>
      <c r="B1899" s="157" t="s">
        <v>77</v>
      </c>
      <c r="C1899" s="157" t="s">
        <v>149</v>
      </c>
      <c r="D1899" s="159" t="s">
        <v>584</v>
      </c>
      <c r="E1899" s="157" t="s">
        <v>582</v>
      </c>
      <c r="F1899" s="157" t="s">
        <v>1264</v>
      </c>
      <c r="G1899" s="157" t="s">
        <v>1278</v>
      </c>
      <c r="H1899" s="157" t="s">
        <v>1283</v>
      </c>
      <c r="I1899" s="157" t="s">
        <v>1429</v>
      </c>
      <c r="J1899" s="157" t="s">
        <v>1428</v>
      </c>
      <c r="K1899" s="157" t="s">
        <v>1281</v>
      </c>
      <c r="L1899" s="157" t="s">
        <v>1281</v>
      </c>
      <c r="M1899" s="157" t="str">
        <f t="shared" si="39"/>
        <v>Switch - Vanity Mirror Illumination FR</v>
      </c>
      <c r="N1899" s="157"/>
      <c r="O1899" s="157"/>
      <c r="P1899" s="159" t="s">
        <v>4447</v>
      </c>
      <c r="Q1899" s="157" t="s">
        <v>2115</v>
      </c>
      <c r="R1899" s="157" t="s">
        <v>2124</v>
      </c>
      <c r="S1899" s="157" t="s">
        <v>8608</v>
      </c>
      <c r="T1899" s="157"/>
      <c r="U1899" s="159" t="s">
        <v>2138</v>
      </c>
      <c r="V1899" s="159" t="s">
        <v>2138</v>
      </c>
      <c r="W1899" s="159" t="s">
        <v>2138</v>
      </c>
      <c r="X1899" s="160">
        <v>0.05</v>
      </c>
      <c r="Y1899" s="160">
        <v>0.05</v>
      </c>
      <c r="Z1899" s="160">
        <v>0.05</v>
      </c>
      <c r="AA1899" s="160">
        <v>0.05</v>
      </c>
    </row>
    <row r="1900" spans="1:27" ht="18" customHeight="1" x14ac:dyDescent="0.25">
      <c r="A1900" s="159">
        <v>4358</v>
      </c>
      <c r="B1900" s="157" t="s">
        <v>318</v>
      </c>
      <c r="C1900" s="157" t="s">
        <v>319</v>
      </c>
      <c r="D1900" s="159" t="s">
        <v>322</v>
      </c>
      <c r="E1900" s="157" t="s">
        <v>320</v>
      </c>
      <c r="F1900" s="157" t="s">
        <v>1010</v>
      </c>
      <c r="G1900" s="157" t="s">
        <v>1278</v>
      </c>
      <c r="H1900" s="157" t="s">
        <v>1776</v>
      </c>
      <c r="I1900" s="157" t="s">
        <v>1777</v>
      </c>
      <c r="J1900" s="157" t="s">
        <v>1778</v>
      </c>
      <c r="K1900" s="157" t="s">
        <v>1269</v>
      </c>
      <c r="L1900" s="157" t="s">
        <v>1776</v>
      </c>
      <c r="M1900" s="157" t="str">
        <f t="shared" si="39"/>
        <v>12V Outlet - Personal Device Charging</v>
      </c>
      <c r="N1900" s="157"/>
      <c r="O1900" s="157"/>
      <c r="P1900" s="159" t="s">
        <v>7506</v>
      </c>
      <c r="Q1900" s="157" t="s">
        <v>2115</v>
      </c>
      <c r="R1900" s="157" t="s">
        <v>2127</v>
      </c>
      <c r="S1900" s="157" t="s">
        <v>8641</v>
      </c>
      <c r="T1900" s="157" t="s">
        <v>2129</v>
      </c>
      <c r="U1900" s="159" t="s">
        <v>2129</v>
      </c>
      <c r="V1900" s="159" t="s">
        <v>2138</v>
      </c>
      <c r="W1900" s="159" t="s">
        <v>2138</v>
      </c>
      <c r="X1900" s="160">
        <v>0.1</v>
      </c>
      <c r="Y1900" s="160">
        <v>0.1</v>
      </c>
      <c r="Z1900" s="160">
        <v>0.1</v>
      </c>
      <c r="AA1900" s="160">
        <v>0.1</v>
      </c>
    </row>
    <row r="1901" spans="1:27" ht="18" customHeight="1" x14ac:dyDescent="0.25">
      <c r="A1901" s="159">
        <v>4359</v>
      </c>
      <c r="B1901" s="157" t="s">
        <v>318</v>
      </c>
      <c r="C1901" s="157" t="s">
        <v>319</v>
      </c>
      <c r="D1901" s="159" t="s">
        <v>322</v>
      </c>
      <c r="E1901" s="157" t="s">
        <v>320</v>
      </c>
      <c r="F1901" s="157" t="s">
        <v>1010</v>
      </c>
      <c r="G1901" s="157" t="s">
        <v>1278</v>
      </c>
      <c r="H1901" s="157" t="s">
        <v>1776</v>
      </c>
      <c r="I1901" s="157" t="s">
        <v>1777</v>
      </c>
      <c r="J1901" s="157" t="s">
        <v>1779</v>
      </c>
      <c r="K1901" s="157" t="s">
        <v>1269</v>
      </c>
      <c r="L1901" s="157" t="s">
        <v>1776</v>
      </c>
      <c r="M1901" s="157" t="str">
        <f t="shared" si="39"/>
        <v>12V Outlet - Personal Device Charging</v>
      </c>
      <c r="N1901" s="157"/>
      <c r="O1901" s="157"/>
      <c r="P1901" s="159" t="s">
        <v>5768</v>
      </c>
      <c r="Q1901" s="157" t="s">
        <v>2115</v>
      </c>
      <c r="R1901" s="157" t="s">
        <v>2127</v>
      </c>
      <c r="S1901" s="157" t="s">
        <v>8641</v>
      </c>
      <c r="T1901" s="157" t="s">
        <v>2129</v>
      </c>
      <c r="U1901" s="159" t="s">
        <v>2129</v>
      </c>
      <c r="V1901" s="159" t="s">
        <v>2138</v>
      </c>
      <c r="W1901" s="159" t="s">
        <v>2138</v>
      </c>
      <c r="X1901" s="160">
        <v>0.1</v>
      </c>
      <c r="Y1901" s="160">
        <v>0.1</v>
      </c>
      <c r="Z1901" s="160">
        <v>0.1</v>
      </c>
      <c r="AA1901" s="160">
        <v>0.1</v>
      </c>
    </row>
    <row r="1902" spans="1:27" ht="18" customHeight="1" x14ac:dyDescent="0.25">
      <c r="A1902" s="159">
        <v>4360</v>
      </c>
      <c r="B1902" s="157" t="s">
        <v>77</v>
      </c>
      <c r="C1902" s="157" t="s">
        <v>345</v>
      </c>
      <c r="D1902" s="159" t="s">
        <v>348</v>
      </c>
      <c r="E1902" s="157" t="s">
        <v>346</v>
      </c>
      <c r="F1902" s="157" t="s">
        <v>1264</v>
      </c>
      <c r="G1902" s="157" t="s">
        <v>1278</v>
      </c>
      <c r="H1902" s="157" t="s">
        <v>1704</v>
      </c>
      <c r="I1902" s="157" t="s">
        <v>1780</v>
      </c>
      <c r="J1902" s="157" t="s">
        <v>1706</v>
      </c>
      <c r="K1902" s="157" t="s">
        <v>1281</v>
      </c>
      <c r="L1902" s="157" t="s">
        <v>1282</v>
      </c>
      <c r="M1902" s="157" t="str">
        <f t="shared" si="39"/>
        <v>User Selector - Command</v>
      </c>
      <c r="N1902" s="157"/>
      <c r="O1902" s="157"/>
      <c r="P1902" s="159"/>
      <c r="Q1902" s="157"/>
      <c r="R1902" s="157"/>
      <c r="S1902" s="157"/>
      <c r="T1902" s="157"/>
      <c r="U1902" s="159"/>
      <c r="V1902" s="159"/>
      <c r="W1902" s="159"/>
      <c r="X1902" s="160"/>
      <c r="Y1902" s="160"/>
      <c r="Z1902" s="160"/>
      <c r="AA1902" s="160"/>
    </row>
    <row r="1903" spans="1:27" ht="18" customHeight="1" x14ac:dyDescent="0.25">
      <c r="A1903" s="159">
        <v>4361</v>
      </c>
      <c r="B1903" s="157" t="s">
        <v>251</v>
      </c>
      <c r="C1903" s="157" t="s">
        <v>311</v>
      </c>
      <c r="D1903" s="159" t="s">
        <v>598</v>
      </c>
      <c r="E1903" s="157" t="s">
        <v>1209</v>
      </c>
      <c r="F1903" s="157"/>
      <c r="G1903" s="157" t="s">
        <v>1321</v>
      </c>
      <c r="H1903" s="157" t="s">
        <v>1436</v>
      </c>
      <c r="I1903" s="157" t="s">
        <v>1323</v>
      </c>
      <c r="J1903" s="157" t="s">
        <v>1649</v>
      </c>
      <c r="K1903" s="157" t="s">
        <v>1274</v>
      </c>
      <c r="L1903" s="157" t="s">
        <v>1781</v>
      </c>
      <c r="M1903" s="157" t="str">
        <f t="shared" si="39"/>
        <v>Automatic Transmission Control Unit - Computing</v>
      </c>
      <c r="N1903" s="157"/>
      <c r="O1903" s="157"/>
      <c r="P1903" s="159"/>
      <c r="Q1903" s="157"/>
      <c r="R1903" s="157"/>
      <c r="S1903" s="157"/>
      <c r="T1903" s="157"/>
      <c r="U1903" s="159"/>
      <c r="V1903" s="159"/>
      <c r="W1903" s="159"/>
      <c r="X1903" s="160"/>
      <c r="Y1903" s="160"/>
      <c r="Z1903" s="160"/>
      <c r="AA1903" s="160"/>
    </row>
    <row r="1904" spans="1:27" ht="18" customHeight="1" x14ac:dyDescent="0.25">
      <c r="A1904" s="159">
        <v>4361</v>
      </c>
      <c r="B1904" s="157" t="s">
        <v>251</v>
      </c>
      <c r="C1904" s="157" t="s">
        <v>1006</v>
      </c>
      <c r="D1904" s="159" t="s">
        <v>1016</v>
      </c>
      <c r="E1904" s="157" t="s">
        <v>1014</v>
      </c>
      <c r="F1904" s="157"/>
      <c r="G1904" s="157" t="s">
        <v>1321</v>
      </c>
      <c r="H1904" s="157" t="s">
        <v>1436</v>
      </c>
      <c r="I1904" s="157" t="s">
        <v>1323</v>
      </c>
      <c r="J1904" s="157" t="s">
        <v>1649</v>
      </c>
      <c r="K1904" s="157" t="s">
        <v>1274</v>
      </c>
      <c r="L1904" s="157" t="s">
        <v>1781</v>
      </c>
      <c r="M1904" s="157" t="str">
        <f t="shared" si="39"/>
        <v>Automatic Transmission Control Unit - Computing</v>
      </c>
      <c r="N1904" s="157"/>
      <c r="O1904" s="157"/>
      <c r="P1904" s="159"/>
      <c r="Q1904" s="157"/>
      <c r="R1904" s="157"/>
      <c r="S1904" s="157"/>
      <c r="T1904" s="157"/>
      <c r="U1904" s="159"/>
      <c r="V1904" s="159"/>
      <c r="W1904" s="159"/>
      <c r="X1904" s="160"/>
      <c r="Y1904" s="160"/>
      <c r="Z1904" s="160"/>
      <c r="AA1904" s="160"/>
    </row>
    <row r="1905" spans="1:27" ht="18" customHeight="1" x14ac:dyDescent="0.25">
      <c r="A1905" s="159">
        <v>4373</v>
      </c>
      <c r="B1905" s="157" t="s">
        <v>57</v>
      </c>
      <c r="C1905" s="157" t="s">
        <v>58</v>
      </c>
      <c r="D1905" s="159" t="s">
        <v>2090</v>
      </c>
      <c r="E1905" s="157" t="s">
        <v>1677</v>
      </c>
      <c r="F1905" s="157"/>
      <c r="G1905" s="157" t="s">
        <v>1278</v>
      </c>
      <c r="H1905" s="157" t="s">
        <v>1677</v>
      </c>
      <c r="I1905" s="157" t="s">
        <v>1782</v>
      </c>
      <c r="J1905" s="157" t="s">
        <v>1649</v>
      </c>
      <c r="K1905" s="157" t="s">
        <v>1269</v>
      </c>
      <c r="L1905" s="157" t="s">
        <v>1783</v>
      </c>
      <c r="M1905" s="157" t="str">
        <f t="shared" si="39"/>
        <v>Coolant Shut-Off Valve - Coolant Flow</v>
      </c>
      <c r="N1905" s="157"/>
      <c r="O1905" s="157"/>
      <c r="P1905" s="159" t="s">
        <v>2957</v>
      </c>
      <c r="Q1905" s="157" t="s">
        <v>2115</v>
      </c>
      <c r="R1905" s="157" t="s">
        <v>8283</v>
      </c>
      <c r="S1905" s="157" t="s">
        <v>8609</v>
      </c>
      <c r="T1905" s="157"/>
      <c r="U1905" s="159" t="s">
        <v>2129</v>
      </c>
      <c r="V1905" s="159" t="s">
        <v>2129</v>
      </c>
      <c r="W1905" s="159" t="s">
        <v>2138</v>
      </c>
      <c r="X1905" s="160">
        <v>0</v>
      </c>
      <c r="Y1905" s="160">
        <v>0</v>
      </c>
      <c r="Z1905" s="160">
        <v>0</v>
      </c>
      <c r="AA1905" s="160">
        <v>0</v>
      </c>
    </row>
    <row r="1906" spans="1:27" ht="18" customHeight="1" x14ac:dyDescent="0.25">
      <c r="A1906" s="159">
        <v>4395</v>
      </c>
      <c r="B1906" s="157" t="s">
        <v>256</v>
      </c>
      <c r="C1906" s="157" t="s">
        <v>532</v>
      </c>
      <c r="D1906" s="159" t="s">
        <v>1216</v>
      </c>
      <c r="E1906" s="157" t="s">
        <v>1214</v>
      </c>
      <c r="F1906" s="157"/>
      <c r="G1906" s="157" t="s">
        <v>1299</v>
      </c>
      <c r="H1906" s="157" t="s">
        <v>1326</v>
      </c>
      <c r="I1906" s="157" t="s">
        <v>1643</v>
      </c>
      <c r="J1906" s="157" t="s">
        <v>1695</v>
      </c>
      <c r="K1906" s="157" t="s">
        <v>1269</v>
      </c>
      <c r="L1906" s="157" t="s">
        <v>1784</v>
      </c>
      <c r="M1906" s="157" t="str">
        <f t="shared" si="39"/>
        <v>Parking Brake Motor L - Electric Parking Brake</v>
      </c>
      <c r="N1906" s="157"/>
      <c r="O1906" s="157"/>
      <c r="P1906" s="159" t="s">
        <v>7359</v>
      </c>
      <c r="Q1906" s="157" t="s">
        <v>2115</v>
      </c>
      <c r="R1906" s="157" t="s">
        <v>8453</v>
      </c>
      <c r="S1906" s="157" t="s">
        <v>8642</v>
      </c>
      <c r="T1906" s="157"/>
      <c r="U1906" s="159" t="s">
        <v>2129</v>
      </c>
      <c r="V1906" s="159" t="s">
        <v>2138</v>
      </c>
      <c r="W1906" s="159" t="s">
        <v>2138</v>
      </c>
      <c r="X1906" s="160">
        <v>0</v>
      </c>
      <c r="Y1906" s="160">
        <v>0</v>
      </c>
      <c r="Z1906" s="160">
        <v>0</v>
      </c>
      <c r="AA1906" s="160">
        <v>0</v>
      </c>
    </row>
    <row r="1907" spans="1:27" ht="18" customHeight="1" x14ac:dyDescent="0.25">
      <c r="A1907" s="159">
        <v>4402</v>
      </c>
      <c r="B1907" s="157" t="s">
        <v>256</v>
      </c>
      <c r="C1907" s="157" t="s">
        <v>532</v>
      </c>
      <c r="D1907" s="159" t="s">
        <v>1216</v>
      </c>
      <c r="E1907" s="157" t="s">
        <v>1214</v>
      </c>
      <c r="F1907" s="157"/>
      <c r="G1907" s="157" t="s">
        <v>1299</v>
      </c>
      <c r="H1907" s="157" t="s">
        <v>1326</v>
      </c>
      <c r="I1907" s="157" t="s">
        <v>1643</v>
      </c>
      <c r="J1907" s="157" t="s">
        <v>1695</v>
      </c>
      <c r="K1907" s="157" t="s">
        <v>1269</v>
      </c>
      <c r="L1907" s="157" t="s">
        <v>1785</v>
      </c>
      <c r="M1907" s="157" t="str">
        <f t="shared" si="39"/>
        <v>Parking Brake Motor R - Electric Parking Brake</v>
      </c>
      <c r="N1907" s="157"/>
      <c r="O1907" s="157"/>
      <c r="P1907" s="159" t="s">
        <v>4302</v>
      </c>
      <c r="Q1907" s="157" t="s">
        <v>2115</v>
      </c>
      <c r="R1907" s="157" t="s">
        <v>8453</v>
      </c>
      <c r="S1907" s="157" t="s">
        <v>8642</v>
      </c>
      <c r="T1907" s="157"/>
      <c r="U1907" s="159" t="s">
        <v>2129</v>
      </c>
      <c r="V1907" s="159" t="s">
        <v>2138</v>
      </c>
      <c r="W1907" s="159" t="s">
        <v>2138</v>
      </c>
      <c r="X1907" s="160">
        <v>0</v>
      </c>
      <c r="Y1907" s="160">
        <v>0</v>
      </c>
      <c r="Z1907" s="160">
        <v>0</v>
      </c>
      <c r="AA1907" s="160">
        <v>0</v>
      </c>
    </row>
    <row r="1908" spans="1:27" ht="18" customHeight="1" x14ac:dyDescent="0.25">
      <c r="A1908" s="159">
        <v>4488</v>
      </c>
      <c r="B1908" s="157" t="s">
        <v>29</v>
      </c>
      <c r="C1908" s="157" t="s">
        <v>82</v>
      </c>
      <c r="D1908" s="159" t="s">
        <v>1110</v>
      </c>
      <c r="E1908" s="157" t="s">
        <v>1108</v>
      </c>
      <c r="F1908" s="157"/>
      <c r="G1908" s="157" t="s">
        <v>1278</v>
      </c>
      <c r="H1908" s="157" t="s">
        <v>1294</v>
      </c>
      <c r="I1908" s="157" t="s">
        <v>1786</v>
      </c>
      <c r="J1908" s="157" t="s">
        <v>1343</v>
      </c>
      <c r="K1908" s="157" t="s">
        <v>1269</v>
      </c>
      <c r="L1908" s="157" t="s">
        <v>1342</v>
      </c>
      <c r="M1908" s="157" t="str">
        <f t="shared" si="39"/>
        <v>Stepper Motor - Tailgate Release</v>
      </c>
      <c r="N1908" s="157"/>
      <c r="O1908" s="157"/>
      <c r="P1908" s="159" t="s">
        <v>5819</v>
      </c>
      <c r="Q1908" s="157" t="s">
        <v>2115</v>
      </c>
      <c r="R1908" s="157" t="s">
        <v>8652</v>
      </c>
      <c r="S1908" s="157" t="s">
        <v>8653</v>
      </c>
      <c r="T1908" s="157"/>
      <c r="U1908" s="159" t="s">
        <v>2138</v>
      </c>
      <c r="V1908" s="159" t="s">
        <v>2138</v>
      </c>
      <c r="W1908" s="159" t="s">
        <v>2138</v>
      </c>
      <c r="X1908" s="160">
        <v>1</v>
      </c>
      <c r="Y1908" s="160">
        <v>1</v>
      </c>
      <c r="Z1908" s="160">
        <v>1</v>
      </c>
      <c r="AA1908" s="160">
        <v>1</v>
      </c>
    </row>
    <row r="1909" spans="1:27" ht="18" customHeight="1" x14ac:dyDescent="0.25">
      <c r="A1909" s="159">
        <v>4489</v>
      </c>
      <c r="B1909" s="157" t="s">
        <v>29</v>
      </c>
      <c r="C1909" s="157" t="s">
        <v>30</v>
      </c>
      <c r="D1909" s="159" t="s">
        <v>95</v>
      </c>
      <c r="E1909" s="157" t="s">
        <v>93</v>
      </c>
      <c r="F1909" s="157"/>
      <c r="G1909" s="157" t="s">
        <v>1536</v>
      </c>
      <c r="H1909" s="157" t="s">
        <v>1354</v>
      </c>
      <c r="I1909" s="157" t="s">
        <v>9560</v>
      </c>
      <c r="J1909" s="157"/>
      <c r="K1909" s="157" t="s">
        <v>1281</v>
      </c>
      <c r="L1909" s="157" t="s">
        <v>1355</v>
      </c>
      <c r="M1909" s="157" t="str">
        <f t="shared" si="39"/>
        <v>Steering Wheel Column Switches - Driving Commands</v>
      </c>
      <c r="N1909" s="157"/>
      <c r="O1909" s="157"/>
      <c r="P1909" s="159" t="s">
        <v>6487</v>
      </c>
      <c r="Q1909" s="157" t="s">
        <v>2115</v>
      </c>
      <c r="R1909" s="157" t="s">
        <v>8725</v>
      </c>
      <c r="S1909" s="157" t="s">
        <v>8726</v>
      </c>
      <c r="T1909" s="157"/>
      <c r="U1909" s="159" t="s">
        <v>2129</v>
      </c>
      <c r="V1909" s="159" t="s">
        <v>2138</v>
      </c>
      <c r="W1909" s="159" t="s">
        <v>2138</v>
      </c>
      <c r="X1909" s="160">
        <v>1</v>
      </c>
      <c r="Y1909" s="160">
        <v>1</v>
      </c>
      <c r="Z1909" s="160">
        <v>1</v>
      </c>
      <c r="AA1909" s="160">
        <v>1</v>
      </c>
    </row>
    <row r="1910" spans="1:27" ht="18" customHeight="1" x14ac:dyDescent="0.25">
      <c r="A1910" s="159">
        <v>4489</v>
      </c>
      <c r="B1910" s="157" t="s">
        <v>29</v>
      </c>
      <c r="C1910" s="157" t="s">
        <v>30</v>
      </c>
      <c r="D1910" s="159" t="s">
        <v>112</v>
      </c>
      <c r="E1910" s="157" t="s">
        <v>110</v>
      </c>
      <c r="F1910" s="157"/>
      <c r="G1910" s="157" t="s">
        <v>1536</v>
      </c>
      <c r="H1910" s="157" t="s">
        <v>1354</v>
      </c>
      <c r="I1910" s="157" t="s">
        <v>9560</v>
      </c>
      <c r="J1910" s="157"/>
      <c r="K1910" s="157" t="s">
        <v>1281</v>
      </c>
      <c r="L1910" s="157" t="s">
        <v>1355</v>
      </c>
      <c r="M1910" s="157" t="str">
        <f t="shared" si="39"/>
        <v>Steering Wheel Column Switches - Driving Commands</v>
      </c>
      <c r="N1910" s="157"/>
      <c r="O1910" s="157"/>
      <c r="P1910" s="159" t="s">
        <v>6487</v>
      </c>
      <c r="Q1910" s="157" t="s">
        <v>2115</v>
      </c>
      <c r="R1910" s="157" t="s">
        <v>8725</v>
      </c>
      <c r="S1910" s="157" t="s">
        <v>8726</v>
      </c>
      <c r="T1910" s="157"/>
      <c r="U1910" s="159" t="s">
        <v>2138</v>
      </c>
      <c r="V1910" s="159" t="s">
        <v>2138</v>
      </c>
      <c r="W1910" s="159" t="s">
        <v>2138</v>
      </c>
      <c r="X1910" s="160">
        <v>1</v>
      </c>
      <c r="Y1910" s="160">
        <v>1</v>
      </c>
      <c r="Z1910" s="160">
        <v>1</v>
      </c>
      <c r="AA1910" s="160">
        <v>1</v>
      </c>
    </row>
    <row r="1911" spans="1:27" ht="18" customHeight="1" x14ac:dyDescent="0.25">
      <c r="A1911" s="159">
        <v>4489</v>
      </c>
      <c r="B1911" s="157" t="s">
        <v>29</v>
      </c>
      <c r="C1911" s="157" t="s">
        <v>30</v>
      </c>
      <c r="D1911" s="159" t="s">
        <v>174</v>
      </c>
      <c r="E1911" s="157" t="s">
        <v>172</v>
      </c>
      <c r="F1911" s="157"/>
      <c r="G1911" s="157" t="s">
        <v>1536</v>
      </c>
      <c r="H1911" s="157" t="s">
        <v>1354</v>
      </c>
      <c r="I1911" s="157" t="s">
        <v>9560</v>
      </c>
      <c r="J1911" s="157"/>
      <c r="K1911" s="157" t="s">
        <v>1281</v>
      </c>
      <c r="L1911" s="157" t="s">
        <v>1355</v>
      </c>
      <c r="M1911" s="157" t="str">
        <f t="shared" si="39"/>
        <v>Steering Wheel Column Switches - Driving Commands</v>
      </c>
      <c r="N1911" s="157"/>
      <c r="O1911" s="157"/>
      <c r="P1911" s="159" t="s">
        <v>6487</v>
      </c>
      <c r="Q1911" s="157" t="s">
        <v>2115</v>
      </c>
      <c r="R1911" s="157" t="s">
        <v>8725</v>
      </c>
      <c r="S1911" s="157" t="s">
        <v>8726</v>
      </c>
      <c r="T1911" s="157"/>
      <c r="U1911" s="159" t="s">
        <v>2138</v>
      </c>
      <c r="V1911" s="159" t="s">
        <v>2138</v>
      </c>
      <c r="W1911" s="159" t="s">
        <v>2138</v>
      </c>
      <c r="X1911" s="160">
        <v>1</v>
      </c>
      <c r="Y1911" s="160">
        <v>1</v>
      </c>
      <c r="Z1911" s="160">
        <v>1</v>
      </c>
      <c r="AA1911" s="160">
        <v>1</v>
      </c>
    </row>
    <row r="1912" spans="1:27" ht="18" customHeight="1" x14ac:dyDescent="0.25">
      <c r="A1912" s="159">
        <v>4489</v>
      </c>
      <c r="B1912" s="157" t="s">
        <v>29</v>
      </c>
      <c r="C1912" s="157" t="s">
        <v>30</v>
      </c>
      <c r="D1912" s="159" t="s">
        <v>220</v>
      </c>
      <c r="E1912" s="157" t="s">
        <v>218</v>
      </c>
      <c r="F1912" s="157"/>
      <c r="G1912" s="157" t="s">
        <v>1536</v>
      </c>
      <c r="H1912" s="157" t="s">
        <v>1354</v>
      </c>
      <c r="I1912" s="157" t="s">
        <v>9560</v>
      </c>
      <c r="J1912" s="157"/>
      <c r="K1912" s="157" t="s">
        <v>1281</v>
      </c>
      <c r="L1912" s="157" t="s">
        <v>1355</v>
      </c>
      <c r="M1912" s="157" t="str">
        <f t="shared" si="39"/>
        <v>Steering Wheel Column Switches - Driving Commands</v>
      </c>
      <c r="N1912" s="157"/>
      <c r="O1912" s="157"/>
      <c r="P1912" s="159" t="s">
        <v>6487</v>
      </c>
      <c r="Q1912" s="157" t="s">
        <v>2115</v>
      </c>
      <c r="R1912" s="157" t="s">
        <v>8725</v>
      </c>
      <c r="S1912" s="157" t="s">
        <v>8726</v>
      </c>
      <c r="T1912" s="157"/>
      <c r="U1912" s="159" t="s">
        <v>2138</v>
      </c>
      <c r="V1912" s="159" t="s">
        <v>2138</v>
      </c>
      <c r="W1912" s="159" t="s">
        <v>2138</v>
      </c>
      <c r="X1912" s="160">
        <v>1</v>
      </c>
      <c r="Y1912" s="160">
        <v>1</v>
      </c>
      <c r="Z1912" s="160">
        <v>1</v>
      </c>
      <c r="AA1912" s="160">
        <v>1</v>
      </c>
    </row>
    <row r="1913" spans="1:27" ht="18" customHeight="1" x14ac:dyDescent="0.25">
      <c r="A1913" s="159">
        <v>4489</v>
      </c>
      <c r="B1913" s="157" t="s">
        <v>29</v>
      </c>
      <c r="C1913" s="157" t="s">
        <v>30</v>
      </c>
      <c r="D1913" s="159" t="s">
        <v>185</v>
      </c>
      <c r="E1913" s="157" t="s">
        <v>391</v>
      </c>
      <c r="F1913" s="157"/>
      <c r="G1913" s="157" t="s">
        <v>1536</v>
      </c>
      <c r="H1913" s="157" t="s">
        <v>1354</v>
      </c>
      <c r="I1913" s="157" t="s">
        <v>9560</v>
      </c>
      <c r="J1913" s="157"/>
      <c r="K1913" s="157" t="s">
        <v>1281</v>
      </c>
      <c r="L1913" s="157" t="s">
        <v>1355</v>
      </c>
      <c r="M1913" s="157" t="str">
        <f t="shared" si="39"/>
        <v>Steering Wheel Column Switches - Driving Commands</v>
      </c>
      <c r="N1913" s="157"/>
      <c r="O1913" s="157"/>
      <c r="P1913" s="159" t="s">
        <v>6487</v>
      </c>
      <c r="Q1913" s="157" t="s">
        <v>2115</v>
      </c>
      <c r="R1913" s="157" t="s">
        <v>8725</v>
      </c>
      <c r="S1913" s="157" t="s">
        <v>8726</v>
      </c>
      <c r="T1913" s="157"/>
      <c r="U1913" s="159" t="s">
        <v>2138</v>
      </c>
      <c r="V1913" s="159" t="s">
        <v>2138</v>
      </c>
      <c r="W1913" s="159" t="s">
        <v>2138</v>
      </c>
      <c r="X1913" s="160">
        <v>1</v>
      </c>
      <c r="Y1913" s="160">
        <v>1</v>
      </c>
      <c r="Z1913" s="160">
        <v>1</v>
      </c>
      <c r="AA1913" s="160">
        <v>1</v>
      </c>
    </row>
    <row r="1914" spans="1:27" ht="18" customHeight="1" x14ac:dyDescent="0.25">
      <c r="A1914" s="159">
        <v>4489</v>
      </c>
      <c r="B1914" s="157" t="s">
        <v>29</v>
      </c>
      <c r="C1914" s="157" t="s">
        <v>30</v>
      </c>
      <c r="D1914" s="159" t="s">
        <v>395</v>
      </c>
      <c r="E1914" s="157" t="s">
        <v>393</v>
      </c>
      <c r="F1914" s="157"/>
      <c r="G1914" s="157" t="s">
        <v>1536</v>
      </c>
      <c r="H1914" s="157" t="s">
        <v>1354</v>
      </c>
      <c r="I1914" s="157" t="s">
        <v>9560</v>
      </c>
      <c r="J1914" s="157"/>
      <c r="K1914" s="157" t="s">
        <v>1281</v>
      </c>
      <c r="L1914" s="157" t="s">
        <v>1355</v>
      </c>
      <c r="M1914" s="157" t="str">
        <f t="shared" si="39"/>
        <v>Steering Wheel Column Switches - Driving Commands</v>
      </c>
      <c r="N1914" s="157"/>
      <c r="O1914" s="157"/>
      <c r="P1914" s="159" t="s">
        <v>6487</v>
      </c>
      <c r="Q1914" s="157" t="s">
        <v>2115</v>
      </c>
      <c r="R1914" s="157" t="s">
        <v>8725</v>
      </c>
      <c r="S1914" s="157" t="s">
        <v>8726</v>
      </c>
      <c r="T1914" s="157"/>
      <c r="U1914" s="159" t="s">
        <v>2138</v>
      </c>
      <c r="V1914" s="159" t="s">
        <v>2138</v>
      </c>
      <c r="W1914" s="159" t="s">
        <v>2138</v>
      </c>
      <c r="X1914" s="160">
        <v>1</v>
      </c>
      <c r="Y1914" s="160">
        <v>1</v>
      </c>
      <c r="Z1914" s="160">
        <v>1</v>
      </c>
      <c r="AA1914" s="160">
        <v>1</v>
      </c>
    </row>
    <row r="1915" spans="1:27" ht="18" customHeight="1" x14ac:dyDescent="0.25">
      <c r="A1915" s="159">
        <v>4489</v>
      </c>
      <c r="B1915" s="157" t="s">
        <v>29</v>
      </c>
      <c r="C1915" s="157" t="s">
        <v>30</v>
      </c>
      <c r="D1915" s="159" t="s">
        <v>398</v>
      </c>
      <c r="E1915" s="157" t="s">
        <v>396</v>
      </c>
      <c r="F1915" s="157"/>
      <c r="G1915" s="157" t="s">
        <v>1536</v>
      </c>
      <c r="H1915" s="157" t="s">
        <v>1354</v>
      </c>
      <c r="I1915" s="157" t="s">
        <v>9560</v>
      </c>
      <c r="J1915" s="157"/>
      <c r="K1915" s="157" t="s">
        <v>1281</v>
      </c>
      <c r="L1915" s="157" t="s">
        <v>1355</v>
      </c>
      <c r="M1915" s="157" t="str">
        <f t="shared" si="39"/>
        <v>Steering Wheel Column Switches - Driving Commands</v>
      </c>
      <c r="N1915" s="157"/>
      <c r="O1915" s="157"/>
      <c r="P1915" s="159" t="s">
        <v>6487</v>
      </c>
      <c r="Q1915" s="157" t="s">
        <v>2115</v>
      </c>
      <c r="R1915" s="157" t="s">
        <v>8725</v>
      </c>
      <c r="S1915" s="157" t="s">
        <v>8726</v>
      </c>
      <c r="T1915" s="157"/>
      <c r="U1915" s="159" t="s">
        <v>2138</v>
      </c>
      <c r="V1915" s="159" t="s">
        <v>2138</v>
      </c>
      <c r="W1915" s="159" t="s">
        <v>2138</v>
      </c>
      <c r="X1915" s="160">
        <v>1</v>
      </c>
      <c r="Y1915" s="160">
        <v>1</v>
      </c>
      <c r="Z1915" s="160">
        <v>1</v>
      </c>
      <c r="AA1915" s="160">
        <v>1</v>
      </c>
    </row>
    <row r="1916" spans="1:27" ht="18" customHeight="1" x14ac:dyDescent="0.25">
      <c r="A1916" s="159">
        <v>4489</v>
      </c>
      <c r="B1916" s="157" t="s">
        <v>29</v>
      </c>
      <c r="C1916" s="157" t="s">
        <v>30</v>
      </c>
      <c r="D1916" s="159" t="s">
        <v>96</v>
      </c>
      <c r="E1916" s="157" t="s">
        <v>402</v>
      </c>
      <c r="F1916" s="157"/>
      <c r="G1916" s="157" t="s">
        <v>1536</v>
      </c>
      <c r="H1916" s="157" t="s">
        <v>1354</v>
      </c>
      <c r="I1916" s="157" t="s">
        <v>9560</v>
      </c>
      <c r="J1916" s="157"/>
      <c r="K1916" s="157" t="s">
        <v>1281</v>
      </c>
      <c r="L1916" s="157" t="s">
        <v>1355</v>
      </c>
      <c r="M1916" s="157" t="str">
        <f t="shared" si="39"/>
        <v>Steering Wheel Column Switches - Driving Commands</v>
      </c>
      <c r="N1916" s="157"/>
      <c r="O1916" s="157"/>
      <c r="P1916" s="159" t="s">
        <v>6487</v>
      </c>
      <c r="Q1916" s="157" t="s">
        <v>2115</v>
      </c>
      <c r="R1916" s="157" t="s">
        <v>8725</v>
      </c>
      <c r="S1916" s="157" t="s">
        <v>8726</v>
      </c>
      <c r="T1916" s="157"/>
      <c r="U1916" s="159" t="s">
        <v>2138</v>
      </c>
      <c r="V1916" s="159" t="s">
        <v>2138</v>
      </c>
      <c r="W1916" s="159" t="s">
        <v>2138</v>
      </c>
      <c r="X1916" s="160">
        <v>1</v>
      </c>
      <c r="Y1916" s="160">
        <v>1</v>
      </c>
      <c r="Z1916" s="160">
        <v>1</v>
      </c>
      <c r="AA1916" s="160">
        <v>1</v>
      </c>
    </row>
    <row r="1917" spans="1:27" ht="18" customHeight="1" x14ac:dyDescent="0.25">
      <c r="A1917" s="159">
        <v>4489</v>
      </c>
      <c r="B1917" s="157" t="s">
        <v>29</v>
      </c>
      <c r="C1917" s="157" t="s">
        <v>30</v>
      </c>
      <c r="D1917" s="159" t="s">
        <v>749</v>
      </c>
      <c r="E1917" s="157" t="s">
        <v>747</v>
      </c>
      <c r="F1917" s="157"/>
      <c r="G1917" s="157" t="s">
        <v>1536</v>
      </c>
      <c r="H1917" s="157" t="s">
        <v>1354</v>
      </c>
      <c r="I1917" s="157" t="s">
        <v>9560</v>
      </c>
      <c r="J1917" s="157"/>
      <c r="K1917" s="157" t="s">
        <v>1281</v>
      </c>
      <c r="L1917" s="157" t="s">
        <v>1355</v>
      </c>
      <c r="M1917" s="157" t="str">
        <f t="shared" si="39"/>
        <v>Steering Wheel Column Switches - Driving Commands</v>
      </c>
      <c r="N1917" s="157"/>
      <c r="O1917" s="157"/>
      <c r="P1917" s="159" t="s">
        <v>6487</v>
      </c>
      <c r="Q1917" s="157" t="s">
        <v>2115</v>
      </c>
      <c r="R1917" s="157" t="s">
        <v>8725</v>
      </c>
      <c r="S1917" s="157" t="s">
        <v>8726</v>
      </c>
      <c r="T1917" s="157"/>
      <c r="U1917" s="159" t="s">
        <v>2138</v>
      </c>
      <c r="V1917" s="159" t="s">
        <v>2138</v>
      </c>
      <c r="W1917" s="159" t="s">
        <v>2138</v>
      </c>
      <c r="X1917" s="160">
        <v>1</v>
      </c>
      <c r="Y1917" s="160">
        <v>1</v>
      </c>
      <c r="Z1917" s="160">
        <v>1</v>
      </c>
      <c r="AA1917" s="160">
        <v>1</v>
      </c>
    </row>
    <row r="1918" spans="1:27" ht="18" customHeight="1" x14ac:dyDescent="0.25">
      <c r="A1918" s="159">
        <v>4489</v>
      </c>
      <c r="B1918" s="157" t="s">
        <v>29</v>
      </c>
      <c r="C1918" s="157" t="s">
        <v>207</v>
      </c>
      <c r="D1918" s="159" t="s">
        <v>210</v>
      </c>
      <c r="E1918" s="157" t="s">
        <v>208</v>
      </c>
      <c r="F1918" s="157"/>
      <c r="G1918" s="157" t="s">
        <v>1536</v>
      </c>
      <c r="H1918" s="157" t="s">
        <v>1354</v>
      </c>
      <c r="I1918" s="157" t="s">
        <v>9560</v>
      </c>
      <c r="J1918" s="157"/>
      <c r="K1918" s="157" t="s">
        <v>1281</v>
      </c>
      <c r="L1918" s="157" t="s">
        <v>1355</v>
      </c>
      <c r="M1918" s="157" t="str">
        <f t="shared" si="39"/>
        <v>Steering Wheel Column Switches - Driving Commands</v>
      </c>
      <c r="N1918" s="157"/>
      <c r="O1918" s="157"/>
      <c r="P1918" s="159" t="s">
        <v>6487</v>
      </c>
      <c r="Q1918" s="157" t="s">
        <v>2115</v>
      </c>
      <c r="R1918" s="157" t="s">
        <v>8725</v>
      </c>
      <c r="S1918" s="157" t="s">
        <v>8726</v>
      </c>
      <c r="T1918" s="157"/>
      <c r="U1918" s="159" t="s">
        <v>2138</v>
      </c>
      <c r="V1918" s="159" t="s">
        <v>2138</v>
      </c>
      <c r="W1918" s="159" t="s">
        <v>2138</v>
      </c>
      <c r="X1918" s="160">
        <v>1</v>
      </c>
      <c r="Y1918" s="160">
        <v>1</v>
      </c>
      <c r="Z1918" s="160">
        <v>1</v>
      </c>
      <c r="AA1918" s="160">
        <v>1</v>
      </c>
    </row>
    <row r="1919" spans="1:27" ht="18" customHeight="1" x14ac:dyDescent="0.25">
      <c r="A1919" s="159">
        <v>4489</v>
      </c>
      <c r="B1919" s="157" t="s">
        <v>29</v>
      </c>
      <c r="C1919" s="157" t="s">
        <v>207</v>
      </c>
      <c r="D1919" s="159" t="s">
        <v>211</v>
      </c>
      <c r="E1919" s="157" t="s">
        <v>249</v>
      </c>
      <c r="F1919" s="157"/>
      <c r="G1919" s="157" t="s">
        <v>1536</v>
      </c>
      <c r="H1919" s="157" t="s">
        <v>1354</v>
      </c>
      <c r="I1919" s="157" t="s">
        <v>9560</v>
      </c>
      <c r="J1919" s="157"/>
      <c r="K1919" s="157" t="s">
        <v>1281</v>
      </c>
      <c r="L1919" s="157" t="s">
        <v>1355</v>
      </c>
      <c r="M1919" s="157" t="str">
        <f t="shared" si="39"/>
        <v>Steering Wheel Column Switches - Driving Commands</v>
      </c>
      <c r="N1919" s="157"/>
      <c r="O1919" s="157"/>
      <c r="P1919" s="159" t="s">
        <v>6487</v>
      </c>
      <c r="Q1919" s="157" t="s">
        <v>2115</v>
      </c>
      <c r="R1919" s="157" t="s">
        <v>8725</v>
      </c>
      <c r="S1919" s="157" t="s">
        <v>8726</v>
      </c>
      <c r="T1919" s="157"/>
      <c r="U1919" s="159" t="s">
        <v>2138</v>
      </c>
      <c r="V1919" s="159" t="s">
        <v>2138</v>
      </c>
      <c r="W1919" s="159" t="s">
        <v>2138</v>
      </c>
      <c r="X1919" s="160">
        <v>1</v>
      </c>
      <c r="Y1919" s="160">
        <v>1</v>
      </c>
      <c r="Z1919" s="160">
        <v>1</v>
      </c>
      <c r="AA1919" s="160">
        <v>1</v>
      </c>
    </row>
    <row r="1920" spans="1:27" ht="18" customHeight="1" x14ac:dyDescent="0.25">
      <c r="A1920" s="159">
        <v>4489</v>
      </c>
      <c r="B1920" s="157" t="s">
        <v>29</v>
      </c>
      <c r="C1920" s="157" t="s">
        <v>153</v>
      </c>
      <c r="D1920" s="159" t="s">
        <v>157</v>
      </c>
      <c r="E1920" s="157" t="s">
        <v>381</v>
      </c>
      <c r="F1920" s="157"/>
      <c r="G1920" s="157" t="s">
        <v>1536</v>
      </c>
      <c r="H1920" s="157" t="s">
        <v>1354</v>
      </c>
      <c r="I1920" s="157" t="s">
        <v>9560</v>
      </c>
      <c r="J1920" s="157"/>
      <c r="K1920" s="157" t="s">
        <v>1281</v>
      </c>
      <c r="L1920" s="157" t="s">
        <v>1355</v>
      </c>
      <c r="M1920" s="157" t="str">
        <f t="shared" si="39"/>
        <v>Steering Wheel Column Switches - Driving Commands</v>
      </c>
      <c r="N1920" s="157"/>
      <c r="O1920" s="157"/>
      <c r="P1920" s="159" t="s">
        <v>6487</v>
      </c>
      <c r="Q1920" s="157" t="s">
        <v>2115</v>
      </c>
      <c r="R1920" s="157" t="s">
        <v>8725</v>
      </c>
      <c r="S1920" s="157" t="s">
        <v>8726</v>
      </c>
      <c r="T1920" s="157"/>
      <c r="U1920" s="159" t="s">
        <v>2138</v>
      </c>
      <c r="V1920" s="159" t="s">
        <v>2138</v>
      </c>
      <c r="W1920" s="159" t="s">
        <v>2138</v>
      </c>
      <c r="X1920" s="160">
        <v>1</v>
      </c>
      <c r="Y1920" s="160">
        <v>1</v>
      </c>
      <c r="Z1920" s="160">
        <v>1</v>
      </c>
      <c r="AA1920" s="160">
        <v>1</v>
      </c>
    </row>
    <row r="1921" spans="1:27" ht="18" customHeight="1" x14ac:dyDescent="0.25">
      <c r="A1921" s="159">
        <v>4489</v>
      </c>
      <c r="B1921" s="157" t="s">
        <v>29</v>
      </c>
      <c r="C1921" s="157" t="s">
        <v>153</v>
      </c>
      <c r="D1921" s="159" t="s">
        <v>587</v>
      </c>
      <c r="E1921" s="157" t="s">
        <v>585</v>
      </c>
      <c r="F1921" s="157"/>
      <c r="G1921" s="157" t="s">
        <v>1536</v>
      </c>
      <c r="H1921" s="157" t="s">
        <v>1354</v>
      </c>
      <c r="I1921" s="157" t="s">
        <v>9560</v>
      </c>
      <c r="J1921" s="157"/>
      <c r="K1921" s="157" t="s">
        <v>1281</v>
      </c>
      <c r="L1921" s="157" t="s">
        <v>1355</v>
      </c>
      <c r="M1921" s="157" t="str">
        <f t="shared" si="39"/>
        <v>Steering Wheel Column Switches - Driving Commands</v>
      </c>
      <c r="N1921" s="157"/>
      <c r="O1921" s="157"/>
      <c r="P1921" s="159" t="s">
        <v>6487</v>
      </c>
      <c r="Q1921" s="157" t="s">
        <v>2115</v>
      </c>
      <c r="R1921" s="157" t="s">
        <v>8725</v>
      </c>
      <c r="S1921" s="157" t="s">
        <v>8726</v>
      </c>
      <c r="T1921" s="157"/>
      <c r="U1921" s="159" t="s">
        <v>2138</v>
      </c>
      <c r="V1921" s="159" t="s">
        <v>2138</v>
      </c>
      <c r="W1921" s="159" t="s">
        <v>2138</v>
      </c>
      <c r="X1921" s="160">
        <v>1</v>
      </c>
      <c r="Y1921" s="160">
        <v>1</v>
      </c>
      <c r="Z1921" s="160">
        <v>1</v>
      </c>
      <c r="AA1921" s="160">
        <v>1</v>
      </c>
    </row>
    <row r="1922" spans="1:27" ht="18" customHeight="1" x14ac:dyDescent="0.25">
      <c r="A1922" s="159">
        <v>4489</v>
      </c>
      <c r="B1922" s="157" t="s">
        <v>77</v>
      </c>
      <c r="C1922" s="157" t="s">
        <v>128</v>
      </c>
      <c r="D1922" s="159" t="s">
        <v>223</v>
      </c>
      <c r="E1922" s="157" t="s">
        <v>221</v>
      </c>
      <c r="F1922" s="157"/>
      <c r="G1922" s="157" t="s">
        <v>1536</v>
      </c>
      <c r="H1922" s="157" t="s">
        <v>1354</v>
      </c>
      <c r="I1922" s="157" t="s">
        <v>9560</v>
      </c>
      <c r="J1922" s="157"/>
      <c r="K1922" s="157" t="s">
        <v>1281</v>
      </c>
      <c r="L1922" s="157" t="s">
        <v>1355</v>
      </c>
      <c r="M1922" s="157" t="str">
        <f t="shared" si="39"/>
        <v>Steering Wheel Column Switches - Driving Commands</v>
      </c>
      <c r="N1922" s="157"/>
      <c r="O1922" s="157"/>
      <c r="P1922" s="159" t="s">
        <v>6487</v>
      </c>
      <c r="Q1922" s="157" t="s">
        <v>2115</v>
      </c>
      <c r="R1922" s="157" t="s">
        <v>8725</v>
      </c>
      <c r="S1922" s="157" t="s">
        <v>8726</v>
      </c>
      <c r="T1922" s="157"/>
      <c r="U1922" s="159" t="s">
        <v>2129</v>
      </c>
      <c r="V1922" s="159" t="s">
        <v>2129</v>
      </c>
      <c r="W1922" s="159" t="s">
        <v>2138</v>
      </c>
      <c r="X1922" s="160">
        <v>1</v>
      </c>
      <c r="Y1922" s="160">
        <v>1</v>
      </c>
      <c r="Z1922" s="160">
        <v>1</v>
      </c>
      <c r="AA1922" s="160">
        <v>1</v>
      </c>
    </row>
    <row r="1923" spans="1:27" ht="18" customHeight="1" x14ac:dyDescent="0.25">
      <c r="A1923" s="159">
        <v>4489</v>
      </c>
      <c r="B1923" s="157" t="s">
        <v>63</v>
      </c>
      <c r="C1923" s="157" t="s">
        <v>224</v>
      </c>
      <c r="D1923" s="159" t="s">
        <v>227</v>
      </c>
      <c r="E1923" s="157" t="s">
        <v>225</v>
      </c>
      <c r="F1923" s="157"/>
      <c r="G1923" s="157" t="s">
        <v>1536</v>
      </c>
      <c r="H1923" s="157" t="s">
        <v>1354</v>
      </c>
      <c r="I1923" s="157" t="s">
        <v>9560</v>
      </c>
      <c r="J1923" s="157"/>
      <c r="K1923" s="157" t="s">
        <v>1281</v>
      </c>
      <c r="L1923" s="157" t="s">
        <v>1355</v>
      </c>
      <c r="M1923" s="157" t="str">
        <f t="shared" si="39"/>
        <v>Steering Wheel Column Switches - Driving Commands</v>
      </c>
      <c r="N1923" s="157"/>
      <c r="O1923" s="157"/>
      <c r="P1923" s="159" t="s">
        <v>6487</v>
      </c>
      <c r="Q1923" s="157" t="s">
        <v>2115</v>
      </c>
      <c r="R1923" s="157" t="s">
        <v>8725</v>
      </c>
      <c r="S1923" s="157" t="s">
        <v>8726</v>
      </c>
      <c r="T1923" s="157"/>
      <c r="U1923" s="159" t="s">
        <v>2138</v>
      </c>
      <c r="V1923" s="159" t="s">
        <v>2138</v>
      </c>
      <c r="W1923" s="159" t="s">
        <v>2138</v>
      </c>
      <c r="X1923" s="160">
        <v>1</v>
      </c>
      <c r="Y1923" s="160">
        <v>1</v>
      </c>
      <c r="Z1923" s="160">
        <v>1</v>
      </c>
      <c r="AA1923" s="160">
        <v>1</v>
      </c>
    </row>
    <row r="1924" spans="1:27" ht="18" customHeight="1" x14ac:dyDescent="0.25">
      <c r="A1924" s="159">
        <v>4489</v>
      </c>
      <c r="B1924" s="157" t="s">
        <v>63</v>
      </c>
      <c r="C1924" s="157" t="s">
        <v>224</v>
      </c>
      <c r="D1924" s="159" t="s">
        <v>900</v>
      </c>
      <c r="E1924" s="157" t="s">
        <v>898</v>
      </c>
      <c r="F1924" s="157"/>
      <c r="G1924" s="157" t="s">
        <v>1536</v>
      </c>
      <c r="H1924" s="157" t="s">
        <v>1354</v>
      </c>
      <c r="I1924" s="157" t="s">
        <v>9560</v>
      </c>
      <c r="J1924" s="157"/>
      <c r="K1924" s="157" t="s">
        <v>1281</v>
      </c>
      <c r="L1924" s="157" t="s">
        <v>1355</v>
      </c>
      <c r="M1924" s="157" t="str">
        <f t="shared" si="39"/>
        <v>Steering Wheel Column Switches - Driving Commands</v>
      </c>
      <c r="N1924" s="157"/>
      <c r="O1924" s="157"/>
      <c r="P1924" s="159" t="s">
        <v>6487</v>
      </c>
      <c r="Q1924" s="157" t="s">
        <v>2115</v>
      </c>
      <c r="R1924" s="157" t="s">
        <v>8725</v>
      </c>
      <c r="S1924" s="157" t="s">
        <v>8726</v>
      </c>
      <c r="T1924" s="157"/>
      <c r="U1924" s="159" t="s">
        <v>2129</v>
      </c>
      <c r="V1924" s="159" t="s">
        <v>2129</v>
      </c>
      <c r="W1924" s="159" t="s">
        <v>2138</v>
      </c>
      <c r="X1924" s="160">
        <v>1</v>
      </c>
      <c r="Y1924" s="160">
        <v>1</v>
      </c>
      <c r="Z1924" s="160">
        <v>1</v>
      </c>
      <c r="AA1924" s="160">
        <v>1</v>
      </c>
    </row>
    <row r="1925" spans="1:27" ht="18" customHeight="1" x14ac:dyDescent="0.25">
      <c r="A1925" s="159">
        <v>4489</v>
      </c>
      <c r="B1925" s="157" t="s">
        <v>22</v>
      </c>
      <c r="C1925" s="157" t="s">
        <v>40</v>
      </c>
      <c r="D1925" s="159" t="s">
        <v>44</v>
      </c>
      <c r="E1925" s="157" t="s">
        <v>48</v>
      </c>
      <c r="F1925" s="157"/>
      <c r="G1925" s="157" t="s">
        <v>1536</v>
      </c>
      <c r="H1925" s="157" t="s">
        <v>1354</v>
      </c>
      <c r="I1925" s="157" t="s">
        <v>9560</v>
      </c>
      <c r="J1925" s="157"/>
      <c r="K1925" s="157" t="s">
        <v>1281</v>
      </c>
      <c r="L1925" s="157" t="s">
        <v>1355</v>
      </c>
      <c r="M1925" s="157" t="str">
        <f t="shared" si="39"/>
        <v>Steering Wheel Column Switches - Driving Commands</v>
      </c>
      <c r="N1925" s="157"/>
      <c r="O1925" s="157"/>
      <c r="P1925" s="159" t="s">
        <v>6487</v>
      </c>
      <c r="Q1925" s="157" t="s">
        <v>2115</v>
      </c>
      <c r="R1925" s="157" t="s">
        <v>8725</v>
      </c>
      <c r="S1925" s="157" t="s">
        <v>8726</v>
      </c>
      <c r="T1925" s="157"/>
      <c r="U1925" s="159" t="s">
        <v>2138</v>
      </c>
      <c r="V1925" s="159" t="s">
        <v>2138</v>
      </c>
      <c r="W1925" s="159" t="s">
        <v>2138</v>
      </c>
      <c r="X1925" s="160">
        <v>1</v>
      </c>
      <c r="Y1925" s="160">
        <v>1</v>
      </c>
      <c r="Z1925" s="160">
        <v>1</v>
      </c>
      <c r="AA1925" s="160">
        <v>1</v>
      </c>
    </row>
    <row r="1926" spans="1:27" ht="18" customHeight="1" x14ac:dyDescent="0.25">
      <c r="A1926" s="159">
        <v>4489</v>
      </c>
      <c r="B1926" s="157" t="s">
        <v>22</v>
      </c>
      <c r="C1926" s="157" t="s">
        <v>40</v>
      </c>
      <c r="D1926" s="159" t="s">
        <v>76</v>
      </c>
      <c r="E1926" s="157" t="s">
        <v>74</v>
      </c>
      <c r="F1926" s="157"/>
      <c r="G1926" s="157" t="s">
        <v>1536</v>
      </c>
      <c r="H1926" s="157" t="s">
        <v>1354</v>
      </c>
      <c r="I1926" s="157" t="s">
        <v>9560</v>
      </c>
      <c r="J1926" s="157"/>
      <c r="K1926" s="157" t="s">
        <v>1281</v>
      </c>
      <c r="L1926" s="157" t="s">
        <v>1355</v>
      </c>
      <c r="M1926" s="157" t="str">
        <f t="shared" si="39"/>
        <v>Steering Wheel Column Switches - Driving Commands</v>
      </c>
      <c r="N1926" s="157"/>
      <c r="O1926" s="157"/>
      <c r="P1926" s="159" t="s">
        <v>6487</v>
      </c>
      <c r="Q1926" s="157" t="s">
        <v>2115</v>
      </c>
      <c r="R1926" s="157" t="s">
        <v>8725</v>
      </c>
      <c r="S1926" s="157" t="s">
        <v>8726</v>
      </c>
      <c r="T1926" s="157"/>
      <c r="U1926" s="159" t="s">
        <v>2129</v>
      </c>
      <c r="V1926" s="159" t="s">
        <v>2129</v>
      </c>
      <c r="W1926" s="159" t="s">
        <v>2138</v>
      </c>
      <c r="X1926" s="160">
        <v>1</v>
      </c>
      <c r="Y1926" s="160">
        <v>1</v>
      </c>
      <c r="Z1926" s="160">
        <v>1</v>
      </c>
      <c r="AA1926" s="160">
        <v>1</v>
      </c>
    </row>
    <row r="1927" spans="1:27" ht="18" customHeight="1" x14ac:dyDescent="0.25">
      <c r="A1927" s="159">
        <v>4489</v>
      </c>
      <c r="B1927" s="157" t="s">
        <v>251</v>
      </c>
      <c r="C1927" s="157" t="s">
        <v>311</v>
      </c>
      <c r="D1927" s="159" t="s">
        <v>314</v>
      </c>
      <c r="E1927" s="157" t="s">
        <v>312</v>
      </c>
      <c r="F1927" s="157"/>
      <c r="G1927" s="157" t="s">
        <v>1536</v>
      </c>
      <c r="H1927" s="157" t="s">
        <v>1354</v>
      </c>
      <c r="I1927" s="157" t="s">
        <v>9560</v>
      </c>
      <c r="J1927" s="157"/>
      <c r="K1927" s="157" t="s">
        <v>1281</v>
      </c>
      <c r="L1927" s="157" t="s">
        <v>1355</v>
      </c>
      <c r="M1927" s="157" t="str">
        <f t="shared" si="39"/>
        <v>Steering Wheel Column Switches - Driving Commands</v>
      </c>
      <c r="N1927" s="157"/>
      <c r="O1927" s="157"/>
      <c r="P1927" s="159" t="s">
        <v>6487</v>
      </c>
      <c r="Q1927" s="157" t="s">
        <v>2115</v>
      </c>
      <c r="R1927" s="157" t="s">
        <v>8725</v>
      </c>
      <c r="S1927" s="157" t="s">
        <v>8726</v>
      </c>
      <c r="T1927" s="157"/>
      <c r="U1927" s="159" t="s">
        <v>2129</v>
      </c>
      <c r="V1927" s="159" t="s">
        <v>2138</v>
      </c>
      <c r="W1927" s="159" t="s">
        <v>2138</v>
      </c>
      <c r="X1927" s="160">
        <v>1</v>
      </c>
      <c r="Y1927" s="160">
        <v>1</v>
      </c>
      <c r="Z1927" s="160">
        <v>1</v>
      </c>
      <c r="AA1927" s="160">
        <v>1</v>
      </c>
    </row>
    <row r="1928" spans="1:27" ht="18" customHeight="1" x14ac:dyDescent="0.25">
      <c r="A1928" s="159">
        <v>4489</v>
      </c>
      <c r="B1928" s="157" t="s">
        <v>266</v>
      </c>
      <c r="C1928" s="157" t="s">
        <v>276</v>
      </c>
      <c r="D1928" s="159" t="s">
        <v>279</v>
      </c>
      <c r="E1928" s="157" t="s">
        <v>277</v>
      </c>
      <c r="F1928" s="157"/>
      <c r="G1928" s="157" t="s">
        <v>1536</v>
      </c>
      <c r="H1928" s="157" t="s">
        <v>1354</v>
      </c>
      <c r="I1928" s="157" t="s">
        <v>9560</v>
      </c>
      <c r="J1928" s="157"/>
      <c r="K1928" s="157" t="s">
        <v>1281</v>
      </c>
      <c r="L1928" s="157" t="s">
        <v>1355</v>
      </c>
      <c r="M1928" s="157" t="str">
        <f t="shared" si="39"/>
        <v>Steering Wheel Column Switches - Driving Commands</v>
      </c>
      <c r="N1928" s="157"/>
      <c r="O1928" s="157"/>
      <c r="P1928" s="159" t="s">
        <v>6487</v>
      </c>
      <c r="Q1928" s="157" t="s">
        <v>2115</v>
      </c>
      <c r="R1928" s="157" t="s">
        <v>8725</v>
      </c>
      <c r="S1928" s="157" t="s">
        <v>8726</v>
      </c>
      <c r="T1928" s="157"/>
      <c r="U1928" s="159" t="s">
        <v>2129</v>
      </c>
      <c r="V1928" s="159" t="s">
        <v>2129</v>
      </c>
      <c r="W1928" s="159" t="s">
        <v>2138</v>
      </c>
      <c r="X1928" s="160">
        <v>1</v>
      </c>
      <c r="Y1928" s="160">
        <v>1</v>
      </c>
      <c r="Z1928" s="160">
        <v>1</v>
      </c>
      <c r="AA1928" s="160">
        <v>1</v>
      </c>
    </row>
    <row r="1929" spans="1:27" ht="18" customHeight="1" x14ac:dyDescent="0.25">
      <c r="A1929" s="159">
        <v>4489</v>
      </c>
      <c r="B1929" s="157" t="s">
        <v>266</v>
      </c>
      <c r="C1929" s="157" t="s">
        <v>276</v>
      </c>
      <c r="D1929" s="159" t="s">
        <v>1213</v>
      </c>
      <c r="E1929" s="157" t="s">
        <v>1211</v>
      </c>
      <c r="F1929" s="157"/>
      <c r="G1929" s="157" t="s">
        <v>1536</v>
      </c>
      <c r="H1929" s="157" t="s">
        <v>1354</v>
      </c>
      <c r="I1929" s="157" t="s">
        <v>9560</v>
      </c>
      <c r="J1929" s="157"/>
      <c r="K1929" s="157" t="s">
        <v>1281</v>
      </c>
      <c r="L1929" s="157" t="s">
        <v>1355</v>
      </c>
      <c r="M1929" s="157" t="str">
        <f t="shared" si="39"/>
        <v>Steering Wheel Column Switches - Driving Commands</v>
      </c>
      <c r="N1929" s="157"/>
      <c r="O1929" s="157"/>
      <c r="P1929" s="159" t="s">
        <v>6487</v>
      </c>
      <c r="Q1929" s="157" t="s">
        <v>2115</v>
      </c>
      <c r="R1929" s="157" t="s">
        <v>8725</v>
      </c>
      <c r="S1929" s="157" t="s">
        <v>8726</v>
      </c>
      <c r="T1929" s="157"/>
      <c r="U1929" s="159" t="s">
        <v>2129</v>
      </c>
      <c r="V1929" s="159" t="s">
        <v>2129</v>
      </c>
      <c r="W1929" s="159" t="s">
        <v>2138</v>
      </c>
      <c r="X1929" s="160">
        <v>1</v>
      </c>
      <c r="Y1929" s="160">
        <v>1</v>
      </c>
      <c r="Z1929" s="160">
        <v>1</v>
      </c>
      <c r="AA1929" s="160">
        <v>1</v>
      </c>
    </row>
    <row r="1930" spans="1:27" ht="18" customHeight="1" x14ac:dyDescent="0.25">
      <c r="A1930" s="159">
        <v>4489</v>
      </c>
      <c r="B1930" s="157" t="s">
        <v>266</v>
      </c>
      <c r="C1930" s="157" t="s">
        <v>276</v>
      </c>
      <c r="D1930" s="159" t="s">
        <v>304</v>
      </c>
      <c r="E1930" s="157" t="s">
        <v>1239</v>
      </c>
      <c r="F1930" s="157"/>
      <c r="G1930" s="157" t="s">
        <v>1536</v>
      </c>
      <c r="H1930" s="157" t="s">
        <v>1354</v>
      </c>
      <c r="I1930" s="157" t="s">
        <v>9560</v>
      </c>
      <c r="J1930" s="157"/>
      <c r="K1930" s="157" t="s">
        <v>1281</v>
      </c>
      <c r="L1930" s="157" t="s">
        <v>1355</v>
      </c>
      <c r="M1930" s="157" t="str">
        <f t="shared" ref="M1930:M1993" si="40">CONCATENATE(L1930," - ",I1930)</f>
        <v>Steering Wheel Column Switches - Driving Commands</v>
      </c>
      <c r="N1930" s="157"/>
      <c r="O1930" s="157"/>
      <c r="P1930" s="159" t="s">
        <v>6487</v>
      </c>
      <c r="Q1930" s="157" t="s">
        <v>2115</v>
      </c>
      <c r="R1930" s="157" t="s">
        <v>8725</v>
      </c>
      <c r="S1930" s="157" t="s">
        <v>8726</v>
      </c>
      <c r="T1930" s="157"/>
      <c r="U1930" s="159" t="s">
        <v>2129</v>
      </c>
      <c r="V1930" s="159" t="s">
        <v>2138</v>
      </c>
      <c r="W1930" s="159" t="s">
        <v>2138</v>
      </c>
      <c r="X1930" s="160">
        <v>1</v>
      </c>
      <c r="Y1930" s="160">
        <v>1</v>
      </c>
      <c r="Z1930" s="160">
        <v>1</v>
      </c>
      <c r="AA1930" s="160">
        <v>1</v>
      </c>
    </row>
    <row r="1931" spans="1:27" ht="18" customHeight="1" x14ac:dyDescent="0.25">
      <c r="A1931" s="159">
        <v>4489</v>
      </c>
      <c r="B1931" s="157" t="s">
        <v>266</v>
      </c>
      <c r="C1931" s="157" t="s">
        <v>514</v>
      </c>
      <c r="D1931" s="159" t="s">
        <v>517</v>
      </c>
      <c r="E1931" s="157" t="s">
        <v>515</v>
      </c>
      <c r="F1931" s="157"/>
      <c r="G1931" s="157" t="s">
        <v>1536</v>
      </c>
      <c r="H1931" s="157" t="s">
        <v>1354</v>
      </c>
      <c r="I1931" s="157" t="s">
        <v>9560</v>
      </c>
      <c r="J1931" s="157"/>
      <c r="K1931" s="157" t="s">
        <v>1281</v>
      </c>
      <c r="L1931" s="157" t="s">
        <v>1355</v>
      </c>
      <c r="M1931" s="157" t="str">
        <f t="shared" si="40"/>
        <v>Steering Wheel Column Switches - Driving Commands</v>
      </c>
      <c r="N1931" s="157"/>
      <c r="O1931" s="157"/>
      <c r="P1931" s="159" t="s">
        <v>6487</v>
      </c>
      <c r="Q1931" s="157" t="s">
        <v>2115</v>
      </c>
      <c r="R1931" s="157" t="s">
        <v>8725</v>
      </c>
      <c r="S1931" s="157" t="s">
        <v>8726</v>
      </c>
      <c r="T1931" s="157"/>
      <c r="U1931" s="159" t="s">
        <v>2129</v>
      </c>
      <c r="V1931" s="159" t="s">
        <v>2129</v>
      </c>
      <c r="W1931" s="159" t="s">
        <v>2138</v>
      </c>
      <c r="X1931" s="160">
        <v>1</v>
      </c>
      <c r="Y1931" s="160">
        <v>1</v>
      </c>
      <c r="Z1931" s="160">
        <v>1</v>
      </c>
      <c r="AA1931" s="160">
        <v>1</v>
      </c>
    </row>
    <row r="1932" spans="1:27" ht="18" customHeight="1" x14ac:dyDescent="0.25">
      <c r="A1932" s="159">
        <v>4489</v>
      </c>
      <c r="B1932" s="157" t="s">
        <v>266</v>
      </c>
      <c r="C1932" s="157" t="s">
        <v>514</v>
      </c>
      <c r="D1932" s="159" t="s">
        <v>730</v>
      </c>
      <c r="E1932" s="157" t="s">
        <v>728</v>
      </c>
      <c r="F1932" s="157"/>
      <c r="G1932" s="157" t="s">
        <v>1536</v>
      </c>
      <c r="H1932" s="157" t="s">
        <v>1354</v>
      </c>
      <c r="I1932" s="157" t="s">
        <v>9560</v>
      </c>
      <c r="J1932" s="157"/>
      <c r="K1932" s="157" t="s">
        <v>1281</v>
      </c>
      <c r="L1932" s="157" t="s">
        <v>1355</v>
      </c>
      <c r="M1932" s="157" t="str">
        <f t="shared" si="40"/>
        <v>Steering Wheel Column Switches - Driving Commands</v>
      </c>
      <c r="N1932" s="157"/>
      <c r="O1932" s="157"/>
      <c r="P1932" s="159" t="s">
        <v>6487</v>
      </c>
      <c r="Q1932" s="157" t="s">
        <v>2115</v>
      </c>
      <c r="R1932" s="157" t="s">
        <v>8725</v>
      </c>
      <c r="S1932" s="157" t="s">
        <v>8726</v>
      </c>
      <c r="T1932" s="157"/>
      <c r="U1932" s="159" t="s">
        <v>2129</v>
      </c>
      <c r="V1932" s="159" t="s">
        <v>2129</v>
      </c>
      <c r="W1932" s="159" t="s">
        <v>2138</v>
      </c>
      <c r="X1932" s="160">
        <v>1</v>
      </c>
      <c r="Y1932" s="160">
        <v>1</v>
      </c>
      <c r="Z1932" s="160">
        <v>1</v>
      </c>
      <c r="AA1932" s="160">
        <v>1</v>
      </c>
    </row>
    <row r="1933" spans="1:27" ht="18" customHeight="1" x14ac:dyDescent="0.25">
      <c r="A1933" s="159">
        <v>4489</v>
      </c>
      <c r="B1933" s="157" t="s">
        <v>266</v>
      </c>
      <c r="C1933" s="157" t="s">
        <v>514</v>
      </c>
      <c r="D1933" s="159" t="s">
        <v>731</v>
      </c>
      <c r="E1933" s="157" t="s">
        <v>795</v>
      </c>
      <c r="F1933" s="157"/>
      <c r="G1933" s="157" t="s">
        <v>1536</v>
      </c>
      <c r="H1933" s="157" t="s">
        <v>1354</v>
      </c>
      <c r="I1933" s="157" t="s">
        <v>9560</v>
      </c>
      <c r="J1933" s="157"/>
      <c r="K1933" s="157" t="s">
        <v>1281</v>
      </c>
      <c r="L1933" s="157" t="s">
        <v>1355</v>
      </c>
      <c r="M1933" s="157" t="str">
        <f t="shared" si="40"/>
        <v>Steering Wheel Column Switches - Driving Commands</v>
      </c>
      <c r="N1933" s="157"/>
      <c r="O1933" s="157"/>
      <c r="P1933" s="159" t="s">
        <v>6487</v>
      </c>
      <c r="Q1933" s="157" t="s">
        <v>2115</v>
      </c>
      <c r="R1933" s="157" t="s">
        <v>8725</v>
      </c>
      <c r="S1933" s="157" t="s">
        <v>8726</v>
      </c>
      <c r="T1933" s="157"/>
      <c r="U1933" s="159" t="s">
        <v>2129</v>
      </c>
      <c r="V1933" s="159" t="s">
        <v>2129</v>
      </c>
      <c r="W1933" s="159" t="s">
        <v>2138</v>
      </c>
      <c r="X1933" s="160">
        <v>1</v>
      </c>
      <c r="Y1933" s="160">
        <v>1</v>
      </c>
      <c r="Z1933" s="160">
        <v>1</v>
      </c>
      <c r="AA1933" s="160">
        <v>1</v>
      </c>
    </row>
    <row r="1934" spans="1:27" ht="18" customHeight="1" x14ac:dyDescent="0.25">
      <c r="A1934" s="159">
        <v>4489</v>
      </c>
      <c r="B1934" s="157" t="s">
        <v>266</v>
      </c>
      <c r="C1934" s="157" t="s">
        <v>514</v>
      </c>
      <c r="D1934" s="159" t="s">
        <v>1170</v>
      </c>
      <c r="E1934" s="157" t="s">
        <v>1168</v>
      </c>
      <c r="F1934" s="157"/>
      <c r="G1934" s="157" t="s">
        <v>1536</v>
      </c>
      <c r="H1934" s="157" t="s">
        <v>1354</v>
      </c>
      <c r="I1934" s="157" t="s">
        <v>9560</v>
      </c>
      <c r="J1934" s="157"/>
      <c r="K1934" s="157" t="s">
        <v>1281</v>
      </c>
      <c r="L1934" s="157" t="s">
        <v>1355</v>
      </c>
      <c r="M1934" s="157" t="str">
        <f t="shared" si="40"/>
        <v>Steering Wheel Column Switches - Driving Commands</v>
      </c>
      <c r="N1934" s="157"/>
      <c r="O1934" s="157"/>
      <c r="P1934" s="159" t="s">
        <v>6487</v>
      </c>
      <c r="Q1934" s="157" t="s">
        <v>2115</v>
      </c>
      <c r="R1934" s="157" t="s">
        <v>8725</v>
      </c>
      <c r="S1934" s="157" t="s">
        <v>8726</v>
      </c>
      <c r="T1934" s="157"/>
      <c r="U1934" s="159" t="s">
        <v>2129</v>
      </c>
      <c r="V1934" s="159" t="s">
        <v>2129</v>
      </c>
      <c r="W1934" s="159" t="s">
        <v>2138</v>
      </c>
      <c r="X1934" s="160">
        <v>1</v>
      </c>
      <c r="Y1934" s="160">
        <v>1</v>
      </c>
      <c r="Z1934" s="160">
        <v>1</v>
      </c>
      <c r="AA1934" s="160">
        <v>1</v>
      </c>
    </row>
    <row r="1935" spans="1:27" ht="18" customHeight="1" x14ac:dyDescent="0.25">
      <c r="A1935" s="159">
        <v>4489</v>
      </c>
      <c r="B1935" s="157" t="s">
        <v>266</v>
      </c>
      <c r="C1935" s="157" t="s">
        <v>519</v>
      </c>
      <c r="D1935" s="159" t="s">
        <v>522</v>
      </c>
      <c r="E1935" s="157" t="s">
        <v>520</v>
      </c>
      <c r="F1935" s="157"/>
      <c r="G1935" s="157" t="s">
        <v>1536</v>
      </c>
      <c r="H1935" s="157" t="s">
        <v>1354</v>
      </c>
      <c r="I1935" s="157" t="s">
        <v>9560</v>
      </c>
      <c r="J1935" s="157"/>
      <c r="K1935" s="157" t="s">
        <v>1281</v>
      </c>
      <c r="L1935" s="157" t="s">
        <v>1355</v>
      </c>
      <c r="M1935" s="157" t="str">
        <f t="shared" si="40"/>
        <v>Steering Wheel Column Switches - Driving Commands</v>
      </c>
      <c r="N1935" s="157"/>
      <c r="O1935" s="157"/>
      <c r="P1935" s="159" t="s">
        <v>6487</v>
      </c>
      <c r="Q1935" s="157" t="s">
        <v>2115</v>
      </c>
      <c r="R1935" s="157" t="s">
        <v>8725</v>
      </c>
      <c r="S1935" s="157" t="s">
        <v>8726</v>
      </c>
      <c r="T1935" s="157"/>
      <c r="U1935" s="159" t="s">
        <v>2129</v>
      </c>
      <c r="V1935" s="159" t="s">
        <v>2129</v>
      </c>
      <c r="W1935" s="159" t="s">
        <v>2138</v>
      </c>
      <c r="X1935" s="160">
        <v>1</v>
      </c>
      <c r="Y1935" s="160">
        <v>1</v>
      </c>
      <c r="Z1935" s="160">
        <v>1</v>
      </c>
      <c r="AA1935" s="160">
        <v>1</v>
      </c>
    </row>
    <row r="1936" spans="1:27" ht="18" customHeight="1" x14ac:dyDescent="0.25">
      <c r="A1936" s="159">
        <v>4490</v>
      </c>
      <c r="B1936" s="157" t="s">
        <v>29</v>
      </c>
      <c r="C1936" s="157" t="s">
        <v>120</v>
      </c>
      <c r="D1936" s="159" t="s">
        <v>247</v>
      </c>
      <c r="E1936" s="157" t="s">
        <v>245</v>
      </c>
      <c r="F1936" s="157" t="s">
        <v>1264</v>
      </c>
      <c r="G1936" s="157" t="s">
        <v>1536</v>
      </c>
      <c r="H1936" s="157" t="s">
        <v>1431</v>
      </c>
      <c r="I1936" s="157" t="s">
        <v>1787</v>
      </c>
      <c r="J1936" s="157" t="s">
        <v>1788</v>
      </c>
      <c r="K1936" s="157" t="s">
        <v>1269</v>
      </c>
      <c r="L1936" s="157" t="s">
        <v>1789</v>
      </c>
      <c r="M1936" s="157" t="str">
        <f t="shared" si="40"/>
        <v>Spray Nozzle Heater L - Spray Nozzle Heater</v>
      </c>
      <c r="N1936" s="157"/>
      <c r="O1936" s="157"/>
      <c r="P1936" s="159" t="s">
        <v>2351</v>
      </c>
      <c r="Q1936" s="157" t="s">
        <v>2115</v>
      </c>
      <c r="R1936" s="157" t="s">
        <v>2135</v>
      </c>
      <c r="S1936" s="157" t="s">
        <v>8643</v>
      </c>
      <c r="T1936" s="157"/>
      <c r="U1936" s="159" t="s">
        <v>2129</v>
      </c>
      <c r="V1936" s="159" t="s">
        <v>2129</v>
      </c>
      <c r="W1936" s="159" t="s">
        <v>2138</v>
      </c>
      <c r="X1936" s="160">
        <v>0</v>
      </c>
      <c r="Y1936" s="160">
        <f>2/20</f>
        <v>0.1</v>
      </c>
      <c r="Z1936" s="160">
        <f>2/20</f>
        <v>0.1</v>
      </c>
      <c r="AA1936" s="160">
        <v>0</v>
      </c>
    </row>
    <row r="1937" spans="1:27" ht="18" customHeight="1" x14ac:dyDescent="0.25">
      <c r="A1937" s="159">
        <v>4491</v>
      </c>
      <c r="B1937" s="157" t="s">
        <v>29</v>
      </c>
      <c r="C1937" s="157" t="s">
        <v>120</v>
      </c>
      <c r="D1937" s="159" t="s">
        <v>247</v>
      </c>
      <c r="E1937" s="157" t="s">
        <v>245</v>
      </c>
      <c r="F1937" s="157" t="s">
        <v>1264</v>
      </c>
      <c r="G1937" s="157" t="s">
        <v>1536</v>
      </c>
      <c r="H1937" s="157" t="s">
        <v>1431</v>
      </c>
      <c r="I1937" s="157" t="s">
        <v>1787</v>
      </c>
      <c r="J1937" s="157" t="s">
        <v>1788</v>
      </c>
      <c r="K1937" s="157" t="s">
        <v>1269</v>
      </c>
      <c r="L1937" s="157" t="s">
        <v>1790</v>
      </c>
      <c r="M1937" s="157" t="str">
        <f t="shared" si="40"/>
        <v>Spray Nozzle Heater R - Spray Nozzle Heater</v>
      </c>
      <c r="N1937" s="157"/>
      <c r="O1937" s="157"/>
      <c r="P1937" s="159" t="s">
        <v>2369</v>
      </c>
      <c r="Q1937" s="157" t="s">
        <v>2115</v>
      </c>
      <c r="R1937" s="157" t="s">
        <v>2135</v>
      </c>
      <c r="S1937" s="157" t="s">
        <v>8643</v>
      </c>
      <c r="T1937" s="157"/>
      <c r="U1937" s="159" t="s">
        <v>2129</v>
      </c>
      <c r="V1937" s="159" t="s">
        <v>2129</v>
      </c>
      <c r="W1937" s="159" t="s">
        <v>2138</v>
      </c>
      <c r="X1937" s="160">
        <v>0</v>
      </c>
      <c r="Y1937" s="160">
        <f>2/20</f>
        <v>0.1</v>
      </c>
      <c r="Z1937" s="160">
        <f>2/20</f>
        <v>0.1</v>
      </c>
      <c r="AA1937" s="160">
        <v>0</v>
      </c>
    </row>
    <row r="1938" spans="1:27" ht="18" customHeight="1" x14ac:dyDescent="0.25">
      <c r="A1938" s="159">
        <v>4492</v>
      </c>
      <c r="B1938" s="157" t="s">
        <v>29</v>
      </c>
      <c r="C1938" s="157" t="s">
        <v>153</v>
      </c>
      <c r="D1938" s="159" t="s">
        <v>156</v>
      </c>
      <c r="E1938" s="157" t="s">
        <v>154</v>
      </c>
      <c r="F1938" s="157" t="s">
        <v>1264</v>
      </c>
      <c r="G1938" s="157" t="s">
        <v>1536</v>
      </c>
      <c r="H1938" s="157" t="s">
        <v>1431</v>
      </c>
      <c r="I1938" s="157" t="s">
        <v>1791</v>
      </c>
      <c r="J1938" s="157" t="s">
        <v>1791</v>
      </c>
      <c r="K1938" s="157" t="s">
        <v>1269</v>
      </c>
      <c r="L1938" s="157" t="s">
        <v>9656</v>
      </c>
      <c r="M1938" s="157" t="str">
        <f t="shared" si="40"/>
        <v>Washer Pump - Headlamps Washer</v>
      </c>
      <c r="N1938" s="157"/>
      <c r="O1938" s="157"/>
      <c r="P1938" s="159" t="s">
        <v>2918</v>
      </c>
      <c r="Q1938" s="157" t="s">
        <v>2115</v>
      </c>
      <c r="R1938" s="157" t="s">
        <v>2130</v>
      </c>
      <c r="S1938" s="157" t="s">
        <v>8609</v>
      </c>
      <c r="T1938" s="157" t="s">
        <v>2129</v>
      </c>
      <c r="U1938" s="159" t="s">
        <v>2129</v>
      </c>
      <c r="V1938" s="159" t="s">
        <v>2129</v>
      </c>
      <c r="W1938" s="159" t="s">
        <v>2138</v>
      </c>
      <c r="X1938" s="160">
        <v>0</v>
      </c>
      <c r="Y1938" s="160">
        <f>2*5/(20*60)</f>
        <v>8.3333333333333332E-3</v>
      </c>
      <c r="Z1938" s="160">
        <f>4*5/(20*60)</f>
        <v>1.6666666666666666E-2</v>
      </c>
      <c r="AA1938" s="160">
        <f>4*5/(20*60)</f>
        <v>1.6666666666666666E-2</v>
      </c>
    </row>
    <row r="1939" spans="1:27" ht="18" customHeight="1" x14ac:dyDescent="0.25">
      <c r="A1939" s="159">
        <v>4493</v>
      </c>
      <c r="B1939" s="157"/>
      <c r="C1939" s="157"/>
      <c r="D1939" s="159"/>
      <c r="E1939" s="157"/>
      <c r="F1939" s="157"/>
      <c r="G1939" s="157" t="s">
        <v>1278</v>
      </c>
      <c r="H1939" s="157" t="s">
        <v>1347</v>
      </c>
      <c r="I1939" s="157" t="s">
        <v>8508</v>
      </c>
      <c r="J1939" s="157"/>
      <c r="K1939" s="157" t="s">
        <v>1281</v>
      </c>
      <c r="L1939" s="157" t="s">
        <v>8507</v>
      </c>
      <c r="M1939" s="157" t="str">
        <f t="shared" si="40"/>
        <v>Seat Memory Switch - Memory Selector - Driver Seat</v>
      </c>
      <c r="N1939" s="157"/>
      <c r="O1939" s="157"/>
      <c r="P1939" s="159" t="s">
        <v>7578</v>
      </c>
      <c r="Q1939" s="157"/>
      <c r="R1939" s="157"/>
      <c r="S1939" s="157"/>
      <c r="T1939" s="157"/>
      <c r="U1939" s="159" t="s">
        <v>2129</v>
      </c>
      <c r="V1939" s="159" t="s">
        <v>2129</v>
      </c>
      <c r="W1939" s="159" t="s">
        <v>2138</v>
      </c>
      <c r="X1939" s="160">
        <v>0</v>
      </c>
      <c r="Y1939" s="160">
        <v>0</v>
      </c>
      <c r="Z1939" s="160">
        <v>0</v>
      </c>
      <c r="AA1939" s="160">
        <v>0</v>
      </c>
    </row>
    <row r="1940" spans="1:27" ht="18" customHeight="1" x14ac:dyDescent="0.25">
      <c r="A1940" s="159">
        <v>4494</v>
      </c>
      <c r="B1940" s="157" t="s">
        <v>29</v>
      </c>
      <c r="C1940" s="157" t="s">
        <v>69</v>
      </c>
      <c r="D1940" s="159" t="s">
        <v>168</v>
      </c>
      <c r="E1940" s="157" t="s">
        <v>166</v>
      </c>
      <c r="F1940" s="157"/>
      <c r="G1940" s="157" t="s">
        <v>13</v>
      </c>
      <c r="H1940" s="157" t="s">
        <v>1602</v>
      </c>
      <c r="I1940" s="157" t="s">
        <v>1603</v>
      </c>
      <c r="J1940" s="157" t="s">
        <v>1792</v>
      </c>
      <c r="K1940" s="157"/>
      <c r="L1940" s="157" t="s">
        <v>1605</v>
      </c>
      <c r="M1940" s="157" t="str">
        <f t="shared" si="40"/>
        <v>Ignition Switch - Vehicle Start and Stop</v>
      </c>
      <c r="N1940" s="157"/>
      <c r="O1940" s="157"/>
      <c r="P1940" s="159" t="s">
        <v>5838</v>
      </c>
      <c r="Q1940" s="157"/>
      <c r="R1940" s="157"/>
      <c r="S1940" s="157"/>
      <c r="T1940" s="157"/>
      <c r="U1940" s="159" t="s">
        <v>2129</v>
      </c>
      <c r="V1940" s="159" t="s">
        <v>2138</v>
      </c>
      <c r="W1940" s="159" t="s">
        <v>2138</v>
      </c>
      <c r="X1940" s="160">
        <v>1</v>
      </c>
      <c r="Y1940" s="160">
        <v>1</v>
      </c>
      <c r="Z1940" s="160">
        <v>1</v>
      </c>
      <c r="AA1940" s="160">
        <v>1</v>
      </c>
    </row>
    <row r="1941" spans="1:27" ht="18" customHeight="1" x14ac:dyDescent="0.25">
      <c r="A1941" s="159">
        <v>4494</v>
      </c>
      <c r="B1941" s="157" t="s">
        <v>29</v>
      </c>
      <c r="C1941" s="157" t="s">
        <v>69</v>
      </c>
      <c r="D1941" s="159" t="s">
        <v>169</v>
      </c>
      <c r="E1941" s="157" t="s">
        <v>170</v>
      </c>
      <c r="F1941" s="157"/>
      <c r="G1941" s="157" t="s">
        <v>13</v>
      </c>
      <c r="H1941" s="157" t="s">
        <v>1602</v>
      </c>
      <c r="I1941" s="157" t="s">
        <v>1603</v>
      </c>
      <c r="J1941" s="157" t="s">
        <v>1792</v>
      </c>
      <c r="K1941" s="157"/>
      <c r="L1941" s="157" t="s">
        <v>1605</v>
      </c>
      <c r="M1941" s="157" t="str">
        <f t="shared" si="40"/>
        <v>Ignition Switch - Vehicle Start and Stop</v>
      </c>
      <c r="N1941" s="157"/>
      <c r="O1941" s="157"/>
      <c r="P1941" s="159" t="s">
        <v>5838</v>
      </c>
      <c r="Q1941" s="157"/>
      <c r="R1941" s="157"/>
      <c r="S1941" s="157"/>
      <c r="T1941" s="157"/>
      <c r="U1941" s="159" t="s">
        <v>2129</v>
      </c>
      <c r="V1941" s="159" t="s">
        <v>2138</v>
      </c>
      <c r="W1941" s="159" t="s">
        <v>2138</v>
      </c>
      <c r="X1941" s="160">
        <v>1</v>
      </c>
      <c r="Y1941" s="160">
        <v>1</v>
      </c>
      <c r="Z1941" s="160">
        <v>1</v>
      </c>
      <c r="AA1941" s="160">
        <v>1</v>
      </c>
    </row>
    <row r="1942" spans="1:27" ht="18" customHeight="1" x14ac:dyDescent="0.25">
      <c r="A1942" s="159">
        <v>4494</v>
      </c>
      <c r="B1942" s="157" t="s">
        <v>318</v>
      </c>
      <c r="C1942" s="157" t="s">
        <v>764</v>
      </c>
      <c r="D1942" s="159" t="s">
        <v>767</v>
      </c>
      <c r="E1942" s="157" t="s">
        <v>765</v>
      </c>
      <c r="F1942" s="157"/>
      <c r="G1942" s="157" t="s">
        <v>13</v>
      </c>
      <c r="H1942" s="157" t="s">
        <v>1602</v>
      </c>
      <c r="I1942" s="157" t="s">
        <v>1603</v>
      </c>
      <c r="J1942" s="157" t="s">
        <v>1792</v>
      </c>
      <c r="K1942" s="157"/>
      <c r="L1942" s="157" t="s">
        <v>1605</v>
      </c>
      <c r="M1942" s="157" t="str">
        <f t="shared" si="40"/>
        <v>Ignition Switch - Vehicle Start and Stop</v>
      </c>
      <c r="N1942" s="157"/>
      <c r="O1942" s="157"/>
      <c r="P1942" s="159" t="s">
        <v>5838</v>
      </c>
      <c r="Q1942" s="157"/>
      <c r="R1942" s="157"/>
      <c r="S1942" s="157"/>
      <c r="T1942" s="157"/>
      <c r="U1942" s="159" t="s">
        <v>2129</v>
      </c>
      <c r="V1942" s="159" t="s">
        <v>2138</v>
      </c>
      <c r="W1942" s="159" t="s">
        <v>2138</v>
      </c>
      <c r="X1942" s="160">
        <v>1</v>
      </c>
      <c r="Y1942" s="160">
        <v>1</v>
      </c>
      <c r="Z1942" s="160">
        <v>1</v>
      </c>
      <c r="AA1942" s="160">
        <v>1</v>
      </c>
    </row>
    <row r="1943" spans="1:27" ht="18" customHeight="1" x14ac:dyDescent="0.25">
      <c r="A1943" s="159">
        <v>4494</v>
      </c>
      <c r="B1943" s="157" t="s">
        <v>318</v>
      </c>
      <c r="C1943" s="157" t="s">
        <v>764</v>
      </c>
      <c r="D1943" s="159" t="s">
        <v>773</v>
      </c>
      <c r="E1943" s="157" t="s">
        <v>771</v>
      </c>
      <c r="F1943" s="157"/>
      <c r="G1943" s="157" t="s">
        <v>13</v>
      </c>
      <c r="H1943" s="157" t="s">
        <v>1602</v>
      </c>
      <c r="I1943" s="157" t="s">
        <v>1603</v>
      </c>
      <c r="J1943" s="157" t="s">
        <v>1792</v>
      </c>
      <c r="K1943" s="157"/>
      <c r="L1943" s="157" t="s">
        <v>1605</v>
      </c>
      <c r="M1943" s="157" t="str">
        <f t="shared" si="40"/>
        <v>Ignition Switch - Vehicle Start and Stop</v>
      </c>
      <c r="N1943" s="157"/>
      <c r="O1943" s="157"/>
      <c r="P1943" s="159" t="s">
        <v>5838</v>
      </c>
      <c r="Q1943" s="157"/>
      <c r="R1943" s="157"/>
      <c r="S1943" s="157"/>
      <c r="T1943" s="157"/>
      <c r="U1943" s="159" t="s">
        <v>2129</v>
      </c>
      <c r="V1943" s="159" t="s">
        <v>2138</v>
      </c>
      <c r="W1943" s="159" t="s">
        <v>2138</v>
      </c>
      <c r="X1943" s="160">
        <v>1</v>
      </c>
      <c r="Y1943" s="160">
        <v>1</v>
      </c>
      <c r="Z1943" s="160">
        <v>1</v>
      </c>
      <c r="AA1943" s="160">
        <v>1</v>
      </c>
    </row>
    <row r="1944" spans="1:27" ht="18" customHeight="1" x14ac:dyDescent="0.25">
      <c r="A1944" s="159">
        <v>4494</v>
      </c>
      <c r="B1944" s="157" t="s">
        <v>318</v>
      </c>
      <c r="C1944" s="157" t="s">
        <v>764</v>
      </c>
      <c r="D1944" s="159" t="s">
        <v>1164</v>
      </c>
      <c r="E1944" s="157" t="s">
        <v>1162</v>
      </c>
      <c r="F1944" s="157"/>
      <c r="G1944" s="157" t="s">
        <v>13</v>
      </c>
      <c r="H1944" s="157" t="s">
        <v>1602</v>
      </c>
      <c r="I1944" s="157" t="s">
        <v>1603</v>
      </c>
      <c r="J1944" s="157" t="s">
        <v>1792</v>
      </c>
      <c r="K1944" s="157"/>
      <c r="L1944" s="157" t="s">
        <v>1605</v>
      </c>
      <c r="M1944" s="157" t="str">
        <f t="shared" si="40"/>
        <v>Ignition Switch - Vehicle Start and Stop</v>
      </c>
      <c r="N1944" s="157"/>
      <c r="O1944" s="157"/>
      <c r="P1944" s="159" t="s">
        <v>5838</v>
      </c>
      <c r="Q1944" s="157"/>
      <c r="R1944" s="157"/>
      <c r="S1944" s="157"/>
      <c r="T1944" s="157"/>
      <c r="U1944" s="159" t="s">
        <v>2129</v>
      </c>
      <c r="V1944" s="159" t="s">
        <v>2138</v>
      </c>
      <c r="W1944" s="159" t="s">
        <v>2138</v>
      </c>
      <c r="X1944" s="160">
        <v>1</v>
      </c>
      <c r="Y1944" s="160">
        <v>1</v>
      </c>
      <c r="Z1944" s="160">
        <v>1</v>
      </c>
      <c r="AA1944" s="160">
        <v>1</v>
      </c>
    </row>
    <row r="1945" spans="1:27" ht="18" customHeight="1" x14ac:dyDescent="0.25">
      <c r="A1945" s="159">
        <v>4495</v>
      </c>
      <c r="B1945" s="157" t="s">
        <v>57</v>
      </c>
      <c r="C1945" s="157" t="s">
        <v>58</v>
      </c>
      <c r="D1945" s="159" t="s">
        <v>2090</v>
      </c>
      <c r="E1945" s="157" t="s">
        <v>1677</v>
      </c>
      <c r="F1945" s="157"/>
      <c r="G1945" s="157" t="s">
        <v>1278</v>
      </c>
      <c r="H1945" s="157" t="s">
        <v>1677</v>
      </c>
      <c r="I1945" s="157" t="s">
        <v>9548</v>
      </c>
      <c r="J1945" s="157" t="s">
        <v>1649</v>
      </c>
      <c r="K1945" s="157" t="s">
        <v>1269</v>
      </c>
      <c r="L1945" s="157" t="s">
        <v>9549</v>
      </c>
      <c r="M1945" s="157" t="str">
        <f t="shared" si="40"/>
        <v>Additional Heating Unit (Valve and Fuel Pump) - Parking Heater</v>
      </c>
      <c r="N1945" s="157"/>
      <c r="O1945" s="157"/>
      <c r="P1945" s="159"/>
      <c r="Q1945" s="157"/>
      <c r="R1945" s="157"/>
      <c r="S1945" s="157"/>
      <c r="T1945" s="157"/>
      <c r="U1945" s="159" t="s">
        <v>2129</v>
      </c>
      <c r="V1945" s="159" t="s">
        <v>2129</v>
      </c>
      <c r="W1945" s="159" t="s">
        <v>2129</v>
      </c>
      <c r="X1945" s="160">
        <v>1</v>
      </c>
      <c r="Y1945" s="160">
        <v>1</v>
      </c>
      <c r="Z1945" s="160">
        <v>1</v>
      </c>
      <c r="AA1945" s="160">
        <v>1</v>
      </c>
    </row>
    <row r="1946" spans="1:27" ht="18" customHeight="1" x14ac:dyDescent="0.25">
      <c r="A1946" s="159">
        <v>4496</v>
      </c>
      <c r="B1946" s="157" t="s">
        <v>57</v>
      </c>
      <c r="C1946" s="157" t="s">
        <v>58</v>
      </c>
      <c r="D1946" s="159" t="s">
        <v>2090</v>
      </c>
      <c r="E1946" s="157" t="s">
        <v>1677</v>
      </c>
      <c r="F1946" s="157"/>
      <c r="G1946" s="157" t="s">
        <v>1278</v>
      </c>
      <c r="H1946" s="157" t="s">
        <v>1677</v>
      </c>
      <c r="I1946" s="157" t="s">
        <v>9548</v>
      </c>
      <c r="J1946" s="157" t="s">
        <v>1649</v>
      </c>
      <c r="K1946" s="157" t="s">
        <v>1269</v>
      </c>
      <c r="L1946" s="157" t="s">
        <v>9549</v>
      </c>
      <c r="M1946" s="157" t="str">
        <f t="shared" si="40"/>
        <v>Additional Heating Unit (Valve and Fuel Pump) - Parking Heater</v>
      </c>
      <c r="N1946" s="157"/>
      <c r="O1946" s="157"/>
      <c r="P1946" s="159"/>
      <c r="Q1946" s="157"/>
      <c r="R1946" s="157"/>
      <c r="S1946" s="157"/>
      <c r="T1946" s="157"/>
      <c r="U1946" s="159" t="s">
        <v>2129</v>
      </c>
      <c r="V1946" s="159" t="s">
        <v>2129</v>
      </c>
      <c r="W1946" s="159" t="s">
        <v>2129</v>
      </c>
      <c r="X1946" s="160"/>
      <c r="Y1946" s="160"/>
      <c r="Z1946" s="160"/>
      <c r="AA1946" s="160"/>
    </row>
    <row r="1947" spans="1:27" ht="18" customHeight="1" x14ac:dyDescent="0.25">
      <c r="A1947" s="159">
        <v>4497</v>
      </c>
      <c r="B1947" s="157" t="s">
        <v>280</v>
      </c>
      <c r="C1947" s="157" t="s">
        <v>354</v>
      </c>
      <c r="D1947" s="159" t="s">
        <v>1048</v>
      </c>
      <c r="E1947" s="157" t="s">
        <v>1046</v>
      </c>
      <c r="F1947" s="157" t="s">
        <v>1010</v>
      </c>
      <c r="G1947" s="157" t="s">
        <v>1265</v>
      </c>
      <c r="H1947" s="157" t="s">
        <v>1458</v>
      </c>
      <c r="I1947" s="157" t="s">
        <v>1793</v>
      </c>
      <c r="J1947" s="157" t="s">
        <v>1713</v>
      </c>
      <c r="K1947" s="157" t="s">
        <v>1480</v>
      </c>
      <c r="L1947" s="157" t="s">
        <v>1672</v>
      </c>
      <c r="M1947" s="157" t="str">
        <f t="shared" si="40"/>
        <v>Loudspeaker - Door Front Left - Woofer Speaker</v>
      </c>
      <c r="N1947" s="157"/>
      <c r="O1947" s="157"/>
      <c r="P1947" s="159" t="s">
        <v>7937</v>
      </c>
      <c r="Q1947" s="157" t="s">
        <v>2115</v>
      </c>
      <c r="R1947" s="157" t="s">
        <v>2123</v>
      </c>
      <c r="S1947" s="157" t="s">
        <v>8639</v>
      </c>
      <c r="T1947" s="157"/>
      <c r="U1947" s="159" t="s">
        <v>2129</v>
      </c>
      <c r="V1947" s="159" t="s">
        <v>2129</v>
      </c>
      <c r="W1947" s="159" t="s">
        <v>2138</v>
      </c>
      <c r="X1947" s="160">
        <v>0.25</v>
      </c>
      <c r="Y1947" s="160">
        <v>0.35</v>
      </c>
      <c r="Z1947" s="160">
        <v>0.4</v>
      </c>
      <c r="AA1947" s="160">
        <v>0.3</v>
      </c>
    </row>
    <row r="1948" spans="1:27" ht="18" customHeight="1" x14ac:dyDescent="0.25">
      <c r="A1948" s="159">
        <v>4497</v>
      </c>
      <c r="B1948" s="157" t="s">
        <v>280</v>
      </c>
      <c r="C1948" s="157" t="s">
        <v>354</v>
      </c>
      <c r="D1948" s="159" t="s">
        <v>1189</v>
      </c>
      <c r="E1948" s="157" t="s">
        <v>1187</v>
      </c>
      <c r="F1948" s="157" t="s">
        <v>1264</v>
      </c>
      <c r="G1948" s="157" t="s">
        <v>1265</v>
      </c>
      <c r="H1948" s="157" t="s">
        <v>1458</v>
      </c>
      <c r="I1948" s="157" t="s">
        <v>1793</v>
      </c>
      <c r="J1948" s="157" t="s">
        <v>1713</v>
      </c>
      <c r="K1948" s="157" t="s">
        <v>1480</v>
      </c>
      <c r="L1948" s="157" t="s">
        <v>1672</v>
      </c>
      <c r="M1948" s="157" t="str">
        <f t="shared" si="40"/>
        <v>Loudspeaker - Door Front Left - Woofer Speaker</v>
      </c>
      <c r="N1948" s="157"/>
      <c r="O1948" s="157"/>
      <c r="P1948" s="159" t="s">
        <v>7937</v>
      </c>
      <c r="Q1948" s="157" t="s">
        <v>2115</v>
      </c>
      <c r="R1948" s="157" t="s">
        <v>2123</v>
      </c>
      <c r="S1948" s="157" t="s">
        <v>8639</v>
      </c>
      <c r="T1948" s="157"/>
      <c r="U1948" s="159" t="s">
        <v>2129</v>
      </c>
      <c r="V1948" s="159" t="s">
        <v>2129</v>
      </c>
      <c r="W1948" s="159" t="s">
        <v>2138</v>
      </c>
      <c r="X1948" s="160">
        <v>0.25</v>
      </c>
      <c r="Y1948" s="160">
        <v>0.35</v>
      </c>
      <c r="Z1948" s="160">
        <v>0.4</v>
      </c>
      <c r="AA1948" s="160">
        <v>0.3</v>
      </c>
    </row>
    <row r="1949" spans="1:27" ht="18" customHeight="1" x14ac:dyDescent="0.25">
      <c r="A1949" s="159">
        <v>4498</v>
      </c>
      <c r="B1949" s="157" t="s">
        <v>280</v>
      </c>
      <c r="C1949" s="157" t="s">
        <v>354</v>
      </c>
      <c r="D1949" s="159" t="s">
        <v>903</v>
      </c>
      <c r="E1949" s="157" t="s">
        <v>901</v>
      </c>
      <c r="F1949" s="157" t="s">
        <v>1264</v>
      </c>
      <c r="G1949" s="157" t="s">
        <v>1265</v>
      </c>
      <c r="H1949" s="157" t="s">
        <v>1458</v>
      </c>
      <c r="I1949" s="157" t="s">
        <v>1670</v>
      </c>
      <c r="J1949" s="157" t="s">
        <v>1711</v>
      </c>
      <c r="K1949" s="157" t="s">
        <v>1480</v>
      </c>
      <c r="L1949" s="157" t="s">
        <v>1794</v>
      </c>
      <c r="M1949" s="157" t="str">
        <f t="shared" si="40"/>
        <v>Loudspeaker - I/P Center Wideband - Full Range Speaker</v>
      </c>
      <c r="N1949" s="157"/>
      <c r="O1949" s="157"/>
      <c r="P1949" s="159" t="s">
        <v>5732</v>
      </c>
      <c r="Q1949" s="157" t="s">
        <v>2115</v>
      </c>
      <c r="R1949" s="157" t="s">
        <v>2121</v>
      </c>
      <c r="S1949" s="157" t="s">
        <v>8632</v>
      </c>
      <c r="T1949" s="157"/>
      <c r="U1949" s="159" t="s">
        <v>2129</v>
      </c>
      <c r="V1949" s="159" t="s">
        <v>2129</v>
      </c>
      <c r="W1949" s="159" t="s">
        <v>2138</v>
      </c>
      <c r="X1949" s="160">
        <v>0.25</v>
      </c>
      <c r="Y1949" s="160">
        <v>0.35</v>
      </c>
      <c r="Z1949" s="160">
        <v>0.4</v>
      </c>
      <c r="AA1949" s="160">
        <v>0.3</v>
      </c>
    </row>
    <row r="1950" spans="1:27" ht="18" customHeight="1" x14ac:dyDescent="0.25">
      <c r="A1950" s="159">
        <v>4498</v>
      </c>
      <c r="B1950" s="157" t="s">
        <v>280</v>
      </c>
      <c r="C1950" s="157" t="s">
        <v>354</v>
      </c>
      <c r="D1950" s="159" t="s">
        <v>1189</v>
      </c>
      <c r="E1950" s="157" t="s">
        <v>1187</v>
      </c>
      <c r="F1950" s="157" t="s">
        <v>1264</v>
      </c>
      <c r="G1950" s="157" t="s">
        <v>1265</v>
      </c>
      <c r="H1950" s="157" t="s">
        <v>1458</v>
      </c>
      <c r="I1950" s="157" t="s">
        <v>1670</v>
      </c>
      <c r="J1950" s="157" t="s">
        <v>1711</v>
      </c>
      <c r="K1950" s="157" t="s">
        <v>1480</v>
      </c>
      <c r="L1950" s="157" t="s">
        <v>1794</v>
      </c>
      <c r="M1950" s="157" t="str">
        <f t="shared" si="40"/>
        <v>Loudspeaker - I/P Center Wideband - Full Range Speaker</v>
      </c>
      <c r="N1950" s="157"/>
      <c r="O1950" s="157"/>
      <c r="P1950" s="159" t="s">
        <v>5732</v>
      </c>
      <c r="Q1950" s="157" t="s">
        <v>2115</v>
      </c>
      <c r="R1950" s="157" t="s">
        <v>2121</v>
      </c>
      <c r="S1950" s="157" t="s">
        <v>8632</v>
      </c>
      <c r="T1950" s="157"/>
      <c r="U1950" s="159" t="s">
        <v>2129</v>
      </c>
      <c r="V1950" s="159" t="s">
        <v>2129</v>
      </c>
      <c r="W1950" s="159" t="s">
        <v>2138</v>
      </c>
      <c r="X1950" s="160">
        <v>0.25</v>
      </c>
      <c r="Y1950" s="160">
        <v>0.35</v>
      </c>
      <c r="Z1950" s="160">
        <v>0.4</v>
      </c>
      <c r="AA1950" s="160">
        <v>0.3</v>
      </c>
    </row>
    <row r="1951" spans="1:27" ht="18" customHeight="1" x14ac:dyDescent="0.25">
      <c r="A1951" s="159">
        <v>4500</v>
      </c>
      <c r="B1951" s="157" t="s">
        <v>29</v>
      </c>
      <c r="C1951" s="157" t="s">
        <v>113</v>
      </c>
      <c r="D1951" s="159" t="s">
        <v>119</v>
      </c>
      <c r="E1951" s="157" t="s">
        <v>117</v>
      </c>
      <c r="F1951" s="157" t="s">
        <v>1264</v>
      </c>
      <c r="G1951" s="157" t="s">
        <v>1278</v>
      </c>
      <c r="H1951" s="157"/>
      <c r="I1951" s="157" t="s">
        <v>1795</v>
      </c>
      <c r="J1951" s="157" t="s">
        <v>1796</v>
      </c>
      <c r="K1951" s="157" t="s">
        <v>1281</v>
      </c>
      <c r="L1951" s="157" t="s">
        <v>1282</v>
      </c>
      <c r="M1951" s="157" t="str">
        <f t="shared" si="40"/>
        <v>User Selector - External Rear View Mirror Fold</v>
      </c>
      <c r="N1951" s="157"/>
      <c r="O1951" s="157"/>
      <c r="P1951" s="159" t="s">
        <v>7938</v>
      </c>
      <c r="Q1951" s="157"/>
      <c r="R1951" s="157"/>
      <c r="S1951" s="157"/>
      <c r="T1951" s="157"/>
      <c r="U1951" s="159"/>
      <c r="V1951" s="159"/>
      <c r="W1951" s="159"/>
      <c r="X1951" s="160"/>
      <c r="Y1951" s="160"/>
      <c r="Z1951" s="160"/>
      <c r="AA1951" s="160"/>
    </row>
    <row r="1952" spans="1:27" ht="18" customHeight="1" x14ac:dyDescent="0.25">
      <c r="A1952" s="159">
        <v>4501</v>
      </c>
      <c r="B1952" s="157" t="s">
        <v>29</v>
      </c>
      <c r="C1952" s="157" t="s">
        <v>30</v>
      </c>
      <c r="D1952" s="159" t="s">
        <v>33</v>
      </c>
      <c r="E1952" s="157" t="s">
        <v>31</v>
      </c>
      <c r="F1952" s="157" t="s">
        <v>1275</v>
      </c>
      <c r="G1952" s="157" t="s">
        <v>1536</v>
      </c>
      <c r="H1952" s="157" t="s">
        <v>1287</v>
      </c>
      <c r="I1952" s="157" t="s">
        <v>1339</v>
      </c>
      <c r="J1952" s="157" t="s">
        <v>2099</v>
      </c>
      <c r="K1952" s="157" t="s">
        <v>1269</v>
      </c>
      <c r="L1952" s="157" t="s">
        <v>8485</v>
      </c>
      <c r="M1952" s="157" t="str">
        <f t="shared" si="40"/>
        <v>Taillamp Assy' LED Dynamic Blinker Left - Body - Rear Lamps L</v>
      </c>
      <c r="N1952" s="157"/>
      <c r="O1952" s="157"/>
      <c r="P1952" s="159" t="s">
        <v>7510</v>
      </c>
      <c r="Q1952" s="157"/>
      <c r="R1952" s="157"/>
      <c r="S1952" s="157"/>
      <c r="T1952" s="157"/>
      <c r="U1952" s="159" t="s">
        <v>2129</v>
      </c>
      <c r="V1952" s="159" t="s">
        <v>2129</v>
      </c>
      <c r="W1952" s="159" t="s">
        <v>2138</v>
      </c>
      <c r="X1952" s="160">
        <v>0.66</v>
      </c>
      <c r="Y1952" s="160">
        <v>0.52</v>
      </c>
      <c r="Z1952" s="160">
        <v>0.66</v>
      </c>
      <c r="AA1952" s="160">
        <v>0.52</v>
      </c>
    </row>
    <row r="1953" spans="1:27" ht="18" customHeight="1" x14ac:dyDescent="0.25">
      <c r="A1953" s="159">
        <v>4501</v>
      </c>
      <c r="B1953" s="157" t="s">
        <v>29</v>
      </c>
      <c r="C1953" s="157" t="s">
        <v>30</v>
      </c>
      <c r="D1953" s="159" t="s">
        <v>95</v>
      </c>
      <c r="E1953" s="157" t="s">
        <v>93</v>
      </c>
      <c r="F1953" s="157" t="s">
        <v>1275</v>
      </c>
      <c r="G1953" s="157" t="s">
        <v>1536</v>
      </c>
      <c r="H1953" s="157" t="s">
        <v>1287</v>
      </c>
      <c r="I1953" s="157" t="s">
        <v>1339</v>
      </c>
      <c r="J1953" s="157" t="s">
        <v>2099</v>
      </c>
      <c r="K1953" s="157" t="s">
        <v>1269</v>
      </c>
      <c r="L1953" s="157" t="s">
        <v>8485</v>
      </c>
      <c r="M1953" s="157" t="str">
        <f t="shared" si="40"/>
        <v>Taillamp Assy' LED Dynamic Blinker Left - Body - Rear Lamps L</v>
      </c>
      <c r="N1953" s="157"/>
      <c r="O1953" s="157"/>
      <c r="P1953" s="159" t="s">
        <v>7510</v>
      </c>
      <c r="Q1953" s="157"/>
      <c r="R1953" s="157"/>
      <c r="S1953" s="157"/>
      <c r="T1953" s="157"/>
      <c r="U1953" s="159" t="s">
        <v>2129</v>
      </c>
      <c r="V1953" s="159" t="s">
        <v>2129</v>
      </c>
      <c r="W1953" s="159" t="s">
        <v>2138</v>
      </c>
      <c r="X1953" s="160">
        <v>0.66</v>
      </c>
      <c r="Y1953" s="160">
        <v>0.52</v>
      </c>
      <c r="Z1953" s="160">
        <v>0.66</v>
      </c>
      <c r="AA1953" s="160">
        <v>0.52</v>
      </c>
    </row>
    <row r="1954" spans="1:27" ht="18" customHeight="1" x14ac:dyDescent="0.25">
      <c r="A1954" s="159">
        <v>4501</v>
      </c>
      <c r="B1954" s="157" t="s">
        <v>29</v>
      </c>
      <c r="C1954" s="157" t="s">
        <v>30</v>
      </c>
      <c r="D1954" s="159" t="s">
        <v>214</v>
      </c>
      <c r="E1954" s="157" t="s">
        <v>212</v>
      </c>
      <c r="F1954" s="157" t="s">
        <v>1264</v>
      </c>
      <c r="G1954" s="157" t="s">
        <v>1536</v>
      </c>
      <c r="H1954" s="157" t="s">
        <v>1287</v>
      </c>
      <c r="I1954" s="157" t="s">
        <v>1339</v>
      </c>
      <c r="J1954" s="157" t="s">
        <v>2099</v>
      </c>
      <c r="K1954" s="157" t="s">
        <v>1269</v>
      </c>
      <c r="L1954" s="157" t="s">
        <v>8485</v>
      </c>
      <c r="M1954" s="157" t="str">
        <f t="shared" si="40"/>
        <v>Taillamp Assy' LED Dynamic Blinker Left - Body - Rear Lamps L</v>
      </c>
      <c r="N1954" s="157"/>
      <c r="O1954" s="157"/>
      <c r="P1954" s="159" t="s">
        <v>7510</v>
      </c>
      <c r="Q1954" s="157"/>
      <c r="R1954" s="157"/>
      <c r="S1954" s="157"/>
      <c r="T1954" s="157"/>
      <c r="U1954" s="159" t="s">
        <v>2129</v>
      </c>
      <c r="V1954" s="159" t="s">
        <v>2129</v>
      </c>
      <c r="W1954" s="159" t="s">
        <v>2138</v>
      </c>
      <c r="X1954" s="160">
        <v>0.66</v>
      </c>
      <c r="Y1954" s="160">
        <v>0.52</v>
      </c>
      <c r="Z1954" s="160">
        <v>0.66</v>
      </c>
      <c r="AA1954" s="160">
        <v>0.52</v>
      </c>
    </row>
    <row r="1955" spans="1:27" ht="18" customHeight="1" x14ac:dyDescent="0.25">
      <c r="A1955" s="159">
        <v>4501</v>
      </c>
      <c r="B1955" s="157" t="s">
        <v>29</v>
      </c>
      <c r="C1955" s="157" t="s">
        <v>30</v>
      </c>
      <c r="D1955" s="159" t="s">
        <v>233</v>
      </c>
      <c r="E1955" s="157" t="s">
        <v>231</v>
      </c>
      <c r="F1955" s="157" t="s">
        <v>1264</v>
      </c>
      <c r="G1955" s="157" t="s">
        <v>1536</v>
      </c>
      <c r="H1955" s="157" t="s">
        <v>1287</v>
      </c>
      <c r="I1955" s="157" t="s">
        <v>1339</v>
      </c>
      <c r="J1955" s="157" t="s">
        <v>2099</v>
      </c>
      <c r="K1955" s="157" t="s">
        <v>1269</v>
      </c>
      <c r="L1955" s="157" t="s">
        <v>8485</v>
      </c>
      <c r="M1955" s="157" t="str">
        <f t="shared" si="40"/>
        <v>Taillamp Assy' LED Dynamic Blinker Left - Body - Rear Lamps L</v>
      </c>
      <c r="N1955" s="157"/>
      <c r="O1955" s="157"/>
      <c r="P1955" s="159" t="s">
        <v>7510</v>
      </c>
      <c r="Q1955" s="157"/>
      <c r="R1955" s="157"/>
      <c r="S1955" s="157"/>
      <c r="T1955" s="157"/>
      <c r="U1955" s="159" t="s">
        <v>2129</v>
      </c>
      <c r="V1955" s="159" t="s">
        <v>2129</v>
      </c>
      <c r="W1955" s="159" t="s">
        <v>2138</v>
      </c>
      <c r="X1955" s="160">
        <v>0.66</v>
      </c>
      <c r="Y1955" s="160">
        <v>0.52</v>
      </c>
      <c r="Z1955" s="160">
        <v>0.66</v>
      </c>
      <c r="AA1955" s="160">
        <v>0.52</v>
      </c>
    </row>
    <row r="1956" spans="1:27" ht="18" customHeight="1" x14ac:dyDescent="0.25">
      <c r="A1956" s="159">
        <v>4501</v>
      </c>
      <c r="B1956" s="157" t="s">
        <v>29</v>
      </c>
      <c r="C1956" s="157" t="s">
        <v>30</v>
      </c>
      <c r="D1956" s="159" t="s">
        <v>377</v>
      </c>
      <c r="E1956" s="157" t="s">
        <v>375</v>
      </c>
      <c r="F1956" s="157" t="s">
        <v>1264</v>
      </c>
      <c r="G1956" s="157" t="s">
        <v>1536</v>
      </c>
      <c r="H1956" s="157" t="s">
        <v>1287</v>
      </c>
      <c r="I1956" s="157" t="s">
        <v>1339</v>
      </c>
      <c r="J1956" s="157" t="s">
        <v>2099</v>
      </c>
      <c r="K1956" s="157" t="s">
        <v>1269</v>
      </c>
      <c r="L1956" s="157" t="s">
        <v>8485</v>
      </c>
      <c r="M1956" s="157" t="str">
        <f t="shared" si="40"/>
        <v>Taillamp Assy' LED Dynamic Blinker Left - Body - Rear Lamps L</v>
      </c>
      <c r="N1956" s="157"/>
      <c r="O1956" s="157"/>
      <c r="P1956" s="159" t="s">
        <v>7510</v>
      </c>
      <c r="Q1956" s="157"/>
      <c r="R1956" s="157"/>
      <c r="S1956" s="157"/>
      <c r="T1956" s="157"/>
      <c r="U1956" s="159" t="s">
        <v>2129</v>
      </c>
      <c r="V1956" s="159" t="s">
        <v>2129</v>
      </c>
      <c r="W1956" s="159" t="s">
        <v>2138</v>
      </c>
      <c r="X1956" s="160">
        <v>0.66</v>
      </c>
      <c r="Y1956" s="160">
        <v>0.52</v>
      </c>
      <c r="Z1956" s="160">
        <v>0.66</v>
      </c>
      <c r="AA1956" s="160">
        <v>0.52</v>
      </c>
    </row>
    <row r="1957" spans="1:27" ht="18" customHeight="1" x14ac:dyDescent="0.25">
      <c r="A1957" s="159">
        <v>4501</v>
      </c>
      <c r="B1957" s="157" t="s">
        <v>29</v>
      </c>
      <c r="C1957" s="157" t="s">
        <v>30</v>
      </c>
      <c r="D1957" s="159" t="s">
        <v>380</v>
      </c>
      <c r="E1957" s="157" t="s">
        <v>378</v>
      </c>
      <c r="F1957" s="157" t="s">
        <v>1264</v>
      </c>
      <c r="G1957" s="157" t="s">
        <v>1536</v>
      </c>
      <c r="H1957" s="157" t="s">
        <v>1287</v>
      </c>
      <c r="I1957" s="157" t="s">
        <v>1339</v>
      </c>
      <c r="J1957" s="157" t="s">
        <v>2099</v>
      </c>
      <c r="K1957" s="157" t="s">
        <v>1269</v>
      </c>
      <c r="L1957" s="157" t="s">
        <v>8485</v>
      </c>
      <c r="M1957" s="157" t="str">
        <f t="shared" si="40"/>
        <v>Taillamp Assy' LED Dynamic Blinker Left - Body - Rear Lamps L</v>
      </c>
      <c r="N1957" s="157"/>
      <c r="O1957" s="157"/>
      <c r="P1957" s="159" t="s">
        <v>7510</v>
      </c>
      <c r="Q1957" s="157"/>
      <c r="R1957" s="157"/>
      <c r="S1957" s="157"/>
      <c r="T1957" s="157"/>
      <c r="U1957" s="159" t="s">
        <v>2129</v>
      </c>
      <c r="V1957" s="159" t="s">
        <v>2129</v>
      </c>
      <c r="W1957" s="159" t="s">
        <v>2138</v>
      </c>
      <c r="X1957" s="160">
        <v>0.66</v>
      </c>
      <c r="Y1957" s="160">
        <v>0.52</v>
      </c>
      <c r="Z1957" s="160">
        <v>0.66</v>
      </c>
      <c r="AA1957" s="160">
        <v>0.52</v>
      </c>
    </row>
    <row r="1958" spans="1:27" ht="18" customHeight="1" x14ac:dyDescent="0.25">
      <c r="A1958" s="159">
        <v>4501</v>
      </c>
      <c r="B1958" s="157" t="s">
        <v>29</v>
      </c>
      <c r="C1958" s="157" t="s">
        <v>30</v>
      </c>
      <c r="D1958" s="159" t="s">
        <v>398</v>
      </c>
      <c r="E1958" s="157" t="s">
        <v>396</v>
      </c>
      <c r="F1958" s="157" t="s">
        <v>1264</v>
      </c>
      <c r="G1958" s="157" t="s">
        <v>1536</v>
      </c>
      <c r="H1958" s="157" t="s">
        <v>1287</v>
      </c>
      <c r="I1958" s="157" t="s">
        <v>1339</v>
      </c>
      <c r="J1958" s="157" t="s">
        <v>2099</v>
      </c>
      <c r="K1958" s="157" t="s">
        <v>1269</v>
      </c>
      <c r="L1958" s="157" t="s">
        <v>8485</v>
      </c>
      <c r="M1958" s="157" t="str">
        <f t="shared" si="40"/>
        <v>Taillamp Assy' LED Dynamic Blinker Left - Body - Rear Lamps L</v>
      </c>
      <c r="N1958" s="157"/>
      <c r="O1958" s="157"/>
      <c r="P1958" s="159" t="s">
        <v>7510</v>
      </c>
      <c r="Q1958" s="157"/>
      <c r="R1958" s="157"/>
      <c r="S1958" s="157"/>
      <c r="T1958" s="157"/>
      <c r="U1958" s="159" t="s">
        <v>2129</v>
      </c>
      <c r="V1958" s="159" t="s">
        <v>2129</v>
      </c>
      <c r="W1958" s="159" t="s">
        <v>2138</v>
      </c>
      <c r="X1958" s="160">
        <v>0.66</v>
      </c>
      <c r="Y1958" s="160">
        <v>0.52</v>
      </c>
      <c r="Z1958" s="160">
        <v>0.66</v>
      </c>
      <c r="AA1958" s="160">
        <v>0.52</v>
      </c>
    </row>
    <row r="1959" spans="1:27" ht="18" customHeight="1" x14ac:dyDescent="0.25">
      <c r="A1959" s="159">
        <v>4501</v>
      </c>
      <c r="B1959" s="157" t="s">
        <v>29</v>
      </c>
      <c r="C1959" s="157" t="s">
        <v>30</v>
      </c>
      <c r="D1959" s="159" t="s">
        <v>401</v>
      </c>
      <c r="E1959" s="157" t="s">
        <v>399</v>
      </c>
      <c r="F1959" s="157" t="s">
        <v>1275</v>
      </c>
      <c r="G1959" s="157" t="s">
        <v>1536</v>
      </c>
      <c r="H1959" s="157" t="s">
        <v>1287</v>
      </c>
      <c r="I1959" s="157" t="s">
        <v>1339</v>
      </c>
      <c r="J1959" s="157" t="s">
        <v>2099</v>
      </c>
      <c r="K1959" s="157" t="s">
        <v>1269</v>
      </c>
      <c r="L1959" s="157" t="s">
        <v>8485</v>
      </c>
      <c r="M1959" s="157" t="str">
        <f t="shared" si="40"/>
        <v>Taillamp Assy' LED Dynamic Blinker Left - Body - Rear Lamps L</v>
      </c>
      <c r="N1959" s="157"/>
      <c r="O1959" s="157"/>
      <c r="P1959" s="159" t="s">
        <v>7510</v>
      </c>
      <c r="Q1959" s="157"/>
      <c r="R1959" s="157"/>
      <c r="S1959" s="157"/>
      <c r="T1959" s="157"/>
      <c r="U1959" s="159" t="s">
        <v>2129</v>
      </c>
      <c r="V1959" s="159" t="s">
        <v>2129</v>
      </c>
      <c r="W1959" s="159" t="s">
        <v>2138</v>
      </c>
      <c r="X1959" s="160">
        <v>0.66</v>
      </c>
      <c r="Y1959" s="160">
        <v>0.52</v>
      </c>
      <c r="Z1959" s="160">
        <v>0.66</v>
      </c>
      <c r="AA1959" s="160">
        <v>0.52</v>
      </c>
    </row>
    <row r="1960" spans="1:27" ht="18" customHeight="1" x14ac:dyDescent="0.25">
      <c r="A1960" s="159">
        <v>4501</v>
      </c>
      <c r="B1960" s="157" t="s">
        <v>29</v>
      </c>
      <c r="C1960" s="157" t="s">
        <v>30</v>
      </c>
      <c r="D1960" s="159" t="s">
        <v>96</v>
      </c>
      <c r="E1960" s="157" t="s">
        <v>402</v>
      </c>
      <c r="F1960" s="157" t="s">
        <v>1275</v>
      </c>
      <c r="G1960" s="157" t="s">
        <v>1536</v>
      </c>
      <c r="H1960" s="157" t="s">
        <v>1287</v>
      </c>
      <c r="I1960" s="157" t="s">
        <v>1339</v>
      </c>
      <c r="J1960" s="157" t="s">
        <v>2099</v>
      </c>
      <c r="K1960" s="157" t="s">
        <v>1269</v>
      </c>
      <c r="L1960" s="157" t="s">
        <v>8485</v>
      </c>
      <c r="M1960" s="157" t="str">
        <f t="shared" si="40"/>
        <v>Taillamp Assy' LED Dynamic Blinker Left - Body - Rear Lamps L</v>
      </c>
      <c r="N1960" s="157"/>
      <c r="O1960" s="157"/>
      <c r="P1960" s="159" t="s">
        <v>7510</v>
      </c>
      <c r="Q1960" s="157"/>
      <c r="R1960" s="157"/>
      <c r="S1960" s="157"/>
      <c r="T1960" s="157"/>
      <c r="U1960" s="159" t="s">
        <v>2129</v>
      </c>
      <c r="V1960" s="159" t="s">
        <v>2129</v>
      </c>
      <c r="W1960" s="159" t="s">
        <v>2138</v>
      </c>
      <c r="X1960" s="160">
        <v>0.66</v>
      </c>
      <c r="Y1960" s="160">
        <v>0.52</v>
      </c>
      <c r="Z1960" s="160">
        <v>0.66</v>
      </c>
      <c r="AA1960" s="160">
        <v>0.52</v>
      </c>
    </row>
    <row r="1961" spans="1:27" ht="18" customHeight="1" x14ac:dyDescent="0.25">
      <c r="A1961" s="159">
        <v>4501</v>
      </c>
      <c r="B1961" s="157" t="s">
        <v>29</v>
      </c>
      <c r="C1961" s="157" t="s">
        <v>30</v>
      </c>
      <c r="D1961" s="159" t="s">
        <v>34</v>
      </c>
      <c r="E1961" s="157" t="s">
        <v>404</v>
      </c>
      <c r="F1961" s="157" t="s">
        <v>1275</v>
      </c>
      <c r="G1961" s="157" t="s">
        <v>1536</v>
      </c>
      <c r="H1961" s="157" t="s">
        <v>1287</v>
      </c>
      <c r="I1961" s="157" t="s">
        <v>1339</v>
      </c>
      <c r="J1961" s="157" t="s">
        <v>2099</v>
      </c>
      <c r="K1961" s="157" t="s">
        <v>1269</v>
      </c>
      <c r="L1961" s="157" t="s">
        <v>8485</v>
      </c>
      <c r="M1961" s="157" t="str">
        <f t="shared" si="40"/>
        <v>Taillamp Assy' LED Dynamic Blinker Left - Body - Rear Lamps L</v>
      </c>
      <c r="N1961" s="157"/>
      <c r="O1961" s="157"/>
      <c r="P1961" s="159" t="s">
        <v>7510</v>
      </c>
      <c r="Q1961" s="157"/>
      <c r="R1961" s="157"/>
      <c r="S1961" s="157"/>
      <c r="T1961" s="157"/>
      <c r="U1961" s="159" t="s">
        <v>2129</v>
      </c>
      <c r="V1961" s="159" t="s">
        <v>2129</v>
      </c>
      <c r="W1961" s="159" t="s">
        <v>2138</v>
      </c>
      <c r="X1961" s="160">
        <v>0.66</v>
      </c>
      <c r="Y1961" s="160">
        <v>0.52</v>
      </c>
      <c r="Z1961" s="160">
        <v>0.66</v>
      </c>
      <c r="AA1961" s="160">
        <v>0.52</v>
      </c>
    </row>
    <row r="1962" spans="1:27" ht="18" customHeight="1" x14ac:dyDescent="0.25">
      <c r="A1962" s="159">
        <v>4501</v>
      </c>
      <c r="B1962" s="157" t="s">
        <v>29</v>
      </c>
      <c r="C1962" s="157" t="s">
        <v>30</v>
      </c>
      <c r="D1962" s="159" t="s">
        <v>408</v>
      </c>
      <c r="E1962" s="157" t="s">
        <v>406</v>
      </c>
      <c r="F1962" s="157" t="s">
        <v>1264</v>
      </c>
      <c r="G1962" s="157" t="s">
        <v>1536</v>
      </c>
      <c r="H1962" s="157" t="s">
        <v>1287</v>
      </c>
      <c r="I1962" s="157" t="s">
        <v>1339</v>
      </c>
      <c r="J1962" s="157" t="s">
        <v>2099</v>
      </c>
      <c r="K1962" s="157" t="s">
        <v>1269</v>
      </c>
      <c r="L1962" s="157" t="s">
        <v>8485</v>
      </c>
      <c r="M1962" s="157" t="str">
        <f t="shared" si="40"/>
        <v>Taillamp Assy' LED Dynamic Blinker Left - Body - Rear Lamps L</v>
      </c>
      <c r="N1962" s="157"/>
      <c r="O1962" s="157"/>
      <c r="P1962" s="159" t="s">
        <v>7510</v>
      </c>
      <c r="Q1962" s="157"/>
      <c r="R1962" s="157"/>
      <c r="S1962" s="157"/>
      <c r="T1962" s="157"/>
      <c r="U1962" s="159" t="s">
        <v>2129</v>
      </c>
      <c r="V1962" s="159" t="s">
        <v>2129</v>
      </c>
      <c r="W1962" s="159" t="s">
        <v>2138</v>
      </c>
      <c r="X1962" s="160">
        <v>0.66</v>
      </c>
      <c r="Y1962" s="160">
        <v>0.52</v>
      </c>
      <c r="Z1962" s="160">
        <v>0.66</v>
      </c>
      <c r="AA1962" s="160">
        <v>0.52</v>
      </c>
    </row>
    <row r="1963" spans="1:27" ht="18" customHeight="1" x14ac:dyDescent="0.25">
      <c r="A1963" s="159">
        <v>4501</v>
      </c>
      <c r="B1963" s="157" t="s">
        <v>29</v>
      </c>
      <c r="C1963" s="157" t="s">
        <v>30</v>
      </c>
      <c r="D1963" s="159" t="s">
        <v>573</v>
      </c>
      <c r="E1963" s="157" t="s">
        <v>574</v>
      </c>
      <c r="F1963" s="157"/>
      <c r="G1963" s="157" t="s">
        <v>1536</v>
      </c>
      <c r="H1963" s="157" t="s">
        <v>1287</v>
      </c>
      <c r="I1963" s="157" t="s">
        <v>1339</v>
      </c>
      <c r="J1963" s="157" t="s">
        <v>2099</v>
      </c>
      <c r="K1963" s="157" t="s">
        <v>1269</v>
      </c>
      <c r="L1963" s="157" t="s">
        <v>8485</v>
      </c>
      <c r="M1963" s="157" t="str">
        <f t="shared" si="40"/>
        <v>Taillamp Assy' LED Dynamic Blinker Left - Body - Rear Lamps L</v>
      </c>
      <c r="N1963" s="157"/>
      <c r="O1963" s="157"/>
      <c r="P1963" s="159" t="s">
        <v>7510</v>
      </c>
      <c r="Q1963" s="157"/>
      <c r="R1963" s="157"/>
      <c r="S1963" s="157"/>
      <c r="T1963" s="157"/>
      <c r="U1963" s="159" t="s">
        <v>2129</v>
      </c>
      <c r="V1963" s="159" t="s">
        <v>2129</v>
      </c>
      <c r="W1963" s="159" t="s">
        <v>2138</v>
      </c>
      <c r="X1963" s="160">
        <v>0.66</v>
      </c>
      <c r="Y1963" s="160">
        <v>0.52</v>
      </c>
      <c r="Z1963" s="160">
        <v>0.66</v>
      </c>
      <c r="AA1963" s="160">
        <v>0.52</v>
      </c>
    </row>
    <row r="1964" spans="1:27" ht="18" customHeight="1" x14ac:dyDescent="0.25">
      <c r="A1964" s="159">
        <v>4501</v>
      </c>
      <c r="B1964" s="157" t="s">
        <v>251</v>
      </c>
      <c r="C1964" s="157" t="s">
        <v>366</v>
      </c>
      <c r="D1964" s="159" t="s">
        <v>494</v>
      </c>
      <c r="E1964" s="157" t="s">
        <v>492</v>
      </c>
      <c r="F1964" s="157" t="s">
        <v>1275</v>
      </c>
      <c r="G1964" s="157" t="s">
        <v>1536</v>
      </c>
      <c r="H1964" s="157" t="s">
        <v>1287</v>
      </c>
      <c r="I1964" s="157" t="s">
        <v>1339</v>
      </c>
      <c r="J1964" s="157" t="s">
        <v>2099</v>
      </c>
      <c r="K1964" s="157" t="s">
        <v>1269</v>
      </c>
      <c r="L1964" s="157" t="s">
        <v>8485</v>
      </c>
      <c r="M1964" s="157" t="str">
        <f t="shared" si="40"/>
        <v>Taillamp Assy' LED Dynamic Blinker Left - Body - Rear Lamps L</v>
      </c>
      <c r="N1964" s="157"/>
      <c r="O1964" s="157"/>
      <c r="P1964" s="159" t="s">
        <v>7510</v>
      </c>
      <c r="Q1964" s="157"/>
      <c r="R1964" s="157"/>
      <c r="S1964" s="157"/>
      <c r="T1964" s="157"/>
      <c r="U1964" s="159" t="s">
        <v>2129</v>
      </c>
      <c r="V1964" s="159" t="s">
        <v>2129</v>
      </c>
      <c r="W1964" s="159" t="s">
        <v>2138</v>
      </c>
      <c r="X1964" s="160">
        <v>0.66</v>
      </c>
      <c r="Y1964" s="160">
        <v>0.52</v>
      </c>
      <c r="Z1964" s="160">
        <v>0.66</v>
      </c>
      <c r="AA1964" s="160">
        <v>0.52</v>
      </c>
    </row>
    <row r="1965" spans="1:27" ht="18" customHeight="1" x14ac:dyDescent="0.25">
      <c r="A1965" s="159">
        <v>4502</v>
      </c>
      <c r="B1965" s="157" t="s">
        <v>29</v>
      </c>
      <c r="C1965" s="157" t="s">
        <v>30</v>
      </c>
      <c r="D1965" s="159" t="s">
        <v>33</v>
      </c>
      <c r="E1965" s="157" t="s">
        <v>31</v>
      </c>
      <c r="F1965" s="157" t="s">
        <v>1275</v>
      </c>
      <c r="G1965" s="157" t="s">
        <v>1536</v>
      </c>
      <c r="H1965" s="157" t="s">
        <v>1287</v>
      </c>
      <c r="I1965" s="157" t="s">
        <v>1406</v>
      </c>
      <c r="J1965" s="157" t="s">
        <v>2099</v>
      </c>
      <c r="K1965" s="157" t="s">
        <v>1269</v>
      </c>
      <c r="L1965" s="157" t="s">
        <v>8486</v>
      </c>
      <c r="M1965" s="157" t="str">
        <f t="shared" si="40"/>
        <v>Taillamp Assy' LED Dynamic Blinker Right - Body - Rear Lamps R</v>
      </c>
      <c r="N1965" s="157"/>
      <c r="O1965" s="157"/>
      <c r="P1965" s="159" t="s">
        <v>4233</v>
      </c>
      <c r="Q1965" s="157"/>
      <c r="R1965" s="157"/>
      <c r="S1965" s="157"/>
      <c r="T1965" s="157"/>
      <c r="U1965" s="159" t="s">
        <v>2129</v>
      </c>
      <c r="V1965" s="159" t="s">
        <v>2129</v>
      </c>
      <c r="W1965" s="159" t="s">
        <v>2138</v>
      </c>
      <c r="X1965" s="160">
        <v>0.66</v>
      </c>
      <c r="Y1965" s="160">
        <v>0.52</v>
      </c>
      <c r="Z1965" s="160">
        <v>0.66</v>
      </c>
      <c r="AA1965" s="160">
        <v>0.52</v>
      </c>
    </row>
    <row r="1966" spans="1:27" ht="18" customHeight="1" x14ac:dyDescent="0.25">
      <c r="A1966" s="159">
        <v>4502</v>
      </c>
      <c r="B1966" s="157" t="s">
        <v>29</v>
      </c>
      <c r="C1966" s="157" t="s">
        <v>30</v>
      </c>
      <c r="D1966" s="159" t="s">
        <v>95</v>
      </c>
      <c r="E1966" s="157" t="s">
        <v>93</v>
      </c>
      <c r="F1966" s="157" t="s">
        <v>1275</v>
      </c>
      <c r="G1966" s="157" t="s">
        <v>1536</v>
      </c>
      <c r="H1966" s="157" t="s">
        <v>1287</v>
      </c>
      <c r="I1966" s="157" t="s">
        <v>1406</v>
      </c>
      <c r="J1966" s="157" t="s">
        <v>2099</v>
      </c>
      <c r="K1966" s="157" t="s">
        <v>1269</v>
      </c>
      <c r="L1966" s="157" t="s">
        <v>8486</v>
      </c>
      <c r="M1966" s="157" t="str">
        <f t="shared" si="40"/>
        <v>Taillamp Assy' LED Dynamic Blinker Right - Body - Rear Lamps R</v>
      </c>
      <c r="N1966" s="157"/>
      <c r="O1966" s="157"/>
      <c r="P1966" s="159" t="s">
        <v>4233</v>
      </c>
      <c r="Q1966" s="157"/>
      <c r="R1966" s="157"/>
      <c r="S1966" s="157"/>
      <c r="T1966" s="157"/>
      <c r="U1966" s="159" t="s">
        <v>2129</v>
      </c>
      <c r="V1966" s="159" t="s">
        <v>2129</v>
      </c>
      <c r="W1966" s="159" t="s">
        <v>2138</v>
      </c>
      <c r="X1966" s="160">
        <v>0.66</v>
      </c>
      <c r="Y1966" s="160">
        <v>0.52</v>
      </c>
      <c r="Z1966" s="160">
        <v>0.66</v>
      </c>
      <c r="AA1966" s="160">
        <v>0.52</v>
      </c>
    </row>
    <row r="1967" spans="1:27" ht="18" customHeight="1" x14ac:dyDescent="0.25">
      <c r="A1967" s="159">
        <v>4502</v>
      </c>
      <c r="B1967" s="157" t="s">
        <v>29</v>
      </c>
      <c r="C1967" s="157" t="s">
        <v>30</v>
      </c>
      <c r="D1967" s="159" t="s">
        <v>214</v>
      </c>
      <c r="E1967" s="157" t="s">
        <v>212</v>
      </c>
      <c r="F1967" s="157" t="s">
        <v>1264</v>
      </c>
      <c r="G1967" s="157" t="s">
        <v>1536</v>
      </c>
      <c r="H1967" s="157" t="s">
        <v>1287</v>
      </c>
      <c r="I1967" s="157" t="s">
        <v>1406</v>
      </c>
      <c r="J1967" s="157" t="s">
        <v>2099</v>
      </c>
      <c r="K1967" s="157" t="s">
        <v>1269</v>
      </c>
      <c r="L1967" s="157" t="s">
        <v>8486</v>
      </c>
      <c r="M1967" s="157" t="str">
        <f t="shared" si="40"/>
        <v>Taillamp Assy' LED Dynamic Blinker Right - Body - Rear Lamps R</v>
      </c>
      <c r="N1967" s="157"/>
      <c r="O1967" s="157"/>
      <c r="P1967" s="159" t="s">
        <v>4233</v>
      </c>
      <c r="Q1967" s="157"/>
      <c r="R1967" s="157"/>
      <c r="S1967" s="157"/>
      <c r="T1967" s="157"/>
      <c r="U1967" s="159" t="s">
        <v>2129</v>
      </c>
      <c r="V1967" s="159" t="s">
        <v>2129</v>
      </c>
      <c r="W1967" s="159" t="s">
        <v>2138</v>
      </c>
      <c r="X1967" s="160">
        <v>0.66</v>
      </c>
      <c r="Y1967" s="160">
        <v>0.52</v>
      </c>
      <c r="Z1967" s="160">
        <v>0.66</v>
      </c>
      <c r="AA1967" s="160">
        <v>0.52</v>
      </c>
    </row>
    <row r="1968" spans="1:27" ht="18" customHeight="1" x14ac:dyDescent="0.25">
      <c r="A1968" s="159">
        <v>4502</v>
      </c>
      <c r="B1968" s="157" t="s">
        <v>29</v>
      </c>
      <c r="C1968" s="157" t="s">
        <v>30</v>
      </c>
      <c r="D1968" s="159" t="s">
        <v>233</v>
      </c>
      <c r="E1968" s="157" t="s">
        <v>231</v>
      </c>
      <c r="F1968" s="157" t="s">
        <v>1264</v>
      </c>
      <c r="G1968" s="157" t="s">
        <v>1536</v>
      </c>
      <c r="H1968" s="157" t="s">
        <v>1287</v>
      </c>
      <c r="I1968" s="157" t="s">
        <v>1406</v>
      </c>
      <c r="J1968" s="157" t="s">
        <v>2099</v>
      </c>
      <c r="K1968" s="157" t="s">
        <v>1269</v>
      </c>
      <c r="L1968" s="157" t="s">
        <v>8486</v>
      </c>
      <c r="M1968" s="157" t="str">
        <f t="shared" si="40"/>
        <v>Taillamp Assy' LED Dynamic Blinker Right - Body - Rear Lamps R</v>
      </c>
      <c r="N1968" s="157"/>
      <c r="O1968" s="157"/>
      <c r="P1968" s="159" t="s">
        <v>4233</v>
      </c>
      <c r="Q1968" s="157"/>
      <c r="R1968" s="157"/>
      <c r="S1968" s="157"/>
      <c r="T1968" s="157"/>
      <c r="U1968" s="159" t="s">
        <v>2129</v>
      </c>
      <c r="V1968" s="159" t="s">
        <v>2129</v>
      </c>
      <c r="W1968" s="159" t="s">
        <v>2138</v>
      </c>
      <c r="X1968" s="160">
        <v>0.66</v>
      </c>
      <c r="Y1968" s="160">
        <v>0.52</v>
      </c>
      <c r="Z1968" s="160">
        <v>0.66</v>
      </c>
      <c r="AA1968" s="160">
        <v>0.52</v>
      </c>
    </row>
    <row r="1969" spans="1:27" ht="18" customHeight="1" x14ac:dyDescent="0.25">
      <c r="A1969" s="159">
        <v>4502</v>
      </c>
      <c r="B1969" s="157" t="s">
        <v>29</v>
      </c>
      <c r="C1969" s="157" t="s">
        <v>30</v>
      </c>
      <c r="D1969" s="159" t="s">
        <v>377</v>
      </c>
      <c r="E1969" s="157" t="s">
        <v>375</v>
      </c>
      <c r="F1969" s="157" t="s">
        <v>1264</v>
      </c>
      <c r="G1969" s="157" t="s">
        <v>1536</v>
      </c>
      <c r="H1969" s="157" t="s">
        <v>1287</v>
      </c>
      <c r="I1969" s="157" t="s">
        <v>1406</v>
      </c>
      <c r="J1969" s="157" t="s">
        <v>2099</v>
      </c>
      <c r="K1969" s="157" t="s">
        <v>1269</v>
      </c>
      <c r="L1969" s="157" t="s">
        <v>8486</v>
      </c>
      <c r="M1969" s="157" t="str">
        <f t="shared" si="40"/>
        <v>Taillamp Assy' LED Dynamic Blinker Right - Body - Rear Lamps R</v>
      </c>
      <c r="N1969" s="157"/>
      <c r="O1969" s="157"/>
      <c r="P1969" s="159" t="s">
        <v>4233</v>
      </c>
      <c r="Q1969" s="157"/>
      <c r="R1969" s="157"/>
      <c r="S1969" s="157"/>
      <c r="T1969" s="157"/>
      <c r="U1969" s="159" t="s">
        <v>2129</v>
      </c>
      <c r="V1969" s="159" t="s">
        <v>2129</v>
      </c>
      <c r="W1969" s="159" t="s">
        <v>2138</v>
      </c>
      <c r="X1969" s="160">
        <v>0.66</v>
      </c>
      <c r="Y1969" s="160">
        <v>0.52</v>
      </c>
      <c r="Z1969" s="160">
        <v>0.66</v>
      </c>
      <c r="AA1969" s="160">
        <v>0.52</v>
      </c>
    </row>
    <row r="1970" spans="1:27" ht="18" customHeight="1" x14ac:dyDescent="0.25">
      <c r="A1970" s="159">
        <v>4502</v>
      </c>
      <c r="B1970" s="157" t="s">
        <v>29</v>
      </c>
      <c r="C1970" s="157" t="s">
        <v>30</v>
      </c>
      <c r="D1970" s="159" t="s">
        <v>380</v>
      </c>
      <c r="E1970" s="157" t="s">
        <v>378</v>
      </c>
      <c r="F1970" s="157" t="s">
        <v>1264</v>
      </c>
      <c r="G1970" s="157" t="s">
        <v>1536</v>
      </c>
      <c r="H1970" s="157" t="s">
        <v>1287</v>
      </c>
      <c r="I1970" s="157" t="s">
        <v>1406</v>
      </c>
      <c r="J1970" s="157" t="s">
        <v>2099</v>
      </c>
      <c r="K1970" s="157" t="s">
        <v>1269</v>
      </c>
      <c r="L1970" s="157" t="s">
        <v>8486</v>
      </c>
      <c r="M1970" s="157" t="str">
        <f t="shared" si="40"/>
        <v>Taillamp Assy' LED Dynamic Blinker Right - Body - Rear Lamps R</v>
      </c>
      <c r="N1970" s="157"/>
      <c r="O1970" s="157"/>
      <c r="P1970" s="159" t="s">
        <v>4233</v>
      </c>
      <c r="Q1970" s="157"/>
      <c r="R1970" s="157"/>
      <c r="S1970" s="157"/>
      <c r="T1970" s="157"/>
      <c r="U1970" s="159" t="s">
        <v>2129</v>
      </c>
      <c r="V1970" s="159" t="s">
        <v>2129</v>
      </c>
      <c r="W1970" s="159" t="s">
        <v>2138</v>
      </c>
      <c r="X1970" s="160">
        <v>0.66</v>
      </c>
      <c r="Y1970" s="160">
        <v>0.52</v>
      </c>
      <c r="Z1970" s="160">
        <v>0.66</v>
      </c>
      <c r="AA1970" s="160">
        <v>0.52</v>
      </c>
    </row>
    <row r="1971" spans="1:27" ht="18" customHeight="1" x14ac:dyDescent="0.25">
      <c r="A1971" s="159">
        <v>4502</v>
      </c>
      <c r="B1971" s="157" t="s">
        <v>29</v>
      </c>
      <c r="C1971" s="157" t="s">
        <v>30</v>
      </c>
      <c r="D1971" s="159" t="s">
        <v>398</v>
      </c>
      <c r="E1971" s="157" t="s">
        <v>396</v>
      </c>
      <c r="F1971" s="157" t="s">
        <v>1264</v>
      </c>
      <c r="G1971" s="157" t="s">
        <v>1536</v>
      </c>
      <c r="H1971" s="157" t="s">
        <v>1287</v>
      </c>
      <c r="I1971" s="157" t="s">
        <v>1406</v>
      </c>
      <c r="J1971" s="157" t="s">
        <v>2099</v>
      </c>
      <c r="K1971" s="157" t="s">
        <v>1269</v>
      </c>
      <c r="L1971" s="157" t="s">
        <v>8486</v>
      </c>
      <c r="M1971" s="157" t="str">
        <f t="shared" si="40"/>
        <v>Taillamp Assy' LED Dynamic Blinker Right - Body - Rear Lamps R</v>
      </c>
      <c r="N1971" s="157"/>
      <c r="O1971" s="157"/>
      <c r="P1971" s="159" t="s">
        <v>4233</v>
      </c>
      <c r="Q1971" s="157"/>
      <c r="R1971" s="157"/>
      <c r="S1971" s="157"/>
      <c r="T1971" s="157"/>
      <c r="U1971" s="159" t="s">
        <v>2129</v>
      </c>
      <c r="V1971" s="159" t="s">
        <v>2129</v>
      </c>
      <c r="W1971" s="159" t="s">
        <v>2138</v>
      </c>
      <c r="X1971" s="160">
        <v>0.66</v>
      </c>
      <c r="Y1971" s="160">
        <v>0.52</v>
      </c>
      <c r="Z1971" s="160">
        <v>0.66</v>
      </c>
      <c r="AA1971" s="160">
        <v>0.52</v>
      </c>
    </row>
    <row r="1972" spans="1:27" ht="18" customHeight="1" x14ac:dyDescent="0.25">
      <c r="A1972" s="159">
        <v>4502</v>
      </c>
      <c r="B1972" s="157" t="s">
        <v>29</v>
      </c>
      <c r="C1972" s="157" t="s">
        <v>30</v>
      </c>
      <c r="D1972" s="159" t="s">
        <v>401</v>
      </c>
      <c r="E1972" s="157" t="s">
        <v>399</v>
      </c>
      <c r="F1972" s="157" t="s">
        <v>1275</v>
      </c>
      <c r="G1972" s="157" t="s">
        <v>1536</v>
      </c>
      <c r="H1972" s="157" t="s">
        <v>1287</v>
      </c>
      <c r="I1972" s="157" t="s">
        <v>1406</v>
      </c>
      <c r="J1972" s="157" t="s">
        <v>2099</v>
      </c>
      <c r="K1972" s="157" t="s">
        <v>1269</v>
      </c>
      <c r="L1972" s="157" t="s">
        <v>8486</v>
      </c>
      <c r="M1972" s="157" t="str">
        <f t="shared" si="40"/>
        <v>Taillamp Assy' LED Dynamic Blinker Right - Body - Rear Lamps R</v>
      </c>
      <c r="N1972" s="157"/>
      <c r="O1972" s="157"/>
      <c r="P1972" s="159" t="s">
        <v>4233</v>
      </c>
      <c r="Q1972" s="157"/>
      <c r="R1972" s="157"/>
      <c r="S1972" s="157"/>
      <c r="T1972" s="157"/>
      <c r="U1972" s="159" t="s">
        <v>2129</v>
      </c>
      <c r="V1972" s="159" t="s">
        <v>2129</v>
      </c>
      <c r="W1972" s="159" t="s">
        <v>2138</v>
      </c>
      <c r="X1972" s="160">
        <v>0.66</v>
      </c>
      <c r="Y1972" s="160">
        <v>0.52</v>
      </c>
      <c r="Z1972" s="160">
        <v>0.66</v>
      </c>
      <c r="AA1972" s="160">
        <v>0.52</v>
      </c>
    </row>
    <row r="1973" spans="1:27" ht="18" customHeight="1" x14ac:dyDescent="0.25">
      <c r="A1973" s="159">
        <v>4502</v>
      </c>
      <c r="B1973" s="157" t="s">
        <v>29</v>
      </c>
      <c r="C1973" s="157" t="s">
        <v>30</v>
      </c>
      <c r="D1973" s="159" t="s">
        <v>96</v>
      </c>
      <c r="E1973" s="157" t="s">
        <v>402</v>
      </c>
      <c r="F1973" s="157" t="s">
        <v>1275</v>
      </c>
      <c r="G1973" s="157" t="s">
        <v>1536</v>
      </c>
      <c r="H1973" s="157" t="s">
        <v>1287</v>
      </c>
      <c r="I1973" s="157" t="s">
        <v>1406</v>
      </c>
      <c r="J1973" s="157" t="s">
        <v>2099</v>
      </c>
      <c r="K1973" s="157" t="s">
        <v>1269</v>
      </c>
      <c r="L1973" s="157" t="s">
        <v>8486</v>
      </c>
      <c r="M1973" s="157" t="str">
        <f t="shared" si="40"/>
        <v>Taillamp Assy' LED Dynamic Blinker Right - Body - Rear Lamps R</v>
      </c>
      <c r="N1973" s="157"/>
      <c r="O1973" s="157"/>
      <c r="P1973" s="159" t="s">
        <v>4233</v>
      </c>
      <c r="Q1973" s="157"/>
      <c r="R1973" s="157"/>
      <c r="S1973" s="157"/>
      <c r="T1973" s="157"/>
      <c r="U1973" s="159" t="s">
        <v>2129</v>
      </c>
      <c r="V1973" s="159" t="s">
        <v>2129</v>
      </c>
      <c r="W1973" s="159" t="s">
        <v>2138</v>
      </c>
      <c r="X1973" s="160">
        <v>0.66</v>
      </c>
      <c r="Y1973" s="160">
        <v>0.52</v>
      </c>
      <c r="Z1973" s="160">
        <v>0.66</v>
      </c>
      <c r="AA1973" s="160">
        <v>0.52</v>
      </c>
    </row>
    <row r="1974" spans="1:27" ht="18" customHeight="1" x14ac:dyDescent="0.25">
      <c r="A1974" s="159">
        <v>4502</v>
      </c>
      <c r="B1974" s="157" t="s">
        <v>29</v>
      </c>
      <c r="C1974" s="157" t="s">
        <v>30</v>
      </c>
      <c r="D1974" s="159" t="s">
        <v>34</v>
      </c>
      <c r="E1974" s="157" t="s">
        <v>404</v>
      </c>
      <c r="F1974" s="157" t="s">
        <v>1275</v>
      </c>
      <c r="G1974" s="157" t="s">
        <v>1536</v>
      </c>
      <c r="H1974" s="157" t="s">
        <v>1287</v>
      </c>
      <c r="I1974" s="157" t="s">
        <v>1406</v>
      </c>
      <c r="J1974" s="157" t="s">
        <v>2099</v>
      </c>
      <c r="K1974" s="157" t="s">
        <v>1269</v>
      </c>
      <c r="L1974" s="157" t="s">
        <v>8486</v>
      </c>
      <c r="M1974" s="157" t="str">
        <f t="shared" si="40"/>
        <v>Taillamp Assy' LED Dynamic Blinker Right - Body - Rear Lamps R</v>
      </c>
      <c r="N1974" s="157"/>
      <c r="O1974" s="157"/>
      <c r="P1974" s="159" t="s">
        <v>4233</v>
      </c>
      <c r="Q1974" s="157"/>
      <c r="R1974" s="157"/>
      <c r="S1974" s="157"/>
      <c r="T1974" s="157"/>
      <c r="U1974" s="159" t="s">
        <v>2129</v>
      </c>
      <c r="V1974" s="159" t="s">
        <v>2129</v>
      </c>
      <c r="W1974" s="159" t="s">
        <v>2138</v>
      </c>
      <c r="X1974" s="160">
        <v>0.66</v>
      </c>
      <c r="Y1974" s="160">
        <v>0.52</v>
      </c>
      <c r="Z1974" s="160">
        <v>0.66</v>
      </c>
      <c r="AA1974" s="160">
        <v>0.52</v>
      </c>
    </row>
    <row r="1975" spans="1:27" ht="18" customHeight="1" x14ac:dyDescent="0.25">
      <c r="A1975" s="159">
        <v>4502</v>
      </c>
      <c r="B1975" s="157" t="s">
        <v>29</v>
      </c>
      <c r="C1975" s="157" t="s">
        <v>30</v>
      </c>
      <c r="D1975" s="159" t="s">
        <v>408</v>
      </c>
      <c r="E1975" s="157" t="s">
        <v>406</v>
      </c>
      <c r="F1975" s="157" t="s">
        <v>1264</v>
      </c>
      <c r="G1975" s="157" t="s">
        <v>1536</v>
      </c>
      <c r="H1975" s="157" t="s">
        <v>1287</v>
      </c>
      <c r="I1975" s="157" t="s">
        <v>1406</v>
      </c>
      <c r="J1975" s="157" t="s">
        <v>2099</v>
      </c>
      <c r="K1975" s="157" t="s">
        <v>1269</v>
      </c>
      <c r="L1975" s="157" t="s">
        <v>8486</v>
      </c>
      <c r="M1975" s="157" t="str">
        <f t="shared" si="40"/>
        <v>Taillamp Assy' LED Dynamic Blinker Right - Body - Rear Lamps R</v>
      </c>
      <c r="N1975" s="157"/>
      <c r="O1975" s="157"/>
      <c r="P1975" s="159" t="s">
        <v>4233</v>
      </c>
      <c r="Q1975" s="157"/>
      <c r="R1975" s="157"/>
      <c r="S1975" s="157"/>
      <c r="T1975" s="157"/>
      <c r="U1975" s="159" t="s">
        <v>2129</v>
      </c>
      <c r="V1975" s="159" t="s">
        <v>2129</v>
      </c>
      <c r="W1975" s="159" t="s">
        <v>2138</v>
      </c>
      <c r="X1975" s="160">
        <v>0.66</v>
      </c>
      <c r="Y1975" s="160">
        <v>0.52</v>
      </c>
      <c r="Z1975" s="160">
        <v>0.66</v>
      </c>
      <c r="AA1975" s="160">
        <v>0.52</v>
      </c>
    </row>
    <row r="1976" spans="1:27" ht="18" customHeight="1" x14ac:dyDescent="0.25">
      <c r="A1976" s="159">
        <v>4502</v>
      </c>
      <c r="B1976" s="157" t="s">
        <v>29</v>
      </c>
      <c r="C1976" s="157" t="s">
        <v>30</v>
      </c>
      <c r="D1976" s="159" t="s">
        <v>573</v>
      </c>
      <c r="E1976" s="157" t="s">
        <v>574</v>
      </c>
      <c r="F1976" s="157"/>
      <c r="G1976" s="157" t="s">
        <v>1536</v>
      </c>
      <c r="H1976" s="157" t="s">
        <v>1287</v>
      </c>
      <c r="I1976" s="157" t="s">
        <v>1406</v>
      </c>
      <c r="J1976" s="157" t="s">
        <v>2099</v>
      </c>
      <c r="K1976" s="157" t="s">
        <v>1269</v>
      </c>
      <c r="L1976" s="157" t="s">
        <v>8486</v>
      </c>
      <c r="M1976" s="157" t="str">
        <f t="shared" si="40"/>
        <v>Taillamp Assy' LED Dynamic Blinker Right - Body - Rear Lamps R</v>
      </c>
      <c r="N1976" s="157"/>
      <c r="O1976" s="157"/>
      <c r="P1976" s="159" t="s">
        <v>4233</v>
      </c>
      <c r="Q1976" s="157"/>
      <c r="R1976" s="157"/>
      <c r="S1976" s="157"/>
      <c r="T1976" s="157"/>
      <c r="U1976" s="159" t="s">
        <v>2129</v>
      </c>
      <c r="V1976" s="159" t="s">
        <v>2129</v>
      </c>
      <c r="W1976" s="159" t="s">
        <v>2138</v>
      </c>
      <c r="X1976" s="160">
        <v>0.66</v>
      </c>
      <c r="Y1976" s="160">
        <v>0.52</v>
      </c>
      <c r="Z1976" s="160">
        <v>0.66</v>
      </c>
      <c r="AA1976" s="160">
        <v>0.52</v>
      </c>
    </row>
    <row r="1977" spans="1:27" ht="18" customHeight="1" x14ac:dyDescent="0.25">
      <c r="A1977" s="159">
        <v>4502</v>
      </c>
      <c r="B1977" s="157" t="s">
        <v>251</v>
      </c>
      <c r="C1977" s="157" t="s">
        <v>366</v>
      </c>
      <c r="D1977" s="159" t="s">
        <v>494</v>
      </c>
      <c r="E1977" s="157" t="s">
        <v>492</v>
      </c>
      <c r="F1977" s="157" t="s">
        <v>1275</v>
      </c>
      <c r="G1977" s="157" t="s">
        <v>1536</v>
      </c>
      <c r="H1977" s="157" t="s">
        <v>1287</v>
      </c>
      <c r="I1977" s="157" t="s">
        <v>1406</v>
      </c>
      <c r="J1977" s="157" t="s">
        <v>2099</v>
      </c>
      <c r="K1977" s="157" t="s">
        <v>1269</v>
      </c>
      <c r="L1977" s="157" t="s">
        <v>8486</v>
      </c>
      <c r="M1977" s="157" t="str">
        <f t="shared" si="40"/>
        <v>Taillamp Assy' LED Dynamic Blinker Right - Body - Rear Lamps R</v>
      </c>
      <c r="N1977" s="157"/>
      <c r="O1977" s="157"/>
      <c r="P1977" s="159" t="s">
        <v>4233</v>
      </c>
      <c r="Q1977" s="157"/>
      <c r="R1977" s="157"/>
      <c r="S1977" s="157"/>
      <c r="T1977" s="157"/>
      <c r="U1977" s="159" t="s">
        <v>2129</v>
      </c>
      <c r="V1977" s="159" t="s">
        <v>2129</v>
      </c>
      <c r="W1977" s="159" t="s">
        <v>2138</v>
      </c>
      <c r="X1977" s="160">
        <v>0.66</v>
      </c>
      <c r="Y1977" s="160">
        <v>0.52</v>
      </c>
      <c r="Z1977" s="160">
        <v>0.66</v>
      </c>
      <c r="AA1977" s="160">
        <v>0.52</v>
      </c>
    </row>
    <row r="1978" spans="1:27" ht="18" customHeight="1" x14ac:dyDescent="0.25">
      <c r="A1978" s="159">
        <v>4503</v>
      </c>
      <c r="B1978" s="157" t="s">
        <v>280</v>
      </c>
      <c r="C1978" s="157" t="s">
        <v>354</v>
      </c>
      <c r="D1978" s="159" t="s">
        <v>1048</v>
      </c>
      <c r="E1978" s="157" t="s">
        <v>1046</v>
      </c>
      <c r="F1978" s="157" t="s">
        <v>1010</v>
      </c>
      <c r="G1978" s="157" t="s">
        <v>1265</v>
      </c>
      <c r="H1978" s="157" t="s">
        <v>1458</v>
      </c>
      <c r="I1978" s="157" t="s">
        <v>1793</v>
      </c>
      <c r="J1978" s="157" t="s">
        <v>1713</v>
      </c>
      <c r="K1978" s="157" t="s">
        <v>1480</v>
      </c>
      <c r="L1978" s="157" t="s">
        <v>1765</v>
      </c>
      <c r="M1978" s="157" t="str">
        <f t="shared" si="40"/>
        <v>Loudspeaker - Door Front Right - Woofer Speaker</v>
      </c>
      <c r="N1978" s="157"/>
      <c r="O1978" s="157"/>
      <c r="P1978" s="159" t="s">
        <v>3789</v>
      </c>
      <c r="Q1978" s="157" t="s">
        <v>2115</v>
      </c>
      <c r="R1978" s="157" t="s">
        <v>2123</v>
      </c>
      <c r="S1978" s="157" t="s">
        <v>8639</v>
      </c>
      <c r="T1978" s="157"/>
      <c r="U1978" s="159" t="s">
        <v>2129</v>
      </c>
      <c r="V1978" s="159" t="s">
        <v>2129</v>
      </c>
      <c r="W1978" s="159" t="s">
        <v>2138</v>
      </c>
      <c r="X1978" s="160">
        <v>0.25</v>
      </c>
      <c r="Y1978" s="160">
        <v>0.35</v>
      </c>
      <c r="Z1978" s="160">
        <v>0.4</v>
      </c>
      <c r="AA1978" s="160">
        <v>0.3</v>
      </c>
    </row>
    <row r="1979" spans="1:27" ht="18" customHeight="1" x14ac:dyDescent="0.25">
      <c r="A1979" s="159">
        <v>4503</v>
      </c>
      <c r="B1979" s="157" t="s">
        <v>280</v>
      </c>
      <c r="C1979" s="157" t="s">
        <v>354</v>
      </c>
      <c r="D1979" s="159" t="s">
        <v>1189</v>
      </c>
      <c r="E1979" s="157" t="s">
        <v>1187</v>
      </c>
      <c r="F1979" s="157" t="s">
        <v>1264</v>
      </c>
      <c r="G1979" s="157" t="s">
        <v>1265</v>
      </c>
      <c r="H1979" s="157" t="s">
        <v>1458</v>
      </c>
      <c r="I1979" s="157" t="s">
        <v>1793</v>
      </c>
      <c r="J1979" s="157" t="s">
        <v>1713</v>
      </c>
      <c r="K1979" s="157" t="s">
        <v>1480</v>
      </c>
      <c r="L1979" s="157" t="s">
        <v>1765</v>
      </c>
      <c r="M1979" s="157" t="str">
        <f t="shared" si="40"/>
        <v>Loudspeaker - Door Front Right - Woofer Speaker</v>
      </c>
      <c r="N1979" s="157"/>
      <c r="O1979" s="157"/>
      <c r="P1979" s="159" t="s">
        <v>3789</v>
      </c>
      <c r="Q1979" s="157" t="s">
        <v>2115</v>
      </c>
      <c r="R1979" s="157" t="s">
        <v>2123</v>
      </c>
      <c r="S1979" s="157" t="s">
        <v>8639</v>
      </c>
      <c r="T1979" s="157"/>
      <c r="U1979" s="159" t="s">
        <v>2129</v>
      </c>
      <c r="V1979" s="159" t="s">
        <v>2129</v>
      </c>
      <c r="W1979" s="159" t="s">
        <v>2138</v>
      </c>
      <c r="X1979" s="160">
        <v>0.25</v>
      </c>
      <c r="Y1979" s="160">
        <v>0.35</v>
      </c>
      <c r="Z1979" s="160">
        <v>0.4</v>
      </c>
      <c r="AA1979" s="160">
        <v>0.3</v>
      </c>
    </row>
    <row r="1980" spans="1:27" ht="18" customHeight="1" x14ac:dyDescent="0.25">
      <c r="A1980" s="159">
        <v>4505</v>
      </c>
      <c r="B1980" s="157"/>
      <c r="C1980" s="157"/>
      <c r="D1980" s="159"/>
      <c r="E1980" s="157"/>
      <c r="F1980" s="157"/>
      <c r="G1980" s="157" t="s">
        <v>1321</v>
      </c>
      <c r="H1980" s="157" t="s">
        <v>1648</v>
      </c>
      <c r="I1980" s="157"/>
      <c r="J1980" s="157"/>
      <c r="K1980" s="157" t="s">
        <v>1312</v>
      </c>
      <c r="L1980" s="157" t="s">
        <v>8516</v>
      </c>
      <c r="M1980" s="157" t="str">
        <f t="shared" si="40"/>
        <v xml:space="preserve">Tank Ventilation Pressure Sensor 1 - </v>
      </c>
      <c r="N1980" s="157"/>
      <c r="O1980" s="157"/>
      <c r="P1980" s="159"/>
      <c r="Q1980" s="157"/>
      <c r="R1980" s="157"/>
      <c r="S1980" s="157"/>
      <c r="T1980" s="157"/>
      <c r="U1980" s="159"/>
      <c r="V1980" s="159"/>
      <c r="W1980" s="159"/>
      <c r="X1980" s="160"/>
      <c r="Y1980" s="160"/>
      <c r="Z1980" s="160"/>
      <c r="AA1980" s="160"/>
    </row>
    <row r="1981" spans="1:27" ht="18" customHeight="1" x14ac:dyDescent="0.25">
      <c r="A1981" s="159">
        <v>4506</v>
      </c>
      <c r="B1981" s="157" t="s">
        <v>77</v>
      </c>
      <c r="C1981" s="157" t="s">
        <v>124</v>
      </c>
      <c r="D1981" s="159" t="s">
        <v>866</v>
      </c>
      <c r="E1981" s="157" t="s">
        <v>864</v>
      </c>
      <c r="F1981" s="157" t="s">
        <v>1264</v>
      </c>
      <c r="G1981" s="157" t="s">
        <v>1278</v>
      </c>
      <c r="H1981" s="157" t="s">
        <v>1283</v>
      </c>
      <c r="I1981" s="157" t="s">
        <v>1797</v>
      </c>
      <c r="J1981" s="157" t="s">
        <v>1285</v>
      </c>
      <c r="K1981" s="157" t="s">
        <v>1269</v>
      </c>
      <c r="L1981" s="157" t="s">
        <v>1286</v>
      </c>
      <c r="M1981" s="157" t="str">
        <f t="shared" si="40"/>
        <v>LED Lamp - Door Internal Handle Illumination RL</v>
      </c>
      <c r="N1981" s="157"/>
      <c r="O1981" s="157"/>
      <c r="P1981" s="159" t="s">
        <v>7963</v>
      </c>
      <c r="Q1981" s="157" t="s">
        <v>2115</v>
      </c>
      <c r="R1981" s="157" t="s">
        <v>8566</v>
      </c>
      <c r="S1981" s="157" t="s">
        <v>8611</v>
      </c>
      <c r="T1981" s="157"/>
      <c r="U1981" s="159" t="s">
        <v>2129</v>
      </c>
      <c r="V1981" s="159" t="s">
        <v>2129</v>
      </c>
      <c r="W1981" s="159" t="s">
        <v>2138</v>
      </c>
      <c r="X1981" s="160">
        <v>0</v>
      </c>
      <c r="Y1981" s="160">
        <v>0</v>
      </c>
      <c r="Z1981" s="160">
        <v>0</v>
      </c>
      <c r="AA1981" s="160">
        <v>0</v>
      </c>
    </row>
    <row r="1982" spans="1:27" ht="18" customHeight="1" x14ac:dyDescent="0.25">
      <c r="A1982" s="159">
        <v>4507</v>
      </c>
      <c r="B1982" s="157" t="s">
        <v>77</v>
      </c>
      <c r="C1982" s="157" t="s">
        <v>124</v>
      </c>
      <c r="D1982" s="159" t="s">
        <v>866</v>
      </c>
      <c r="E1982" s="157" t="s">
        <v>864</v>
      </c>
      <c r="F1982" s="157" t="s">
        <v>1264</v>
      </c>
      <c r="G1982" s="157" t="s">
        <v>1278</v>
      </c>
      <c r="H1982" s="157" t="s">
        <v>1283</v>
      </c>
      <c r="I1982" s="157" t="s">
        <v>1798</v>
      </c>
      <c r="J1982" s="157" t="s">
        <v>1285</v>
      </c>
      <c r="K1982" s="157" t="s">
        <v>1269</v>
      </c>
      <c r="L1982" s="157" t="s">
        <v>1286</v>
      </c>
      <c r="M1982" s="157" t="str">
        <f t="shared" si="40"/>
        <v>LED Lamp - Door Internal Handle Illumination RR</v>
      </c>
      <c r="N1982" s="157"/>
      <c r="O1982" s="157"/>
      <c r="P1982" s="159" t="s">
        <v>3815</v>
      </c>
      <c r="Q1982" s="157" t="s">
        <v>2115</v>
      </c>
      <c r="R1982" s="157" t="s">
        <v>8566</v>
      </c>
      <c r="S1982" s="157" t="s">
        <v>8611</v>
      </c>
      <c r="T1982" s="157"/>
      <c r="U1982" s="159" t="s">
        <v>2129</v>
      </c>
      <c r="V1982" s="159" t="s">
        <v>2129</v>
      </c>
      <c r="W1982" s="159" t="s">
        <v>2138</v>
      </c>
      <c r="X1982" s="160">
        <v>0</v>
      </c>
      <c r="Y1982" s="160">
        <v>0</v>
      </c>
      <c r="Z1982" s="160">
        <v>0</v>
      </c>
      <c r="AA1982" s="160">
        <v>0</v>
      </c>
    </row>
    <row r="1983" spans="1:27" ht="18" customHeight="1" x14ac:dyDescent="0.25">
      <c r="A1983" s="159">
        <v>4509</v>
      </c>
      <c r="B1983" s="157" t="s">
        <v>57</v>
      </c>
      <c r="C1983" s="157" t="s">
        <v>349</v>
      </c>
      <c r="D1983" s="159" t="s">
        <v>352</v>
      </c>
      <c r="E1983" s="157" t="s">
        <v>350</v>
      </c>
      <c r="F1983" s="157"/>
      <c r="G1983" s="157" t="s">
        <v>1321</v>
      </c>
      <c r="H1983" s="157" t="s">
        <v>2022</v>
      </c>
      <c r="I1983" s="157" t="s">
        <v>1387</v>
      </c>
      <c r="J1983" s="157"/>
      <c r="K1983" s="157" t="s">
        <v>1312</v>
      </c>
      <c r="L1983" s="157" t="s">
        <v>8517</v>
      </c>
      <c r="M1983" s="157" t="str">
        <f t="shared" si="40"/>
        <v>Radiator Coolant Outlet Temperature Sensor - Coolant Temperature</v>
      </c>
      <c r="N1983" s="157"/>
      <c r="O1983" s="157"/>
      <c r="P1983" s="159" t="s">
        <v>3484</v>
      </c>
      <c r="Q1983" s="157" t="s">
        <v>2115</v>
      </c>
      <c r="R1983" s="157" t="s">
        <v>8575</v>
      </c>
      <c r="S1983" s="157" t="s">
        <v>8576</v>
      </c>
      <c r="T1983" s="157"/>
      <c r="U1983" s="159" t="s">
        <v>2138</v>
      </c>
      <c r="V1983" s="159" t="s">
        <v>2138</v>
      </c>
      <c r="W1983" s="159" t="s">
        <v>2138</v>
      </c>
      <c r="X1983" s="160">
        <v>1</v>
      </c>
      <c r="Y1983" s="160">
        <v>1</v>
      </c>
      <c r="Z1983" s="160">
        <v>1</v>
      </c>
      <c r="AA1983" s="160">
        <v>1</v>
      </c>
    </row>
    <row r="1984" spans="1:27" ht="18" customHeight="1" x14ac:dyDescent="0.25">
      <c r="A1984" s="159">
        <v>4509</v>
      </c>
      <c r="B1984" s="157" t="s">
        <v>57</v>
      </c>
      <c r="C1984" s="157" t="s">
        <v>349</v>
      </c>
      <c r="D1984" s="159" t="s">
        <v>453</v>
      </c>
      <c r="E1984" s="157" t="s">
        <v>451</v>
      </c>
      <c r="F1984" s="157"/>
      <c r="G1984" s="157" t="s">
        <v>1321</v>
      </c>
      <c r="H1984" s="157" t="s">
        <v>2022</v>
      </c>
      <c r="I1984" s="157" t="s">
        <v>1387</v>
      </c>
      <c r="J1984" s="157"/>
      <c r="K1984" s="157" t="s">
        <v>1312</v>
      </c>
      <c r="L1984" s="157" t="s">
        <v>8517</v>
      </c>
      <c r="M1984" s="157" t="str">
        <f t="shared" si="40"/>
        <v>Radiator Coolant Outlet Temperature Sensor - Coolant Temperature</v>
      </c>
      <c r="N1984" s="157"/>
      <c r="O1984" s="157"/>
      <c r="P1984" s="159" t="s">
        <v>3484</v>
      </c>
      <c r="Q1984" s="157" t="s">
        <v>2115</v>
      </c>
      <c r="R1984" s="157" t="s">
        <v>8575</v>
      </c>
      <c r="S1984" s="157" t="s">
        <v>8576</v>
      </c>
      <c r="T1984" s="157"/>
      <c r="U1984" s="159" t="s">
        <v>2138</v>
      </c>
      <c r="V1984" s="159" t="s">
        <v>2138</v>
      </c>
      <c r="W1984" s="159" t="s">
        <v>2138</v>
      </c>
      <c r="X1984" s="160">
        <v>1</v>
      </c>
      <c r="Y1984" s="160">
        <v>1</v>
      </c>
      <c r="Z1984" s="160">
        <v>1</v>
      </c>
      <c r="AA1984" s="160">
        <v>1</v>
      </c>
    </row>
    <row r="1985" spans="1:27" ht="18" customHeight="1" x14ac:dyDescent="0.25">
      <c r="A1985" s="159">
        <v>4509</v>
      </c>
      <c r="B1985" s="157" t="s">
        <v>57</v>
      </c>
      <c r="C1985" s="157" t="s">
        <v>349</v>
      </c>
      <c r="D1985" s="159" t="s">
        <v>590</v>
      </c>
      <c r="E1985" s="157" t="s">
        <v>588</v>
      </c>
      <c r="F1985" s="157"/>
      <c r="G1985" s="157" t="s">
        <v>1321</v>
      </c>
      <c r="H1985" s="157" t="s">
        <v>2022</v>
      </c>
      <c r="I1985" s="157" t="s">
        <v>1387</v>
      </c>
      <c r="J1985" s="157"/>
      <c r="K1985" s="157" t="s">
        <v>1312</v>
      </c>
      <c r="L1985" s="157" t="s">
        <v>8517</v>
      </c>
      <c r="M1985" s="157" t="str">
        <f t="shared" si="40"/>
        <v>Radiator Coolant Outlet Temperature Sensor - Coolant Temperature</v>
      </c>
      <c r="N1985" s="157"/>
      <c r="O1985" s="157"/>
      <c r="P1985" s="159" t="s">
        <v>3484</v>
      </c>
      <c r="Q1985" s="157" t="s">
        <v>2115</v>
      </c>
      <c r="R1985" s="157" t="s">
        <v>8575</v>
      </c>
      <c r="S1985" s="157" t="s">
        <v>8576</v>
      </c>
      <c r="T1985" s="157"/>
      <c r="U1985" s="159" t="s">
        <v>2138</v>
      </c>
      <c r="V1985" s="159" t="s">
        <v>2138</v>
      </c>
      <c r="W1985" s="159" t="s">
        <v>2138</v>
      </c>
      <c r="X1985" s="160">
        <v>1</v>
      </c>
      <c r="Y1985" s="160">
        <v>1</v>
      </c>
      <c r="Z1985" s="160">
        <v>1</v>
      </c>
      <c r="AA1985" s="160">
        <v>1</v>
      </c>
    </row>
    <row r="1986" spans="1:27" ht="18" customHeight="1" x14ac:dyDescent="0.25">
      <c r="A1986" s="159">
        <v>4509</v>
      </c>
      <c r="B1986" s="157" t="s">
        <v>57</v>
      </c>
      <c r="C1986" s="157" t="s">
        <v>349</v>
      </c>
      <c r="D1986" s="159" t="s">
        <v>642</v>
      </c>
      <c r="E1986" s="157" t="s">
        <v>640</v>
      </c>
      <c r="F1986" s="157"/>
      <c r="G1986" s="157" t="s">
        <v>1321</v>
      </c>
      <c r="H1986" s="157" t="s">
        <v>2022</v>
      </c>
      <c r="I1986" s="157" t="s">
        <v>1387</v>
      </c>
      <c r="J1986" s="157"/>
      <c r="K1986" s="157" t="s">
        <v>1312</v>
      </c>
      <c r="L1986" s="157" t="s">
        <v>8517</v>
      </c>
      <c r="M1986" s="157" t="str">
        <f t="shared" si="40"/>
        <v>Radiator Coolant Outlet Temperature Sensor - Coolant Temperature</v>
      </c>
      <c r="N1986" s="157"/>
      <c r="O1986" s="157"/>
      <c r="P1986" s="159" t="s">
        <v>3484</v>
      </c>
      <c r="Q1986" s="157" t="s">
        <v>2115</v>
      </c>
      <c r="R1986" s="157" t="s">
        <v>8575</v>
      </c>
      <c r="S1986" s="157" t="s">
        <v>8576</v>
      </c>
      <c r="T1986" s="157"/>
      <c r="U1986" s="159" t="s">
        <v>2138</v>
      </c>
      <c r="V1986" s="159" t="s">
        <v>2138</v>
      </c>
      <c r="W1986" s="159" t="s">
        <v>2138</v>
      </c>
      <c r="X1986" s="160">
        <v>1</v>
      </c>
      <c r="Y1986" s="160">
        <v>1</v>
      </c>
      <c r="Z1986" s="160">
        <v>1</v>
      </c>
      <c r="AA1986" s="160">
        <v>1</v>
      </c>
    </row>
    <row r="1987" spans="1:27" ht="18" customHeight="1" x14ac:dyDescent="0.25">
      <c r="A1987" s="159">
        <v>4509</v>
      </c>
      <c r="B1987" s="157" t="s">
        <v>57</v>
      </c>
      <c r="C1987" s="157" t="s">
        <v>349</v>
      </c>
      <c r="D1987" s="159" t="s">
        <v>454</v>
      </c>
      <c r="E1987" s="157" t="s">
        <v>700</v>
      </c>
      <c r="F1987" s="157"/>
      <c r="G1987" s="157" t="s">
        <v>1321</v>
      </c>
      <c r="H1987" s="157" t="s">
        <v>2022</v>
      </c>
      <c r="I1987" s="157" t="s">
        <v>1387</v>
      </c>
      <c r="J1987" s="157"/>
      <c r="K1987" s="157" t="s">
        <v>1312</v>
      </c>
      <c r="L1987" s="157" t="s">
        <v>8517</v>
      </c>
      <c r="M1987" s="157" t="str">
        <f t="shared" si="40"/>
        <v>Radiator Coolant Outlet Temperature Sensor - Coolant Temperature</v>
      </c>
      <c r="N1987" s="157"/>
      <c r="O1987" s="157"/>
      <c r="P1987" s="159" t="s">
        <v>3484</v>
      </c>
      <c r="Q1987" s="157" t="s">
        <v>2115</v>
      </c>
      <c r="R1987" s="157" t="s">
        <v>8575</v>
      </c>
      <c r="S1987" s="157" t="s">
        <v>8576</v>
      </c>
      <c r="T1987" s="157"/>
      <c r="U1987" s="159" t="s">
        <v>2138</v>
      </c>
      <c r="V1987" s="159" t="s">
        <v>2138</v>
      </c>
      <c r="W1987" s="159" t="s">
        <v>2138</v>
      </c>
      <c r="X1987" s="160">
        <v>1</v>
      </c>
      <c r="Y1987" s="160">
        <v>1</v>
      </c>
      <c r="Z1987" s="160">
        <v>1</v>
      </c>
      <c r="AA1987" s="160">
        <v>1</v>
      </c>
    </row>
    <row r="1988" spans="1:27" ht="18" customHeight="1" x14ac:dyDescent="0.25">
      <c r="A1988" s="159">
        <v>4509</v>
      </c>
      <c r="B1988" s="157" t="s">
        <v>57</v>
      </c>
      <c r="C1988" s="157" t="s">
        <v>349</v>
      </c>
      <c r="D1988" s="159" t="s">
        <v>353</v>
      </c>
      <c r="E1988" s="157" t="s">
        <v>742</v>
      </c>
      <c r="F1988" s="157"/>
      <c r="G1988" s="157" t="s">
        <v>1321</v>
      </c>
      <c r="H1988" s="157" t="s">
        <v>2022</v>
      </c>
      <c r="I1988" s="157" t="s">
        <v>1387</v>
      </c>
      <c r="J1988" s="157"/>
      <c r="K1988" s="157" t="s">
        <v>1312</v>
      </c>
      <c r="L1988" s="157" t="s">
        <v>8517</v>
      </c>
      <c r="M1988" s="157" t="str">
        <f t="shared" si="40"/>
        <v>Radiator Coolant Outlet Temperature Sensor - Coolant Temperature</v>
      </c>
      <c r="N1988" s="157"/>
      <c r="O1988" s="157"/>
      <c r="P1988" s="159" t="s">
        <v>3484</v>
      </c>
      <c r="Q1988" s="157" t="s">
        <v>2115</v>
      </c>
      <c r="R1988" s="157" t="s">
        <v>8575</v>
      </c>
      <c r="S1988" s="157" t="s">
        <v>8576</v>
      </c>
      <c r="T1988" s="157"/>
      <c r="U1988" s="159" t="s">
        <v>2138</v>
      </c>
      <c r="V1988" s="159" t="s">
        <v>2138</v>
      </c>
      <c r="W1988" s="159" t="s">
        <v>2138</v>
      </c>
      <c r="X1988" s="160">
        <v>1</v>
      </c>
      <c r="Y1988" s="160">
        <v>1</v>
      </c>
      <c r="Z1988" s="160">
        <v>1</v>
      </c>
      <c r="AA1988" s="160">
        <v>1</v>
      </c>
    </row>
    <row r="1989" spans="1:27" ht="18" customHeight="1" x14ac:dyDescent="0.25">
      <c r="A1989" s="159">
        <v>4509</v>
      </c>
      <c r="B1989" s="157" t="s">
        <v>57</v>
      </c>
      <c r="C1989" s="157" t="s">
        <v>349</v>
      </c>
      <c r="D1989" s="159" t="s">
        <v>910</v>
      </c>
      <c r="E1989" s="157" t="s">
        <v>908</v>
      </c>
      <c r="F1989" s="157"/>
      <c r="G1989" s="157" t="s">
        <v>1321</v>
      </c>
      <c r="H1989" s="157" t="s">
        <v>2022</v>
      </c>
      <c r="I1989" s="157" t="s">
        <v>1387</v>
      </c>
      <c r="J1989" s="157"/>
      <c r="K1989" s="157" t="s">
        <v>1312</v>
      </c>
      <c r="L1989" s="157" t="s">
        <v>8517</v>
      </c>
      <c r="M1989" s="157" t="str">
        <f t="shared" si="40"/>
        <v>Radiator Coolant Outlet Temperature Sensor - Coolant Temperature</v>
      </c>
      <c r="N1989" s="157"/>
      <c r="O1989" s="157"/>
      <c r="P1989" s="159" t="s">
        <v>3484</v>
      </c>
      <c r="Q1989" s="157" t="s">
        <v>2115</v>
      </c>
      <c r="R1989" s="157" t="s">
        <v>8575</v>
      </c>
      <c r="S1989" s="157" t="s">
        <v>8576</v>
      </c>
      <c r="T1989" s="157"/>
      <c r="U1989" s="159" t="s">
        <v>2138</v>
      </c>
      <c r="V1989" s="159" t="s">
        <v>2138</v>
      </c>
      <c r="W1989" s="159" t="s">
        <v>2138</v>
      </c>
      <c r="X1989" s="160">
        <v>1</v>
      </c>
      <c r="Y1989" s="160">
        <v>1</v>
      </c>
      <c r="Z1989" s="160">
        <v>1</v>
      </c>
      <c r="AA1989" s="160">
        <v>1</v>
      </c>
    </row>
    <row r="1990" spans="1:27" ht="18" customHeight="1" x14ac:dyDescent="0.25">
      <c r="A1990" s="159">
        <v>4509</v>
      </c>
      <c r="B1990" s="157" t="s">
        <v>57</v>
      </c>
      <c r="C1990" s="157" t="s">
        <v>349</v>
      </c>
      <c r="D1990" s="159" t="s">
        <v>8441</v>
      </c>
      <c r="E1990" s="157" t="s">
        <v>8444</v>
      </c>
      <c r="F1990" s="157"/>
      <c r="G1990" s="157" t="s">
        <v>1321</v>
      </c>
      <c r="H1990" s="157" t="s">
        <v>2022</v>
      </c>
      <c r="I1990" s="157" t="s">
        <v>1387</v>
      </c>
      <c r="J1990" s="157"/>
      <c r="K1990" s="157" t="s">
        <v>1312</v>
      </c>
      <c r="L1990" s="157" t="s">
        <v>8517</v>
      </c>
      <c r="M1990" s="157" t="str">
        <f t="shared" si="40"/>
        <v>Radiator Coolant Outlet Temperature Sensor - Coolant Temperature</v>
      </c>
      <c r="N1990" s="157"/>
      <c r="O1990" s="157"/>
      <c r="P1990" s="159" t="s">
        <v>3484</v>
      </c>
      <c r="Q1990" s="157" t="s">
        <v>2115</v>
      </c>
      <c r="R1990" s="157" t="s">
        <v>8575</v>
      </c>
      <c r="S1990" s="157" t="s">
        <v>8576</v>
      </c>
      <c r="T1990" s="157"/>
      <c r="U1990" s="159" t="s">
        <v>2138</v>
      </c>
      <c r="V1990" s="159" t="s">
        <v>2138</v>
      </c>
      <c r="W1990" s="159" t="s">
        <v>2138</v>
      </c>
      <c r="X1990" s="160">
        <v>1</v>
      </c>
      <c r="Y1990" s="160">
        <v>1</v>
      </c>
      <c r="Z1990" s="160">
        <v>1</v>
      </c>
      <c r="AA1990" s="160">
        <v>1</v>
      </c>
    </row>
    <row r="1991" spans="1:27" ht="18" customHeight="1" x14ac:dyDescent="0.25">
      <c r="A1991" s="159">
        <v>4509</v>
      </c>
      <c r="B1991" s="157" t="s">
        <v>57</v>
      </c>
      <c r="C1991" s="157" t="s">
        <v>349</v>
      </c>
      <c r="D1991" s="159" t="s">
        <v>8442</v>
      </c>
      <c r="E1991" s="157" t="s">
        <v>8446</v>
      </c>
      <c r="F1991" s="157"/>
      <c r="G1991" s="157" t="s">
        <v>1321</v>
      </c>
      <c r="H1991" s="157" t="s">
        <v>2022</v>
      </c>
      <c r="I1991" s="157" t="s">
        <v>1387</v>
      </c>
      <c r="J1991" s="157"/>
      <c r="K1991" s="157" t="s">
        <v>1312</v>
      </c>
      <c r="L1991" s="157" t="s">
        <v>8517</v>
      </c>
      <c r="M1991" s="157" t="str">
        <f t="shared" si="40"/>
        <v>Radiator Coolant Outlet Temperature Sensor - Coolant Temperature</v>
      </c>
      <c r="N1991" s="157"/>
      <c r="O1991" s="157"/>
      <c r="P1991" s="159" t="s">
        <v>3484</v>
      </c>
      <c r="Q1991" s="157" t="s">
        <v>2115</v>
      </c>
      <c r="R1991" s="157" t="s">
        <v>8575</v>
      </c>
      <c r="S1991" s="157" t="s">
        <v>8576</v>
      </c>
      <c r="T1991" s="157"/>
      <c r="U1991" s="159" t="s">
        <v>2138</v>
      </c>
      <c r="V1991" s="159" t="s">
        <v>2138</v>
      </c>
      <c r="W1991" s="159" t="s">
        <v>2138</v>
      </c>
      <c r="X1991" s="160">
        <v>1</v>
      </c>
      <c r="Y1991" s="160">
        <v>1</v>
      </c>
      <c r="Z1991" s="160">
        <v>1</v>
      </c>
      <c r="AA1991" s="160">
        <v>1</v>
      </c>
    </row>
    <row r="1992" spans="1:27" ht="18" customHeight="1" x14ac:dyDescent="0.25">
      <c r="A1992" s="159">
        <v>4509</v>
      </c>
      <c r="B1992" s="157" t="s">
        <v>57</v>
      </c>
      <c r="C1992" s="157" t="s">
        <v>349</v>
      </c>
      <c r="D1992" s="159" t="s">
        <v>8443</v>
      </c>
      <c r="E1992" s="157" t="s">
        <v>8447</v>
      </c>
      <c r="F1992" s="157"/>
      <c r="G1992" s="157" t="s">
        <v>1321</v>
      </c>
      <c r="H1992" s="157" t="s">
        <v>2022</v>
      </c>
      <c r="I1992" s="157" t="s">
        <v>1387</v>
      </c>
      <c r="J1992" s="157"/>
      <c r="K1992" s="157" t="s">
        <v>1312</v>
      </c>
      <c r="L1992" s="157" t="s">
        <v>8517</v>
      </c>
      <c r="M1992" s="157" t="str">
        <f t="shared" si="40"/>
        <v>Radiator Coolant Outlet Temperature Sensor - Coolant Temperature</v>
      </c>
      <c r="N1992" s="157"/>
      <c r="O1992" s="157"/>
      <c r="P1992" s="159" t="s">
        <v>3484</v>
      </c>
      <c r="Q1992" s="157" t="s">
        <v>2115</v>
      </c>
      <c r="R1992" s="157" t="s">
        <v>8575</v>
      </c>
      <c r="S1992" s="157" t="s">
        <v>8576</v>
      </c>
      <c r="T1992" s="157"/>
      <c r="U1992" s="159" t="s">
        <v>2138</v>
      </c>
      <c r="V1992" s="159" t="s">
        <v>2138</v>
      </c>
      <c r="W1992" s="159" t="s">
        <v>2138</v>
      </c>
      <c r="X1992" s="160">
        <v>1</v>
      </c>
      <c r="Y1992" s="160">
        <v>1</v>
      </c>
      <c r="Z1992" s="160">
        <v>1</v>
      </c>
      <c r="AA1992" s="160">
        <v>1</v>
      </c>
    </row>
    <row r="1993" spans="1:27" ht="18" customHeight="1" x14ac:dyDescent="0.25">
      <c r="A1993" s="159">
        <v>4509</v>
      </c>
      <c r="B1993" s="157" t="s">
        <v>57</v>
      </c>
      <c r="C1993" s="157" t="s">
        <v>349</v>
      </c>
      <c r="D1993" s="159" t="s">
        <v>1183</v>
      </c>
      <c r="E1993" s="157" t="s">
        <v>1181</v>
      </c>
      <c r="F1993" s="157"/>
      <c r="G1993" s="157" t="s">
        <v>1321</v>
      </c>
      <c r="H1993" s="157" t="s">
        <v>2022</v>
      </c>
      <c r="I1993" s="157" t="s">
        <v>1387</v>
      </c>
      <c r="J1993" s="157"/>
      <c r="K1993" s="157" t="s">
        <v>1312</v>
      </c>
      <c r="L1993" s="157" t="s">
        <v>8517</v>
      </c>
      <c r="M1993" s="157" t="str">
        <f t="shared" si="40"/>
        <v>Radiator Coolant Outlet Temperature Sensor - Coolant Temperature</v>
      </c>
      <c r="N1993" s="157"/>
      <c r="O1993" s="157"/>
      <c r="P1993" s="159" t="s">
        <v>3484</v>
      </c>
      <c r="Q1993" s="157" t="s">
        <v>2115</v>
      </c>
      <c r="R1993" s="157" t="s">
        <v>8575</v>
      </c>
      <c r="S1993" s="157" t="s">
        <v>8576</v>
      </c>
      <c r="T1993" s="157"/>
      <c r="U1993" s="159" t="s">
        <v>2138</v>
      </c>
      <c r="V1993" s="159" t="s">
        <v>2138</v>
      </c>
      <c r="W1993" s="159" t="s">
        <v>2138</v>
      </c>
      <c r="X1993" s="160">
        <v>1</v>
      </c>
      <c r="Y1993" s="160">
        <v>1</v>
      </c>
      <c r="Z1993" s="160">
        <v>1</v>
      </c>
      <c r="AA1993" s="160">
        <v>1</v>
      </c>
    </row>
    <row r="1994" spans="1:27" ht="18" customHeight="1" x14ac:dyDescent="0.25">
      <c r="A1994" s="159">
        <v>4510</v>
      </c>
      <c r="B1994" s="157" t="s">
        <v>29</v>
      </c>
      <c r="C1994" s="157" t="s">
        <v>82</v>
      </c>
      <c r="D1994" s="159" t="s">
        <v>92</v>
      </c>
      <c r="E1994" s="157" t="s">
        <v>90</v>
      </c>
      <c r="F1994" s="157" t="s">
        <v>1264</v>
      </c>
      <c r="G1994" s="157" t="s">
        <v>1278</v>
      </c>
      <c r="H1994" s="157" t="s">
        <v>1294</v>
      </c>
      <c r="I1994" s="157" t="s">
        <v>1799</v>
      </c>
      <c r="J1994" s="157" t="s">
        <v>1296</v>
      </c>
      <c r="K1994" s="157" t="s">
        <v>1281</v>
      </c>
      <c r="L1994" s="157" t="s">
        <v>1282</v>
      </c>
      <c r="M1994" s="157" t="str">
        <f t="shared" ref="M1994:M2057" si="41">CONCATENATE(L1994," - ",I1994)</f>
        <v>User Selector - Door Internal Handle Command FR</v>
      </c>
      <c r="N1994" s="157"/>
      <c r="O1994" s="157"/>
      <c r="P1994" s="159" t="s">
        <v>3789</v>
      </c>
      <c r="Q1994" s="157"/>
      <c r="R1994" s="157"/>
      <c r="S1994" s="157"/>
      <c r="T1994" s="157"/>
      <c r="U1994" s="159" t="s">
        <v>2138</v>
      </c>
      <c r="V1994" s="159" t="s">
        <v>2138</v>
      </c>
      <c r="W1994" s="159" t="s">
        <v>2138</v>
      </c>
      <c r="X1994" s="160">
        <v>0</v>
      </c>
      <c r="Y1994" s="160">
        <v>0</v>
      </c>
      <c r="Z1994" s="160">
        <v>0</v>
      </c>
      <c r="AA1994" s="160">
        <v>0</v>
      </c>
    </row>
    <row r="1995" spans="1:27" ht="18" customHeight="1" x14ac:dyDescent="0.25">
      <c r="A1995" s="159">
        <v>4511</v>
      </c>
      <c r="B1995" s="157" t="s">
        <v>29</v>
      </c>
      <c r="C1995" s="157" t="s">
        <v>82</v>
      </c>
      <c r="D1995" s="159" t="s">
        <v>86</v>
      </c>
      <c r="E1995" s="157" t="s">
        <v>777</v>
      </c>
      <c r="F1995" s="157" t="s">
        <v>1264</v>
      </c>
      <c r="G1995" s="157" t="s">
        <v>1278</v>
      </c>
      <c r="H1995" s="157" t="s">
        <v>1294</v>
      </c>
      <c r="I1995" s="157" t="s">
        <v>1800</v>
      </c>
      <c r="J1995" s="157" t="s">
        <v>1296</v>
      </c>
      <c r="K1995" s="157" t="s">
        <v>1281</v>
      </c>
      <c r="L1995" s="157" t="s">
        <v>1282</v>
      </c>
      <c r="M1995" s="157" t="str">
        <f t="shared" si="41"/>
        <v>User Selector - Door Internal Handle Command RL</v>
      </c>
      <c r="N1995" s="157"/>
      <c r="O1995" s="157"/>
      <c r="P1995" s="159" t="s">
        <v>7965</v>
      </c>
      <c r="Q1995" s="157"/>
      <c r="R1995" s="157"/>
      <c r="S1995" s="157"/>
      <c r="T1995" s="157"/>
      <c r="U1995" s="159" t="s">
        <v>2138</v>
      </c>
      <c r="V1995" s="159" t="s">
        <v>2138</v>
      </c>
      <c r="W1995" s="159" t="s">
        <v>2138</v>
      </c>
      <c r="X1995" s="160">
        <v>0</v>
      </c>
      <c r="Y1995" s="160">
        <v>0</v>
      </c>
      <c r="Z1995" s="160">
        <v>0</v>
      </c>
      <c r="AA1995" s="160">
        <v>0</v>
      </c>
    </row>
    <row r="1996" spans="1:27" ht="18" customHeight="1" x14ac:dyDescent="0.25">
      <c r="A1996" s="159">
        <v>4512</v>
      </c>
      <c r="B1996" s="157" t="s">
        <v>29</v>
      </c>
      <c r="C1996" s="157" t="s">
        <v>82</v>
      </c>
      <c r="D1996" s="159" t="s">
        <v>86</v>
      </c>
      <c r="E1996" s="157" t="s">
        <v>777</v>
      </c>
      <c r="F1996" s="157" t="s">
        <v>1264</v>
      </c>
      <c r="G1996" s="157" t="s">
        <v>1278</v>
      </c>
      <c r="H1996" s="157" t="s">
        <v>1294</v>
      </c>
      <c r="I1996" s="157" t="s">
        <v>1801</v>
      </c>
      <c r="J1996" s="157" t="s">
        <v>1296</v>
      </c>
      <c r="K1996" s="157" t="s">
        <v>1281</v>
      </c>
      <c r="L1996" s="157" t="s">
        <v>1282</v>
      </c>
      <c r="M1996" s="157" t="str">
        <f t="shared" si="41"/>
        <v>User Selector - Door Internal Handle Command RR</v>
      </c>
      <c r="N1996" s="157"/>
      <c r="O1996" s="157"/>
      <c r="P1996" s="159" t="s">
        <v>3817</v>
      </c>
      <c r="Q1996" s="157"/>
      <c r="R1996" s="157"/>
      <c r="S1996" s="157"/>
      <c r="T1996" s="157"/>
      <c r="U1996" s="159" t="s">
        <v>2138</v>
      </c>
      <c r="V1996" s="159" t="s">
        <v>2138</v>
      </c>
      <c r="W1996" s="159" t="s">
        <v>2138</v>
      </c>
      <c r="X1996" s="160">
        <v>0</v>
      </c>
      <c r="Y1996" s="160">
        <v>0</v>
      </c>
      <c r="Z1996" s="160">
        <v>0</v>
      </c>
      <c r="AA1996" s="160">
        <v>0</v>
      </c>
    </row>
    <row r="1997" spans="1:27" ht="18" customHeight="1" x14ac:dyDescent="0.25">
      <c r="A1997" s="159">
        <v>4513</v>
      </c>
      <c r="B1997" s="157" t="s">
        <v>77</v>
      </c>
      <c r="C1997" s="157" t="s">
        <v>124</v>
      </c>
      <c r="D1997" s="159" t="s">
        <v>866</v>
      </c>
      <c r="E1997" s="157" t="s">
        <v>864</v>
      </c>
      <c r="F1997" s="157" t="s">
        <v>1264</v>
      </c>
      <c r="G1997" s="157" t="s">
        <v>1278</v>
      </c>
      <c r="H1997" s="157" t="s">
        <v>1283</v>
      </c>
      <c r="I1997" s="157" t="s">
        <v>1802</v>
      </c>
      <c r="J1997" s="157" t="s">
        <v>1285</v>
      </c>
      <c r="K1997" s="157" t="s">
        <v>1269</v>
      </c>
      <c r="L1997" s="157" t="s">
        <v>1286</v>
      </c>
      <c r="M1997" s="157" t="str">
        <f t="shared" si="41"/>
        <v>LED Lamp - Door Internal Handle Illumination FR</v>
      </c>
      <c r="N1997" s="157"/>
      <c r="O1997" s="157"/>
      <c r="P1997" s="159" t="s">
        <v>3791</v>
      </c>
      <c r="Q1997" s="157" t="s">
        <v>2115</v>
      </c>
      <c r="R1997" s="157" t="s">
        <v>8566</v>
      </c>
      <c r="S1997" s="157" t="s">
        <v>8611</v>
      </c>
      <c r="T1997" s="157"/>
      <c r="U1997" s="159" t="s">
        <v>2129</v>
      </c>
      <c r="V1997" s="159" t="s">
        <v>2129</v>
      </c>
      <c r="W1997" s="159" t="s">
        <v>2138</v>
      </c>
      <c r="X1997" s="160">
        <v>0</v>
      </c>
      <c r="Y1997" s="160">
        <v>0</v>
      </c>
      <c r="Z1997" s="160">
        <v>0</v>
      </c>
      <c r="AA1997" s="160">
        <v>0</v>
      </c>
    </row>
    <row r="1998" spans="1:27" ht="18" customHeight="1" x14ac:dyDescent="0.25">
      <c r="A1998" s="159">
        <v>4514</v>
      </c>
      <c r="B1998" s="157" t="s">
        <v>77</v>
      </c>
      <c r="C1998" s="157" t="s">
        <v>124</v>
      </c>
      <c r="D1998" s="159" t="s">
        <v>866</v>
      </c>
      <c r="E1998" s="157" t="s">
        <v>864</v>
      </c>
      <c r="F1998" s="157" t="s">
        <v>1264</v>
      </c>
      <c r="G1998" s="157" t="s">
        <v>1278</v>
      </c>
      <c r="H1998" s="157" t="s">
        <v>1283</v>
      </c>
      <c r="I1998" s="157" t="s">
        <v>1803</v>
      </c>
      <c r="J1998" s="157" t="s">
        <v>1285</v>
      </c>
      <c r="K1998" s="157" t="s">
        <v>1269</v>
      </c>
      <c r="L1998" s="157" t="s">
        <v>1286</v>
      </c>
      <c r="M1998" s="157" t="str">
        <f t="shared" si="41"/>
        <v>LED Lamp - Door Internal Handle Illumination FL</v>
      </c>
      <c r="N1998" s="157"/>
      <c r="O1998" s="157"/>
      <c r="P1998" s="159" t="s">
        <v>7939</v>
      </c>
      <c r="Q1998" s="157" t="s">
        <v>2115</v>
      </c>
      <c r="R1998" s="157" t="s">
        <v>8566</v>
      </c>
      <c r="S1998" s="157" t="s">
        <v>8611</v>
      </c>
      <c r="T1998" s="157"/>
      <c r="U1998" s="159" t="s">
        <v>2129</v>
      </c>
      <c r="V1998" s="159" t="s">
        <v>2129</v>
      </c>
      <c r="W1998" s="159" t="s">
        <v>2138</v>
      </c>
      <c r="X1998" s="160">
        <v>0</v>
      </c>
      <c r="Y1998" s="160">
        <v>0</v>
      </c>
      <c r="Z1998" s="160">
        <v>0</v>
      </c>
      <c r="AA1998" s="160">
        <v>0</v>
      </c>
    </row>
    <row r="1999" spans="1:27" ht="18" customHeight="1" x14ac:dyDescent="0.25">
      <c r="A1999" s="159">
        <v>4515</v>
      </c>
      <c r="B1999" s="157" t="s">
        <v>57</v>
      </c>
      <c r="C1999" s="157" t="s">
        <v>58</v>
      </c>
      <c r="D1999" s="159" t="s">
        <v>841</v>
      </c>
      <c r="E1999" s="157" t="s">
        <v>839</v>
      </c>
      <c r="F1999" s="157" t="s">
        <v>1264</v>
      </c>
      <c r="G1999" s="157" t="s">
        <v>1278</v>
      </c>
      <c r="H1999" s="157" t="s">
        <v>1378</v>
      </c>
      <c r="I1999" s="157" t="s">
        <v>9550</v>
      </c>
      <c r="J1999" s="157" t="s">
        <v>1718</v>
      </c>
      <c r="K1999" s="157" t="s">
        <v>1312</v>
      </c>
      <c r="L1999" s="157" t="s">
        <v>9551</v>
      </c>
      <c r="M1999" s="157" t="str">
        <f t="shared" si="41"/>
        <v>Footwell Temperature Sensor Rear Left - Footwell  Temperature Detection Rear Left</v>
      </c>
      <c r="N1999" s="157"/>
      <c r="O1999" s="157"/>
      <c r="P1999" s="159" t="s">
        <v>5768</v>
      </c>
      <c r="Q1999" s="157"/>
      <c r="R1999" s="157"/>
      <c r="S1999" s="157"/>
      <c r="T1999" s="157"/>
      <c r="U1999" s="159" t="s">
        <v>2129</v>
      </c>
      <c r="V1999" s="159" t="s">
        <v>2129</v>
      </c>
      <c r="W1999" s="159" t="s">
        <v>2138</v>
      </c>
      <c r="X1999" s="160">
        <v>1</v>
      </c>
      <c r="Y1999" s="160">
        <v>1</v>
      </c>
      <c r="Z1999" s="160">
        <v>1</v>
      </c>
      <c r="AA1999" s="160">
        <v>1</v>
      </c>
    </row>
    <row r="2000" spans="1:27" ht="18" customHeight="1" x14ac:dyDescent="0.25">
      <c r="A2000" s="159">
        <v>4515</v>
      </c>
      <c r="B2000" s="157" t="s">
        <v>57</v>
      </c>
      <c r="C2000" s="157" t="s">
        <v>58</v>
      </c>
      <c r="D2000" s="159" t="s">
        <v>842</v>
      </c>
      <c r="E2000" s="157" t="s">
        <v>843</v>
      </c>
      <c r="F2000" s="157" t="s">
        <v>1264</v>
      </c>
      <c r="G2000" s="157" t="s">
        <v>1278</v>
      </c>
      <c r="H2000" s="157" t="s">
        <v>1378</v>
      </c>
      <c r="I2000" s="157" t="s">
        <v>9550</v>
      </c>
      <c r="J2000" s="157" t="s">
        <v>1718</v>
      </c>
      <c r="K2000" s="157" t="s">
        <v>1312</v>
      </c>
      <c r="L2000" s="157" t="s">
        <v>9551</v>
      </c>
      <c r="M2000" s="157" t="str">
        <f t="shared" si="41"/>
        <v>Footwell Temperature Sensor Rear Left - Footwell  Temperature Detection Rear Left</v>
      </c>
      <c r="N2000" s="157"/>
      <c r="O2000" s="157"/>
      <c r="P2000" s="159" t="s">
        <v>5768</v>
      </c>
      <c r="Q2000" s="157"/>
      <c r="R2000" s="157"/>
      <c r="S2000" s="157"/>
      <c r="T2000" s="157"/>
      <c r="U2000" s="159" t="s">
        <v>2129</v>
      </c>
      <c r="V2000" s="159" t="s">
        <v>2129</v>
      </c>
      <c r="W2000" s="159" t="s">
        <v>2138</v>
      </c>
      <c r="X2000" s="160">
        <v>1</v>
      </c>
      <c r="Y2000" s="160">
        <v>1</v>
      </c>
      <c r="Z2000" s="160">
        <v>1</v>
      </c>
      <c r="AA2000" s="160">
        <v>1</v>
      </c>
    </row>
    <row r="2001" spans="1:27" ht="18" customHeight="1" x14ac:dyDescent="0.25">
      <c r="A2001" s="159">
        <v>4516</v>
      </c>
      <c r="B2001" s="157" t="s">
        <v>57</v>
      </c>
      <c r="C2001" s="157" t="s">
        <v>58</v>
      </c>
      <c r="D2001" s="159" t="s">
        <v>61</v>
      </c>
      <c r="E2001" s="157" t="s">
        <v>59</v>
      </c>
      <c r="F2001" s="157" t="s">
        <v>1264</v>
      </c>
      <c r="G2001" s="157" t="s">
        <v>1278</v>
      </c>
      <c r="H2001" s="157" t="s">
        <v>1378</v>
      </c>
      <c r="I2001" s="157" t="s">
        <v>9552</v>
      </c>
      <c r="J2001" s="157"/>
      <c r="K2001" s="157" t="s">
        <v>1312</v>
      </c>
      <c r="L2001" s="157" t="s">
        <v>9637</v>
      </c>
      <c r="M2001" s="157" t="str">
        <f t="shared" si="41"/>
        <v>Air Deflector Temperature Sensor RL - Air Flow Temperature Detection Rear Left</v>
      </c>
      <c r="N2001" s="157"/>
      <c r="O2001" s="157"/>
      <c r="P2001" s="159" t="s">
        <v>5859</v>
      </c>
      <c r="Q2001" s="157"/>
      <c r="R2001" s="157"/>
      <c r="S2001" s="157"/>
      <c r="T2001" s="157"/>
      <c r="U2001" s="159" t="s">
        <v>2129</v>
      </c>
      <c r="V2001" s="159" t="s">
        <v>2129</v>
      </c>
      <c r="W2001" s="159" t="s">
        <v>2138</v>
      </c>
      <c r="X2001" s="160">
        <v>1</v>
      </c>
      <c r="Y2001" s="160">
        <v>1</v>
      </c>
      <c r="Z2001" s="160">
        <v>1</v>
      </c>
      <c r="AA2001" s="160">
        <v>1</v>
      </c>
    </row>
    <row r="2002" spans="1:27" ht="18" customHeight="1" x14ac:dyDescent="0.25">
      <c r="A2002" s="159">
        <v>4516</v>
      </c>
      <c r="B2002" s="157" t="s">
        <v>57</v>
      </c>
      <c r="C2002" s="157" t="s">
        <v>58</v>
      </c>
      <c r="D2002" s="159" t="s">
        <v>841</v>
      </c>
      <c r="E2002" s="157" t="s">
        <v>839</v>
      </c>
      <c r="F2002" s="157" t="s">
        <v>1264</v>
      </c>
      <c r="G2002" s="157" t="s">
        <v>1278</v>
      </c>
      <c r="H2002" s="157" t="s">
        <v>1378</v>
      </c>
      <c r="I2002" s="157" t="s">
        <v>9552</v>
      </c>
      <c r="J2002" s="157"/>
      <c r="K2002" s="157" t="s">
        <v>1312</v>
      </c>
      <c r="L2002" s="157" t="s">
        <v>9637</v>
      </c>
      <c r="M2002" s="157" t="str">
        <f t="shared" si="41"/>
        <v>Air Deflector Temperature Sensor RL - Air Flow Temperature Detection Rear Left</v>
      </c>
      <c r="N2002" s="157"/>
      <c r="O2002" s="157"/>
      <c r="P2002" s="159" t="s">
        <v>5859</v>
      </c>
      <c r="Q2002" s="157"/>
      <c r="R2002" s="157"/>
      <c r="S2002" s="157"/>
      <c r="T2002" s="157"/>
      <c r="U2002" s="159" t="s">
        <v>2129</v>
      </c>
      <c r="V2002" s="159" t="s">
        <v>2129</v>
      </c>
      <c r="W2002" s="159" t="s">
        <v>2138</v>
      </c>
      <c r="X2002" s="160">
        <v>1</v>
      </c>
      <c r="Y2002" s="160">
        <v>1</v>
      </c>
      <c r="Z2002" s="160">
        <v>1</v>
      </c>
      <c r="AA2002" s="160">
        <v>1</v>
      </c>
    </row>
    <row r="2003" spans="1:27" ht="18" customHeight="1" x14ac:dyDescent="0.25">
      <c r="A2003" s="159">
        <v>4516</v>
      </c>
      <c r="B2003" s="157" t="s">
        <v>57</v>
      </c>
      <c r="C2003" s="157" t="s">
        <v>58</v>
      </c>
      <c r="D2003" s="159" t="s">
        <v>842</v>
      </c>
      <c r="E2003" s="157" t="s">
        <v>843</v>
      </c>
      <c r="F2003" s="157" t="s">
        <v>1264</v>
      </c>
      <c r="G2003" s="157" t="s">
        <v>1278</v>
      </c>
      <c r="H2003" s="157" t="s">
        <v>1378</v>
      </c>
      <c r="I2003" s="157" t="s">
        <v>9552</v>
      </c>
      <c r="J2003" s="157"/>
      <c r="K2003" s="157" t="s">
        <v>1312</v>
      </c>
      <c r="L2003" s="157" t="s">
        <v>9637</v>
      </c>
      <c r="M2003" s="157" t="str">
        <f t="shared" si="41"/>
        <v>Air Deflector Temperature Sensor RL - Air Flow Temperature Detection Rear Left</v>
      </c>
      <c r="N2003" s="157"/>
      <c r="O2003" s="157"/>
      <c r="P2003" s="159" t="s">
        <v>5859</v>
      </c>
      <c r="Q2003" s="157"/>
      <c r="R2003" s="157"/>
      <c r="S2003" s="157"/>
      <c r="T2003" s="157"/>
      <c r="U2003" s="159" t="s">
        <v>2129</v>
      </c>
      <c r="V2003" s="159" t="s">
        <v>2129</v>
      </c>
      <c r="W2003" s="159" t="s">
        <v>2138</v>
      </c>
      <c r="X2003" s="160">
        <v>1</v>
      </c>
      <c r="Y2003" s="160">
        <v>1</v>
      </c>
      <c r="Z2003" s="160">
        <v>1</v>
      </c>
      <c r="AA2003" s="160">
        <v>1</v>
      </c>
    </row>
    <row r="2004" spans="1:27" ht="18" customHeight="1" x14ac:dyDescent="0.25">
      <c r="A2004" s="159">
        <v>4516</v>
      </c>
      <c r="B2004" s="157" t="s">
        <v>57</v>
      </c>
      <c r="C2004" s="157" t="s">
        <v>58</v>
      </c>
      <c r="D2004" s="159" t="s">
        <v>995</v>
      </c>
      <c r="E2004" s="157" t="s">
        <v>993</v>
      </c>
      <c r="F2004" s="157" t="s">
        <v>1264</v>
      </c>
      <c r="G2004" s="157" t="s">
        <v>1278</v>
      </c>
      <c r="H2004" s="157" t="s">
        <v>1378</v>
      </c>
      <c r="I2004" s="157" t="s">
        <v>9552</v>
      </c>
      <c r="J2004" s="157"/>
      <c r="K2004" s="157" t="s">
        <v>1312</v>
      </c>
      <c r="L2004" s="157" t="s">
        <v>9637</v>
      </c>
      <c r="M2004" s="157" t="str">
        <f t="shared" si="41"/>
        <v>Air Deflector Temperature Sensor RL - Air Flow Temperature Detection Rear Left</v>
      </c>
      <c r="N2004" s="157"/>
      <c r="O2004" s="157"/>
      <c r="P2004" s="159" t="s">
        <v>5859</v>
      </c>
      <c r="Q2004" s="157"/>
      <c r="R2004" s="157"/>
      <c r="S2004" s="157"/>
      <c r="T2004" s="157"/>
      <c r="U2004" s="159" t="s">
        <v>2129</v>
      </c>
      <c r="V2004" s="159" t="s">
        <v>2138</v>
      </c>
      <c r="W2004" s="159" t="s">
        <v>2138</v>
      </c>
      <c r="X2004" s="160">
        <v>1</v>
      </c>
      <c r="Y2004" s="160">
        <v>1</v>
      </c>
      <c r="Z2004" s="160">
        <v>1</v>
      </c>
      <c r="AA2004" s="160">
        <v>1</v>
      </c>
    </row>
    <row r="2005" spans="1:27" ht="18" customHeight="1" x14ac:dyDescent="0.25">
      <c r="A2005" s="159">
        <v>4517</v>
      </c>
      <c r="B2005" s="157" t="s">
        <v>57</v>
      </c>
      <c r="C2005" s="157" t="s">
        <v>58</v>
      </c>
      <c r="D2005" s="159" t="s">
        <v>61</v>
      </c>
      <c r="E2005" s="157" t="s">
        <v>59</v>
      </c>
      <c r="F2005" s="157" t="s">
        <v>1264</v>
      </c>
      <c r="G2005" s="157" t="s">
        <v>1278</v>
      </c>
      <c r="H2005" s="157" t="s">
        <v>1378</v>
      </c>
      <c r="I2005" s="157" t="s">
        <v>9553</v>
      </c>
      <c r="J2005" s="157"/>
      <c r="K2005" s="157" t="s">
        <v>1312</v>
      </c>
      <c r="L2005" s="157" t="s">
        <v>9638</v>
      </c>
      <c r="M2005" s="157" t="str">
        <f t="shared" si="41"/>
        <v>Air Deflector Temperature Sensor RR - Air Flow Temperature Detection Rear Right</v>
      </c>
      <c r="N2005" s="157"/>
      <c r="O2005" s="157"/>
      <c r="P2005" s="159" t="s">
        <v>5673</v>
      </c>
      <c r="Q2005" s="157"/>
      <c r="R2005" s="157"/>
      <c r="S2005" s="157"/>
      <c r="T2005" s="157"/>
      <c r="U2005" s="159" t="s">
        <v>2129</v>
      </c>
      <c r="V2005" s="159" t="s">
        <v>2129</v>
      </c>
      <c r="W2005" s="159" t="s">
        <v>2138</v>
      </c>
      <c r="X2005" s="160">
        <v>1</v>
      </c>
      <c r="Y2005" s="160">
        <v>1</v>
      </c>
      <c r="Z2005" s="160">
        <v>1</v>
      </c>
      <c r="AA2005" s="160">
        <v>1</v>
      </c>
    </row>
    <row r="2006" spans="1:27" ht="18" customHeight="1" x14ac:dyDescent="0.25">
      <c r="A2006" s="159">
        <v>4517</v>
      </c>
      <c r="B2006" s="157" t="s">
        <v>57</v>
      </c>
      <c r="C2006" s="157" t="s">
        <v>58</v>
      </c>
      <c r="D2006" s="159" t="s">
        <v>841</v>
      </c>
      <c r="E2006" s="157" t="s">
        <v>839</v>
      </c>
      <c r="F2006" s="157" t="s">
        <v>1264</v>
      </c>
      <c r="G2006" s="157" t="s">
        <v>1278</v>
      </c>
      <c r="H2006" s="157" t="s">
        <v>1378</v>
      </c>
      <c r="I2006" s="157" t="s">
        <v>9553</v>
      </c>
      <c r="J2006" s="157"/>
      <c r="K2006" s="157" t="s">
        <v>1312</v>
      </c>
      <c r="L2006" s="157" t="s">
        <v>9638</v>
      </c>
      <c r="M2006" s="157" t="str">
        <f t="shared" si="41"/>
        <v>Air Deflector Temperature Sensor RR - Air Flow Temperature Detection Rear Right</v>
      </c>
      <c r="N2006" s="157"/>
      <c r="O2006" s="157"/>
      <c r="P2006" s="159" t="s">
        <v>5673</v>
      </c>
      <c r="Q2006" s="157"/>
      <c r="R2006" s="157"/>
      <c r="S2006" s="157"/>
      <c r="T2006" s="157"/>
      <c r="U2006" s="159" t="s">
        <v>2129</v>
      </c>
      <c r="V2006" s="159" t="s">
        <v>2129</v>
      </c>
      <c r="W2006" s="159" t="s">
        <v>2138</v>
      </c>
      <c r="X2006" s="160">
        <v>1</v>
      </c>
      <c r="Y2006" s="160">
        <v>1</v>
      </c>
      <c r="Z2006" s="160">
        <v>1</v>
      </c>
      <c r="AA2006" s="160">
        <v>1</v>
      </c>
    </row>
    <row r="2007" spans="1:27" ht="18" customHeight="1" x14ac:dyDescent="0.25">
      <c r="A2007" s="159">
        <v>4517</v>
      </c>
      <c r="B2007" s="157" t="s">
        <v>57</v>
      </c>
      <c r="C2007" s="157" t="s">
        <v>58</v>
      </c>
      <c r="D2007" s="159" t="s">
        <v>842</v>
      </c>
      <c r="E2007" s="157" t="s">
        <v>843</v>
      </c>
      <c r="F2007" s="157" t="s">
        <v>1264</v>
      </c>
      <c r="G2007" s="157" t="s">
        <v>1278</v>
      </c>
      <c r="H2007" s="157" t="s">
        <v>1378</v>
      </c>
      <c r="I2007" s="157" t="s">
        <v>9553</v>
      </c>
      <c r="J2007" s="157"/>
      <c r="K2007" s="157" t="s">
        <v>1312</v>
      </c>
      <c r="L2007" s="157" t="s">
        <v>9638</v>
      </c>
      <c r="M2007" s="157" t="str">
        <f t="shared" si="41"/>
        <v>Air Deflector Temperature Sensor RR - Air Flow Temperature Detection Rear Right</v>
      </c>
      <c r="N2007" s="157"/>
      <c r="O2007" s="157"/>
      <c r="P2007" s="159" t="s">
        <v>5673</v>
      </c>
      <c r="Q2007" s="157"/>
      <c r="R2007" s="157"/>
      <c r="S2007" s="157"/>
      <c r="T2007" s="157"/>
      <c r="U2007" s="159" t="s">
        <v>2129</v>
      </c>
      <c r="V2007" s="159" t="s">
        <v>2129</v>
      </c>
      <c r="W2007" s="159" t="s">
        <v>2138</v>
      </c>
      <c r="X2007" s="160">
        <v>1</v>
      </c>
      <c r="Y2007" s="160">
        <v>1</v>
      </c>
      <c r="Z2007" s="160">
        <v>1</v>
      </c>
      <c r="AA2007" s="160">
        <v>1</v>
      </c>
    </row>
    <row r="2008" spans="1:27" ht="18" customHeight="1" x14ac:dyDescent="0.25">
      <c r="A2008" s="159">
        <v>4517</v>
      </c>
      <c r="B2008" s="157" t="s">
        <v>57</v>
      </c>
      <c r="C2008" s="157" t="s">
        <v>58</v>
      </c>
      <c r="D2008" s="159" t="s">
        <v>995</v>
      </c>
      <c r="E2008" s="157" t="s">
        <v>993</v>
      </c>
      <c r="F2008" s="157" t="s">
        <v>1264</v>
      </c>
      <c r="G2008" s="157" t="s">
        <v>1278</v>
      </c>
      <c r="H2008" s="157" t="s">
        <v>1378</v>
      </c>
      <c r="I2008" s="157" t="s">
        <v>9553</v>
      </c>
      <c r="J2008" s="157"/>
      <c r="K2008" s="157" t="s">
        <v>1312</v>
      </c>
      <c r="L2008" s="157" t="s">
        <v>9638</v>
      </c>
      <c r="M2008" s="157" t="str">
        <f t="shared" si="41"/>
        <v>Air Deflector Temperature Sensor RR - Air Flow Temperature Detection Rear Right</v>
      </c>
      <c r="N2008" s="157"/>
      <c r="O2008" s="157"/>
      <c r="P2008" s="159" t="s">
        <v>5673</v>
      </c>
      <c r="Q2008" s="157"/>
      <c r="R2008" s="157"/>
      <c r="S2008" s="157"/>
      <c r="T2008" s="157"/>
      <c r="U2008" s="159" t="s">
        <v>2129</v>
      </c>
      <c r="V2008" s="159" t="s">
        <v>2138</v>
      </c>
      <c r="W2008" s="159" t="s">
        <v>2138</v>
      </c>
      <c r="X2008" s="160">
        <v>1</v>
      </c>
      <c r="Y2008" s="160">
        <v>1</v>
      </c>
      <c r="Z2008" s="160">
        <v>1</v>
      </c>
      <c r="AA2008" s="160">
        <v>1</v>
      </c>
    </row>
    <row r="2009" spans="1:27" ht="18" customHeight="1" x14ac:dyDescent="0.25">
      <c r="A2009" s="159">
        <v>4527</v>
      </c>
      <c r="B2009" s="157"/>
      <c r="C2009" s="157"/>
      <c r="D2009" s="159"/>
      <c r="E2009" s="157"/>
      <c r="F2009" s="157"/>
      <c r="G2009" s="157" t="s">
        <v>1321</v>
      </c>
      <c r="H2009" s="157" t="s">
        <v>1648</v>
      </c>
      <c r="I2009" s="157" t="s">
        <v>9554</v>
      </c>
      <c r="J2009" s="157"/>
      <c r="K2009" s="157" t="s">
        <v>1312</v>
      </c>
      <c r="L2009" s="157" t="s">
        <v>8520</v>
      </c>
      <c r="M2009" s="157" t="str">
        <f t="shared" si="41"/>
        <v>Exhaust Temperature Sensor 3 (OPF DUAL sensor) - Temperature Measurement</v>
      </c>
      <c r="N2009" s="157"/>
      <c r="O2009" s="157"/>
      <c r="P2009" s="159"/>
      <c r="Q2009" s="157"/>
      <c r="R2009" s="157"/>
      <c r="S2009" s="157"/>
      <c r="T2009" s="157"/>
      <c r="U2009" s="159"/>
      <c r="V2009" s="159"/>
      <c r="W2009" s="159"/>
      <c r="X2009" s="160"/>
      <c r="Y2009" s="160"/>
      <c r="Z2009" s="160"/>
      <c r="AA2009" s="160"/>
    </row>
    <row r="2010" spans="1:27" ht="18" customHeight="1" x14ac:dyDescent="0.25">
      <c r="A2010" s="159">
        <v>4528</v>
      </c>
      <c r="B2010" s="157" t="s">
        <v>29</v>
      </c>
      <c r="C2010" s="157" t="s">
        <v>82</v>
      </c>
      <c r="D2010" s="159" t="s">
        <v>92</v>
      </c>
      <c r="E2010" s="157" t="s">
        <v>90</v>
      </c>
      <c r="F2010" s="157" t="s">
        <v>1264</v>
      </c>
      <c r="G2010" s="157" t="s">
        <v>1278</v>
      </c>
      <c r="H2010" s="157" t="s">
        <v>1294</v>
      </c>
      <c r="I2010" s="157" t="s">
        <v>1804</v>
      </c>
      <c r="J2010" s="157" t="s">
        <v>1296</v>
      </c>
      <c r="K2010" s="157" t="s">
        <v>1269</v>
      </c>
      <c r="L2010" s="157" t="s">
        <v>1440</v>
      </c>
      <c r="M2010" s="157" t="str">
        <f t="shared" si="41"/>
        <v>Stepper Motor FR - Door Lock and Unlock</v>
      </c>
      <c r="N2010" s="157"/>
      <c r="O2010" s="157"/>
      <c r="P2010" s="159" t="s">
        <v>3808</v>
      </c>
      <c r="Q2010" s="157"/>
      <c r="R2010" s="157"/>
      <c r="S2010" s="157"/>
      <c r="T2010" s="157"/>
      <c r="U2010" s="159" t="s">
        <v>2138</v>
      </c>
      <c r="V2010" s="159" t="s">
        <v>2138</v>
      </c>
      <c r="W2010" s="159" t="s">
        <v>2138</v>
      </c>
      <c r="X2010" s="160">
        <f t="shared" ref="X2010:AA2011" si="42">2*1/(20*60)</f>
        <v>1.6666666666666668E-3</v>
      </c>
      <c r="Y2010" s="160">
        <f t="shared" si="42"/>
        <v>1.6666666666666668E-3</v>
      </c>
      <c r="Z2010" s="160">
        <f t="shared" si="42"/>
        <v>1.6666666666666668E-3</v>
      </c>
      <c r="AA2010" s="160">
        <f t="shared" si="42"/>
        <v>1.6666666666666668E-3</v>
      </c>
    </row>
    <row r="2011" spans="1:27" ht="18" customHeight="1" x14ac:dyDescent="0.25">
      <c r="A2011" s="159">
        <v>4529</v>
      </c>
      <c r="B2011" s="157" t="s">
        <v>29</v>
      </c>
      <c r="C2011" s="157" t="s">
        <v>82</v>
      </c>
      <c r="D2011" s="159" t="s">
        <v>92</v>
      </c>
      <c r="E2011" s="157" t="s">
        <v>90</v>
      </c>
      <c r="F2011" s="157" t="s">
        <v>1264</v>
      </c>
      <c r="G2011" s="157" t="s">
        <v>1278</v>
      </c>
      <c r="H2011" s="157" t="s">
        <v>1294</v>
      </c>
      <c r="I2011" s="157" t="s">
        <v>1804</v>
      </c>
      <c r="J2011" s="157" t="s">
        <v>1296</v>
      </c>
      <c r="K2011" s="157" t="s">
        <v>1269</v>
      </c>
      <c r="L2011" s="157" t="s">
        <v>1297</v>
      </c>
      <c r="M2011" s="157" t="str">
        <f t="shared" si="41"/>
        <v>Stepper Motor FL - Door Lock and Unlock</v>
      </c>
      <c r="N2011" s="157"/>
      <c r="O2011" s="157"/>
      <c r="P2011" s="159" t="s">
        <v>7956</v>
      </c>
      <c r="Q2011" s="157"/>
      <c r="R2011" s="157"/>
      <c r="S2011" s="157"/>
      <c r="T2011" s="157"/>
      <c r="U2011" s="159" t="s">
        <v>2138</v>
      </c>
      <c r="V2011" s="159" t="s">
        <v>2138</v>
      </c>
      <c r="W2011" s="159" t="s">
        <v>2138</v>
      </c>
      <c r="X2011" s="160">
        <f t="shared" si="42"/>
        <v>1.6666666666666668E-3</v>
      </c>
      <c r="Y2011" s="160">
        <f t="shared" si="42"/>
        <v>1.6666666666666668E-3</v>
      </c>
      <c r="Z2011" s="160">
        <f t="shared" si="42"/>
        <v>1.6666666666666668E-3</v>
      </c>
      <c r="AA2011" s="160">
        <f t="shared" si="42"/>
        <v>1.6666666666666668E-3</v>
      </c>
    </row>
    <row r="2012" spans="1:27" ht="18" customHeight="1" x14ac:dyDescent="0.25">
      <c r="A2012" s="159">
        <v>4532</v>
      </c>
      <c r="B2012" s="157" t="s">
        <v>29</v>
      </c>
      <c r="C2012" s="157" t="s">
        <v>69</v>
      </c>
      <c r="D2012" s="159" t="s">
        <v>72</v>
      </c>
      <c r="E2012" s="157" t="s">
        <v>70</v>
      </c>
      <c r="F2012" s="157"/>
      <c r="G2012" s="157" t="s">
        <v>1278</v>
      </c>
      <c r="H2012" s="157" t="s">
        <v>1514</v>
      </c>
      <c r="I2012" s="157" t="s">
        <v>1805</v>
      </c>
      <c r="J2012" s="157" t="s">
        <v>1514</v>
      </c>
      <c r="K2012" s="157" t="s">
        <v>1269</v>
      </c>
      <c r="L2012" s="157" t="s">
        <v>1805</v>
      </c>
      <c r="M2012" s="157" t="str">
        <f t="shared" si="41"/>
        <v>Indicator LED - Indicator LED</v>
      </c>
      <c r="N2012" s="157"/>
      <c r="O2012" s="157"/>
      <c r="P2012" s="159" t="s">
        <v>7933</v>
      </c>
      <c r="Q2012" s="157" t="s">
        <v>2115</v>
      </c>
      <c r="R2012" s="157" t="s">
        <v>8288</v>
      </c>
      <c r="S2012" s="157" t="s">
        <v>8611</v>
      </c>
      <c r="T2012" s="157"/>
      <c r="U2012" s="159" t="s">
        <v>2138</v>
      </c>
      <c r="V2012" s="159" t="s">
        <v>2138</v>
      </c>
      <c r="W2012" s="159" t="s">
        <v>2138</v>
      </c>
      <c r="X2012" s="160">
        <v>0</v>
      </c>
      <c r="Y2012" s="160">
        <v>0</v>
      </c>
      <c r="Z2012" s="160">
        <v>0</v>
      </c>
      <c r="AA2012" s="160">
        <v>0</v>
      </c>
    </row>
    <row r="2013" spans="1:27" ht="18" customHeight="1" x14ac:dyDescent="0.25">
      <c r="A2013" s="159">
        <v>4533</v>
      </c>
      <c r="B2013" s="157" t="s">
        <v>29</v>
      </c>
      <c r="C2013" s="157" t="s">
        <v>82</v>
      </c>
      <c r="D2013" s="159" t="s">
        <v>102</v>
      </c>
      <c r="E2013" s="157" t="s">
        <v>100</v>
      </c>
      <c r="F2013" s="157" t="s">
        <v>1264</v>
      </c>
      <c r="G2013" s="157" t="s">
        <v>1278</v>
      </c>
      <c r="H2013" s="157" t="s">
        <v>1294</v>
      </c>
      <c r="I2013" s="157" t="s">
        <v>1804</v>
      </c>
      <c r="J2013" s="157" t="s">
        <v>1296</v>
      </c>
      <c r="K2013" s="157" t="s">
        <v>1269</v>
      </c>
      <c r="L2013" s="157" t="s">
        <v>1450</v>
      </c>
      <c r="M2013" s="157" t="str">
        <f t="shared" si="41"/>
        <v>Stepper Motor RL - Door Lock and Unlock</v>
      </c>
      <c r="N2013" s="157"/>
      <c r="O2013" s="157"/>
      <c r="P2013" s="159" t="s">
        <v>3834</v>
      </c>
      <c r="Q2013" s="157"/>
      <c r="R2013" s="157"/>
      <c r="S2013" s="157"/>
      <c r="T2013" s="157"/>
      <c r="U2013" s="159" t="s">
        <v>2138</v>
      </c>
      <c r="V2013" s="159" t="s">
        <v>2138</v>
      </c>
      <c r="W2013" s="159" t="s">
        <v>2138</v>
      </c>
      <c r="X2013" s="160">
        <f t="shared" ref="X2013:AA2014" si="43">2*1/(20*60)</f>
        <v>1.6666666666666668E-3</v>
      </c>
      <c r="Y2013" s="160">
        <f t="shared" si="43"/>
        <v>1.6666666666666668E-3</v>
      </c>
      <c r="Z2013" s="160">
        <f t="shared" si="43"/>
        <v>1.6666666666666668E-3</v>
      </c>
      <c r="AA2013" s="160">
        <f t="shared" si="43"/>
        <v>1.6666666666666668E-3</v>
      </c>
    </row>
    <row r="2014" spans="1:27" ht="18" customHeight="1" x14ac:dyDescent="0.25">
      <c r="A2014" s="159">
        <v>4533</v>
      </c>
      <c r="B2014" s="157" t="s">
        <v>29</v>
      </c>
      <c r="C2014" s="157" t="s">
        <v>82</v>
      </c>
      <c r="D2014" s="159" t="s">
        <v>86</v>
      </c>
      <c r="E2014" s="157" t="s">
        <v>777</v>
      </c>
      <c r="F2014" s="157" t="s">
        <v>1264</v>
      </c>
      <c r="G2014" s="157" t="s">
        <v>1278</v>
      </c>
      <c r="H2014" s="157" t="s">
        <v>1294</v>
      </c>
      <c r="I2014" s="157" t="s">
        <v>1804</v>
      </c>
      <c r="J2014" s="157" t="s">
        <v>1296</v>
      </c>
      <c r="K2014" s="157" t="s">
        <v>1269</v>
      </c>
      <c r="L2014" s="157" t="s">
        <v>1450</v>
      </c>
      <c r="M2014" s="157" t="str">
        <f t="shared" si="41"/>
        <v>Stepper Motor RL - Door Lock and Unlock</v>
      </c>
      <c r="N2014" s="157"/>
      <c r="O2014" s="157"/>
      <c r="P2014" s="159" t="s">
        <v>3834</v>
      </c>
      <c r="Q2014" s="157"/>
      <c r="R2014" s="157"/>
      <c r="S2014" s="157"/>
      <c r="T2014" s="157"/>
      <c r="U2014" s="159" t="s">
        <v>2138</v>
      </c>
      <c r="V2014" s="159" t="s">
        <v>2138</v>
      </c>
      <c r="W2014" s="159" t="s">
        <v>2138</v>
      </c>
      <c r="X2014" s="160">
        <f t="shared" si="43"/>
        <v>1.6666666666666668E-3</v>
      </c>
      <c r="Y2014" s="160">
        <f t="shared" si="43"/>
        <v>1.6666666666666668E-3</v>
      </c>
      <c r="Z2014" s="160">
        <f t="shared" si="43"/>
        <v>1.6666666666666668E-3</v>
      </c>
      <c r="AA2014" s="160">
        <f t="shared" si="43"/>
        <v>1.6666666666666668E-3</v>
      </c>
    </row>
    <row r="2015" spans="1:27" ht="18" customHeight="1" x14ac:dyDescent="0.25">
      <c r="A2015" s="159">
        <v>4535</v>
      </c>
      <c r="B2015" s="157" t="s">
        <v>280</v>
      </c>
      <c r="C2015" s="157" t="s">
        <v>354</v>
      </c>
      <c r="D2015" s="159" t="s">
        <v>1036</v>
      </c>
      <c r="E2015" s="157" t="s">
        <v>1034</v>
      </c>
      <c r="F2015" s="157" t="s">
        <v>1010</v>
      </c>
      <c r="G2015" s="157" t="s">
        <v>1265</v>
      </c>
      <c r="H2015" s="157" t="s">
        <v>1458</v>
      </c>
      <c r="I2015" s="157" t="s">
        <v>1806</v>
      </c>
      <c r="J2015" s="157" t="s">
        <v>1711</v>
      </c>
      <c r="K2015" s="157" t="s">
        <v>1480</v>
      </c>
      <c r="L2015" s="157" t="s">
        <v>1672</v>
      </c>
      <c r="M2015" s="157" t="str">
        <f t="shared" si="41"/>
        <v>Loudspeaker - Door Front Left - Mid Range and Woofer Speaker</v>
      </c>
      <c r="N2015" s="157"/>
      <c r="O2015" s="157"/>
      <c r="P2015" s="159" t="s">
        <v>7937</v>
      </c>
      <c r="Q2015" s="157" t="s">
        <v>2115</v>
      </c>
      <c r="R2015" s="157" t="s">
        <v>2121</v>
      </c>
      <c r="S2015" s="157" t="s">
        <v>8632</v>
      </c>
      <c r="T2015" s="157"/>
      <c r="U2015" s="159" t="s">
        <v>2129</v>
      </c>
      <c r="V2015" s="159" t="s">
        <v>2138</v>
      </c>
      <c r="W2015" s="159" t="s">
        <v>2129</v>
      </c>
      <c r="X2015" s="160">
        <v>0.25</v>
      </c>
      <c r="Y2015" s="160">
        <v>0.35</v>
      </c>
      <c r="Z2015" s="160">
        <v>0.4</v>
      </c>
      <c r="AA2015" s="160">
        <v>0.3</v>
      </c>
    </row>
    <row r="2016" spans="1:27" ht="18" customHeight="1" x14ac:dyDescent="0.25">
      <c r="A2016" s="159">
        <v>4537</v>
      </c>
      <c r="B2016" s="157" t="s">
        <v>280</v>
      </c>
      <c r="C2016" s="157" t="s">
        <v>354</v>
      </c>
      <c r="D2016" s="159" t="s">
        <v>1051</v>
      </c>
      <c r="E2016" s="157" t="s">
        <v>1049</v>
      </c>
      <c r="F2016" s="157" t="s">
        <v>1010</v>
      </c>
      <c r="G2016" s="157" t="s">
        <v>1265</v>
      </c>
      <c r="H2016" s="157" t="s">
        <v>1458</v>
      </c>
      <c r="I2016" s="157" t="s">
        <v>1793</v>
      </c>
      <c r="J2016" s="157" t="s">
        <v>1713</v>
      </c>
      <c r="K2016" s="157" t="s">
        <v>1480</v>
      </c>
      <c r="L2016" s="157" t="s">
        <v>1675</v>
      </c>
      <c r="M2016" s="157" t="str">
        <f t="shared" si="41"/>
        <v>Loudspeaker - Door Rear Left / Rear Seat Left Trim - Woofer Speaker</v>
      </c>
      <c r="N2016" s="157"/>
      <c r="O2016" s="157"/>
      <c r="P2016" s="159" t="s">
        <v>8076</v>
      </c>
      <c r="Q2016" s="157" t="s">
        <v>2115</v>
      </c>
      <c r="R2016" s="157" t="s">
        <v>2123</v>
      </c>
      <c r="S2016" s="157" t="s">
        <v>8639</v>
      </c>
      <c r="T2016" s="157"/>
      <c r="U2016" s="159" t="s">
        <v>2129</v>
      </c>
      <c r="V2016" s="159" t="s">
        <v>2129</v>
      </c>
      <c r="W2016" s="159" t="s">
        <v>2138</v>
      </c>
      <c r="X2016" s="160">
        <v>0.25</v>
      </c>
      <c r="Y2016" s="160">
        <v>0.35</v>
      </c>
      <c r="Z2016" s="160">
        <v>0.4</v>
      </c>
      <c r="AA2016" s="160">
        <v>0.3</v>
      </c>
    </row>
    <row r="2017" spans="1:27" ht="18" customHeight="1" x14ac:dyDescent="0.25">
      <c r="A2017" s="159">
        <v>4537</v>
      </c>
      <c r="B2017" s="157" t="s">
        <v>280</v>
      </c>
      <c r="C2017" s="157" t="s">
        <v>354</v>
      </c>
      <c r="D2017" s="159" t="s">
        <v>1189</v>
      </c>
      <c r="E2017" s="157" t="s">
        <v>1187</v>
      </c>
      <c r="F2017" s="157" t="s">
        <v>1264</v>
      </c>
      <c r="G2017" s="157" t="s">
        <v>1265</v>
      </c>
      <c r="H2017" s="157" t="s">
        <v>1458</v>
      </c>
      <c r="I2017" s="157" t="s">
        <v>1793</v>
      </c>
      <c r="J2017" s="157" t="s">
        <v>1713</v>
      </c>
      <c r="K2017" s="157" t="s">
        <v>1480</v>
      </c>
      <c r="L2017" s="157" t="s">
        <v>1675</v>
      </c>
      <c r="M2017" s="157" t="str">
        <f t="shared" si="41"/>
        <v>Loudspeaker - Door Rear Left / Rear Seat Left Trim - Woofer Speaker</v>
      </c>
      <c r="N2017" s="157"/>
      <c r="O2017" s="157"/>
      <c r="P2017" s="159" t="s">
        <v>8076</v>
      </c>
      <c r="Q2017" s="157" t="s">
        <v>2115</v>
      </c>
      <c r="R2017" s="157" t="s">
        <v>2123</v>
      </c>
      <c r="S2017" s="157" t="s">
        <v>8639</v>
      </c>
      <c r="T2017" s="157"/>
      <c r="U2017" s="159" t="s">
        <v>2129</v>
      </c>
      <c r="V2017" s="159" t="s">
        <v>2129</v>
      </c>
      <c r="W2017" s="159" t="s">
        <v>2138</v>
      </c>
      <c r="X2017" s="160">
        <v>0.25</v>
      </c>
      <c r="Y2017" s="160">
        <v>0.35</v>
      </c>
      <c r="Z2017" s="160">
        <v>0.4</v>
      </c>
      <c r="AA2017" s="160">
        <v>0.3</v>
      </c>
    </row>
    <row r="2018" spans="1:27" ht="18" customHeight="1" x14ac:dyDescent="0.25">
      <c r="A2018" s="159">
        <v>4538</v>
      </c>
      <c r="B2018" s="157" t="s">
        <v>280</v>
      </c>
      <c r="C2018" s="157" t="s">
        <v>354</v>
      </c>
      <c r="D2018" s="159" t="s">
        <v>1051</v>
      </c>
      <c r="E2018" s="157" t="s">
        <v>1049</v>
      </c>
      <c r="F2018" s="157" t="s">
        <v>1010</v>
      </c>
      <c r="G2018" s="157" t="s">
        <v>1265</v>
      </c>
      <c r="H2018" s="157" t="s">
        <v>1458</v>
      </c>
      <c r="I2018" s="157" t="s">
        <v>1793</v>
      </c>
      <c r="J2018" s="157" t="s">
        <v>1713</v>
      </c>
      <c r="K2018" s="157" t="s">
        <v>1480</v>
      </c>
      <c r="L2018" s="157" t="s">
        <v>8289</v>
      </c>
      <c r="M2018" s="157" t="str">
        <f t="shared" si="41"/>
        <v>Loudspeaker - Door Rear Right / Rear Seat Right Trim - Woofer Speaker</v>
      </c>
      <c r="N2018" s="157"/>
      <c r="O2018" s="157"/>
      <c r="P2018" s="159" t="s">
        <v>3718</v>
      </c>
      <c r="Q2018" s="157" t="s">
        <v>2115</v>
      </c>
      <c r="R2018" s="157" t="s">
        <v>2123</v>
      </c>
      <c r="S2018" s="157" t="s">
        <v>8639</v>
      </c>
      <c r="T2018" s="157"/>
      <c r="U2018" s="159" t="s">
        <v>2129</v>
      </c>
      <c r="V2018" s="159" t="s">
        <v>2129</v>
      </c>
      <c r="W2018" s="159" t="s">
        <v>2138</v>
      </c>
      <c r="X2018" s="160">
        <v>0.25</v>
      </c>
      <c r="Y2018" s="160">
        <v>0.35</v>
      </c>
      <c r="Z2018" s="160">
        <v>0.4</v>
      </c>
      <c r="AA2018" s="160">
        <v>0.3</v>
      </c>
    </row>
    <row r="2019" spans="1:27" ht="18" customHeight="1" x14ac:dyDescent="0.25">
      <c r="A2019" s="159">
        <v>4538</v>
      </c>
      <c r="B2019" s="157" t="s">
        <v>280</v>
      </c>
      <c r="C2019" s="157" t="s">
        <v>354</v>
      </c>
      <c r="D2019" s="159" t="s">
        <v>1189</v>
      </c>
      <c r="E2019" s="157" t="s">
        <v>1187</v>
      </c>
      <c r="F2019" s="157" t="s">
        <v>1264</v>
      </c>
      <c r="G2019" s="157" t="s">
        <v>1265</v>
      </c>
      <c r="H2019" s="157" t="s">
        <v>1458</v>
      </c>
      <c r="I2019" s="157" t="s">
        <v>1793</v>
      </c>
      <c r="J2019" s="157" t="s">
        <v>1713</v>
      </c>
      <c r="K2019" s="157" t="s">
        <v>1480</v>
      </c>
      <c r="L2019" s="157" t="s">
        <v>8289</v>
      </c>
      <c r="M2019" s="157" t="str">
        <f t="shared" si="41"/>
        <v>Loudspeaker - Door Rear Right / Rear Seat Right Trim - Woofer Speaker</v>
      </c>
      <c r="N2019" s="157"/>
      <c r="O2019" s="157"/>
      <c r="P2019" s="159" t="s">
        <v>3718</v>
      </c>
      <c r="Q2019" s="157" t="s">
        <v>2115</v>
      </c>
      <c r="R2019" s="157" t="s">
        <v>2123</v>
      </c>
      <c r="S2019" s="157" t="s">
        <v>8639</v>
      </c>
      <c r="T2019" s="157"/>
      <c r="U2019" s="159" t="s">
        <v>2129</v>
      </c>
      <c r="V2019" s="159" t="s">
        <v>2129</v>
      </c>
      <c r="W2019" s="159" t="s">
        <v>2138</v>
      </c>
      <c r="X2019" s="160">
        <v>0.25</v>
      </c>
      <c r="Y2019" s="160">
        <v>0.35</v>
      </c>
      <c r="Z2019" s="160">
        <v>0.4</v>
      </c>
      <c r="AA2019" s="160">
        <v>0.3</v>
      </c>
    </row>
    <row r="2020" spans="1:27" ht="18" customHeight="1" x14ac:dyDescent="0.25">
      <c r="A2020" s="159">
        <v>4542</v>
      </c>
      <c r="B2020" s="157"/>
      <c r="C2020" s="157"/>
      <c r="D2020" s="159"/>
      <c r="E2020" s="157"/>
      <c r="F2020" s="157"/>
      <c r="G2020" s="157" t="s">
        <v>1299</v>
      </c>
      <c r="H2020" s="157" t="s">
        <v>1300</v>
      </c>
      <c r="I2020" s="157" t="s">
        <v>1311</v>
      </c>
      <c r="J2020" s="157" t="s">
        <v>1285</v>
      </c>
      <c r="K2020" s="157" t="s">
        <v>1302</v>
      </c>
      <c r="L2020" s="157" t="s">
        <v>8522</v>
      </c>
      <c r="M2020" s="157" t="str">
        <f t="shared" si="41"/>
        <v>Seat Belt Tensioner Igniter 1 [passenger side] - Seat Belt</v>
      </c>
      <c r="N2020" s="157"/>
      <c r="O2020" s="157"/>
      <c r="P2020" s="159" t="s">
        <v>3995</v>
      </c>
      <c r="Q2020" s="157"/>
      <c r="R2020" s="157"/>
      <c r="S2020" s="157"/>
      <c r="T2020" s="157"/>
      <c r="U2020" s="159" t="s">
        <v>2138</v>
      </c>
      <c r="V2020" s="159" t="s">
        <v>2138</v>
      </c>
      <c r="W2020" s="159" t="s">
        <v>2138</v>
      </c>
      <c r="X2020" s="160">
        <v>1</v>
      </c>
      <c r="Y2020" s="160">
        <v>1</v>
      </c>
      <c r="Z2020" s="160">
        <v>1</v>
      </c>
      <c r="AA2020" s="160">
        <v>1</v>
      </c>
    </row>
    <row r="2021" spans="1:27" ht="18" customHeight="1" x14ac:dyDescent="0.25">
      <c r="A2021" s="159">
        <v>4543</v>
      </c>
      <c r="B2021" s="157"/>
      <c r="C2021" s="157"/>
      <c r="D2021" s="159"/>
      <c r="E2021" s="157"/>
      <c r="F2021" s="157"/>
      <c r="G2021" s="157" t="s">
        <v>1299</v>
      </c>
      <c r="H2021" s="157" t="s">
        <v>1300</v>
      </c>
      <c r="I2021" s="157" t="s">
        <v>1311</v>
      </c>
      <c r="J2021" s="157" t="s">
        <v>1285</v>
      </c>
      <c r="K2021" s="157" t="s">
        <v>1302</v>
      </c>
      <c r="L2021" s="157" t="s">
        <v>8523</v>
      </c>
      <c r="M2021" s="157" t="str">
        <f t="shared" si="41"/>
        <v>Seat Belt Tensioner Igniter 1 [driver side] - Seat Belt</v>
      </c>
      <c r="N2021" s="157"/>
      <c r="O2021" s="157"/>
      <c r="P2021" s="159" t="s">
        <v>7710</v>
      </c>
      <c r="Q2021" s="157"/>
      <c r="R2021" s="157"/>
      <c r="S2021" s="157"/>
      <c r="T2021" s="157"/>
      <c r="U2021" s="159" t="s">
        <v>2138</v>
      </c>
      <c r="V2021" s="159" t="s">
        <v>2138</v>
      </c>
      <c r="W2021" s="159" t="s">
        <v>2138</v>
      </c>
      <c r="X2021" s="160">
        <v>1</v>
      </c>
      <c r="Y2021" s="160">
        <v>1</v>
      </c>
      <c r="Z2021" s="160">
        <v>1</v>
      </c>
      <c r="AA2021" s="160">
        <v>1</v>
      </c>
    </row>
    <row r="2022" spans="1:27" ht="18" customHeight="1" x14ac:dyDescent="0.25">
      <c r="A2022" s="159">
        <v>4546</v>
      </c>
      <c r="B2022" s="157" t="s">
        <v>63</v>
      </c>
      <c r="C2022" s="157" t="s">
        <v>64</v>
      </c>
      <c r="D2022" s="159" t="s">
        <v>926</v>
      </c>
      <c r="E2022" s="157" t="s">
        <v>924</v>
      </c>
      <c r="F2022" s="157"/>
      <c r="G2022" s="157" t="s">
        <v>1299</v>
      </c>
      <c r="H2022" s="157" t="s">
        <v>1300</v>
      </c>
      <c r="I2022" s="157" t="s">
        <v>1441</v>
      </c>
      <c r="J2022" s="157" t="s">
        <v>1285</v>
      </c>
      <c r="K2022" s="157" t="s">
        <v>1312</v>
      </c>
      <c r="L2022" s="157" t="s">
        <v>1807</v>
      </c>
      <c r="M2022" s="157" t="str">
        <f t="shared" si="41"/>
        <v>Front Impact Sensor R - Crash Sensor</v>
      </c>
      <c r="N2022" s="157"/>
      <c r="O2022" s="157"/>
      <c r="P2022" s="159" t="s">
        <v>3456</v>
      </c>
      <c r="Q2022" s="157" t="s">
        <v>2115</v>
      </c>
      <c r="R2022" s="157" t="s">
        <v>8258</v>
      </c>
      <c r="S2022" s="157" t="s">
        <v>8618</v>
      </c>
      <c r="T2022" s="157"/>
      <c r="U2022" s="159" t="s">
        <v>2138</v>
      </c>
      <c r="V2022" s="159" t="s">
        <v>2138</v>
      </c>
      <c r="W2022" s="159" t="s">
        <v>2138</v>
      </c>
      <c r="X2022" s="160">
        <v>1</v>
      </c>
      <c r="Y2022" s="160">
        <v>1</v>
      </c>
      <c r="Z2022" s="160">
        <v>1</v>
      </c>
      <c r="AA2022" s="160">
        <v>1</v>
      </c>
    </row>
    <row r="2023" spans="1:27" ht="18" customHeight="1" x14ac:dyDescent="0.25">
      <c r="A2023" s="159">
        <v>4547</v>
      </c>
      <c r="B2023" s="157" t="s">
        <v>63</v>
      </c>
      <c r="C2023" s="157" t="s">
        <v>64</v>
      </c>
      <c r="D2023" s="159" t="s">
        <v>926</v>
      </c>
      <c r="E2023" s="157" t="s">
        <v>924</v>
      </c>
      <c r="F2023" s="157"/>
      <c r="G2023" s="157" t="s">
        <v>1299</v>
      </c>
      <c r="H2023" s="157" t="s">
        <v>1300</v>
      </c>
      <c r="I2023" s="157" t="s">
        <v>1441</v>
      </c>
      <c r="J2023" s="157" t="s">
        <v>1285</v>
      </c>
      <c r="K2023" s="157" t="s">
        <v>1312</v>
      </c>
      <c r="L2023" s="157" t="s">
        <v>1808</v>
      </c>
      <c r="M2023" s="157" t="str">
        <f t="shared" si="41"/>
        <v>Front Impact Sensor L - Crash Sensor</v>
      </c>
      <c r="N2023" s="157"/>
      <c r="O2023" s="157"/>
      <c r="P2023" s="159" t="s">
        <v>7391</v>
      </c>
      <c r="Q2023" s="157" t="s">
        <v>2115</v>
      </c>
      <c r="R2023" s="157" t="s">
        <v>8258</v>
      </c>
      <c r="S2023" s="157" t="s">
        <v>8618</v>
      </c>
      <c r="T2023" s="157"/>
      <c r="U2023" s="159" t="s">
        <v>2138</v>
      </c>
      <c r="V2023" s="159" t="s">
        <v>2138</v>
      </c>
      <c r="W2023" s="159" t="s">
        <v>2138</v>
      </c>
      <c r="X2023" s="160">
        <v>1</v>
      </c>
      <c r="Y2023" s="160">
        <v>1</v>
      </c>
      <c r="Z2023" s="160">
        <v>1</v>
      </c>
      <c r="AA2023" s="160">
        <v>1</v>
      </c>
    </row>
    <row r="2024" spans="1:27" ht="18" customHeight="1" x14ac:dyDescent="0.25">
      <c r="A2024" s="159">
        <v>4548</v>
      </c>
      <c r="B2024" s="157" t="s">
        <v>251</v>
      </c>
      <c r="C2024" s="157" t="s">
        <v>311</v>
      </c>
      <c r="D2024" s="159" t="s">
        <v>9668</v>
      </c>
      <c r="E2024" s="157" t="s">
        <v>9665</v>
      </c>
      <c r="F2024" s="157"/>
      <c r="G2024" s="157" t="s">
        <v>1321</v>
      </c>
      <c r="H2024" s="157" t="s">
        <v>1648</v>
      </c>
      <c r="I2024" s="157" t="s">
        <v>9717</v>
      </c>
      <c r="J2024" s="157" t="s">
        <v>1649</v>
      </c>
      <c r="K2024" s="157" t="s">
        <v>1269</v>
      </c>
      <c r="L2024" s="157" t="s">
        <v>9721</v>
      </c>
      <c r="M2024" s="157" t="str">
        <f t="shared" si="41"/>
        <v>Ignition Coil Cylinder 1 - Ignition Cylinder 1</v>
      </c>
      <c r="N2024" s="157"/>
      <c r="O2024" s="157"/>
      <c r="P2024" s="159" t="s">
        <v>3120</v>
      </c>
      <c r="Q2024" s="157"/>
      <c r="R2024" s="157"/>
      <c r="S2024" s="157"/>
      <c r="T2024" s="157"/>
      <c r="U2024" s="159" t="s">
        <v>2138</v>
      </c>
      <c r="V2024" s="159" t="s">
        <v>2129</v>
      </c>
      <c r="W2024" s="159" t="s">
        <v>2129</v>
      </c>
      <c r="X2024" s="160">
        <v>0.33</v>
      </c>
      <c r="Y2024" s="160">
        <v>0.33</v>
      </c>
      <c r="Z2024" s="160">
        <v>0.33</v>
      </c>
      <c r="AA2024" s="160">
        <v>0.33</v>
      </c>
    </row>
    <row r="2025" spans="1:27" ht="18" customHeight="1" x14ac:dyDescent="0.25">
      <c r="A2025" s="159">
        <v>4548</v>
      </c>
      <c r="B2025" s="157" t="s">
        <v>251</v>
      </c>
      <c r="C2025" s="157" t="s">
        <v>311</v>
      </c>
      <c r="D2025" s="159" t="s">
        <v>9668</v>
      </c>
      <c r="E2025" s="157" t="s">
        <v>9666</v>
      </c>
      <c r="F2025" s="157"/>
      <c r="G2025" s="157" t="s">
        <v>1321</v>
      </c>
      <c r="H2025" s="157" t="s">
        <v>1648</v>
      </c>
      <c r="I2025" s="157" t="s">
        <v>9717</v>
      </c>
      <c r="J2025" s="157" t="s">
        <v>1649</v>
      </c>
      <c r="K2025" s="157" t="s">
        <v>1269</v>
      </c>
      <c r="L2025" s="157" t="s">
        <v>9721</v>
      </c>
      <c r="M2025" s="157" t="str">
        <f t="shared" si="41"/>
        <v>Ignition Coil Cylinder 1 - Ignition Cylinder 1</v>
      </c>
      <c r="N2025" s="157"/>
      <c r="O2025" s="157"/>
      <c r="P2025" s="159" t="s">
        <v>3120</v>
      </c>
      <c r="Q2025" s="157"/>
      <c r="R2025" s="157"/>
      <c r="S2025" s="157"/>
      <c r="T2025" s="157"/>
      <c r="U2025" s="159" t="s">
        <v>2129</v>
      </c>
      <c r="V2025" s="159" t="s">
        <v>2138</v>
      </c>
      <c r="W2025" s="159" t="s">
        <v>2129</v>
      </c>
      <c r="X2025" s="160">
        <v>0.25</v>
      </c>
      <c r="Y2025" s="160">
        <v>0.25</v>
      </c>
      <c r="Z2025" s="160">
        <v>0.25</v>
      </c>
      <c r="AA2025" s="160">
        <v>0.25</v>
      </c>
    </row>
    <row r="2026" spans="1:27" ht="18" customHeight="1" x14ac:dyDescent="0.25">
      <c r="A2026" s="159">
        <v>4549</v>
      </c>
      <c r="B2026" s="157" t="s">
        <v>251</v>
      </c>
      <c r="C2026" s="157" t="s">
        <v>311</v>
      </c>
      <c r="D2026" s="159" t="s">
        <v>9668</v>
      </c>
      <c r="E2026" s="157" t="s">
        <v>9665</v>
      </c>
      <c r="F2026" s="157"/>
      <c r="G2026" s="157" t="s">
        <v>1321</v>
      </c>
      <c r="H2026" s="157" t="s">
        <v>1648</v>
      </c>
      <c r="I2026" s="157" t="s">
        <v>9718</v>
      </c>
      <c r="J2026" s="157" t="s">
        <v>1649</v>
      </c>
      <c r="K2026" s="157" t="s">
        <v>1269</v>
      </c>
      <c r="L2026" s="157" t="s">
        <v>9722</v>
      </c>
      <c r="M2026" s="157" t="str">
        <f t="shared" si="41"/>
        <v>Ignition Coil Cylinder 2 - Ignition Cylinder 2</v>
      </c>
      <c r="N2026" s="157"/>
      <c r="O2026" s="157"/>
      <c r="P2026" s="159" t="s">
        <v>3042</v>
      </c>
      <c r="Q2026" s="157"/>
      <c r="R2026" s="157"/>
      <c r="S2026" s="157"/>
      <c r="T2026" s="157"/>
      <c r="U2026" s="159" t="s">
        <v>2138</v>
      </c>
      <c r="V2026" s="159" t="s">
        <v>2129</v>
      </c>
      <c r="W2026" s="159" t="s">
        <v>2129</v>
      </c>
      <c r="X2026" s="160">
        <v>0.33</v>
      </c>
      <c r="Y2026" s="160">
        <v>0.33</v>
      </c>
      <c r="Z2026" s="160">
        <v>0.33</v>
      </c>
      <c r="AA2026" s="160">
        <v>0.33</v>
      </c>
    </row>
    <row r="2027" spans="1:27" ht="18" customHeight="1" x14ac:dyDescent="0.25">
      <c r="A2027" s="159">
        <v>4549</v>
      </c>
      <c r="B2027" s="157" t="s">
        <v>251</v>
      </c>
      <c r="C2027" s="157" t="s">
        <v>311</v>
      </c>
      <c r="D2027" s="159" t="s">
        <v>9668</v>
      </c>
      <c r="E2027" s="157" t="s">
        <v>9666</v>
      </c>
      <c r="F2027" s="157"/>
      <c r="G2027" s="157" t="s">
        <v>1321</v>
      </c>
      <c r="H2027" s="157" t="s">
        <v>1648</v>
      </c>
      <c r="I2027" s="157" t="s">
        <v>9718</v>
      </c>
      <c r="J2027" s="157" t="s">
        <v>1649</v>
      </c>
      <c r="K2027" s="157" t="s">
        <v>1269</v>
      </c>
      <c r="L2027" s="157" t="s">
        <v>9722</v>
      </c>
      <c r="M2027" s="157" t="str">
        <f t="shared" si="41"/>
        <v>Ignition Coil Cylinder 2 - Ignition Cylinder 2</v>
      </c>
      <c r="N2027" s="157"/>
      <c r="O2027" s="157"/>
      <c r="P2027" s="159" t="s">
        <v>3042</v>
      </c>
      <c r="Q2027" s="157"/>
      <c r="R2027" s="157"/>
      <c r="S2027" s="157"/>
      <c r="T2027" s="157"/>
      <c r="U2027" s="159" t="s">
        <v>2129</v>
      </c>
      <c r="V2027" s="159" t="s">
        <v>2138</v>
      </c>
      <c r="W2027" s="159" t="s">
        <v>2129</v>
      </c>
      <c r="X2027" s="160">
        <v>0.25</v>
      </c>
      <c r="Y2027" s="160">
        <v>0.25</v>
      </c>
      <c r="Z2027" s="160">
        <v>0.25</v>
      </c>
      <c r="AA2027" s="160">
        <v>0.25</v>
      </c>
    </row>
    <row r="2028" spans="1:27" ht="18" customHeight="1" x14ac:dyDescent="0.25">
      <c r="A2028" s="159">
        <v>4550</v>
      </c>
      <c r="B2028" s="157" t="s">
        <v>251</v>
      </c>
      <c r="C2028" s="157" t="s">
        <v>311</v>
      </c>
      <c r="D2028" s="159" t="s">
        <v>9668</v>
      </c>
      <c r="E2028" s="157" t="s">
        <v>9665</v>
      </c>
      <c r="F2028" s="157"/>
      <c r="G2028" s="157" t="s">
        <v>1321</v>
      </c>
      <c r="H2028" s="157" t="s">
        <v>1648</v>
      </c>
      <c r="I2028" s="157" t="s">
        <v>9719</v>
      </c>
      <c r="J2028" s="157" t="s">
        <v>1649</v>
      </c>
      <c r="K2028" s="157" t="s">
        <v>1269</v>
      </c>
      <c r="L2028" s="157" t="s">
        <v>9723</v>
      </c>
      <c r="M2028" s="157" t="str">
        <f t="shared" si="41"/>
        <v>Ignition Coil Cylinder 3 - Ignition Cylinder 3</v>
      </c>
      <c r="N2028" s="157"/>
      <c r="O2028" s="157"/>
      <c r="P2028" s="159" t="s">
        <v>2964</v>
      </c>
      <c r="Q2028" s="157"/>
      <c r="R2028" s="157"/>
      <c r="S2028" s="157"/>
      <c r="T2028" s="157"/>
      <c r="U2028" s="159" t="s">
        <v>2138</v>
      </c>
      <c r="V2028" s="159" t="s">
        <v>2129</v>
      </c>
      <c r="W2028" s="159" t="s">
        <v>2129</v>
      </c>
      <c r="X2028" s="160">
        <v>0.33</v>
      </c>
      <c r="Y2028" s="160">
        <v>0.33</v>
      </c>
      <c r="Z2028" s="160">
        <v>0.33</v>
      </c>
      <c r="AA2028" s="160">
        <v>0.33</v>
      </c>
    </row>
    <row r="2029" spans="1:27" ht="18" customHeight="1" x14ac:dyDescent="0.25">
      <c r="A2029" s="159">
        <v>4550</v>
      </c>
      <c r="B2029" s="157" t="s">
        <v>251</v>
      </c>
      <c r="C2029" s="157" t="s">
        <v>311</v>
      </c>
      <c r="D2029" s="159" t="s">
        <v>9668</v>
      </c>
      <c r="E2029" s="157" t="s">
        <v>9666</v>
      </c>
      <c r="F2029" s="157"/>
      <c r="G2029" s="157" t="s">
        <v>1321</v>
      </c>
      <c r="H2029" s="157" t="s">
        <v>1648</v>
      </c>
      <c r="I2029" s="157" t="s">
        <v>9719</v>
      </c>
      <c r="J2029" s="157" t="s">
        <v>1649</v>
      </c>
      <c r="K2029" s="157" t="s">
        <v>1269</v>
      </c>
      <c r="L2029" s="157" t="s">
        <v>9723</v>
      </c>
      <c r="M2029" s="157" t="str">
        <f t="shared" si="41"/>
        <v>Ignition Coil Cylinder 3 - Ignition Cylinder 3</v>
      </c>
      <c r="N2029" s="157"/>
      <c r="O2029" s="157"/>
      <c r="P2029" s="159" t="s">
        <v>2964</v>
      </c>
      <c r="Q2029" s="157"/>
      <c r="R2029" s="157"/>
      <c r="S2029" s="157"/>
      <c r="T2029" s="157"/>
      <c r="U2029" s="159" t="s">
        <v>2129</v>
      </c>
      <c r="V2029" s="159" t="s">
        <v>2138</v>
      </c>
      <c r="W2029" s="159" t="s">
        <v>2129</v>
      </c>
      <c r="X2029" s="160">
        <v>0.25</v>
      </c>
      <c r="Y2029" s="160">
        <v>0.25</v>
      </c>
      <c r="Z2029" s="160">
        <v>0.25</v>
      </c>
      <c r="AA2029" s="160">
        <v>0.25</v>
      </c>
    </row>
    <row r="2030" spans="1:27" ht="18" customHeight="1" x14ac:dyDescent="0.25">
      <c r="A2030" s="159">
        <v>4551</v>
      </c>
      <c r="B2030" s="157" t="s">
        <v>251</v>
      </c>
      <c r="C2030" s="157" t="s">
        <v>311</v>
      </c>
      <c r="D2030" s="159" t="s">
        <v>9668</v>
      </c>
      <c r="E2030" s="157" t="s">
        <v>9666</v>
      </c>
      <c r="F2030" s="157"/>
      <c r="G2030" s="157" t="s">
        <v>1321</v>
      </c>
      <c r="H2030" s="157" t="s">
        <v>1648</v>
      </c>
      <c r="I2030" s="157" t="s">
        <v>9720</v>
      </c>
      <c r="J2030" s="157" t="s">
        <v>1649</v>
      </c>
      <c r="K2030" s="157" t="s">
        <v>1269</v>
      </c>
      <c r="L2030" s="157" t="s">
        <v>9724</v>
      </c>
      <c r="M2030" s="157" t="str">
        <f t="shared" si="41"/>
        <v>Ignition Coil Cylinder 4 - Ignition Cylinder 4</v>
      </c>
      <c r="N2030" s="157"/>
      <c r="O2030" s="157"/>
      <c r="P2030" s="159" t="s">
        <v>2886</v>
      </c>
      <c r="Q2030" s="157"/>
      <c r="R2030" s="157"/>
      <c r="S2030" s="157"/>
      <c r="T2030" s="157"/>
      <c r="U2030" s="159" t="s">
        <v>2129</v>
      </c>
      <c r="V2030" s="159" t="s">
        <v>2138</v>
      </c>
      <c r="W2030" s="159" t="s">
        <v>2129</v>
      </c>
      <c r="X2030" s="160">
        <v>0.25</v>
      </c>
      <c r="Y2030" s="160">
        <v>0.25</v>
      </c>
      <c r="Z2030" s="160">
        <v>0.25</v>
      </c>
      <c r="AA2030" s="160">
        <v>0.25</v>
      </c>
    </row>
    <row r="2031" spans="1:27" ht="18" customHeight="1" x14ac:dyDescent="0.25">
      <c r="A2031" s="159">
        <v>4553</v>
      </c>
      <c r="B2031" s="157" t="s">
        <v>280</v>
      </c>
      <c r="C2031" s="157" t="s">
        <v>354</v>
      </c>
      <c r="D2031" s="159" t="s">
        <v>601</v>
      </c>
      <c r="E2031" s="157" t="s">
        <v>599</v>
      </c>
      <c r="F2031" s="157" t="s">
        <v>1264</v>
      </c>
      <c r="G2031" s="157" t="s">
        <v>1265</v>
      </c>
      <c r="H2031" s="157" t="s">
        <v>1458</v>
      </c>
      <c r="I2031" s="157" t="s">
        <v>1359</v>
      </c>
      <c r="J2031" s="157" t="s">
        <v>1809</v>
      </c>
      <c r="K2031" s="157" t="s">
        <v>1281</v>
      </c>
      <c r="L2031" s="157" t="s">
        <v>1810</v>
      </c>
      <c r="M2031" s="157" t="str">
        <f t="shared" si="41"/>
        <v>Potentiometer - User Selector - Audio Volume Control</v>
      </c>
      <c r="N2031" s="157"/>
      <c r="O2031" s="157"/>
      <c r="P2031" s="159" t="s">
        <v>5833</v>
      </c>
      <c r="Q2031" s="157" t="s">
        <v>2115</v>
      </c>
      <c r="R2031" s="157" t="s">
        <v>8290</v>
      </c>
      <c r="S2031" s="157" t="s">
        <v>8644</v>
      </c>
      <c r="T2031" s="157"/>
      <c r="U2031" s="159" t="s">
        <v>2138</v>
      </c>
      <c r="V2031" s="159" t="s">
        <v>2138</v>
      </c>
      <c r="W2031" s="159" t="s">
        <v>2138</v>
      </c>
      <c r="X2031" s="160">
        <v>1</v>
      </c>
      <c r="Y2031" s="160">
        <v>1</v>
      </c>
      <c r="Z2031" s="160">
        <v>1</v>
      </c>
      <c r="AA2031" s="160">
        <v>1</v>
      </c>
    </row>
    <row r="2032" spans="1:27" ht="18" customHeight="1" x14ac:dyDescent="0.25">
      <c r="A2032" s="159">
        <v>4553</v>
      </c>
      <c r="B2032" s="157" t="s">
        <v>280</v>
      </c>
      <c r="C2032" s="157" t="s">
        <v>354</v>
      </c>
      <c r="D2032" s="159" t="s">
        <v>474</v>
      </c>
      <c r="E2032" s="157" t="s">
        <v>602</v>
      </c>
      <c r="F2032" s="157" t="s">
        <v>1264</v>
      </c>
      <c r="G2032" s="157" t="s">
        <v>1265</v>
      </c>
      <c r="H2032" s="157" t="s">
        <v>1458</v>
      </c>
      <c r="I2032" s="157" t="s">
        <v>1359</v>
      </c>
      <c r="J2032" s="157" t="s">
        <v>1809</v>
      </c>
      <c r="K2032" s="157" t="s">
        <v>1281</v>
      </c>
      <c r="L2032" s="157" t="s">
        <v>1810</v>
      </c>
      <c r="M2032" s="157" t="str">
        <f t="shared" si="41"/>
        <v>Potentiometer - User Selector - Audio Volume Control</v>
      </c>
      <c r="N2032" s="157"/>
      <c r="O2032" s="157"/>
      <c r="P2032" s="159" t="s">
        <v>5833</v>
      </c>
      <c r="Q2032" s="157" t="s">
        <v>2115</v>
      </c>
      <c r="R2032" s="157" t="s">
        <v>8290</v>
      </c>
      <c r="S2032" s="157" t="s">
        <v>8644</v>
      </c>
      <c r="T2032" s="157"/>
      <c r="U2032" s="159" t="s">
        <v>2138</v>
      </c>
      <c r="V2032" s="159" t="s">
        <v>2138</v>
      </c>
      <c r="W2032" s="159" t="s">
        <v>2138</v>
      </c>
      <c r="X2032" s="160">
        <v>1</v>
      </c>
      <c r="Y2032" s="160">
        <v>1</v>
      </c>
      <c r="Z2032" s="160">
        <v>1</v>
      </c>
      <c r="AA2032" s="160">
        <v>1</v>
      </c>
    </row>
    <row r="2033" spans="1:27" ht="18" customHeight="1" x14ac:dyDescent="0.25">
      <c r="A2033" s="159">
        <v>4553</v>
      </c>
      <c r="B2033" s="157" t="s">
        <v>280</v>
      </c>
      <c r="C2033" s="157" t="s">
        <v>354</v>
      </c>
      <c r="D2033" s="159" t="s">
        <v>606</v>
      </c>
      <c r="E2033" s="157" t="s">
        <v>604</v>
      </c>
      <c r="F2033" s="157" t="s">
        <v>1264</v>
      </c>
      <c r="G2033" s="157" t="s">
        <v>1265</v>
      </c>
      <c r="H2033" s="157" t="s">
        <v>1458</v>
      </c>
      <c r="I2033" s="157" t="s">
        <v>1359</v>
      </c>
      <c r="J2033" s="157" t="s">
        <v>1809</v>
      </c>
      <c r="K2033" s="157" t="s">
        <v>1281</v>
      </c>
      <c r="L2033" s="157" t="s">
        <v>1810</v>
      </c>
      <c r="M2033" s="157" t="str">
        <f t="shared" si="41"/>
        <v>Potentiometer - User Selector - Audio Volume Control</v>
      </c>
      <c r="N2033" s="157"/>
      <c r="O2033" s="157"/>
      <c r="P2033" s="159" t="s">
        <v>5833</v>
      </c>
      <c r="Q2033" s="157" t="s">
        <v>2115</v>
      </c>
      <c r="R2033" s="157" t="s">
        <v>8290</v>
      </c>
      <c r="S2033" s="157" t="s">
        <v>8644</v>
      </c>
      <c r="T2033" s="157"/>
      <c r="U2033" s="159" t="s">
        <v>2138</v>
      </c>
      <c r="V2033" s="159" t="s">
        <v>2138</v>
      </c>
      <c r="W2033" s="159" t="s">
        <v>2138</v>
      </c>
      <c r="X2033" s="160">
        <v>1</v>
      </c>
      <c r="Y2033" s="160">
        <v>1</v>
      </c>
      <c r="Z2033" s="160">
        <v>1</v>
      </c>
      <c r="AA2033" s="160">
        <v>1</v>
      </c>
    </row>
    <row r="2034" spans="1:27" ht="18" customHeight="1" x14ac:dyDescent="0.25">
      <c r="A2034" s="159">
        <v>4553</v>
      </c>
      <c r="B2034" s="157" t="s">
        <v>280</v>
      </c>
      <c r="C2034" s="157" t="s">
        <v>354</v>
      </c>
      <c r="D2034" s="159" t="s">
        <v>896</v>
      </c>
      <c r="E2034" s="157" t="s">
        <v>894</v>
      </c>
      <c r="F2034" s="157" t="s">
        <v>1264</v>
      </c>
      <c r="G2034" s="157" t="s">
        <v>1265</v>
      </c>
      <c r="H2034" s="157" t="s">
        <v>1458</v>
      </c>
      <c r="I2034" s="157" t="s">
        <v>1359</v>
      </c>
      <c r="J2034" s="157" t="s">
        <v>1809</v>
      </c>
      <c r="K2034" s="157" t="s">
        <v>1281</v>
      </c>
      <c r="L2034" s="157" t="s">
        <v>1810</v>
      </c>
      <c r="M2034" s="157" t="str">
        <f t="shared" si="41"/>
        <v>Potentiometer - User Selector - Audio Volume Control</v>
      </c>
      <c r="N2034" s="157"/>
      <c r="O2034" s="157"/>
      <c r="P2034" s="159" t="s">
        <v>5833</v>
      </c>
      <c r="Q2034" s="157" t="s">
        <v>2115</v>
      </c>
      <c r="R2034" s="157" t="s">
        <v>8290</v>
      </c>
      <c r="S2034" s="157" t="s">
        <v>8644</v>
      </c>
      <c r="T2034" s="157"/>
      <c r="U2034" s="159" t="s">
        <v>2138</v>
      </c>
      <c r="V2034" s="159" t="s">
        <v>2138</v>
      </c>
      <c r="W2034" s="159" t="s">
        <v>2138</v>
      </c>
      <c r="X2034" s="160">
        <v>1</v>
      </c>
      <c r="Y2034" s="160">
        <v>1</v>
      </c>
      <c r="Z2034" s="160">
        <v>1</v>
      </c>
      <c r="AA2034" s="160">
        <v>1</v>
      </c>
    </row>
    <row r="2035" spans="1:27" ht="18" customHeight="1" x14ac:dyDescent="0.25">
      <c r="A2035" s="159">
        <v>4553</v>
      </c>
      <c r="B2035" s="157" t="s">
        <v>280</v>
      </c>
      <c r="C2035" s="157" t="s">
        <v>354</v>
      </c>
      <c r="D2035" s="159" t="s">
        <v>903</v>
      </c>
      <c r="E2035" s="157" t="s">
        <v>901</v>
      </c>
      <c r="F2035" s="157" t="s">
        <v>1264</v>
      </c>
      <c r="G2035" s="157" t="s">
        <v>1265</v>
      </c>
      <c r="H2035" s="157" t="s">
        <v>1458</v>
      </c>
      <c r="I2035" s="157" t="s">
        <v>1359</v>
      </c>
      <c r="J2035" s="157" t="s">
        <v>1809</v>
      </c>
      <c r="K2035" s="157" t="s">
        <v>1281</v>
      </c>
      <c r="L2035" s="157" t="s">
        <v>1810</v>
      </c>
      <c r="M2035" s="157" t="str">
        <f t="shared" si="41"/>
        <v>Potentiometer - User Selector - Audio Volume Control</v>
      </c>
      <c r="N2035" s="157"/>
      <c r="O2035" s="157"/>
      <c r="P2035" s="159" t="s">
        <v>5833</v>
      </c>
      <c r="Q2035" s="157" t="s">
        <v>2115</v>
      </c>
      <c r="R2035" s="157" t="s">
        <v>8290</v>
      </c>
      <c r="S2035" s="157" t="s">
        <v>8644</v>
      </c>
      <c r="T2035" s="157"/>
      <c r="U2035" s="159" t="s">
        <v>2138</v>
      </c>
      <c r="V2035" s="159" t="s">
        <v>2138</v>
      </c>
      <c r="W2035" s="159" t="s">
        <v>2138</v>
      </c>
      <c r="X2035" s="160">
        <v>1</v>
      </c>
      <c r="Y2035" s="160">
        <v>1</v>
      </c>
      <c r="Z2035" s="160">
        <v>1</v>
      </c>
      <c r="AA2035" s="160">
        <v>1</v>
      </c>
    </row>
    <row r="2036" spans="1:27" ht="18" customHeight="1" x14ac:dyDescent="0.25">
      <c r="A2036" s="159">
        <v>4555</v>
      </c>
      <c r="B2036" s="157" t="s">
        <v>280</v>
      </c>
      <c r="C2036" s="157" t="s">
        <v>354</v>
      </c>
      <c r="D2036" s="159" t="s">
        <v>1189</v>
      </c>
      <c r="E2036" s="157" t="s">
        <v>1187</v>
      </c>
      <c r="F2036" s="157" t="s">
        <v>1264</v>
      </c>
      <c r="G2036" s="157" t="s">
        <v>1265</v>
      </c>
      <c r="H2036" s="157" t="s">
        <v>1458</v>
      </c>
      <c r="I2036" s="157" t="s">
        <v>1811</v>
      </c>
      <c r="J2036" s="157" t="s">
        <v>1713</v>
      </c>
      <c r="K2036" s="157" t="s">
        <v>1312</v>
      </c>
      <c r="L2036" s="157" t="s">
        <v>1762</v>
      </c>
      <c r="M2036" s="157" t="str">
        <f t="shared" si="41"/>
        <v>Microphone - Noise Cancelling</v>
      </c>
      <c r="N2036" s="157"/>
      <c r="O2036" s="157"/>
      <c r="P2036" s="159" t="s">
        <v>5747</v>
      </c>
      <c r="Q2036" s="157" t="s">
        <v>2115</v>
      </c>
      <c r="R2036" s="157" t="s">
        <v>2124</v>
      </c>
      <c r="S2036" s="157" t="s">
        <v>8608</v>
      </c>
      <c r="T2036" s="157"/>
      <c r="U2036" s="159" t="s">
        <v>2129</v>
      </c>
      <c r="V2036" s="159" t="s">
        <v>2129</v>
      </c>
      <c r="W2036" s="159" t="s">
        <v>2138</v>
      </c>
      <c r="X2036" s="160">
        <v>1</v>
      </c>
      <c r="Y2036" s="160">
        <v>1</v>
      </c>
      <c r="Z2036" s="160">
        <v>1</v>
      </c>
      <c r="AA2036" s="160">
        <v>1</v>
      </c>
    </row>
    <row r="2037" spans="1:27" ht="18" customHeight="1" x14ac:dyDescent="0.25">
      <c r="A2037" s="159">
        <v>4556</v>
      </c>
      <c r="B2037" s="157" t="s">
        <v>57</v>
      </c>
      <c r="C2037" s="157" t="s">
        <v>349</v>
      </c>
      <c r="D2037" s="159" t="s">
        <v>8443</v>
      </c>
      <c r="E2037" s="157" t="s">
        <v>8447</v>
      </c>
      <c r="F2037" s="157"/>
      <c r="G2037" s="157" t="s">
        <v>1321</v>
      </c>
      <c r="H2037" s="157" t="s">
        <v>2022</v>
      </c>
      <c r="I2037" s="157" t="s">
        <v>9734</v>
      </c>
      <c r="J2037" s="157" t="s">
        <v>1649</v>
      </c>
      <c r="K2037" s="157" t="s">
        <v>1269</v>
      </c>
      <c r="L2037" s="157" t="s">
        <v>9734</v>
      </c>
      <c r="M2037" s="157" t="str">
        <f t="shared" si="41"/>
        <v>High Temperature Coolant Pump - High Temperature Coolant Pump</v>
      </c>
      <c r="N2037" s="157"/>
      <c r="O2037" s="157"/>
      <c r="P2037" s="159" t="s">
        <v>2524</v>
      </c>
      <c r="Q2037" s="157"/>
      <c r="R2037" s="157"/>
      <c r="S2037" s="157"/>
      <c r="T2037" s="157"/>
      <c r="U2037" s="159" t="s">
        <v>2129</v>
      </c>
      <c r="V2037" s="159" t="s">
        <v>2138</v>
      </c>
      <c r="W2037" s="159" t="s">
        <v>2129</v>
      </c>
      <c r="X2037" s="160">
        <v>0.8</v>
      </c>
      <c r="Y2037" s="160">
        <v>0.4</v>
      </c>
      <c r="Z2037" s="160">
        <v>0.5</v>
      </c>
      <c r="AA2037" s="160">
        <v>0.6</v>
      </c>
    </row>
    <row r="2038" spans="1:27" ht="18" customHeight="1" x14ac:dyDescent="0.25">
      <c r="A2038" s="159">
        <v>4557</v>
      </c>
      <c r="B2038" s="157" t="s">
        <v>63</v>
      </c>
      <c r="C2038" s="157" t="s">
        <v>64</v>
      </c>
      <c r="D2038" s="159" t="s">
        <v>616</v>
      </c>
      <c r="E2038" s="157" t="s">
        <v>614</v>
      </c>
      <c r="F2038" s="157" t="s">
        <v>1264</v>
      </c>
      <c r="G2038" s="157" t="s">
        <v>1536</v>
      </c>
      <c r="H2038" s="157" t="s">
        <v>1431</v>
      </c>
      <c r="I2038" s="157" t="s">
        <v>1472</v>
      </c>
      <c r="J2038" s="157" t="s">
        <v>1285</v>
      </c>
      <c r="K2038" s="157" t="s">
        <v>1312</v>
      </c>
      <c r="L2038" s="157" t="s">
        <v>1473</v>
      </c>
      <c r="M2038" s="157" t="str">
        <f t="shared" si="41"/>
        <v>Washer Fluid Level Sensor - Windshield and Rear Window Washer</v>
      </c>
      <c r="N2038" s="157"/>
      <c r="O2038" s="157"/>
      <c r="P2038" s="159" t="s">
        <v>2341</v>
      </c>
      <c r="Q2038" s="157" t="s">
        <v>2115</v>
      </c>
      <c r="R2038" s="157" t="s">
        <v>9527</v>
      </c>
      <c r="S2038" s="157" t="s">
        <v>8576</v>
      </c>
      <c r="T2038" s="157"/>
      <c r="U2038" s="159" t="s">
        <v>2129</v>
      </c>
      <c r="V2038" s="159" t="s">
        <v>2138</v>
      </c>
      <c r="W2038" s="159" t="s">
        <v>2138</v>
      </c>
      <c r="X2038" s="160">
        <v>0</v>
      </c>
      <c r="Y2038" s="160">
        <v>0</v>
      </c>
      <c r="Z2038" s="160">
        <v>0</v>
      </c>
      <c r="AA2038" s="160">
        <v>0</v>
      </c>
    </row>
    <row r="2039" spans="1:27" ht="18" customHeight="1" x14ac:dyDescent="0.25">
      <c r="A2039" s="159">
        <v>4558</v>
      </c>
      <c r="B2039" s="157" t="s">
        <v>57</v>
      </c>
      <c r="C2039" s="157" t="s">
        <v>349</v>
      </c>
      <c r="D2039" s="159" t="s">
        <v>8441</v>
      </c>
      <c r="E2039" s="157" t="s">
        <v>8444</v>
      </c>
      <c r="F2039" s="157"/>
      <c r="G2039" s="157" t="s">
        <v>1321</v>
      </c>
      <c r="H2039" s="157" t="s">
        <v>2022</v>
      </c>
      <c r="I2039" s="157" t="s">
        <v>1812</v>
      </c>
      <c r="J2039" s="157" t="s">
        <v>1649</v>
      </c>
      <c r="K2039" s="157" t="s">
        <v>1269</v>
      </c>
      <c r="L2039" s="157" t="s">
        <v>9660</v>
      </c>
      <c r="M2039" s="157" t="str">
        <f t="shared" si="41"/>
        <v>Engine Coolant Pump - Coolant Pump</v>
      </c>
      <c r="N2039" s="157"/>
      <c r="O2039" s="157"/>
      <c r="P2039" s="159" t="s">
        <v>2875</v>
      </c>
      <c r="Q2039" s="157" t="s">
        <v>2115</v>
      </c>
      <c r="R2039" s="157" t="s">
        <v>9662</v>
      </c>
      <c r="S2039" s="157" t="s">
        <v>9663</v>
      </c>
      <c r="T2039" s="157"/>
      <c r="U2039" s="159" t="s">
        <v>2138</v>
      </c>
      <c r="V2039" s="159" t="s">
        <v>2129</v>
      </c>
      <c r="W2039" s="159" t="s">
        <v>2129</v>
      </c>
      <c r="X2039" s="160">
        <v>0.8</v>
      </c>
      <c r="Y2039" s="160">
        <v>0.4</v>
      </c>
      <c r="Z2039" s="160">
        <v>0.5</v>
      </c>
      <c r="AA2039" s="160">
        <v>0.6</v>
      </c>
    </row>
    <row r="2040" spans="1:27" ht="18" customHeight="1" x14ac:dyDescent="0.25">
      <c r="A2040" s="159">
        <v>4558</v>
      </c>
      <c r="B2040" s="157" t="s">
        <v>57</v>
      </c>
      <c r="C2040" s="157" t="s">
        <v>349</v>
      </c>
      <c r="D2040" s="159" t="s">
        <v>8442</v>
      </c>
      <c r="E2040" s="157" t="s">
        <v>8446</v>
      </c>
      <c r="F2040" s="157"/>
      <c r="G2040" s="157" t="s">
        <v>1321</v>
      </c>
      <c r="H2040" s="157" t="s">
        <v>2022</v>
      </c>
      <c r="I2040" s="157" t="s">
        <v>1812</v>
      </c>
      <c r="J2040" s="157" t="s">
        <v>1649</v>
      </c>
      <c r="K2040" s="157" t="s">
        <v>1269</v>
      </c>
      <c r="L2040" s="157" t="s">
        <v>9660</v>
      </c>
      <c r="M2040" s="157" t="str">
        <f t="shared" si="41"/>
        <v>Engine Coolant Pump - Coolant Pump</v>
      </c>
      <c r="N2040" s="157"/>
      <c r="O2040" s="157"/>
      <c r="P2040" s="159" t="s">
        <v>2875</v>
      </c>
      <c r="Q2040" s="157" t="s">
        <v>2115</v>
      </c>
      <c r="R2040" s="157" t="s">
        <v>9662</v>
      </c>
      <c r="S2040" s="157" t="s">
        <v>9663</v>
      </c>
      <c r="T2040" s="157"/>
      <c r="U2040" s="159" t="s">
        <v>2129</v>
      </c>
      <c r="V2040" s="159" t="s">
        <v>2129</v>
      </c>
      <c r="W2040" s="159" t="s">
        <v>2129</v>
      </c>
      <c r="X2040" s="160">
        <v>0.8</v>
      </c>
      <c r="Y2040" s="160">
        <v>0.4</v>
      </c>
      <c r="Z2040" s="160">
        <v>0.5</v>
      </c>
      <c r="AA2040" s="160">
        <v>0.6</v>
      </c>
    </row>
    <row r="2041" spans="1:27" ht="18" customHeight="1" x14ac:dyDescent="0.25">
      <c r="A2041" s="159">
        <v>4558</v>
      </c>
      <c r="B2041" s="157" t="s">
        <v>57</v>
      </c>
      <c r="C2041" s="157" t="s">
        <v>349</v>
      </c>
      <c r="D2041" s="159" t="s">
        <v>8443</v>
      </c>
      <c r="E2041" s="157" t="s">
        <v>8447</v>
      </c>
      <c r="F2041" s="157"/>
      <c r="G2041" s="157" t="s">
        <v>1321</v>
      </c>
      <c r="H2041" s="157" t="s">
        <v>2022</v>
      </c>
      <c r="I2041" s="157" t="s">
        <v>1812</v>
      </c>
      <c r="J2041" s="157" t="s">
        <v>1649</v>
      </c>
      <c r="K2041" s="157" t="s">
        <v>1269</v>
      </c>
      <c r="L2041" s="157" t="s">
        <v>9660</v>
      </c>
      <c r="M2041" s="157" t="str">
        <f t="shared" si="41"/>
        <v>Engine Coolant Pump - Coolant Pump</v>
      </c>
      <c r="N2041" s="157"/>
      <c r="O2041" s="157"/>
      <c r="P2041" s="159" t="s">
        <v>2875</v>
      </c>
      <c r="Q2041" s="157" t="s">
        <v>2115</v>
      </c>
      <c r="R2041" s="157" t="s">
        <v>9662</v>
      </c>
      <c r="S2041" s="157" t="s">
        <v>9663</v>
      </c>
      <c r="T2041" s="157"/>
      <c r="U2041" s="159" t="s">
        <v>2129</v>
      </c>
      <c r="V2041" s="159" t="s">
        <v>2138</v>
      </c>
      <c r="W2041" s="159" t="s">
        <v>2129</v>
      </c>
      <c r="X2041" s="160">
        <v>0.8</v>
      </c>
      <c r="Y2041" s="160">
        <v>0.4</v>
      </c>
      <c r="Z2041" s="160">
        <v>0.5</v>
      </c>
      <c r="AA2041" s="160">
        <v>0.6</v>
      </c>
    </row>
    <row r="2042" spans="1:27" ht="18" customHeight="1" x14ac:dyDescent="0.25">
      <c r="A2042" s="159">
        <v>4559</v>
      </c>
      <c r="B2042" s="157" t="s">
        <v>29</v>
      </c>
      <c r="C2042" s="157" t="s">
        <v>153</v>
      </c>
      <c r="D2042" s="159" t="s">
        <v>157</v>
      </c>
      <c r="E2042" s="157" t="s">
        <v>381</v>
      </c>
      <c r="F2042" s="157"/>
      <c r="G2042" s="157" t="s">
        <v>1536</v>
      </c>
      <c r="H2042" s="157" t="s">
        <v>1431</v>
      </c>
      <c r="I2042" s="157" t="s">
        <v>8511</v>
      </c>
      <c r="J2042" s="157" t="s">
        <v>1285</v>
      </c>
      <c r="K2042" s="157" t="s">
        <v>1269</v>
      </c>
      <c r="L2042" s="157" t="s">
        <v>8509</v>
      </c>
      <c r="M2042" s="157" t="str">
        <f t="shared" si="41"/>
        <v>Washer Pump Mono - Windshield Washer</v>
      </c>
      <c r="N2042" s="157"/>
      <c r="O2042" s="157"/>
      <c r="P2042" s="159" t="s">
        <v>2415</v>
      </c>
      <c r="Q2042" s="157" t="s">
        <v>2115</v>
      </c>
      <c r="R2042" s="157" t="s">
        <v>2130</v>
      </c>
      <c r="S2042" s="157" t="s">
        <v>8609</v>
      </c>
      <c r="T2042" s="157" t="s">
        <v>2129</v>
      </c>
      <c r="U2042" s="159" t="s">
        <v>2138</v>
      </c>
      <c r="V2042" s="159" t="s">
        <v>2129</v>
      </c>
      <c r="W2042" s="159" t="s">
        <v>2129</v>
      </c>
      <c r="X2042" s="160">
        <v>0</v>
      </c>
      <c r="Y2042" s="160">
        <f>2*5/(20*60)</f>
        <v>8.3333333333333332E-3</v>
      </c>
      <c r="Z2042" s="160">
        <f>4*5/(20*60)</f>
        <v>1.6666666666666666E-2</v>
      </c>
      <c r="AA2042" s="160">
        <f>4*5/(20*60)</f>
        <v>1.6666666666666666E-2</v>
      </c>
    </row>
    <row r="2043" spans="1:27" ht="18" customHeight="1" x14ac:dyDescent="0.25">
      <c r="A2043" s="159">
        <v>4563</v>
      </c>
      <c r="B2043" s="157" t="s">
        <v>318</v>
      </c>
      <c r="C2043" s="157" t="s">
        <v>319</v>
      </c>
      <c r="D2043" s="159" t="s">
        <v>322</v>
      </c>
      <c r="E2043" s="157" t="s">
        <v>320</v>
      </c>
      <c r="F2043" s="157" t="s">
        <v>1010</v>
      </c>
      <c r="G2043" s="157" t="s">
        <v>1278</v>
      </c>
      <c r="H2043" s="157" t="s">
        <v>1776</v>
      </c>
      <c r="I2043" s="157" t="s">
        <v>1777</v>
      </c>
      <c r="J2043" s="157" t="s">
        <v>1813</v>
      </c>
      <c r="K2043" s="157" t="s">
        <v>1269</v>
      </c>
      <c r="L2043" s="157" t="s">
        <v>1776</v>
      </c>
      <c r="M2043" s="157" t="str">
        <f t="shared" si="41"/>
        <v>12V Outlet - Personal Device Charging</v>
      </c>
      <c r="N2043" s="157"/>
      <c r="O2043" s="157"/>
      <c r="P2043" s="159" t="s">
        <v>5741</v>
      </c>
      <c r="Q2043" s="157" t="s">
        <v>2115</v>
      </c>
      <c r="R2043" s="157" t="s">
        <v>2127</v>
      </c>
      <c r="S2043" s="157" t="s">
        <v>8641</v>
      </c>
      <c r="T2043" s="157" t="s">
        <v>2129</v>
      </c>
      <c r="U2043" s="159" t="s">
        <v>2138</v>
      </c>
      <c r="V2043" s="159" t="s">
        <v>2138</v>
      </c>
      <c r="W2043" s="159" t="s">
        <v>2138</v>
      </c>
      <c r="X2043" s="160">
        <v>0.1</v>
      </c>
      <c r="Y2043" s="160">
        <v>0.1</v>
      </c>
      <c r="Z2043" s="160">
        <v>0.1</v>
      </c>
      <c r="AA2043" s="160">
        <v>0.1</v>
      </c>
    </row>
    <row r="2044" spans="1:27" ht="18" customHeight="1" x14ac:dyDescent="0.25">
      <c r="A2044" s="159">
        <v>4566</v>
      </c>
      <c r="B2044" s="157" t="s">
        <v>29</v>
      </c>
      <c r="C2044" s="157" t="s">
        <v>82</v>
      </c>
      <c r="D2044" s="159" t="s">
        <v>92</v>
      </c>
      <c r="E2044" s="157" t="s">
        <v>90</v>
      </c>
      <c r="F2044" s="157" t="s">
        <v>1264</v>
      </c>
      <c r="G2044" s="157" t="s">
        <v>1278</v>
      </c>
      <c r="H2044" s="157" t="s">
        <v>1294</v>
      </c>
      <c r="I2044" s="157" t="s">
        <v>1814</v>
      </c>
      <c r="J2044" s="157" t="s">
        <v>1296</v>
      </c>
      <c r="K2044" s="157" t="s">
        <v>1281</v>
      </c>
      <c r="L2044" s="157" t="s">
        <v>1282</v>
      </c>
      <c r="M2044" s="157" t="str">
        <f t="shared" si="41"/>
        <v>User Selector - Internal Locking Command</v>
      </c>
      <c r="N2044" s="157"/>
      <c r="O2044" s="157"/>
      <c r="P2044" s="159" t="s">
        <v>7941</v>
      </c>
      <c r="Q2044" s="157"/>
      <c r="R2044" s="157"/>
      <c r="S2044" s="157"/>
      <c r="T2044" s="157"/>
      <c r="U2044" s="159" t="s">
        <v>2138</v>
      </c>
      <c r="V2044" s="159" t="s">
        <v>2138</v>
      </c>
      <c r="W2044" s="159" t="s">
        <v>2138</v>
      </c>
      <c r="X2044" s="160">
        <v>1</v>
      </c>
      <c r="Y2044" s="160">
        <v>1</v>
      </c>
      <c r="Z2044" s="160">
        <v>1</v>
      </c>
      <c r="AA2044" s="160">
        <v>1</v>
      </c>
    </row>
    <row r="2045" spans="1:27" ht="18" customHeight="1" x14ac:dyDescent="0.25">
      <c r="A2045" s="159">
        <v>4570</v>
      </c>
      <c r="B2045" s="157" t="s">
        <v>251</v>
      </c>
      <c r="C2045" s="157" t="s">
        <v>311</v>
      </c>
      <c r="D2045" s="159" t="s">
        <v>9667</v>
      </c>
      <c r="E2045" s="157" t="s">
        <v>9665</v>
      </c>
      <c r="F2045" s="157"/>
      <c r="G2045" s="157" t="s">
        <v>1321</v>
      </c>
      <c r="H2045" s="157" t="s">
        <v>1648</v>
      </c>
      <c r="I2045" s="157" t="s">
        <v>9669</v>
      </c>
      <c r="J2045" s="157" t="s">
        <v>1649</v>
      </c>
      <c r="K2045" s="157" t="s">
        <v>1269</v>
      </c>
      <c r="L2045" s="157" t="s">
        <v>9670</v>
      </c>
      <c r="M2045" s="157" t="str">
        <f t="shared" si="41"/>
        <v>Injection Valve Cylinder 1 - Fuel Injection</v>
      </c>
      <c r="N2045" s="157"/>
      <c r="O2045" s="157"/>
      <c r="P2045" s="159" t="s">
        <v>2925</v>
      </c>
      <c r="Q2045" s="157"/>
      <c r="R2045" s="157"/>
      <c r="S2045" s="157"/>
      <c r="T2045" s="157"/>
      <c r="U2045" s="159" t="s">
        <v>2138</v>
      </c>
      <c r="V2045" s="159" t="s">
        <v>2129</v>
      </c>
      <c r="W2045" s="159" t="s">
        <v>2129</v>
      </c>
      <c r="X2045" s="160">
        <v>0.33</v>
      </c>
      <c r="Y2045" s="160">
        <v>0.33</v>
      </c>
      <c r="Z2045" s="160">
        <v>0.33</v>
      </c>
      <c r="AA2045" s="160">
        <v>0.33</v>
      </c>
    </row>
    <row r="2046" spans="1:27" ht="18" customHeight="1" x14ac:dyDescent="0.25">
      <c r="A2046" s="159">
        <v>4570</v>
      </c>
      <c r="B2046" s="157" t="s">
        <v>251</v>
      </c>
      <c r="C2046" s="157" t="s">
        <v>311</v>
      </c>
      <c r="D2046" s="159" t="s">
        <v>9668</v>
      </c>
      <c r="E2046" s="157" t="s">
        <v>9666</v>
      </c>
      <c r="F2046" s="157"/>
      <c r="G2046" s="157" t="s">
        <v>1321</v>
      </c>
      <c r="H2046" s="157" t="s">
        <v>1648</v>
      </c>
      <c r="I2046" s="157" t="s">
        <v>9669</v>
      </c>
      <c r="J2046" s="157" t="s">
        <v>1649</v>
      </c>
      <c r="K2046" s="157" t="s">
        <v>1269</v>
      </c>
      <c r="L2046" s="157" t="s">
        <v>9670</v>
      </c>
      <c r="M2046" s="157" t="str">
        <f t="shared" si="41"/>
        <v>Injection Valve Cylinder 1 - Fuel Injection</v>
      </c>
      <c r="N2046" s="157"/>
      <c r="O2046" s="157"/>
      <c r="P2046" s="159" t="s">
        <v>2925</v>
      </c>
      <c r="Q2046" s="157"/>
      <c r="R2046" s="157"/>
      <c r="S2046" s="157"/>
      <c r="T2046" s="157"/>
      <c r="U2046" s="159" t="s">
        <v>2129</v>
      </c>
      <c r="V2046" s="159" t="s">
        <v>2138</v>
      </c>
      <c r="W2046" s="159" t="s">
        <v>2129</v>
      </c>
      <c r="X2046" s="160">
        <v>0.25</v>
      </c>
      <c r="Y2046" s="160">
        <v>0.25</v>
      </c>
      <c r="Z2046" s="160">
        <v>0.25</v>
      </c>
      <c r="AA2046" s="160">
        <v>0.25</v>
      </c>
    </row>
    <row r="2047" spans="1:27" ht="18" customHeight="1" x14ac:dyDescent="0.25">
      <c r="A2047" s="159">
        <v>4571</v>
      </c>
      <c r="B2047" s="157" t="s">
        <v>251</v>
      </c>
      <c r="C2047" s="157" t="s">
        <v>311</v>
      </c>
      <c r="D2047" s="159" t="s">
        <v>9667</v>
      </c>
      <c r="E2047" s="157" t="s">
        <v>9665</v>
      </c>
      <c r="F2047" s="157"/>
      <c r="G2047" s="157" t="s">
        <v>1321</v>
      </c>
      <c r="H2047" s="157" t="s">
        <v>1648</v>
      </c>
      <c r="I2047" s="157" t="s">
        <v>9669</v>
      </c>
      <c r="J2047" s="157" t="s">
        <v>1649</v>
      </c>
      <c r="K2047" s="157" t="s">
        <v>1269</v>
      </c>
      <c r="L2047" s="157" t="s">
        <v>9671</v>
      </c>
      <c r="M2047" s="157" t="str">
        <f t="shared" si="41"/>
        <v>Injection Valve Cylinder 2 - Fuel Injection</v>
      </c>
      <c r="N2047" s="157"/>
      <c r="O2047" s="157"/>
      <c r="P2047" s="159" t="s">
        <v>2886</v>
      </c>
      <c r="Q2047" s="157"/>
      <c r="R2047" s="157"/>
      <c r="S2047" s="157"/>
      <c r="T2047" s="157"/>
      <c r="U2047" s="159" t="s">
        <v>2138</v>
      </c>
      <c r="V2047" s="159" t="s">
        <v>2129</v>
      </c>
      <c r="W2047" s="159" t="s">
        <v>2129</v>
      </c>
      <c r="X2047" s="160">
        <v>0.33</v>
      </c>
      <c r="Y2047" s="160">
        <v>0.33</v>
      </c>
      <c r="Z2047" s="160">
        <v>0.33</v>
      </c>
      <c r="AA2047" s="160">
        <v>0.33</v>
      </c>
    </row>
    <row r="2048" spans="1:27" ht="18" customHeight="1" x14ac:dyDescent="0.25">
      <c r="A2048" s="159">
        <v>4571</v>
      </c>
      <c r="B2048" s="157" t="s">
        <v>251</v>
      </c>
      <c r="C2048" s="157" t="s">
        <v>311</v>
      </c>
      <c r="D2048" s="159" t="s">
        <v>9668</v>
      </c>
      <c r="E2048" s="157" t="s">
        <v>9666</v>
      </c>
      <c r="F2048" s="157"/>
      <c r="G2048" s="157" t="s">
        <v>1321</v>
      </c>
      <c r="H2048" s="157" t="s">
        <v>1648</v>
      </c>
      <c r="I2048" s="157" t="s">
        <v>9669</v>
      </c>
      <c r="J2048" s="157" t="s">
        <v>1649</v>
      </c>
      <c r="K2048" s="157" t="s">
        <v>1269</v>
      </c>
      <c r="L2048" s="157" t="s">
        <v>9671</v>
      </c>
      <c r="M2048" s="157" t="str">
        <f t="shared" si="41"/>
        <v>Injection Valve Cylinder 2 - Fuel Injection</v>
      </c>
      <c r="N2048" s="157"/>
      <c r="O2048" s="157"/>
      <c r="P2048" s="159" t="s">
        <v>2886</v>
      </c>
      <c r="Q2048" s="157"/>
      <c r="R2048" s="157"/>
      <c r="S2048" s="157"/>
      <c r="T2048" s="157"/>
      <c r="U2048" s="159" t="s">
        <v>2129</v>
      </c>
      <c r="V2048" s="159" t="s">
        <v>2138</v>
      </c>
      <c r="W2048" s="159" t="s">
        <v>2129</v>
      </c>
      <c r="X2048" s="160">
        <v>0.25</v>
      </c>
      <c r="Y2048" s="160">
        <v>0.25</v>
      </c>
      <c r="Z2048" s="160">
        <v>0.25</v>
      </c>
      <c r="AA2048" s="160">
        <v>0.25</v>
      </c>
    </row>
    <row r="2049" spans="1:27" ht="18" customHeight="1" x14ac:dyDescent="0.25">
      <c r="A2049" s="159">
        <v>4572</v>
      </c>
      <c r="B2049" s="157" t="s">
        <v>251</v>
      </c>
      <c r="C2049" s="157" t="s">
        <v>311</v>
      </c>
      <c r="D2049" s="159" t="s">
        <v>9667</v>
      </c>
      <c r="E2049" s="157" t="s">
        <v>9665</v>
      </c>
      <c r="F2049" s="157"/>
      <c r="G2049" s="157" t="s">
        <v>1321</v>
      </c>
      <c r="H2049" s="157" t="s">
        <v>1648</v>
      </c>
      <c r="I2049" s="157" t="s">
        <v>9669</v>
      </c>
      <c r="J2049" s="157" t="s">
        <v>1649</v>
      </c>
      <c r="K2049" s="157" t="s">
        <v>1269</v>
      </c>
      <c r="L2049" s="157" t="s">
        <v>9672</v>
      </c>
      <c r="M2049" s="157" t="str">
        <f t="shared" si="41"/>
        <v>Injection Valve Cylinder 3 - Fuel Injection</v>
      </c>
      <c r="N2049" s="157"/>
      <c r="O2049" s="157"/>
      <c r="P2049" s="159" t="s">
        <v>2847</v>
      </c>
      <c r="Q2049" s="157"/>
      <c r="R2049" s="157"/>
      <c r="S2049" s="157"/>
      <c r="T2049" s="157"/>
      <c r="U2049" s="159" t="s">
        <v>2138</v>
      </c>
      <c r="V2049" s="159" t="s">
        <v>2129</v>
      </c>
      <c r="W2049" s="159" t="s">
        <v>2129</v>
      </c>
      <c r="X2049" s="160">
        <v>0.33</v>
      </c>
      <c r="Y2049" s="160">
        <v>0.33</v>
      </c>
      <c r="Z2049" s="160">
        <v>0.33</v>
      </c>
      <c r="AA2049" s="160">
        <v>0.33</v>
      </c>
    </row>
    <row r="2050" spans="1:27" ht="18" customHeight="1" x14ac:dyDescent="0.25">
      <c r="A2050" s="159">
        <v>4572</v>
      </c>
      <c r="B2050" s="157" t="s">
        <v>251</v>
      </c>
      <c r="C2050" s="157" t="s">
        <v>311</v>
      </c>
      <c r="D2050" s="159" t="s">
        <v>9668</v>
      </c>
      <c r="E2050" s="157" t="s">
        <v>9666</v>
      </c>
      <c r="F2050" s="157"/>
      <c r="G2050" s="157" t="s">
        <v>1321</v>
      </c>
      <c r="H2050" s="157" t="s">
        <v>1648</v>
      </c>
      <c r="I2050" s="157" t="s">
        <v>9669</v>
      </c>
      <c r="J2050" s="157" t="s">
        <v>1649</v>
      </c>
      <c r="K2050" s="157" t="s">
        <v>1269</v>
      </c>
      <c r="L2050" s="157" t="s">
        <v>9672</v>
      </c>
      <c r="M2050" s="157" t="str">
        <f t="shared" si="41"/>
        <v>Injection Valve Cylinder 3 - Fuel Injection</v>
      </c>
      <c r="N2050" s="157"/>
      <c r="O2050" s="157"/>
      <c r="P2050" s="159" t="s">
        <v>2847</v>
      </c>
      <c r="Q2050" s="157"/>
      <c r="R2050" s="157"/>
      <c r="S2050" s="157"/>
      <c r="T2050" s="157"/>
      <c r="U2050" s="159" t="s">
        <v>2129</v>
      </c>
      <c r="V2050" s="159" t="s">
        <v>2138</v>
      </c>
      <c r="W2050" s="159" t="s">
        <v>2129</v>
      </c>
      <c r="X2050" s="160">
        <v>0.25</v>
      </c>
      <c r="Y2050" s="160">
        <v>0.25</v>
      </c>
      <c r="Z2050" s="160">
        <v>0.25</v>
      </c>
      <c r="AA2050" s="160">
        <v>0.25</v>
      </c>
    </row>
    <row r="2051" spans="1:27" ht="18" customHeight="1" x14ac:dyDescent="0.25">
      <c r="A2051" s="159">
        <v>4573</v>
      </c>
      <c r="B2051" s="157" t="s">
        <v>251</v>
      </c>
      <c r="C2051" s="157" t="s">
        <v>311</v>
      </c>
      <c r="D2051" s="159" t="s">
        <v>9668</v>
      </c>
      <c r="E2051" s="157" t="s">
        <v>9666</v>
      </c>
      <c r="F2051" s="157"/>
      <c r="G2051" s="157" t="s">
        <v>1321</v>
      </c>
      <c r="H2051" s="157" t="s">
        <v>1648</v>
      </c>
      <c r="I2051" s="157" t="s">
        <v>9669</v>
      </c>
      <c r="J2051" s="157" t="s">
        <v>1649</v>
      </c>
      <c r="K2051" s="157" t="s">
        <v>1269</v>
      </c>
      <c r="L2051" s="157" t="s">
        <v>9673</v>
      </c>
      <c r="M2051" s="157" t="str">
        <f t="shared" si="41"/>
        <v>Injection Valve Cylinder 4 - Fuel Injection</v>
      </c>
      <c r="N2051" s="157"/>
      <c r="O2051" s="157"/>
      <c r="P2051" s="159" t="s">
        <v>2808</v>
      </c>
      <c r="Q2051" s="157"/>
      <c r="R2051" s="157"/>
      <c r="S2051" s="157"/>
      <c r="T2051" s="157"/>
      <c r="U2051" s="159" t="s">
        <v>2129</v>
      </c>
      <c r="V2051" s="159" t="s">
        <v>2138</v>
      </c>
      <c r="W2051" s="159" t="s">
        <v>2129</v>
      </c>
      <c r="X2051" s="160">
        <v>0.25</v>
      </c>
      <c r="Y2051" s="160">
        <v>0.25</v>
      </c>
      <c r="Z2051" s="160">
        <v>0.25</v>
      </c>
      <c r="AA2051" s="160">
        <v>0.25</v>
      </c>
    </row>
    <row r="2052" spans="1:27" ht="18" customHeight="1" x14ac:dyDescent="0.25">
      <c r="A2052" s="159">
        <v>4574</v>
      </c>
      <c r="B2052" s="157" t="s">
        <v>251</v>
      </c>
      <c r="C2052" s="157" t="s">
        <v>311</v>
      </c>
      <c r="D2052" s="159" t="s">
        <v>9667</v>
      </c>
      <c r="E2052" s="157" t="s">
        <v>9665</v>
      </c>
      <c r="F2052" s="157"/>
      <c r="G2052" s="157" t="s">
        <v>1321</v>
      </c>
      <c r="H2052" s="157" t="s">
        <v>1648</v>
      </c>
      <c r="I2052" s="157" t="s">
        <v>9675</v>
      </c>
      <c r="J2052" s="157" t="s">
        <v>1649</v>
      </c>
      <c r="K2052" s="157" t="s">
        <v>1312</v>
      </c>
      <c r="L2052" s="157" t="s">
        <v>9674</v>
      </c>
      <c r="M2052" s="157" t="str">
        <f t="shared" si="41"/>
        <v>Fuel Gallery Pressure Sensor - Fuel Gallery Pressure</v>
      </c>
      <c r="N2052" s="157"/>
      <c r="O2052" s="157"/>
      <c r="P2052" s="159" t="s">
        <v>2769</v>
      </c>
      <c r="Q2052" s="157"/>
      <c r="R2052" s="157"/>
      <c r="S2052" s="157"/>
      <c r="T2052" s="157"/>
      <c r="U2052" s="159" t="s">
        <v>2138</v>
      </c>
      <c r="V2052" s="159" t="s">
        <v>2129</v>
      </c>
      <c r="W2052" s="159" t="s">
        <v>2129</v>
      </c>
      <c r="X2052" s="160">
        <v>1</v>
      </c>
      <c r="Y2052" s="160">
        <v>1</v>
      </c>
      <c r="Z2052" s="160">
        <v>1</v>
      </c>
      <c r="AA2052" s="160">
        <v>1</v>
      </c>
    </row>
    <row r="2053" spans="1:27" ht="18" customHeight="1" x14ac:dyDescent="0.25">
      <c r="A2053" s="159">
        <v>4574</v>
      </c>
      <c r="B2053" s="157" t="s">
        <v>251</v>
      </c>
      <c r="C2053" s="157" t="s">
        <v>311</v>
      </c>
      <c r="D2053" s="159" t="s">
        <v>9668</v>
      </c>
      <c r="E2053" s="157" t="s">
        <v>9666</v>
      </c>
      <c r="F2053" s="157"/>
      <c r="G2053" s="157" t="s">
        <v>1321</v>
      </c>
      <c r="H2053" s="157" t="s">
        <v>1648</v>
      </c>
      <c r="I2053" s="157" t="s">
        <v>9675</v>
      </c>
      <c r="J2053" s="157" t="s">
        <v>1649</v>
      </c>
      <c r="K2053" s="157" t="s">
        <v>1312</v>
      </c>
      <c r="L2053" s="157" t="s">
        <v>9674</v>
      </c>
      <c r="M2053" s="157" t="str">
        <f t="shared" si="41"/>
        <v>Fuel Gallery Pressure Sensor - Fuel Gallery Pressure</v>
      </c>
      <c r="N2053" s="157"/>
      <c r="O2053" s="157"/>
      <c r="P2053" s="159" t="s">
        <v>2769</v>
      </c>
      <c r="Q2053" s="157"/>
      <c r="R2053" s="157"/>
      <c r="S2053" s="157"/>
      <c r="T2053" s="157"/>
      <c r="U2053" s="159" t="s">
        <v>2129</v>
      </c>
      <c r="V2053" s="159" t="s">
        <v>2138</v>
      </c>
      <c r="W2053" s="159" t="s">
        <v>2129</v>
      </c>
      <c r="X2053" s="160">
        <v>1</v>
      </c>
      <c r="Y2053" s="160">
        <v>1</v>
      </c>
      <c r="Z2053" s="160">
        <v>1</v>
      </c>
      <c r="AA2053" s="160">
        <v>1</v>
      </c>
    </row>
    <row r="2054" spans="1:27" ht="18" customHeight="1" x14ac:dyDescent="0.25">
      <c r="A2054" s="159">
        <v>4575</v>
      </c>
      <c r="B2054" s="157" t="s">
        <v>251</v>
      </c>
      <c r="C2054" s="157" t="s">
        <v>311</v>
      </c>
      <c r="D2054" s="159" t="s">
        <v>9667</v>
      </c>
      <c r="E2054" s="157" t="s">
        <v>9665</v>
      </c>
      <c r="F2054" s="157"/>
      <c r="G2054" s="157" t="s">
        <v>1321</v>
      </c>
      <c r="H2054" s="157" t="s">
        <v>1648</v>
      </c>
      <c r="I2054" s="157" t="s">
        <v>9677</v>
      </c>
      <c r="J2054" s="157" t="s">
        <v>1649</v>
      </c>
      <c r="K2054" s="157" t="s">
        <v>1312</v>
      </c>
      <c r="L2054" s="157" t="s">
        <v>9676</v>
      </c>
      <c r="M2054" s="157" t="str">
        <f t="shared" si="41"/>
        <v>Crankschaft Rotation Sensor - Crankschaft Rotation</v>
      </c>
      <c r="N2054" s="157"/>
      <c r="O2054" s="157"/>
      <c r="P2054" s="159" t="s">
        <v>2396</v>
      </c>
      <c r="Q2054" s="157"/>
      <c r="R2054" s="157"/>
      <c r="S2054" s="157"/>
      <c r="T2054" s="157"/>
      <c r="U2054" s="159" t="s">
        <v>2138</v>
      </c>
      <c r="V2054" s="159" t="s">
        <v>2129</v>
      </c>
      <c r="W2054" s="159" t="s">
        <v>2129</v>
      </c>
      <c r="X2054" s="160">
        <v>1</v>
      </c>
      <c r="Y2054" s="160">
        <v>1</v>
      </c>
      <c r="Z2054" s="160">
        <v>1</v>
      </c>
      <c r="AA2054" s="160">
        <v>1</v>
      </c>
    </row>
    <row r="2055" spans="1:27" ht="18" customHeight="1" x14ac:dyDescent="0.25">
      <c r="A2055" s="159">
        <v>4575</v>
      </c>
      <c r="B2055" s="157" t="s">
        <v>251</v>
      </c>
      <c r="C2055" s="157" t="s">
        <v>311</v>
      </c>
      <c r="D2055" s="159" t="s">
        <v>9668</v>
      </c>
      <c r="E2055" s="157" t="s">
        <v>9666</v>
      </c>
      <c r="F2055" s="157"/>
      <c r="G2055" s="157" t="s">
        <v>1321</v>
      </c>
      <c r="H2055" s="157" t="s">
        <v>1648</v>
      </c>
      <c r="I2055" s="157" t="s">
        <v>9677</v>
      </c>
      <c r="J2055" s="157" t="s">
        <v>1649</v>
      </c>
      <c r="K2055" s="157" t="s">
        <v>1312</v>
      </c>
      <c r="L2055" s="157" t="s">
        <v>9676</v>
      </c>
      <c r="M2055" s="157" t="str">
        <f t="shared" si="41"/>
        <v>Crankschaft Rotation Sensor - Crankschaft Rotation</v>
      </c>
      <c r="N2055" s="157"/>
      <c r="O2055" s="157"/>
      <c r="P2055" s="159" t="s">
        <v>2396</v>
      </c>
      <c r="Q2055" s="157"/>
      <c r="R2055" s="157"/>
      <c r="S2055" s="157"/>
      <c r="T2055" s="157"/>
      <c r="U2055" s="159" t="s">
        <v>2129</v>
      </c>
      <c r="V2055" s="159" t="s">
        <v>2138</v>
      </c>
      <c r="W2055" s="159" t="s">
        <v>2129</v>
      </c>
      <c r="X2055" s="160">
        <v>1</v>
      </c>
      <c r="Y2055" s="160">
        <v>1</v>
      </c>
      <c r="Z2055" s="160">
        <v>1</v>
      </c>
      <c r="AA2055" s="160">
        <v>1</v>
      </c>
    </row>
    <row r="2056" spans="1:27" ht="18" customHeight="1" x14ac:dyDescent="0.25">
      <c r="A2056" s="159">
        <v>4576</v>
      </c>
      <c r="B2056" s="157" t="s">
        <v>251</v>
      </c>
      <c r="C2056" s="157" t="s">
        <v>311</v>
      </c>
      <c r="D2056" s="159" t="s">
        <v>9667</v>
      </c>
      <c r="E2056" s="157" t="s">
        <v>9665</v>
      </c>
      <c r="F2056" s="157"/>
      <c r="G2056" s="157" t="s">
        <v>1321</v>
      </c>
      <c r="H2056" s="157" t="s">
        <v>1648</v>
      </c>
      <c r="I2056" s="157" t="s">
        <v>9678</v>
      </c>
      <c r="J2056" s="157" t="s">
        <v>1649</v>
      </c>
      <c r="K2056" s="157" t="s">
        <v>1312</v>
      </c>
      <c r="L2056" s="157" t="s">
        <v>9679</v>
      </c>
      <c r="M2056" s="157" t="str">
        <f t="shared" si="41"/>
        <v>Camshaft Position Sensor - Camshaft Position</v>
      </c>
      <c r="N2056" s="157"/>
      <c r="O2056" s="157"/>
      <c r="P2056" s="159" t="s">
        <v>2398</v>
      </c>
      <c r="Q2056" s="157"/>
      <c r="R2056" s="157"/>
      <c r="S2056" s="157"/>
      <c r="T2056" s="157"/>
      <c r="U2056" s="159" t="s">
        <v>2138</v>
      </c>
      <c r="V2056" s="159" t="s">
        <v>2129</v>
      </c>
      <c r="W2056" s="159" t="s">
        <v>2129</v>
      </c>
      <c r="X2056" s="160">
        <v>1</v>
      </c>
      <c r="Y2056" s="160">
        <v>1</v>
      </c>
      <c r="Z2056" s="160">
        <v>1</v>
      </c>
      <c r="AA2056" s="160">
        <v>1</v>
      </c>
    </row>
    <row r="2057" spans="1:27" ht="18" customHeight="1" x14ac:dyDescent="0.25">
      <c r="A2057" s="159">
        <v>4576</v>
      </c>
      <c r="B2057" s="157" t="s">
        <v>251</v>
      </c>
      <c r="C2057" s="157" t="s">
        <v>311</v>
      </c>
      <c r="D2057" s="159" t="s">
        <v>9668</v>
      </c>
      <c r="E2057" s="157" t="s">
        <v>9666</v>
      </c>
      <c r="F2057" s="157"/>
      <c r="G2057" s="157" t="s">
        <v>1321</v>
      </c>
      <c r="H2057" s="157" t="s">
        <v>1648</v>
      </c>
      <c r="I2057" s="157" t="s">
        <v>9678</v>
      </c>
      <c r="J2057" s="157" t="s">
        <v>1649</v>
      </c>
      <c r="K2057" s="157" t="s">
        <v>1312</v>
      </c>
      <c r="L2057" s="157" t="s">
        <v>9679</v>
      </c>
      <c r="M2057" s="157" t="str">
        <f t="shared" si="41"/>
        <v>Camshaft Position Sensor - Camshaft Position</v>
      </c>
      <c r="N2057" s="157"/>
      <c r="O2057" s="157"/>
      <c r="P2057" s="159" t="s">
        <v>2398</v>
      </c>
      <c r="Q2057" s="157"/>
      <c r="R2057" s="157"/>
      <c r="S2057" s="157"/>
      <c r="T2057" s="157"/>
      <c r="U2057" s="159" t="s">
        <v>2129</v>
      </c>
      <c r="V2057" s="159" t="s">
        <v>2138</v>
      </c>
      <c r="W2057" s="159" t="s">
        <v>2129</v>
      </c>
      <c r="X2057" s="160">
        <v>1</v>
      </c>
      <c r="Y2057" s="160">
        <v>1</v>
      </c>
      <c r="Z2057" s="160">
        <v>1</v>
      </c>
      <c r="AA2057" s="160">
        <v>1</v>
      </c>
    </row>
    <row r="2058" spans="1:27" ht="18" customHeight="1" x14ac:dyDescent="0.25">
      <c r="A2058" s="159">
        <v>4577</v>
      </c>
      <c r="B2058" s="157" t="s">
        <v>251</v>
      </c>
      <c r="C2058" s="157" t="s">
        <v>311</v>
      </c>
      <c r="D2058" s="159" t="s">
        <v>9668</v>
      </c>
      <c r="E2058" s="157" t="s">
        <v>9666</v>
      </c>
      <c r="F2058" s="157"/>
      <c r="G2058" s="157" t="s">
        <v>1321</v>
      </c>
      <c r="H2058" s="157" t="s">
        <v>1648</v>
      </c>
      <c r="I2058" s="157" t="s">
        <v>9680</v>
      </c>
      <c r="J2058" s="157" t="s">
        <v>1649</v>
      </c>
      <c r="K2058" s="157" t="s">
        <v>1312</v>
      </c>
      <c r="L2058" s="157" t="s">
        <v>9681</v>
      </c>
      <c r="M2058" s="157" t="str">
        <f t="shared" ref="M2058:M2121" si="44">CONCATENATE(L2058," - ",I2058)</f>
        <v>Fuel Pressure and Temperature Sensor - Fuel Pressure and Temperature</v>
      </c>
      <c r="N2058" s="157"/>
      <c r="O2058" s="157"/>
      <c r="P2058" s="159" t="s">
        <v>2535</v>
      </c>
      <c r="Q2058" s="157"/>
      <c r="R2058" s="157"/>
      <c r="S2058" s="157"/>
      <c r="T2058" s="157"/>
      <c r="U2058" s="159" t="s">
        <v>2129</v>
      </c>
      <c r="V2058" s="159" t="s">
        <v>2138</v>
      </c>
      <c r="W2058" s="159" t="s">
        <v>2129</v>
      </c>
      <c r="X2058" s="160">
        <v>1</v>
      </c>
      <c r="Y2058" s="160">
        <v>1</v>
      </c>
      <c r="Z2058" s="160">
        <v>1</v>
      </c>
      <c r="AA2058" s="160">
        <v>1</v>
      </c>
    </row>
    <row r="2059" spans="1:27" ht="18" customHeight="1" x14ac:dyDescent="0.25">
      <c r="A2059" s="159">
        <v>4578</v>
      </c>
      <c r="B2059" s="157" t="s">
        <v>251</v>
      </c>
      <c r="C2059" s="157" t="s">
        <v>311</v>
      </c>
      <c r="D2059" s="159" t="s">
        <v>9667</v>
      </c>
      <c r="E2059" s="157" t="s">
        <v>9665</v>
      </c>
      <c r="F2059" s="157"/>
      <c r="G2059" s="157" t="s">
        <v>1321</v>
      </c>
      <c r="H2059" s="157" t="s">
        <v>1648</v>
      </c>
      <c r="I2059" s="157" t="s">
        <v>9683</v>
      </c>
      <c r="J2059" s="157" t="s">
        <v>1649</v>
      </c>
      <c r="K2059" s="157" t="s">
        <v>1269</v>
      </c>
      <c r="L2059" s="157" t="s">
        <v>9682</v>
      </c>
      <c r="M2059" s="157" t="str">
        <f t="shared" si="44"/>
        <v>Electronic Thermostatic Valve - Engine Temperature Management</v>
      </c>
      <c r="N2059" s="157"/>
      <c r="O2059" s="157"/>
      <c r="P2059" s="159" t="s">
        <v>2652</v>
      </c>
      <c r="Q2059" s="157"/>
      <c r="R2059" s="157"/>
      <c r="S2059" s="157"/>
      <c r="T2059" s="157"/>
      <c r="U2059" s="159" t="s">
        <v>2138</v>
      </c>
      <c r="V2059" s="159" t="s">
        <v>2129</v>
      </c>
      <c r="W2059" s="159" t="s">
        <v>2129</v>
      </c>
      <c r="X2059" s="160">
        <v>1</v>
      </c>
      <c r="Y2059" s="160">
        <v>1</v>
      </c>
      <c r="Z2059" s="160">
        <v>1</v>
      </c>
      <c r="AA2059" s="160">
        <v>1</v>
      </c>
    </row>
    <row r="2060" spans="1:27" ht="18" customHeight="1" x14ac:dyDescent="0.25">
      <c r="A2060" s="159">
        <v>4578</v>
      </c>
      <c r="B2060" s="157" t="s">
        <v>251</v>
      </c>
      <c r="C2060" s="157" t="s">
        <v>311</v>
      </c>
      <c r="D2060" s="159" t="s">
        <v>9668</v>
      </c>
      <c r="E2060" s="157" t="s">
        <v>9666</v>
      </c>
      <c r="F2060" s="157"/>
      <c r="G2060" s="157" t="s">
        <v>1321</v>
      </c>
      <c r="H2060" s="157" t="s">
        <v>1648</v>
      </c>
      <c r="I2060" s="157" t="s">
        <v>9683</v>
      </c>
      <c r="J2060" s="157" t="s">
        <v>1649</v>
      </c>
      <c r="K2060" s="157" t="s">
        <v>1269</v>
      </c>
      <c r="L2060" s="157" t="s">
        <v>9682</v>
      </c>
      <c r="M2060" s="157" t="str">
        <f t="shared" si="44"/>
        <v>Electronic Thermostatic Valve - Engine Temperature Management</v>
      </c>
      <c r="N2060" s="157"/>
      <c r="O2060" s="157"/>
      <c r="P2060" s="159" t="s">
        <v>2652</v>
      </c>
      <c r="Q2060" s="157"/>
      <c r="R2060" s="157"/>
      <c r="S2060" s="157"/>
      <c r="T2060" s="157"/>
      <c r="U2060" s="159" t="s">
        <v>2129</v>
      </c>
      <c r="V2060" s="159" t="s">
        <v>2138</v>
      </c>
      <c r="W2060" s="159" t="s">
        <v>2129</v>
      </c>
      <c r="X2060" s="160">
        <v>1</v>
      </c>
      <c r="Y2060" s="160">
        <v>1</v>
      </c>
      <c r="Z2060" s="160">
        <v>1</v>
      </c>
      <c r="AA2060" s="160">
        <v>1</v>
      </c>
    </row>
    <row r="2061" spans="1:27" ht="18" customHeight="1" x14ac:dyDescent="0.25">
      <c r="A2061" s="159">
        <v>4579</v>
      </c>
      <c r="B2061" s="157" t="s">
        <v>251</v>
      </c>
      <c r="C2061" s="157" t="s">
        <v>311</v>
      </c>
      <c r="D2061" s="159" t="s">
        <v>9667</v>
      </c>
      <c r="E2061" s="157" t="s">
        <v>9665</v>
      </c>
      <c r="F2061" s="157"/>
      <c r="G2061" s="157" t="s">
        <v>1321</v>
      </c>
      <c r="H2061" s="157" t="s">
        <v>1648</v>
      </c>
      <c r="I2061" s="157" t="s">
        <v>9685</v>
      </c>
      <c r="J2061" s="157" t="s">
        <v>1649</v>
      </c>
      <c r="K2061" s="157" t="s">
        <v>1269</v>
      </c>
      <c r="L2061" s="157" t="s">
        <v>9684</v>
      </c>
      <c r="M2061" s="157" t="str">
        <f t="shared" si="44"/>
        <v>Exhaust Gas Control Motor for Turbo - Exhaust Gas Admission Control</v>
      </c>
      <c r="N2061" s="157"/>
      <c r="O2061" s="157"/>
      <c r="P2061" s="159" t="s">
        <v>3438</v>
      </c>
      <c r="Q2061" s="157"/>
      <c r="R2061" s="157"/>
      <c r="S2061" s="157"/>
      <c r="T2061" s="157"/>
      <c r="U2061" s="159" t="s">
        <v>2138</v>
      </c>
      <c r="V2061" s="159" t="s">
        <v>2129</v>
      </c>
      <c r="W2061" s="159" t="s">
        <v>2129</v>
      </c>
      <c r="X2061" s="160">
        <v>1</v>
      </c>
      <c r="Y2061" s="160">
        <v>1</v>
      </c>
      <c r="Z2061" s="160">
        <v>1</v>
      </c>
      <c r="AA2061" s="160">
        <v>1</v>
      </c>
    </row>
    <row r="2062" spans="1:27" ht="18" customHeight="1" x14ac:dyDescent="0.25">
      <c r="A2062" s="159">
        <v>4579</v>
      </c>
      <c r="B2062" s="157" t="s">
        <v>251</v>
      </c>
      <c r="C2062" s="157" t="s">
        <v>311</v>
      </c>
      <c r="D2062" s="159" t="s">
        <v>9668</v>
      </c>
      <c r="E2062" s="157" t="s">
        <v>9666</v>
      </c>
      <c r="F2062" s="157"/>
      <c r="G2062" s="157" t="s">
        <v>1321</v>
      </c>
      <c r="H2062" s="157" t="s">
        <v>1648</v>
      </c>
      <c r="I2062" s="157" t="s">
        <v>9685</v>
      </c>
      <c r="J2062" s="157" t="s">
        <v>1649</v>
      </c>
      <c r="K2062" s="157" t="s">
        <v>1269</v>
      </c>
      <c r="L2062" s="157" t="s">
        <v>9684</v>
      </c>
      <c r="M2062" s="157" t="str">
        <f t="shared" si="44"/>
        <v>Exhaust Gas Control Motor for Turbo - Exhaust Gas Admission Control</v>
      </c>
      <c r="N2062" s="157"/>
      <c r="O2062" s="157"/>
      <c r="P2062" s="159" t="s">
        <v>3438</v>
      </c>
      <c r="Q2062" s="157"/>
      <c r="R2062" s="157"/>
      <c r="S2062" s="157"/>
      <c r="T2062" s="157"/>
      <c r="U2062" s="159" t="s">
        <v>2129</v>
      </c>
      <c r="V2062" s="159" t="s">
        <v>2138</v>
      </c>
      <c r="W2062" s="159" t="s">
        <v>2129</v>
      </c>
      <c r="X2062" s="160">
        <v>1</v>
      </c>
      <c r="Y2062" s="160">
        <v>1</v>
      </c>
      <c r="Z2062" s="160">
        <v>1</v>
      </c>
      <c r="AA2062" s="160">
        <v>1</v>
      </c>
    </row>
    <row r="2063" spans="1:27" ht="18" customHeight="1" x14ac:dyDescent="0.25">
      <c r="A2063" s="159">
        <v>4580</v>
      </c>
      <c r="B2063" s="157" t="s">
        <v>251</v>
      </c>
      <c r="C2063" s="157" t="s">
        <v>311</v>
      </c>
      <c r="D2063" s="159" t="s">
        <v>9668</v>
      </c>
      <c r="E2063" s="157" t="s">
        <v>9666</v>
      </c>
      <c r="F2063" s="157"/>
      <c r="G2063" s="157" t="s">
        <v>1321</v>
      </c>
      <c r="H2063" s="157" t="s">
        <v>1648</v>
      </c>
      <c r="I2063" s="157" t="s">
        <v>9686</v>
      </c>
      <c r="J2063" s="157" t="s">
        <v>1649</v>
      </c>
      <c r="K2063" s="157" t="s">
        <v>1269</v>
      </c>
      <c r="L2063" s="157" t="s">
        <v>9688</v>
      </c>
      <c r="M2063" s="157" t="str">
        <f t="shared" si="44"/>
        <v>High Pressure Exhaust Gas Control Motor - Exhaust Gas Control - High Pressure Side</v>
      </c>
      <c r="N2063" s="157"/>
      <c r="O2063" s="157"/>
      <c r="P2063" s="159" t="s">
        <v>3443</v>
      </c>
      <c r="Q2063" s="157"/>
      <c r="R2063" s="157"/>
      <c r="S2063" s="157"/>
      <c r="T2063" s="157"/>
      <c r="U2063" s="159" t="s">
        <v>2129</v>
      </c>
      <c r="V2063" s="159" t="s">
        <v>2138</v>
      </c>
      <c r="W2063" s="159" t="s">
        <v>2129</v>
      </c>
      <c r="X2063" s="160">
        <v>1</v>
      </c>
      <c r="Y2063" s="160">
        <v>1</v>
      </c>
      <c r="Z2063" s="160">
        <v>1</v>
      </c>
      <c r="AA2063" s="160">
        <v>1</v>
      </c>
    </row>
    <row r="2064" spans="1:27" ht="18" customHeight="1" x14ac:dyDescent="0.25">
      <c r="A2064" s="159">
        <v>4581</v>
      </c>
      <c r="B2064" s="157" t="s">
        <v>251</v>
      </c>
      <c r="C2064" s="157" t="s">
        <v>311</v>
      </c>
      <c r="D2064" s="159" t="s">
        <v>9668</v>
      </c>
      <c r="E2064" s="157" t="s">
        <v>9666</v>
      </c>
      <c r="F2064" s="157"/>
      <c r="G2064" s="157" t="s">
        <v>1321</v>
      </c>
      <c r="H2064" s="157" t="s">
        <v>1648</v>
      </c>
      <c r="I2064" s="157" t="s">
        <v>9687</v>
      </c>
      <c r="J2064" s="157" t="s">
        <v>1649</v>
      </c>
      <c r="K2064" s="157" t="s">
        <v>1269</v>
      </c>
      <c r="L2064" s="157" t="s">
        <v>9689</v>
      </c>
      <c r="M2064" s="157" t="str">
        <f t="shared" si="44"/>
        <v>Low Pressure Exhaust Gas Control Motor - Exhaust Gas Control - Low Pressure Side</v>
      </c>
      <c r="N2064" s="157"/>
      <c r="O2064" s="157"/>
      <c r="P2064" s="159" t="s">
        <v>2486</v>
      </c>
      <c r="Q2064" s="157"/>
      <c r="R2064" s="157"/>
      <c r="S2064" s="157"/>
      <c r="T2064" s="157"/>
      <c r="U2064" s="159" t="s">
        <v>2129</v>
      </c>
      <c r="V2064" s="159" t="s">
        <v>2138</v>
      </c>
      <c r="W2064" s="159" t="s">
        <v>2129</v>
      </c>
      <c r="X2064" s="160">
        <v>1</v>
      </c>
      <c r="Y2064" s="160">
        <v>1</v>
      </c>
      <c r="Z2064" s="160">
        <v>1</v>
      </c>
      <c r="AA2064" s="160">
        <v>1</v>
      </c>
    </row>
    <row r="2065" spans="1:27" ht="18" customHeight="1" x14ac:dyDescent="0.25">
      <c r="A2065" s="159">
        <v>4582</v>
      </c>
      <c r="B2065" s="157" t="s">
        <v>251</v>
      </c>
      <c r="C2065" s="157" t="s">
        <v>311</v>
      </c>
      <c r="D2065" s="159" t="s">
        <v>9667</v>
      </c>
      <c r="E2065" s="157" t="s">
        <v>9665</v>
      </c>
      <c r="F2065" s="157"/>
      <c r="G2065" s="157" t="s">
        <v>1321</v>
      </c>
      <c r="H2065" s="157" t="s">
        <v>1648</v>
      </c>
      <c r="I2065" s="157" t="s">
        <v>9690</v>
      </c>
      <c r="J2065" s="157" t="s">
        <v>1649</v>
      </c>
      <c r="K2065" s="157" t="s">
        <v>1269</v>
      </c>
      <c r="L2065" s="157" t="s">
        <v>9691</v>
      </c>
      <c r="M2065" s="157" t="str">
        <f t="shared" si="44"/>
        <v>Throttle Body Intake Control Motor - Intake Air Control</v>
      </c>
      <c r="N2065" s="157"/>
      <c r="O2065" s="157"/>
      <c r="P2065" s="159" t="s">
        <v>2394</v>
      </c>
      <c r="Q2065" s="157"/>
      <c r="R2065" s="157"/>
      <c r="S2065" s="157"/>
      <c r="T2065" s="157"/>
      <c r="U2065" s="159" t="s">
        <v>2138</v>
      </c>
      <c r="V2065" s="159" t="s">
        <v>2129</v>
      </c>
      <c r="W2065" s="159" t="s">
        <v>2129</v>
      </c>
      <c r="X2065" s="160">
        <v>1</v>
      </c>
      <c r="Y2065" s="160">
        <v>1</v>
      </c>
      <c r="Z2065" s="160">
        <v>1</v>
      </c>
      <c r="AA2065" s="160">
        <v>1</v>
      </c>
    </row>
    <row r="2066" spans="1:27" ht="18" customHeight="1" x14ac:dyDescent="0.25">
      <c r="A2066" s="159">
        <v>4582</v>
      </c>
      <c r="B2066" s="157" t="s">
        <v>251</v>
      </c>
      <c r="C2066" s="157" t="s">
        <v>311</v>
      </c>
      <c r="D2066" s="159" t="s">
        <v>9668</v>
      </c>
      <c r="E2066" s="157" t="s">
        <v>9666</v>
      </c>
      <c r="F2066" s="157"/>
      <c r="G2066" s="157" t="s">
        <v>1321</v>
      </c>
      <c r="H2066" s="157" t="s">
        <v>1648</v>
      </c>
      <c r="I2066" s="157" t="s">
        <v>9690</v>
      </c>
      <c r="J2066" s="157" t="s">
        <v>1649</v>
      </c>
      <c r="K2066" s="157" t="s">
        <v>1269</v>
      </c>
      <c r="L2066" s="157" t="s">
        <v>9691</v>
      </c>
      <c r="M2066" s="157" t="str">
        <f t="shared" si="44"/>
        <v>Throttle Body Intake Control Motor - Intake Air Control</v>
      </c>
      <c r="N2066" s="157"/>
      <c r="O2066" s="157"/>
      <c r="P2066" s="159" t="s">
        <v>2394</v>
      </c>
      <c r="Q2066" s="157"/>
      <c r="R2066" s="157"/>
      <c r="S2066" s="157"/>
      <c r="T2066" s="157"/>
      <c r="U2066" s="159" t="s">
        <v>2129</v>
      </c>
      <c r="V2066" s="159" t="s">
        <v>2138</v>
      </c>
      <c r="W2066" s="159" t="s">
        <v>2129</v>
      </c>
      <c r="X2066" s="160">
        <v>1</v>
      </c>
      <c r="Y2066" s="160">
        <v>1</v>
      </c>
      <c r="Z2066" s="160">
        <v>1</v>
      </c>
      <c r="AA2066" s="160">
        <v>1</v>
      </c>
    </row>
    <row r="2067" spans="1:27" ht="18" customHeight="1" x14ac:dyDescent="0.25">
      <c r="A2067" s="159">
        <v>4583</v>
      </c>
      <c r="B2067" s="157" t="s">
        <v>251</v>
      </c>
      <c r="C2067" s="157" t="s">
        <v>311</v>
      </c>
      <c r="D2067" s="159" t="s">
        <v>9667</v>
      </c>
      <c r="E2067" s="157" t="s">
        <v>9665</v>
      </c>
      <c r="F2067" s="157"/>
      <c r="G2067" s="157" t="s">
        <v>1321</v>
      </c>
      <c r="H2067" s="157" t="s">
        <v>1648</v>
      </c>
      <c r="I2067" s="157" t="s">
        <v>9685</v>
      </c>
      <c r="J2067" s="157" t="s">
        <v>1649</v>
      </c>
      <c r="K2067" s="157" t="s">
        <v>1312</v>
      </c>
      <c r="L2067" s="157" t="s">
        <v>9692</v>
      </c>
      <c r="M2067" s="157" t="str">
        <f t="shared" si="44"/>
        <v>Exhaust Gas Temperature Sensor - Exhaust Gas Admission Control</v>
      </c>
      <c r="N2067" s="157"/>
      <c r="O2067" s="157"/>
      <c r="P2067" s="159" t="s">
        <v>3436</v>
      </c>
      <c r="Q2067" s="157"/>
      <c r="R2067" s="157"/>
      <c r="S2067" s="157"/>
      <c r="T2067" s="157"/>
      <c r="U2067" s="159" t="s">
        <v>2138</v>
      </c>
      <c r="V2067" s="159" t="s">
        <v>2129</v>
      </c>
      <c r="W2067" s="159" t="s">
        <v>2129</v>
      </c>
      <c r="X2067" s="160">
        <v>1</v>
      </c>
      <c r="Y2067" s="160">
        <v>1</v>
      </c>
      <c r="Z2067" s="160">
        <v>1</v>
      </c>
      <c r="AA2067" s="160">
        <v>1</v>
      </c>
    </row>
    <row r="2068" spans="1:27" ht="18" customHeight="1" x14ac:dyDescent="0.25">
      <c r="A2068" s="159">
        <v>4584</v>
      </c>
      <c r="B2068" s="157" t="s">
        <v>251</v>
      </c>
      <c r="C2068" s="157" t="s">
        <v>311</v>
      </c>
      <c r="D2068" s="159" t="s">
        <v>9667</v>
      </c>
      <c r="E2068" s="157" t="s">
        <v>9665</v>
      </c>
      <c r="F2068" s="157"/>
      <c r="G2068" s="157" t="s">
        <v>1321</v>
      </c>
      <c r="H2068" s="157" t="s">
        <v>1648</v>
      </c>
      <c r="I2068" s="157" t="s">
        <v>9693</v>
      </c>
      <c r="J2068" s="157" t="s">
        <v>1649</v>
      </c>
      <c r="K2068" s="157" t="s">
        <v>1269</v>
      </c>
      <c r="L2068" s="157" t="s">
        <v>9694</v>
      </c>
      <c r="M2068" s="157" t="str">
        <f t="shared" si="44"/>
        <v>Fuel Admission Control Valve - Fuel Admission Control</v>
      </c>
      <c r="N2068" s="157"/>
      <c r="O2068" s="157"/>
      <c r="P2068" s="159" t="s">
        <v>2535</v>
      </c>
      <c r="Q2068" s="157"/>
      <c r="R2068" s="157"/>
      <c r="S2068" s="157"/>
      <c r="T2068" s="157"/>
      <c r="U2068" s="159" t="s">
        <v>2138</v>
      </c>
      <c r="V2068" s="159" t="s">
        <v>2129</v>
      </c>
      <c r="W2068" s="159" t="s">
        <v>2129</v>
      </c>
      <c r="X2068" s="160">
        <v>0.6</v>
      </c>
      <c r="Y2068" s="160">
        <v>0.6</v>
      </c>
      <c r="Z2068" s="160">
        <v>0.6</v>
      </c>
      <c r="AA2068" s="160">
        <v>0.6</v>
      </c>
    </row>
    <row r="2069" spans="1:27" ht="18" customHeight="1" x14ac:dyDescent="0.25">
      <c r="A2069" s="159">
        <v>4584</v>
      </c>
      <c r="B2069" s="157" t="s">
        <v>251</v>
      </c>
      <c r="C2069" s="157" t="s">
        <v>311</v>
      </c>
      <c r="D2069" s="159" t="s">
        <v>9668</v>
      </c>
      <c r="E2069" s="157" t="s">
        <v>9666</v>
      </c>
      <c r="F2069" s="157"/>
      <c r="G2069" s="157" t="s">
        <v>1321</v>
      </c>
      <c r="H2069" s="157" t="s">
        <v>1648</v>
      </c>
      <c r="I2069" s="157" t="s">
        <v>9693</v>
      </c>
      <c r="J2069" s="157" t="s">
        <v>1649</v>
      </c>
      <c r="K2069" s="157" t="s">
        <v>1269</v>
      </c>
      <c r="L2069" s="157" t="s">
        <v>9694</v>
      </c>
      <c r="M2069" s="157" t="str">
        <f t="shared" si="44"/>
        <v>Fuel Admission Control Valve - Fuel Admission Control</v>
      </c>
      <c r="N2069" s="157"/>
      <c r="O2069" s="157"/>
      <c r="P2069" s="159" t="s">
        <v>2535</v>
      </c>
      <c r="Q2069" s="157"/>
      <c r="R2069" s="157"/>
      <c r="S2069" s="157"/>
      <c r="T2069" s="157"/>
      <c r="U2069" s="159" t="s">
        <v>2129</v>
      </c>
      <c r="V2069" s="159" t="s">
        <v>2138</v>
      </c>
      <c r="W2069" s="159" t="s">
        <v>2129</v>
      </c>
      <c r="X2069" s="160">
        <v>0.6</v>
      </c>
      <c r="Y2069" s="160">
        <v>0.6</v>
      </c>
      <c r="Z2069" s="160">
        <v>0.6</v>
      </c>
      <c r="AA2069" s="160">
        <v>0.6</v>
      </c>
    </row>
    <row r="2070" spans="1:27" ht="18" customHeight="1" x14ac:dyDescent="0.25">
      <c r="A2070" s="159">
        <v>4585</v>
      </c>
      <c r="B2070" s="157" t="s">
        <v>251</v>
      </c>
      <c r="C2070" s="157" t="s">
        <v>311</v>
      </c>
      <c r="D2070" s="159" t="s">
        <v>9667</v>
      </c>
      <c r="E2070" s="157" t="s">
        <v>9665</v>
      </c>
      <c r="F2070" s="157"/>
      <c r="G2070" s="157" t="s">
        <v>1321</v>
      </c>
      <c r="H2070" s="157" t="s">
        <v>1648</v>
      </c>
      <c r="I2070" s="157" t="s">
        <v>9695</v>
      </c>
      <c r="J2070" s="157" t="s">
        <v>1649</v>
      </c>
      <c r="K2070" s="157" t="s">
        <v>1312</v>
      </c>
      <c r="L2070" s="157" t="s">
        <v>9695</v>
      </c>
      <c r="M2070" s="157" t="str">
        <f t="shared" si="44"/>
        <v>Motorhead Temperature Sensor - Motorhead Temperature Sensor</v>
      </c>
      <c r="N2070" s="157"/>
      <c r="O2070" s="157"/>
      <c r="P2070" s="159" t="s">
        <v>2925</v>
      </c>
      <c r="Q2070" s="157"/>
      <c r="R2070" s="157"/>
      <c r="S2070" s="157"/>
      <c r="T2070" s="157"/>
      <c r="U2070" s="159" t="s">
        <v>2138</v>
      </c>
      <c r="V2070" s="159" t="s">
        <v>2129</v>
      </c>
      <c r="W2070" s="159" t="s">
        <v>2129</v>
      </c>
      <c r="X2070" s="160">
        <v>1</v>
      </c>
      <c r="Y2070" s="160">
        <v>1</v>
      </c>
      <c r="Z2070" s="160">
        <v>1</v>
      </c>
      <c r="AA2070" s="160">
        <v>1</v>
      </c>
    </row>
    <row r="2071" spans="1:27" ht="18" customHeight="1" x14ac:dyDescent="0.25">
      <c r="A2071" s="159">
        <v>4585</v>
      </c>
      <c r="B2071" s="157" t="s">
        <v>251</v>
      </c>
      <c r="C2071" s="157" t="s">
        <v>311</v>
      </c>
      <c r="D2071" s="159" t="s">
        <v>9668</v>
      </c>
      <c r="E2071" s="157" t="s">
        <v>9666</v>
      </c>
      <c r="F2071" s="157"/>
      <c r="G2071" s="157" t="s">
        <v>1321</v>
      </c>
      <c r="H2071" s="157" t="s">
        <v>1648</v>
      </c>
      <c r="I2071" s="157" t="s">
        <v>9695</v>
      </c>
      <c r="J2071" s="157" t="s">
        <v>1649</v>
      </c>
      <c r="K2071" s="157" t="s">
        <v>1312</v>
      </c>
      <c r="L2071" s="157" t="s">
        <v>9695</v>
      </c>
      <c r="M2071" s="157" t="str">
        <f t="shared" si="44"/>
        <v>Motorhead Temperature Sensor - Motorhead Temperature Sensor</v>
      </c>
      <c r="N2071" s="157"/>
      <c r="O2071" s="157"/>
      <c r="P2071" s="159" t="s">
        <v>2925</v>
      </c>
      <c r="Q2071" s="157"/>
      <c r="R2071" s="157"/>
      <c r="S2071" s="157"/>
      <c r="T2071" s="157"/>
      <c r="U2071" s="159" t="s">
        <v>2129</v>
      </c>
      <c r="V2071" s="159" t="s">
        <v>2138</v>
      </c>
      <c r="W2071" s="159" t="s">
        <v>2129</v>
      </c>
      <c r="X2071" s="160">
        <v>1</v>
      </c>
      <c r="Y2071" s="160">
        <v>1</v>
      </c>
      <c r="Z2071" s="160">
        <v>1</v>
      </c>
      <c r="AA2071" s="160">
        <v>1</v>
      </c>
    </row>
    <row r="2072" spans="1:27" ht="18" customHeight="1" x14ac:dyDescent="0.25">
      <c r="A2072" s="159">
        <v>4586</v>
      </c>
      <c r="B2072" s="157" t="s">
        <v>251</v>
      </c>
      <c r="C2072" s="157" t="s">
        <v>311</v>
      </c>
      <c r="D2072" s="159" t="s">
        <v>9667</v>
      </c>
      <c r="E2072" s="157" t="s">
        <v>9665</v>
      </c>
      <c r="F2072" s="157"/>
      <c r="G2072" s="157" t="s">
        <v>1321</v>
      </c>
      <c r="H2072" s="157" t="s">
        <v>1648</v>
      </c>
      <c r="I2072" s="157" t="s">
        <v>9696</v>
      </c>
      <c r="J2072" s="157" t="s">
        <v>1649</v>
      </c>
      <c r="K2072" s="157" t="s">
        <v>1312</v>
      </c>
      <c r="L2072" s="157" t="s">
        <v>9696</v>
      </c>
      <c r="M2072" s="157" t="str">
        <f t="shared" si="44"/>
        <v>Camshaft Chamber Temperature Sensor - Camshaft Chamber Temperature Sensor</v>
      </c>
      <c r="N2072" s="157"/>
      <c r="O2072" s="157"/>
      <c r="P2072" s="159" t="s">
        <v>2925</v>
      </c>
      <c r="Q2072" s="157"/>
      <c r="R2072" s="157"/>
      <c r="S2072" s="157"/>
      <c r="T2072" s="157"/>
      <c r="U2072" s="159" t="s">
        <v>2138</v>
      </c>
      <c r="V2072" s="159" t="s">
        <v>2129</v>
      </c>
      <c r="W2072" s="159" t="s">
        <v>2129</v>
      </c>
      <c r="X2072" s="160">
        <v>1</v>
      </c>
      <c r="Y2072" s="160">
        <v>1</v>
      </c>
      <c r="Z2072" s="160">
        <v>1</v>
      </c>
      <c r="AA2072" s="160">
        <v>1</v>
      </c>
    </row>
    <row r="2073" spans="1:27" ht="18" customHeight="1" x14ac:dyDescent="0.25">
      <c r="A2073" s="159">
        <v>4586</v>
      </c>
      <c r="B2073" s="157" t="s">
        <v>251</v>
      </c>
      <c r="C2073" s="157" t="s">
        <v>311</v>
      </c>
      <c r="D2073" s="159" t="s">
        <v>9668</v>
      </c>
      <c r="E2073" s="157" t="s">
        <v>9666</v>
      </c>
      <c r="F2073" s="157"/>
      <c r="G2073" s="157" t="s">
        <v>1321</v>
      </c>
      <c r="H2073" s="157" t="s">
        <v>1648</v>
      </c>
      <c r="I2073" s="157" t="s">
        <v>9696</v>
      </c>
      <c r="J2073" s="157" t="s">
        <v>1649</v>
      </c>
      <c r="K2073" s="157" t="s">
        <v>1312</v>
      </c>
      <c r="L2073" s="157" t="s">
        <v>9696</v>
      </c>
      <c r="M2073" s="157" t="str">
        <f t="shared" si="44"/>
        <v>Camshaft Chamber Temperature Sensor - Camshaft Chamber Temperature Sensor</v>
      </c>
      <c r="N2073" s="157"/>
      <c r="O2073" s="157"/>
      <c r="P2073" s="159" t="s">
        <v>2925</v>
      </c>
      <c r="Q2073" s="157"/>
      <c r="R2073" s="157"/>
      <c r="S2073" s="157"/>
      <c r="T2073" s="157"/>
      <c r="U2073" s="159" t="s">
        <v>2129</v>
      </c>
      <c r="V2073" s="159" t="s">
        <v>2138</v>
      </c>
      <c r="W2073" s="159" t="s">
        <v>2129</v>
      </c>
      <c r="X2073" s="160">
        <v>1</v>
      </c>
      <c r="Y2073" s="160">
        <v>1</v>
      </c>
      <c r="Z2073" s="160">
        <v>1</v>
      </c>
      <c r="AA2073" s="160">
        <v>1</v>
      </c>
    </row>
    <row r="2074" spans="1:27" ht="18" customHeight="1" x14ac:dyDescent="0.25">
      <c r="A2074" s="159">
        <v>4587</v>
      </c>
      <c r="B2074" s="157" t="s">
        <v>251</v>
      </c>
      <c r="C2074" s="157" t="s">
        <v>311</v>
      </c>
      <c r="D2074" s="159" t="s">
        <v>9668</v>
      </c>
      <c r="E2074" s="157" t="s">
        <v>9666</v>
      </c>
      <c r="F2074" s="157"/>
      <c r="G2074" s="157" t="s">
        <v>1321</v>
      </c>
      <c r="H2074" s="157" t="s">
        <v>1648</v>
      </c>
      <c r="I2074" s="157" t="s">
        <v>9697</v>
      </c>
      <c r="J2074" s="157" t="s">
        <v>1649</v>
      </c>
      <c r="K2074" s="157" t="s">
        <v>1312</v>
      </c>
      <c r="L2074" s="157" t="s">
        <v>9697</v>
      </c>
      <c r="M2074" s="157" t="str">
        <f t="shared" si="44"/>
        <v>Intercooler Temperature Sensor - Intercooler Temperature Sensor</v>
      </c>
      <c r="N2074" s="157"/>
      <c r="O2074" s="157"/>
      <c r="P2074" s="159" t="s">
        <v>3434</v>
      </c>
      <c r="Q2074" s="157"/>
      <c r="R2074" s="157"/>
      <c r="S2074" s="157"/>
      <c r="T2074" s="157"/>
      <c r="U2074" s="159" t="s">
        <v>2129</v>
      </c>
      <c r="V2074" s="159" t="s">
        <v>2138</v>
      </c>
      <c r="W2074" s="159" t="s">
        <v>2129</v>
      </c>
      <c r="X2074" s="160">
        <v>1</v>
      </c>
      <c r="Y2074" s="160">
        <v>1</v>
      </c>
      <c r="Z2074" s="160">
        <v>1</v>
      </c>
      <c r="AA2074" s="160">
        <v>1</v>
      </c>
    </row>
    <row r="2075" spans="1:27" ht="18" customHeight="1" x14ac:dyDescent="0.25">
      <c r="A2075" s="159">
        <v>4588</v>
      </c>
      <c r="B2075" s="157" t="s">
        <v>251</v>
      </c>
      <c r="C2075" s="157" t="s">
        <v>311</v>
      </c>
      <c r="D2075" s="159" t="s">
        <v>9667</v>
      </c>
      <c r="E2075" s="157" t="s">
        <v>9665</v>
      </c>
      <c r="F2075" s="157"/>
      <c r="G2075" s="157" t="s">
        <v>1321</v>
      </c>
      <c r="H2075" s="157" t="s">
        <v>1648</v>
      </c>
      <c r="I2075" s="157" t="s">
        <v>9698</v>
      </c>
      <c r="J2075" s="157" t="s">
        <v>1649</v>
      </c>
      <c r="K2075" s="157" t="s">
        <v>1312</v>
      </c>
      <c r="L2075" s="157" t="s">
        <v>9699</v>
      </c>
      <c r="M2075" s="157" t="str">
        <f t="shared" si="44"/>
        <v>Admitted Air Temperature Sensor - Admitted Air Temperature</v>
      </c>
      <c r="N2075" s="157"/>
      <c r="O2075" s="157"/>
      <c r="P2075" s="159" t="s">
        <v>2393</v>
      </c>
      <c r="Q2075" s="157"/>
      <c r="R2075" s="157"/>
      <c r="S2075" s="157"/>
      <c r="T2075" s="157"/>
      <c r="U2075" s="159" t="s">
        <v>2138</v>
      </c>
      <c r="V2075" s="159" t="s">
        <v>2129</v>
      </c>
      <c r="W2075" s="159" t="s">
        <v>2129</v>
      </c>
      <c r="X2075" s="160">
        <v>1</v>
      </c>
      <c r="Y2075" s="160">
        <v>1</v>
      </c>
      <c r="Z2075" s="160">
        <v>1</v>
      </c>
      <c r="AA2075" s="160">
        <v>1</v>
      </c>
    </row>
    <row r="2076" spans="1:27" ht="18" customHeight="1" x14ac:dyDescent="0.25">
      <c r="A2076" s="159">
        <v>4588</v>
      </c>
      <c r="B2076" s="157" t="s">
        <v>251</v>
      </c>
      <c r="C2076" s="157" t="s">
        <v>311</v>
      </c>
      <c r="D2076" s="159" t="s">
        <v>9668</v>
      </c>
      <c r="E2076" s="157" t="s">
        <v>9666</v>
      </c>
      <c r="F2076" s="157"/>
      <c r="G2076" s="157" t="s">
        <v>1321</v>
      </c>
      <c r="H2076" s="157" t="s">
        <v>1648</v>
      </c>
      <c r="I2076" s="157" t="s">
        <v>9698</v>
      </c>
      <c r="J2076" s="157" t="s">
        <v>1649</v>
      </c>
      <c r="K2076" s="157" t="s">
        <v>1312</v>
      </c>
      <c r="L2076" s="157" t="s">
        <v>9699</v>
      </c>
      <c r="M2076" s="157" t="str">
        <f t="shared" si="44"/>
        <v>Admitted Air Temperature Sensor - Admitted Air Temperature</v>
      </c>
      <c r="N2076" s="157"/>
      <c r="O2076" s="157"/>
      <c r="P2076" s="159" t="s">
        <v>2393</v>
      </c>
      <c r="Q2076" s="157"/>
      <c r="R2076" s="157"/>
      <c r="S2076" s="157"/>
      <c r="T2076" s="157"/>
      <c r="U2076" s="159" t="s">
        <v>2129</v>
      </c>
      <c r="V2076" s="159" t="s">
        <v>2138</v>
      </c>
      <c r="W2076" s="159" t="s">
        <v>2129</v>
      </c>
      <c r="X2076" s="160">
        <v>1</v>
      </c>
      <c r="Y2076" s="160">
        <v>1</v>
      </c>
      <c r="Z2076" s="160">
        <v>1</v>
      </c>
      <c r="AA2076" s="160">
        <v>1</v>
      </c>
    </row>
    <row r="2077" spans="1:27" ht="18" customHeight="1" x14ac:dyDescent="0.25">
      <c r="A2077" s="159">
        <v>4589</v>
      </c>
      <c r="B2077" s="157" t="s">
        <v>251</v>
      </c>
      <c r="C2077" s="157" t="s">
        <v>311</v>
      </c>
      <c r="D2077" s="159" t="s">
        <v>9668</v>
      </c>
      <c r="E2077" s="157" t="s">
        <v>9666</v>
      </c>
      <c r="F2077" s="157"/>
      <c r="G2077" s="157" t="s">
        <v>1321</v>
      </c>
      <c r="H2077" s="157" t="s">
        <v>1648</v>
      </c>
      <c r="I2077" s="157" t="s">
        <v>9700</v>
      </c>
      <c r="J2077" s="157" t="s">
        <v>1649</v>
      </c>
      <c r="K2077" s="157" t="s">
        <v>1312</v>
      </c>
      <c r="L2077" s="157" t="s">
        <v>9703</v>
      </c>
      <c r="M2077" s="157" t="str">
        <f t="shared" si="44"/>
        <v>Exhaust Gas Temperature Front Sensor - Exhaust Gas Temperature Front</v>
      </c>
      <c r="N2077" s="157"/>
      <c r="O2077" s="157"/>
      <c r="P2077" s="159" t="s">
        <v>3380</v>
      </c>
      <c r="Q2077" s="157"/>
      <c r="R2077" s="157"/>
      <c r="S2077" s="157"/>
      <c r="T2077" s="157"/>
      <c r="U2077" s="159" t="s">
        <v>2129</v>
      </c>
      <c r="V2077" s="159" t="s">
        <v>2138</v>
      </c>
      <c r="W2077" s="159" t="s">
        <v>2129</v>
      </c>
      <c r="X2077" s="160">
        <v>1</v>
      </c>
      <c r="Y2077" s="160">
        <v>1</v>
      </c>
      <c r="Z2077" s="160">
        <v>1</v>
      </c>
      <c r="AA2077" s="160">
        <v>1</v>
      </c>
    </row>
    <row r="2078" spans="1:27" ht="18" customHeight="1" x14ac:dyDescent="0.25">
      <c r="A2078" s="159">
        <v>4590</v>
      </c>
      <c r="B2078" s="157" t="s">
        <v>251</v>
      </c>
      <c r="C2078" s="157" t="s">
        <v>311</v>
      </c>
      <c r="D2078" s="159" t="s">
        <v>9667</v>
      </c>
      <c r="E2078" s="157" t="s">
        <v>9665</v>
      </c>
      <c r="F2078" s="157"/>
      <c r="G2078" s="157" t="s">
        <v>1321</v>
      </c>
      <c r="H2078" s="157" t="s">
        <v>1648</v>
      </c>
      <c r="I2078" s="157" t="s">
        <v>9701</v>
      </c>
      <c r="J2078" s="157" t="s">
        <v>1649</v>
      </c>
      <c r="K2078" s="157" t="s">
        <v>1312</v>
      </c>
      <c r="L2078" s="157" t="s">
        <v>9704</v>
      </c>
      <c r="M2078" s="157" t="str">
        <f t="shared" si="44"/>
        <v>Exhaust Gas Temperature Mid Sensor - Exhaust Gas Temperature Mid</v>
      </c>
      <c r="N2078" s="157"/>
      <c r="O2078" s="157"/>
      <c r="P2078" s="159" t="s">
        <v>2201</v>
      </c>
      <c r="Q2078" s="157"/>
      <c r="R2078" s="157"/>
      <c r="S2078" s="157"/>
      <c r="T2078" s="157"/>
      <c r="U2078" s="159" t="s">
        <v>2138</v>
      </c>
      <c r="V2078" s="159" t="s">
        <v>2129</v>
      </c>
      <c r="W2078" s="159" t="s">
        <v>2129</v>
      </c>
      <c r="X2078" s="160">
        <v>1</v>
      </c>
      <c r="Y2078" s="160">
        <v>1</v>
      </c>
      <c r="Z2078" s="160">
        <v>1</v>
      </c>
      <c r="AA2078" s="160">
        <v>1</v>
      </c>
    </row>
    <row r="2079" spans="1:27" ht="18" customHeight="1" x14ac:dyDescent="0.25">
      <c r="A2079" s="159">
        <v>4590</v>
      </c>
      <c r="B2079" s="157" t="s">
        <v>251</v>
      </c>
      <c r="C2079" s="157" t="s">
        <v>311</v>
      </c>
      <c r="D2079" s="159" t="s">
        <v>9668</v>
      </c>
      <c r="E2079" s="157" t="s">
        <v>9666</v>
      </c>
      <c r="F2079" s="157"/>
      <c r="G2079" s="157" t="s">
        <v>1321</v>
      </c>
      <c r="H2079" s="157" t="s">
        <v>1648</v>
      </c>
      <c r="I2079" s="157" t="s">
        <v>9701</v>
      </c>
      <c r="J2079" s="157" t="s">
        <v>1649</v>
      </c>
      <c r="K2079" s="157" t="s">
        <v>1312</v>
      </c>
      <c r="L2079" s="157" t="s">
        <v>9704</v>
      </c>
      <c r="M2079" s="157" t="str">
        <f t="shared" si="44"/>
        <v>Exhaust Gas Temperature Mid Sensor - Exhaust Gas Temperature Mid</v>
      </c>
      <c r="N2079" s="157"/>
      <c r="O2079" s="157"/>
      <c r="P2079" s="159" t="s">
        <v>2201</v>
      </c>
      <c r="Q2079" s="157"/>
      <c r="R2079" s="157"/>
      <c r="S2079" s="157"/>
      <c r="T2079" s="157"/>
      <c r="U2079" s="159" t="s">
        <v>2129</v>
      </c>
      <c r="V2079" s="159" t="s">
        <v>2138</v>
      </c>
      <c r="W2079" s="159" t="s">
        <v>2129</v>
      </c>
      <c r="X2079" s="160">
        <v>1</v>
      </c>
      <c r="Y2079" s="160">
        <v>1</v>
      </c>
      <c r="Z2079" s="160">
        <v>1</v>
      </c>
      <c r="AA2079" s="160">
        <v>1</v>
      </c>
    </row>
    <row r="2080" spans="1:27" ht="18" customHeight="1" x14ac:dyDescent="0.25">
      <c r="A2080" s="159">
        <v>4591</v>
      </c>
      <c r="B2080" s="157" t="s">
        <v>251</v>
      </c>
      <c r="C2080" s="157" t="s">
        <v>311</v>
      </c>
      <c r="D2080" s="159" t="s">
        <v>9667</v>
      </c>
      <c r="E2080" s="157" t="s">
        <v>9665</v>
      </c>
      <c r="F2080" s="157"/>
      <c r="G2080" s="157" t="s">
        <v>1321</v>
      </c>
      <c r="H2080" s="157" t="s">
        <v>1648</v>
      </c>
      <c r="I2080" s="157" t="s">
        <v>9702</v>
      </c>
      <c r="J2080" s="157" t="s">
        <v>1649</v>
      </c>
      <c r="K2080" s="157" t="s">
        <v>1312</v>
      </c>
      <c r="L2080" s="157" t="s">
        <v>9705</v>
      </c>
      <c r="M2080" s="157" t="str">
        <f t="shared" si="44"/>
        <v>Exhaust Gas Temperature Rear Sensor - Exhaust Gas Temperature Rear</v>
      </c>
      <c r="N2080" s="157"/>
      <c r="O2080" s="157"/>
      <c r="P2080" s="159" t="s">
        <v>4503</v>
      </c>
      <c r="Q2080" s="157"/>
      <c r="R2080" s="157"/>
      <c r="S2080" s="157"/>
      <c r="T2080" s="157"/>
      <c r="U2080" s="159" t="s">
        <v>2138</v>
      </c>
      <c r="V2080" s="159" t="s">
        <v>2129</v>
      </c>
      <c r="W2080" s="159" t="s">
        <v>2129</v>
      </c>
      <c r="X2080" s="160">
        <v>1</v>
      </c>
      <c r="Y2080" s="160">
        <v>1</v>
      </c>
      <c r="Z2080" s="160">
        <v>1</v>
      </c>
      <c r="AA2080" s="160">
        <v>1</v>
      </c>
    </row>
    <row r="2081" spans="1:27" ht="18" customHeight="1" x14ac:dyDescent="0.25">
      <c r="A2081" s="159">
        <v>4591</v>
      </c>
      <c r="B2081" s="157" t="s">
        <v>251</v>
      </c>
      <c r="C2081" s="157" t="s">
        <v>311</v>
      </c>
      <c r="D2081" s="159" t="s">
        <v>9668</v>
      </c>
      <c r="E2081" s="157" t="s">
        <v>9666</v>
      </c>
      <c r="F2081" s="157"/>
      <c r="G2081" s="157" t="s">
        <v>1321</v>
      </c>
      <c r="H2081" s="157" t="s">
        <v>1648</v>
      </c>
      <c r="I2081" s="157" t="s">
        <v>9702</v>
      </c>
      <c r="J2081" s="157" t="s">
        <v>1649</v>
      </c>
      <c r="K2081" s="157" t="s">
        <v>1312</v>
      </c>
      <c r="L2081" s="157" t="s">
        <v>9705</v>
      </c>
      <c r="M2081" s="157" t="str">
        <f t="shared" si="44"/>
        <v>Exhaust Gas Temperature Rear Sensor - Exhaust Gas Temperature Rear</v>
      </c>
      <c r="N2081" s="157"/>
      <c r="O2081" s="157"/>
      <c r="P2081" s="159" t="s">
        <v>4503</v>
      </c>
      <c r="Q2081" s="157"/>
      <c r="R2081" s="157"/>
      <c r="S2081" s="157"/>
      <c r="T2081" s="157"/>
      <c r="U2081" s="159" t="s">
        <v>2129</v>
      </c>
      <c r="V2081" s="159" t="s">
        <v>2138</v>
      </c>
      <c r="W2081" s="159" t="s">
        <v>2129</v>
      </c>
      <c r="X2081" s="160">
        <v>1</v>
      </c>
      <c r="Y2081" s="160">
        <v>1</v>
      </c>
      <c r="Z2081" s="160">
        <v>1</v>
      </c>
      <c r="AA2081" s="160">
        <v>1</v>
      </c>
    </row>
    <row r="2082" spans="1:27" ht="18" customHeight="1" x14ac:dyDescent="0.25">
      <c r="A2082" s="159">
        <v>4592</v>
      </c>
      <c r="B2082" s="157" t="s">
        <v>251</v>
      </c>
      <c r="C2082" s="157" t="s">
        <v>311</v>
      </c>
      <c r="D2082" s="159" t="s">
        <v>9667</v>
      </c>
      <c r="E2082" s="157" t="s">
        <v>9665</v>
      </c>
      <c r="F2082" s="157"/>
      <c r="G2082" s="157" t="s">
        <v>1321</v>
      </c>
      <c r="H2082" s="157" t="s">
        <v>1648</v>
      </c>
      <c r="I2082" s="157" t="s">
        <v>9725</v>
      </c>
      <c r="J2082" s="157" t="s">
        <v>1649</v>
      </c>
      <c r="K2082" s="157" t="s">
        <v>1312</v>
      </c>
      <c r="L2082" s="157" t="s">
        <v>9706</v>
      </c>
      <c r="M2082" s="157" t="str">
        <f t="shared" si="44"/>
        <v>Oil Pressure Sensor - Engine Oil Pressure</v>
      </c>
      <c r="N2082" s="157"/>
      <c r="O2082" s="157"/>
      <c r="P2082" s="159" t="s">
        <v>2808</v>
      </c>
      <c r="Q2082" s="157"/>
      <c r="R2082" s="157"/>
      <c r="S2082" s="157"/>
      <c r="T2082" s="157"/>
      <c r="U2082" s="159" t="s">
        <v>2138</v>
      </c>
      <c r="V2082" s="159" t="s">
        <v>2129</v>
      </c>
      <c r="W2082" s="159" t="s">
        <v>2129</v>
      </c>
      <c r="X2082" s="160">
        <v>1</v>
      </c>
      <c r="Y2082" s="160">
        <v>1</v>
      </c>
      <c r="Z2082" s="160">
        <v>1</v>
      </c>
      <c r="AA2082" s="160">
        <v>1</v>
      </c>
    </row>
    <row r="2083" spans="1:27" ht="18" customHeight="1" x14ac:dyDescent="0.25">
      <c r="A2083" s="159">
        <v>4592</v>
      </c>
      <c r="B2083" s="157" t="s">
        <v>251</v>
      </c>
      <c r="C2083" s="157" t="s">
        <v>311</v>
      </c>
      <c r="D2083" s="159" t="s">
        <v>9668</v>
      </c>
      <c r="E2083" s="157" t="s">
        <v>9666</v>
      </c>
      <c r="F2083" s="157"/>
      <c r="G2083" s="157" t="s">
        <v>1321</v>
      </c>
      <c r="H2083" s="157" t="s">
        <v>1648</v>
      </c>
      <c r="I2083" s="157" t="s">
        <v>9725</v>
      </c>
      <c r="J2083" s="157" t="s">
        <v>1649</v>
      </c>
      <c r="K2083" s="157" t="s">
        <v>1312</v>
      </c>
      <c r="L2083" s="157" t="s">
        <v>9706</v>
      </c>
      <c r="M2083" s="157" t="str">
        <f t="shared" si="44"/>
        <v>Oil Pressure Sensor - Engine Oil Pressure</v>
      </c>
      <c r="N2083" s="157"/>
      <c r="O2083" s="157"/>
      <c r="P2083" s="159" t="s">
        <v>2808</v>
      </c>
      <c r="Q2083" s="157"/>
      <c r="R2083" s="157"/>
      <c r="S2083" s="157"/>
      <c r="T2083" s="157"/>
      <c r="U2083" s="159" t="s">
        <v>2129</v>
      </c>
      <c r="V2083" s="159" t="s">
        <v>2138</v>
      </c>
      <c r="W2083" s="159" t="s">
        <v>2129</v>
      </c>
      <c r="X2083" s="160">
        <v>1</v>
      </c>
      <c r="Y2083" s="160">
        <v>1</v>
      </c>
      <c r="Z2083" s="160">
        <v>1</v>
      </c>
      <c r="AA2083" s="160">
        <v>1</v>
      </c>
    </row>
    <row r="2084" spans="1:27" ht="18" customHeight="1" x14ac:dyDescent="0.25">
      <c r="A2084" s="159">
        <v>4593</v>
      </c>
      <c r="B2084" s="157" t="s">
        <v>251</v>
      </c>
      <c r="C2084" s="157" t="s">
        <v>311</v>
      </c>
      <c r="D2084" s="159" t="s">
        <v>9667</v>
      </c>
      <c r="E2084" s="157" t="s">
        <v>9665</v>
      </c>
      <c r="F2084" s="157"/>
      <c r="G2084" s="157" t="s">
        <v>1321</v>
      </c>
      <c r="H2084" s="157" t="s">
        <v>1648</v>
      </c>
      <c r="I2084" s="157" t="s">
        <v>9707</v>
      </c>
      <c r="J2084" s="157" t="s">
        <v>1649</v>
      </c>
      <c r="K2084" s="157" t="s">
        <v>1312</v>
      </c>
      <c r="L2084" s="157" t="s">
        <v>9708</v>
      </c>
      <c r="M2084" s="157" t="str">
        <f t="shared" si="44"/>
        <v>Exhaust Gas Pressure Sensor - Exhaust Gas Pressure</v>
      </c>
      <c r="N2084" s="157"/>
      <c r="O2084" s="157"/>
      <c r="P2084" s="159" t="s">
        <v>2953</v>
      </c>
      <c r="Q2084" s="157"/>
      <c r="R2084" s="157"/>
      <c r="S2084" s="157"/>
      <c r="T2084" s="157"/>
      <c r="U2084" s="159" t="s">
        <v>2138</v>
      </c>
      <c r="V2084" s="159" t="s">
        <v>2129</v>
      </c>
      <c r="W2084" s="159" t="s">
        <v>2129</v>
      </c>
      <c r="X2084" s="160">
        <v>1</v>
      </c>
      <c r="Y2084" s="160">
        <v>1</v>
      </c>
      <c r="Z2084" s="160">
        <v>1</v>
      </c>
      <c r="AA2084" s="160">
        <v>1</v>
      </c>
    </row>
    <row r="2085" spans="1:27" ht="18" customHeight="1" x14ac:dyDescent="0.25">
      <c r="A2085" s="159">
        <v>4593</v>
      </c>
      <c r="B2085" s="157" t="s">
        <v>251</v>
      </c>
      <c r="C2085" s="157" t="s">
        <v>311</v>
      </c>
      <c r="D2085" s="159" t="s">
        <v>9668</v>
      </c>
      <c r="E2085" s="157" t="s">
        <v>9666</v>
      </c>
      <c r="F2085" s="157"/>
      <c r="G2085" s="157" t="s">
        <v>1321</v>
      </c>
      <c r="H2085" s="157" t="s">
        <v>1648</v>
      </c>
      <c r="I2085" s="157" t="s">
        <v>9707</v>
      </c>
      <c r="J2085" s="157" t="s">
        <v>1649</v>
      </c>
      <c r="K2085" s="157" t="s">
        <v>1312</v>
      </c>
      <c r="L2085" s="157" t="s">
        <v>9708</v>
      </c>
      <c r="M2085" s="157" t="str">
        <f t="shared" si="44"/>
        <v>Exhaust Gas Pressure Sensor - Exhaust Gas Pressure</v>
      </c>
      <c r="N2085" s="157"/>
      <c r="O2085" s="157"/>
      <c r="P2085" s="159" t="s">
        <v>2953</v>
      </c>
      <c r="Q2085" s="157"/>
      <c r="R2085" s="157"/>
      <c r="S2085" s="157"/>
      <c r="T2085" s="157"/>
      <c r="U2085" s="159" t="s">
        <v>2129</v>
      </c>
      <c r="V2085" s="159" t="s">
        <v>2138</v>
      </c>
      <c r="W2085" s="159" t="s">
        <v>2129</v>
      </c>
      <c r="X2085" s="160">
        <v>1</v>
      </c>
      <c r="Y2085" s="160">
        <v>1</v>
      </c>
      <c r="Z2085" s="160">
        <v>1</v>
      </c>
      <c r="AA2085" s="160">
        <v>1</v>
      </c>
    </row>
    <row r="2086" spans="1:27" ht="18" customHeight="1" x14ac:dyDescent="0.25">
      <c r="A2086" s="159">
        <v>4594</v>
      </c>
      <c r="B2086" s="157" t="s">
        <v>251</v>
      </c>
      <c r="C2086" s="157" t="s">
        <v>311</v>
      </c>
      <c r="D2086" s="159" t="s">
        <v>9667</v>
      </c>
      <c r="E2086" s="157" t="s">
        <v>9665</v>
      </c>
      <c r="F2086" s="157"/>
      <c r="G2086" s="157" t="s">
        <v>1321</v>
      </c>
      <c r="H2086" s="157" t="s">
        <v>1648</v>
      </c>
      <c r="I2086" s="157" t="s">
        <v>9709</v>
      </c>
      <c r="J2086" s="157" t="s">
        <v>1649</v>
      </c>
      <c r="K2086" s="157" t="s">
        <v>1269</v>
      </c>
      <c r="L2086" s="157" t="s">
        <v>9710</v>
      </c>
      <c r="M2086" s="157" t="str">
        <f t="shared" si="44"/>
        <v>Fuel Pressure Control Valve - Fuel Pressure Control</v>
      </c>
      <c r="N2086" s="157"/>
      <c r="O2086" s="157"/>
      <c r="P2086" s="159" t="s">
        <v>2386</v>
      </c>
      <c r="Q2086" s="157"/>
      <c r="R2086" s="157"/>
      <c r="S2086" s="157"/>
      <c r="T2086" s="157"/>
      <c r="U2086" s="159" t="s">
        <v>2138</v>
      </c>
      <c r="V2086" s="159" t="s">
        <v>2129</v>
      </c>
      <c r="W2086" s="159" t="s">
        <v>2129</v>
      </c>
      <c r="X2086" s="160">
        <v>0.1</v>
      </c>
      <c r="Y2086" s="160">
        <v>0.1</v>
      </c>
      <c r="Z2086" s="160">
        <v>0.1</v>
      </c>
      <c r="AA2086" s="160">
        <v>0.1</v>
      </c>
    </row>
    <row r="2087" spans="1:27" ht="18" customHeight="1" x14ac:dyDescent="0.25">
      <c r="A2087" s="159">
        <v>4594</v>
      </c>
      <c r="B2087" s="157" t="s">
        <v>251</v>
      </c>
      <c r="C2087" s="157" t="s">
        <v>311</v>
      </c>
      <c r="D2087" s="159" t="s">
        <v>9668</v>
      </c>
      <c r="E2087" s="157" t="s">
        <v>9666</v>
      </c>
      <c r="F2087" s="157"/>
      <c r="G2087" s="157" t="s">
        <v>1321</v>
      </c>
      <c r="H2087" s="157" t="s">
        <v>1648</v>
      </c>
      <c r="I2087" s="157" t="s">
        <v>9709</v>
      </c>
      <c r="J2087" s="157" t="s">
        <v>1649</v>
      </c>
      <c r="K2087" s="157" t="s">
        <v>1269</v>
      </c>
      <c r="L2087" s="157" t="s">
        <v>9710</v>
      </c>
      <c r="M2087" s="157" t="str">
        <f t="shared" si="44"/>
        <v>Fuel Pressure Control Valve - Fuel Pressure Control</v>
      </c>
      <c r="N2087" s="157"/>
      <c r="O2087" s="157"/>
      <c r="P2087" s="159" t="s">
        <v>2386</v>
      </c>
      <c r="Q2087" s="157"/>
      <c r="R2087" s="157"/>
      <c r="S2087" s="157"/>
      <c r="T2087" s="157"/>
      <c r="U2087" s="159" t="s">
        <v>2129</v>
      </c>
      <c r="V2087" s="159" t="s">
        <v>2138</v>
      </c>
      <c r="W2087" s="159" t="s">
        <v>2129</v>
      </c>
      <c r="X2087" s="160">
        <v>0.1</v>
      </c>
      <c r="Y2087" s="160">
        <v>0.1</v>
      </c>
      <c r="Z2087" s="160">
        <v>0.1</v>
      </c>
      <c r="AA2087" s="160">
        <v>0.1</v>
      </c>
    </row>
    <row r="2088" spans="1:27" ht="18" customHeight="1" x14ac:dyDescent="0.25">
      <c r="A2088" s="159">
        <v>4595</v>
      </c>
      <c r="B2088" s="157" t="s">
        <v>251</v>
      </c>
      <c r="C2088" s="157" t="s">
        <v>311</v>
      </c>
      <c r="D2088" s="159" t="s">
        <v>9667</v>
      </c>
      <c r="E2088" s="157" t="s">
        <v>9665</v>
      </c>
      <c r="F2088" s="157"/>
      <c r="G2088" s="157" t="s">
        <v>1321</v>
      </c>
      <c r="H2088" s="157" t="s">
        <v>1648</v>
      </c>
      <c r="I2088" s="157" t="s">
        <v>9711</v>
      </c>
      <c r="J2088" s="157" t="s">
        <v>1649</v>
      </c>
      <c r="K2088" s="157" t="s">
        <v>1269</v>
      </c>
      <c r="L2088" s="157" t="s">
        <v>9712</v>
      </c>
      <c r="M2088" s="157" t="str">
        <f t="shared" si="44"/>
        <v>Motorhead Cooling Fluid Control Valve - Cooling Fluid Circulation Control</v>
      </c>
      <c r="N2088" s="157"/>
      <c r="O2088" s="157"/>
      <c r="P2088" s="159" t="s">
        <v>2769</v>
      </c>
      <c r="Q2088" s="157"/>
      <c r="R2088" s="157"/>
      <c r="S2088" s="157"/>
      <c r="T2088" s="157"/>
      <c r="U2088" s="159" t="s">
        <v>2138</v>
      </c>
      <c r="V2088" s="159" t="s">
        <v>2129</v>
      </c>
      <c r="W2088" s="159" t="s">
        <v>2129</v>
      </c>
      <c r="X2088" s="160">
        <v>0.1</v>
      </c>
      <c r="Y2088" s="160">
        <v>0.1</v>
      </c>
      <c r="Z2088" s="160">
        <v>0.1</v>
      </c>
      <c r="AA2088" s="160">
        <v>0.1</v>
      </c>
    </row>
    <row r="2089" spans="1:27" ht="18" customHeight="1" x14ac:dyDescent="0.25">
      <c r="A2089" s="159">
        <v>4595</v>
      </c>
      <c r="B2089" s="157" t="s">
        <v>251</v>
      </c>
      <c r="C2089" s="157" t="s">
        <v>311</v>
      </c>
      <c r="D2089" s="159" t="s">
        <v>9668</v>
      </c>
      <c r="E2089" s="157" t="s">
        <v>9666</v>
      </c>
      <c r="F2089" s="157"/>
      <c r="G2089" s="157" t="s">
        <v>1321</v>
      </c>
      <c r="H2089" s="157" t="s">
        <v>1648</v>
      </c>
      <c r="I2089" s="157" t="s">
        <v>9711</v>
      </c>
      <c r="J2089" s="157" t="s">
        <v>1649</v>
      </c>
      <c r="K2089" s="157" t="s">
        <v>1269</v>
      </c>
      <c r="L2089" s="157" t="s">
        <v>9712</v>
      </c>
      <c r="M2089" s="157" t="str">
        <f t="shared" si="44"/>
        <v>Motorhead Cooling Fluid Control Valve - Cooling Fluid Circulation Control</v>
      </c>
      <c r="N2089" s="157"/>
      <c r="O2089" s="157"/>
      <c r="P2089" s="159" t="s">
        <v>2769</v>
      </c>
      <c r="Q2089" s="157"/>
      <c r="R2089" s="157"/>
      <c r="S2089" s="157"/>
      <c r="T2089" s="157"/>
      <c r="U2089" s="159" t="s">
        <v>2129</v>
      </c>
      <c r="V2089" s="159" t="s">
        <v>2138</v>
      </c>
      <c r="W2089" s="159" t="s">
        <v>2129</v>
      </c>
      <c r="X2089" s="160">
        <v>0.1</v>
      </c>
      <c r="Y2089" s="160">
        <v>0.1</v>
      </c>
      <c r="Z2089" s="160">
        <v>0.1</v>
      </c>
      <c r="AA2089" s="160">
        <v>0.1</v>
      </c>
    </row>
    <row r="2090" spans="1:27" ht="18" customHeight="1" x14ac:dyDescent="0.25">
      <c r="A2090" s="159">
        <v>4596</v>
      </c>
      <c r="B2090" s="157" t="s">
        <v>251</v>
      </c>
      <c r="C2090" s="157" t="s">
        <v>311</v>
      </c>
      <c r="D2090" s="159" t="s">
        <v>9667</v>
      </c>
      <c r="E2090" s="157" t="s">
        <v>9665</v>
      </c>
      <c r="F2090" s="157"/>
      <c r="G2090" s="157" t="s">
        <v>1321</v>
      </c>
      <c r="H2090" s="157" t="s">
        <v>1648</v>
      </c>
      <c r="I2090" s="157" t="s">
        <v>9713</v>
      </c>
      <c r="J2090" s="157" t="s">
        <v>1649</v>
      </c>
      <c r="K2090" s="157" t="s">
        <v>1269</v>
      </c>
      <c r="L2090" s="157" t="s">
        <v>9714</v>
      </c>
      <c r="M2090" s="157" t="str">
        <f t="shared" si="44"/>
        <v>Engine Oil Circulation Control Valve - Engine Oil Circulation Control</v>
      </c>
      <c r="N2090" s="157"/>
      <c r="O2090" s="157"/>
      <c r="P2090" s="159" t="s">
        <v>2395</v>
      </c>
      <c r="Q2090" s="157"/>
      <c r="R2090" s="157"/>
      <c r="S2090" s="157"/>
      <c r="T2090" s="157"/>
      <c r="U2090" s="159" t="s">
        <v>2138</v>
      </c>
      <c r="V2090" s="159" t="s">
        <v>2129</v>
      </c>
      <c r="W2090" s="159" t="s">
        <v>2129</v>
      </c>
      <c r="X2090" s="160">
        <v>0.1</v>
      </c>
      <c r="Y2090" s="160">
        <v>0.1</v>
      </c>
      <c r="Z2090" s="160">
        <v>0.1</v>
      </c>
      <c r="AA2090" s="160">
        <v>0.1</v>
      </c>
    </row>
    <row r="2091" spans="1:27" ht="18" customHeight="1" x14ac:dyDescent="0.25">
      <c r="A2091" s="159">
        <v>4596</v>
      </c>
      <c r="B2091" s="157" t="s">
        <v>251</v>
      </c>
      <c r="C2091" s="157" t="s">
        <v>311</v>
      </c>
      <c r="D2091" s="159" t="s">
        <v>9668</v>
      </c>
      <c r="E2091" s="157" t="s">
        <v>9666</v>
      </c>
      <c r="F2091" s="157"/>
      <c r="G2091" s="157" t="s">
        <v>1321</v>
      </c>
      <c r="H2091" s="157" t="s">
        <v>1648</v>
      </c>
      <c r="I2091" s="157" t="s">
        <v>9713</v>
      </c>
      <c r="J2091" s="157" t="s">
        <v>1649</v>
      </c>
      <c r="K2091" s="157" t="s">
        <v>1269</v>
      </c>
      <c r="L2091" s="157" t="s">
        <v>9714</v>
      </c>
      <c r="M2091" s="157" t="str">
        <f t="shared" si="44"/>
        <v>Engine Oil Circulation Control Valve - Engine Oil Circulation Control</v>
      </c>
      <c r="N2091" s="157"/>
      <c r="O2091" s="157"/>
      <c r="P2091" s="159" t="s">
        <v>2395</v>
      </c>
      <c r="Q2091" s="157"/>
      <c r="R2091" s="157"/>
      <c r="S2091" s="157"/>
      <c r="T2091" s="157"/>
      <c r="U2091" s="159" t="s">
        <v>2129</v>
      </c>
      <c r="V2091" s="159" t="s">
        <v>2138</v>
      </c>
      <c r="W2091" s="159" t="s">
        <v>2129</v>
      </c>
      <c r="X2091" s="160">
        <v>0.1</v>
      </c>
      <c r="Y2091" s="160">
        <v>0.1</v>
      </c>
      <c r="Z2091" s="160">
        <v>0.1</v>
      </c>
      <c r="AA2091" s="160">
        <v>0.1</v>
      </c>
    </row>
    <row r="2092" spans="1:27" ht="18" customHeight="1" x14ac:dyDescent="0.25">
      <c r="A2092" s="159">
        <v>4597</v>
      </c>
      <c r="B2092" s="157" t="s">
        <v>251</v>
      </c>
      <c r="C2092" s="157" t="s">
        <v>311</v>
      </c>
      <c r="D2092" s="159" t="s">
        <v>9668</v>
      </c>
      <c r="E2092" s="157" t="s">
        <v>9666</v>
      </c>
      <c r="F2092" s="157"/>
      <c r="G2092" s="157" t="s">
        <v>1321</v>
      </c>
      <c r="H2092" s="157" t="s">
        <v>1648</v>
      </c>
      <c r="I2092" s="157" t="s">
        <v>9715</v>
      </c>
      <c r="J2092" s="157" t="s">
        <v>1649</v>
      </c>
      <c r="K2092" s="157" t="s">
        <v>1269</v>
      </c>
      <c r="L2092" s="157" t="s">
        <v>9716</v>
      </c>
      <c r="M2092" s="157" t="str">
        <f t="shared" si="44"/>
        <v>Piston Cooling Injector - Piston Cooling</v>
      </c>
      <c r="N2092" s="157"/>
      <c r="O2092" s="157"/>
      <c r="P2092" s="159" t="s">
        <v>2394</v>
      </c>
      <c r="Q2092" s="157"/>
      <c r="R2092" s="157"/>
      <c r="S2092" s="157"/>
      <c r="T2092" s="157"/>
      <c r="U2092" s="159" t="s">
        <v>2138</v>
      </c>
      <c r="V2092" s="159" t="s">
        <v>2129</v>
      </c>
      <c r="W2092" s="159" t="s">
        <v>2129</v>
      </c>
      <c r="X2092" s="160">
        <v>0.1</v>
      </c>
      <c r="Y2092" s="160">
        <v>0.1</v>
      </c>
      <c r="Z2092" s="160">
        <v>0.1</v>
      </c>
      <c r="AA2092" s="160">
        <v>0.1</v>
      </c>
    </row>
    <row r="2093" spans="1:27" ht="18" customHeight="1" x14ac:dyDescent="0.25">
      <c r="A2093" s="159">
        <v>4598</v>
      </c>
      <c r="B2093" s="157" t="s">
        <v>251</v>
      </c>
      <c r="C2093" s="157" t="s">
        <v>311</v>
      </c>
      <c r="D2093" s="159" t="s">
        <v>9667</v>
      </c>
      <c r="E2093" s="157" t="s">
        <v>9665</v>
      </c>
      <c r="F2093" s="157"/>
      <c r="G2093" s="157" t="s">
        <v>1321</v>
      </c>
      <c r="H2093" s="157" t="s">
        <v>1648</v>
      </c>
      <c r="I2093" s="157" t="s">
        <v>9726</v>
      </c>
      <c r="J2093" s="157" t="s">
        <v>1649</v>
      </c>
      <c r="K2093" s="157" t="s">
        <v>1312</v>
      </c>
      <c r="L2093" s="157" t="s">
        <v>9727</v>
      </c>
      <c r="M2093" s="157" t="str">
        <f t="shared" si="44"/>
        <v>Engine Oil Level and Temperature Sensor - Engine Oil Level and Temperature</v>
      </c>
      <c r="N2093" s="157"/>
      <c r="O2093" s="157"/>
      <c r="P2093" s="159" t="s">
        <v>2392</v>
      </c>
      <c r="Q2093" s="157"/>
      <c r="R2093" s="157"/>
      <c r="S2093" s="157"/>
      <c r="T2093" s="157"/>
      <c r="U2093" s="159" t="s">
        <v>2138</v>
      </c>
      <c r="V2093" s="159" t="s">
        <v>2129</v>
      </c>
      <c r="W2093" s="159" t="s">
        <v>2129</v>
      </c>
      <c r="X2093" s="160">
        <v>1</v>
      </c>
      <c r="Y2093" s="160">
        <v>1</v>
      </c>
      <c r="Z2093" s="160">
        <v>1</v>
      </c>
      <c r="AA2093" s="160">
        <v>1</v>
      </c>
    </row>
    <row r="2094" spans="1:27" ht="18" customHeight="1" x14ac:dyDescent="0.25">
      <c r="A2094" s="159">
        <v>4598</v>
      </c>
      <c r="B2094" s="157" t="s">
        <v>251</v>
      </c>
      <c r="C2094" s="157" t="s">
        <v>311</v>
      </c>
      <c r="D2094" s="159" t="s">
        <v>9668</v>
      </c>
      <c r="E2094" s="157" t="s">
        <v>9666</v>
      </c>
      <c r="F2094" s="157"/>
      <c r="G2094" s="157" t="s">
        <v>1321</v>
      </c>
      <c r="H2094" s="157" t="s">
        <v>1648</v>
      </c>
      <c r="I2094" s="157" t="s">
        <v>9726</v>
      </c>
      <c r="J2094" s="157" t="s">
        <v>1649</v>
      </c>
      <c r="K2094" s="157" t="s">
        <v>1312</v>
      </c>
      <c r="L2094" s="157" t="s">
        <v>9727</v>
      </c>
      <c r="M2094" s="157" t="str">
        <f t="shared" si="44"/>
        <v>Engine Oil Level and Temperature Sensor - Engine Oil Level and Temperature</v>
      </c>
      <c r="N2094" s="157"/>
      <c r="O2094" s="157"/>
      <c r="P2094" s="159" t="s">
        <v>2392</v>
      </c>
      <c r="Q2094" s="157"/>
      <c r="R2094" s="157"/>
      <c r="S2094" s="157"/>
      <c r="T2094" s="157"/>
      <c r="U2094" s="159" t="s">
        <v>2129</v>
      </c>
      <c r="V2094" s="159" t="s">
        <v>2138</v>
      </c>
      <c r="W2094" s="159" t="s">
        <v>2129</v>
      </c>
      <c r="X2094" s="160">
        <v>1</v>
      </c>
      <c r="Y2094" s="160">
        <v>1</v>
      </c>
      <c r="Z2094" s="160">
        <v>1</v>
      </c>
      <c r="AA2094" s="160">
        <v>1</v>
      </c>
    </row>
    <row r="2095" spans="1:27" ht="18" customHeight="1" x14ac:dyDescent="0.25">
      <c r="A2095" s="159">
        <v>4599</v>
      </c>
      <c r="B2095" s="157" t="s">
        <v>251</v>
      </c>
      <c r="C2095" s="157" t="s">
        <v>311</v>
      </c>
      <c r="D2095" s="159" t="s">
        <v>9668</v>
      </c>
      <c r="E2095" s="157" t="s">
        <v>9666</v>
      </c>
      <c r="F2095" s="157"/>
      <c r="G2095" s="157" t="s">
        <v>1321</v>
      </c>
      <c r="H2095" s="157" t="s">
        <v>1648</v>
      </c>
      <c r="I2095" s="157" t="s">
        <v>9728</v>
      </c>
      <c r="J2095" s="157" t="s">
        <v>1649</v>
      </c>
      <c r="K2095" s="157" t="s">
        <v>1269</v>
      </c>
      <c r="L2095" s="157" t="s">
        <v>9729</v>
      </c>
      <c r="M2095" s="157" t="str">
        <f t="shared" si="44"/>
        <v>Crankschaft Chamber Air Relief Heater - Crankschaft Chamber Air Relief</v>
      </c>
      <c r="N2095" s="157"/>
      <c r="O2095" s="157"/>
      <c r="P2095" s="159" t="s">
        <v>3159</v>
      </c>
      <c r="Q2095" s="157"/>
      <c r="R2095" s="157"/>
      <c r="S2095" s="157"/>
      <c r="T2095" s="157"/>
      <c r="U2095" s="159" t="s">
        <v>2129</v>
      </c>
      <c r="V2095" s="159" t="s">
        <v>2138</v>
      </c>
      <c r="W2095" s="159" t="s">
        <v>2129</v>
      </c>
      <c r="X2095" s="160">
        <v>0</v>
      </c>
      <c r="Y2095" s="160">
        <v>0.1</v>
      </c>
      <c r="Z2095" s="160">
        <v>0.1</v>
      </c>
      <c r="AA2095" s="160">
        <v>0</v>
      </c>
    </row>
    <row r="2096" spans="1:27" ht="18" customHeight="1" x14ac:dyDescent="0.25">
      <c r="A2096" s="159">
        <v>4601</v>
      </c>
      <c r="B2096" s="157" t="s">
        <v>29</v>
      </c>
      <c r="C2096" s="157" t="s">
        <v>30</v>
      </c>
      <c r="D2096" s="159" t="s">
        <v>33</v>
      </c>
      <c r="E2096" s="157" t="s">
        <v>31</v>
      </c>
      <c r="F2096" s="157" t="s">
        <v>1275</v>
      </c>
      <c r="G2096" s="157" t="s">
        <v>1536</v>
      </c>
      <c r="H2096" s="157" t="s">
        <v>1287</v>
      </c>
      <c r="I2096" s="157" t="s">
        <v>1339</v>
      </c>
      <c r="J2096" s="157" t="s">
        <v>1578</v>
      </c>
      <c r="K2096" s="157" t="s">
        <v>1269</v>
      </c>
      <c r="L2096" s="157" t="s">
        <v>8487</v>
      </c>
      <c r="M2096" s="157" t="str">
        <f t="shared" si="44"/>
        <v>Taillamp Assy' P21W + P10W Left - Single - Rear Lamps L</v>
      </c>
      <c r="N2096" s="157"/>
      <c r="O2096" s="157"/>
      <c r="P2096" s="159" t="s">
        <v>7510</v>
      </c>
      <c r="Q2096" s="157"/>
      <c r="R2096" s="157"/>
      <c r="S2096" s="157"/>
      <c r="T2096" s="157"/>
      <c r="U2096" s="159" t="s">
        <v>2138</v>
      </c>
      <c r="V2096" s="159" t="s">
        <v>2129</v>
      </c>
      <c r="W2096" s="159" t="s">
        <v>2129</v>
      </c>
      <c r="X2096" s="160">
        <v>0.23</v>
      </c>
      <c r="Y2096" s="160">
        <v>0.11</v>
      </c>
      <c r="Z2096" s="160">
        <v>0.45</v>
      </c>
      <c r="AA2096" s="160">
        <v>0.32</v>
      </c>
    </row>
    <row r="2097" spans="1:27" ht="18" customHeight="1" x14ac:dyDescent="0.25">
      <c r="A2097" s="159">
        <v>4601</v>
      </c>
      <c r="B2097" s="157" t="s">
        <v>29</v>
      </c>
      <c r="C2097" s="157" t="s">
        <v>30</v>
      </c>
      <c r="D2097" s="159" t="s">
        <v>95</v>
      </c>
      <c r="E2097" s="157" t="s">
        <v>93</v>
      </c>
      <c r="F2097" s="157" t="s">
        <v>1275</v>
      </c>
      <c r="G2097" s="157" t="s">
        <v>1536</v>
      </c>
      <c r="H2097" s="157" t="s">
        <v>1287</v>
      </c>
      <c r="I2097" s="157" t="s">
        <v>1339</v>
      </c>
      <c r="J2097" s="157" t="s">
        <v>1578</v>
      </c>
      <c r="K2097" s="157" t="s">
        <v>1269</v>
      </c>
      <c r="L2097" s="157" t="s">
        <v>8487</v>
      </c>
      <c r="M2097" s="157" t="str">
        <f t="shared" si="44"/>
        <v>Taillamp Assy' P21W + P10W Left - Single - Rear Lamps L</v>
      </c>
      <c r="N2097" s="157"/>
      <c r="O2097" s="157"/>
      <c r="P2097" s="159" t="s">
        <v>7510</v>
      </c>
      <c r="Q2097" s="157"/>
      <c r="R2097" s="157"/>
      <c r="S2097" s="157"/>
      <c r="T2097" s="157"/>
      <c r="U2097" s="159" t="s">
        <v>2138</v>
      </c>
      <c r="V2097" s="159" t="s">
        <v>2129</v>
      </c>
      <c r="W2097" s="159" t="s">
        <v>2129</v>
      </c>
      <c r="X2097" s="160">
        <v>0.23</v>
      </c>
      <c r="Y2097" s="160">
        <v>0.11</v>
      </c>
      <c r="Z2097" s="160">
        <v>0.45</v>
      </c>
      <c r="AA2097" s="160">
        <v>0.32</v>
      </c>
    </row>
    <row r="2098" spans="1:27" ht="18" customHeight="1" x14ac:dyDescent="0.25">
      <c r="A2098" s="159">
        <v>4601</v>
      </c>
      <c r="B2098" s="157" t="s">
        <v>29</v>
      </c>
      <c r="C2098" s="157" t="s">
        <v>30</v>
      </c>
      <c r="D2098" s="159" t="s">
        <v>214</v>
      </c>
      <c r="E2098" s="157" t="s">
        <v>212</v>
      </c>
      <c r="F2098" s="157" t="s">
        <v>1264</v>
      </c>
      <c r="G2098" s="157" t="s">
        <v>1536</v>
      </c>
      <c r="H2098" s="157" t="s">
        <v>1287</v>
      </c>
      <c r="I2098" s="157" t="s">
        <v>1339</v>
      </c>
      <c r="J2098" s="157" t="s">
        <v>1578</v>
      </c>
      <c r="K2098" s="157" t="s">
        <v>1269</v>
      </c>
      <c r="L2098" s="157" t="s">
        <v>8487</v>
      </c>
      <c r="M2098" s="157" t="str">
        <f t="shared" si="44"/>
        <v>Taillamp Assy' P21W + P10W Left - Single - Rear Lamps L</v>
      </c>
      <c r="N2098" s="157"/>
      <c r="O2098" s="157"/>
      <c r="P2098" s="159" t="s">
        <v>7510</v>
      </c>
      <c r="Q2098" s="157"/>
      <c r="R2098" s="157"/>
      <c r="S2098" s="157"/>
      <c r="T2098" s="157"/>
      <c r="U2098" s="159" t="s">
        <v>2138</v>
      </c>
      <c r="V2098" s="159" t="s">
        <v>2129</v>
      </c>
      <c r="W2098" s="159" t="s">
        <v>2129</v>
      </c>
      <c r="X2098" s="160">
        <v>0.23</v>
      </c>
      <c r="Y2098" s="160">
        <v>0.11</v>
      </c>
      <c r="Z2098" s="160">
        <v>0.45</v>
      </c>
      <c r="AA2098" s="160">
        <v>0.32</v>
      </c>
    </row>
    <row r="2099" spans="1:27" ht="18" customHeight="1" x14ac:dyDescent="0.25">
      <c r="A2099" s="159">
        <v>4601</v>
      </c>
      <c r="B2099" s="157" t="s">
        <v>29</v>
      </c>
      <c r="C2099" s="157" t="s">
        <v>30</v>
      </c>
      <c r="D2099" s="159" t="s">
        <v>233</v>
      </c>
      <c r="E2099" s="157" t="s">
        <v>231</v>
      </c>
      <c r="F2099" s="157" t="s">
        <v>1264</v>
      </c>
      <c r="G2099" s="157" t="s">
        <v>1536</v>
      </c>
      <c r="H2099" s="157" t="s">
        <v>1287</v>
      </c>
      <c r="I2099" s="157" t="s">
        <v>1339</v>
      </c>
      <c r="J2099" s="157" t="s">
        <v>1578</v>
      </c>
      <c r="K2099" s="157" t="s">
        <v>1269</v>
      </c>
      <c r="L2099" s="157" t="s">
        <v>8487</v>
      </c>
      <c r="M2099" s="157" t="str">
        <f t="shared" si="44"/>
        <v>Taillamp Assy' P21W + P10W Left - Single - Rear Lamps L</v>
      </c>
      <c r="N2099" s="157"/>
      <c r="O2099" s="157"/>
      <c r="P2099" s="159" t="s">
        <v>7510</v>
      </c>
      <c r="Q2099" s="157"/>
      <c r="R2099" s="157"/>
      <c r="S2099" s="157"/>
      <c r="T2099" s="157"/>
      <c r="U2099" s="159" t="s">
        <v>2138</v>
      </c>
      <c r="V2099" s="159" t="s">
        <v>2129</v>
      </c>
      <c r="W2099" s="159" t="s">
        <v>2129</v>
      </c>
      <c r="X2099" s="160">
        <v>0.23</v>
      </c>
      <c r="Y2099" s="160">
        <v>0.11</v>
      </c>
      <c r="Z2099" s="160">
        <v>0.45</v>
      </c>
      <c r="AA2099" s="160">
        <v>0.32</v>
      </c>
    </row>
    <row r="2100" spans="1:27" ht="18" customHeight="1" x14ac:dyDescent="0.25">
      <c r="A2100" s="159">
        <v>4601</v>
      </c>
      <c r="B2100" s="157" t="s">
        <v>29</v>
      </c>
      <c r="C2100" s="157" t="s">
        <v>30</v>
      </c>
      <c r="D2100" s="159" t="s">
        <v>377</v>
      </c>
      <c r="E2100" s="157" t="s">
        <v>375</v>
      </c>
      <c r="F2100" s="157" t="s">
        <v>1264</v>
      </c>
      <c r="G2100" s="157" t="s">
        <v>1536</v>
      </c>
      <c r="H2100" s="157" t="s">
        <v>1287</v>
      </c>
      <c r="I2100" s="157" t="s">
        <v>1339</v>
      </c>
      <c r="J2100" s="157" t="s">
        <v>1578</v>
      </c>
      <c r="K2100" s="157" t="s">
        <v>1269</v>
      </c>
      <c r="L2100" s="157" t="s">
        <v>8487</v>
      </c>
      <c r="M2100" s="157" t="str">
        <f t="shared" si="44"/>
        <v>Taillamp Assy' P21W + P10W Left - Single - Rear Lamps L</v>
      </c>
      <c r="N2100" s="157"/>
      <c r="O2100" s="157"/>
      <c r="P2100" s="159" t="s">
        <v>7510</v>
      </c>
      <c r="Q2100" s="157"/>
      <c r="R2100" s="157"/>
      <c r="S2100" s="157"/>
      <c r="T2100" s="157"/>
      <c r="U2100" s="159" t="s">
        <v>2138</v>
      </c>
      <c r="V2100" s="159" t="s">
        <v>2129</v>
      </c>
      <c r="W2100" s="159" t="s">
        <v>2129</v>
      </c>
      <c r="X2100" s="160">
        <v>0.23</v>
      </c>
      <c r="Y2100" s="160">
        <v>0.11</v>
      </c>
      <c r="Z2100" s="160">
        <v>0.45</v>
      </c>
      <c r="AA2100" s="160">
        <v>0.32</v>
      </c>
    </row>
    <row r="2101" spans="1:27" ht="18" customHeight="1" x14ac:dyDescent="0.25">
      <c r="A2101" s="159">
        <v>4601</v>
      </c>
      <c r="B2101" s="157" t="s">
        <v>29</v>
      </c>
      <c r="C2101" s="157" t="s">
        <v>30</v>
      </c>
      <c r="D2101" s="159" t="s">
        <v>380</v>
      </c>
      <c r="E2101" s="157" t="s">
        <v>378</v>
      </c>
      <c r="F2101" s="157" t="s">
        <v>1264</v>
      </c>
      <c r="G2101" s="157" t="s">
        <v>1536</v>
      </c>
      <c r="H2101" s="157" t="s">
        <v>1287</v>
      </c>
      <c r="I2101" s="157" t="s">
        <v>1339</v>
      </c>
      <c r="J2101" s="157" t="s">
        <v>1578</v>
      </c>
      <c r="K2101" s="157" t="s">
        <v>1269</v>
      </c>
      <c r="L2101" s="157" t="s">
        <v>8487</v>
      </c>
      <c r="M2101" s="157" t="str">
        <f t="shared" si="44"/>
        <v>Taillamp Assy' P21W + P10W Left - Single - Rear Lamps L</v>
      </c>
      <c r="N2101" s="157"/>
      <c r="O2101" s="157"/>
      <c r="P2101" s="159" t="s">
        <v>7510</v>
      </c>
      <c r="Q2101" s="157"/>
      <c r="R2101" s="157"/>
      <c r="S2101" s="157"/>
      <c r="T2101" s="157"/>
      <c r="U2101" s="159" t="s">
        <v>2138</v>
      </c>
      <c r="V2101" s="159" t="s">
        <v>2129</v>
      </c>
      <c r="W2101" s="159" t="s">
        <v>2129</v>
      </c>
      <c r="X2101" s="160">
        <v>0.23</v>
      </c>
      <c r="Y2101" s="160">
        <v>0.11</v>
      </c>
      <c r="Z2101" s="160">
        <v>0.45</v>
      </c>
      <c r="AA2101" s="160">
        <v>0.32</v>
      </c>
    </row>
    <row r="2102" spans="1:27" ht="18" customHeight="1" x14ac:dyDescent="0.25">
      <c r="A2102" s="159">
        <v>4601</v>
      </c>
      <c r="B2102" s="157" t="s">
        <v>29</v>
      </c>
      <c r="C2102" s="157" t="s">
        <v>30</v>
      </c>
      <c r="D2102" s="159" t="s">
        <v>398</v>
      </c>
      <c r="E2102" s="157" t="s">
        <v>396</v>
      </c>
      <c r="F2102" s="157" t="s">
        <v>1264</v>
      </c>
      <c r="G2102" s="157" t="s">
        <v>1536</v>
      </c>
      <c r="H2102" s="157" t="s">
        <v>1287</v>
      </c>
      <c r="I2102" s="157" t="s">
        <v>1339</v>
      </c>
      <c r="J2102" s="157" t="s">
        <v>1578</v>
      </c>
      <c r="K2102" s="157" t="s">
        <v>1269</v>
      </c>
      <c r="L2102" s="157" t="s">
        <v>8487</v>
      </c>
      <c r="M2102" s="157" t="str">
        <f t="shared" si="44"/>
        <v>Taillamp Assy' P21W + P10W Left - Single - Rear Lamps L</v>
      </c>
      <c r="N2102" s="157"/>
      <c r="O2102" s="157"/>
      <c r="P2102" s="159" t="s">
        <v>7510</v>
      </c>
      <c r="Q2102" s="157"/>
      <c r="R2102" s="157"/>
      <c r="S2102" s="157"/>
      <c r="T2102" s="157"/>
      <c r="U2102" s="159" t="s">
        <v>2138</v>
      </c>
      <c r="V2102" s="159" t="s">
        <v>2129</v>
      </c>
      <c r="W2102" s="159" t="s">
        <v>2129</v>
      </c>
      <c r="X2102" s="160">
        <v>0.23</v>
      </c>
      <c r="Y2102" s="160">
        <v>0.11</v>
      </c>
      <c r="Z2102" s="160">
        <v>0.45</v>
      </c>
      <c r="AA2102" s="160">
        <v>0.32</v>
      </c>
    </row>
    <row r="2103" spans="1:27" ht="18" customHeight="1" x14ac:dyDescent="0.25">
      <c r="A2103" s="159">
        <v>4601</v>
      </c>
      <c r="B2103" s="157" t="s">
        <v>29</v>
      </c>
      <c r="C2103" s="157" t="s">
        <v>30</v>
      </c>
      <c r="D2103" s="159" t="s">
        <v>401</v>
      </c>
      <c r="E2103" s="157" t="s">
        <v>399</v>
      </c>
      <c r="F2103" s="157" t="s">
        <v>1275</v>
      </c>
      <c r="G2103" s="157" t="s">
        <v>1536</v>
      </c>
      <c r="H2103" s="157" t="s">
        <v>1287</v>
      </c>
      <c r="I2103" s="157" t="s">
        <v>1339</v>
      </c>
      <c r="J2103" s="157" t="s">
        <v>1578</v>
      </c>
      <c r="K2103" s="157" t="s">
        <v>1269</v>
      </c>
      <c r="L2103" s="157" t="s">
        <v>8487</v>
      </c>
      <c r="M2103" s="157" t="str">
        <f t="shared" si="44"/>
        <v>Taillamp Assy' P21W + P10W Left - Single - Rear Lamps L</v>
      </c>
      <c r="N2103" s="157"/>
      <c r="O2103" s="157"/>
      <c r="P2103" s="159" t="s">
        <v>7510</v>
      </c>
      <c r="Q2103" s="157"/>
      <c r="R2103" s="157"/>
      <c r="S2103" s="157"/>
      <c r="T2103" s="157"/>
      <c r="U2103" s="159" t="s">
        <v>2138</v>
      </c>
      <c r="V2103" s="159" t="s">
        <v>2129</v>
      </c>
      <c r="W2103" s="159" t="s">
        <v>2129</v>
      </c>
      <c r="X2103" s="160">
        <v>0.23</v>
      </c>
      <c r="Y2103" s="160">
        <v>0.11</v>
      </c>
      <c r="Z2103" s="160">
        <v>0.45</v>
      </c>
      <c r="AA2103" s="160">
        <v>0.32</v>
      </c>
    </row>
    <row r="2104" spans="1:27" ht="18" customHeight="1" x14ac:dyDescent="0.25">
      <c r="A2104" s="159">
        <v>4601</v>
      </c>
      <c r="B2104" s="157" t="s">
        <v>29</v>
      </c>
      <c r="C2104" s="157" t="s">
        <v>30</v>
      </c>
      <c r="D2104" s="159" t="s">
        <v>96</v>
      </c>
      <c r="E2104" s="157" t="s">
        <v>402</v>
      </c>
      <c r="F2104" s="157" t="s">
        <v>1275</v>
      </c>
      <c r="G2104" s="157" t="s">
        <v>1536</v>
      </c>
      <c r="H2104" s="157" t="s">
        <v>1287</v>
      </c>
      <c r="I2104" s="157" t="s">
        <v>1339</v>
      </c>
      <c r="J2104" s="157" t="s">
        <v>1578</v>
      </c>
      <c r="K2104" s="157" t="s">
        <v>1269</v>
      </c>
      <c r="L2104" s="157" t="s">
        <v>8487</v>
      </c>
      <c r="M2104" s="157" t="str">
        <f t="shared" si="44"/>
        <v>Taillamp Assy' P21W + P10W Left - Single - Rear Lamps L</v>
      </c>
      <c r="N2104" s="157"/>
      <c r="O2104" s="157"/>
      <c r="P2104" s="159" t="s">
        <v>7510</v>
      </c>
      <c r="Q2104" s="157"/>
      <c r="R2104" s="157"/>
      <c r="S2104" s="157"/>
      <c r="T2104" s="157"/>
      <c r="U2104" s="159" t="s">
        <v>2138</v>
      </c>
      <c r="V2104" s="159" t="s">
        <v>2129</v>
      </c>
      <c r="W2104" s="159" t="s">
        <v>2129</v>
      </c>
      <c r="X2104" s="160">
        <v>0.23</v>
      </c>
      <c r="Y2104" s="160">
        <v>0.11</v>
      </c>
      <c r="Z2104" s="160">
        <v>0.45</v>
      </c>
      <c r="AA2104" s="160">
        <v>0.32</v>
      </c>
    </row>
    <row r="2105" spans="1:27" ht="18" customHeight="1" x14ac:dyDescent="0.25">
      <c r="A2105" s="159">
        <v>4601</v>
      </c>
      <c r="B2105" s="157" t="s">
        <v>29</v>
      </c>
      <c r="C2105" s="157" t="s">
        <v>30</v>
      </c>
      <c r="D2105" s="159" t="s">
        <v>34</v>
      </c>
      <c r="E2105" s="157" t="s">
        <v>404</v>
      </c>
      <c r="F2105" s="157" t="s">
        <v>1275</v>
      </c>
      <c r="G2105" s="157" t="s">
        <v>1536</v>
      </c>
      <c r="H2105" s="157" t="s">
        <v>1287</v>
      </c>
      <c r="I2105" s="157" t="s">
        <v>1339</v>
      </c>
      <c r="J2105" s="157" t="s">
        <v>1578</v>
      </c>
      <c r="K2105" s="157" t="s">
        <v>1269</v>
      </c>
      <c r="L2105" s="157" t="s">
        <v>8487</v>
      </c>
      <c r="M2105" s="157" t="str">
        <f t="shared" si="44"/>
        <v>Taillamp Assy' P21W + P10W Left - Single - Rear Lamps L</v>
      </c>
      <c r="N2105" s="157"/>
      <c r="O2105" s="157"/>
      <c r="P2105" s="159" t="s">
        <v>7510</v>
      </c>
      <c r="Q2105" s="157"/>
      <c r="R2105" s="157"/>
      <c r="S2105" s="157"/>
      <c r="T2105" s="157"/>
      <c r="U2105" s="159" t="s">
        <v>2138</v>
      </c>
      <c r="V2105" s="159" t="s">
        <v>2129</v>
      </c>
      <c r="W2105" s="159" t="s">
        <v>2129</v>
      </c>
      <c r="X2105" s="160">
        <v>0.23</v>
      </c>
      <c r="Y2105" s="160">
        <v>0.11</v>
      </c>
      <c r="Z2105" s="160">
        <v>0.45</v>
      </c>
      <c r="AA2105" s="160">
        <v>0.32</v>
      </c>
    </row>
    <row r="2106" spans="1:27" ht="18" customHeight="1" x14ac:dyDescent="0.25">
      <c r="A2106" s="159">
        <v>4601</v>
      </c>
      <c r="B2106" s="157" t="s">
        <v>29</v>
      </c>
      <c r="C2106" s="157" t="s">
        <v>30</v>
      </c>
      <c r="D2106" s="159" t="s">
        <v>408</v>
      </c>
      <c r="E2106" s="157" t="s">
        <v>406</v>
      </c>
      <c r="F2106" s="157" t="s">
        <v>1264</v>
      </c>
      <c r="G2106" s="157" t="s">
        <v>1536</v>
      </c>
      <c r="H2106" s="157" t="s">
        <v>1287</v>
      </c>
      <c r="I2106" s="157" t="s">
        <v>1339</v>
      </c>
      <c r="J2106" s="157" t="s">
        <v>1578</v>
      </c>
      <c r="K2106" s="157" t="s">
        <v>1269</v>
      </c>
      <c r="L2106" s="157" t="s">
        <v>8487</v>
      </c>
      <c r="M2106" s="157" t="str">
        <f t="shared" si="44"/>
        <v>Taillamp Assy' P21W + P10W Left - Single - Rear Lamps L</v>
      </c>
      <c r="N2106" s="157"/>
      <c r="O2106" s="157"/>
      <c r="P2106" s="159" t="s">
        <v>7510</v>
      </c>
      <c r="Q2106" s="157"/>
      <c r="R2106" s="157"/>
      <c r="S2106" s="157"/>
      <c r="T2106" s="157"/>
      <c r="U2106" s="159" t="s">
        <v>2138</v>
      </c>
      <c r="V2106" s="159" t="s">
        <v>2129</v>
      </c>
      <c r="W2106" s="159" t="s">
        <v>2129</v>
      </c>
      <c r="X2106" s="160">
        <v>0.23</v>
      </c>
      <c r="Y2106" s="160">
        <v>0.11</v>
      </c>
      <c r="Z2106" s="160">
        <v>0.45</v>
      </c>
      <c r="AA2106" s="160">
        <v>0.32</v>
      </c>
    </row>
    <row r="2107" spans="1:27" ht="18" customHeight="1" x14ac:dyDescent="0.25">
      <c r="A2107" s="159">
        <v>4601</v>
      </c>
      <c r="B2107" s="157" t="s">
        <v>29</v>
      </c>
      <c r="C2107" s="157" t="s">
        <v>30</v>
      </c>
      <c r="D2107" s="159" t="s">
        <v>573</v>
      </c>
      <c r="E2107" s="157" t="s">
        <v>574</v>
      </c>
      <c r="F2107" s="157"/>
      <c r="G2107" s="157" t="s">
        <v>1536</v>
      </c>
      <c r="H2107" s="157" t="s">
        <v>1287</v>
      </c>
      <c r="I2107" s="157" t="s">
        <v>1339</v>
      </c>
      <c r="J2107" s="157" t="s">
        <v>1578</v>
      </c>
      <c r="K2107" s="157" t="s">
        <v>1269</v>
      </c>
      <c r="L2107" s="157" t="s">
        <v>8487</v>
      </c>
      <c r="M2107" s="157" t="str">
        <f t="shared" si="44"/>
        <v>Taillamp Assy' P21W + P10W Left - Single - Rear Lamps L</v>
      </c>
      <c r="N2107" s="157"/>
      <c r="O2107" s="157"/>
      <c r="P2107" s="159" t="s">
        <v>7510</v>
      </c>
      <c r="Q2107" s="157"/>
      <c r="R2107" s="157"/>
      <c r="S2107" s="157"/>
      <c r="T2107" s="157"/>
      <c r="U2107" s="159" t="s">
        <v>2138</v>
      </c>
      <c r="V2107" s="159" t="s">
        <v>2129</v>
      </c>
      <c r="W2107" s="159" t="s">
        <v>2129</v>
      </c>
      <c r="X2107" s="160">
        <v>0.23</v>
      </c>
      <c r="Y2107" s="160">
        <v>0.11</v>
      </c>
      <c r="Z2107" s="160">
        <v>0.45</v>
      </c>
      <c r="AA2107" s="160">
        <v>0.32</v>
      </c>
    </row>
    <row r="2108" spans="1:27" ht="18" customHeight="1" x14ac:dyDescent="0.25">
      <c r="A2108" s="159">
        <v>4601</v>
      </c>
      <c r="B2108" s="157" t="s">
        <v>251</v>
      </c>
      <c r="C2108" s="157" t="s">
        <v>366</v>
      </c>
      <c r="D2108" s="159" t="s">
        <v>494</v>
      </c>
      <c r="E2108" s="157" t="s">
        <v>492</v>
      </c>
      <c r="F2108" s="157" t="s">
        <v>1275</v>
      </c>
      <c r="G2108" s="157" t="s">
        <v>1536</v>
      </c>
      <c r="H2108" s="157" t="s">
        <v>1287</v>
      </c>
      <c r="I2108" s="157" t="s">
        <v>1339</v>
      </c>
      <c r="J2108" s="157" t="s">
        <v>1578</v>
      </c>
      <c r="K2108" s="157" t="s">
        <v>1269</v>
      </c>
      <c r="L2108" s="157" t="s">
        <v>8487</v>
      </c>
      <c r="M2108" s="157" t="str">
        <f t="shared" si="44"/>
        <v>Taillamp Assy' P21W + P10W Left - Single - Rear Lamps L</v>
      </c>
      <c r="N2108" s="157"/>
      <c r="O2108" s="157"/>
      <c r="P2108" s="159" t="s">
        <v>7510</v>
      </c>
      <c r="Q2108" s="157"/>
      <c r="R2108" s="157"/>
      <c r="S2108" s="157"/>
      <c r="T2108" s="157"/>
      <c r="U2108" s="159" t="s">
        <v>2138</v>
      </c>
      <c r="V2108" s="159" t="s">
        <v>2129</v>
      </c>
      <c r="W2108" s="159" t="s">
        <v>2129</v>
      </c>
      <c r="X2108" s="160">
        <v>0.23</v>
      </c>
      <c r="Y2108" s="160">
        <v>0.11</v>
      </c>
      <c r="Z2108" s="160">
        <v>0.45</v>
      </c>
      <c r="AA2108" s="160">
        <v>0.32</v>
      </c>
    </row>
    <row r="2109" spans="1:27" ht="18" customHeight="1" x14ac:dyDescent="0.25">
      <c r="A2109" s="159">
        <v>4602</v>
      </c>
      <c r="B2109" s="157" t="s">
        <v>29</v>
      </c>
      <c r="C2109" s="157" t="s">
        <v>30</v>
      </c>
      <c r="D2109" s="159" t="s">
        <v>33</v>
      </c>
      <c r="E2109" s="157" t="s">
        <v>31</v>
      </c>
      <c r="F2109" s="157" t="s">
        <v>1275</v>
      </c>
      <c r="G2109" s="157" t="s">
        <v>1536</v>
      </c>
      <c r="H2109" s="157" t="s">
        <v>1287</v>
      </c>
      <c r="I2109" s="157" t="s">
        <v>1339</v>
      </c>
      <c r="J2109" s="157" t="s">
        <v>1455</v>
      </c>
      <c r="K2109" s="157" t="s">
        <v>1269</v>
      </c>
      <c r="L2109" s="157" t="s">
        <v>8488</v>
      </c>
      <c r="M2109" s="157" t="str">
        <f t="shared" si="44"/>
        <v>Taillamp Assy' LED Left - Single - Rear Lamps L</v>
      </c>
      <c r="N2109" s="157"/>
      <c r="O2109" s="157"/>
      <c r="P2109" s="159" t="s">
        <v>7510</v>
      </c>
      <c r="Q2109" s="157"/>
      <c r="R2109" s="157"/>
      <c r="S2109" s="157"/>
      <c r="T2109" s="157"/>
      <c r="U2109" s="159" t="s">
        <v>2129</v>
      </c>
      <c r="V2109" s="159" t="s">
        <v>2129</v>
      </c>
      <c r="W2109" s="159" t="s">
        <v>2129</v>
      </c>
      <c r="X2109" s="160">
        <v>0.21</v>
      </c>
      <c r="Y2109" s="160">
        <v>0.09</v>
      </c>
      <c r="Z2109" s="160">
        <v>0.41</v>
      </c>
      <c r="AA2109" s="160">
        <v>0.28000000000000003</v>
      </c>
    </row>
    <row r="2110" spans="1:27" ht="18" customHeight="1" x14ac:dyDescent="0.25">
      <c r="A2110" s="159">
        <v>4602</v>
      </c>
      <c r="B2110" s="157" t="s">
        <v>29</v>
      </c>
      <c r="C2110" s="157" t="s">
        <v>30</v>
      </c>
      <c r="D2110" s="159" t="s">
        <v>95</v>
      </c>
      <c r="E2110" s="157" t="s">
        <v>93</v>
      </c>
      <c r="F2110" s="157" t="s">
        <v>1275</v>
      </c>
      <c r="G2110" s="157" t="s">
        <v>1536</v>
      </c>
      <c r="H2110" s="157" t="s">
        <v>1287</v>
      </c>
      <c r="I2110" s="157" t="s">
        <v>1339</v>
      </c>
      <c r="J2110" s="157" t="s">
        <v>1455</v>
      </c>
      <c r="K2110" s="157" t="s">
        <v>1269</v>
      </c>
      <c r="L2110" s="157" t="s">
        <v>8488</v>
      </c>
      <c r="M2110" s="157" t="str">
        <f t="shared" si="44"/>
        <v>Taillamp Assy' LED Left - Single - Rear Lamps L</v>
      </c>
      <c r="N2110" s="157"/>
      <c r="O2110" s="157"/>
      <c r="P2110" s="159" t="s">
        <v>7510</v>
      </c>
      <c r="Q2110" s="157"/>
      <c r="R2110" s="157"/>
      <c r="S2110" s="157"/>
      <c r="T2110" s="157"/>
      <c r="U2110" s="159" t="s">
        <v>2129</v>
      </c>
      <c r="V2110" s="159" t="s">
        <v>2129</v>
      </c>
      <c r="W2110" s="159" t="s">
        <v>2129</v>
      </c>
      <c r="X2110" s="160">
        <v>0.21</v>
      </c>
      <c r="Y2110" s="160">
        <v>0.09</v>
      </c>
      <c r="Z2110" s="160">
        <v>0.41</v>
      </c>
      <c r="AA2110" s="160">
        <v>0.28000000000000003</v>
      </c>
    </row>
    <row r="2111" spans="1:27" ht="18" customHeight="1" x14ac:dyDescent="0.25">
      <c r="A2111" s="159">
        <v>4602</v>
      </c>
      <c r="B2111" s="157" t="s">
        <v>29</v>
      </c>
      <c r="C2111" s="157" t="s">
        <v>30</v>
      </c>
      <c r="D2111" s="159" t="s">
        <v>214</v>
      </c>
      <c r="E2111" s="157" t="s">
        <v>212</v>
      </c>
      <c r="F2111" s="157" t="s">
        <v>1264</v>
      </c>
      <c r="G2111" s="157" t="s">
        <v>1536</v>
      </c>
      <c r="H2111" s="157" t="s">
        <v>1287</v>
      </c>
      <c r="I2111" s="157" t="s">
        <v>1339</v>
      </c>
      <c r="J2111" s="157" t="s">
        <v>1455</v>
      </c>
      <c r="K2111" s="157" t="s">
        <v>1269</v>
      </c>
      <c r="L2111" s="157" t="s">
        <v>8488</v>
      </c>
      <c r="M2111" s="157" t="str">
        <f t="shared" si="44"/>
        <v>Taillamp Assy' LED Left - Single - Rear Lamps L</v>
      </c>
      <c r="N2111" s="157"/>
      <c r="O2111" s="157"/>
      <c r="P2111" s="159" t="s">
        <v>7510</v>
      </c>
      <c r="Q2111" s="157"/>
      <c r="R2111" s="157"/>
      <c r="S2111" s="157"/>
      <c r="T2111" s="157"/>
      <c r="U2111" s="159" t="s">
        <v>2129</v>
      </c>
      <c r="V2111" s="159" t="s">
        <v>2129</v>
      </c>
      <c r="W2111" s="159" t="s">
        <v>2129</v>
      </c>
      <c r="X2111" s="160">
        <v>0.21</v>
      </c>
      <c r="Y2111" s="160">
        <v>0.09</v>
      </c>
      <c r="Z2111" s="160">
        <v>0.41</v>
      </c>
      <c r="AA2111" s="160">
        <v>0.28000000000000003</v>
      </c>
    </row>
    <row r="2112" spans="1:27" ht="18" customHeight="1" x14ac:dyDescent="0.25">
      <c r="A2112" s="159">
        <v>4602</v>
      </c>
      <c r="B2112" s="157" t="s">
        <v>29</v>
      </c>
      <c r="C2112" s="157" t="s">
        <v>30</v>
      </c>
      <c r="D2112" s="159" t="s">
        <v>233</v>
      </c>
      <c r="E2112" s="157" t="s">
        <v>231</v>
      </c>
      <c r="F2112" s="157" t="s">
        <v>1264</v>
      </c>
      <c r="G2112" s="157" t="s">
        <v>1536</v>
      </c>
      <c r="H2112" s="157" t="s">
        <v>1287</v>
      </c>
      <c r="I2112" s="157" t="s">
        <v>1339</v>
      </c>
      <c r="J2112" s="157" t="s">
        <v>1455</v>
      </c>
      <c r="K2112" s="157" t="s">
        <v>1269</v>
      </c>
      <c r="L2112" s="157" t="s">
        <v>8488</v>
      </c>
      <c r="M2112" s="157" t="str">
        <f t="shared" si="44"/>
        <v>Taillamp Assy' LED Left - Single - Rear Lamps L</v>
      </c>
      <c r="N2112" s="157"/>
      <c r="O2112" s="157"/>
      <c r="P2112" s="159" t="s">
        <v>7510</v>
      </c>
      <c r="Q2112" s="157"/>
      <c r="R2112" s="157"/>
      <c r="S2112" s="157"/>
      <c r="T2112" s="157"/>
      <c r="U2112" s="159" t="s">
        <v>2129</v>
      </c>
      <c r="V2112" s="159" t="s">
        <v>2129</v>
      </c>
      <c r="W2112" s="159" t="s">
        <v>2129</v>
      </c>
      <c r="X2112" s="160">
        <v>0.21</v>
      </c>
      <c r="Y2112" s="160">
        <v>0.09</v>
      </c>
      <c r="Z2112" s="160">
        <v>0.41</v>
      </c>
      <c r="AA2112" s="160">
        <v>0.28000000000000003</v>
      </c>
    </row>
    <row r="2113" spans="1:27" ht="18" customHeight="1" x14ac:dyDescent="0.25">
      <c r="A2113" s="159">
        <v>4602</v>
      </c>
      <c r="B2113" s="157" t="s">
        <v>29</v>
      </c>
      <c r="C2113" s="157" t="s">
        <v>30</v>
      </c>
      <c r="D2113" s="159" t="s">
        <v>377</v>
      </c>
      <c r="E2113" s="157" t="s">
        <v>375</v>
      </c>
      <c r="F2113" s="157" t="s">
        <v>1264</v>
      </c>
      <c r="G2113" s="157" t="s">
        <v>1536</v>
      </c>
      <c r="H2113" s="157" t="s">
        <v>1287</v>
      </c>
      <c r="I2113" s="157" t="s">
        <v>1339</v>
      </c>
      <c r="J2113" s="157" t="s">
        <v>1455</v>
      </c>
      <c r="K2113" s="157" t="s">
        <v>1269</v>
      </c>
      <c r="L2113" s="157" t="s">
        <v>8488</v>
      </c>
      <c r="M2113" s="157" t="str">
        <f t="shared" si="44"/>
        <v>Taillamp Assy' LED Left - Single - Rear Lamps L</v>
      </c>
      <c r="N2113" s="157"/>
      <c r="O2113" s="157"/>
      <c r="P2113" s="159" t="s">
        <v>7510</v>
      </c>
      <c r="Q2113" s="157"/>
      <c r="R2113" s="157"/>
      <c r="S2113" s="157"/>
      <c r="T2113" s="157"/>
      <c r="U2113" s="159" t="s">
        <v>2129</v>
      </c>
      <c r="V2113" s="159" t="s">
        <v>2129</v>
      </c>
      <c r="W2113" s="159" t="s">
        <v>2129</v>
      </c>
      <c r="X2113" s="160">
        <v>0.21</v>
      </c>
      <c r="Y2113" s="160">
        <v>0.09</v>
      </c>
      <c r="Z2113" s="160">
        <v>0.41</v>
      </c>
      <c r="AA2113" s="160">
        <v>0.28000000000000003</v>
      </c>
    </row>
    <row r="2114" spans="1:27" ht="18" customHeight="1" x14ac:dyDescent="0.25">
      <c r="A2114" s="159">
        <v>4602</v>
      </c>
      <c r="B2114" s="157" t="s">
        <v>29</v>
      </c>
      <c r="C2114" s="157" t="s">
        <v>30</v>
      </c>
      <c r="D2114" s="159" t="s">
        <v>380</v>
      </c>
      <c r="E2114" s="157" t="s">
        <v>378</v>
      </c>
      <c r="F2114" s="157" t="s">
        <v>1264</v>
      </c>
      <c r="G2114" s="157" t="s">
        <v>1536</v>
      </c>
      <c r="H2114" s="157" t="s">
        <v>1287</v>
      </c>
      <c r="I2114" s="157" t="s">
        <v>1339</v>
      </c>
      <c r="J2114" s="157" t="s">
        <v>1455</v>
      </c>
      <c r="K2114" s="157" t="s">
        <v>1269</v>
      </c>
      <c r="L2114" s="157" t="s">
        <v>8488</v>
      </c>
      <c r="M2114" s="157" t="str">
        <f t="shared" si="44"/>
        <v>Taillamp Assy' LED Left - Single - Rear Lamps L</v>
      </c>
      <c r="N2114" s="157"/>
      <c r="O2114" s="157"/>
      <c r="P2114" s="159" t="s">
        <v>7510</v>
      </c>
      <c r="Q2114" s="157"/>
      <c r="R2114" s="157"/>
      <c r="S2114" s="157"/>
      <c r="T2114" s="157"/>
      <c r="U2114" s="159" t="s">
        <v>2129</v>
      </c>
      <c r="V2114" s="159" t="s">
        <v>2129</v>
      </c>
      <c r="W2114" s="159" t="s">
        <v>2129</v>
      </c>
      <c r="X2114" s="160">
        <v>0.21</v>
      </c>
      <c r="Y2114" s="160">
        <v>0.09</v>
      </c>
      <c r="Z2114" s="160">
        <v>0.41</v>
      </c>
      <c r="AA2114" s="160">
        <v>0.28000000000000003</v>
      </c>
    </row>
    <row r="2115" spans="1:27" ht="18" customHeight="1" x14ac:dyDescent="0.25">
      <c r="A2115" s="159">
        <v>4602</v>
      </c>
      <c r="B2115" s="157" t="s">
        <v>29</v>
      </c>
      <c r="C2115" s="157" t="s">
        <v>30</v>
      </c>
      <c r="D2115" s="159" t="s">
        <v>398</v>
      </c>
      <c r="E2115" s="157" t="s">
        <v>396</v>
      </c>
      <c r="F2115" s="157" t="s">
        <v>1264</v>
      </c>
      <c r="G2115" s="157" t="s">
        <v>1536</v>
      </c>
      <c r="H2115" s="157" t="s">
        <v>1287</v>
      </c>
      <c r="I2115" s="157" t="s">
        <v>1339</v>
      </c>
      <c r="J2115" s="157" t="s">
        <v>1455</v>
      </c>
      <c r="K2115" s="157" t="s">
        <v>1269</v>
      </c>
      <c r="L2115" s="157" t="s">
        <v>8488</v>
      </c>
      <c r="M2115" s="157" t="str">
        <f t="shared" si="44"/>
        <v>Taillamp Assy' LED Left - Single - Rear Lamps L</v>
      </c>
      <c r="N2115" s="157"/>
      <c r="O2115" s="157"/>
      <c r="P2115" s="159" t="s">
        <v>7510</v>
      </c>
      <c r="Q2115" s="157"/>
      <c r="R2115" s="157"/>
      <c r="S2115" s="157"/>
      <c r="T2115" s="157"/>
      <c r="U2115" s="159" t="s">
        <v>2129</v>
      </c>
      <c r="V2115" s="159" t="s">
        <v>2129</v>
      </c>
      <c r="W2115" s="159" t="s">
        <v>2129</v>
      </c>
      <c r="X2115" s="160">
        <v>0.21</v>
      </c>
      <c r="Y2115" s="160">
        <v>0.09</v>
      </c>
      <c r="Z2115" s="160">
        <v>0.41</v>
      </c>
      <c r="AA2115" s="160">
        <v>0.28000000000000003</v>
      </c>
    </row>
    <row r="2116" spans="1:27" ht="18" customHeight="1" x14ac:dyDescent="0.25">
      <c r="A2116" s="159">
        <v>4602</v>
      </c>
      <c r="B2116" s="157" t="s">
        <v>29</v>
      </c>
      <c r="C2116" s="157" t="s">
        <v>30</v>
      </c>
      <c r="D2116" s="159" t="s">
        <v>401</v>
      </c>
      <c r="E2116" s="157" t="s">
        <v>399</v>
      </c>
      <c r="F2116" s="157" t="s">
        <v>1275</v>
      </c>
      <c r="G2116" s="157" t="s">
        <v>1536</v>
      </c>
      <c r="H2116" s="157" t="s">
        <v>1287</v>
      </c>
      <c r="I2116" s="157" t="s">
        <v>1339</v>
      </c>
      <c r="J2116" s="157" t="s">
        <v>1455</v>
      </c>
      <c r="K2116" s="157" t="s">
        <v>1269</v>
      </c>
      <c r="L2116" s="157" t="s">
        <v>8488</v>
      </c>
      <c r="M2116" s="157" t="str">
        <f t="shared" si="44"/>
        <v>Taillamp Assy' LED Left - Single - Rear Lamps L</v>
      </c>
      <c r="N2116" s="157"/>
      <c r="O2116" s="157"/>
      <c r="P2116" s="159" t="s">
        <v>7510</v>
      </c>
      <c r="Q2116" s="157"/>
      <c r="R2116" s="157"/>
      <c r="S2116" s="157"/>
      <c r="T2116" s="157"/>
      <c r="U2116" s="159" t="s">
        <v>2129</v>
      </c>
      <c r="V2116" s="159" t="s">
        <v>2129</v>
      </c>
      <c r="W2116" s="159" t="s">
        <v>2129</v>
      </c>
      <c r="X2116" s="160">
        <v>0.21</v>
      </c>
      <c r="Y2116" s="160">
        <v>0.09</v>
      </c>
      <c r="Z2116" s="160">
        <v>0.41</v>
      </c>
      <c r="AA2116" s="160">
        <v>0.28000000000000003</v>
      </c>
    </row>
    <row r="2117" spans="1:27" ht="18" customHeight="1" x14ac:dyDescent="0.25">
      <c r="A2117" s="159">
        <v>4602</v>
      </c>
      <c r="B2117" s="157" t="s">
        <v>29</v>
      </c>
      <c r="C2117" s="157" t="s">
        <v>30</v>
      </c>
      <c r="D2117" s="159" t="s">
        <v>96</v>
      </c>
      <c r="E2117" s="157" t="s">
        <v>402</v>
      </c>
      <c r="F2117" s="157" t="s">
        <v>1275</v>
      </c>
      <c r="G2117" s="157" t="s">
        <v>1536</v>
      </c>
      <c r="H2117" s="157" t="s">
        <v>1287</v>
      </c>
      <c r="I2117" s="157" t="s">
        <v>1339</v>
      </c>
      <c r="J2117" s="157" t="s">
        <v>1455</v>
      </c>
      <c r="K2117" s="157" t="s">
        <v>1269</v>
      </c>
      <c r="L2117" s="157" t="s">
        <v>8488</v>
      </c>
      <c r="M2117" s="157" t="str">
        <f t="shared" si="44"/>
        <v>Taillamp Assy' LED Left - Single - Rear Lamps L</v>
      </c>
      <c r="N2117" s="157"/>
      <c r="O2117" s="157"/>
      <c r="P2117" s="159" t="s">
        <v>7510</v>
      </c>
      <c r="Q2117" s="157"/>
      <c r="R2117" s="157"/>
      <c r="S2117" s="157"/>
      <c r="T2117" s="157"/>
      <c r="U2117" s="159" t="s">
        <v>2129</v>
      </c>
      <c r="V2117" s="159" t="s">
        <v>2129</v>
      </c>
      <c r="W2117" s="159" t="s">
        <v>2129</v>
      </c>
      <c r="X2117" s="160">
        <v>0.21</v>
      </c>
      <c r="Y2117" s="160">
        <v>0.09</v>
      </c>
      <c r="Z2117" s="160">
        <v>0.41</v>
      </c>
      <c r="AA2117" s="160">
        <v>0.28000000000000003</v>
      </c>
    </row>
    <row r="2118" spans="1:27" ht="18" customHeight="1" x14ac:dyDescent="0.25">
      <c r="A2118" s="159">
        <v>4602</v>
      </c>
      <c r="B2118" s="157" t="s">
        <v>29</v>
      </c>
      <c r="C2118" s="157" t="s">
        <v>30</v>
      </c>
      <c r="D2118" s="159" t="s">
        <v>34</v>
      </c>
      <c r="E2118" s="157" t="s">
        <v>404</v>
      </c>
      <c r="F2118" s="157" t="s">
        <v>1275</v>
      </c>
      <c r="G2118" s="157" t="s">
        <v>1536</v>
      </c>
      <c r="H2118" s="157" t="s">
        <v>1287</v>
      </c>
      <c r="I2118" s="157" t="s">
        <v>1339</v>
      </c>
      <c r="J2118" s="157" t="s">
        <v>1455</v>
      </c>
      <c r="K2118" s="157" t="s">
        <v>1269</v>
      </c>
      <c r="L2118" s="157" t="s">
        <v>8488</v>
      </c>
      <c r="M2118" s="157" t="str">
        <f t="shared" si="44"/>
        <v>Taillamp Assy' LED Left - Single - Rear Lamps L</v>
      </c>
      <c r="N2118" s="157"/>
      <c r="O2118" s="157"/>
      <c r="P2118" s="159" t="s">
        <v>7510</v>
      </c>
      <c r="Q2118" s="157"/>
      <c r="R2118" s="157"/>
      <c r="S2118" s="157"/>
      <c r="T2118" s="157"/>
      <c r="U2118" s="159" t="s">
        <v>2129</v>
      </c>
      <c r="V2118" s="159" t="s">
        <v>2129</v>
      </c>
      <c r="W2118" s="159" t="s">
        <v>2129</v>
      </c>
      <c r="X2118" s="160">
        <v>0.21</v>
      </c>
      <c r="Y2118" s="160">
        <v>0.09</v>
      </c>
      <c r="Z2118" s="160">
        <v>0.41</v>
      </c>
      <c r="AA2118" s="160">
        <v>0.28000000000000003</v>
      </c>
    </row>
    <row r="2119" spans="1:27" ht="18" customHeight="1" x14ac:dyDescent="0.25">
      <c r="A2119" s="159">
        <v>4602</v>
      </c>
      <c r="B2119" s="157" t="s">
        <v>29</v>
      </c>
      <c r="C2119" s="157" t="s">
        <v>30</v>
      </c>
      <c r="D2119" s="159" t="s">
        <v>408</v>
      </c>
      <c r="E2119" s="157" t="s">
        <v>406</v>
      </c>
      <c r="F2119" s="157" t="s">
        <v>1264</v>
      </c>
      <c r="G2119" s="157" t="s">
        <v>1536</v>
      </c>
      <c r="H2119" s="157" t="s">
        <v>1287</v>
      </c>
      <c r="I2119" s="157" t="s">
        <v>1339</v>
      </c>
      <c r="J2119" s="157" t="s">
        <v>1455</v>
      </c>
      <c r="K2119" s="157" t="s">
        <v>1269</v>
      </c>
      <c r="L2119" s="157" t="s">
        <v>8488</v>
      </c>
      <c r="M2119" s="157" t="str">
        <f t="shared" si="44"/>
        <v>Taillamp Assy' LED Left - Single - Rear Lamps L</v>
      </c>
      <c r="N2119" s="157"/>
      <c r="O2119" s="157"/>
      <c r="P2119" s="159" t="s">
        <v>7510</v>
      </c>
      <c r="Q2119" s="157"/>
      <c r="R2119" s="157"/>
      <c r="S2119" s="157"/>
      <c r="T2119" s="157"/>
      <c r="U2119" s="159" t="s">
        <v>2129</v>
      </c>
      <c r="V2119" s="159" t="s">
        <v>2129</v>
      </c>
      <c r="W2119" s="159" t="s">
        <v>2129</v>
      </c>
      <c r="X2119" s="160">
        <v>0.21</v>
      </c>
      <c r="Y2119" s="160">
        <v>0.09</v>
      </c>
      <c r="Z2119" s="160">
        <v>0.41</v>
      </c>
      <c r="AA2119" s="160">
        <v>0.28000000000000003</v>
      </c>
    </row>
    <row r="2120" spans="1:27" ht="18" customHeight="1" x14ac:dyDescent="0.25">
      <c r="A2120" s="159">
        <v>4602</v>
      </c>
      <c r="B2120" s="157" t="s">
        <v>29</v>
      </c>
      <c r="C2120" s="157" t="s">
        <v>30</v>
      </c>
      <c r="D2120" s="159" t="s">
        <v>573</v>
      </c>
      <c r="E2120" s="157" t="s">
        <v>574</v>
      </c>
      <c r="F2120" s="157"/>
      <c r="G2120" s="157" t="s">
        <v>1536</v>
      </c>
      <c r="H2120" s="157" t="s">
        <v>1287</v>
      </c>
      <c r="I2120" s="157" t="s">
        <v>1339</v>
      </c>
      <c r="J2120" s="157" t="s">
        <v>1455</v>
      </c>
      <c r="K2120" s="157" t="s">
        <v>1269</v>
      </c>
      <c r="L2120" s="157" t="s">
        <v>8488</v>
      </c>
      <c r="M2120" s="157" t="str">
        <f t="shared" si="44"/>
        <v>Taillamp Assy' LED Left - Single - Rear Lamps L</v>
      </c>
      <c r="N2120" s="157"/>
      <c r="O2120" s="157"/>
      <c r="P2120" s="159" t="s">
        <v>7510</v>
      </c>
      <c r="Q2120" s="157"/>
      <c r="R2120" s="157"/>
      <c r="S2120" s="157"/>
      <c r="T2120" s="157"/>
      <c r="U2120" s="159" t="s">
        <v>2129</v>
      </c>
      <c r="V2120" s="159" t="s">
        <v>2129</v>
      </c>
      <c r="W2120" s="159" t="s">
        <v>2129</v>
      </c>
      <c r="X2120" s="160">
        <v>0.21</v>
      </c>
      <c r="Y2120" s="160">
        <v>0.09</v>
      </c>
      <c r="Z2120" s="160">
        <v>0.41</v>
      </c>
      <c r="AA2120" s="160">
        <v>0.28000000000000003</v>
      </c>
    </row>
    <row r="2121" spans="1:27" ht="18" customHeight="1" x14ac:dyDescent="0.25">
      <c r="A2121" s="159">
        <v>4602</v>
      </c>
      <c r="B2121" s="157" t="s">
        <v>251</v>
      </c>
      <c r="C2121" s="157" t="s">
        <v>366</v>
      </c>
      <c r="D2121" s="159" t="s">
        <v>494</v>
      </c>
      <c r="E2121" s="157" t="s">
        <v>492</v>
      </c>
      <c r="F2121" s="157" t="s">
        <v>1275</v>
      </c>
      <c r="G2121" s="157" t="s">
        <v>1536</v>
      </c>
      <c r="H2121" s="157" t="s">
        <v>1287</v>
      </c>
      <c r="I2121" s="157" t="s">
        <v>1339</v>
      </c>
      <c r="J2121" s="157" t="s">
        <v>1455</v>
      </c>
      <c r="K2121" s="157" t="s">
        <v>1269</v>
      </c>
      <c r="L2121" s="157" t="s">
        <v>8488</v>
      </c>
      <c r="M2121" s="157" t="str">
        <f t="shared" si="44"/>
        <v>Taillamp Assy' LED Left - Single - Rear Lamps L</v>
      </c>
      <c r="N2121" s="157"/>
      <c r="O2121" s="157"/>
      <c r="P2121" s="159" t="s">
        <v>7510</v>
      </c>
      <c r="Q2121" s="157"/>
      <c r="R2121" s="157"/>
      <c r="S2121" s="157"/>
      <c r="T2121" s="157"/>
      <c r="U2121" s="159" t="s">
        <v>2129</v>
      </c>
      <c r="V2121" s="159" t="s">
        <v>2129</v>
      </c>
      <c r="W2121" s="159" t="s">
        <v>2129</v>
      </c>
      <c r="X2121" s="160">
        <v>0.21</v>
      </c>
      <c r="Y2121" s="160">
        <v>0.09</v>
      </c>
      <c r="Z2121" s="160">
        <v>0.41</v>
      </c>
      <c r="AA2121" s="160">
        <v>0.28000000000000003</v>
      </c>
    </row>
    <row r="2122" spans="1:27" ht="18" customHeight="1" x14ac:dyDescent="0.25">
      <c r="A2122" s="159">
        <v>4603</v>
      </c>
      <c r="B2122" s="157" t="s">
        <v>29</v>
      </c>
      <c r="C2122" s="157" t="s">
        <v>30</v>
      </c>
      <c r="D2122" s="159" t="s">
        <v>33</v>
      </c>
      <c r="E2122" s="157" t="s">
        <v>31</v>
      </c>
      <c r="F2122" s="157" t="s">
        <v>1275</v>
      </c>
      <c r="G2122" s="157" t="s">
        <v>1536</v>
      </c>
      <c r="H2122" s="157" t="s">
        <v>1287</v>
      </c>
      <c r="I2122" s="157" t="s">
        <v>1339</v>
      </c>
      <c r="J2122" s="157" t="s">
        <v>2099</v>
      </c>
      <c r="K2122" s="157" t="s">
        <v>1269</v>
      </c>
      <c r="L2122" s="157" t="s">
        <v>8489</v>
      </c>
      <c r="M2122" s="157" t="str">
        <f t="shared" ref="M2122:M2185" si="45">CONCATENATE(L2122," - ",I2122)</f>
        <v>Taillamp Assy' LED Dynamic Blinker Left - Single - Rear Lamps L</v>
      </c>
      <c r="N2122" s="157"/>
      <c r="O2122" s="157"/>
      <c r="P2122" s="159" t="s">
        <v>7510</v>
      </c>
      <c r="Q2122" s="157"/>
      <c r="R2122" s="157"/>
      <c r="S2122" s="157"/>
      <c r="T2122" s="157"/>
      <c r="U2122" s="159" t="s">
        <v>2129</v>
      </c>
      <c r="V2122" s="159" t="s">
        <v>2129</v>
      </c>
      <c r="W2122" s="159" t="s">
        <v>2129</v>
      </c>
      <c r="X2122" s="160">
        <v>0.64</v>
      </c>
      <c r="Y2122" s="160">
        <v>0.49</v>
      </c>
      <c r="Z2122" s="160">
        <v>0.64</v>
      </c>
      <c r="AA2122" s="160">
        <v>0.49</v>
      </c>
    </row>
    <row r="2123" spans="1:27" ht="18" customHeight="1" x14ac:dyDescent="0.25">
      <c r="A2123" s="159">
        <v>4603</v>
      </c>
      <c r="B2123" s="157" t="s">
        <v>29</v>
      </c>
      <c r="C2123" s="157" t="s">
        <v>30</v>
      </c>
      <c r="D2123" s="159" t="s">
        <v>95</v>
      </c>
      <c r="E2123" s="157" t="s">
        <v>93</v>
      </c>
      <c r="F2123" s="157" t="s">
        <v>1275</v>
      </c>
      <c r="G2123" s="157" t="s">
        <v>1536</v>
      </c>
      <c r="H2123" s="157" t="s">
        <v>1287</v>
      </c>
      <c r="I2123" s="157" t="s">
        <v>1339</v>
      </c>
      <c r="J2123" s="157" t="s">
        <v>2099</v>
      </c>
      <c r="K2123" s="157" t="s">
        <v>1269</v>
      </c>
      <c r="L2123" s="157" t="s">
        <v>8489</v>
      </c>
      <c r="M2123" s="157" t="str">
        <f t="shared" si="45"/>
        <v>Taillamp Assy' LED Dynamic Blinker Left - Single - Rear Lamps L</v>
      </c>
      <c r="N2123" s="157"/>
      <c r="O2123" s="157"/>
      <c r="P2123" s="159" t="s">
        <v>7510</v>
      </c>
      <c r="Q2123" s="157"/>
      <c r="R2123" s="157"/>
      <c r="S2123" s="157"/>
      <c r="T2123" s="157"/>
      <c r="U2123" s="159" t="s">
        <v>2129</v>
      </c>
      <c r="V2123" s="159" t="s">
        <v>2129</v>
      </c>
      <c r="W2123" s="159" t="s">
        <v>2129</v>
      </c>
      <c r="X2123" s="160">
        <v>0.64</v>
      </c>
      <c r="Y2123" s="160">
        <v>0.49</v>
      </c>
      <c r="Z2123" s="160">
        <v>0.64</v>
      </c>
      <c r="AA2123" s="160">
        <v>0.49</v>
      </c>
    </row>
    <row r="2124" spans="1:27" ht="18" customHeight="1" x14ac:dyDescent="0.25">
      <c r="A2124" s="159">
        <v>4603</v>
      </c>
      <c r="B2124" s="157" t="s">
        <v>29</v>
      </c>
      <c r="C2124" s="157" t="s">
        <v>30</v>
      </c>
      <c r="D2124" s="159" t="s">
        <v>214</v>
      </c>
      <c r="E2124" s="157" t="s">
        <v>212</v>
      </c>
      <c r="F2124" s="157" t="s">
        <v>1264</v>
      </c>
      <c r="G2124" s="157" t="s">
        <v>1536</v>
      </c>
      <c r="H2124" s="157" t="s">
        <v>1287</v>
      </c>
      <c r="I2124" s="157" t="s">
        <v>1339</v>
      </c>
      <c r="J2124" s="157" t="s">
        <v>2099</v>
      </c>
      <c r="K2124" s="157" t="s">
        <v>1269</v>
      </c>
      <c r="L2124" s="157" t="s">
        <v>8489</v>
      </c>
      <c r="M2124" s="157" t="str">
        <f t="shared" si="45"/>
        <v>Taillamp Assy' LED Dynamic Blinker Left - Single - Rear Lamps L</v>
      </c>
      <c r="N2124" s="157"/>
      <c r="O2124" s="157"/>
      <c r="P2124" s="159" t="s">
        <v>7510</v>
      </c>
      <c r="Q2124" s="157"/>
      <c r="R2124" s="157"/>
      <c r="S2124" s="157"/>
      <c r="T2124" s="157"/>
      <c r="U2124" s="159" t="s">
        <v>2129</v>
      </c>
      <c r="V2124" s="159" t="s">
        <v>2129</v>
      </c>
      <c r="W2124" s="159" t="s">
        <v>2129</v>
      </c>
      <c r="X2124" s="160">
        <v>0.64</v>
      </c>
      <c r="Y2124" s="160">
        <v>0.49</v>
      </c>
      <c r="Z2124" s="160">
        <v>0.64</v>
      </c>
      <c r="AA2124" s="160">
        <v>0.49</v>
      </c>
    </row>
    <row r="2125" spans="1:27" ht="18" customHeight="1" x14ac:dyDescent="0.25">
      <c r="A2125" s="159">
        <v>4603</v>
      </c>
      <c r="B2125" s="157" t="s">
        <v>29</v>
      </c>
      <c r="C2125" s="157" t="s">
        <v>30</v>
      </c>
      <c r="D2125" s="159" t="s">
        <v>233</v>
      </c>
      <c r="E2125" s="157" t="s">
        <v>231</v>
      </c>
      <c r="F2125" s="157" t="s">
        <v>1264</v>
      </c>
      <c r="G2125" s="157" t="s">
        <v>1536</v>
      </c>
      <c r="H2125" s="157" t="s">
        <v>1287</v>
      </c>
      <c r="I2125" s="157" t="s">
        <v>1339</v>
      </c>
      <c r="J2125" s="157" t="s">
        <v>2099</v>
      </c>
      <c r="K2125" s="157" t="s">
        <v>1269</v>
      </c>
      <c r="L2125" s="157" t="s">
        <v>8489</v>
      </c>
      <c r="M2125" s="157" t="str">
        <f t="shared" si="45"/>
        <v>Taillamp Assy' LED Dynamic Blinker Left - Single - Rear Lamps L</v>
      </c>
      <c r="N2125" s="157"/>
      <c r="O2125" s="157"/>
      <c r="P2125" s="159" t="s">
        <v>7510</v>
      </c>
      <c r="Q2125" s="157"/>
      <c r="R2125" s="157"/>
      <c r="S2125" s="157"/>
      <c r="T2125" s="157"/>
      <c r="U2125" s="159" t="s">
        <v>2129</v>
      </c>
      <c r="V2125" s="159" t="s">
        <v>2129</v>
      </c>
      <c r="W2125" s="159" t="s">
        <v>2129</v>
      </c>
      <c r="X2125" s="160">
        <v>0.64</v>
      </c>
      <c r="Y2125" s="160">
        <v>0.49</v>
      </c>
      <c r="Z2125" s="160">
        <v>0.64</v>
      </c>
      <c r="AA2125" s="160">
        <v>0.49</v>
      </c>
    </row>
    <row r="2126" spans="1:27" ht="18" customHeight="1" x14ac:dyDescent="0.25">
      <c r="A2126" s="159">
        <v>4603</v>
      </c>
      <c r="B2126" s="157" t="s">
        <v>29</v>
      </c>
      <c r="C2126" s="157" t="s">
        <v>30</v>
      </c>
      <c r="D2126" s="159" t="s">
        <v>377</v>
      </c>
      <c r="E2126" s="157" t="s">
        <v>375</v>
      </c>
      <c r="F2126" s="157" t="s">
        <v>1264</v>
      </c>
      <c r="G2126" s="157" t="s">
        <v>1536</v>
      </c>
      <c r="H2126" s="157" t="s">
        <v>1287</v>
      </c>
      <c r="I2126" s="157" t="s">
        <v>1339</v>
      </c>
      <c r="J2126" s="157" t="s">
        <v>2099</v>
      </c>
      <c r="K2126" s="157" t="s">
        <v>1269</v>
      </c>
      <c r="L2126" s="157" t="s">
        <v>8489</v>
      </c>
      <c r="M2126" s="157" t="str">
        <f t="shared" si="45"/>
        <v>Taillamp Assy' LED Dynamic Blinker Left - Single - Rear Lamps L</v>
      </c>
      <c r="N2126" s="157"/>
      <c r="O2126" s="157"/>
      <c r="P2126" s="159" t="s">
        <v>7510</v>
      </c>
      <c r="Q2126" s="157"/>
      <c r="R2126" s="157"/>
      <c r="S2126" s="157"/>
      <c r="T2126" s="157"/>
      <c r="U2126" s="159" t="s">
        <v>2129</v>
      </c>
      <c r="V2126" s="159" t="s">
        <v>2129</v>
      </c>
      <c r="W2126" s="159" t="s">
        <v>2129</v>
      </c>
      <c r="X2126" s="160">
        <v>0.64</v>
      </c>
      <c r="Y2126" s="160">
        <v>0.49</v>
      </c>
      <c r="Z2126" s="160">
        <v>0.64</v>
      </c>
      <c r="AA2126" s="160">
        <v>0.49</v>
      </c>
    </row>
    <row r="2127" spans="1:27" ht="18" customHeight="1" x14ac:dyDescent="0.25">
      <c r="A2127" s="159">
        <v>4603</v>
      </c>
      <c r="B2127" s="157" t="s">
        <v>29</v>
      </c>
      <c r="C2127" s="157" t="s">
        <v>30</v>
      </c>
      <c r="D2127" s="159" t="s">
        <v>380</v>
      </c>
      <c r="E2127" s="157" t="s">
        <v>378</v>
      </c>
      <c r="F2127" s="157" t="s">
        <v>1264</v>
      </c>
      <c r="G2127" s="157" t="s">
        <v>1536</v>
      </c>
      <c r="H2127" s="157" t="s">
        <v>1287</v>
      </c>
      <c r="I2127" s="157" t="s">
        <v>1339</v>
      </c>
      <c r="J2127" s="157" t="s">
        <v>2099</v>
      </c>
      <c r="K2127" s="157" t="s">
        <v>1269</v>
      </c>
      <c r="L2127" s="157" t="s">
        <v>8489</v>
      </c>
      <c r="M2127" s="157" t="str">
        <f t="shared" si="45"/>
        <v>Taillamp Assy' LED Dynamic Blinker Left - Single - Rear Lamps L</v>
      </c>
      <c r="N2127" s="157"/>
      <c r="O2127" s="157"/>
      <c r="P2127" s="159" t="s">
        <v>7510</v>
      </c>
      <c r="Q2127" s="157"/>
      <c r="R2127" s="157"/>
      <c r="S2127" s="157"/>
      <c r="T2127" s="157"/>
      <c r="U2127" s="159" t="s">
        <v>2129</v>
      </c>
      <c r="V2127" s="159" t="s">
        <v>2129</v>
      </c>
      <c r="W2127" s="159" t="s">
        <v>2129</v>
      </c>
      <c r="X2127" s="160">
        <v>0.64</v>
      </c>
      <c r="Y2127" s="160">
        <v>0.49</v>
      </c>
      <c r="Z2127" s="160">
        <v>0.64</v>
      </c>
      <c r="AA2127" s="160">
        <v>0.49</v>
      </c>
    </row>
    <row r="2128" spans="1:27" ht="18" customHeight="1" x14ac:dyDescent="0.25">
      <c r="A2128" s="159">
        <v>4603</v>
      </c>
      <c r="B2128" s="157" t="s">
        <v>29</v>
      </c>
      <c r="C2128" s="157" t="s">
        <v>30</v>
      </c>
      <c r="D2128" s="159" t="s">
        <v>398</v>
      </c>
      <c r="E2128" s="157" t="s">
        <v>396</v>
      </c>
      <c r="F2128" s="157" t="s">
        <v>1264</v>
      </c>
      <c r="G2128" s="157" t="s">
        <v>1536</v>
      </c>
      <c r="H2128" s="157" t="s">
        <v>1287</v>
      </c>
      <c r="I2128" s="157" t="s">
        <v>1339</v>
      </c>
      <c r="J2128" s="157" t="s">
        <v>2099</v>
      </c>
      <c r="K2128" s="157" t="s">
        <v>1269</v>
      </c>
      <c r="L2128" s="157" t="s">
        <v>8489</v>
      </c>
      <c r="M2128" s="157" t="str">
        <f t="shared" si="45"/>
        <v>Taillamp Assy' LED Dynamic Blinker Left - Single - Rear Lamps L</v>
      </c>
      <c r="N2128" s="157"/>
      <c r="O2128" s="157"/>
      <c r="P2128" s="159" t="s">
        <v>7510</v>
      </c>
      <c r="Q2128" s="157"/>
      <c r="R2128" s="157"/>
      <c r="S2128" s="157"/>
      <c r="T2128" s="157"/>
      <c r="U2128" s="159" t="s">
        <v>2129</v>
      </c>
      <c r="V2128" s="159" t="s">
        <v>2129</v>
      </c>
      <c r="W2128" s="159" t="s">
        <v>2129</v>
      </c>
      <c r="X2128" s="160">
        <v>0.64</v>
      </c>
      <c r="Y2128" s="160">
        <v>0.49</v>
      </c>
      <c r="Z2128" s="160">
        <v>0.64</v>
      </c>
      <c r="AA2128" s="160">
        <v>0.49</v>
      </c>
    </row>
    <row r="2129" spans="1:27" ht="18" customHeight="1" x14ac:dyDescent="0.25">
      <c r="A2129" s="159">
        <v>4603</v>
      </c>
      <c r="B2129" s="157" t="s">
        <v>29</v>
      </c>
      <c r="C2129" s="157" t="s">
        <v>30</v>
      </c>
      <c r="D2129" s="159" t="s">
        <v>401</v>
      </c>
      <c r="E2129" s="157" t="s">
        <v>399</v>
      </c>
      <c r="F2129" s="157" t="s">
        <v>1275</v>
      </c>
      <c r="G2129" s="157" t="s">
        <v>1536</v>
      </c>
      <c r="H2129" s="157" t="s">
        <v>1287</v>
      </c>
      <c r="I2129" s="157" t="s">
        <v>1339</v>
      </c>
      <c r="J2129" s="157" t="s">
        <v>2099</v>
      </c>
      <c r="K2129" s="157" t="s">
        <v>1269</v>
      </c>
      <c r="L2129" s="157" t="s">
        <v>8489</v>
      </c>
      <c r="M2129" s="157" t="str">
        <f t="shared" si="45"/>
        <v>Taillamp Assy' LED Dynamic Blinker Left - Single - Rear Lamps L</v>
      </c>
      <c r="N2129" s="157"/>
      <c r="O2129" s="157"/>
      <c r="P2129" s="159" t="s">
        <v>7510</v>
      </c>
      <c r="Q2129" s="157"/>
      <c r="R2129" s="157"/>
      <c r="S2129" s="157"/>
      <c r="T2129" s="157"/>
      <c r="U2129" s="159" t="s">
        <v>2129</v>
      </c>
      <c r="V2129" s="159" t="s">
        <v>2129</v>
      </c>
      <c r="W2129" s="159" t="s">
        <v>2129</v>
      </c>
      <c r="X2129" s="160">
        <v>0.64</v>
      </c>
      <c r="Y2129" s="160">
        <v>0.49</v>
      </c>
      <c r="Z2129" s="160">
        <v>0.64</v>
      </c>
      <c r="AA2129" s="160">
        <v>0.49</v>
      </c>
    </row>
    <row r="2130" spans="1:27" ht="18" customHeight="1" x14ac:dyDescent="0.25">
      <c r="A2130" s="159">
        <v>4603</v>
      </c>
      <c r="B2130" s="157" t="s">
        <v>29</v>
      </c>
      <c r="C2130" s="157" t="s">
        <v>30</v>
      </c>
      <c r="D2130" s="159" t="s">
        <v>96</v>
      </c>
      <c r="E2130" s="157" t="s">
        <v>402</v>
      </c>
      <c r="F2130" s="157" t="s">
        <v>1275</v>
      </c>
      <c r="G2130" s="157" t="s">
        <v>1536</v>
      </c>
      <c r="H2130" s="157" t="s">
        <v>1287</v>
      </c>
      <c r="I2130" s="157" t="s">
        <v>1339</v>
      </c>
      <c r="J2130" s="157" t="s">
        <v>2099</v>
      </c>
      <c r="K2130" s="157" t="s">
        <v>1269</v>
      </c>
      <c r="L2130" s="157" t="s">
        <v>8489</v>
      </c>
      <c r="M2130" s="157" t="str">
        <f t="shared" si="45"/>
        <v>Taillamp Assy' LED Dynamic Blinker Left - Single - Rear Lamps L</v>
      </c>
      <c r="N2130" s="157"/>
      <c r="O2130" s="157"/>
      <c r="P2130" s="159" t="s">
        <v>7510</v>
      </c>
      <c r="Q2130" s="157"/>
      <c r="R2130" s="157"/>
      <c r="S2130" s="157"/>
      <c r="T2130" s="157"/>
      <c r="U2130" s="159" t="s">
        <v>2129</v>
      </c>
      <c r="V2130" s="159" t="s">
        <v>2129</v>
      </c>
      <c r="W2130" s="159" t="s">
        <v>2129</v>
      </c>
      <c r="X2130" s="160">
        <v>0.64</v>
      </c>
      <c r="Y2130" s="160">
        <v>0.49</v>
      </c>
      <c r="Z2130" s="160">
        <v>0.64</v>
      </c>
      <c r="AA2130" s="160">
        <v>0.49</v>
      </c>
    </row>
    <row r="2131" spans="1:27" ht="18" customHeight="1" x14ac:dyDescent="0.25">
      <c r="A2131" s="159">
        <v>4603</v>
      </c>
      <c r="B2131" s="157" t="s">
        <v>29</v>
      </c>
      <c r="C2131" s="157" t="s">
        <v>30</v>
      </c>
      <c r="D2131" s="159" t="s">
        <v>34</v>
      </c>
      <c r="E2131" s="157" t="s">
        <v>404</v>
      </c>
      <c r="F2131" s="157" t="s">
        <v>1275</v>
      </c>
      <c r="G2131" s="157" t="s">
        <v>1536</v>
      </c>
      <c r="H2131" s="157" t="s">
        <v>1287</v>
      </c>
      <c r="I2131" s="157" t="s">
        <v>1339</v>
      </c>
      <c r="J2131" s="157" t="s">
        <v>2099</v>
      </c>
      <c r="K2131" s="157" t="s">
        <v>1269</v>
      </c>
      <c r="L2131" s="157" t="s">
        <v>8489</v>
      </c>
      <c r="M2131" s="157" t="str">
        <f t="shared" si="45"/>
        <v>Taillamp Assy' LED Dynamic Blinker Left - Single - Rear Lamps L</v>
      </c>
      <c r="N2131" s="157"/>
      <c r="O2131" s="157"/>
      <c r="P2131" s="159" t="s">
        <v>7510</v>
      </c>
      <c r="Q2131" s="157"/>
      <c r="R2131" s="157"/>
      <c r="S2131" s="157"/>
      <c r="T2131" s="157"/>
      <c r="U2131" s="159" t="s">
        <v>2129</v>
      </c>
      <c r="V2131" s="159" t="s">
        <v>2129</v>
      </c>
      <c r="W2131" s="159" t="s">
        <v>2129</v>
      </c>
      <c r="X2131" s="160">
        <v>0.64</v>
      </c>
      <c r="Y2131" s="160">
        <v>0.49</v>
      </c>
      <c r="Z2131" s="160">
        <v>0.64</v>
      </c>
      <c r="AA2131" s="160">
        <v>0.49</v>
      </c>
    </row>
    <row r="2132" spans="1:27" ht="18" customHeight="1" x14ac:dyDescent="0.25">
      <c r="A2132" s="159">
        <v>4603</v>
      </c>
      <c r="B2132" s="157" t="s">
        <v>29</v>
      </c>
      <c r="C2132" s="157" t="s">
        <v>30</v>
      </c>
      <c r="D2132" s="159" t="s">
        <v>408</v>
      </c>
      <c r="E2132" s="157" t="s">
        <v>406</v>
      </c>
      <c r="F2132" s="157" t="s">
        <v>1264</v>
      </c>
      <c r="G2132" s="157" t="s">
        <v>1536</v>
      </c>
      <c r="H2132" s="157" t="s">
        <v>1287</v>
      </c>
      <c r="I2132" s="157" t="s">
        <v>1339</v>
      </c>
      <c r="J2132" s="157" t="s">
        <v>2099</v>
      </c>
      <c r="K2132" s="157" t="s">
        <v>1269</v>
      </c>
      <c r="L2132" s="157" t="s">
        <v>8489</v>
      </c>
      <c r="M2132" s="157" t="str">
        <f t="shared" si="45"/>
        <v>Taillamp Assy' LED Dynamic Blinker Left - Single - Rear Lamps L</v>
      </c>
      <c r="N2132" s="157"/>
      <c r="O2132" s="157"/>
      <c r="P2132" s="159" t="s">
        <v>7510</v>
      </c>
      <c r="Q2132" s="157"/>
      <c r="R2132" s="157"/>
      <c r="S2132" s="157"/>
      <c r="T2132" s="157"/>
      <c r="U2132" s="159" t="s">
        <v>2129</v>
      </c>
      <c r="V2132" s="159" t="s">
        <v>2129</v>
      </c>
      <c r="W2132" s="159" t="s">
        <v>2129</v>
      </c>
      <c r="X2132" s="160">
        <v>0.64</v>
      </c>
      <c r="Y2132" s="160">
        <v>0.49</v>
      </c>
      <c r="Z2132" s="160">
        <v>0.64</v>
      </c>
      <c r="AA2132" s="160">
        <v>0.49</v>
      </c>
    </row>
    <row r="2133" spans="1:27" ht="18" customHeight="1" x14ac:dyDescent="0.25">
      <c r="A2133" s="159">
        <v>4603</v>
      </c>
      <c r="B2133" s="157" t="s">
        <v>29</v>
      </c>
      <c r="C2133" s="157" t="s">
        <v>30</v>
      </c>
      <c r="D2133" s="159" t="s">
        <v>573</v>
      </c>
      <c r="E2133" s="157" t="s">
        <v>574</v>
      </c>
      <c r="F2133" s="157"/>
      <c r="G2133" s="157" t="s">
        <v>1536</v>
      </c>
      <c r="H2133" s="157" t="s">
        <v>1287</v>
      </c>
      <c r="I2133" s="157" t="s">
        <v>1339</v>
      </c>
      <c r="J2133" s="157" t="s">
        <v>2099</v>
      </c>
      <c r="K2133" s="157" t="s">
        <v>1269</v>
      </c>
      <c r="L2133" s="157" t="s">
        <v>8489</v>
      </c>
      <c r="M2133" s="157" t="str">
        <f t="shared" si="45"/>
        <v>Taillamp Assy' LED Dynamic Blinker Left - Single - Rear Lamps L</v>
      </c>
      <c r="N2133" s="157"/>
      <c r="O2133" s="157"/>
      <c r="P2133" s="159" t="s">
        <v>7510</v>
      </c>
      <c r="Q2133" s="157"/>
      <c r="R2133" s="157"/>
      <c r="S2133" s="157"/>
      <c r="T2133" s="157"/>
      <c r="U2133" s="159" t="s">
        <v>2129</v>
      </c>
      <c r="V2133" s="159" t="s">
        <v>2129</v>
      </c>
      <c r="W2133" s="159" t="s">
        <v>2129</v>
      </c>
      <c r="X2133" s="160">
        <v>0.64</v>
      </c>
      <c r="Y2133" s="160">
        <v>0.49</v>
      </c>
      <c r="Z2133" s="160">
        <v>0.64</v>
      </c>
      <c r="AA2133" s="160">
        <v>0.49</v>
      </c>
    </row>
    <row r="2134" spans="1:27" ht="18" customHeight="1" x14ac:dyDescent="0.25">
      <c r="A2134" s="159">
        <v>4603</v>
      </c>
      <c r="B2134" s="157" t="s">
        <v>251</v>
      </c>
      <c r="C2134" s="157" t="s">
        <v>366</v>
      </c>
      <c r="D2134" s="159" t="s">
        <v>494</v>
      </c>
      <c r="E2134" s="157" t="s">
        <v>492</v>
      </c>
      <c r="F2134" s="157" t="s">
        <v>1275</v>
      </c>
      <c r="G2134" s="157" t="s">
        <v>1536</v>
      </c>
      <c r="H2134" s="157" t="s">
        <v>1287</v>
      </c>
      <c r="I2134" s="157" t="s">
        <v>1339</v>
      </c>
      <c r="J2134" s="157" t="s">
        <v>2099</v>
      </c>
      <c r="K2134" s="157" t="s">
        <v>1269</v>
      </c>
      <c r="L2134" s="157" t="s">
        <v>8489</v>
      </c>
      <c r="M2134" s="157" t="str">
        <f t="shared" si="45"/>
        <v>Taillamp Assy' LED Dynamic Blinker Left - Single - Rear Lamps L</v>
      </c>
      <c r="N2134" s="157"/>
      <c r="O2134" s="157"/>
      <c r="P2134" s="159" t="s">
        <v>7510</v>
      </c>
      <c r="Q2134" s="157"/>
      <c r="R2134" s="157"/>
      <c r="S2134" s="157"/>
      <c r="T2134" s="157"/>
      <c r="U2134" s="159" t="s">
        <v>2129</v>
      </c>
      <c r="V2134" s="159" t="s">
        <v>2129</v>
      </c>
      <c r="W2134" s="159" t="s">
        <v>2129</v>
      </c>
      <c r="X2134" s="160">
        <v>0.64</v>
      </c>
      <c r="Y2134" s="160">
        <v>0.49</v>
      </c>
      <c r="Z2134" s="160">
        <v>0.64</v>
      </c>
      <c r="AA2134" s="160">
        <v>0.49</v>
      </c>
    </row>
    <row r="2135" spans="1:27" ht="18" customHeight="1" x14ac:dyDescent="0.25">
      <c r="A2135" s="159">
        <v>4604</v>
      </c>
      <c r="B2135" s="157" t="s">
        <v>29</v>
      </c>
      <c r="C2135" s="157" t="s">
        <v>30</v>
      </c>
      <c r="D2135" s="159" t="s">
        <v>33</v>
      </c>
      <c r="E2135" s="157" t="s">
        <v>31</v>
      </c>
      <c r="F2135" s="157" t="s">
        <v>1275</v>
      </c>
      <c r="G2135" s="157" t="s">
        <v>1536</v>
      </c>
      <c r="H2135" s="157" t="s">
        <v>1287</v>
      </c>
      <c r="I2135" s="157" t="s">
        <v>1339</v>
      </c>
      <c r="J2135" s="157" t="s">
        <v>1578</v>
      </c>
      <c r="K2135" s="157" t="s">
        <v>1269</v>
      </c>
      <c r="L2135" s="157" t="s">
        <v>8490</v>
      </c>
      <c r="M2135" s="157" t="str">
        <f t="shared" si="45"/>
        <v>Taillamp Assy' P21W + P10W Left - Tailgate - Rear Lamps L</v>
      </c>
      <c r="N2135" s="157"/>
      <c r="O2135" s="157"/>
      <c r="P2135" s="159" t="s">
        <v>6953</v>
      </c>
      <c r="Q2135" s="157"/>
      <c r="R2135" s="157"/>
      <c r="S2135" s="157"/>
      <c r="T2135" s="157"/>
      <c r="U2135" s="159" t="s">
        <v>2129</v>
      </c>
      <c r="V2135" s="159" t="s">
        <v>2129</v>
      </c>
      <c r="W2135" s="159" t="s">
        <v>2129</v>
      </c>
      <c r="X2135" s="160">
        <v>0</v>
      </c>
      <c r="Y2135" s="160">
        <v>0</v>
      </c>
      <c r="Z2135" s="160">
        <v>0.66</v>
      </c>
      <c r="AA2135" s="160">
        <v>0.66</v>
      </c>
    </row>
    <row r="2136" spans="1:27" ht="18" customHeight="1" x14ac:dyDescent="0.25">
      <c r="A2136" s="159">
        <v>4604</v>
      </c>
      <c r="B2136" s="157" t="s">
        <v>29</v>
      </c>
      <c r="C2136" s="157" t="s">
        <v>30</v>
      </c>
      <c r="D2136" s="159" t="s">
        <v>95</v>
      </c>
      <c r="E2136" s="157" t="s">
        <v>93</v>
      </c>
      <c r="F2136" s="157" t="s">
        <v>1275</v>
      </c>
      <c r="G2136" s="157" t="s">
        <v>1536</v>
      </c>
      <c r="H2136" s="157" t="s">
        <v>1287</v>
      </c>
      <c r="I2136" s="157" t="s">
        <v>1339</v>
      </c>
      <c r="J2136" s="157" t="s">
        <v>1578</v>
      </c>
      <c r="K2136" s="157" t="s">
        <v>1269</v>
      </c>
      <c r="L2136" s="157" t="s">
        <v>8490</v>
      </c>
      <c r="M2136" s="157" t="str">
        <f t="shared" si="45"/>
        <v>Taillamp Assy' P21W + P10W Left - Tailgate - Rear Lamps L</v>
      </c>
      <c r="N2136" s="157"/>
      <c r="O2136" s="157"/>
      <c r="P2136" s="159" t="s">
        <v>6953</v>
      </c>
      <c r="Q2136" s="157"/>
      <c r="R2136" s="157"/>
      <c r="S2136" s="157"/>
      <c r="T2136" s="157"/>
      <c r="U2136" s="159" t="s">
        <v>2129</v>
      </c>
      <c r="V2136" s="159" t="s">
        <v>2129</v>
      </c>
      <c r="W2136" s="159" t="s">
        <v>2129</v>
      </c>
      <c r="X2136" s="160">
        <v>0</v>
      </c>
      <c r="Y2136" s="160">
        <v>0</v>
      </c>
      <c r="Z2136" s="160">
        <v>0.66</v>
      </c>
      <c r="AA2136" s="160">
        <v>0.66</v>
      </c>
    </row>
    <row r="2137" spans="1:27" ht="18" customHeight="1" x14ac:dyDescent="0.25">
      <c r="A2137" s="159">
        <v>4604</v>
      </c>
      <c r="B2137" s="157" t="s">
        <v>29</v>
      </c>
      <c r="C2137" s="157" t="s">
        <v>30</v>
      </c>
      <c r="D2137" s="159" t="s">
        <v>233</v>
      </c>
      <c r="E2137" s="157" t="s">
        <v>231</v>
      </c>
      <c r="F2137" s="157" t="s">
        <v>1264</v>
      </c>
      <c r="G2137" s="157" t="s">
        <v>1536</v>
      </c>
      <c r="H2137" s="157" t="s">
        <v>1287</v>
      </c>
      <c r="I2137" s="157" t="s">
        <v>1339</v>
      </c>
      <c r="J2137" s="157" t="s">
        <v>1578</v>
      </c>
      <c r="K2137" s="157" t="s">
        <v>1269</v>
      </c>
      <c r="L2137" s="157" t="s">
        <v>8490</v>
      </c>
      <c r="M2137" s="157" t="str">
        <f t="shared" si="45"/>
        <v>Taillamp Assy' P21W + P10W Left - Tailgate - Rear Lamps L</v>
      </c>
      <c r="N2137" s="157"/>
      <c r="O2137" s="157"/>
      <c r="P2137" s="159" t="s">
        <v>6953</v>
      </c>
      <c r="Q2137" s="157"/>
      <c r="R2137" s="157"/>
      <c r="S2137" s="157"/>
      <c r="T2137" s="157"/>
      <c r="U2137" s="159" t="s">
        <v>2129</v>
      </c>
      <c r="V2137" s="159" t="s">
        <v>2129</v>
      </c>
      <c r="W2137" s="159" t="s">
        <v>2129</v>
      </c>
      <c r="X2137" s="160">
        <v>0</v>
      </c>
      <c r="Y2137" s="160">
        <v>0</v>
      </c>
      <c r="Z2137" s="160">
        <v>0.66</v>
      </c>
      <c r="AA2137" s="160">
        <v>0.66</v>
      </c>
    </row>
    <row r="2138" spans="1:27" ht="18" customHeight="1" x14ac:dyDescent="0.25">
      <c r="A2138" s="159">
        <v>4604</v>
      </c>
      <c r="B2138" s="157" t="s">
        <v>29</v>
      </c>
      <c r="C2138" s="157" t="s">
        <v>30</v>
      </c>
      <c r="D2138" s="159" t="s">
        <v>377</v>
      </c>
      <c r="E2138" s="157" t="s">
        <v>375</v>
      </c>
      <c r="F2138" s="157" t="s">
        <v>1264</v>
      </c>
      <c r="G2138" s="157" t="s">
        <v>1536</v>
      </c>
      <c r="H2138" s="157" t="s">
        <v>1287</v>
      </c>
      <c r="I2138" s="157" t="s">
        <v>1339</v>
      </c>
      <c r="J2138" s="157" t="s">
        <v>1578</v>
      </c>
      <c r="K2138" s="157" t="s">
        <v>1269</v>
      </c>
      <c r="L2138" s="157" t="s">
        <v>8490</v>
      </c>
      <c r="M2138" s="157" t="str">
        <f t="shared" si="45"/>
        <v>Taillamp Assy' P21W + P10W Left - Tailgate - Rear Lamps L</v>
      </c>
      <c r="N2138" s="157"/>
      <c r="O2138" s="157"/>
      <c r="P2138" s="159" t="s">
        <v>6953</v>
      </c>
      <c r="Q2138" s="157"/>
      <c r="R2138" s="157"/>
      <c r="S2138" s="157"/>
      <c r="T2138" s="157"/>
      <c r="U2138" s="159" t="s">
        <v>2129</v>
      </c>
      <c r="V2138" s="159" t="s">
        <v>2129</v>
      </c>
      <c r="W2138" s="159" t="s">
        <v>2129</v>
      </c>
      <c r="X2138" s="160">
        <v>0</v>
      </c>
      <c r="Y2138" s="160">
        <v>0</v>
      </c>
      <c r="Z2138" s="160">
        <v>0.66</v>
      </c>
      <c r="AA2138" s="160">
        <v>0.66</v>
      </c>
    </row>
    <row r="2139" spans="1:27" ht="18" customHeight="1" x14ac:dyDescent="0.25">
      <c r="A2139" s="159">
        <v>4604</v>
      </c>
      <c r="B2139" s="157" t="s">
        <v>29</v>
      </c>
      <c r="C2139" s="157" t="s">
        <v>30</v>
      </c>
      <c r="D2139" s="159" t="s">
        <v>380</v>
      </c>
      <c r="E2139" s="157" t="s">
        <v>378</v>
      </c>
      <c r="F2139" s="157" t="s">
        <v>1264</v>
      </c>
      <c r="G2139" s="157" t="s">
        <v>1536</v>
      </c>
      <c r="H2139" s="157" t="s">
        <v>1287</v>
      </c>
      <c r="I2139" s="157" t="s">
        <v>1339</v>
      </c>
      <c r="J2139" s="157" t="s">
        <v>1578</v>
      </c>
      <c r="K2139" s="157" t="s">
        <v>1269</v>
      </c>
      <c r="L2139" s="157" t="s">
        <v>8490</v>
      </c>
      <c r="M2139" s="157" t="str">
        <f t="shared" si="45"/>
        <v>Taillamp Assy' P21W + P10W Left - Tailgate - Rear Lamps L</v>
      </c>
      <c r="N2139" s="157"/>
      <c r="O2139" s="157"/>
      <c r="P2139" s="159" t="s">
        <v>6953</v>
      </c>
      <c r="Q2139" s="157"/>
      <c r="R2139" s="157"/>
      <c r="S2139" s="157"/>
      <c r="T2139" s="157"/>
      <c r="U2139" s="159" t="s">
        <v>2129</v>
      </c>
      <c r="V2139" s="159" t="s">
        <v>2129</v>
      </c>
      <c r="W2139" s="159" t="s">
        <v>2129</v>
      </c>
      <c r="X2139" s="160">
        <v>0</v>
      </c>
      <c r="Y2139" s="160">
        <v>0</v>
      </c>
      <c r="Z2139" s="160">
        <v>0.66</v>
      </c>
      <c r="AA2139" s="160">
        <v>0.66</v>
      </c>
    </row>
    <row r="2140" spans="1:27" ht="18" customHeight="1" x14ac:dyDescent="0.25">
      <c r="A2140" s="159">
        <v>4604</v>
      </c>
      <c r="B2140" s="157" t="s">
        <v>29</v>
      </c>
      <c r="C2140" s="157" t="s">
        <v>30</v>
      </c>
      <c r="D2140" s="159" t="s">
        <v>398</v>
      </c>
      <c r="E2140" s="157" t="s">
        <v>396</v>
      </c>
      <c r="F2140" s="157" t="s">
        <v>1264</v>
      </c>
      <c r="G2140" s="157" t="s">
        <v>1536</v>
      </c>
      <c r="H2140" s="157" t="s">
        <v>1287</v>
      </c>
      <c r="I2140" s="157" t="s">
        <v>1339</v>
      </c>
      <c r="J2140" s="157" t="s">
        <v>1578</v>
      </c>
      <c r="K2140" s="157" t="s">
        <v>1269</v>
      </c>
      <c r="L2140" s="157" t="s">
        <v>8490</v>
      </c>
      <c r="M2140" s="157" t="str">
        <f t="shared" si="45"/>
        <v>Taillamp Assy' P21W + P10W Left - Tailgate - Rear Lamps L</v>
      </c>
      <c r="N2140" s="157"/>
      <c r="O2140" s="157"/>
      <c r="P2140" s="159" t="s">
        <v>6953</v>
      </c>
      <c r="Q2140" s="157"/>
      <c r="R2140" s="157"/>
      <c r="S2140" s="157"/>
      <c r="T2140" s="157"/>
      <c r="U2140" s="159" t="s">
        <v>2129</v>
      </c>
      <c r="V2140" s="159" t="s">
        <v>2129</v>
      </c>
      <c r="W2140" s="159" t="s">
        <v>2129</v>
      </c>
      <c r="X2140" s="160">
        <v>0</v>
      </c>
      <c r="Y2140" s="160">
        <v>0</v>
      </c>
      <c r="Z2140" s="160">
        <v>0.66</v>
      </c>
      <c r="AA2140" s="160">
        <v>0.66</v>
      </c>
    </row>
    <row r="2141" spans="1:27" ht="18" customHeight="1" x14ac:dyDescent="0.25">
      <c r="A2141" s="159">
        <v>4604</v>
      </c>
      <c r="B2141" s="157" t="s">
        <v>29</v>
      </c>
      <c r="C2141" s="157" t="s">
        <v>30</v>
      </c>
      <c r="D2141" s="159" t="s">
        <v>408</v>
      </c>
      <c r="E2141" s="157" t="s">
        <v>406</v>
      </c>
      <c r="F2141" s="157" t="s">
        <v>1264</v>
      </c>
      <c r="G2141" s="157" t="s">
        <v>1536</v>
      </c>
      <c r="H2141" s="157" t="s">
        <v>1287</v>
      </c>
      <c r="I2141" s="157" t="s">
        <v>1339</v>
      </c>
      <c r="J2141" s="157" t="s">
        <v>1578</v>
      </c>
      <c r="K2141" s="157" t="s">
        <v>1269</v>
      </c>
      <c r="L2141" s="157" t="s">
        <v>8490</v>
      </c>
      <c r="M2141" s="157" t="str">
        <f t="shared" si="45"/>
        <v>Taillamp Assy' P21W + P10W Left - Tailgate - Rear Lamps L</v>
      </c>
      <c r="N2141" s="157"/>
      <c r="O2141" s="157"/>
      <c r="P2141" s="159" t="s">
        <v>6953</v>
      </c>
      <c r="Q2141" s="157"/>
      <c r="R2141" s="157"/>
      <c r="S2141" s="157"/>
      <c r="T2141" s="157"/>
      <c r="U2141" s="159" t="s">
        <v>2129</v>
      </c>
      <c r="V2141" s="159" t="s">
        <v>2129</v>
      </c>
      <c r="W2141" s="159" t="s">
        <v>2129</v>
      </c>
      <c r="X2141" s="160">
        <v>0</v>
      </c>
      <c r="Y2141" s="160">
        <v>0</v>
      </c>
      <c r="Z2141" s="160">
        <v>0.66</v>
      </c>
      <c r="AA2141" s="160">
        <v>0.66</v>
      </c>
    </row>
    <row r="2142" spans="1:27" ht="18" customHeight="1" x14ac:dyDescent="0.25">
      <c r="A2142" s="159">
        <v>4604</v>
      </c>
      <c r="B2142" s="157" t="s">
        <v>29</v>
      </c>
      <c r="C2142" s="157" t="s">
        <v>30</v>
      </c>
      <c r="D2142" s="159" t="s">
        <v>573</v>
      </c>
      <c r="E2142" s="157" t="s">
        <v>574</v>
      </c>
      <c r="F2142" s="157"/>
      <c r="G2142" s="157" t="s">
        <v>1536</v>
      </c>
      <c r="H2142" s="157" t="s">
        <v>1287</v>
      </c>
      <c r="I2142" s="157" t="s">
        <v>1339</v>
      </c>
      <c r="J2142" s="157" t="s">
        <v>1578</v>
      </c>
      <c r="K2142" s="157" t="s">
        <v>1269</v>
      </c>
      <c r="L2142" s="157" t="s">
        <v>8490</v>
      </c>
      <c r="M2142" s="157" t="str">
        <f t="shared" si="45"/>
        <v>Taillamp Assy' P21W + P10W Left - Tailgate - Rear Lamps L</v>
      </c>
      <c r="N2142" s="157"/>
      <c r="O2142" s="157"/>
      <c r="P2142" s="159" t="s">
        <v>6953</v>
      </c>
      <c r="Q2142" s="157"/>
      <c r="R2142" s="157"/>
      <c r="S2142" s="157"/>
      <c r="T2142" s="157"/>
      <c r="U2142" s="159" t="s">
        <v>2129</v>
      </c>
      <c r="V2142" s="159" t="s">
        <v>2129</v>
      </c>
      <c r="W2142" s="159" t="s">
        <v>2129</v>
      </c>
      <c r="X2142" s="160">
        <v>0</v>
      </c>
      <c r="Y2142" s="160">
        <v>0</v>
      </c>
      <c r="Z2142" s="160">
        <v>0.66</v>
      </c>
      <c r="AA2142" s="160">
        <v>0.66</v>
      </c>
    </row>
    <row r="2143" spans="1:27" ht="18" customHeight="1" x14ac:dyDescent="0.25">
      <c r="A2143" s="159">
        <v>4605</v>
      </c>
      <c r="B2143" s="157" t="s">
        <v>29</v>
      </c>
      <c r="C2143" s="157" t="s">
        <v>30</v>
      </c>
      <c r="D2143" s="159" t="s">
        <v>33</v>
      </c>
      <c r="E2143" s="157" t="s">
        <v>31</v>
      </c>
      <c r="F2143" s="157" t="s">
        <v>1275</v>
      </c>
      <c r="G2143" s="157" t="s">
        <v>1536</v>
      </c>
      <c r="H2143" s="157" t="s">
        <v>1287</v>
      </c>
      <c r="I2143" s="157" t="s">
        <v>1406</v>
      </c>
      <c r="J2143" s="157" t="s">
        <v>1578</v>
      </c>
      <c r="K2143" s="157" t="s">
        <v>1269</v>
      </c>
      <c r="L2143" s="157" t="s">
        <v>8491</v>
      </c>
      <c r="M2143" s="157" t="str">
        <f t="shared" si="45"/>
        <v>Taillamp Assy' P21W + P10W Right - Single - Rear Lamps R</v>
      </c>
      <c r="N2143" s="157"/>
      <c r="O2143" s="157"/>
      <c r="P2143" s="159" t="s">
        <v>4233</v>
      </c>
      <c r="Q2143" s="157"/>
      <c r="R2143" s="157"/>
      <c r="S2143" s="157"/>
      <c r="T2143" s="157"/>
      <c r="U2143" s="159" t="s">
        <v>2138</v>
      </c>
      <c r="V2143" s="159" t="s">
        <v>2129</v>
      </c>
      <c r="W2143" s="159" t="s">
        <v>2129</v>
      </c>
      <c r="X2143" s="160">
        <v>0.23</v>
      </c>
      <c r="Y2143" s="160">
        <v>0.11</v>
      </c>
      <c r="Z2143" s="160">
        <v>0.45</v>
      </c>
      <c r="AA2143" s="160">
        <v>0.32</v>
      </c>
    </row>
    <row r="2144" spans="1:27" ht="18" customHeight="1" x14ac:dyDescent="0.25">
      <c r="A2144" s="159">
        <v>4605</v>
      </c>
      <c r="B2144" s="157" t="s">
        <v>29</v>
      </c>
      <c r="C2144" s="157" t="s">
        <v>30</v>
      </c>
      <c r="D2144" s="159" t="s">
        <v>95</v>
      </c>
      <c r="E2144" s="157" t="s">
        <v>93</v>
      </c>
      <c r="F2144" s="157" t="s">
        <v>1275</v>
      </c>
      <c r="G2144" s="157" t="s">
        <v>1536</v>
      </c>
      <c r="H2144" s="157" t="s">
        <v>1287</v>
      </c>
      <c r="I2144" s="157" t="s">
        <v>1406</v>
      </c>
      <c r="J2144" s="157" t="s">
        <v>1578</v>
      </c>
      <c r="K2144" s="157" t="s">
        <v>1269</v>
      </c>
      <c r="L2144" s="157" t="s">
        <v>8491</v>
      </c>
      <c r="M2144" s="157" t="str">
        <f t="shared" si="45"/>
        <v>Taillamp Assy' P21W + P10W Right - Single - Rear Lamps R</v>
      </c>
      <c r="N2144" s="157"/>
      <c r="O2144" s="157"/>
      <c r="P2144" s="159" t="s">
        <v>4233</v>
      </c>
      <c r="Q2144" s="157"/>
      <c r="R2144" s="157"/>
      <c r="S2144" s="157"/>
      <c r="T2144" s="157"/>
      <c r="U2144" s="159" t="s">
        <v>2138</v>
      </c>
      <c r="V2144" s="159" t="s">
        <v>2129</v>
      </c>
      <c r="W2144" s="159" t="s">
        <v>2129</v>
      </c>
      <c r="X2144" s="160">
        <v>0.23</v>
      </c>
      <c r="Y2144" s="160">
        <v>0.11</v>
      </c>
      <c r="Z2144" s="160">
        <v>0.45</v>
      </c>
      <c r="AA2144" s="160">
        <v>0.32</v>
      </c>
    </row>
    <row r="2145" spans="1:27" ht="18" customHeight="1" x14ac:dyDescent="0.25">
      <c r="A2145" s="159">
        <v>4605</v>
      </c>
      <c r="B2145" s="157" t="s">
        <v>29</v>
      </c>
      <c r="C2145" s="157" t="s">
        <v>30</v>
      </c>
      <c r="D2145" s="159" t="s">
        <v>214</v>
      </c>
      <c r="E2145" s="157" t="s">
        <v>212</v>
      </c>
      <c r="F2145" s="157" t="s">
        <v>1264</v>
      </c>
      <c r="G2145" s="157" t="s">
        <v>1536</v>
      </c>
      <c r="H2145" s="157" t="s">
        <v>1287</v>
      </c>
      <c r="I2145" s="157" t="s">
        <v>1406</v>
      </c>
      <c r="J2145" s="157" t="s">
        <v>1578</v>
      </c>
      <c r="K2145" s="157" t="s">
        <v>1269</v>
      </c>
      <c r="L2145" s="157" t="s">
        <v>8491</v>
      </c>
      <c r="M2145" s="157" t="str">
        <f t="shared" si="45"/>
        <v>Taillamp Assy' P21W + P10W Right - Single - Rear Lamps R</v>
      </c>
      <c r="N2145" s="157"/>
      <c r="O2145" s="157"/>
      <c r="P2145" s="159" t="s">
        <v>4233</v>
      </c>
      <c r="Q2145" s="157"/>
      <c r="R2145" s="157"/>
      <c r="S2145" s="157"/>
      <c r="T2145" s="157"/>
      <c r="U2145" s="159" t="s">
        <v>2138</v>
      </c>
      <c r="V2145" s="159" t="s">
        <v>2129</v>
      </c>
      <c r="W2145" s="159" t="s">
        <v>2129</v>
      </c>
      <c r="X2145" s="160">
        <v>0.23</v>
      </c>
      <c r="Y2145" s="160">
        <v>0.11</v>
      </c>
      <c r="Z2145" s="160">
        <v>0.45</v>
      </c>
      <c r="AA2145" s="160">
        <v>0.32</v>
      </c>
    </row>
    <row r="2146" spans="1:27" ht="18" customHeight="1" x14ac:dyDescent="0.25">
      <c r="A2146" s="159">
        <v>4605</v>
      </c>
      <c r="B2146" s="157" t="s">
        <v>29</v>
      </c>
      <c r="C2146" s="157" t="s">
        <v>30</v>
      </c>
      <c r="D2146" s="159" t="s">
        <v>233</v>
      </c>
      <c r="E2146" s="157" t="s">
        <v>231</v>
      </c>
      <c r="F2146" s="157" t="s">
        <v>1264</v>
      </c>
      <c r="G2146" s="157" t="s">
        <v>1536</v>
      </c>
      <c r="H2146" s="157" t="s">
        <v>1287</v>
      </c>
      <c r="I2146" s="157" t="s">
        <v>1406</v>
      </c>
      <c r="J2146" s="157" t="s">
        <v>1578</v>
      </c>
      <c r="K2146" s="157" t="s">
        <v>1269</v>
      </c>
      <c r="L2146" s="157" t="s">
        <v>8491</v>
      </c>
      <c r="M2146" s="157" t="str">
        <f t="shared" si="45"/>
        <v>Taillamp Assy' P21W + P10W Right - Single - Rear Lamps R</v>
      </c>
      <c r="N2146" s="157"/>
      <c r="O2146" s="157"/>
      <c r="P2146" s="159" t="s">
        <v>4233</v>
      </c>
      <c r="Q2146" s="157"/>
      <c r="R2146" s="157"/>
      <c r="S2146" s="157"/>
      <c r="T2146" s="157"/>
      <c r="U2146" s="159" t="s">
        <v>2138</v>
      </c>
      <c r="V2146" s="159" t="s">
        <v>2129</v>
      </c>
      <c r="W2146" s="159" t="s">
        <v>2129</v>
      </c>
      <c r="X2146" s="160">
        <v>0.23</v>
      </c>
      <c r="Y2146" s="160">
        <v>0.11</v>
      </c>
      <c r="Z2146" s="160">
        <v>0.45</v>
      </c>
      <c r="AA2146" s="160">
        <v>0.32</v>
      </c>
    </row>
    <row r="2147" spans="1:27" ht="18" customHeight="1" x14ac:dyDescent="0.25">
      <c r="A2147" s="159">
        <v>4605</v>
      </c>
      <c r="B2147" s="157" t="s">
        <v>29</v>
      </c>
      <c r="C2147" s="157" t="s">
        <v>30</v>
      </c>
      <c r="D2147" s="159" t="s">
        <v>377</v>
      </c>
      <c r="E2147" s="157" t="s">
        <v>375</v>
      </c>
      <c r="F2147" s="157" t="s">
        <v>1264</v>
      </c>
      <c r="G2147" s="157" t="s">
        <v>1536</v>
      </c>
      <c r="H2147" s="157" t="s">
        <v>1287</v>
      </c>
      <c r="I2147" s="157" t="s">
        <v>1406</v>
      </c>
      <c r="J2147" s="157" t="s">
        <v>1578</v>
      </c>
      <c r="K2147" s="157" t="s">
        <v>1269</v>
      </c>
      <c r="L2147" s="157" t="s">
        <v>8491</v>
      </c>
      <c r="M2147" s="157" t="str">
        <f t="shared" si="45"/>
        <v>Taillamp Assy' P21W + P10W Right - Single - Rear Lamps R</v>
      </c>
      <c r="N2147" s="157"/>
      <c r="O2147" s="157"/>
      <c r="P2147" s="159" t="s">
        <v>4233</v>
      </c>
      <c r="Q2147" s="157"/>
      <c r="R2147" s="157"/>
      <c r="S2147" s="157"/>
      <c r="T2147" s="157"/>
      <c r="U2147" s="159" t="s">
        <v>2138</v>
      </c>
      <c r="V2147" s="159" t="s">
        <v>2129</v>
      </c>
      <c r="W2147" s="159" t="s">
        <v>2129</v>
      </c>
      <c r="X2147" s="160">
        <v>0.23</v>
      </c>
      <c r="Y2147" s="160">
        <v>0.11</v>
      </c>
      <c r="Z2147" s="160">
        <v>0.45</v>
      </c>
      <c r="AA2147" s="160">
        <v>0.32</v>
      </c>
    </row>
    <row r="2148" spans="1:27" ht="18" customHeight="1" x14ac:dyDescent="0.25">
      <c r="A2148" s="159">
        <v>4605</v>
      </c>
      <c r="B2148" s="157" t="s">
        <v>29</v>
      </c>
      <c r="C2148" s="157" t="s">
        <v>30</v>
      </c>
      <c r="D2148" s="159" t="s">
        <v>380</v>
      </c>
      <c r="E2148" s="157" t="s">
        <v>378</v>
      </c>
      <c r="F2148" s="157" t="s">
        <v>1264</v>
      </c>
      <c r="G2148" s="157" t="s">
        <v>1536</v>
      </c>
      <c r="H2148" s="157" t="s">
        <v>1287</v>
      </c>
      <c r="I2148" s="157" t="s">
        <v>1406</v>
      </c>
      <c r="J2148" s="157" t="s">
        <v>1578</v>
      </c>
      <c r="K2148" s="157" t="s">
        <v>1269</v>
      </c>
      <c r="L2148" s="157" t="s">
        <v>8491</v>
      </c>
      <c r="M2148" s="157" t="str">
        <f t="shared" si="45"/>
        <v>Taillamp Assy' P21W + P10W Right - Single - Rear Lamps R</v>
      </c>
      <c r="N2148" s="157"/>
      <c r="O2148" s="157"/>
      <c r="P2148" s="159" t="s">
        <v>4233</v>
      </c>
      <c r="Q2148" s="157"/>
      <c r="R2148" s="157"/>
      <c r="S2148" s="157"/>
      <c r="T2148" s="157"/>
      <c r="U2148" s="159" t="s">
        <v>2138</v>
      </c>
      <c r="V2148" s="159" t="s">
        <v>2129</v>
      </c>
      <c r="W2148" s="159" t="s">
        <v>2129</v>
      </c>
      <c r="X2148" s="160">
        <v>0.23</v>
      </c>
      <c r="Y2148" s="160">
        <v>0.11</v>
      </c>
      <c r="Z2148" s="160">
        <v>0.45</v>
      </c>
      <c r="AA2148" s="160">
        <v>0.32</v>
      </c>
    </row>
    <row r="2149" spans="1:27" ht="18" customHeight="1" x14ac:dyDescent="0.25">
      <c r="A2149" s="159">
        <v>4605</v>
      </c>
      <c r="B2149" s="157" t="s">
        <v>29</v>
      </c>
      <c r="C2149" s="157" t="s">
        <v>30</v>
      </c>
      <c r="D2149" s="159" t="s">
        <v>398</v>
      </c>
      <c r="E2149" s="157" t="s">
        <v>396</v>
      </c>
      <c r="F2149" s="157" t="s">
        <v>1264</v>
      </c>
      <c r="G2149" s="157" t="s">
        <v>1536</v>
      </c>
      <c r="H2149" s="157" t="s">
        <v>1287</v>
      </c>
      <c r="I2149" s="157" t="s">
        <v>1406</v>
      </c>
      <c r="J2149" s="157" t="s">
        <v>1578</v>
      </c>
      <c r="K2149" s="157" t="s">
        <v>1269</v>
      </c>
      <c r="L2149" s="157" t="s">
        <v>8491</v>
      </c>
      <c r="M2149" s="157" t="str">
        <f t="shared" si="45"/>
        <v>Taillamp Assy' P21W + P10W Right - Single - Rear Lamps R</v>
      </c>
      <c r="N2149" s="157"/>
      <c r="O2149" s="157"/>
      <c r="P2149" s="159" t="s">
        <v>4233</v>
      </c>
      <c r="Q2149" s="157"/>
      <c r="R2149" s="157"/>
      <c r="S2149" s="157"/>
      <c r="T2149" s="157"/>
      <c r="U2149" s="159" t="s">
        <v>2138</v>
      </c>
      <c r="V2149" s="159" t="s">
        <v>2129</v>
      </c>
      <c r="W2149" s="159" t="s">
        <v>2129</v>
      </c>
      <c r="X2149" s="160">
        <v>0.23</v>
      </c>
      <c r="Y2149" s="160">
        <v>0.11</v>
      </c>
      <c r="Z2149" s="160">
        <v>0.45</v>
      </c>
      <c r="AA2149" s="160">
        <v>0.32</v>
      </c>
    </row>
    <row r="2150" spans="1:27" ht="18" customHeight="1" x14ac:dyDescent="0.25">
      <c r="A2150" s="159">
        <v>4605</v>
      </c>
      <c r="B2150" s="157" t="s">
        <v>29</v>
      </c>
      <c r="C2150" s="157" t="s">
        <v>30</v>
      </c>
      <c r="D2150" s="159" t="s">
        <v>401</v>
      </c>
      <c r="E2150" s="157" t="s">
        <v>399</v>
      </c>
      <c r="F2150" s="157" t="s">
        <v>1275</v>
      </c>
      <c r="G2150" s="157" t="s">
        <v>1536</v>
      </c>
      <c r="H2150" s="157" t="s">
        <v>1287</v>
      </c>
      <c r="I2150" s="157" t="s">
        <v>1406</v>
      </c>
      <c r="J2150" s="157" t="s">
        <v>1578</v>
      </c>
      <c r="K2150" s="157" t="s">
        <v>1269</v>
      </c>
      <c r="L2150" s="157" t="s">
        <v>8491</v>
      </c>
      <c r="M2150" s="157" t="str">
        <f t="shared" si="45"/>
        <v>Taillamp Assy' P21W + P10W Right - Single - Rear Lamps R</v>
      </c>
      <c r="N2150" s="157"/>
      <c r="O2150" s="157"/>
      <c r="P2150" s="159" t="s">
        <v>4233</v>
      </c>
      <c r="Q2150" s="157"/>
      <c r="R2150" s="157"/>
      <c r="S2150" s="157"/>
      <c r="T2150" s="157"/>
      <c r="U2150" s="159" t="s">
        <v>2138</v>
      </c>
      <c r="V2150" s="159" t="s">
        <v>2129</v>
      </c>
      <c r="W2150" s="159" t="s">
        <v>2129</v>
      </c>
      <c r="X2150" s="160">
        <v>0.23</v>
      </c>
      <c r="Y2150" s="160">
        <v>0.11</v>
      </c>
      <c r="Z2150" s="160">
        <v>0.45</v>
      </c>
      <c r="AA2150" s="160">
        <v>0.32</v>
      </c>
    </row>
    <row r="2151" spans="1:27" ht="18" customHeight="1" x14ac:dyDescent="0.25">
      <c r="A2151" s="159">
        <v>4605</v>
      </c>
      <c r="B2151" s="157" t="s">
        <v>29</v>
      </c>
      <c r="C2151" s="157" t="s">
        <v>30</v>
      </c>
      <c r="D2151" s="159" t="s">
        <v>96</v>
      </c>
      <c r="E2151" s="157" t="s">
        <v>402</v>
      </c>
      <c r="F2151" s="157" t="s">
        <v>1275</v>
      </c>
      <c r="G2151" s="157" t="s">
        <v>1536</v>
      </c>
      <c r="H2151" s="157" t="s">
        <v>1287</v>
      </c>
      <c r="I2151" s="157" t="s">
        <v>1406</v>
      </c>
      <c r="J2151" s="157" t="s">
        <v>1578</v>
      </c>
      <c r="K2151" s="157" t="s">
        <v>1269</v>
      </c>
      <c r="L2151" s="157" t="s">
        <v>8491</v>
      </c>
      <c r="M2151" s="157" t="str">
        <f t="shared" si="45"/>
        <v>Taillamp Assy' P21W + P10W Right - Single - Rear Lamps R</v>
      </c>
      <c r="N2151" s="157"/>
      <c r="O2151" s="157"/>
      <c r="P2151" s="159" t="s">
        <v>4233</v>
      </c>
      <c r="Q2151" s="157"/>
      <c r="R2151" s="157"/>
      <c r="S2151" s="157"/>
      <c r="T2151" s="157"/>
      <c r="U2151" s="159" t="s">
        <v>2138</v>
      </c>
      <c r="V2151" s="159" t="s">
        <v>2129</v>
      </c>
      <c r="W2151" s="159" t="s">
        <v>2129</v>
      </c>
      <c r="X2151" s="160">
        <v>0.23</v>
      </c>
      <c r="Y2151" s="160">
        <v>0.11</v>
      </c>
      <c r="Z2151" s="160">
        <v>0.45</v>
      </c>
      <c r="AA2151" s="160">
        <v>0.32</v>
      </c>
    </row>
    <row r="2152" spans="1:27" ht="18" customHeight="1" x14ac:dyDescent="0.25">
      <c r="A2152" s="159">
        <v>4605</v>
      </c>
      <c r="B2152" s="157" t="s">
        <v>29</v>
      </c>
      <c r="C2152" s="157" t="s">
        <v>30</v>
      </c>
      <c r="D2152" s="159" t="s">
        <v>34</v>
      </c>
      <c r="E2152" s="157" t="s">
        <v>404</v>
      </c>
      <c r="F2152" s="157" t="s">
        <v>1275</v>
      </c>
      <c r="G2152" s="157" t="s">
        <v>1536</v>
      </c>
      <c r="H2152" s="157" t="s">
        <v>1287</v>
      </c>
      <c r="I2152" s="157" t="s">
        <v>1406</v>
      </c>
      <c r="J2152" s="157" t="s">
        <v>1578</v>
      </c>
      <c r="K2152" s="157" t="s">
        <v>1269</v>
      </c>
      <c r="L2152" s="157" t="s">
        <v>8491</v>
      </c>
      <c r="M2152" s="157" t="str">
        <f t="shared" si="45"/>
        <v>Taillamp Assy' P21W + P10W Right - Single - Rear Lamps R</v>
      </c>
      <c r="N2152" s="157"/>
      <c r="O2152" s="157"/>
      <c r="P2152" s="159" t="s">
        <v>4233</v>
      </c>
      <c r="Q2152" s="157"/>
      <c r="R2152" s="157"/>
      <c r="S2152" s="157"/>
      <c r="T2152" s="157"/>
      <c r="U2152" s="159" t="s">
        <v>2138</v>
      </c>
      <c r="V2152" s="159" t="s">
        <v>2129</v>
      </c>
      <c r="W2152" s="159" t="s">
        <v>2129</v>
      </c>
      <c r="X2152" s="160">
        <v>0.23</v>
      </c>
      <c r="Y2152" s="160">
        <v>0.11</v>
      </c>
      <c r="Z2152" s="160">
        <v>0.45</v>
      </c>
      <c r="AA2152" s="160">
        <v>0.32</v>
      </c>
    </row>
    <row r="2153" spans="1:27" ht="18" customHeight="1" x14ac:dyDescent="0.25">
      <c r="A2153" s="159">
        <v>4605</v>
      </c>
      <c r="B2153" s="157" t="s">
        <v>29</v>
      </c>
      <c r="C2153" s="157" t="s">
        <v>30</v>
      </c>
      <c r="D2153" s="159" t="s">
        <v>408</v>
      </c>
      <c r="E2153" s="157" t="s">
        <v>406</v>
      </c>
      <c r="F2153" s="157" t="s">
        <v>1264</v>
      </c>
      <c r="G2153" s="157" t="s">
        <v>1536</v>
      </c>
      <c r="H2153" s="157" t="s">
        <v>1287</v>
      </c>
      <c r="I2153" s="157" t="s">
        <v>1406</v>
      </c>
      <c r="J2153" s="157" t="s">
        <v>1578</v>
      </c>
      <c r="K2153" s="157" t="s">
        <v>1269</v>
      </c>
      <c r="L2153" s="157" t="s">
        <v>8491</v>
      </c>
      <c r="M2153" s="157" t="str">
        <f t="shared" si="45"/>
        <v>Taillamp Assy' P21W + P10W Right - Single - Rear Lamps R</v>
      </c>
      <c r="N2153" s="157"/>
      <c r="O2153" s="157"/>
      <c r="P2153" s="159" t="s">
        <v>4233</v>
      </c>
      <c r="Q2153" s="157"/>
      <c r="R2153" s="157"/>
      <c r="S2153" s="157"/>
      <c r="T2153" s="157"/>
      <c r="U2153" s="159" t="s">
        <v>2138</v>
      </c>
      <c r="V2153" s="159" t="s">
        <v>2129</v>
      </c>
      <c r="W2153" s="159" t="s">
        <v>2129</v>
      </c>
      <c r="X2153" s="160">
        <v>0.23</v>
      </c>
      <c r="Y2153" s="160">
        <v>0.11</v>
      </c>
      <c r="Z2153" s="160">
        <v>0.45</v>
      </c>
      <c r="AA2153" s="160">
        <v>0.32</v>
      </c>
    </row>
    <row r="2154" spans="1:27" ht="18" customHeight="1" x14ac:dyDescent="0.25">
      <c r="A2154" s="159">
        <v>4605</v>
      </c>
      <c r="B2154" s="157" t="s">
        <v>29</v>
      </c>
      <c r="C2154" s="157" t="s">
        <v>30</v>
      </c>
      <c r="D2154" s="159" t="s">
        <v>573</v>
      </c>
      <c r="E2154" s="157" t="s">
        <v>574</v>
      </c>
      <c r="F2154" s="157"/>
      <c r="G2154" s="157" t="s">
        <v>1536</v>
      </c>
      <c r="H2154" s="157" t="s">
        <v>1287</v>
      </c>
      <c r="I2154" s="157" t="s">
        <v>1406</v>
      </c>
      <c r="J2154" s="157" t="s">
        <v>1578</v>
      </c>
      <c r="K2154" s="157" t="s">
        <v>1269</v>
      </c>
      <c r="L2154" s="157" t="s">
        <v>8491</v>
      </c>
      <c r="M2154" s="157" t="str">
        <f t="shared" si="45"/>
        <v>Taillamp Assy' P21W + P10W Right - Single - Rear Lamps R</v>
      </c>
      <c r="N2154" s="157"/>
      <c r="O2154" s="157"/>
      <c r="P2154" s="159" t="s">
        <v>4233</v>
      </c>
      <c r="Q2154" s="157"/>
      <c r="R2154" s="157"/>
      <c r="S2154" s="157"/>
      <c r="T2154" s="157"/>
      <c r="U2154" s="159" t="s">
        <v>2138</v>
      </c>
      <c r="V2154" s="159" t="s">
        <v>2129</v>
      </c>
      <c r="W2154" s="159" t="s">
        <v>2129</v>
      </c>
      <c r="X2154" s="160">
        <v>0.23</v>
      </c>
      <c r="Y2154" s="160">
        <v>0.11</v>
      </c>
      <c r="Z2154" s="160">
        <v>0.45</v>
      </c>
      <c r="AA2154" s="160">
        <v>0.32</v>
      </c>
    </row>
    <row r="2155" spans="1:27" ht="18" customHeight="1" x14ac:dyDescent="0.25">
      <c r="A2155" s="159">
        <v>4605</v>
      </c>
      <c r="B2155" s="157" t="s">
        <v>251</v>
      </c>
      <c r="C2155" s="157" t="s">
        <v>366</v>
      </c>
      <c r="D2155" s="159" t="s">
        <v>494</v>
      </c>
      <c r="E2155" s="157" t="s">
        <v>492</v>
      </c>
      <c r="F2155" s="157" t="s">
        <v>1275</v>
      </c>
      <c r="G2155" s="157" t="s">
        <v>1536</v>
      </c>
      <c r="H2155" s="157" t="s">
        <v>1287</v>
      </c>
      <c r="I2155" s="157" t="s">
        <v>1406</v>
      </c>
      <c r="J2155" s="157" t="s">
        <v>1578</v>
      </c>
      <c r="K2155" s="157" t="s">
        <v>1269</v>
      </c>
      <c r="L2155" s="157" t="s">
        <v>8491</v>
      </c>
      <c r="M2155" s="157" t="str">
        <f t="shared" si="45"/>
        <v>Taillamp Assy' P21W + P10W Right - Single - Rear Lamps R</v>
      </c>
      <c r="N2155" s="157"/>
      <c r="O2155" s="157"/>
      <c r="P2155" s="159" t="s">
        <v>4233</v>
      </c>
      <c r="Q2155" s="157"/>
      <c r="R2155" s="157"/>
      <c r="S2155" s="157"/>
      <c r="T2155" s="157"/>
      <c r="U2155" s="159" t="s">
        <v>2138</v>
      </c>
      <c r="V2155" s="159" t="s">
        <v>2129</v>
      </c>
      <c r="W2155" s="159" t="s">
        <v>2129</v>
      </c>
      <c r="X2155" s="160">
        <v>0.23</v>
      </c>
      <c r="Y2155" s="160">
        <v>0.11</v>
      </c>
      <c r="Z2155" s="160">
        <v>0.45</v>
      </c>
      <c r="AA2155" s="160">
        <v>0.32</v>
      </c>
    </row>
    <row r="2156" spans="1:27" ht="18" customHeight="1" x14ac:dyDescent="0.25">
      <c r="A2156" s="159">
        <v>4606</v>
      </c>
      <c r="B2156" s="157" t="s">
        <v>29</v>
      </c>
      <c r="C2156" s="157" t="s">
        <v>30</v>
      </c>
      <c r="D2156" s="159" t="s">
        <v>33</v>
      </c>
      <c r="E2156" s="157" t="s">
        <v>31</v>
      </c>
      <c r="F2156" s="157" t="s">
        <v>1275</v>
      </c>
      <c r="G2156" s="157" t="s">
        <v>1536</v>
      </c>
      <c r="H2156" s="157" t="s">
        <v>1287</v>
      </c>
      <c r="I2156" s="157" t="s">
        <v>1406</v>
      </c>
      <c r="J2156" s="157" t="s">
        <v>1455</v>
      </c>
      <c r="K2156" s="157" t="s">
        <v>1269</v>
      </c>
      <c r="L2156" s="157" t="s">
        <v>8492</v>
      </c>
      <c r="M2156" s="157" t="str">
        <f t="shared" si="45"/>
        <v>Taillamp Assy' LED Right - Single - Rear Lamps R</v>
      </c>
      <c r="N2156" s="157"/>
      <c r="O2156" s="157"/>
      <c r="P2156" s="159" t="s">
        <v>4233</v>
      </c>
      <c r="Q2156" s="157"/>
      <c r="R2156" s="157"/>
      <c r="S2156" s="157"/>
      <c r="T2156" s="157"/>
      <c r="U2156" s="159" t="s">
        <v>2129</v>
      </c>
      <c r="V2156" s="159" t="s">
        <v>2129</v>
      </c>
      <c r="W2156" s="159" t="s">
        <v>2129</v>
      </c>
      <c r="X2156" s="160">
        <v>0.21</v>
      </c>
      <c r="Y2156" s="160">
        <v>0.09</v>
      </c>
      <c r="Z2156" s="160">
        <v>0.41</v>
      </c>
      <c r="AA2156" s="160">
        <v>0.28000000000000003</v>
      </c>
    </row>
    <row r="2157" spans="1:27" ht="18" customHeight="1" x14ac:dyDescent="0.25">
      <c r="A2157" s="159">
        <v>4606</v>
      </c>
      <c r="B2157" s="157" t="s">
        <v>29</v>
      </c>
      <c r="C2157" s="157" t="s">
        <v>30</v>
      </c>
      <c r="D2157" s="159" t="s">
        <v>95</v>
      </c>
      <c r="E2157" s="157" t="s">
        <v>93</v>
      </c>
      <c r="F2157" s="157" t="s">
        <v>1275</v>
      </c>
      <c r="G2157" s="157" t="s">
        <v>1536</v>
      </c>
      <c r="H2157" s="157" t="s">
        <v>1287</v>
      </c>
      <c r="I2157" s="157" t="s">
        <v>1406</v>
      </c>
      <c r="J2157" s="157" t="s">
        <v>1455</v>
      </c>
      <c r="K2157" s="157" t="s">
        <v>1269</v>
      </c>
      <c r="L2157" s="157" t="s">
        <v>8492</v>
      </c>
      <c r="M2157" s="157" t="str">
        <f t="shared" si="45"/>
        <v>Taillamp Assy' LED Right - Single - Rear Lamps R</v>
      </c>
      <c r="N2157" s="157"/>
      <c r="O2157" s="157"/>
      <c r="P2157" s="159" t="s">
        <v>4233</v>
      </c>
      <c r="Q2157" s="157"/>
      <c r="R2157" s="157"/>
      <c r="S2157" s="157"/>
      <c r="T2157" s="157"/>
      <c r="U2157" s="159" t="s">
        <v>2129</v>
      </c>
      <c r="V2157" s="159" t="s">
        <v>2129</v>
      </c>
      <c r="W2157" s="159" t="s">
        <v>2129</v>
      </c>
      <c r="X2157" s="160">
        <v>0.21</v>
      </c>
      <c r="Y2157" s="160">
        <v>0.09</v>
      </c>
      <c r="Z2157" s="160">
        <v>0.41</v>
      </c>
      <c r="AA2157" s="160">
        <v>0.28000000000000003</v>
      </c>
    </row>
    <row r="2158" spans="1:27" ht="18" customHeight="1" x14ac:dyDescent="0.25">
      <c r="A2158" s="159">
        <v>4606</v>
      </c>
      <c r="B2158" s="157" t="s">
        <v>29</v>
      </c>
      <c r="C2158" s="157" t="s">
        <v>30</v>
      </c>
      <c r="D2158" s="159" t="s">
        <v>214</v>
      </c>
      <c r="E2158" s="157" t="s">
        <v>212</v>
      </c>
      <c r="F2158" s="157" t="s">
        <v>1264</v>
      </c>
      <c r="G2158" s="157" t="s">
        <v>1536</v>
      </c>
      <c r="H2158" s="157" t="s">
        <v>1287</v>
      </c>
      <c r="I2158" s="157" t="s">
        <v>1406</v>
      </c>
      <c r="J2158" s="157" t="s">
        <v>1455</v>
      </c>
      <c r="K2158" s="157" t="s">
        <v>1269</v>
      </c>
      <c r="L2158" s="157" t="s">
        <v>8492</v>
      </c>
      <c r="M2158" s="157" t="str">
        <f t="shared" si="45"/>
        <v>Taillamp Assy' LED Right - Single - Rear Lamps R</v>
      </c>
      <c r="N2158" s="157"/>
      <c r="O2158" s="157"/>
      <c r="P2158" s="159" t="s">
        <v>4233</v>
      </c>
      <c r="Q2158" s="157"/>
      <c r="R2158" s="157"/>
      <c r="S2158" s="157"/>
      <c r="T2158" s="157"/>
      <c r="U2158" s="159" t="s">
        <v>2129</v>
      </c>
      <c r="V2158" s="159" t="s">
        <v>2129</v>
      </c>
      <c r="W2158" s="159" t="s">
        <v>2129</v>
      </c>
      <c r="X2158" s="160">
        <v>0.21</v>
      </c>
      <c r="Y2158" s="160">
        <v>0.09</v>
      </c>
      <c r="Z2158" s="160">
        <v>0.41</v>
      </c>
      <c r="AA2158" s="160">
        <v>0.28000000000000003</v>
      </c>
    </row>
    <row r="2159" spans="1:27" ht="18" customHeight="1" x14ac:dyDescent="0.25">
      <c r="A2159" s="159">
        <v>4606</v>
      </c>
      <c r="B2159" s="157" t="s">
        <v>29</v>
      </c>
      <c r="C2159" s="157" t="s">
        <v>30</v>
      </c>
      <c r="D2159" s="159" t="s">
        <v>233</v>
      </c>
      <c r="E2159" s="157" t="s">
        <v>231</v>
      </c>
      <c r="F2159" s="157" t="s">
        <v>1264</v>
      </c>
      <c r="G2159" s="157" t="s">
        <v>1536</v>
      </c>
      <c r="H2159" s="157" t="s">
        <v>1287</v>
      </c>
      <c r="I2159" s="157" t="s">
        <v>1406</v>
      </c>
      <c r="J2159" s="157" t="s">
        <v>1455</v>
      </c>
      <c r="K2159" s="157" t="s">
        <v>1269</v>
      </c>
      <c r="L2159" s="157" t="s">
        <v>8492</v>
      </c>
      <c r="M2159" s="157" t="str">
        <f t="shared" si="45"/>
        <v>Taillamp Assy' LED Right - Single - Rear Lamps R</v>
      </c>
      <c r="N2159" s="157"/>
      <c r="O2159" s="157"/>
      <c r="P2159" s="159" t="s">
        <v>4233</v>
      </c>
      <c r="Q2159" s="157"/>
      <c r="R2159" s="157"/>
      <c r="S2159" s="157"/>
      <c r="T2159" s="157"/>
      <c r="U2159" s="159" t="s">
        <v>2129</v>
      </c>
      <c r="V2159" s="159" t="s">
        <v>2129</v>
      </c>
      <c r="W2159" s="159" t="s">
        <v>2129</v>
      </c>
      <c r="X2159" s="160">
        <v>0.21</v>
      </c>
      <c r="Y2159" s="160">
        <v>0.09</v>
      </c>
      <c r="Z2159" s="160">
        <v>0.41</v>
      </c>
      <c r="AA2159" s="160">
        <v>0.28000000000000003</v>
      </c>
    </row>
    <row r="2160" spans="1:27" ht="18" customHeight="1" x14ac:dyDescent="0.25">
      <c r="A2160" s="159">
        <v>4606</v>
      </c>
      <c r="B2160" s="157" t="s">
        <v>29</v>
      </c>
      <c r="C2160" s="157" t="s">
        <v>30</v>
      </c>
      <c r="D2160" s="159" t="s">
        <v>377</v>
      </c>
      <c r="E2160" s="157" t="s">
        <v>375</v>
      </c>
      <c r="F2160" s="157" t="s">
        <v>1264</v>
      </c>
      <c r="G2160" s="157" t="s">
        <v>1536</v>
      </c>
      <c r="H2160" s="157" t="s">
        <v>1287</v>
      </c>
      <c r="I2160" s="157" t="s">
        <v>1406</v>
      </c>
      <c r="J2160" s="157" t="s">
        <v>1455</v>
      </c>
      <c r="K2160" s="157" t="s">
        <v>1269</v>
      </c>
      <c r="L2160" s="157" t="s">
        <v>8492</v>
      </c>
      <c r="M2160" s="157" t="str">
        <f t="shared" si="45"/>
        <v>Taillamp Assy' LED Right - Single - Rear Lamps R</v>
      </c>
      <c r="N2160" s="157"/>
      <c r="O2160" s="157"/>
      <c r="P2160" s="159" t="s">
        <v>4233</v>
      </c>
      <c r="Q2160" s="157"/>
      <c r="R2160" s="157"/>
      <c r="S2160" s="157"/>
      <c r="T2160" s="157"/>
      <c r="U2160" s="159" t="s">
        <v>2129</v>
      </c>
      <c r="V2160" s="159" t="s">
        <v>2129</v>
      </c>
      <c r="W2160" s="159" t="s">
        <v>2129</v>
      </c>
      <c r="X2160" s="160">
        <v>0.21</v>
      </c>
      <c r="Y2160" s="160">
        <v>0.09</v>
      </c>
      <c r="Z2160" s="160">
        <v>0.41</v>
      </c>
      <c r="AA2160" s="160">
        <v>0.28000000000000003</v>
      </c>
    </row>
    <row r="2161" spans="1:27" ht="18" customHeight="1" x14ac:dyDescent="0.25">
      <c r="A2161" s="159">
        <v>4606</v>
      </c>
      <c r="B2161" s="157" t="s">
        <v>29</v>
      </c>
      <c r="C2161" s="157" t="s">
        <v>30</v>
      </c>
      <c r="D2161" s="159" t="s">
        <v>380</v>
      </c>
      <c r="E2161" s="157" t="s">
        <v>378</v>
      </c>
      <c r="F2161" s="157" t="s">
        <v>1264</v>
      </c>
      <c r="G2161" s="157" t="s">
        <v>1536</v>
      </c>
      <c r="H2161" s="157" t="s">
        <v>1287</v>
      </c>
      <c r="I2161" s="157" t="s">
        <v>1406</v>
      </c>
      <c r="J2161" s="157" t="s">
        <v>1455</v>
      </c>
      <c r="K2161" s="157" t="s">
        <v>1269</v>
      </c>
      <c r="L2161" s="157" t="s">
        <v>8492</v>
      </c>
      <c r="M2161" s="157" t="str">
        <f t="shared" si="45"/>
        <v>Taillamp Assy' LED Right - Single - Rear Lamps R</v>
      </c>
      <c r="N2161" s="157"/>
      <c r="O2161" s="157"/>
      <c r="P2161" s="159" t="s">
        <v>4233</v>
      </c>
      <c r="Q2161" s="157"/>
      <c r="R2161" s="157"/>
      <c r="S2161" s="157"/>
      <c r="T2161" s="157"/>
      <c r="U2161" s="159" t="s">
        <v>2129</v>
      </c>
      <c r="V2161" s="159" t="s">
        <v>2129</v>
      </c>
      <c r="W2161" s="159" t="s">
        <v>2129</v>
      </c>
      <c r="X2161" s="160">
        <v>0.21</v>
      </c>
      <c r="Y2161" s="160">
        <v>0.09</v>
      </c>
      <c r="Z2161" s="160">
        <v>0.41</v>
      </c>
      <c r="AA2161" s="160">
        <v>0.28000000000000003</v>
      </c>
    </row>
    <row r="2162" spans="1:27" ht="18" customHeight="1" x14ac:dyDescent="0.25">
      <c r="A2162" s="159">
        <v>4606</v>
      </c>
      <c r="B2162" s="157" t="s">
        <v>29</v>
      </c>
      <c r="C2162" s="157" t="s">
        <v>30</v>
      </c>
      <c r="D2162" s="159" t="s">
        <v>398</v>
      </c>
      <c r="E2162" s="157" t="s">
        <v>396</v>
      </c>
      <c r="F2162" s="157" t="s">
        <v>1264</v>
      </c>
      <c r="G2162" s="157" t="s">
        <v>1536</v>
      </c>
      <c r="H2162" s="157" t="s">
        <v>1287</v>
      </c>
      <c r="I2162" s="157" t="s">
        <v>1406</v>
      </c>
      <c r="J2162" s="157" t="s">
        <v>1455</v>
      </c>
      <c r="K2162" s="157" t="s">
        <v>1269</v>
      </c>
      <c r="L2162" s="157" t="s">
        <v>8492</v>
      </c>
      <c r="M2162" s="157" t="str">
        <f t="shared" si="45"/>
        <v>Taillamp Assy' LED Right - Single - Rear Lamps R</v>
      </c>
      <c r="N2162" s="157"/>
      <c r="O2162" s="157"/>
      <c r="P2162" s="159" t="s">
        <v>4233</v>
      </c>
      <c r="Q2162" s="157"/>
      <c r="R2162" s="157"/>
      <c r="S2162" s="157"/>
      <c r="T2162" s="157"/>
      <c r="U2162" s="159" t="s">
        <v>2129</v>
      </c>
      <c r="V2162" s="159" t="s">
        <v>2129</v>
      </c>
      <c r="W2162" s="159" t="s">
        <v>2129</v>
      </c>
      <c r="X2162" s="160">
        <v>0.21</v>
      </c>
      <c r="Y2162" s="160">
        <v>0.09</v>
      </c>
      <c r="Z2162" s="160">
        <v>0.41</v>
      </c>
      <c r="AA2162" s="160">
        <v>0.28000000000000003</v>
      </c>
    </row>
    <row r="2163" spans="1:27" ht="18" customHeight="1" x14ac:dyDescent="0.25">
      <c r="A2163" s="159">
        <v>4606</v>
      </c>
      <c r="B2163" s="157" t="s">
        <v>29</v>
      </c>
      <c r="C2163" s="157" t="s">
        <v>30</v>
      </c>
      <c r="D2163" s="159" t="s">
        <v>401</v>
      </c>
      <c r="E2163" s="157" t="s">
        <v>399</v>
      </c>
      <c r="F2163" s="157" t="s">
        <v>1275</v>
      </c>
      <c r="G2163" s="157" t="s">
        <v>1536</v>
      </c>
      <c r="H2163" s="157" t="s">
        <v>1287</v>
      </c>
      <c r="I2163" s="157" t="s">
        <v>1406</v>
      </c>
      <c r="J2163" s="157" t="s">
        <v>1455</v>
      </c>
      <c r="K2163" s="157" t="s">
        <v>1269</v>
      </c>
      <c r="L2163" s="157" t="s">
        <v>8492</v>
      </c>
      <c r="M2163" s="157" t="str">
        <f t="shared" si="45"/>
        <v>Taillamp Assy' LED Right - Single - Rear Lamps R</v>
      </c>
      <c r="N2163" s="157"/>
      <c r="O2163" s="157"/>
      <c r="P2163" s="159" t="s">
        <v>4233</v>
      </c>
      <c r="Q2163" s="157"/>
      <c r="R2163" s="157"/>
      <c r="S2163" s="157"/>
      <c r="T2163" s="157"/>
      <c r="U2163" s="159" t="s">
        <v>2129</v>
      </c>
      <c r="V2163" s="159" t="s">
        <v>2129</v>
      </c>
      <c r="W2163" s="159" t="s">
        <v>2129</v>
      </c>
      <c r="X2163" s="160">
        <v>0.21</v>
      </c>
      <c r="Y2163" s="160">
        <v>0.09</v>
      </c>
      <c r="Z2163" s="160">
        <v>0.41</v>
      </c>
      <c r="AA2163" s="160">
        <v>0.28000000000000003</v>
      </c>
    </row>
    <row r="2164" spans="1:27" ht="18" customHeight="1" x14ac:dyDescent="0.25">
      <c r="A2164" s="159">
        <v>4606</v>
      </c>
      <c r="B2164" s="157" t="s">
        <v>29</v>
      </c>
      <c r="C2164" s="157" t="s">
        <v>30</v>
      </c>
      <c r="D2164" s="159" t="s">
        <v>96</v>
      </c>
      <c r="E2164" s="157" t="s">
        <v>402</v>
      </c>
      <c r="F2164" s="157" t="s">
        <v>1275</v>
      </c>
      <c r="G2164" s="157" t="s">
        <v>1536</v>
      </c>
      <c r="H2164" s="157" t="s">
        <v>1287</v>
      </c>
      <c r="I2164" s="157" t="s">
        <v>1406</v>
      </c>
      <c r="J2164" s="157" t="s">
        <v>1455</v>
      </c>
      <c r="K2164" s="157" t="s">
        <v>1269</v>
      </c>
      <c r="L2164" s="157" t="s">
        <v>8492</v>
      </c>
      <c r="M2164" s="157" t="str">
        <f t="shared" si="45"/>
        <v>Taillamp Assy' LED Right - Single - Rear Lamps R</v>
      </c>
      <c r="N2164" s="157"/>
      <c r="O2164" s="157"/>
      <c r="P2164" s="159" t="s">
        <v>4233</v>
      </c>
      <c r="Q2164" s="157"/>
      <c r="R2164" s="157"/>
      <c r="S2164" s="157"/>
      <c r="T2164" s="157"/>
      <c r="U2164" s="159" t="s">
        <v>2129</v>
      </c>
      <c r="V2164" s="159" t="s">
        <v>2129</v>
      </c>
      <c r="W2164" s="159" t="s">
        <v>2129</v>
      </c>
      <c r="X2164" s="160">
        <v>0.21</v>
      </c>
      <c r="Y2164" s="160">
        <v>0.09</v>
      </c>
      <c r="Z2164" s="160">
        <v>0.41</v>
      </c>
      <c r="AA2164" s="160">
        <v>0.28000000000000003</v>
      </c>
    </row>
    <row r="2165" spans="1:27" ht="18" customHeight="1" x14ac:dyDescent="0.25">
      <c r="A2165" s="159">
        <v>4606</v>
      </c>
      <c r="B2165" s="157" t="s">
        <v>29</v>
      </c>
      <c r="C2165" s="157" t="s">
        <v>30</v>
      </c>
      <c r="D2165" s="159" t="s">
        <v>34</v>
      </c>
      <c r="E2165" s="157" t="s">
        <v>404</v>
      </c>
      <c r="F2165" s="157" t="s">
        <v>1275</v>
      </c>
      <c r="G2165" s="157" t="s">
        <v>1536</v>
      </c>
      <c r="H2165" s="157" t="s">
        <v>1287</v>
      </c>
      <c r="I2165" s="157" t="s">
        <v>1406</v>
      </c>
      <c r="J2165" s="157" t="s">
        <v>1455</v>
      </c>
      <c r="K2165" s="157" t="s">
        <v>1269</v>
      </c>
      <c r="L2165" s="157" t="s">
        <v>8492</v>
      </c>
      <c r="M2165" s="157" t="str">
        <f t="shared" si="45"/>
        <v>Taillamp Assy' LED Right - Single - Rear Lamps R</v>
      </c>
      <c r="N2165" s="157"/>
      <c r="O2165" s="157"/>
      <c r="P2165" s="159" t="s">
        <v>4233</v>
      </c>
      <c r="Q2165" s="157"/>
      <c r="R2165" s="157"/>
      <c r="S2165" s="157"/>
      <c r="T2165" s="157"/>
      <c r="U2165" s="159" t="s">
        <v>2129</v>
      </c>
      <c r="V2165" s="159" t="s">
        <v>2129</v>
      </c>
      <c r="W2165" s="159" t="s">
        <v>2129</v>
      </c>
      <c r="X2165" s="160">
        <v>0.21</v>
      </c>
      <c r="Y2165" s="160">
        <v>0.09</v>
      </c>
      <c r="Z2165" s="160">
        <v>0.41</v>
      </c>
      <c r="AA2165" s="160">
        <v>0.28000000000000003</v>
      </c>
    </row>
    <row r="2166" spans="1:27" ht="18" customHeight="1" x14ac:dyDescent="0.25">
      <c r="A2166" s="159">
        <v>4606</v>
      </c>
      <c r="B2166" s="157" t="s">
        <v>29</v>
      </c>
      <c r="C2166" s="157" t="s">
        <v>30</v>
      </c>
      <c r="D2166" s="159" t="s">
        <v>408</v>
      </c>
      <c r="E2166" s="157" t="s">
        <v>406</v>
      </c>
      <c r="F2166" s="157" t="s">
        <v>1264</v>
      </c>
      <c r="G2166" s="157" t="s">
        <v>1536</v>
      </c>
      <c r="H2166" s="157" t="s">
        <v>1287</v>
      </c>
      <c r="I2166" s="157" t="s">
        <v>1406</v>
      </c>
      <c r="J2166" s="157" t="s">
        <v>1455</v>
      </c>
      <c r="K2166" s="157" t="s">
        <v>1269</v>
      </c>
      <c r="L2166" s="157" t="s">
        <v>8492</v>
      </c>
      <c r="M2166" s="157" t="str">
        <f t="shared" si="45"/>
        <v>Taillamp Assy' LED Right - Single - Rear Lamps R</v>
      </c>
      <c r="N2166" s="157"/>
      <c r="O2166" s="157"/>
      <c r="P2166" s="159" t="s">
        <v>4233</v>
      </c>
      <c r="Q2166" s="157"/>
      <c r="R2166" s="157"/>
      <c r="S2166" s="157"/>
      <c r="T2166" s="157"/>
      <c r="U2166" s="159" t="s">
        <v>2129</v>
      </c>
      <c r="V2166" s="159" t="s">
        <v>2129</v>
      </c>
      <c r="W2166" s="159" t="s">
        <v>2129</v>
      </c>
      <c r="X2166" s="160">
        <v>0.21</v>
      </c>
      <c r="Y2166" s="160">
        <v>0.09</v>
      </c>
      <c r="Z2166" s="160">
        <v>0.41</v>
      </c>
      <c r="AA2166" s="160">
        <v>0.28000000000000003</v>
      </c>
    </row>
    <row r="2167" spans="1:27" ht="18" customHeight="1" x14ac:dyDescent="0.25">
      <c r="A2167" s="159">
        <v>4606</v>
      </c>
      <c r="B2167" s="157" t="s">
        <v>29</v>
      </c>
      <c r="C2167" s="157" t="s">
        <v>30</v>
      </c>
      <c r="D2167" s="159" t="s">
        <v>573</v>
      </c>
      <c r="E2167" s="157" t="s">
        <v>574</v>
      </c>
      <c r="F2167" s="157"/>
      <c r="G2167" s="157" t="s">
        <v>1536</v>
      </c>
      <c r="H2167" s="157" t="s">
        <v>1287</v>
      </c>
      <c r="I2167" s="157" t="s">
        <v>1406</v>
      </c>
      <c r="J2167" s="157" t="s">
        <v>1455</v>
      </c>
      <c r="K2167" s="157" t="s">
        <v>1269</v>
      </c>
      <c r="L2167" s="157" t="s">
        <v>8492</v>
      </c>
      <c r="M2167" s="157" t="str">
        <f t="shared" si="45"/>
        <v>Taillamp Assy' LED Right - Single - Rear Lamps R</v>
      </c>
      <c r="N2167" s="157"/>
      <c r="O2167" s="157"/>
      <c r="P2167" s="159" t="s">
        <v>4233</v>
      </c>
      <c r="Q2167" s="157"/>
      <c r="R2167" s="157"/>
      <c r="S2167" s="157"/>
      <c r="T2167" s="157"/>
      <c r="U2167" s="159" t="s">
        <v>2129</v>
      </c>
      <c r="V2167" s="159" t="s">
        <v>2129</v>
      </c>
      <c r="W2167" s="159" t="s">
        <v>2129</v>
      </c>
      <c r="X2167" s="160">
        <v>0.21</v>
      </c>
      <c r="Y2167" s="160">
        <v>0.09</v>
      </c>
      <c r="Z2167" s="160">
        <v>0.41</v>
      </c>
      <c r="AA2167" s="160">
        <v>0.28000000000000003</v>
      </c>
    </row>
    <row r="2168" spans="1:27" ht="18" customHeight="1" x14ac:dyDescent="0.25">
      <c r="A2168" s="159">
        <v>4606</v>
      </c>
      <c r="B2168" s="157" t="s">
        <v>251</v>
      </c>
      <c r="C2168" s="157" t="s">
        <v>366</v>
      </c>
      <c r="D2168" s="159" t="s">
        <v>494</v>
      </c>
      <c r="E2168" s="157" t="s">
        <v>492</v>
      </c>
      <c r="F2168" s="157" t="s">
        <v>1275</v>
      </c>
      <c r="G2168" s="157" t="s">
        <v>1536</v>
      </c>
      <c r="H2168" s="157" t="s">
        <v>1287</v>
      </c>
      <c r="I2168" s="157" t="s">
        <v>1406</v>
      </c>
      <c r="J2168" s="157" t="s">
        <v>1455</v>
      </c>
      <c r="K2168" s="157" t="s">
        <v>1269</v>
      </c>
      <c r="L2168" s="157" t="s">
        <v>8492</v>
      </c>
      <c r="M2168" s="157" t="str">
        <f t="shared" si="45"/>
        <v>Taillamp Assy' LED Right - Single - Rear Lamps R</v>
      </c>
      <c r="N2168" s="157"/>
      <c r="O2168" s="157"/>
      <c r="P2168" s="159" t="s">
        <v>4233</v>
      </c>
      <c r="Q2168" s="157"/>
      <c r="R2168" s="157"/>
      <c r="S2168" s="157"/>
      <c r="T2168" s="157"/>
      <c r="U2168" s="159" t="s">
        <v>2129</v>
      </c>
      <c r="V2168" s="159" t="s">
        <v>2129</v>
      </c>
      <c r="W2168" s="159" t="s">
        <v>2129</v>
      </c>
      <c r="X2168" s="160">
        <v>0.21</v>
      </c>
      <c r="Y2168" s="160">
        <v>0.09</v>
      </c>
      <c r="Z2168" s="160">
        <v>0.41</v>
      </c>
      <c r="AA2168" s="160">
        <v>0.28000000000000003</v>
      </c>
    </row>
    <row r="2169" spans="1:27" ht="18" customHeight="1" x14ac:dyDescent="0.25">
      <c r="A2169" s="159">
        <v>4607</v>
      </c>
      <c r="B2169" s="157" t="s">
        <v>29</v>
      </c>
      <c r="C2169" s="157" t="s">
        <v>30</v>
      </c>
      <c r="D2169" s="159" t="s">
        <v>33</v>
      </c>
      <c r="E2169" s="157" t="s">
        <v>31</v>
      </c>
      <c r="F2169" s="157" t="s">
        <v>1275</v>
      </c>
      <c r="G2169" s="157" t="s">
        <v>1536</v>
      </c>
      <c r="H2169" s="157" t="s">
        <v>1287</v>
      </c>
      <c r="I2169" s="157" t="s">
        <v>1406</v>
      </c>
      <c r="J2169" s="157" t="s">
        <v>2099</v>
      </c>
      <c r="K2169" s="157" t="s">
        <v>1269</v>
      </c>
      <c r="L2169" s="157" t="s">
        <v>8493</v>
      </c>
      <c r="M2169" s="157" t="str">
        <f t="shared" si="45"/>
        <v>Taillamp Assy' LED Dynamic Blinker Right - Single - Rear Lamps R</v>
      </c>
      <c r="N2169" s="157"/>
      <c r="O2169" s="157"/>
      <c r="P2169" s="159" t="s">
        <v>4233</v>
      </c>
      <c r="Q2169" s="157"/>
      <c r="R2169" s="157"/>
      <c r="S2169" s="157"/>
      <c r="T2169" s="157"/>
      <c r="U2169" s="159" t="s">
        <v>2129</v>
      </c>
      <c r="V2169" s="159" t="s">
        <v>2129</v>
      </c>
      <c r="W2169" s="159" t="s">
        <v>2129</v>
      </c>
      <c r="X2169" s="160">
        <v>0.64</v>
      </c>
      <c r="Y2169" s="160">
        <v>0.49</v>
      </c>
      <c r="Z2169" s="160">
        <v>0.64</v>
      </c>
      <c r="AA2169" s="160">
        <v>0.49</v>
      </c>
    </row>
    <row r="2170" spans="1:27" ht="18" customHeight="1" x14ac:dyDescent="0.25">
      <c r="A2170" s="159">
        <v>4607</v>
      </c>
      <c r="B2170" s="157" t="s">
        <v>29</v>
      </c>
      <c r="C2170" s="157" t="s">
        <v>30</v>
      </c>
      <c r="D2170" s="159" t="s">
        <v>95</v>
      </c>
      <c r="E2170" s="157" t="s">
        <v>93</v>
      </c>
      <c r="F2170" s="157" t="s">
        <v>1275</v>
      </c>
      <c r="G2170" s="157" t="s">
        <v>1536</v>
      </c>
      <c r="H2170" s="157" t="s">
        <v>1287</v>
      </c>
      <c r="I2170" s="157" t="s">
        <v>1406</v>
      </c>
      <c r="J2170" s="157" t="s">
        <v>2099</v>
      </c>
      <c r="K2170" s="157" t="s">
        <v>1269</v>
      </c>
      <c r="L2170" s="157" t="s">
        <v>8493</v>
      </c>
      <c r="M2170" s="157" t="str">
        <f t="shared" si="45"/>
        <v>Taillamp Assy' LED Dynamic Blinker Right - Single - Rear Lamps R</v>
      </c>
      <c r="N2170" s="157"/>
      <c r="O2170" s="157"/>
      <c r="P2170" s="159" t="s">
        <v>4233</v>
      </c>
      <c r="Q2170" s="157"/>
      <c r="R2170" s="157"/>
      <c r="S2170" s="157"/>
      <c r="T2170" s="157"/>
      <c r="U2170" s="159" t="s">
        <v>2129</v>
      </c>
      <c r="V2170" s="159" t="s">
        <v>2129</v>
      </c>
      <c r="W2170" s="159" t="s">
        <v>2129</v>
      </c>
      <c r="X2170" s="160">
        <v>0.64</v>
      </c>
      <c r="Y2170" s="160">
        <v>0.49</v>
      </c>
      <c r="Z2170" s="160">
        <v>0.64</v>
      </c>
      <c r="AA2170" s="160">
        <v>0.49</v>
      </c>
    </row>
    <row r="2171" spans="1:27" ht="18" customHeight="1" x14ac:dyDescent="0.25">
      <c r="A2171" s="159">
        <v>4607</v>
      </c>
      <c r="B2171" s="157" t="s">
        <v>29</v>
      </c>
      <c r="C2171" s="157" t="s">
        <v>30</v>
      </c>
      <c r="D2171" s="159" t="s">
        <v>214</v>
      </c>
      <c r="E2171" s="157" t="s">
        <v>212</v>
      </c>
      <c r="F2171" s="157" t="s">
        <v>1264</v>
      </c>
      <c r="G2171" s="157" t="s">
        <v>1536</v>
      </c>
      <c r="H2171" s="157" t="s">
        <v>1287</v>
      </c>
      <c r="I2171" s="157" t="s">
        <v>1406</v>
      </c>
      <c r="J2171" s="157" t="s">
        <v>2099</v>
      </c>
      <c r="K2171" s="157" t="s">
        <v>1269</v>
      </c>
      <c r="L2171" s="157" t="s">
        <v>8493</v>
      </c>
      <c r="M2171" s="157" t="str">
        <f t="shared" si="45"/>
        <v>Taillamp Assy' LED Dynamic Blinker Right - Single - Rear Lamps R</v>
      </c>
      <c r="N2171" s="157"/>
      <c r="O2171" s="157"/>
      <c r="P2171" s="159" t="s">
        <v>4233</v>
      </c>
      <c r="Q2171" s="157"/>
      <c r="R2171" s="157"/>
      <c r="S2171" s="157"/>
      <c r="T2171" s="157"/>
      <c r="U2171" s="159" t="s">
        <v>2129</v>
      </c>
      <c r="V2171" s="159" t="s">
        <v>2129</v>
      </c>
      <c r="W2171" s="159" t="s">
        <v>2129</v>
      </c>
      <c r="X2171" s="160">
        <v>0.64</v>
      </c>
      <c r="Y2171" s="160">
        <v>0.49</v>
      </c>
      <c r="Z2171" s="160">
        <v>0.64</v>
      </c>
      <c r="AA2171" s="160">
        <v>0.49</v>
      </c>
    </row>
    <row r="2172" spans="1:27" ht="18" customHeight="1" x14ac:dyDescent="0.25">
      <c r="A2172" s="159">
        <v>4607</v>
      </c>
      <c r="B2172" s="157" t="s">
        <v>29</v>
      </c>
      <c r="C2172" s="157" t="s">
        <v>30</v>
      </c>
      <c r="D2172" s="159" t="s">
        <v>233</v>
      </c>
      <c r="E2172" s="157" t="s">
        <v>231</v>
      </c>
      <c r="F2172" s="157" t="s">
        <v>1264</v>
      </c>
      <c r="G2172" s="157" t="s">
        <v>1536</v>
      </c>
      <c r="H2172" s="157" t="s">
        <v>1287</v>
      </c>
      <c r="I2172" s="157" t="s">
        <v>1406</v>
      </c>
      <c r="J2172" s="157" t="s">
        <v>2099</v>
      </c>
      <c r="K2172" s="157" t="s">
        <v>1269</v>
      </c>
      <c r="L2172" s="157" t="s">
        <v>8493</v>
      </c>
      <c r="M2172" s="157" t="str">
        <f t="shared" si="45"/>
        <v>Taillamp Assy' LED Dynamic Blinker Right - Single - Rear Lamps R</v>
      </c>
      <c r="N2172" s="157"/>
      <c r="O2172" s="157"/>
      <c r="P2172" s="159" t="s">
        <v>4233</v>
      </c>
      <c r="Q2172" s="157"/>
      <c r="R2172" s="157"/>
      <c r="S2172" s="157"/>
      <c r="T2172" s="157"/>
      <c r="U2172" s="159" t="s">
        <v>2129</v>
      </c>
      <c r="V2172" s="159" t="s">
        <v>2129</v>
      </c>
      <c r="W2172" s="159" t="s">
        <v>2129</v>
      </c>
      <c r="X2172" s="160">
        <v>0.64</v>
      </c>
      <c r="Y2172" s="160">
        <v>0.49</v>
      </c>
      <c r="Z2172" s="160">
        <v>0.64</v>
      </c>
      <c r="AA2172" s="160">
        <v>0.49</v>
      </c>
    </row>
    <row r="2173" spans="1:27" ht="18" customHeight="1" x14ac:dyDescent="0.25">
      <c r="A2173" s="159">
        <v>4607</v>
      </c>
      <c r="B2173" s="157" t="s">
        <v>29</v>
      </c>
      <c r="C2173" s="157" t="s">
        <v>30</v>
      </c>
      <c r="D2173" s="159" t="s">
        <v>377</v>
      </c>
      <c r="E2173" s="157" t="s">
        <v>375</v>
      </c>
      <c r="F2173" s="157" t="s">
        <v>1264</v>
      </c>
      <c r="G2173" s="157" t="s">
        <v>1536</v>
      </c>
      <c r="H2173" s="157" t="s">
        <v>1287</v>
      </c>
      <c r="I2173" s="157" t="s">
        <v>1406</v>
      </c>
      <c r="J2173" s="157" t="s">
        <v>2099</v>
      </c>
      <c r="K2173" s="157" t="s">
        <v>1269</v>
      </c>
      <c r="L2173" s="157" t="s">
        <v>8493</v>
      </c>
      <c r="M2173" s="157" t="str">
        <f t="shared" si="45"/>
        <v>Taillamp Assy' LED Dynamic Blinker Right - Single - Rear Lamps R</v>
      </c>
      <c r="N2173" s="157"/>
      <c r="O2173" s="157"/>
      <c r="P2173" s="159" t="s">
        <v>4233</v>
      </c>
      <c r="Q2173" s="157"/>
      <c r="R2173" s="157"/>
      <c r="S2173" s="157"/>
      <c r="T2173" s="157"/>
      <c r="U2173" s="159" t="s">
        <v>2129</v>
      </c>
      <c r="V2173" s="159" t="s">
        <v>2129</v>
      </c>
      <c r="W2173" s="159" t="s">
        <v>2129</v>
      </c>
      <c r="X2173" s="160">
        <v>0.64</v>
      </c>
      <c r="Y2173" s="160">
        <v>0.49</v>
      </c>
      <c r="Z2173" s="160">
        <v>0.64</v>
      </c>
      <c r="AA2173" s="160">
        <v>0.49</v>
      </c>
    </row>
    <row r="2174" spans="1:27" ht="18" customHeight="1" x14ac:dyDescent="0.25">
      <c r="A2174" s="159">
        <v>4607</v>
      </c>
      <c r="B2174" s="157" t="s">
        <v>29</v>
      </c>
      <c r="C2174" s="157" t="s">
        <v>30</v>
      </c>
      <c r="D2174" s="159" t="s">
        <v>380</v>
      </c>
      <c r="E2174" s="157" t="s">
        <v>378</v>
      </c>
      <c r="F2174" s="157" t="s">
        <v>1264</v>
      </c>
      <c r="G2174" s="157" t="s">
        <v>1536</v>
      </c>
      <c r="H2174" s="157" t="s">
        <v>1287</v>
      </c>
      <c r="I2174" s="157" t="s">
        <v>1406</v>
      </c>
      <c r="J2174" s="157" t="s">
        <v>2099</v>
      </c>
      <c r="K2174" s="157" t="s">
        <v>1269</v>
      </c>
      <c r="L2174" s="157" t="s">
        <v>8493</v>
      </c>
      <c r="M2174" s="157" t="str">
        <f t="shared" si="45"/>
        <v>Taillamp Assy' LED Dynamic Blinker Right - Single - Rear Lamps R</v>
      </c>
      <c r="N2174" s="157"/>
      <c r="O2174" s="157"/>
      <c r="P2174" s="159" t="s">
        <v>4233</v>
      </c>
      <c r="Q2174" s="157"/>
      <c r="R2174" s="157"/>
      <c r="S2174" s="157"/>
      <c r="T2174" s="157"/>
      <c r="U2174" s="159" t="s">
        <v>2129</v>
      </c>
      <c r="V2174" s="159" t="s">
        <v>2129</v>
      </c>
      <c r="W2174" s="159" t="s">
        <v>2129</v>
      </c>
      <c r="X2174" s="160">
        <v>0.64</v>
      </c>
      <c r="Y2174" s="160">
        <v>0.49</v>
      </c>
      <c r="Z2174" s="160">
        <v>0.64</v>
      </c>
      <c r="AA2174" s="160">
        <v>0.49</v>
      </c>
    </row>
    <row r="2175" spans="1:27" ht="18" customHeight="1" x14ac:dyDescent="0.25">
      <c r="A2175" s="159">
        <v>4607</v>
      </c>
      <c r="B2175" s="157" t="s">
        <v>29</v>
      </c>
      <c r="C2175" s="157" t="s">
        <v>30</v>
      </c>
      <c r="D2175" s="159" t="s">
        <v>398</v>
      </c>
      <c r="E2175" s="157" t="s">
        <v>396</v>
      </c>
      <c r="F2175" s="157" t="s">
        <v>1264</v>
      </c>
      <c r="G2175" s="157" t="s">
        <v>1536</v>
      </c>
      <c r="H2175" s="157" t="s">
        <v>1287</v>
      </c>
      <c r="I2175" s="157" t="s">
        <v>1406</v>
      </c>
      <c r="J2175" s="157" t="s">
        <v>2099</v>
      </c>
      <c r="K2175" s="157" t="s">
        <v>1269</v>
      </c>
      <c r="L2175" s="157" t="s">
        <v>8493</v>
      </c>
      <c r="M2175" s="157" t="str">
        <f t="shared" si="45"/>
        <v>Taillamp Assy' LED Dynamic Blinker Right - Single - Rear Lamps R</v>
      </c>
      <c r="N2175" s="157"/>
      <c r="O2175" s="157"/>
      <c r="P2175" s="159" t="s">
        <v>4233</v>
      </c>
      <c r="Q2175" s="157"/>
      <c r="R2175" s="157"/>
      <c r="S2175" s="157"/>
      <c r="T2175" s="157"/>
      <c r="U2175" s="159" t="s">
        <v>2129</v>
      </c>
      <c r="V2175" s="159" t="s">
        <v>2129</v>
      </c>
      <c r="W2175" s="159" t="s">
        <v>2129</v>
      </c>
      <c r="X2175" s="160">
        <v>0.64</v>
      </c>
      <c r="Y2175" s="160">
        <v>0.49</v>
      </c>
      <c r="Z2175" s="160">
        <v>0.64</v>
      </c>
      <c r="AA2175" s="160">
        <v>0.49</v>
      </c>
    </row>
    <row r="2176" spans="1:27" ht="18" customHeight="1" x14ac:dyDescent="0.25">
      <c r="A2176" s="159">
        <v>4607</v>
      </c>
      <c r="B2176" s="157" t="s">
        <v>29</v>
      </c>
      <c r="C2176" s="157" t="s">
        <v>30</v>
      </c>
      <c r="D2176" s="159" t="s">
        <v>401</v>
      </c>
      <c r="E2176" s="157" t="s">
        <v>399</v>
      </c>
      <c r="F2176" s="157" t="s">
        <v>1275</v>
      </c>
      <c r="G2176" s="157" t="s">
        <v>1536</v>
      </c>
      <c r="H2176" s="157" t="s">
        <v>1287</v>
      </c>
      <c r="I2176" s="157" t="s">
        <v>1406</v>
      </c>
      <c r="J2176" s="157" t="s">
        <v>2099</v>
      </c>
      <c r="K2176" s="157" t="s">
        <v>1269</v>
      </c>
      <c r="L2176" s="157" t="s">
        <v>8493</v>
      </c>
      <c r="M2176" s="157" t="str">
        <f t="shared" si="45"/>
        <v>Taillamp Assy' LED Dynamic Blinker Right - Single - Rear Lamps R</v>
      </c>
      <c r="N2176" s="157"/>
      <c r="O2176" s="157"/>
      <c r="P2176" s="159" t="s">
        <v>4233</v>
      </c>
      <c r="Q2176" s="157"/>
      <c r="R2176" s="157"/>
      <c r="S2176" s="157"/>
      <c r="T2176" s="157"/>
      <c r="U2176" s="159" t="s">
        <v>2129</v>
      </c>
      <c r="V2176" s="159" t="s">
        <v>2129</v>
      </c>
      <c r="W2176" s="159" t="s">
        <v>2129</v>
      </c>
      <c r="X2176" s="160">
        <v>0.64</v>
      </c>
      <c r="Y2176" s="160">
        <v>0.49</v>
      </c>
      <c r="Z2176" s="160">
        <v>0.64</v>
      </c>
      <c r="AA2176" s="160">
        <v>0.49</v>
      </c>
    </row>
    <row r="2177" spans="1:27" ht="18" customHeight="1" x14ac:dyDescent="0.25">
      <c r="A2177" s="159">
        <v>4607</v>
      </c>
      <c r="B2177" s="157" t="s">
        <v>29</v>
      </c>
      <c r="C2177" s="157" t="s">
        <v>30</v>
      </c>
      <c r="D2177" s="159" t="s">
        <v>96</v>
      </c>
      <c r="E2177" s="157" t="s">
        <v>402</v>
      </c>
      <c r="F2177" s="157" t="s">
        <v>1275</v>
      </c>
      <c r="G2177" s="157" t="s">
        <v>1536</v>
      </c>
      <c r="H2177" s="157" t="s">
        <v>1287</v>
      </c>
      <c r="I2177" s="157" t="s">
        <v>1406</v>
      </c>
      <c r="J2177" s="157" t="s">
        <v>2099</v>
      </c>
      <c r="K2177" s="157" t="s">
        <v>1269</v>
      </c>
      <c r="L2177" s="157" t="s">
        <v>8493</v>
      </c>
      <c r="M2177" s="157" t="str">
        <f t="shared" si="45"/>
        <v>Taillamp Assy' LED Dynamic Blinker Right - Single - Rear Lamps R</v>
      </c>
      <c r="N2177" s="157"/>
      <c r="O2177" s="157"/>
      <c r="P2177" s="159" t="s">
        <v>4233</v>
      </c>
      <c r="Q2177" s="157"/>
      <c r="R2177" s="157"/>
      <c r="S2177" s="157"/>
      <c r="T2177" s="157"/>
      <c r="U2177" s="159" t="s">
        <v>2129</v>
      </c>
      <c r="V2177" s="159" t="s">
        <v>2129</v>
      </c>
      <c r="W2177" s="159" t="s">
        <v>2129</v>
      </c>
      <c r="X2177" s="160">
        <v>0.64</v>
      </c>
      <c r="Y2177" s="160">
        <v>0.49</v>
      </c>
      <c r="Z2177" s="160">
        <v>0.64</v>
      </c>
      <c r="AA2177" s="160">
        <v>0.49</v>
      </c>
    </row>
    <row r="2178" spans="1:27" ht="18" customHeight="1" x14ac:dyDescent="0.25">
      <c r="A2178" s="159">
        <v>4607</v>
      </c>
      <c r="B2178" s="157" t="s">
        <v>29</v>
      </c>
      <c r="C2178" s="157" t="s">
        <v>30</v>
      </c>
      <c r="D2178" s="159" t="s">
        <v>34</v>
      </c>
      <c r="E2178" s="157" t="s">
        <v>404</v>
      </c>
      <c r="F2178" s="157" t="s">
        <v>1275</v>
      </c>
      <c r="G2178" s="157" t="s">
        <v>1536</v>
      </c>
      <c r="H2178" s="157" t="s">
        <v>1287</v>
      </c>
      <c r="I2178" s="157" t="s">
        <v>1406</v>
      </c>
      <c r="J2178" s="157" t="s">
        <v>2099</v>
      </c>
      <c r="K2178" s="157" t="s">
        <v>1269</v>
      </c>
      <c r="L2178" s="157" t="s">
        <v>8493</v>
      </c>
      <c r="M2178" s="157" t="str">
        <f t="shared" si="45"/>
        <v>Taillamp Assy' LED Dynamic Blinker Right - Single - Rear Lamps R</v>
      </c>
      <c r="N2178" s="157"/>
      <c r="O2178" s="157"/>
      <c r="P2178" s="159" t="s">
        <v>4233</v>
      </c>
      <c r="Q2178" s="157"/>
      <c r="R2178" s="157"/>
      <c r="S2178" s="157"/>
      <c r="T2178" s="157"/>
      <c r="U2178" s="159" t="s">
        <v>2129</v>
      </c>
      <c r="V2178" s="159" t="s">
        <v>2129</v>
      </c>
      <c r="W2178" s="159" t="s">
        <v>2129</v>
      </c>
      <c r="X2178" s="160">
        <v>0.64</v>
      </c>
      <c r="Y2178" s="160">
        <v>0.49</v>
      </c>
      <c r="Z2178" s="160">
        <v>0.64</v>
      </c>
      <c r="AA2178" s="160">
        <v>0.49</v>
      </c>
    </row>
    <row r="2179" spans="1:27" ht="18" customHeight="1" x14ac:dyDescent="0.25">
      <c r="A2179" s="159">
        <v>4607</v>
      </c>
      <c r="B2179" s="157" t="s">
        <v>29</v>
      </c>
      <c r="C2179" s="157" t="s">
        <v>30</v>
      </c>
      <c r="D2179" s="159" t="s">
        <v>408</v>
      </c>
      <c r="E2179" s="157" t="s">
        <v>406</v>
      </c>
      <c r="F2179" s="157" t="s">
        <v>1264</v>
      </c>
      <c r="G2179" s="157" t="s">
        <v>1536</v>
      </c>
      <c r="H2179" s="157" t="s">
        <v>1287</v>
      </c>
      <c r="I2179" s="157" t="s">
        <v>1406</v>
      </c>
      <c r="J2179" s="157" t="s">
        <v>2099</v>
      </c>
      <c r="K2179" s="157" t="s">
        <v>1269</v>
      </c>
      <c r="L2179" s="157" t="s">
        <v>8493</v>
      </c>
      <c r="M2179" s="157" t="str">
        <f t="shared" si="45"/>
        <v>Taillamp Assy' LED Dynamic Blinker Right - Single - Rear Lamps R</v>
      </c>
      <c r="N2179" s="157"/>
      <c r="O2179" s="157"/>
      <c r="P2179" s="159" t="s">
        <v>4233</v>
      </c>
      <c r="Q2179" s="157"/>
      <c r="R2179" s="157"/>
      <c r="S2179" s="157"/>
      <c r="T2179" s="157"/>
      <c r="U2179" s="159" t="s">
        <v>2129</v>
      </c>
      <c r="V2179" s="159" t="s">
        <v>2129</v>
      </c>
      <c r="W2179" s="159" t="s">
        <v>2129</v>
      </c>
      <c r="X2179" s="160">
        <v>0.64</v>
      </c>
      <c r="Y2179" s="160">
        <v>0.49</v>
      </c>
      <c r="Z2179" s="160">
        <v>0.64</v>
      </c>
      <c r="AA2179" s="160">
        <v>0.49</v>
      </c>
    </row>
    <row r="2180" spans="1:27" ht="18" customHeight="1" x14ac:dyDescent="0.25">
      <c r="A2180" s="159">
        <v>4607</v>
      </c>
      <c r="B2180" s="157" t="s">
        <v>29</v>
      </c>
      <c r="C2180" s="157" t="s">
        <v>30</v>
      </c>
      <c r="D2180" s="159" t="s">
        <v>573</v>
      </c>
      <c r="E2180" s="157" t="s">
        <v>574</v>
      </c>
      <c r="F2180" s="157"/>
      <c r="G2180" s="157" t="s">
        <v>1536</v>
      </c>
      <c r="H2180" s="157" t="s">
        <v>1287</v>
      </c>
      <c r="I2180" s="157" t="s">
        <v>1406</v>
      </c>
      <c r="J2180" s="157" t="s">
        <v>2099</v>
      </c>
      <c r="K2180" s="157" t="s">
        <v>1269</v>
      </c>
      <c r="L2180" s="157" t="s">
        <v>8493</v>
      </c>
      <c r="M2180" s="157" t="str">
        <f t="shared" si="45"/>
        <v>Taillamp Assy' LED Dynamic Blinker Right - Single - Rear Lamps R</v>
      </c>
      <c r="N2180" s="157"/>
      <c r="O2180" s="157"/>
      <c r="P2180" s="159" t="s">
        <v>4233</v>
      </c>
      <c r="Q2180" s="157"/>
      <c r="R2180" s="157"/>
      <c r="S2180" s="157"/>
      <c r="T2180" s="157"/>
      <c r="U2180" s="159" t="s">
        <v>2129</v>
      </c>
      <c r="V2180" s="159" t="s">
        <v>2129</v>
      </c>
      <c r="W2180" s="159" t="s">
        <v>2129</v>
      </c>
      <c r="X2180" s="160">
        <v>0.64</v>
      </c>
      <c r="Y2180" s="160">
        <v>0.49</v>
      </c>
      <c r="Z2180" s="160">
        <v>0.64</v>
      </c>
      <c r="AA2180" s="160">
        <v>0.49</v>
      </c>
    </row>
    <row r="2181" spans="1:27" ht="18" customHeight="1" x14ac:dyDescent="0.25">
      <c r="A2181" s="159">
        <v>4607</v>
      </c>
      <c r="B2181" s="157" t="s">
        <v>251</v>
      </c>
      <c r="C2181" s="157" t="s">
        <v>366</v>
      </c>
      <c r="D2181" s="159" t="s">
        <v>494</v>
      </c>
      <c r="E2181" s="157" t="s">
        <v>492</v>
      </c>
      <c r="F2181" s="157" t="s">
        <v>1275</v>
      </c>
      <c r="G2181" s="157" t="s">
        <v>1536</v>
      </c>
      <c r="H2181" s="157" t="s">
        <v>1287</v>
      </c>
      <c r="I2181" s="157" t="s">
        <v>1406</v>
      </c>
      <c r="J2181" s="157" t="s">
        <v>2099</v>
      </c>
      <c r="K2181" s="157" t="s">
        <v>1269</v>
      </c>
      <c r="L2181" s="157" t="s">
        <v>8493</v>
      </c>
      <c r="M2181" s="157" t="str">
        <f t="shared" si="45"/>
        <v>Taillamp Assy' LED Dynamic Blinker Right - Single - Rear Lamps R</v>
      </c>
      <c r="N2181" s="157"/>
      <c r="O2181" s="157"/>
      <c r="P2181" s="159" t="s">
        <v>4233</v>
      </c>
      <c r="Q2181" s="157"/>
      <c r="R2181" s="157"/>
      <c r="S2181" s="157"/>
      <c r="T2181" s="157"/>
      <c r="U2181" s="159" t="s">
        <v>2129</v>
      </c>
      <c r="V2181" s="159" t="s">
        <v>2129</v>
      </c>
      <c r="W2181" s="159" t="s">
        <v>2129</v>
      </c>
      <c r="X2181" s="160">
        <v>0.64</v>
      </c>
      <c r="Y2181" s="160">
        <v>0.49</v>
      </c>
      <c r="Z2181" s="160">
        <v>0.64</v>
      </c>
      <c r="AA2181" s="160">
        <v>0.49</v>
      </c>
    </row>
    <row r="2182" spans="1:27" ht="18" customHeight="1" x14ac:dyDescent="0.25">
      <c r="A2182" s="159">
        <v>4608</v>
      </c>
      <c r="B2182" s="157" t="s">
        <v>29</v>
      </c>
      <c r="C2182" s="157" t="s">
        <v>30</v>
      </c>
      <c r="D2182" s="159" t="s">
        <v>33</v>
      </c>
      <c r="E2182" s="157" t="s">
        <v>31</v>
      </c>
      <c r="F2182" s="157" t="s">
        <v>1275</v>
      </c>
      <c r="G2182" s="157" t="s">
        <v>1536</v>
      </c>
      <c r="H2182" s="157" t="s">
        <v>1287</v>
      </c>
      <c r="I2182" s="157" t="s">
        <v>1406</v>
      </c>
      <c r="J2182" s="157" t="s">
        <v>1578</v>
      </c>
      <c r="K2182" s="157" t="s">
        <v>1269</v>
      </c>
      <c r="L2182" s="157" t="s">
        <v>8494</v>
      </c>
      <c r="M2182" s="157" t="str">
        <f t="shared" si="45"/>
        <v>Taillamp Assy' P21W + P10W Right - Tailgate - Rear Lamps R</v>
      </c>
      <c r="N2182" s="157"/>
      <c r="O2182" s="157"/>
      <c r="P2182" s="159" t="s">
        <v>4702</v>
      </c>
      <c r="Q2182" s="157"/>
      <c r="R2182" s="157"/>
      <c r="S2182" s="157"/>
      <c r="T2182" s="157"/>
      <c r="U2182" s="159" t="s">
        <v>2129</v>
      </c>
      <c r="V2182" s="159" t="s">
        <v>2129</v>
      </c>
      <c r="W2182" s="159" t="s">
        <v>2129</v>
      </c>
      <c r="X2182" s="160">
        <v>0</v>
      </c>
      <c r="Y2182" s="160">
        <v>0</v>
      </c>
      <c r="Z2182" s="160">
        <v>0.66</v>
      </c>
      <c r="AA2182" s="160">
        <v>0.66</v>
      </c>
    </row>
    <row r="2183" spans="1:27" ht="18" customHeight="1" x14ac:dyDescent="0.25">
      <c r="A2183" s="159">
        <v>4608</v>
      </c>
      <c r="B2183" s="157" t="s">
        <v>29</v>
      </c>
      <c r="C2183" s="157" t="s">
        <v>30</v>
      </c>
      <c r="D2183" s="159" t="s">
        <v>95</v>
      </c>
      <c r="E2183" s="157" t="s">
        <v>93</v>
      </c>
      <c r="F2183" s="157" t="s">
        <v>1275</v>
      </c>
      <c r="G2183" s="157" t="s">
        <v>1536</v>
      </c>
      <c r="H2183" s="157" t="s">
        <v>1287</v>
      </c>
      <c r="I2183" s="157" t="s">
        <v>1406</v>
      </c>
      <c r="J2183" s="157" t="s">
        <v>1578</v>
      </c>
      <c r="K2183" s="157" t="s">
        <v>1269</v>
      </c>
      <c r="L2183" s="157" t="s">
        <v>8494</v>
      </c>
      <c r="M2183" s="157" t="str">
        <f t="shared" si="45"/>
        <v>Taillamp Assy' P21W + P10W Right - Tailgate - Rear Lamps R</v>
      </c>
      <c r="N2183" s="157"/>
      <c r="O2183" s="157"/>
      <c r="P2183" s="159" t="s">
        <v>4702</v>
      </c>
      <c r="Q2183" s="157"/>
      <c r="R2183" s="157"/>
      <c r="S2183" s="157"/>
      <c r="T2183" s="157"/>
      <c r="U2183" s="159" t="s">
        <v>2129</v>
      </c>
      <c r="V2183" s="159" t="s">
        <v>2129</v>
      </c>
      <c r="W2183" s="159" t="s">
        <v>2129</v>
      </c>
      <c r="X2183" s="160">
        <v>0</v>
      </c>
      <c r="Y2183" s="160">
        <v>0</v>
      </c>
      <c r="Z2183" s="160">
        <v>0.66</v>
      </c>
      <c r="AA2183" s="160">
        <v>0.66</v>
      </c>
    </row>
    <row r="2184" spans="1:27" ht="18" customHeight="1" x14ac:dyDescent="0.25">
      <c r="A2184" s="159">
        <v>4608</v>
      </c>
      <c r="B2184" s="157" t="s">
        <v>29</v>
      </c>
      <c r="C2184" s="157" t="s">
        <v>30</v>
      </c>
      <c r="D2184" s="159" t="s">
        <v>233</v>
      </c>
      <c r="E2184" s="157" t="s">
        <v>231</v>
      </c>
      <c r="F2184" s="157" t="s">
        <v>1264</v>
      </c>
      <c r="G2184" s="157" t="s">
        <v>1536</v>
      </c>
      <c r="H2184" s="157" t="s">
        <v>1287</v>
      </c>
      <c r="I2184" s="157" t="s">
        <v>1406</v>
      </c>
      <c r="J2184" s="157" t="s">
        <v>1578</v>
      </c>
      <c r="K2184" s="157" t="s">
        <v>1269</v>
      </c>
      <c r="L2184" s="157" t="s">
        <v>8494</v>
      </c>
      <c r="M2184" s="157" t="str">
        <f t="shared" si="45"/>
        <v>Taillamp Assy' P21W + P10W Right - Tailgate - Rear Lamps R</v>
      </c>
      <c r="N2184" s="157"/>
      <c r="O2184" s="157"/>
      <c r="P2184" s="159" t="s">
        <v>4702</v>
      </c>
      <c r="Q2184" s="157"/>
      <c r="R2184" s="157"/>
      <c r="S2184" s="157"/>
      <c r="T2184" s="157"/>
      <c r="U2184" s="159" t="s">
        <v>2129</v>
      </c>
      <c r="V2184" s="159" t="s">
        <v>2129</v>
      </c>
      <c r="W2184" s="159" t="s">
        <v>2129</v>
      </c>
      <c r="X2184" s="160">
        <v>0</v>
      </c>
      <c r="Y2184" s="160">
        <v>0</v>
      </c>
      <c r="Z2184" s="160">
        <v>0.66</v>
      </c>
      <c r="AA2184" s="160">
        <v>0.66</v>
      </c>
    </row>
    <row r="2185" spans="1:27" ht="18" customHeight="1" x14ac:dyDescent="0.25">
      <c r="A2185" s="159">
        <v>4608</v>
      </c>
      <c r="B2185" s="157" t="s">
        <v>29</v>
      </c>
      <c r="C2185" s="157" t="s">
        <v>30</v>
      </c>
      <c r="D2185" s="159" t="s">
        <v>377</v>
      </c>
      <c r="E2185" s="157" t="s">
        <v>375</v>
      </c>
      <c r="F2185" s="157" t="s">
        <v>1264</v>
      </c>
      <c r="G2185" s="157" t="s">
        <v>1536</v>
      </c>
      <c r="H2185" s="157" t="s">
        <v>1287</v>
      </c>
      <c r="I2185" s="157" t="s">
        <v>1406</v>
      </c>
      <c r="J2185" s="157" t="s">
        <v>1578</v>
      </c>
      <c r="K2185" s="157" t="s">
        <v>1269</v>
      </c>
      <c r="L2185" s="157" t="s">
        <v>8494</v>
      </c>
      <c r="M2185" s="157" t="str">
        <f t="shared" si="45"/>
        <v>Taillamp Assy' P21W + P10W Right - Tailgate - Rear Lamps R</v>
      </c>
      <c r="N2185" s="157"/>
      <c r="O2185" s="157"/>
      <c r="P2185" s="159" t="s">
        <v>4702</v>
      </c>
      <c r="Q2185" s="157"/>
      <c r="R2185" s="157"/>
      <c r="S2185" s="157"/>
      <c r="T2185" s="157"/>
      <c r="U2185" s="159" t="s">
        <v>2129</v>
      </c>
      <c r="V2185" s="159" t="s">
        <v>2129</v>
      </c>
      <c r="W2185" s="159" t="s">
        <v>2129</v>
      </c>
      <c r="X2185" s="160">
        <v>0</v>
      </c>
      <c r="Y2185" s="160">
        <v>0</v>
      </c>
      <c r="Z2185" s="160">
        <v>0.66</v>
      </c>
      <c r="AA2185" s="160">
        <v>0.66</v>
      </c>
    </row>
    <row r="2186" spans="1:27" ht="18" customHeight="1" x14ac:dyDescent="0.25">
      <c r="A2186" s="159">
        <v>4608</v>
      </c>
      <c r="B2186" s="157" t="s">
        <v>29</v>
      </c>
      <c r="C2186" s="157" t="s">
        <v>30</v>
      </c>
      <c r="D2186" s="159" t="s">
        <v>380</v>
      </c>
      <c r="E2186" s="157" t="s">
        <v>378</v>
      </c>
      <c r="F2186" s="157" t="s">
        <v>1264</v>
      </c>
      <c r="G2186" s="157" t="s">
        <v>1536</v>
      </c>
      <c r="H2186" s="157" t="s">
        <v>1287</v>
      </c>
      <c r="I2186" s="157" t="s">
        <v>1406</v>
      </c>
      <c r="J2186" s="157" t="s">
        <v>1578</v>
      </c>
      <c r="K2186" s="157" t="s">
        <v>1269</v>
      </c>
      <c r="L2186" s="157" t="s">
        <v>8494</v>
      </c>
      <c r="M2186" s="157" t="str">
        <f t="shared" ref="M2186:M2249" si="46">CONCATENATE(L2186," - ",I2186)</f>
        <v>Taillamp Assy' P21W + P10W Right - Tailgate - Rear Lamps R</v>
      </c>
      <c r="N2186" s="157"/>
      <c r="O2186" s="157"/>
      <c r="P2186" s="159" t="s">
        <v>4702</v>
      </c>
      <c r="Q2186" s="157"/>
      <c r="R2186" s="157"/>
      <c r="S2186" s="157"/>
      <c r="T2186" s="157"/>
      <c r="U2186" s="159" t="s">
        <v>2129</v>
      </c>
      <c r="V2186" s="159" t="s">
        <v>2129</v>
      </c>
      <c r="W2186" s="159" t="s">
        <v>2129</v>
      </c>
      <c r="X2186" s="160">
        <v>0</v>
      </c>
      <c r="Y2186" s="160">
        <v>0</v>
      </c>
      <c r="Z2186" s="160">
        <v>0.66</v>
      </c>
      <c r="AA2186" s="160">
        <v>0.66</v>
      </c>
    </row>
    <row r="2187" spans="1:27" ht="18" customHeight="1" x14ac:dyDescent="0.25">
      <c r="A2187" s="159">
        <v>4608</v>
      </c>
      <c r="B2187" s="157" t="s">
        <v>29</v>
      </c>
      <c r="C2187" s="157" t="s">
        <v>30</v>
      </c>
      <c r="D2187" s="159" t="s">
        <v>398</v>
      </c>
      <c r="E2187" s="157" t="s">
        <v>396</v>
      </c>
      <c r="F2187" s="157" t="s">
        <v>1264</v>
      </c>
      <c r="G2187" s="157" t="s">
        <v>1536</v>
      </c>
      <c r="H2187" s="157" t="s">
        <v>1287</v>
      </c>
      <c r="I2187" s="157" t="s">
        <v>1406</v>
      </c>
      <c r="J2187" s="157" t="s">
        <v>1578</v>
      </c>
      <c r="K2187" s="157" t="s">
        <v>1269</v>
      </c>
      <c r="L2187" s="157" t="s">
        <v>8494</v>
      </c>
      <c r="M2187" s="157" t="str">
        <f t="shared" si="46"/>
        <v>Taillamp Assy' P21W + P10W Right - Tailgate - Rear Lamps R</v>
      </c>
      <c r="N2187" s="157"/>
      <c r="O2187" s="157"/>
      <c r="P2187" s="159" t="s">
        <v>4702</v>
      </c>
      <c r="Q2187" s="157"/>
      <c r="R2187" s="157"/>
      <c r="S2187" s="157"/>
      <c r="T2187" s="157"/>
      <c r="U2187" s="159" t="s">
        <v>2129</v>
      </c>
      <c r="V2187" s="159" t="s">
        <v>2129</v>
      </c>
      <c r="W2187" s="159" t="s">
        <v>2129</v>
      </c>
      <c r="X2187" s="160">
        <v>0</v>
      </c>
      <c r="Y2187" s="160">
        <v>0</v>
      </c>
      <c r="Z2187" s="160">
        <v>0.66</v>
      </c>
      <c r="AA2187" s="160">
        <v>0.66</v>
      </c>
    </row>
    <row r="2188" spans="1:27" ht="18" customHeight="1" x14ac:dyDescent="0.25">
      <c r="A2188" s="159">
        <v>4608</v>
      </c>
      <c r="B2188" s="157" t="s">
        <v>29</v>
      </c>
      <c r="C2188" s="157" t="s">
        <v>30</v>
      </c>
      <c r="D2188" s="159" t="s">
        <v>408</v>
      </c>
      <c r="E2188" s="157" t="s">
        <v>406</v>
      </c>
      <c r="F2188" s="157" t="s">
        <v>1264</v>
      </c>
      <c r="G2188" s="157" t="s">
        <v>1536</v>
      </c>
      <c r="H2188" s="157" t="s">
        <v>1287</v>
      </c>
      <c r="I2188" s="157" t="s">
        <v>1406</v>
      </c>
      <c r="J2188" s="157" t="s">
        <v>1578</v>
      </c>
      <c r="K2188" s="157" t="s">
        <v>1269</v>
      </c>
      <c r="L2188" s="157" t="s">
        <v>8494</v>
      </c>
      <c r="M2188" s="157" t="str">
        <f t="shared" si="46"/>
        <v>Taillamp Assy' P21W + P10W Right - Tailgate - Rear Lamps R</v>
      </c>
      <c r="N2188" s="157"/>
      <c r="O2188" s="157"/>
      <c r="P2188" s="159" t="s">
        <v>4702</v>
      </c>
      <c r="Q2188" s="157"/>
      <c r="R2188" s="157"/>
      <c r="S2188" s="157"/>
      <c r="T2188" s="157"/>
      <c r="U2188" s="159" t="s">
        <v>2129</v>
      </c>
      <c r="V2188" s="159" t="s">
        <v>2129</v>
      </c>
      <c r="W2188" s="159" t="s">
        <v>2129</v>
      </c>
      <c r="X2188" s="160">
        <v>0</v>
      </c>
      <c r="Y2188" s="160">
        <v>0</v>
      </c>
      <c r="Z2188" s="160">
        <v>0.66</v>
      </c>
      <c r="AA2188" s="160">
        <v>0.66</v>
      </c>
    </row>
    <row r="2189" spans="1:27" ht="18" customHeight="1" x14ac:dyDescent="0.25">
      <c r="A2189" s="159">
        <v>4608</v>
      </c>
      <c r="B2189" s="157" t="s">
        <v>29</v>
      </c>
      <c r="C2189" s="157" t="s">
        <v>30</v>
      </c>
      <c r="D2189" s="159" t="s">
        <v>573</v>
      </c>
      <c r="E2189" s="157" t="s">
        <v>574</v>
      </c>
      <c r="F2189" s="157"/>
      <c r="G2189" s="157" t="s">
        <v>1536</v>
      </c>
      <c r="H2189" s="157" t="s">
        <v>1287</v>
      </c>
      <c r="I2189" s="157" t="s">
        <v>1406</v>
      </c>
      <c r="J2189" s="157" t="s">
        <v>1578</v>
      </c>
      <c r="K2189" s="157" t="s">
        <v>1269</v>
      </c>
      <c r="L2189" s="157" t="s">
        <v>8494</v>
      </c>
      <c r="M2189" s="157" t="str">
        <f t="shared" si="46"/>
        <v>Taillamp Assy' P21W + P10W Right - Tailgate - Rear Lamps R</v>
      </c>
      <c r="N2189" s="157"/>
      <c r="O2189" s="157"/>
      <c r="P2189" s="159" t="s">
        <v>4702</v>
      </c>
      <c r="Q2189" s="157"/>
      <c r="R2189" s="157"/>
      <c r="S2189" s="157"/>
      <c r="T2189" s="157"/>
      <c r="U2189" s="159" t="s">
        <v>2129</v>
      </c>
      <c r="V2189" s="159" t="s">
        <v>2129</v>
      </c>
      <c r="W2189" s="159" t="s">
        <v>2129</v>
      </c>
      <c r="X2189" s="160">
        <v>0</v>
      </c>
      <c r="Y2189" s="160">
        <v>0</v>
      </c>
      <c r="Z2189" s="160">
        <v>0.66</v>
      </c>
      <c r="AA2189" s="160">
        <v>0.66</v>
      </c>
    </row>
    <row r="2190" spans="1:27" ht="18" customHeight="1" x14ac:dyDescent="0.25">
      <c r="A2190" s="159">
        <v>5018</v>
      </c>
      <c r="B2190" s="157" t="s">
        <v>280</v>
      </c>
      <c r="C2190" s="157" t="s">
        <v>281</v>
      </c>
      <c r="D2190" s="159" t="s">
        <v>284</v>
      </c>
      <c r="E2190" s="157" t="s">
        <v>282</v>
      </c>
      <c r="F2190" s="157" t="s">
        <v>1264</v>
      </c>
      <c r="G2190" s="157" t="s">
        <v>1265</v>
      </c>
      <c r="H2190" s="157" t="s">
        <v>1271</v>
      </c>
      <c r="I2190" s="157" t="s">
        <v>1669</v>
      </c>
      <c r="J2190" s="157" t="s">
        <v>1285</v>
      </c>
      <c r="K2190" s="157" t="s">
        <v>1409</v>
      </c>
      <c r="L2190" s="157" t="s">
        <v>8551</v>
      </c>
      <c r="M2190" s="157" t="str">
        <f t="shared" si="46"/>
        <v>E-Call Antenna - Emergency Call</v>
      </c>
      <c r="N2190" s="157"/>
      <c r="O2190" s="157"/>
      <c r="P2190" s="159" t="s">
        <v>3952</v>
      </c>
      <c r="Q2190" s="157" t="s">
        <v>2115</v>
      </c>
      <c r="R2190" s="157" t="s">
        <v>8239</v>
      </c>
      <c r="S2190" s="157" t="s">
        <v>8604</v>
      </c>
      <c r="T2190" s="157"/>
      <c r="U2190" s="159" t="s">
        <v>2138</v>
      </c>
      <c r="V2190" s="159" t="s">
        <v>2138</v>
      </c>
      <c r="W2190" s="159" t="s">
        <v>2138</v>
      </c>
      <c r="X2190" s="160">
        <v>0</v>
      </c>
      <c r="Y2190" s="160">
        <v>0</v>
      </c>
      <c r="Z2190" s="160">
        <v>0</v>
      </c>
      <c r="AA2190" s="160">
        <v>0</v>
      </c>
    </row>
    <row r="2191" spans="1:27" ht="18" customHeight="1" x14ac:dyDescent="0.25">
      <c r="A2191" s="159">
        <v>5019</v>
      </c>
      <c r="B2191" s="157" t="s">
        <v>280</v>
      </c>
      <c r="C2191" s="157" t="s">
        <v>281</v>
      </c>
      <c r="D2191" s="159" t="s">
        <v>284</v>
      </c>
      <c r="E2191" s="157" t="s">
        <v>282</v>
      </c>
      <c r="F2191" s="157" t="s">
        <v>1264</v>
      </c>
      <c r="G2191" s="157" t="s">
        <v>1265</v>
      </c>
      <c r="H2191" s="157" t="s">
        <v>1271</v>
      </c>
      <c r="I2191" s="157" t="s">
        <v>1669</v>
      </c>
      <c r="J2191" s="157" t="s">
        <v>1285</v>
      </c>
      <c r="K2191" s="157" t="s">
        <v>1409</v>
      </c>
      <c r="L2191" s="157" t="s">
        <v>8551</v>
      </c>
      <c r="M2191" s="157" t="str">
        <f t="shared" si="46"/>
        <v>E-Call Antenna - Emergency Call</v>
      </c>
      <c r="N2191" s="157"/>
      <c r="O2191" s="157"/>
      <c r="P2191" s="159" t="s">
        <v>5546</v>
      </c>
      <c r="Q2191" s="157" t="s">
        <v>2115</v>
      </c>
      <c r="R2191" s="157" t="s">
        <v>8239</v>
      </c>
      <c r="S2191" s="157" t="s">
        <v>8604</v>
      </c>
      <c r="T2191" s="157"/>
      <c r="U2191" s="159" t="s">
        <v>2138</v>
      </c>
      <c r="V2191" s="159" t="s">
        <v>2138</v>
      </c>
      <c r="W2191" s="159" t="s">
        <v>2138</v>
      </c>
      <c r="X2191" s="160">
        <v>0</v>
      </c>
      <c r="Y2191" s="160">
        <v>0</v>
      </c>
      <c r="Z2191" s="160">
        <v>0</v>
      </c>
      <c r="AA2191" s="160">
        <v>0</v>
      </c>
    </row>
    <row r="2192" spans="1:27" ht="18" customHeight="1" x14ac:dyDescent="0.25">
      <c r="A2192" s="159">
        <v>5042</v>
      </c>
      <c r="B2192" s="157" t="s">
        <v>318</v>
      </c>
      <c r="C2192" s="157" t="s">
        <v>362</v>
      </c>
      <c r="D2192" s="159" t="s">
        <v>717</v>
      </c>
      <c r="E2192" s="157" t="s">
        <v>715</v>
      </c>
      <c r="F2192" s="157" t="s">
        <v>1264</v>
      </c>
      <c r="G2192" s="157" t="s">
        <v>1265</v>
      </c>
      <c r="H2192" s="157" t="s">
        <v>1815</v>
      </c>
      <c r="I2192" s="157" t="s">
        <v>1272</v>
      </c>
      <c r="J2192" s="157" t="s">
        <v>1273</v>
      </c>
      <c r="K2192" s="157" t="s">
        <v>1409</v>
      </c>
      <c r="L2192" s="157" t="s">
        <v>8552</v>
      </c>
      <c r="M2192" s="157" t="str">
        <f t="shared" si="46"/>
        <v>Bluetooth Antenna - Internal Wireless Digital Data</v>
      </c>
      <c r="N2192" s="157"/>
      <c r="O2192" s="157"/>
      <c r="P2192" s="159" t="s">
        <v>5882</v>
      </c>
      <c r="Q2192" s="157" t="s">
        <v>2115</v>
      </c>
      <c r="R2192" s="157" t="s">
        <v>8239</v>
      </c>
      <c r="S2192" s="157" t="s">
        <v>8604</v>
      </c>
      <c r="T2192" s="157"/>
      <c r="U2192" s="159" t="s">
        <v>2138</v>
      </c>
      <c r="V2192" s="159" t="s">
        <v>2138</v>
      </c>
      <c r="W2192" s="159" t="s">
        <v>2138</v>
      </c>
      <c r="X2192" s="160">
        <v>1</v>
      </c>
      <c r="Y2192" s="160">
        <v>1</v>
      </c>
      <c r="Z2192" s="160">
        <v>1</v>
      </c>
      <c r="AA2192" s="160">
        <v>1</v>
      </c>
    </row>
    <row r="2193" spans="1:27" ht="18" customHeight="1" x14ac:dyDescent="0.25">
      <c r="A2193" s="159">
        <v>5116</v>
      </c>
      <c r="B2193" s="157" t="s">
        <v>280</v>
      </c>
      <c r="C2193" s="157" t="s">
        <v>463</v>
      </c>
      <c r="D2193" s="159" t="s">
        <v>466</v>
      </c>
      <c r="E2193" s="157" t="s">
        <v>464</v>
      </c>
      <c r="F2193" s="157" t="s">
        <v>1264</v>
      </c>
      <c r="G2193" s="157" t="s">
        <v>1265</v>
      </c>
      <c r="H2193" s="157" t="s">
        <v>1458</v>
      </c>
      <c r="I2193" s="157" t="s">
        <v>1456</v>
      </c>
      <c r="J2193" s="157"/>
      <c r="K2193" s="157" t="s">
        <v>1409</v>
      </c>
      <c r="L2193" s="157" t="s">
        <v>9587</v>
      </c>
      <c r="M2193" s="157" t="str">
        <f t="shared" si="46"/>
        <v>AM+FM Antenna (w/ Amplifier) - Radio Receiving</v>
      </c>
      <c r="N2193" s="157"/>
      <c r="O2193" s="157"/>
      <c r="P2193" s="159" t="s">
        <v>4396</v>
      </c>
      <c r="Q2193" s="157" t="s">
        <v>2115</v>
      </c>
      <c r="R2193" s="157" t="s">
        <v>8239</v>
      </c>
      <c r="S2193" s="157" t="s">
        <v>8604</v>
      </c>
      <c r="T2193" s="157"/>
      <c r="U2193" s="159" t="s">
        <v>2138</v>
      </c>
      <c r="V2193" s="159" t="s">
        <v>2138</v>
      </c>
      <c r="W2193" s="159" t="s">
        <v>2129</v>
      </c>
      <c r="X2193" s="160">
        <v>1</v>
      </c>
      <c r="Y2193" s="160">
        <v>1</v>
      </c>
      <c r="Z2193" s="160">
        <v>1</v>
      </c>
      <c r="AA2193" s="160">
        <v>1</v>
      </c>
    </row>
    <row r="2194" spans="1:27" ht="18" customHeight="1" x14ac:dyDescent="0.25">
      <c r="A2194" s="159">
        <v>5117</v>
      </c>
      <c r="B2194" s="157" t="s">
        <v>280</v>
      </c>
      <c r="C2194" s="157" t="s">
        <v>463</v>
      </c>
      <c r="D2194" s="159" t="s">
        <v>466</v>
      </c>
      <c r="E2194" s="157" t="s">
        <v>464</v>
      </c>
      <c r="F2194" s="157" t="s">
        <v>1264</v>
      </c>
      <c r="G2194" s="157" t="s">
        <v>1265</v>
      </c>
      <c r="H2194" s="157" t="s">
        <v>1458</v>
      </c>
      <c r="I2194" s="157" t="s">
        <v>1456</v>
      </c>
      <c r="J2194" s="157"/>
      <c r="K2194" s="157" t="s">
        <v>1409</v>
      </c>
      <c r="L2194" s="157" t="s">
        <v>9588</v>
      </c>
      <c r="M2194" s="157" t="str">
        <f t="shared" si="46"/>
        <v>AM+FM+DAB Antenna (w/ Amplifier) - Radio Receiving</v>
      </c>
      <c r="N2194" s="157"/>
      <c r="O2194" s="157"/>
      <c r="P2194" s="159" t="s">
        <v>4396</v>
      </c>
      <c r="Q2194" s="157" t="s">
        <v>2115</v>
      </c>
      <c r="R2194" s="157" t="s">
        <v>8239</v>
      </c>
      <c r="S2194" s="157" t="s">
        <v>8604</v>
      </c>
      <c r="T2194" s="157"/>
      <c r="U2194" s="159" t="s">
        <v>2129</v>
      </c>
      <c r="V2194" s="159" t="s">
        <v>2129</v>
      </c>
      <c r="W2194" s="159" t="s">
        <v>2138</v>
      </c>
      <c r="X2194" s="160">
        <v>1</v>
      </c>
      <c r="Y2194" s="160">
        <v>1</v>
      </c>
      <c r="Z2194" s="160">
        <v>1</v>
      </c>
      <c r="AA2194" s="160">
        <v>1</v>
      </c>
    </row>
    <row r="2195" spans="1:27" ht="18" customHeight="1" x14ac:dyDescent="0.25">
      <c r="A2195" s="159">
        <v>5117</v>
      </c>
      <c r="B2195" s="157" t="s">
        <v>280</v>
      </c>
      <c r="C2195" s="157" t="s">
        <v>463</v>
      </c>
      <c r="D2195" s="159" t="s">
        <v>720</v>
      </c>
      <c r="E2195" s="157" t="s">
        <v>718</v>
      </c>
      <c r="F2195" s="157" t="s">
        <v>1264</v>
      </c>
      <c r="G2195" s="157" t="s">
        <v>1265</v>
      </c>
      <c r="H2195" s="157" t="s">
        <v>1458</v>
      </c>
      <c r="I2195" s="157" t="s">
        <v>1456</v>
      </c>
      <c r="J2195" s="157"/>
      <c r="K2195" s="157" t="s">
        <v>1409</v>
      </c>
      <c r="L2195" s="157" t="s">
        <v>9588</v>
      </c>
      <c r="M2195" s="157" t="str">
        <f t="shared" si="46"/>
        <v>AM+FM+DAB Antenna (w/ Amplifier) - Radio Receiving</v>
      </c>
      <c r="N2195" s="157"/>
      <c r="O2195" s="157"/>
      <c r="P2195" s="159" t="s">
        <v>4396</v>
      </c>
      <c r="Q2195" s="157" t="s">
        <v>2115</v>
      </c>
      <c r="R2195" s="157" t="s">
        <v>8239</v>
      </c>
      <c r="S2195" s="157" t="s">
        <v>8604</v>
      </c>
      <c r="T2195" s="157"/>
      <c r="U2195" s="159" t="s">
        <v>2129</v>
      </c>
      <c r="V2195" s="159" t="s">
        <v>2129</v>
      </c>
      <c r="W2195" s="159" t="s">
        <v>2138</v>
      </c>
      <c r="X2195" s="160">
        <v>1</v>
      </c>
      <c r="Y2195" s="160">
        <v>1</v>
      </c>
      <c r="Z2195" s="160">
        <v>1</v>
      </c>
      <c r="AA2195" s="160">
        <v>1</v>
      </c>
    </row>
    <row r="2196" spans="1:27" ht="18" customHeight="1" x14ac:dyDescent="0.25">
      <c r="A2196" s="159">
        <v>5120</v>
      </c>
      <c r="B2196" s="157" t="s">
        <v>318</v>
      </c>
      <c r="C2196" s="157" t="s">
        <v>319</v>
      </c>
      <c r="D2196" s="159" t="s">
        <v>323</v>
      </c>
      <c r="E2196" s="157" t="s">
        <v>666</v>
      </c>
      <c r="F2196" s="157" t="s">
        <v>1010</v>
      </c>
      <c r="G2196" s="157" t="s">
        <v>13</v>
      </c>
      <c r="H2196" s="157" t="s">
        <v>1354</v>
      </c>
      <c r="I2196" s="157" t="s">
        <v>1459</v>
      </c>
      <c r="J2196" s="157" t="s">
        <v>1285</v>
      </c>
      <c r="K2196" s="157" t="s">
        <v>1607</v>
      </c>
      <c r="L2196" s="157" t="s">
        <v>1816</v>
      </c>
      <c r="M2196" s="157" t="str">
        <f t="shared" si="46"/>
        <v>Power Supply Kl.30 - Power Supply</v>
      </c>
      <c r="N2196" s="157"/>
      <c r="O2196" s="157"/>
      <c r="P2196" s="159"/>
      <c r="Q2196" s="157"/>
      <c r="R2196" s="157"/>
      <c r="S2196" s="157"/>
      <c r="T2196" s="157"/>
      <c r="U2196" s="159"/>
      <c r="V2196" s="159"/>
      <c r="W2196" s="159"/>
      <c r="X2196" s="160"/>
      <c r="Y2196" s="160"/>
      <c r="Z2196" s="160"/>
      <c r="AA2196" s="160"/>
    </row>
    <row r="2197" spans="1:27" ht="18" customHeight="1" x14ac:dyDescent="0.25">
      <c r="A2197" s="159">
        <v>5132</v>
      </c>
      <c r="B2197" s="157" t="s">
        <v>280</v>
      </c>
      <c r="C2197" s="157" t="s">
        <v>354</v>
      </c>
      <c r="D2197" s="159" t="s">
        <v>896</v>
      </c>
      <c r="E2197" s="157" t="s">
        <v>894</v>
      </c>
      <c r="F2197" s="157" t="s">
        <v>1264</v>
      </c>
      <c r="G2197" s="157" t="s">
        <v>1265</v>
      </c>
      <c r="H2197" s="157" t="s">
        <v>1458</v>
      </c>
      <c r="I2197" s="157" t="s">
        <v>1710</v>
      </c>
      <c r="J2197" s="157" t="s">
        <v>1711</v>
      </c>
      <c r="K2197" s="157" t="s">
        <v>1480</v>
      </c>
      <c r="L2197" s="157" t="s">
        <v>1817</v>
      </c>
      <c r="M2197" s="157" t="str">
        <f t="shared" si="46"/>
        <v>Loudspeaker - Rear Left - High Tone Speaker</v>
      </c>
      <c r="N2197" s="157"/>
      <c r="O2197" s="157"/>
      <c r="P2197" s="159" t="s">
        <v>7134</v>
      </c>
      <c r="Q2197" s="157" t="s">
        <v>2115</v>
      </c>
      <c r="R2197" s="157" t="s">
        <v>2122</v>
      </c>
      <c r="S2197" s="157" t="s">
        <v>8635</v>
      </c>
      <c r="T2197" s="157"/>
      <c r="U2197" s="159" t="s">
        <v>2129</v>
      </c>
      <c r="V2197" s="159" t="s">
        <v>2138</v>
      </c>
      <c r="W2197" s="159" t="s">
        <v>2138</v>
      </c>
      <c r="X2197" s="160">
        <v>0.25</v>
      </c>
      <c r="Y2197" s="160">
        <v>0.35</v>
      </c>
      <c r="Z2197" s="160">
        <v>0.4</v>
      </c>
      <c r="AA2197" s="160">
        <v>0.3</v>
      </c>
    </row>
    <row r="2198" spans="1:27" ht="18" customHeight="1" x14ac:dyDescent="0.25">
      <c r="A2198" s="159">
        <v>5132</v>
      </c>
      <c r="B2198" s="157" t="s">
        <v>280</v>
      </c>
      <c r="C2198" s="157" t="s">
        <v>354</v>
      </c>
      <c r="D2198" s="159" t="s">
        <v>1189</v>
      </c>
      <c r="E2198" s="157" t="s">
        <v>1187</v>
      </c>
      <c r="F2198" s="157" t="s">
        <v>1264</v>
      </c>
      <c r="G2198" s="157" t="s">
        <v>1265</v>
      </c>
      <c r="H2198" s="157" t="s">
        <v>1458</v>
      </c>
      <c r="I2198" s="157" t="s">
        <v>1710</v>
      </c>
      <c r="J2198" s="157" t="s">
        <v>1711</v>
      </c>
      <c r="K2198" s="157" t="s">
        <v>1480</v>
      </c>
      <c r="L2198" s="157" t="s">
        <v>1817</v>
      </c>
      <c r="M2198" s="157" t="str">
        <f t="shared" si="46"/>
        <v>Loudspeaker - Rear Left - High Tone Speaker</v>
      </c>
      <c r="N2198" s="157"/>
      <c r="O2198" s="157"/>
      <c r="P2198" s="159" t="s">
        <v>7134</v>
      </c>
      <c r="Q2198" s="157" t="s">
        <v>2115</v>
      </c>
      <c r="R2198" s="157" t="s">
        <v>2122</v>
      </c>
      <c r="S2198" s="157" t="s">
        <v>8635</v>
      </c>
      <c r="T2198" s="157"/>
      <c r="U2198" s="159" t="s">
        <v>2129</v>
      </c>
      <c r="V2198" s="159" t="s">
        <v>2138</v>
      </c>
      <c r="W2198" s="159" t="s">
        <v>2138</v>
      </c>
      <c r="X2198" s="160">
        <v>0.25</v>
      </c>
      <c r="Y2198" s="160">
        <v>0.35</v>
      </c>
      <c r="Z2198" s="160">
        <v>0.4</v>
      </c>
      <c r="AA2198" s="160">
        <v>0.3</v>
      </c>
    </row>
    <row r="2199" spans="1:27" ht="18" customHeight="1" x14ac:dyDescent="0.25">
      <c r="A2199" s="159">
        <v>5133</v>
      </c>
      <c r="B2199" s="157" t="s">
        <v>280</v>
      </c>
      <c r="C2199" s="157" t="s">
        <v>354</v>
      </c>
      <c r="D2199" s="159" t="s">
        <v>896</v>
      </c>
      <c r="E2199" s="157" t="s">
        <v>894</v>
      </c>
      <c r="F2199" s="157" t="s">
        <v>1264</v>
      </c>
      <c r="G2199" s="157" t="s">
        <v>1265</v>
      </c>
      <c r="H2199" s="157" t="s">
        <v>1458</v>
      </c>
      <c r="I2199" s="157" t="s">
        <v>1710</v>
      </c>
      <c r="J2199" s="157" t="s">
        <v>1711</v>
      </c>
      <c r="K2199" s="157" t="s">
        <v>1480</v>
      </c>
      <c r="L2199" s="157" t="s">
        <v>1818</v>
      </c>
      <c r="M2199" s="157" t="str">
        <f t="shared" si="46"/>
        <v>Loudspeaker - Rear Right - High Tone Speaker</v>
      </c>
      <c r="N2199" s="157"/>
      <c r="O2199" s="157"/>
      <c r="P2199" s="159" t="s">
        <v>4496</v>
      </c>
      <c r="Q2199" s="157" t="s">
        <v>2115</v>
      </c>
      <c r="R2199" s="157" t="s">
        <v>2122</v>
      </c>
      <c r="S2199" s="157" t="s">
        <v>8635</v>
      </c>
      <c r="T2199" s="157"/>
      <c r="U2199" s="159" t="s">
        <v>2129</v>
      </c>
      <c r="V2199" s="159" t="s">
        <v>2138</v>
      </c>
      <c r="W2199" s="159" t="s">
        <v>2138</v>
      </c>
      <c r="X2199" s="160">
        <v>0.25</v>
      </c>
      <c r="Y2199" s="160">
        <v>0.35</v>
      </c>
      <c r="Z2199" s="160">
        <v>0.4</v>
      </c>
      <c r="AA2199" s="160">
        <v>0.3</v>
      </c>
    </row>
    <row r="2200" spans="1:27" ht="18" customHeight="1" x14ac:dyDescent="0.25">
      <c r="A2200" s="159">
        <v>5133</v>
      </c>
      <c r="B2200" s="157" t="s">
        <v>280</v>
      </c>
      <c r="C2200" s="157" t="s">
        <v>354</v>
      </c>
      <c r="D2200" s="159" t="s">
        <v>1189</v>
      </c>
      <c r="E2200" s="157" t="s">
        <v>1187</v>
      </c>
      <c r="F2200" s="157" t="s">
        <v>1264</v>
      </c>
      <c r="G2200" s="157" t="s">
        <v>1265</v>
      </c>
      <c r="H2200" s="157" t="s">
        <v>1458</v>
      </c>
      <c r="I2200" s="157" t="s">
        <v>1710</v>
      </c>
      <c r="J2200" s="157" t="s">
        <v>1711</v>
      </c>
      <c r="K2200" s="157" t="s">
        <v>1480</v>
      </c>
      <c r="L2200" s="157" t="s">
        <v>1818</v>
      </c>
      <c r="M2200" s="157" t="str">
        <f t="shared" si="46"/>
        <v>Loudspeaker - Rear Right - High Tone Speaker</v>
      </c>
      <c r="N2200" s="157"/>
      <c r="O2200" s="157"/>
      <c r="P2200" s="159" t="s">
        <v>4496</v>
      </c>
      <c r="Q2200" s="157" t="s">
        <v>2115</v>
      </c>
      <c r="R2200" s="157" t="s">
        <v>2122</v>
      </c>
      <c r="S2200" s="157" t="s">
        <v>8635</v>
      </c>
      <c r="T2200" s="157"/>
      <c r="U2200" s="159" t="s">
        <v>2129</v>
      </c>
      <c r="V2200" s="159" t="s">
        <v>2138</v>
      </c>
      <c r="W2200" s="159" t="s">
        <v>2138</v>
      </c>
      <c r="X2200" s="160">
        <v>0.25</v>
      </c>
      <c r="Y2200" s="160">
        <v>0.35</v>
      </c>
      <c r="Z2200" s="160">
        <v>0.4</v>
      </c>
      <c r="AA2200" s="160">
        <v>0.3</v>
      </c>
    </row>
    <row r="2201" spans="1:27" ht="18" customHeight="1" x14ac:dyDescent="0.25">
      <c r="A2201" s="159">
        <v>5141</v>
      </c>
      <c r="B2201" s="157" t="s">
        <v>29</v>
      </c>
      <c r="C2201" s="157" t="s">
        <v>113</v>
      </c>
      <c r="D2201" s="159" t="s">
        <v>439</v>
      </c>
      <c r="E2201" s="157" t="s">
        <v>437</v>
      </c>
      <c r="F2201" s="157"/>
      <c r="G2201" s="157" t="s">
        <v>1349</v>
      </c>
      <c r="H2201" s="157" t="s">
        <v>1418</v>
      </c>
      <c r="I2201" s="157" t="s">
        <v>1293</v>
      </c>
      <c r="J2201" s="157" t="s">
        <v>1553</v>
      </c>
      <c r="K2201" s="157" t="s">
        <v>1352</v>
      </c>
      <c r="L2201" s="157" t="s">
        <v>1819</v>
      </c>
      <c r="M2201" s="157" t="str">
        <f t="shared" si="46"/>
        <v>Surround Camera Rear - Rear View</v>
      </c>
      <c r="N2201" s="157"/>
      <c r="O2201" s="157"/>
      <c r="P2201" s="159" t="s">
        <v>5819</v>
      </c>
      <c r="Q2201" s="157" t="s">
        <v>2115</v>
      </c>
      <c r="R2201" s="157" t="s">
        <v>8599</v>
      </c>
      <c r="S2201" s="157" t="s">
        <v>8612</v>
      </c>
      <c r="T2201" s="157" t="s">
        <v>2134</v>
      </c>
      <c r="U2201" s="159" t="s">
        <v>2129</v>
      </c>
      <c r="V2201" s="159" t="s">
        <v>2138</v>
      </c>
      <c r="W2201" s="159" t="s">
        <v>2129</v>
      </c>
      <c r="X2201" s="160">
        <v>1</v>
      </c>
      <c r="Y2201" s="160">
        <v>1</v>
      </c>
      <c r="Z2201" s="160">
        <v>1</v>
      </c>
      <c r="AA2201" s="160">
        <v>1</v>
      </c>
    </row>
    <row r="2202" spans="1:27" ht="18" customHeight="1" x14ac:dyDescent="0.25">
      <c r="A2202" s="159">
        <v>5141</v>
      </c>
      <c r="B2202" s="157" t="s">
        <v>29</v>
      </c>
      <c r="C2202" s="157" t="s">
        <v>113</v>
      </c>
      <c r="D2202" s="159" t="s">
        <v>932</v>
      </c>
      <c r="E2202" s="157" t="s">
        <v>930</v>
      </c>
      <c r="F2202" s="157"/>
      <c r="G2202" s="157" t="s">
        <v>1349</v>
      </c>
      <c r="H2202" s="157" t="s">
        <v>1418</v>
      </c>
      <c r="I2202" s="157" t="s">
        <v>1293</v>
      </c>
      <c r="J2202" s="157" t="s">
        <v>1553</v>
      </c>
      <c r="K2202" s="157" t="s">
        <v>1352</v>
      </c>
      <c r="L2202" s="157" t="s">
        <v>1819</v>
      </c>
      <c r="M2202" s="157" t="str">
        <f t="shared" si="46"/>
        <v>Surround Camera Rear - Rear View</v>
      </c>
      <c r="N2202" s="157"/>
      <c r="O2202" s="157"/>
      <c r="P2202" s="159" t="s">
        <v>5819</v>
      </c>
      <c r="Q2202" s="157" t="s">
        <v>2115</v>
      </c>
      <c r="R2202" s="157" t="s">
        <v>8599</v>
      </c>
      <c r="S2202" s="157" t="s">
        <v>8612</v>
      </c>
      <c r="T2202" s="157" t="s">
        <v>2134</v>
      </c>
      <c r="U2202" s="159" t="s">
        <v>2129</v>
      </c>
      <c r="V2202" s="159" t="s">
        <v>2138</v>
      </c>
      <c r="W2202" s="159" t="s">
        <v>2129</v>
      </c>
      <c r="X2202" s="160">
        <v>1</v>
      </c>
      <c r="Y2202" s="160">
        <v>1</v>
      </c>
      <c r="Z2202" s="160">
        <v>1</v>
      </c>
      <c r="AA2202" s="160">
        <v>1</v>
      </c>
    </row>
    <row r="2203" spans="1:27" ht="18" customHeight="1" x14ac:dyDescent="0.25">
      <c r="A2203" s="159">
        <v>5141</v>
      </c>
      <c r="B2203" s="157" t="s">
        <v>266</v>
      </c>
      <c r="C2203" s="157" t="s">
        <v>276</v>
      </c>
      <c r="D2203" s="159" t="s">
        <v>734</v>
      </c>
      <c r="E2203" s="157" t="s">
        <v>732</v>
      </c>
      <c r="F2203" s="157"/>
      <c r="G2203" s="157" t="s">
        <v>1349</v>
      </c>
      <c r="H2203" s="157" t="s">
        <v>1418</v>
      </c>
      <c r="I2203" s="157" t="s">
        <v>1293</v>
      </c>
      <c r="J2203" s="157" t="s">
        <v>1553</v>
      </c>
      <c r="K2203" s="157" t="s">
        <v>1352</v>
      </c>
      <c r="L2203" s="157" t="s">
        <v>1819</v>
      </c>
      <c r="M2203" s="157" t="str">
        <f t="shared" si="46"/>
        <v>Surround Camera Rear - Rear View</v>
      </c>
      <c r="N2203" s="157"/>
      <c r="O2203" s="157"/>
      <c r="P2203" s="159" t="s">
        <v>5819</v>
      </c>
      <c r="Q2203" s="157" t="s">
        <v>2115</v>
      </c>
      <c r="R2203" s="157" t="s">
        <v>8599</v>
      </c>
      <c r="S2203" s="157" t="s">
        <v>8612</v>
      </c>
      <c r="T2203" s="157" t="s">
        <v>2134</v>
      </c>
      <c r="U2203" s="159" t="s">
        <v>2129</v>
      </c>
      <c r="V2203" s="159" t="s">
        <v>2138</v>
      </c>
      <c r="W2203" s="159" t="s">
        <v>2129</v>
      </c>
      <c r="X2203" s="160">
        <v>1</v>
      </c>
      <c r="Y2203" s="160">
        <v>1</v>
      </c>
      <c r="Z2203" s="160">
        <v>1</v>
      </c>
      <c r="AA2203" s="160">
        <v>1</v>
      </c>
    </row>
    <row r="2204" spans="1:27" ht="18" customHeight="1" x14ac:dyDescent="0.25">
      <c r="A2204" s="159">
        <v>5141</v>
      </c>
      <c r="B2204" s="157" t="s">
        <v>266</v>
      </c>
      <c r="C2204" s="157" t="s">
        <v>294</v>
      </c>
      <c r="D2204" s="159" t="s">
        <v>297</v>
      </c>
      <c r="E2204" s="157" t="s">
        <v>295</v>
      </c>
      <c r="F2204" s="157"/>
      <c r="G2204" s="157" t="s">
        <v>1349</v>
      </c>
      <c r="H2204" s="157" t="s">
        <v>1418</v>
      </c>
      <c r="I2204" s="157" t="s">
        <v>1293</v>
      </c>
      <c r="J2204" s="157" t="s">
        <v>1553</v>
      </c>
      <c r="K2204" s="157" t="s">
        <v>1352</v>
      </c>
      <c r="L2204" s="157" t="s">
        <v>1819</v>
      </c>
      <c r="M2204" s="157" t="str">
        <f t="shared" si="46"/>
        <v>Surround Camera Rear - Rear View</v>
      </c>
      <c r="N2204" s="157"/>
      <c r="O2204" s="157"/>
      <c r="P2204" s="159" t="s">
        <v>5819</v>
      </c>
      <c r="Q2204" s="157" t="s">
        <v>2115</v>
      </c>
      <c r="R2204" s="157" t="s">
        <v>8599</v>
      </c>
      <c r="S2204" s="157" t="s">
        <v>8612</v>
      </c>
      <c r="T2204" s="157" t="s">
        <v>2134</v>
      </c>
      <c r="U2204" s="159" t="s">
        <v>2129</v>
      </c>
      <c r="V2204" s="159" t="s">
        <v>2138</v>
      </c>
      <c r="W2204" s="159" t="s">
        <v>2129</v>
      </c>
      <c r="X2204" s="160">
        <v>1</v>
      </c>
      <c r="Y2204" s="160">
        <v>1</v>
      </c>
      <c r="Z2204" s="160">
        <v>1</v>
      </c>
      <c r="AA2204" s="160">
        <v>1</v>
      </c>
    </row>
    <row r="2205" spans="1:27" ht="18" customHeight="1" x14ac:dyDescent="0.25">
      <c r="A2205" s="159">
        <v>5141</v>
      </c>
      <c r="B2205" s="157" t="s">
        <v>266</v>
      </c>
      <c r="C2205" s="157" t="s">
        <v>294</v>
      </c>
      <c r="D2205" s="159" t="s">
        <v>298</v>
      </c>
      <c r="E2205" s="157" t="s">
        <v>299</v>
      </c>
      <c r="F2205" s="157"/>
      <c r="G2205" s="157" t="s">
        <v>1349</v>
      </c>
      <c r="H2205" s="157" t="s">
        <v>1418</v>
      </c>
      <c r="I2205" s="157" t="s">
        <v>1293</v>
      </c>
      <c r="J2205" s="157" t="s">
        <v>1553</v>
      </c>
      <c r="K2205" s="157" t="s">
        <v>1352</v>
      </c>
      <c r="L2205" s="157" t="s">
        <v>1819</v>
      </c>
      <c r="M2205" s="157" t="str">
        <f t="shared" si="46"/>
        <v>Surround Camera Rear - Rear View</v>
      </c>
      <c r="N2205" s="157"/>
      <c r="O2205" s="157"/>
      <c r="P2205" s="159" t="s">
        <v>5819</v>
      </c>
      <c r="Q2205" s="157" t="s">
        <v>2115</v>
      </c>
      <c r="R2205" s="157" t="s">
        <v>8599</v>
      </c>
      <c r="S2205" s="157" t="s">
        <v>8612</v>
      </c>
      <c r="T2205" s="157" t="s">
        <v>2134</v>
      </c>
      <c r="U2205" s="159" t="s">
        <v>2129</v>
      </c>
      <c r="V2205" s="159" t="s">
        <v>2138</v>
      </c>
      <c r="W2205" s="159" t="s">
        <v>2129</v>
      </c>
      <c r="X2205" s="160">
        <v>1</v>
      </c>
      <c r="Y2205" s="160">
        <v>1</v>
      </c>
      <c r="Z2205" s="160">
        <v>1</v>
      </c>
      <c r="AA2205" s="160">
        <v>1</v>
      </c>
    </row>
    <row r="2206" spans="1:27" ht="18" customHeight="1" x14ac:dyDescent="0.25">
      <c r="A2206" s="159">
        <v>5141</v>
      </c>
      <c r="B2206" s="157" t="s">
        <v>266</v>
      </c>
      <c r="C2206" s="157" t="s">
        <v>294</v>
      </c>
      <c r="D2206" s="159" t="s">
        <v>1177</v>
      </c>
      <c r="E2206" s="157" t="s">
        <v>1175</v>
      </c>
      <c r="F2206" s="157"/>
      <c r="G2206" s="157" t="s">
        <v>1349</v>
      </c>
      <c r="H2206" s="157" t="s">
        <v>1418</v>
      </c>
      <c r="I2206" s="157" t="s">
        <v>1293</v>
      </c>
      <c r="J2206" s="157" t="s">
        <v>1553</v>
      </c>
      <c r="K2206" s="157" t="s">
        <v>1352</v>
      </c>
      <c r="L2206" s="157" t="s">
        <v>1819</v>
      </c>
      <c r="M2206" s="157" t="str">
        <f t="shared" si="46"/>
        <v>Surround Camera Rear - Rear View</v>
      </c>
      <c r="N2206" s="157"/>
      <c r="O2206" s="157"/>
      <c r="P2206" s="159" t="s">
        <v>5819</v>
      </c>
      <c r="Q2206" s="157" t="s">
        <v>2115</v>
      </c>
      <c r="R2206" s="157" t="s">
        <v>8599</v>
      </c>
      <c r="S2206" s="157" t="s">
        <v>8612</v>
      </c>
      <c r="T2206" s="157" t="s">
        <v>2134</v>
      </c>
      <c r="U2206" s="159" t="s">
        <v>2129</v>
      </c>
      <c r="V2206" s="159" t="s">
        <v>2138</v>
      </c>
      <c r="W2206" s="159" t="s">
        <v>2129</v>
      </c>
      <c r="X2206" s="160">
        <v>1</v>
      </c>
      <c r="Y2206" s="160">
        <v>1</v>
      </c>
      <c r="Z2206" s="160">
        <v>1</v>
      </c>
      <c r="AA2206" s="160">
        <v>1</v>
      </c>
    </row>
    <row r="2207" spans="1:27" ht="18" customHeight="1" x14ac:dyDescent="0.25">
      <c r="A2207" s="159">
        <v>5141</v>
      </c>
      <c r="B2207" s="157" t="s">
        <v>266</v>
      </c>
      <c r="C2207" s="157" t="s">
        <v>294</v>
      </c>
      <c r="D2207" s="159" t="s">
        <v>1178</v>
      </c>
      <c r="E2207" s="157" t="s">
        <v>1179</v>
      </c>
      <c r="F2207" s="157"/>
      <c r="G2207" s="157" t="s">
        <v>1349</v>
      </c>
      <c r="H2207" s="157" t="s">
        <v>1418</v>
      </c>
      <c r="I2207" s="157" t="s">
        <v>1293</v>
      </c>
      <c r="J2207" s="157" t="s">
        <v>1553</v>
      </c>
      <c r="K2207" s="157" t="s">
        <v>1352</v>
      </c>
      <c r="L2207" s="157" t="s">
        <v>1819</v>
      </c>
      <c r="M2207" s="157" t="str">
        <f t="shared" si="46"/>
        <v>Surround Camera Rear - Rear View</v>
      </c>
      <c r="N2207" s="157"/>
      <c r="O2207" s="157"/>
      <c r="P2207" s="159" t="s">
        <v>5819</v>
      </c>
      <c r="Q2207" s="157" t="s">
        <v>2115</v>
      </c>
      <c r="R2207" s="157" t="s">
        <v>8599</v>
      </c>
      <c r="S2207" s="157" t="s">
        <v>8612</v>
      </c>
      <c r="T2207" s="157" t="s">
        <v>2134</v>
      </c>
      <c r="U2207" s="159" t="s">
        <v>2129</v>
      </c>
      <c r="V2207" s="159" t="s">
        <v>2138</v>
      </c>
      <c r="W2207" s="159" t="s">
        <v>2129</v>
      </c>
      <c r="X2207" s="160">
        <v>1</v>
      </c>
      <c r="Y2207" s="160">
        <v>1</v>
      </c>
      <c r="Z2207" s="160">
        <v>1</v>
      </c>
      <c r="AA2207" s="160">
        <v>1</v>
      </c>
    </row>
    <row r="2208" spans="1:27" ht="18" customHeight="1" x14ac:dyDescent="0.25">
      <c r="A2208" s="159">
        <v>5141</v>
      </c>
      <c r="B2208" s="157" t="s">
        <v>266</v>
      </c>
      <c r="C2208" s="157" t="s">
        <v>294</v>
      </c>
      <c r="D2208" s="159" t="s">
        <v>1207</v>
      </c>
      <c r="E2208" s="157" t="s">
        <v>1205</v>
      </c>
      <c r="F2208" s="157"/>
      <c r="G2208" s="157" t="s">
        <v>1349</v>
      </c>
      <c r="H2208" s="157" t="s">
        <v>1418</v>
      </c>
      <c r="I2208" s="157" t="s">
        <v>1293</v>
      </c>
      <c r="J2208" s="157" t="s">
        <v>1553</v>
      </c>
      <c r="K2208" s="157" t="s">
        <v>1352</v>
      </c>
      <c r="L2208" s="157" t="s">
        <v>1819</v>
      </c>
      <c r="M2208" s="157" t="str">
        <f t="shared" si="46"/>
        <v>Surround Camera Rear - Rear View</v>
      </c>
      <c r="N2208" s="157"/>
      <c r="O2208" s="157"/>
      <c r="P2208" s="159" t="s">
        <v>5819</v>
      </c>
      <c r="Q2208" s="157" t="s">
        <v>2115</v>
      </c>
      <c r="R2208" s="157" t="s">
        <v>8599</v>
      </c>
      <c r="S2208" s="157" t="s">
        <v>8612</v>
      </c>
      <c r="T2208" s="157" t="s">
        <v>2134</v>
      </c>
      <c r="U2208" s="159" t="s">
        <v>2129</v>
      </c>
      <c r="V2208" s="159" t="s">
        <v>2138</v>
      </c>
      <c r="W2208" s="159" t="s">
        <v>2129</v>
      </c>
      <c r="X2208" s="160">
        <v>1</v>
      </c>
      <c r="Y2208" s="160">
        <v>1</v>
      </c>
      <c r="Z2208" s="160">
        <v>1</v>
      </c>
      <c r="AA2208" s="160">
        <v>1</v>
      </c>
    </row>
    <row r="2209" spans="1:27" ht="18" customHeight="1" x14ac:dyDescent="0.25">
      <c r="A2209" s="159">
        <v>5145</v>
      </c>
      <c r="B2209" s="157" t="s">
        <v>29</v>
      </c>
      <c r="C2209" s="157" t="s">
        <v>113</v>
      </c>
      <c r="D2209" s="159" t="s">
        <v>932</v>
      </c>
      <c r="E2209" s="157" t="s">
        <v>930</v>
      </c>
      <c r="F2209" s="157"/>
      <c r="G2209" s="157" t="s">
        <v>1349</v>
      </c>
      <c r="H2209" s="157" t="s">
        <v>1418</v>
      </c>
      <c r="I2209" s="157" t="s">
        <v>1555</v>
      </c>
      <c r="J2209" s="157" t="s">
        <v>8297</v>
      </c>
      <c r="K2209" s="157" t="s">
        <v>1352</v>
      </c>
      <c r="L2209" s="157" t="s">
        <v>1820</v>
      </c>
      <c r="M2209" s="157" t="str">
        <f t="shared" si="46"/>
        <v>Surround Camera Front - Front View</v>
      </c>
      <c r="N2209" s="157"/>
      <c r="O2209" s="157"/>
      <c r="P2209" s="159" t="s">
        <v>3507</v>
      </c>
      <c r="Q2209" s="157" t="s">
        <v>2115</v>
      </c>
      <c r="R2209" s="157" t="s">
        <v>8599</v>
      </c>
      <c r="S2209" s="157" t="s">
        <v>8612</v>
      </c>
      <c r="T2209" s="157" t="s">
        <v>2134</v>
      </c>
      <c r="U2209" s="159" t="s">
        <v>2129</v>
      </c>
      <c r="V2209" s="159" t="s">
        <v>2138</v>
      </c>
      <c r="W2209" s="159" t="s">
        <v>2129</v>
      </c>
      <c r="X2209" s="160">
        <v>1</v>
      </c>
      <c r="Y2209" s="160">
        <v>1</v>
      </c>
      <c r="Z2209" s="160">
        <v>1</v>
      </c>
      <c r="AA2209" s="160">
        <v>1</v>
      </c>
    </row>
    <row r="2210" spans="1:27" ht="18" customHeight="1" x14ac:dyDescent="0.25">
      <c r="A2210" s="159">
        <v>5145</v>
      </c>
      <c r="B2210" s="157" t="s">
        <v>266</v>
      </c>
      <c r="C2210" s="157" t="s">
        <v>286</v>
      </c>
      <c r="D2210" s="159" t="s">
        <v>289</v>
      </c>
      <c r="E2210" s="157" t="s">
        <v>287</v>
      </c>
      <c r="F2210" s="157"/>
      <c r="G2210" s="157" t="s">
        <v>1349</v>
      </c>
      <c r="H2210" s="157" t="s">
        <v>1418</v>
      </c>
      <c r="I2210" s="157" t="s">
        <v>1555</v>
      </c>
      <c r="J2210" s="157" t="s">
        <v>8297</v>
      </c>
      <c r="K2210" s="157" t="s">
        <v>1352</v>
      </c>
      <c r="L2210" s="157" t="s">
        <v>1820</v>
      </c>
      <c r="M2210" s="157" t="str">
        <f t="shared" si="46"/>
        <v>Surround Camera Front - Front View</v>
      </c>
      <c r="N2210" s="157"/>
      <c r="O2210" s="157"/>
      <c r="P2210" s="159" t="s">
        <v>3507</v>
      </c>
      <c r="Q2210" s="157" t="s">
        <v>2115</v>
      </c>
      <c r="R2210" s="157" t="s">
        <v>8599</v>
      </c>
      <c r="S2210" s="157" t="s">
        <v>8612</v>
      </c>
      <c r="T2210" s="157" t="s">
        <v>2134</v>
      </c>
      <c r="U2210" s="159" t="s">
        <v>2129</v>
      </c>
      <c r="V2210" s="159" t="s">
        <v>2138</v>
      </c>
      <c r="W2210" s="159" t="s">
        <v>2129</v>
      </c>
      <c r="X2210" s="160">
        <v>1</v>
      </c>
      <c r="Y2210" s="160">
        <v>1</v>
      </c>
      <c r="Z2210" s="160">
        <v>1</v>
      </c>
      <c r="AA2210" s="160">
        <v>1</v>
      </c>
    </row>
    <row r="2211" spans="1:27" ht="18" customHeight="1" x14ac:dyDescent="0.25">
      <c r="A2211" s="159">
        <v>5145</v>
      </c>
      <c r="B2211" s="157" t="s">
        <v>266</v>
      </c>
      <c r="C2211" s="157" t="s">
        <v>276</v>
      </c>
      <c r="D2211" s="159" t="s">
        <v>317</v>
      </c>
      <c r="E2211" s="157" t="s">
        <v>315</v>
      </c>
      <c r="F2211" s="157"/>
      <c r="G2211" s="157" t="s">
        <v>1349</v>
      </c>
      <c r="H2211" s="157" t="s">
        <v>1418</v>
      </c>
      <c r="I2211" s="157" t="s">
        <v>1555</v>
      </c>
      <c r="J2211" s="157" t="s">
        <v>8297</v>
      </c>
      <c r="K2211" s="157" t="s">
        <v>1352</v>
      </c>
      <c r="L2211" s="157" t="s">
        <v>1820</v>
      </c>
      <c r="M2211" s="157" t="str">
        <f t="shared" si="46"/>
        <v>Surround Camera Front - Front View</v>
      </c>
      <c r="N2211" s="157"/>
      <c r="O2211" s="157"/>
      <c r="P2211" s="159" t="s">
        <v>3507</v>
      </c>
      <c r="Q2211" s="157" t="s">
        <v>2115</v>
      </c>
      <c r="R2211" s="157" t="s">
        <v>8599</v>
      </c>
      <c r="S2211" s="157" t="s">
        <v>8612</v>
      </c>
      <c r="T2211" s="157" t="s">
        <v>2134</v>
      </c>
      <c r="U2211" s="159" t="s">
        <v>2129</v>
      </c>
      <c r="V2211" s="159" t="s">
        <v>2138</v>
      </c>
      <c r="W2211" s="159" t="s">
        <v>2129</v>
      </c>
      <c r="X2211" s="160">
        <v>1</v>
      </c>
      <c r="Y2211" s="160">
        <v>1</v>
      </c>
      <c r="Z2211" s="160">
        <v>1</v>
      </c>
      <c r="AA2211" s="160">
        <v>1</v>
      </c>
    </row>
    <row r="2212" spans="1:27" ht="18" customHeight="1" x14ac:dyDescent="0.25">
      <c r="A2212" s="159">
        <v>5145</v>
      </c>
      <c r="B2212" s="157" t="s">
        <v>266</v>
      </c>
      <c r="C2212" s="157" t="s">
        <v>276</v>
      </c>
      <c r="D2212" s="159" t="s">
        <v>726</v>
      </c>
      <c r="E2212" s="157" t="s">
        <v>724</v>
      </c>
      <c r="F2212" s="157"/>
      <c r="G2212" s="157" t="s">
        <v>1349</v>
      </c>
      <c r="H2212" s="157" t="s">
        <v>1418</v>
      </c>
      <c r="I2212" s="157" t="s">
        <v>1555</v>
      </c>
      <c r="J2212" s="157" t="s">
        <v>8297</v>
      </c>
      <c r="K2212" s="157" t="s">
        <v>1352</v>
      </c>
      <c r="L2212" s="157" t="s">
        <v>1820</v>
      </c>
      <c r="M2212" s="157" t="str">
        <f t="shared" si="46"/>
        <v>Surround Camera Front - Front View</v>
      </c>
      <c r="N2212" s="157"/>
      <c r="O2212" s="157"/>
      <c r="P2212" s="159" t="s">
        <v>3507</v>
      </c>
      <c r="Q2212" s="157" t="s">
        <v>2115</v>
      </c>
      <c r="R2212" s="157" t="s">
        <v>8599</v>
      </c>
      <c r="S2212" s="157" t="s">
        <v>8612</v>
      </c>
      <c r="T2212" s="157" t="s">
        <v>2134</v>
      </c>
      <c r="U2212" s="159" t="s">
        <v>2129</v>
      </c>
      <c r="V2212" s="159" t="s">
        <v>2138</v>
      </c>
      <c r="W2212" s="159" t="s">
        <v>2129</v>
      </c>
      <c r="X2212" s="160">
        <v>1</v>
      </c>
      <c r="Y2212" s="160">
        <v>1</v>
      </c>
      <c r="Z2212" s="160">
        <v>1</v>
      </c>
      <c r="AA2212" s="160">
        <v>1</v>
      </c>
    </row>
    <row r="2213" spans="1:27" ht="18" customHeight="1" x14ac:dyDescent="0.25">
      <c r="A2213" s="159">
        <v>5145</v>
      </c>
      <c r="B2213" s="157" t="s">
        <v>266</v>
      </c>
      <c r="C2213" s="157" t="s">
        <v>276</v>
      </c>
      <c r="D2213" s="159" t="s">
        <v>734</v>
      </c>
      <c r="E2213" s="157" t="s">
        <v>732</v>
      </c>
      <c r="F2213" s="157"/>
      <c r="G2213" s="157" t="s">
        <v>1349</v>
      </c>
      <c r="H2213" s="157" t="s">
        <v>1418</v>
      </c>
      <c r="I2213" s="157" t="s">
        <v>1555</v>
      </c>
      <c r="J2213" s="157" t="s">
        <v>8297</v>
      </c>
      <c r="K2213" s="157" t="s">
        <v>1352</v>
      </c>
      <c r="L2213" s="157" t="s">
        <v>1820</v>
      </c>
      <c r="M2213" s="157" t="str">
        <f t="shared" si="46"/>
        <v>Surround Camera Front - Front View</v>
      </c>
      <c r="N2213" s="157"/>
      <c r="O2213" s="157"/>
      <c r="P2213" s="159" t="s">
        <v>3507</v>
      </c>
      <c r="Q2213" s="157" t="s">
        <v>2115</v>
      </c>
      <c r="R2213" s="157" t="s">
        <v>8599</v>
      </c>
      <c r="S2213" s="157" t="s">
        <v>8612</v>
      </c>
      <c r="T2213" s="157" t="s">
        <v>2134</v>
      </c>
      <c r="U2213" s="159" t="s">
        <v>2129</v>
      </c>
      <c r="V2213" s="159" t="s">
        <v>2138</v>
      </c>
      <c r="W2213" s="159" t="s">
        <v>2129</v>
      </c>
      <c r="X2213" s="160">
        <v>1</v>
      </c>
      <c r="Y2213" s="160">
        <v>1</v>
      </c>
      <c r="Z2213" s="160">
        <v>1</v>
      </c>
      <c r="AA2213" s="160">
        <v>1</v>
      </c>
    </row>
    <row r="2214" spans="1:27" ht="18" customHeight="1" x14ac:dyDescent="0.25">
      <c r="A2214" s="159">
        <v>5145</v>
      </c>
      <c r="B2214" s="157" t="s">
        <v>266</v>
      </c>
      <c r="C2214" s="157" t="s">
        <v>294</v>
      </c>
      <c r="D2214" s="159" t="s">
        <v>297</v>
      </c>
      <c r="E2214" s="157" t="s">
        <v>295</v>
      </c>
      <c r="F2214" s="157"/>
      <c r="G2214" s="157" t="s">
        <v>1349</v>
      </c>
      <c r="H2214" s="157" t="s">
        <v>1418</v>
      </c>
      <c r="I2214" s="157" t="s">
        <v>1555</v>
      </c>
      <c r="J2214" s="157" t="s">
        <v>8297</v>
      </c>
      <c r="K2214" s="157" t="s">
        <v>1352</v>
      </c>
      <c r="L2214" s="157" t="s">
        <v>1820</v>
      </c>
      <c r="M2214" s="157" t="str">
        <f t="shared" si="46"/>
        <v>Surround Camera Front - Front View</v>
      </c>
      <c r="N2214" s="157"/>
      <c r="O2214" s="157"/>
      <c r="P2214" s="159" t="s">
        <v>3507</v>
      </c>
      <c r="Q2214" s="157" t="s">
        <v>2115</v>
      </c>
      <c r="R2214" s="157" t="s">
        <v>8599</v>
      </c>
      <c r="S2214" s="157" t="s">
        <v>8612</v>
      </c>
      <c r="T2214" s="157" t="s">
        <v>2134</v>
      </c>
      <c r="U2214" s="159" t="s">
        <v>2129</v>
      </c>
      <c r="V2214" s="159" t="s">
        <v>2138</v>
      </c>
      <c r="W2214" s="159" t="s">
        <v>2129</v>
      </c>
      <c r="X2214" s="160">
        <v>1</v>
      </c>
      <c r="Y2214" s="160">
        <v>1</v>
      </c>
      <c r="Z2214" s="160">
        <v>1</v>
      </c>
      <c r="AA2214" s="160">
        <v>1</v>
      </c>
    </row>
    <row r="2215" spans="1:27" ht="18" customHeight="1" x14ac:dyDescent="0.25">
      <c r="A2215" s="159">
        <v>5145</v>
      </c>
      <c r="B2215" s="157" t="s">
        <v>266</v>
      </c>
      <c r="C2215" s="157" t="s">
        <v>294</v>
      </c>
      <c r="D2215" s="159" t="s">
        <v>298</v>
      </c>
      <c r="E2215" s="157" t="s">
        <v>299</v>
      </c>
      <c r="F2215" s="157"/>
      <c r="G2215" s="157" t="s">
        <v>1349</v>
      </c>
      <c r="H2215" s="157" t="s">
        <v>1418</v>
      </c>
      <c r="I2215" s="157" t="s">
        <v>1555</v>
      </c>
      <c r="J2215" s="157" t="s">
        <v>8297</v>
      </c>
      <c r="K2215" s="157" t="s">
        <v>1352</v>
      </c>
      <c r="L2215" s="157" t="s">
        <v>1820</v>
      </c>
      <c r="M2215" s="157" t="str">
        <f t="shared" si="46"/>
        <v>Surround Camera Front - Front View</v>
      </c>
      <c r="N2215" s="157"/>
      <c r="O2215" s="157"/>
      <c r="P2215" s="159" t="s">
        <v>3507</v>
      </c>
      <c r="Q2215" s="157" t="s">
        <v>2115</v>
      </c>
      <c r="R2215" s="157" t="s">
        <v>8599</v>
      </c>
      <c r="S2215" s="157" t="s">
        <v>8612</v>
      </c>
      <c r="T2215" s="157" t="s">
        <v>2134</v>
      </c>
      <c r="U2215" s="159" t="s">
        <v>2129</v>
      </c>
      <c r="V2215" s="159" t="s">
        <v>2138</v>
      </c>
      <c r="W2215" s="159" t="s">
        <v>2129</v>
      </c>
      <c r="X2215" s="160">
        <v>1</v>
      </c>
      <c r="Y2215" s="160">
        <v>1</v>
      </c>
      <c r="Z2215" s="160">
        <v>1</v>
      </c>
      <c r="AA2215" s="160">
        <v>1</v>
      </c>
    </row>
    <row r="2216" spans="1:27" ht="18" customHeight="1" x14ac:dyDescent="0.25">
      <c r="A2216" s="159">
        <v>5145</v>
      </c>
      <c r="B2216" s="157" t="s">
        <v>266</v>
      </c>
      <c r="C2216" s="157" t="s">
        <v>294</v>
      </c>
      <c r="D2216" s="159" t="s">
        <v>1177</v>
      </c>
      <c r="E2216" s="157" t="s">
        <v>1175</v>
      </c>
      <c r="F2216" s="157"/>
      <c r="G2216" s="157" t="s">
        <v>1349</v>
      </c>
      <c r="H2216" s="157" t="s">
        <v>1418</v>
      </c>
      <c r="I2216" s="157" t="s">
        <v>1555</v>
      </c>
      <c r="J2216" s="157" t="s">
        <v>8297</v>
      </c>
      <c r="K2216" s="157" t="s">
        <v>1352</v>
      </c>
      <c r="L2216" s="157" t="s">
        <v>1820</v>
      </c>
      <c r="M2216" s="157" t="str">
        <f t="shared" si="46"/>
        <v>Surround Camera Front - Front View</v>
      </c>
      <c r="N2216" s="157"/>
      <c r="O2216" s="157"/>
      <c r="P2216" s="159" t="s">
        <v>3507</v>
      </c>
      <c r="Q2216" s="157" t="s">
        <v>2115</v>
      </c>
      <c r="R2216" s="157" t="s">
        <v>8599</v>
      </c>
      <c r="S2216" s="157" t="s">
        <v>8612</v>
      </c>
      <c r="T2216" s="157" t="s">
        <v>2134</v>
      </c>
      <c r="U2216" s="159" t="s">
        <v>2129</v>
      </c>
      <c r="V2216" s="159" t="s">
        <v>2138</v>
      </c>
      <c r="W2216" s="159" t="s">
        <v>2129</v>
      </c>
      <c r="X2216" s="160">
        <v>1</v>
      </c>
      <c r="Y2216" s="160">
        <v>1</v>
      </c>
      <c r="Z2216" s="160">
        <v>1</v>
      </c>
      <c r="AA2216" s="160">
        <v>1</v>
      </c>
    </row>
    <row r="2217" spans="1:27" ht="18" customHeight="1" x14ac:dyDescent="0.25">
      <c r="A2217" s="159">
        <v>5145</v>
      </c>
      <c r="B2217" s="157" t="s">
        <v>266</v>
      </c>
      <c r="C2217" s="157" t="s">
        <v>294</v>
      </c>
      <c r="D2217" s="159" t="s">
        <v>1178</v>
      </c>
      <c r="E2217" s="157" t="s">
        <v>1179</v>
      </c>
      <c r="F2217" s="157"/>
      <c r="G2217" s="157" t="s">
        <v>1349</v>
      </c>
      <c r="H2217" s="157" t="s">
        <v>1418</v>
      </c>
      <c r="I2217" s="157" t="s">
        <v>1555</v>
      </c>
      <c r="J2217" s="157" t="s">
        <v>8297</v>
      </c>
      <c r="K2217" s="157" t="s">
        <v>1352</v>
      </c>
      <c r="L2217" s="157" t="s">
        <v>1820</v>
      </c>
      <c r="M2217" s="157" t="str">
        <f t="shared" si="46"/>
        <v>Surround Camera Front - Front View</v>
      </c>
      <c r="N2217" s="157"/>
      <c r="O2217" s="157"/>
      <c r="P2217" s="159" t="s">
        <v>3507</v>
      </c>
      <c r="Q2217" s="157" t="s">
        <v>2115</v>
      </c>
      <c r="R2217" s="157" t="s">
        <v>8599</v>
      </c>
      <c r="S2217" s="157" t="s">
        <v>8612</v>
      </c>
      <c r="T2217" s="157" t="s">
        <v>2134</v>
      </c>
      <c r="U2217" s="159" t="s">
        <v>2129</v>
      </c>
      <c r="V2217" s="159" t="s">
        <v>2138</v>
      </c>
      <c r="W2217" s="159" t="s">
        <v>2129</v>
      </c>
      <c r="X2217" s="160">
        <v>1</v>
      </c>
      <c r="Y2217" s="160">
        <v>1</v>
      </c>
      <c r="Z2217" s="160">
        <v>1</v>
      </c>
      <c r="AA2217" s="160">
        <v>1</v>
      </c>
    </row>
    <row r="2218" spans="1:27" ht="18" customHeight="1" x14ac:dyDescent="0.25">
      <c r="A2218" s="159">
        <v>5145</v>
      </c>
      <c r="B2218" s="157" t="s">
        <v>266</v>
      </c>
      <c r="C2218" s="157" t="s">
        <v>294</v>
      </c>
      <c r="D2218" s="159" t="s">
        <v>1207</v>
      </c>
      <c r="E2218" s="157" t="s">
        <v>1205</v>
      </c>
      <c r="F2218" s="157"/>
      <c r="G2218" s="157" t="s">
        <v>1349</v>
      </c>
      <c r="H2218" s="157" t="s">
        <v>1418</v>
      </c>
      <c r="I2218" s="157" t="s">
        <v>1555</v>
      </c>
      <c r="J2218" s="157" t="s">
        <v>8297</v>
      </c>
      <c r="K2218" s="157" t="s">
        <v>1352</v>
      </c>
      <c r="L2218" s="157" t="s">
        <v>1820</v>
      </c>
      <c r="M2218" s="157" t="str">
        <f t="shared" si="46"/>
        <v>Surround Camera Front - Front View</v>
      </c>
      <c r="N2218" s="157"/>
      <c r="O2218" s="157"/>
      <c r="P2218" s="159" t="s">
        <v>3507</v>
      </c>
      <c r="Q2218" s="157" t="s">
        <v>2115</v>
      </c>
      <c r="R2218" s="157" t="s">
        <v>8599</v>
      </c>
      <c r="S2218" s="157" t="s">
        <v>8612</v>
      </c>
      <c r="T2218" s="157" t="s">
        <v>2134</v>
      </c>
      <c r="U2218" s="159" t="s">
        <v>2129</v>
      </c>
      <c r="V2218" s="159" t="s">
        <v>2138</v>
      </c>
      <c r="W2218" s="159" t="s">
        <v>2129</v>
      </c>
      <c r="X2218" s="160">
        <v>1</v>
      </c>
      <c r="Y2218" s="160">
        <v>1</v>
      </c>
      <c r="Z2218" s="160">
        <v>1</v>
      </c>
      <c r="AA2218" s="160">
        <v>1</v>
      </c>
    </row>
    <row r="2219" spans="1:27" ht="18" customHeight="1" x14ac:dyDescent="0.25">
      <c r="A2219" s="159">
        <v>5206</v>
      </c>
      <c r="B2219" s="157"/>
      <c r="C2219" s="157"/>
      <c r="D2219" s="159"/>
      <c r="E2219" s="157"/>
      <c r="F2219" s="157" t="s">
        <v>1010</v>
      </c>
      <c r="G2219" s="157" t="s">
        <v>1321</v>
      </c>
      <c r="H2219" s="157" t="s">
        <v>1648</v>
      </c>
      <c r="I2219" s="157" t="s">
        <v>1821</v>
      </c>
      <c r="J2219" s="157" t="s">
        <v>1649</v>
      </c>
      <c r="K2219" s="157" t="s">
        <v>1318</v>
      </c>
      <c r="L2219" s="157" t="s">
        <v>1739</v>
      </c>
      <c r="M2219" s="157" t="str">
        <f t="shared" si="46"/>
        <v>Start - Start-Stop Solenoid</v>
      </c>
      <c r="N2219" s="157"/>
      <c r="O2219" s="157"/>
      <c r="P2219" s="159"/>
      <c r="Q2219" s="157"/>
      <c r="R2219" s="157"/>
      <c r="S2219" s="157"/>
      <c r="T2219" s="157"/>
      <c r="U2219" s="159"/>
      <c r="V2219" s="159"/>
      <c r="W2219" s="159"/>
      <c r="X2219" s="160"/>
      <c r="Y2219" s="160"/>
      <c r="Z2219" s="160"/>
      <c r="AA2219" s="160"/>
    </row>
    <row r="2220" spans="1:27" ht="18" customHeight="1" x14ac:dyDescent="0.25">
      <c r="A2220" s="159">
        <v>5208</v>
      </c>
      <c r="B2220" s="157" t="s">
        <v>266</v>
      </c>
      <c r="C2220" s="157" t="s">
        <v>294</v>
      </c>
      <c r="D2220" s="159" t="s">
        <v>297</v>
      </c>
      <c r="E2220" s="157" t="s">
        <v>295</v>
      </c>
      <c r="F2220" s="157"/>
      <c r="G2220" s="157" t="s">
        <v>1349</v>
      </c>
      <c r="H2220" s="157" t="s">
        <v>1418</v>
      </c>
      <c r="I2220" s="157" t="s">
        <v>1559</v>
      </c>
      <c r="J2220" s="157" t="s">
        <v>8301</v>
      </c>
      <c r="K2220" s="157" t="s">
        <v>1312</v>
      </c>
      <c r="L2220" s="157" t="s">
        <v>9607</v>
      </c>
      <c r="M2220" s="157" t="str">
        <f t="shared" si="46"/>
        <v>Ultrasonic Sensor FL - Short Range Distance Measurement</v>
      </c>
      <c r="N2220" s="157"/>
      <c r="O2220" s="157"/>
      <c r="P2220" s="159" t="s">
        <v>7158</v>
      </c>
      <c r="Q2220" s="157" t="s">
        <v>2115</v>
      </c>
      <c r="R2220" s="157" t="s">
        <v>2145</v>
      </c>
      <c r="S2220" s="157" t="s">
        <v>8584</v>
      </c>
      <c r="T2220" s="157"/>
      <c r="U2220" s="159" t="s">
        <v>2129</v>
      </c>
      <c r="V2220" s="159" t="s">
        <v>2138</v>
      </c>
      <c r="W2220" s="159" t="s">
        <v>2138</v>
      </c>
      <c r="X2220" s="160">
        <v>0.05</v>
      </c>
      <c r="Y2220" s="160">
        <v>0</v>
      </c>
      <c r="Z2220" s="160">
        <v>0.05</v>
      </c>
      <c r="AA2220" s="160">
        <v>0</v>
      </c>
    </row>
    <row r="2221" spans="1:27" ht="18" customHeight="1" x14ac:dyDescent="0.25">
      <c r="A2221" s="159">
        <v>5208</v>
      </c>
      <c r="B2221" s="157" t="s">
        <v>266</v>
      </c>
      <c r="C2221" s="157" t="s">
        <v>294</v>
      </c>
      <c r="D2221" s="159" t="s">
        <v>503</v>
      </c>
      <c r="E2221" s="157" t="s">
        <v>501</v>
      </c>
      <c r="F2221" s="157"/>
      <c r="G2221" s="157" t="s">
        <v>1349</v>
      </c>
      <c r="H2221" s="157" t="s">
        <v>1418</v>
      </c>
      <c r="I2221" s="157" t="s">
        <v>1559</v>
      </c>
      <c r="J2221" s="157" t="s">
        <v>8301</v>
      </c>
      <c r="K2221" s="157" t="s">
        <v>1312</v>
      </c>
      <c r="L2221" s="157" t="s">
        <v>9607</v>
      </c>
      <c r="M2221" s="157" t="str">
        <f t="shared" si="46"/>
        <v>Ultrasonic Sensor FL - Short Range Distance Measurement</v>
      </c>
      <c r="N2221" s="157"/>
      <c r="O2221" s="157"/>
      <c r="P2221" s="159" t="s">
        <v>7158</v>
      </c>
      <c r="Q2221" s="157" t="s">
        <v>2115</v>
      </c>
      <c r="R2221" s="157" t="s">
        <v>2145</v>
      </c>
      <c r="S2221" s="157" t="s">
        <v>8584</v>
      </c>
      <c r="T2221" s="157"/>
      <c r="U2221" s="159" t="s">
        <v>2129</v>
      </c>
      <c r="V2221" s="159" t="s">
        <v>2129</v>
      </c>
      <c r="W2221" s="159" t="s">
        <v>2138</v>
      </c>
      <c r="X2221" s="160">
        <v>0.05</v>
      </c>
      <c r="Y2221" s="160">
        <v>0</v>
      </c>
      <c r="Z2221" s="160">
        <v>0.05</v>
      </c>
      <c r="AA2221" s="160">
        <v>0</v>
      </c>
    </row>
    <row r="2222" spans="1:27" ht="18" customHeight="1" x14ac:dyDescent="0.25">
      <c r="A2222" s="159">
        <v>5208</v>
      </c>
      <c r="B2222" s="157" t="s">
        <v>266</v>
      </c>
      <c r="C2222" s="157" t="s">
        <v>294</v>
      </c>
      <c r="D2222" s="159" t="s">
        <v>692</v>
      </c>
      <c r="E2222" s="157" t="s">
        <v>690</v>
      </c>
      <c r="F2222" s="157"/>
      <c r="G2222" s="157" t="s">
        <v>1349</v>
      </c>
      <c r="H2222" s="157" t="s">
        <v>1418</v>
      </c>
      <c r="I2222" s="157" t="s">
        <v>1559</v>
      </c>
      <c r="J2222" s="157" t="s">
        <v>8301</v>
      </c>
      <c r="K2222" s="157" t="s">
        <v>1312</v>
      </c>
      <c r="L2222" s="157" t="s">
        <v>9607</v>
      </c>
      <c r="M2222" s="157" t="str">
        <f t="shared" si="46"/>
        <v>Ultrasonic Sensor FL - Short Range Distance Measurement</v>
      </c>
      <c r="N2222" s="157"/>
      <c r="O2222" s="157"/>
      <c r="P2222" s="159" t="s">
        <v>7158</v>
      </c>
      <c r="Q2222" s="157" t="s">
        <v>2115</v>
      </c>
      <c r="R2222" s="157" t="s">
        <v>2145</v>
      </c>
      <c r="S2222" s="157" t="s">
        <v>8584</v>
      </c>
      <c r="T2222" s="157"/>
      <c r="U2222" s="159" t="s">
        <v>2129</v>
      </c>
      <c r="V2222" s="159" t="s">
        <v>2129</v>
      </c>
      <c r="W2222" s="159" t="s">
        <v>2138</v>
      </c>
      <c r="X2222" s="160">
        <v>0.05</v>
      </c>
      <c r="Y2222" s="160">
        <v>0</v>
      </c>
      <c r="Z2222" s="160">
        <v>0.05</v>
      </c>
      <c r="AA2222" s="160">
        <v>0</v>
      </c>
    </row>
    <row r="2223" spans="1:27" ht="18" customHeight="1" x14ac:dyDescent="0.25">
      <c r="A2223" s="159">
        <v>5208</v>
      </c>
      <c r="B2223" s="157" t="s">
        <v>266</v>
      </c>
      <c r="C2223" s="157" t="s">
        <v>294</v>
      </c>
      <c r="D2223" s="159" t="s">
        <v>1177</v>
      </c>
      <c r="E2223" s="157" t="s">
        <v>1175</v>
      </c>
      <c r="F2223" s="157"/>
      <c r="G2223" s="157" t="s">
        <v>1349</v>
      </c>
      <c r="H2223" s="157" t="s">
        <v>1418</v>
      </c>
      <c r="I2223" s="157" t="s">
        <v>1559</v>
      </c>
      <c r="J2223" s="157" t="s">
        <v>8301</v>
      </c>
      <c r="K2223" s="157" t="s">
        <v>1312</v>
      </c>
      <c r="L2223" s="157" t="s">
        <v>9607</v>
      </c>
      <c r="M2223" s="157" t="str">
        <f t="shared" si="46"/>
        <v>Ultrasonic Sensor FL - Short Range Distance Measurement</v>
      </c>
      <c r="N2223" s="157"/>
      <c r="O2223" s="157"/>
      <c r="P2223" s="159" t="s">
        <v>7158</v>
      </c>
      <c r="Q2223" s="157" t="s">
        <v>2115</v>
      </c>
      <c r="R2223" s="157" t="s">
        <v>2145</v>
      </c>
      <c r="S2223" s="157" t="s">
        <v>8584</v>
      </c>
      <c r="T2223" s="157"/>
      <c r="U2223" s="159" t="s">
        <v>2129</v>
      </c>
      <c r="V2223" s="159" t="s">
        <v>2129</v>
      </c>
      <c r="W2223" s="159" t="s">
        <v>2138</v>
      </c>
      <c r="X2223" s="160">
        <v>0.05</v>
      </c>
      <c r="Y2223" s="160">
        <v>0</v>
      </c>
      <c r="Z2223" s="160">
        <v>0.05</v>
      </c>
      <c r="AA2223" s="160">
        <v>0</v>
      </c>
    </row>
    <row r="2224" spans="1:27" ht="18" customHeight="1" x14ac:dyDescent="0.25">
      <c r="A2224" s="159">
        <v>5208</v>
      </c>
      <c r="B2224" s="157" t="s">
        <v>266</v>
      </c>
      <c r="C2224" s="157" t="s">
        <v>294</v>
      </c>
      <c r="D2224" s="159" t="s">
        <v>1178</v>
      </c>
      <c r="E2224" s="157" t="s">
        <v>1179</v>
      </c>
      <c r="F2224" s="157"/>
      <c r="G2224" s="157" t="s">
        <v>1349</v>
      </c>
      <c r="H2224" s="157" t="s">
        <v>1418</v>
      </c>
      <c r="I2224" s="157" t="s">
        <v>1559</v>
      </c>
      <c r="J2224" s="157" t="s">
        <v>8301</v>
      </c>
      <c r="K2224" s="157" t="s">
        <v>1312</v>
      </c>
      <c r="L2224" s="157" t="s">
        <v>9607</v>
      </c>
      <c r="M2224" s="157" t="str">
        <f t="shared" si="46"/>
        <v>Ultrasonic Sensor FL - Short Range Distance Measurement</v>
      </c>
      <c r="N2224" s="157"/>
      <c r="O2224" s="157"/>
      <c r="P2224" s="159" t="s">
        <v>7158</v>
      </c>
      <c r="Q2224" s="157" t="s">
        <v>2115</v>
      </c>
      <c r="R2224" s="157" t="s">
        <v>2145</v>
      </c>
      <c r="S2224" s="157" t="s">
        <v>8584</v>
      </c>
      <c r="T2224" s="157"/>
      <c r="U2224" s="159" t="s">
        <v>2129</v>
      </c>
      <c r="V2224" s="159" t="s">
        <v>2138</v>
      </c>
      <c r="W2224" s="159" t="s">
        <v>2138</v>
      </c>
      <c r="X2224" s="160">
        <v>0.05</v>
      </c>
      <c r="Y2224" s="160">
        <v>0</v>
      </c>
      <c r="Z2224" s="160">
        <v>0.05</v>
      </c>
      <c r="AA2224" s="160">
        <v>0</v>
      </c>
    </row>
    <row r="2225" spans="1:27" ht="18" customHeight="1" x14ac:dyDescent="0.25">
      <c r="A2225" s="159">
        <v>5208</v>
      </c>
      <c r="B2225" s="157" t="s">
        <v>266</v>
      </c>
      <c r="C2225" s="157" t="s">
        <v>294</v>
      </c>
      <c r="D2225" s="159" t="s">
        <v>1207</v>
      </c>
      <c r="E2225" s="157" t="s">
        <v>1205</v>
      </c>
      <c r="F2225" s="157"/>
      <c r="G2225" s="157" t="s">
        <v>1349</v>
      </c>
      <c r="H2225" s="157" t="s">
        <v>1418</v>
      </c>
      <c r="I2225" s="157" t="s">
        <v>1559</v>
      </c>
      <c r="J2225" s="157" t="s">
        <v>8301</v>
      </c>
      <c r="K2225" s="157" t="s">
        <v>1312</v>
      </c>
      <c r="L2225" s="157" t="s">
        <v>9607</v>
      </c>
      <c r="M2225" s="157" t="str">
        <f t="shared" si="46"/>
        <v>Ultrasonic Sensor FL - Short Range Distance Measurement</v>
      </c>
      <c r="N2225" s="157"/>
      <c r="O2225" s="157"/>
      <c r="P2225" s="159" t="s">
        <v>7158</v>
      </c>
      <c r="Q2225" s="157" t="s">
        <v>2115</v>
      </c>
      <c r="R2225" s="157" t="s">
        <v>2145</v>
      </c>
      <c r="S2225" s="157" t="s">
        <v>8584</v>
      </c>
      <c r="T2225" s="157"/>
      <c r="U2225" s="159" t="s">
        <v>2129</v>
      </c>
      <c r="V2225" s="159" t="s">
        <v>2138</v>
      </c>
      <c r="W2225" s="159" t="s">
        <v>2138</v>
      </c>
      <c r="X2225" s="160">
        <v>0.05</v>
      </c>
      <c r="Y2225" s="160">
        <v>0</v>
      </c>
      <c r="Z2225" s="160">
        <v>0.05</v>
      </c>
      <c r="AA2225" s="160">
        <v>0</v>
      </c>
    </row>
    <row r="2226" spans="1:27" ht="18" customHeight="1" x14ac:dyDescent="0.25">
      <c r="A2226" s="159">
        <v>5210</v>
      </c>
      <c r="B2226" s="157" t="s">
        <v>266</v>
      </c>
      <c r="C2226" s="157" t="s">
        <v>294</v>
      </c>
      <c r="D2226" s="159" t="s">
        <v>297</v>
      </c>
      <c r="E2226" s="157" t="s">
        <v>295</v>
      </c>
      <c r="F2226" s="157"/>
      <c r="G2226" s="157" t="s">
        <v>1349</v>
      </c>
      <c r="H2226" s="157" t="s">
        <v>1418</v>
      </c>
      <c r="I2226" s="157" t="s">
        <v>1559</v>
      </c>
      <c r="J2226" s="157" t="s">
        <v>8301</v>
      </c>
      <c r="K2226" s="157" t="s">
        <v>1312</v>
      </c>
      <c r="L2226" s="157" t="s">
        <v>9608</v>
      </c>
      <c r="M2226" s="157" t="str">
        <f t="shared" si="46"/>
        <v>Ultrasonic Sensor FML - Short Range Distance Measurement</v>
      </c>
      <c r="N2226" s="157"/>
      <c r="O2226" s="157"/>
      <c r="P2226" s="159" t="s">
        <v>3562</v>
      </c>
      <c r="Q2226" s="157" t="s">
        <v>2115</v>
      </c>
      <c r="R2226" s="157" t="s">
        <v>2145</v>
      </c>
      <c r="S2226" s="157" t="s">
        <v>8584</v>
      </c>
      <c r="T2226" s="157"/>
      <c r="U2226" s="159" t="s">
        <v>2129</v>
      </c>
      <c r="V2226" s="159" t="s">
        <v>2138</v>
      </c>
      <c r="W2226" s="159" t="s">
        <v>2138</v>
      </c>
      <c r="X2226" s="160">
        <v>0.05</v>
      </c>
      <c r="Y2226" s="160">
        <v>0</v>
      </c>
      <c r="Z2226" s="160">
        <v>0.05</v>
      </c>
      <c r="AA2226" s="160">
        <v>0</v>
      </c>
    </row>
    <row r="2227" spans="1:27" ht="18" customHeight="1" x14ac:dyDescent="0.25">
      <c r="A2227" s="159">
        <v>5210</v>
      </c>
      <c r="B2227" s="157" t="s">
        <v>266</v>
      </c>
      <c r="C2227" s="157" t="s">
        <v>294</v>
      </c>
      <c r="D2227" s="159" t="s">
        <v>503</v>
      </c>
      <c r="E2227" s="157" t="s">
        <v>501</v>
      </c>
      <c r="F2227" s="157"/>
      <c r="G2227" s="157" t="s">
        <v>1349</v>
      </c>
      <c r="H2227" s="157" t="s">
        <v>1418</v>
      </c>
      <c r="I2227" s="157" t="s">
        <v>1559</v>
      </c>
      <c r="J2227" s="157" t="s">
        <v>8301</v>
      </c>
      <c r="K2227" s="157" t="s">
        <v>1312</v>
      </c>
      <c r="L2227" s="157" t="s">
        <v>9608</v>
      </c>
      <c r="M2227" s="157" t="str">
        <f t="shared" si="46"/>
        <v>Ultrasonic Sensor FML - Short Range Distance Measurement</v>
      </c>
      <c r="N2227" s="157"/>
      <c r="O2227" s="157"/>
      <c r="P2227" s="159" t="s">
        <v>3562</v>
      </c>
      <c r="Q2227" s="157" t="s">
        <v>2115</v>
      </c>
      <c r="R2227" s="157" t="s">
        <v>2145</v>
      </c>
      <c r="S2227" s="157" t="s">
        <v>8584</v>
      </c>
      <c r="T2227" s="157"/>
      <c r="U2227" s="159" t="s">
        <v>2129</v>
      </c>
      <c r="V2227" s="159" t="s">
        <v>2129</v>
      </c>
      <c r="W2227" s="159" t="s">
        <v>2138</v>
      </c>
      <c r="X2227" s="160">
        <v>0.05</v>
      </c>
      <c r="Y2227" s="160">
        <v>0</v>
      </c>
      <c r="Z2227" s="160">
        <v>0.05</v>
      </c>
      <c r="AA2227" s="160">
        <v>0</v>
      </c>
    </row>
    <row r="2228" spans="1:27" ht="18" customHeight="1" x14ac:dyDescent="0.25">
      <c r="A2228" s="159">
        <v>5210</v>
      </c>
      <c r="B2228" s="157" t="s">
        <v>266</v>
      </c>
      <c r="C2228" s="157" t="s">
        <v>294</v>
      </c>
      <c r="D2228" s="159" t="s">
        <v>692</v>
      </c>
      <c r="E2228" s="157" t="s">
        <v>690</v>
      </c>
      <c r="F2228" s="157"/>
      <c r="G2228" s="157" t="s">
        <v>1349</v>
      </c>
      <c r="H2228" s="157" t="s">
        <v>1418</v>
      </c>
      <c r="I2228" s="157" t="s">
        <v>1559</v>
      </c>
      <c r="J2228" s="157" t="s">
        <v>8301</v>
      </c>
      <c r="K2228" s="157" t="s">
        <v>1312</v>
      </c>
      <c r="L2228" s="157" t="s">
        <v>9608</v>
      </c>
      <c r="M2228" s="157" t="str">
        <f t="shared" si="46"/>
        <v>Ultrasonic Sensor FML - Short Range Distance Measurement</v>
      </c>
      <c r="N2228" s="157"/>
      <c r="O2228" s="157"/>
      <c r="P2228" s="159" t="s">
        <v>3562</v>
      </c>
      <c r="Q2228" s="157" t="s">
        <v>2115</v>
      </c>
      <c r="R2228" s="157" t="s">
        <v>2145</v>
      </c>
      <c r="S2228" s="157" t="s">
        <v>8584</v>
      </c>
      <c r="T2228" s="157"/>
      <c r="U2228" s="159" t="s">
        <v>2129</v>
      </c>
      <c r="V2228" s="159" t="s">
        <v>2129</v>
      </c>
      <c r="W2228" s="159" t="s">
        <v>2138</v>
      </c>
      <c r="X2228" s="160">
        <v>0.05</v>
      </c>
      <c r="Y2228" s="160">
        <v>0</v>
      </c>
      <c r="Z2228" s="160">
        <v>0.05</v>
      </c>
      <c r="AA2228" s="160">
        <v>0</v>
      </c>
    </row>
    <row r="2229" spans="1:27" ht="18" customHeight="1" x14ac:dyDescent="0.25">
      <c r="A2229" s="159">
        <v>5210</v>
      </c>
      <c r="B2229" s="157" t="s">
        <v>266</v>
      </c>
      <c r="C2229" s="157" t="s">
        <v>294</v>
      </c>
      <c r="D2229" s="159" t="s">
        <v>1177</v>
      </c>
      <c r="E2229" s="157" t="s">
        <v>1175</v>
      </c>
      <c r="F2229" s="157"/>
      <c r="G2229" s="157" t="s">
        <v>1349</v>
      </c>
      <c r="H2229" s="157" t="s">
        <v>1418</v>
      </c>
      <c r="I2229" s="157" t="s">
        <v>1559</v>
      </c>
      <c r="J2229" s="157" t="s">
        <v>8301</v>
      </c>
      <c r="K2229" s="157" t="s">
        <v>1312</v>
      </c>
      <c r="L2229" s="157" t="s">
        <v>9608</v>
      </c>
      <c r="M2229" s="157" t="str">
        <f t="shared" si="46"/>
        <v>Ultrasonic Sensor FML - Short Range Distance Measurement</v>
      </c>
      <c r="N2229" s="157"/>
      <c r="O2229" s="157"/>
      <c r="P2229" s="159" t="s">
        <v>3562</v>
      </c>
      <c r="Q2229" s="157" t="s">
        <v>2115</v>
      </c>
      <c r="R2229" s="157" t="s">
        <v>2145</v>
      </c>
      <c r="S2229" s="157" t="s">
        <v>8584</v>
      </c>
      <c r="T2229" s="157"/>
      <c r="U2229" s="159" t="s">
        <v>2129</v>
      </c>
      <c r="V2229" s="159" t="s">
        <v>2129</v>
      </c>
      <c r="W2229" s="159" t="s">
        <v>2138</v>
      </c>
      <c r="X2229" s="160">
        <v>0.05</v>
      </c>
      <c r="Y2229" s="160">
        <v>0</v>
      </c>
      <c r="Z2229" s="160">
        <v>0.05</v>
      </c>
      <c r="AA2229" s="160">
        <v>0</v>
      </c>
    </row>
    <row r="2230" spans="1:27" ht="18" customHeight="1" x14ac:dyDescent="0.25">
      <c r="A2230" s="159">
        <v>5210</v>
      </c>
      <c r="B2230" s="157" t="s">
        <v>266</v>
      </c>
      <c r="C2230" s="157" t="s">
        <v>294</v>
      </c>
      <c r="D2230" s="159" t="s">
        <v>1178</v>
      </c>
      <c r="E2230" s="157" t="s">
        <v>1179</v>
      </c>
      <c r="F2230" s="157"/>
      <c r="G2230" s="157" t="s">
        <v>1349</v>
      </c>
      <c r="H2230" s="157" t="s">
        <v>1418</v>
      </c>
      <c r="I2230" s="157" t="s">
        <v>1559</v>
      </c>
      <c r="J2230" s="157" t="s">
        <v>8301</v>
      </c>
      <c r="K2230" s="157" t="s">
        <v>1312</v>
      </c>
      <c r="L2230" s="157" t="s">
        <v>9608</v>
      </c>
      <c r="M2230" s="157" t="str">
        <f t="shared" si="46"/>
        <v>Ultrasonic Sensor FML - Short Range Distance Measurement</v>
      </c>
      <c r="N2230" s="157"/>
      <c r="O2230" s="157"/>
      <c r="P2230" s="159" t="s">
        <v>3562</v>
      </c>
      <c r="Q2230" s="157" t="s">
        <v>2115</v>
      </c>
      <c r="R2230" s="157" t="s">
        <v>2145</v>
      </c>
      <c r="S2230" s="157" t="s">
        <v>8584</v>
      </c>
      <c r="T2230" s="157"/>
      <c r="U2230" s="159" t="s">
        <v>2129</v>
      </c>
      <c r="V2230" s="159" t="s">
        <v>2138</v>
      </c>
      <c r="W2230" s="159" t="s">
        <v>2138</v>
      </c>
      <c r="X2230" s="160">
        <v>0.05</v>
      </c>
      <c r="Y2230" s="160">
        <v>0</v>
      </c>
      <c r="Z2230" s="160">
        <v>0.05</v>
      </c>
      <c r="AA2230" s="160">
        <v>0</v>
      </c>
    </row>
    <row r="2231" spans="1:27" ht="18" customHeight="1" x14ac:dyDescent="0.25">
      <c r="A2231" s="159">
        <v>5210</v>
      </c>
      <c r="B2231" s="157" t="s">
        <v>266</v>
      </c>
      <c r="C2231" s="157" t="s">
        <v>294</v>
      </c>
      <c r="D2231" s="159" t="s">
        <v>1207</v>
      </c>
      <c r="E2231" s="157" t="s">
        <v>1205</v>
      </c>
      <c r="F2231" s="157"/>
      <c r="G2231" s="157" t="s">
        <v>1349</v>
      </c>
      <c r="H2231" s="157" t="s">
        <v>1418</v>
      </c>
      <c r="I2231" s="157" t="s">
        <v>1559</v>
      </c>
      <c r="J2231" s="157" t="s">
        <v>8301</v>
      </c>
      <c r="K2231" s="157" t="s">
        <v>1312</v>
      </c>
      <c r="L2231" s="157" t="s">
        <v>9608</v>
      </c>
      <c r="M2231" s="157" t="str">
        <f t="shared" si="46"/>
        <v>Ultrasonic Sensor FML - Short Range Distance Measurement</v>
      </c>
      <c r="N2231" s="157"/>
      <c r="O2231" s="157"/>
      <c r="P2231" s="159" t="s">
        <v>3562</v>
      </c>
      <c r="Q2231" s="157" t="s">
        <v>2115</v>
      </c>
      <c r="R2231" s="157" t="s">
        <v>9526</v>
      </c>
      <c r="S2231" s="157" t="s">
        <v>8584</v>
      </c>
      <c r="T2231" s="157"/>
      <c r="U2231" s="159" t="s">
        <v>2129</v>
      </c>
      <c r="V2231" s="159" t="s">
        <v>2138</v>
      </c>
      <c r="W2231" s="159" t="s">
        <v>2138</v>
      </c>
      <c r="X2231" s="160">
        <v>0.05</v>
      </c>
      <c r="Y2231" s="160">
        <v>0</v>
      </c>
      <c r="Z2231" s="160">
        <v>0.05</v>
      </c>
      <c r="AA2231" s="160">
        <v>0</v>
      </c>
    </row>
    <row r="2232" spans="1:27" ht="18" customHeight="1" x14ac:dyDescent="0.25">
      <c r="A2232" s="159">
        <v>5285</v>
      </c>
      <c r="B2232" s="157" t="s">
        <v>251</v>
      </c>
      <c r="C2232" s="157" t="s">
        <v>311</v>
      </c>
      <c r="D2232" s="159" t="s">
        <v>598</v>
      </c>
      <c r="E2232" s="157" t="s">
        <v>1209</v>
      </c>
      <c r="F2232" s="157"/>
      <c r="G2232" s="157" t="s">
        <v>1321</v>
      </c>
      <c r="H2232" s="157" t="s">
        <v>1436</v>
      </c>
      <c r="I2232" s="157" t="s">
        <v>1323</v>
      </c>
      <c r="J2232" s="157" t="s">
        <v>1766</v>
      </c>
      <c r="K2232" s="157" t="s">
        <v>1274</v>
      </c>
      <c r="L2232" s="157" t="s">
        <v>1017</v>
      </c>
      <c r="M2232" s="157" t="str">
        <f t="shared" si="46"/>
        <v>Differential Lockout - Computing</v>
      </c>
      <c r="N2232" s="157"/>
      <c r="O2232" s="157"/>
      <c r="P2232" s="159"/>
      <c r="Q2232" s="157"/>
      <c r="R2232" s="157"/>
      <c r="S2232" s="157"/>
      <c r="T2232" s="157"/>
      <c r="U2232" s="159"/>
      <c r="V2232" s="159"/>
      <c r="W2232" s="159"/>
      <c r="X2232" s="160"/>
      <c r="Y2232" s="160"/>
      <c r="Z2232" s="160"/>
      <c r="AA2232" s="160"/>
    </row>
    <row r="2233" spans="1:27" ht="18" customHeight="1" x14ac:dyDescent="0.25">
      <c r="A2233" s="159">
        <v>5285</v>
      </c>
      <c r="B2233" s="157" t="s">
        <v>251</v>
      </c>
      <c r="C2233" s="157" t="s">
        <v>1006</v>
      </c>
      <c r="D2233" s="159" t="s">
        <v>1019</v>
      </c>
      <c r="E2233" s="157" t="s">
        <v>1017</v>
      </c>
      <c r="F2233" s="157"/>
      <c r="G2233" s="157" t="s">
        <v>1321</v>
      </c>
      <c r="H2233" s="157" t="s">
        <v>1436</v>
      </c>
      <c r="I2233" s="157" t="s">
        <v>1323</v>
      </c>
      <c r="J2233" s="157" t="s">
        <v>1766</v>
      </c>
      <c r="K2233" s="157" t="s">
        <v>1274</v>
      </c>
      <c r="L2233" s="157" t="s">
        <v>1017</v>
      </c>
      <c r="M2233" s="157" t="str">
        <f t="shared" si="46"/>
        <v>Differential Lockout - Computing</v>
      </c>
      <c r="N2233" s="157"/>
      <c r="O2233" s="157"/>
      <c r="P2233" s="159"/>
      <c r="Q2233" s="157"/>
      <c r="R2233" s="157"/>
      <c r="S2233" s="157"/>
      <c r="T2233" s="157"/>
      <c r="U2233" s="159"/>
      <c r="V2233" s="159"/>
      <c r="W2233" s="159"/>
      <c r="X2233" s="160"/>
      <c r="Y2233" s="160"/>
      <c r="Z2233" s="160"/>
      <c r="AA2233" s="160"/>
    </row>
    <row r="2234" spans="1:27" ht="18" customHeight="1" x14ac:dyDescent="0.25">
      <c r="A2234" s="159">
        <v>5355</v>
      </c>
      <c r="B2234" s="157" t="s">
        <v>29</v>
      </c>
      <c r="C2234" s="157" t="s">
        <v>82</v>
      </c>
      <c r="D2234" s="159" t="s">
        <v>102</v>
      </c>
      <c r="E2234" s="157" t="s">
        <v>100</v>
      </c>
      <c r="F2234" s="157" t="s">
        <v>1264</v>
      </c>
      <c r="G2234" s="157" t="s">
        <v>1278</v>
      </c>
      <c r="H2234" s="157" t="s">
        <v>1294</v>
      </c>
      <c r="I2234" s="157" t="s">
        <v>1804</v>
      </c>
      <c r="J2234" s="157" t="s">
        <v>1296</v>
      </c>
      <c r="K2234" s="157" t="s">
        <v>1269</v>
      </c>
      <c r="L2234" s="157" t="s">
        <v>1445</v>
      </c>
      <c r="M2234" s="157" t="str">
        <f t="shared" si="46"/>
        <v>Stepper Motor RR - Door Lock and Unlock</v>
      </c>
      <c r="N2234" s="157"/>
      <c r="O2234" s="157"/>
      <c r="P2234" s="159" t="s">
        <v>7982</v>
      </c>
      <c r="Q2234" s="157"/>
      <c r="R2234" s="157"/>
      <c r="S2234" s="157"/>
      <c r="T2234" s="157"/>
      <c r="U2234" s="159" t="s">
        <v>2138</v>
      </c>
      <c r="V2234" s="159" t="s">
        <v>2138</v>
      </c>
      <c r="W2234" s="159" t="s">
        <v>2138</v>
      </c>
      <c r="X2234" s="160">
        <f t="shared" ref="X2234:AA2235" si="47">2*1/(20*60)</f>
        <v>1.6666666666666668E-3</v>
      </c>
      <c r="Y2234" s="160">
        <f t="shared" si="47"/>
        <v>1.6666666666666668E-3</v>
      </c>
      <c r="Z2234" s="160">
        <f t="shared" si="47"/>
        <v>1.6666666666666668E-3</v>
      </c>
      <c r="AA2234" s="160">
        <f t="shared" si="47"/>
        <v>1.6666666666666668E-3</v>
      </c>
    </row>
    <row r="2235" spans="1:27" ht="18" customHeight="1" x14ac:dyDescent="0.25">
      <c r="A2235" s="159">
        <v>5355</v>
      </c>
      <c r="B2235" s="157" t="s">
        <v>29</v>
      </c>
      <c r="C2235" s="157" t="s">
        <v>82</v>
      </c>
      <c r="D2235" s="159" t="s">
        <v>86</v>
      </c>
      <c r="E2235" s="157" t="s">
        <v>777</v>
      </c>
      <c r="F2235" s="157" t="s">
        <v>1264</v>
      </c>
      <c r="G2235" s="157" t="s">
        <v>1278</v>
      </c>
      <c r="H2235" s="157" t="s">
        <v>1294</v>
      </c>
      <c r="I2235" s="157" t="s">
        <v>1804</v>
      </c>
      <c r="J2235" s="157" t="s">
        <v>1296</v>
      </c>
      <c r="K2235" s="157" t="s">
        <v>1269</v>
      </c>
      <c r="L2235" s="157" t="s">
        <v>1445</v>
      </c>
      <c r="M2235" s="157" t="str">
        <f t="shared" si="46"/>
        <v>Stepper Motor RR - Door Lock and Unlock</v>
      </c>
      <c r="N2235" s="157"/>
      <c r="O2235" s="157"/>
      <c r="P2235" s="159" t="s">
        <v>7982</v>
      </c>
      <c r="Q2235" s="157"/>
      <c r="R2235" s="157"/>
      <c r="S2235" s="157"/>
      <c r="T2235" s="157"/>
      <c r="U2235" s="159" t="s">
        <v>2138</v>
      </c>
      <c r="V2235" s="159" t="s">
        <v>2138</v>
      </c>
      <c r="W2235" s="159" t="s">
        <v>2138</v>
      </c>
      <c r="X2235" s="160">
        <f t="shared" si="47"/>
        <v>1.6666666666666668E-3</v>
      </c>
      <c r="Y2235" s="160">
        <f t="shared" si="47"/>
        <v>1.6666666666666668E-3</v>
      </c>
      <c r="Z2235" s="160">
        <f t="shared" si="47"/>
        <v>1.6666666666666668E-3</v>
      </c>
      <c r="AA2235" s="160">
        <f t="shared" si="47"/>
        <v>1.6666666666666668E-3</v>
      </c>
    </row>
    <row r="2236" spans="1:27" ht="18" customHeight="1" x14ac:dyDescent="0.25">
      <c r="A2236" s="159">
        <v>5377</v>
      </c>
      <c r="B2236" s="157" t="s">
        <v>280</v>
      </c>
      <c r="C2236" s="157" t="s">
        <v>337</v>
      </c>
      <c r="D2236" s="159" t="s">
        <v>340</v>
      </c>
      <c r="E2236" s="157" t="s">
        <v>338</v>
      </c>
      <c r="F2236" s="157" t="s">
        <v>1264</v>
      </c>
      <c r="G2236" s="157" t="s">
        <v>1265</v>
      </c>
      <c r="H2236" s="157" t="s">
        <v>1271</v>
      </c>
      <c r="I2236" s="157" t="s">
        <v>1323</v>
      </c>
      <c r="J2236" s="157" t="s">
        <v>1411</v>
      </c>
      <c r="K2236" s="157" t="s">
        <v>1409</v>
      </c>
      <c r="L2236" s="157" t="s">
        <v>9595</v>
      </c>
      <c r="M2236" s="157" t="str">
        <f t="shared" si="46"/>
        <v>Wifi+Bluetooth Antenna - Computing</v>
      </c>
      <c r="N2236" s="157"/>
      <c r="O2236" s="157"/>
      <c r="P2236" s="159" t="s">
        <v>4396</v>
      </c>
      <c r="Q2236" s="157" t="s">
        <v>2115</v>
      </c>
      <c r="R2236" s="157" t="s">
        <v>8239</v>
      </c>
      <c r="S2236" s="157" t="s">
        <v>8604</v>
      </c>
      <c r="T2236" s="157"/>
      <c r="U2236" s="159" t="s">
        <v>2129</v>
      </c>
      <c r="V2236" s="159" t="s">
        <v>2138</v>
      </c>
      <c r="W2236" s="159" t="s">
        <v>2138</v>
      </c>
      <c r="X2236" s="160">
        <v>1</v>
      </c>
      <c r="Y2236" s="160">
        <v>1</v>
      </c>
      <c r="Z2236" s="160">
        <v>1</v>
      </c>
      <c r="AA2236" s="160">
        <v>1</v>
      </c>
    </row>
    <row r="2237" spans="1:27" ht="18" customHeight="1" x14ac:dyDescent="0.25">
      <c r="A2237" s="159">
        <v>5377</v>
      </c>
      <c r="B2237" s="157" t="s">
        <v>318</v>
      </c>
      <c r="C2237" s="157" t="s">
        <v>362</v>
      </c>
      <c r="D2237" s="159" t="s">
        <v>341</v>
      </c>
      <c r="E2237" s="157" t="s">
        <v>705</v>
      </c>
      <c r="F2237" s="157" t="s">
        <v>1264</v>
      </c>
      <c r="G2237" s="157" t="s">
        <v>1265</v>
      </c>
      <c r="H2237" s="157" t="s">
        <v>1271</v>
      </c>
      <c r="I2237" s="157" t="s">
        <v>1323</v>
      </c>
      <c r="J2237" s="157" t="s">
        <v>1411</v>
      </c>
      <c r="K2237" s="157" t="s">
        <v>1409</v>
      </c>
      <c r="L2237" s="157" t="s">
        <v>9595</v>
      </c>
      <c r="M2237" s="157" t="str">
        <f t="shared" si="46"/>
        <v>Wifi+Bluetooth Antenna - Computing</v>
      </c>
      <c r="N2237" s="157"/>
      <c r="O2237" s="157"/>
      <c r="P2237" s="159" t="s">
        <v>4396</v>
      </c>
      <c r="Q2237" s="157" t="s">
        <v>2115</v>
      </c>
      <c r="R2237" s="157" t="s">
        <v>8239</v>
      </c>
      <c r="S2237" s="157" t="s">
        <v>8604</v>
      </c>
      <c r="T2237" s="157"/>
      <c r="U2237" s="159" t="s">
        <v>2129</v>
      </c>
      <c r="V2237" s="159" t="s">
        <v>2138</v>
      </c>
      <c r="W2237" s="159" t="s">
        <v>2138</v>
      </c>
      <c r="X2237" s="160">
        <v>1</v>
      </c>
      <c r="Y2237" s="160">
        <v>1</v>
      </c>
      <c r="Z2237" s="160">
        <v>1</v>
      </c>
      <c r="AA2237" s="160">
        <v>1</v>
      </c>
    </row>
    <row r="2238" spans="1:27" ht="18" customHeight="1" x14ac:dyDescent="0.25">
      <c r="A2238" s="159">
        <v>5389</v>
      </c>
      <c r="B2238" s="157" t="s">
        <v>280</v>
      </c>
      <c r="C2238" s="157" t="s">
        <v>354</v>
      </c>
      <c r="D2238" s="159" t="s">
        <v>1189</v>
      </c>
      <c r="E2238" s="157" t="s">
        <v>1187</v>
      </c>
      <c r="F2238" s="157" t="s">
        <v>1264</v>
      </c>
      <c r="G2238" s="157" t="s">
        <v>1265</v>
      </c>
      <c r="H2238" s="157" t="s">
        <v>1458</v>
      </c>
      <c r="I2238" s="157" t="s">
        <v>1822</v>
      </c>
      <c r="J2238" s="157" t="s">
        <v>1713</v>
      </c>
      <c r="K2238" s="157" t="s">
        <v>1312</v>
      </c>
      <c r="L2238" s="157" t="s">
        <v>1762</v>
      </c>
      <c r="M2238" s="157" t="str">
        <f t="shared" si="46"/>
        <v>Microphone - Internal Communication</v>
      </c>
      <c r="N2238" s="157"/>
      <c r="O2238" s="157"/>
      <c r="P2238" s="159" t="s">
        <v>5751</v>
      </c>
      <c r="Q2238" s="157" t="s">
        <v>2115</v>
      </c>
      <c r="R2238" s="157" t="s">
        <v>2124</v>
      </c>
      <c r="S2238" s="157" t="s">
        <v>8608</v>
      </c>
      <c r="T2238" s="157"/>
      <c r="U2238" s="159" t="s">
        <v>2129</v>
      </c>
      <c r="V2238" s="159" t="s">
        <v>2129</v>
      </c>
      <c r="W2238" s="159" t="s">
        <v>2129</v>
      </c>
      <c r="X2238" s="160">
        <v>1</v>
      </c>
      <c r="Y2238" s="160">
        <v>1</v>
      </c>
      <c r="Z2238" s="160">
        <v>1</v>
      </c>
      <c r="AA2238" s="160">
        <v>1</v>
      </c>
    </row>
    <row r="2239" spans="1:27" ht="18" customHeight="1" x14ac:dyDescent="0.25">
      <c r="A2239" s="159">
        <v>5409</v>
      </c>
      <c r="B2239" s="157" t="s">
        <v>29</v>
      </c>
      <c r="C2239" s="157" t="s">
        <v>82</v>
      </c>
      <c r="D2239" s="159" t="s">
        <v>230</v>
      </c>
      <c r="E2239" s="157" t="s">
        <v>228</v>
      </c>
      <c r="F2239" s="157" t="s">
        <v>1275</v>
      </c>
      <c r="G2239" s="157" t="s">
        <v>13</v>
      </c>
      <c r="H2239" s="157" t="s">
        <v>1354</v>
      </c>
      <c r="I2239" s="157" t="s">
        <v>1356</v>
      </c>
      <c r="J2239" s="157" t="s">
        <v>1285</v>
      </c>
      <c r="K2239" s="157" t="s">
        <v>1281</v>
      </c>
      <c r="L2239" s="157" t="s">
        <v>1096</v>
      </c>
      <c r="M2239" s="157" t="str">
        <f t="shared" si="46"/>
        <v>Combined Panel Switches - Driver Commands</v>
      </c>
      <c r="N2239" s="157"/>
      <c r="O2239" s="157"/>
      <c r="P2239" s="159"/>
      <c r="Q2239" s="157"/>
      <c r="R2239" s="157"/>
      <c r="S2239" s="157"/>
      <c r="T2239" s="157"/>
      <c r="U2239" s="159"/>
      <c r="V2239" s="159"/>
      <c r="W2239" s="159"/>
      <c r="X2239" s="160"/>
      <c r="Y2239" s="160"/>
      <c r="Z2239" s="160"/>
      <c r="AA2239" s="160"/>
    </row>
    <row r="2240" spans="1:27" ht="18" customHeight="1" x14ac:dyDescent="0.25">
      <c r="A2240" s="159">
        <v>5409</v>
      </c>
      <c r="B2240" s="157" t="s">
        <v>29</v>
      </c>
      <c r="C2240" s="157" t="s">
        <v>82</v>
      </c>
      <c r="D2240" s="159" t="s">
        <v>86</v>
      </c>
      <c r="E2240" s="157" t="s">
        <v>777</v>
      </c>
      <c r="F2240" s="157" t="s">
        <v>1264</v>
      </c>
      <c r="G2240" s="157" t="s">
        <v>13</v>
      </c>
      <c r="H2240" s="157" t="s">
        <v>1354</v>
      </c>
      <c r="I2240" s="157" t="s">
        <v>1356</v>
      </c>
      <c r="J2240" s="157" t="s">
        <v>1285</v>
      </c>
      <c r="K2240" s="157" t="s">
        <v>1281</v>
      </c>
      <c r="L2240" s="157" t="s">
        <v>1096</v>
      </c>
      <c r="M2240" s="157" t="str">
        <f t="shared" si="46"/>
        <v>Combined Panel Switches - Driver Commands</v>
      </c>
      <c r="N2240" s="157"/>
      <c r="O2240" s="157"/>
      <c r="P2240" s="159"/>
      <c r="Q2240" s="157"/>
      <c r="R2240" s="157"/>
      <c r="S2240" s="157"/>
      <c r="T2240" s="157"/>
      <c r="U2240" s="159"/>
      <c r="V2240" s="159"/>
      <c r="W2240" s="159"/>
      <c r="X2240" s="160"/>
      <c r="Y2240" s="160"/>
      <c r="Z2240" s="160"/>
      <c r="AA2240" s="160"/>
    </row>
    <row r="2241" spans="1:27" ht="18" customHeight="1" x14ac:dyDescent="0.25">
      <c r="A2241" s="159">
        <v>5409</v>
      </c>
      <c r="B2241" s="157" t="s">
        <v>29</v>
      </c>
      <c r="C2241" s="157" t="s">
        <v>82</v>
      </c>
      <c r="D2241" s="159" t="s">
        <v>853</v>
      </c>
      <c r="E2241" s="157" t="s">
        <v>851</v>
      </c>
      <c r="F2241" s="157"/>
      <c r="G2241" s="157" t="s">
        <v>13</v>
      </c>
      <c r="H2241" s="157" t="s">
        <v>1354</v>
      </c>
      <c r="I2241" s="157" t="s">
        <v>1356</v>
      </c>
      <c r="J2241" s="157" t="s">
        <v>1285</v>
      </c>
      <c r="K2241" s="157" t="s">
        <v>1281</v>
      </c>
      <c r="L2241" s="157" t="s">
        <v>1096</v>
      </c>
      <c r="M2241" s="157" t="str">
        <f t="shared" si="46"/>
        <v>Combined Panel Switches - Driver Commands</v>
      </c>
      <c r="N2241" s="157"/>
      <c r="O2241" s="157"/>
      <c r="P2241" s="159"/>
      <c r="Q2241" s="157"/>
      <c r="R2241" s="157"/>
      <c r="S2241" s="157"/>
      <c r="T2241" s="157"/>
      <c r="U2241" s="159"/>
      <c r="V2241" s="159"/>
      <c r="W2241" s="159"/>
      <c r="X2241" s="160"/>
      <c r="Y2241" s="160"/>
      <c r="Z2241" s="160"/>
      <c r="AA2241" s="160"/>
    </row>
    <row r="2242" spans="1:27" ht="18" customHeight="1" x14ac:dyDescent="0.25">
      <c r="A2242" s="159">
        <v>5409</v>
      </c>
      <c r="B2242" s="157" t="s">
        <v>29</v>
      </c>
      <c r="C2242" s="157" t="s">
        <v>82</v>
      </c>
      <c r="D2242" s="159" t="s">
        <v>1101</v>
      </c>
      <c r="E2242" s="157" t="s">
        <v>1099</v>
      </c>
      <c r="F2242" s="157"/>
      <c r="G2242" s="157" t="s">
        <v>13</v>
      </c>
      <c r="H2242" s="157" t="s">
        <v>1354</v>
      </c>
      <c r="I2242" s="157" t="s">
        <v>1356</v>
      </c>
      <c r="J2242" s="157" t="s">
        <v>1285</v>
      </c>
      <c r="K2242" s="157" t="s">
        <v>1281</v>
      </c>
      <c r="L2242" s="157" t="s">
        <v>1096</v>
      </c>
      <c r="M2242" s="157" t="str">
        <f t="shared" si="46"/>
        <v>Combined Panel Switches - Driver Commands</v>
      </c>
      <c r="N2242" s="157"/>
      <c r="O2242" s="157"/>
      <c r="P2242" s="159"/>
      <c r="Q2242" s="157"/>
      <c r="R2242" s="157"/>
      <c r="S2242" s="157"/>
      <c r="T2242" s="157"/>
      <c r="U2242" s="159"/>
      <c r="V2242" s="159"/>
      <c r="W2242" s="159"/>
      <c r="X2242" s="160"/>
      <c r="Y2242" s="160"/>
      <c r="Z2242" s="160"/>
      <c r="AA2242" s="160"/>
    </row>
    <row r="2243" spans="1:27" ht="18" customHeight="1" x14ac:dyDescent="0.25">
      <c r="A2243" s="159">
        <v>5409</v>
      </c>
      <c r="B2243" s="157" t="s">
        <v>29</v>
      </c>
      <c r="C2243" s="157" t="s">
        <v>82</v>
      </c>
      <c r="D2243" s="159" t="s">
        <v>1104</v>
      </c>
      <c r="E2243" s="157" t="s">
        <v>1102</v>
      </c>
      <c r="F2243" s="157"/>
      <c r="G2243" s="157" t="s">
        <v>13</v>
      </c>
      <c r="H2243" s="157" t="s">
        <v>1354</v>
      </c>
      <c r="I2243" s="157" t="s">
        <v>1356</v>
      </c>
      <c r="J2243" s="157" t="s">
        <v>1285</v>
      </c>
      <c r="K2243" s="157" t="s">
        <v>1281</v>
      </c>
      <c r="L2243" s="157" t="s">
        <v>1096</v>
      </c>
      <c r="M2243" s="157" t="str">
        <f t="shared" si="46"/>
        <v>Combined Panel Switches - Driver Commands</v>
      </c>
      <c r="N2243" s="157"/>
      <c r="O2243" s="157"/>
      <c r="P2243" s="159"/>
      <c r="Q2243" s="157"/>
      <c r="R2243" s="157"/>
      <c r="S2243" s="157"/>
      <c r="T2243" s="157"/>
      <c r="U2243" s="159"/>
      <c r="V2243" s="159"/>
      <c r="W2243" s="159"/>
      <c r="X2243" s="160"/>
      <c r="Y2243" s="160"/>
      <c r="Z2243" s="160"/>
      <c r="AA2243" s="160"/>
    </row>
    <row r="2244" spans="1:27" ht="18" customHeight="1" x14ac:dyDescent="0.25">
      <c r="A2244" s="159">
        <v>5409</v>
      </c>
      <c r="B2244" s="157" t="s">
        <v>29</v>
      </c>
      <c r="C2244" s="157" t="s">
        <v>82</v>
      </c>
      <c r="D2244" s="159" t="s">
        <v>1107</v>
      </c>
      <c r="E2244" s="157" t="s">
        <v>1105</v>
      </c>
      <c r="F2244" s="157"/>
      <c r="G2244" s="157" t="s">
        <v>13</v>
      </c>
      <c r="H2244" s="157" t="s">
        <v>1354</v>
      </c>
      <c r="I2244" s="157" t="s">
        <v>1356</v>
      </c>
      <c r="J2244" s="157" t="s">
        <v>1285</v>
      </c>
      <c r="K2244" s="157" t="s">
        <v>1281</v>
      </c>
      <c r="L2244" s="157" t="s">
        <v>1096</v>
      </c>
      <c r="M2244" s="157" t="str">
        <f t="shared" si="46"/>
        <v>Combined Panel Switches - Driver Commands</v>
      </c>
      <c r="N2244" s="157"/>
      <c r="O2244" s="157"/>
      <c r="P2244" s="159"/>
      <c r="Q2244" s="157"/>
      <c r="R2244" s="157"/>
      <c r="S2244" s="157"/>
      <c r="T2244" s="157"/>
      <c r="U2244" s="159"/>
      <c r="V2244" s="159"/>
      <c r="W2244" s="159"/>
      <c r="X2244" s="160"/>
      <c r="Y2244" s="160"/>
      <c r="Z2244" s="160"/>
      <c r="AA2244" s="160"/>
    </row>
    <row r="2245" spans="1:27" ht="18" customHeight="1" x14ac:dyDescent="0.25">
      <c r="A2245" s="159">
        <v>5409</v>
      </c>
      <c r="B2245" s="157" t="s">
        <v>29</v>
      </c>
      <c r="C2245" s="157" t="s">
        <v>82</v>
      </c>
      <c r="D2245" s="159" t="s">
        <v>1110</v>
      </c>
      <c r="E2245" s="157" t="s">
        <v>1108</v>
      </c>
      <c r="F2245" s="157"/>
      <c r="G2245" s="157" t="s">
        <v>13</v>
      </c>
      <c r="H2245" s="157" t="s">
        <v>1354</v>
      </c>
      <c r="I2245" s="157" t="s">
        <v>1356</v>
      </c>
      <c r="J2245" s="157" t="s">
        <v>1285</v>
      </c>
      <c r="K2245" s="157" t="s">
        <v>1281</v>
      </c>
      <c r="L2245" s="157" t="s">
        <v>1096</v>
      </c>
      <c r="M2245" s="157" t="str">
        <f t="shared" si="46"/>
        <v>Combined Panel Switches - Driver Commands</v>
      </c>
      <c r="N2245" s="157"/>
      <c r="O2245" s="157"/>
      <c r="P2245" s="159"/>
      <c r="Q2245" s="157"/>
      <c r="R2245" s="157"/>
      <c r="S2245" s="157"/>
      <c r="T2245" s="157"/>
      <c r="U2245" s="159"/>
      <c r="V2245" s="159"/>
      <c r="W2245" s="159"/>
      <c r="X2245" s="160"/>
      <c r="Y2245" s="160"/>
      <c r="Z2245" s="160"/>
      <c r="AA2245" s="160"/>
    </row>
    <row r="2246" spans="1:27" ht="18" customHeight="1" x14ac:dyDescent="0.25">
      <c r="A2246" s="159">
        <v>5409</v>
      </c>
      <c r="B2246" s="157" t="s">
        <v>29</v>
      </c>
      <c r="C2246" s="157" t="s">
        <v>82</v>
      </c>
      <c r="D2246" s="159" t="s">
        <v>854</v>
      </c>
      <c r="E2246" s="157" t="s">
        <v>1114</v>
      </c>
      <c r="F2246" s="157"/>
      <c r="G2246" s="157" t="s">
        <v>13</v>
      </c>
      <c r="H2246" s="157" t="s">
        <v>1354</v>
      </c>
      <c r="I2246" s="157" t="s">
        <v>1356</v>
      </c>
      <c r="J2246" s="157" t="s">
        <v>1285</v>
      </c>
      <c r="K2246" s="157" t="s">
        <v>1281</v>
      </c>
      <c r="L2246" s="157" t="s">
        <v>1096</v>
      </c>
      <c r="M2246" s="157" t="str">
        <f t="shared" si="46"/>
        <v>Combined Panel Switches - Driver Commands</v>
      </c>
      <c r="N2246" s="157"/>
      <c r="O2246" s="157"/>
      <c r="P2246" s="159"/>
      <c r="Q2246" s="157"/>
      <c r="R2246" s="157"/>
      <c r="S2246" s="157"/>
      <c r="T2246" s="157"/>
      <c r="U2246" s="159"/>
      <c r="V2246" s="159"/>
      <c r="W2246" s="159"/>
      <c r="X2246" s="160"/>
      <c r="Y2246" s="160"/>
      <c r="Z2246" s="160"/>
      <c r="AA2246" s="160"/>
    </row>
    <row r="2247" spans="1:27" ht="18" customHeight="1" x14ac:dyDescent="0.25">
      <c r="A2247" s="159">
        <v>5409</v>
      </c>
      <c r="B2247" s="157" t="s">
        <v>29</v>
      </c>
      <c r="C2247" s="157" t="s">
        <v>30</v>
      </c>
      <c r="D2247" s="159" t="s">
        <v>174</v>
      </c>
      <c r="E2247" s="157" t="s">
        <v>172</v>
      </c>
      <c r="F2247" s="157" t="s">
        <v>1264</v>
      </c>
      <c r="G2247" s="157" t="s">
        <v>13</v>
      </c>
      <c r="H2247" s="157" t="s">
        <v>1354</v>
      </c>
      <c r="I2247" s="157" t="s">
        <v>1356</v>
      </c>
      <c r="J2247" s="157" t="s">
        <v>1285</v>
      </c>
      <c r="K2247" s="157" t="s">
        <v>1281</v>
      </c>
      <c r="L2247" s="157" t="s">
        <v>1096</v>
      </c>
      <c r="M2247" s="157" t="str">
        <f t="shared" si="46"/>
        <v>Combined Panel Switches - Driver Commands</v>
      </c>
      <c r="N2247" s="157"/>
      <c r="O2247" s="157"/>
      <c r="P2247" s="159"/>
      <c r="Q2247" s="157"/>
      <c r="R2247" s="157"/>
      <c r="S2247" s="157"/>
      <c r="T2247" s="157"/>
      <c r="U2247" s="159"/>
      <c r="V2247" s="159"/>
      <c r="W2247" s="159"/>
      <c r="X2247" s="160"/>
      <c r="Y2247" s="160"/>
      <c r="Z2247" s="160"/>
      <c r="AA2247" s="160"/>
    </row>
    <row r="2248" spans="1:27" ht="18" customHeight="1" x14ac:dyDescent="0.25">
      <c r="A2248" s="159">
        <v>5409</v>
      </c>
      <c r="B2248" s="157" t="s">
        <v>29</v>
      </c>
      <c r="C2248" s="157" t="s">
        <v>30</v>
      </c>
      <c r="D2248" s="159" t="s">
        <v>185</v>
      </c>
      <c r="E2248" s="157" t="s">
        <v>391</v>
      </c>
      <c r="F2248" s="157" t="s">
        <v>1275</v>
      </c>
      <c r="G2248" s="157" t="s">
        <v>13</v>
      </c>
      <c r="H2248" s="157" t="s">
        <v>1354</v>
      </c>
      <c r="I2248" s="157" t="s">
        <v>1356</v>
      </c>
      <c r="J2248" s="157" t="s">
        <v>1285</v>
      </c>
      <c r="K2248" s="157" t="s">
        <v>1281</v>
      </c>
      <c r="L2248" s="157" t="s">
        <v>1096</v>
      </c>
      <c r="M2248" s="157" t="str">
        <f t="shared" si="46"/>
        <v>Combined Panel Switches - Driver Commands</v>
      </c>
      <c r="N2248" s="157"/>
      <c r="O2248" s="157"/>
      <c r="P2248" s="159"/>
      <c r="Q2248" s="157"/>
      <c r="R2248" s="157"/>
      <c r="S2248" s="157"/>
      <c r="T2248" s="157"/>
      <c r="U2248" s="159"/>
      <c r="V2248" s="159"/>
      <c r="W2248" s="159"/>
      <c r="X2248" s="160"/>
      <c r="Y2248" s="160"/>
      <c r="Z2248" s="160"/>
      <c r="AA2248" s="160"/>
    </row>
    <row r="2249" spans="1:27" ht="18" customHeight="1" x14ac:dyDescent="0.25">
      <c r="A2249" s="159">
        <v>5409</v>
      </c>
      <c r="B2249" s="157" t="s">
        <v>29</v>
      </c>
      <c r="C2249" s="157" t="s">
        <v>30</v>
      </c>
      <c r="D2249" s="159" t="s">
        <v>395</v>
      </c>
      <c r="E2249" s="157" t="s">
        <v>393</v>
      </c>
      <c r="F2249" s="157" t="s">
        <v>1277</v>
      </c>
      <c r="G2249" s="157" t="s">
        <v>13</v>
      </c>
      <c r="H2249" s="157" t="s">
        <v>1354</v>
      </c>
      <c r="I2249" s="157" t="s">
        <v>1356</v>
      </c>
      <c r="J2249" s="157" t="s">
        <v>1285</v>
      </c>
      <c r="K2249" s="157" t="s">
        <v>1281</v>
      </c>
      <c r="L2249" s="157" t="s">
        <v>1096</v>
      </c>
      <c r="M2249" s="157" t="str">
        <f t="shared" si="46"/>
        <v>Combined Panel Switches - Driver Commands</v>
      </c>
      <c r="N2249" s="157"/>
      <c r="O2249" s="157"/>
      <c r="P2249" s="159"/>
      <c r="Q2249" s="157"/>
      <c r="R2249" s="157"/>
      <c r="S2249" s="157"/>
      <c r="T2249" s="157"/>
      <c r="U2249" s="159"/>
      <c r="V2249" s="159"/>
      <c r="W2249" s="159"/>
      <c r="X2249" s="160"/>
      <c r="Y2249" s="160"/>
      <c r="Z2249" s="160"/>
      <c r="AA2249" s="160"/>
    </row>
    <row r="2250" spans="1:27" ht="18" customHeight="1" x14ac:dyDescent="0.25">
      <c r="A2250" s="159">
        <v>5409</v>
      </c>
      <c r="B2250" s="157" t="s">
        <v>29</v>
      </c>
      <c r="C2250" s="157" t="s">
        <v>30</v>
      </c>
      <c r="D2250" s="159" t="s">
        <v>398</v>
      </c>
      <c r="E2250" s="157" t="s">
        <v>396</v>
      </c>
      <c r="F2250" s="157" t="s">
        <v>1264</v>
      </c>
      <c r="G2250" s="157" t="s">
        <v>13</v>
      </c>
      <c r="H2250" s="157" t="s">
        <v>1354</v>
      </c>
      <c r="I2250" s="157" t="s">
        <v>1356</v>
      </c>
      <c r="J2250" s="157" t="s">
        <v>1285</v>
      </c>
      <c r="K2250" s="157" t="s">
        <v>1281</v>
      </c>
      <c r="L2250" s="157" t="s">
        <v>1096</v>
      </c>
      <c r="M2250" s="157" t="str">
        <f t="shared" ref="M2250:M2313" si="48">CONCATENATE(L2250," - ",I2250)</f>
        <v>Combined Panel Switches - Driver Commands</v>
      </c>
      <c r="N2250" s="157"/>
      <c r="O2250" s="157"/>
      <c r="P2250" s="159"/>
      <c r="Q2250" s="157"/>
      <c r="R2250" s="157"/>
      <c r="S2250" s="157"/>
      <c r="T2250" s="157"/>
      <c r="U2250" s="159"/>
      <c r="V2250" s="159"/>
      <c r="W2250" s="159"/>
      <c r="X2250" s="160"/>
      <c r="Y2250" s="160"/>
      <c r="Z2250" s="160"/>
      <c r="AA2250" s="160"/>
    </row>
    <row r="2251" spans="1:27" ht="18" customHeight="1" x14ac:dyDescent="0.25">
      <c r="A2251" s="159">
        <v>5409</v>
      </c>
      <c r="B2251" s="157" t="s">
        <v>29</v>
      </c>
      <c r="C2251" s="157" t="s">
        <v>30</v>
      </c>
      <c r="D2251" s="159" t="s">
        <v>401</v>
      </c>
      <c r="E2251" s="157" t="s">
        <v>399</v>
      </c>
      <c r="F2251" s="157" t="s">
        <v>1277</v>
      </c>
      <c r="G2251" s="157" t="s">
        <v>13</v>
      </c>
      <c r="H2251" s="157" t="s">
        <v>1354</v>
      </c>
      <c r="I2251" s="157" t="s">
        <v>1356</v>
      </c>
      <c r="J2251" s="157" t="s">
        <v>1285</v>
      </c>
      <c r="K2251" s="157" t="s">
        <v>1281</v>
      </c>
      <c r="L2251" s="157" t="s">
        <v>1096</v>
      </c>
      <c r="M2251" s="157" t="str">
        <f t="shared" si="48"/>
        <v>Combined Panel Switches - Driver Commands</v>
      </c>
      <c r="N2251" s="157"/>
      <c r="O2251" s="157"/>
      <c r="P2251" s="159"/>
      <c r="Q2251" s="157"/>
      <c r="R2251" s="157"/>
      <c r="S2251" s="157"/>
      <c r="T2251" s="157"/>
      <c r="U2251" s="159"/>
      <c r="V2251" s="159"/>
      <c r="W2251" s="159"/>
      <c r="X2251" s="160"/>
      <c r="Y2251" s="160"/>
      <c r="Z2251" s="160"/>
      <c r="AA2251" s="160"/>
    </row>
    <row r="2252" spans="1:27" ht="18" customHeight="1" x14ac:dyDescent="0.25">
      <c r="A2252" s="159">
        <v>5409</v>
      </c>
      <c r="B2252" s="157" t="s">
        <v>29</v>
      </c>
      <c r="C2252" s="157" t="s">
        <v>120</v>
      </c>
      <c r="D2252" s="159" t="s">
        <v>160</v>
      </c>
      <c r="E2252" s="157" t="s">
        <v>158</v>
      </c>
      <c r="F2252" s="157" t="s">
        <v>1264</v>
      </c>
      <c r="G2252" s="157" t="s">
        <v>13</v>
      </c>
      <c r="H2252" s="157" t="s">
        <v>1354</v>
      </c>
      <c r="I2252" s="157" t="s">
        <v>1356</v>
      </c>
      <c r="J2252" s="157" t="s">
        <v>1285</v>
      </c>
      <c r="K2252" s="157" t="s">
        <v>1281</v>
      </c>
      <c r="L2252" s="157" t="s">
        <v>1096</v>
      </c>
      <c r="M2252" s="157" t="str">
        <f t="shared" si="48"/>
        <v>Combined Panel Switches - Driver Commands</v>
      </c>
      <c r="N2252" s="157"/>
      <c r="O2252" s="157"/>
      <c r="P2252" s="159"/>
      <c r="Q2252" s="157"/>
      <c r="R2252" s="157"/>
      <c r="S2252" s="157"/>
      <c r="T2252" s="157"/>
      <c r="U2252" s="159"/>
      <c r="V2252" s="159"/>
      <c r="W2252" s="159"/>
      <c r="X2252" s="160"/>
      <c r="Y2252" s="160"/>
      <c r="Z2252" s="160"/>
      <c r="AA2252" s="160"/>
    </row>
    <row r="2253" spans="1:27" ht="18" customHeight="1" x14ac:dyDescent="0.25">
      <c r="A2253" s="159">
        <v>5409</v>
      </c>
      <c r="B2253" s="157" t="s">
        <v>29</v>
      </c>
      <c r="C2253" s="157" t="s">
        <v>120</v>
      </c>
      <c r="D2253" s="159" t="s">
        <v>206</v>
      </c>
      <c r="E2253" s="157" t="s">
        <v>204</v>
      </c>
      <c r="F2253" s="157" t="s">
        <v>1264</v>
      </c>
      <c r="G2253" s="157" t="s">
        <v>13</v>
      </c>
      <c r="H2253" s="157" t="s">
        <v>1354</v>
      </c>
      <c r="I2253" s="157" t="s">
        <v>1356</v>
      </c>
      <c r="J2253" s="157" t="s">
        <v>1285</v>
      </c>
      <c r="K2253" s="157" t="s">
        <v>1281</v>
      </c>
      <c r="L2253" s="157" t="s">
        <v>1096</v>
      </c>
      <c r="M2253" s="157" t="str">
        <f t="shared" si="48"/>
        <v>Combined Panel Switches - Driver Commands</v>
      </c>
      <c r="N2253" s="157"/>
      <c r="O2253" s="157"/>
      <c r="P2253" s="159"/>
      <c r="Q2253" s="157"/>
      <c r="R2253" s="157"/>
      <c r="S2253" s="157"/>
      <c r="T2253" s="157"/>
      <c r="U2253" s="159"/>
      <c r="V2253" s="159"/>
      <c r="W2253" s="159"/>
      <c r="X2253" s="160"/>
      <c r="Y2253" s="160"/>
      <c r="Z2253" s="160"/>
      <c r="AA2253" s="160"/>
    </row>
    <row r="2254" spans="1:27" ht="18" customHeight="1" x14ac:dyDescent="0.25">
      <c r="A2254" s="159">
        <v>5409</v>
      </c>
      <c r="B2254" s="157" t="s">
        <v>251</v>
      </c>
      <c r="C2254" s="157" t="s">
        <v>1006</v>
      </c>
      <c r="D2254" s="159" t="s">
        <v>1019</v>
      </c>
      <c r="E2254" s="157" t="s">
        <v>1017</v>
      </c>
      <c r="F2254" s="157"/>
      <c r="G2254" s="157" t="s">
        <v>13</v>
      </c>
      <c r="H2254" s="157" t="s">
        <v>1354</v>
      </c>
      <c r="I2254" s="157" t="s">
        <v>1356</v>
      </c>
      <c r="J2254" s="157" t="s">
        <v>1285</v>
      </c>
      <c r="K2254" s="157" t="s">
        <v>1281</v>
      </c>
      <c r="L2254" s="157" t="s">
        <v>1096</v>
      </c>
      <c r="M2254" s="157" t="str">
        <f t="shared" si="48"/>
        <v>Combined Panel Switches - Driver Commands</v>
      </c>
      <c r="N2254" s="157"/>
      <c r="O2254" s="157"/>
      <c r="P2254" s="159"/>
      <c r="Q2254" s="157"/>
      <c r="R2254" s="157"/>
      <c r="S2254" s="157"/>
      <c r="T2254" s="157"/>
      <c r="U2254" s="159"/>
      <c r="V2254" s="159"/>
      <c r="W2254" s="159"/>
      <c r="X2254" s="160"/>
      <c r="Y2254" s="160"/>
      <c r="Z2254" s="160"/>
      <c r="AA2254" s="160"/>
    </row>
    <row r="2255" spans="1:27" ht="18" customHeight="1" x14ac:dyDescent="0.25">
      <c r="A2255" s="159">
        <v>5409</v>
      </c>
      <c r="B2255" s="157" t="s">
        <v>251</v>
      </c>
      <c r="C2255" s="157" t="s">
        <v>1006</v>
      </c>
      <c r="D2255" s="159" t="s">
        <v>1025</v>
      </c>
      <c r="E2255" s="157" t="s">
        <v>1023</v>
      </c>
      <c r="F2255" s="157"/>
      <c r="G2255" s="157" t="s">
        <v>13</v>
      </c>
      <c r="H2255" s="157" t="s">
        <v>1354</v>
      </c>
      <c r="I2255" s="157" t="s">
        <v>1356</v>
      </c>
      <c r="J2255" s="157" t="s">
        <v>1285</v>
      </c>
      <c r="K2255" s="157" t="s">
        <v>1281</v>
      </c>
      <c r="L2255" s="157" t="s">
        <v>1096</v>
      </c>
      <c r="M2255" s="157" t="str">
        <f t="shared" si="48"/>
        <v>Combined Panel Switches - Driver Commands</v>
      </c>
      <c r="N2255" s="157"/>
      <c r="O2255" s="157"/>
      <c r="P2255" s="159"/>
      <c r="Q2255" s="157"/>
      <c r="R2255" s="157"/>
      <c r="S2255" s="157"/>
      <c r="T2255" s="157"/>
      <c r="U2255" s="159"/>
      <c r="V2255" s="159"/>
      <c r="W2255" s="159"/>
      <c r="X2255" s="160"/>
      <c r="Y2255" s="160"/>
      <c r="Z2255" s="160"/>
      <c r="AA2255" s="160"/>
    </row>
    <row r="2256" spans="1:27" ht="18" customHeight="1" x14ac:dyDescent="0.25">
      <c r="A2256" s="159">
        <v>5409</v>
      </c>
      <c r="B2256" s="157" t="s">
        <v>256</v>
      </c>
      <c r="C2256" s="157" t="s">
        <v>261</v>
      </c>
      <c r="D2256" s="159" t="s">
        <v>265</v>
      </c>
      <c r="E2256" s="157" t="s">
        <v>1217</v>
      </c>
      <c r="F2256" s="157"/>
      <c r="G2256" s="157" t="s">
        <v>13</v>
      </c>
      <c r="H2256" s="157" t="s">
        <v>1354</v>
      </c>
      <c r="I2256" s="157" t="s">
        <v>1356</v>
      </c>
      <c r="J2256" s="157" t="s">
        <v>1285</v>
      </c>
      <c r="K2256" s="157" t="s">
        <v>1281</v>
      </c>
      <c r="L2256" s="157" t="s">
        <v>1096</v>
      </c>
      <c r="M2256" s="157" t="str">
        <f t="shared" si="48"/>
        <v>Combined Panel Switches - Driver Commands</v>
      </c>
      <c r="N2256" s="157"/>
      <c r="O2256" s="157"/>
      <c r="P2256" s="159"/>
      <c r="Q2256" s="157"/>
      <c r="R2256" s="157"/>
      <c r="S2256" s="157"/>
      <c r="T2256" s="157"/>
      <c r="U2256" s="159"/>
      <c r="V2256" s="159"/>
      <c r="W2256" s="159"/>
      <c r="X2256" s="160"/>
      <c r="Y2256" s="160"/>
      <c r="Z2256" s="160"/>
      <c r="AA2256" s="160"/>
    </row>
    <row r="2257" spans="1:27" ht="18" customHeight="1" x14ac:dyDescent="0.25">
      <c r="A2257" s="159">
        <v>5409</v>
      </c>
      <c r="B2257" s="157" t="s">
        <v>256</v>
      </c>
      <c r="C2257" s="157" t="s">
        <v>257</v>
      </c>
      <c r="D2257" s="159" t="s">
        <v>1074</v>
      </c>
      <c r="E2257" s="157" t="s">
        <v>1072</v>
      </c>
      <c r="F2257" s="157" t="s">
        <v>1010</v>
      </c>
      <c r="G2257" s="157" t="s">
        <v>13</v>
      </c>
      <c r="H2257" s="157" t="s">
        <v>1354</v>
      </c>
      <c r="I2257" s="157" t="s">
        <v>1356</v>
      </c>
      <c r="J2257" s="157" t="s">
        <v>1285</v>
      </c>
      <c r="K2257" s="157" t="s">
        <v>1281</v>
      </c>
      <c r="L2257" s="157" t="s">
        <v>1096</v>
      </c>
      <c r="M2257" s="157" t="str">
        <f t="shared" si="48"/>
        <v>Combined Panel Switches - Driver Commands</v>
      </c>
      <c r="N2257" s="157"/>
      <c r="O2257" s="157" t="s">
        <v>1010</v>
      </c>
      <c r="P2257" s="159"/>
      <c r="Q2257" s="157"/>
      <c r="R2257" s="157"/>
      <c r="S2257" s="157"/>
      <c r="T2257" s="157"/>
      <c r="U2257" s="159"/>
      <c r="V2257" s="159"/>
      <c r="W2257" s="159"/>
      <c r="X2257" s="160"/>
      <c r="Y2257" s="160"/>
      <c r="Z2257" s="160"/>
      <c r="AA2257" s="160"/>
    </row>
    <row r="2258" spans="1:27" ht="18" customHeight="1" x14ac:dyDescent="0.25">
      <c r="A2258" s="159">
        <v>5409</v>
      </c>
      <c r="B2258" s="157" t="s">
        <v>266</v>
      </c>
      <c r="C2258" s="157" t="s">
        <v>294</v>
      </c>
      <c r="D2258" s="159" t="s">
        <v>297</v>
      </c>
      <c r="E2258" s="157" t="s">
        <v>295</v>
      </c>
      <c r="F2258" s="157" t="s">
        <v>1264</v>
      </c>
      <c r="G2258" s="157" t="s">
        <v>13</v>
      </c>
      <c r="H2258" s="157" t="s">
        <v>1354</v>
      </c>
      <c r="I2258" s="157" t="s">
        <v>1356</v>
      </c>
      <c r="J2258" s="157" t="s">
        <v>1285</v>
      </c>
      <c r="K2258" s="157" t="s">
        <v>1281</v>
      </c>
      <c r="L2258" s="157" t="s">
        <v>1096</v>
      </c>
      <c r="M2258" s="157" t="str">
        <f t="shared" si="48"/>
        <v>Combined Panel Switches - Driver Commands</v>
      </c>
      <c r="N2258" s="157"/>
      <c r="O2258" s="157"/>
      <c r="P2258" s="159"/>
      <c r="Q2258" s="157"/>
      <c r="R2258" s="157"/>
      <c r="S2258" s="157"/>
      <c r="T2258" s="157"/>
      <c r="U2258" s="159"/>
      <c r="V2258" s="159"/>
      <c r="W2258" s="159"/>
      <c r="X2258" s="160"/>
      <c r="Y2258" s="160"/>
      <c r="Z2258" s="160"/>
      <c r="AA2258" s="160"/>
    </row>
    <row r="2259" spans="1:27" ht="18" customHeight="1" x14ac:dyDescent="0.25">
      <c r="A2259" s="159">
        <v>5409</v>
      </c>
      <c r="B2259" s="157" t="s">
        <v>266</v>
      </c>
      <c r="C2259" s="157" t="s">
        <v>294</v>
      </c>
      <c r="D2259" s="159" t="s">
        <v>298</v>
      </c>
      <c r="E2259" s="157" t="s">
        <v>299</v>
      </c>
      <c r="F2259" s="157" t="s">
        <v>1264</v>
      </c>
      <c r="G2259" s="157" t="s">
        <v>13</v>
      </c>
      <c r="H2259" s="157" t="s">
        <v>1354</v>
      </c>
      <c r="I2259" s="157" t="s">
        <v>1356</v>
      </c>
      <c r="J2259" s="157" t="s">
        <v>1285</v>
      </c>
      <c r="K2259" s="157" t="s">
        <v>1281</v>
      </c>
      <c r="L2259" s="157" t="s">
        <v>1096</v>
      </c>
      <c r="M2259" s="157" t="str">
        <f t="shared" si="48"/>
        <v>Combined Panel Switches - Driver Commands</v>
      </c>
      <c r="N2259" s="157"/>
      <c r="O2259" s="157"/>
      <c r="P2259" s="159"/>
      <c r="Q2259" s="157"/>
      <c r="R2259" s="157"/>
      <c r="S2259" s="157"/>
      <c r="T2259" s="157"/>
      <c r="U2259" s="159"/>
      <c r="V2259" s="159"/>
      <c r="W2259" s="159"/>
      <c r="X2259" s="160"/>
      <c r="Y2259" s="160"/>
      <c r="Z2259" s="160"/>
      <c r="AA2259" s="160"/>
    </row>
    <row r="2260" spans="1:27" ht="18" customHeight="1" x14ac:dyDescent="0.25">
      <c r="A2260" s="159">
        <v>5409</v>
      </c>
      <c r="B2260" s="157"/>
      <c r="C2260" s="157"/>
      <c r="D2260" s="159" t="s">
        <v>432</v>
      </c>
      <c r="E2260" s="157" t="s">
        <v>1528</v>
      </c>
      <c r="F2260" s="157"/>
      <c r="G2260" s="157" t="s">
        <v>13</v>
      </c>
      <c r="H2260" s="157" t="s">
        <v>1354</v>
      </c>
      <c r="I2260" s="157" t="s">
        <v>1356</v>
      </c>
      <c r="J2260" s="157" t="s">
        <v>1285</v>
      </c>
      <c r="K2260" s="157" t="s">
        <v>1281</v>
      </c>
      <c r="L2260" s="157" t="s">
        <v>1096</v>
      </c>
      <c r="M2260" s="157" t="str">
        <f t="shared" si="48"/>
        <v>Combined Panel Switches - Driver Commands</v>
      </c>
      <c r="N2260" s="157"/>
      <c r="O2260" s="157"/>
      <c r="P2260" s="159"/>
      <c r="Q2260" s="157"/>
      <c r="R2260" s="157"/>
      <c r="S2260" s="157"/>
      <c r="T2260" s="157"/>
      <c r="U2260" s="159"/>
      <c r="V2260" s="159"/>
      <c r="W2260" s="159"/>
      <c r="X2260" s="160"/>
      <c r="Y2260" s="160"/>
      <c r="Z2260" s="160"/>
      <c r="AA2260" s="160"/>
    </row>
    <row r="2261" spans="1:27" ht="18" customHeight="1" x14ac:dyDescent="0.25">
      <c r="A2261" s="159">
        <v>6000</v>
      </c>
      <c r="B2261" s="157" t="s">
        <v>29</v>
      </c>
      <c r="C2261" s="157" t="s">
        <v>82</v>
      </c>
      <c r="D2261" s="159" t="s">
        <v>102</v>
      </c>
      <c r="E2261" s="157" t="s">
        <v>100</v>
      </c>
      <c r="F2261" s="157" t="s">
        <v>1264</v>
      </c>
      <c r="G2261" s="157" t="s">
        <v>1278</v>
      </c>
      <c r="H2261" s="157" t="s">
        <v>1294</v>
      </c>
      <c r="I2261" s="157" t="s">
        <v>1823</v>
      </c>
      <c r="J2261" s="157" t="s">
        <v>1824</v>
      </c>
      <c r="K2261" s="157" t="s">
        <v>1281</v>
      </c>
      <c r="L2261" s="157" t="s">
        <v>1282</v>
      </c>
      <c r="M2261" s="157" t="str">
        <f t="shared" si="48"/>
        <v>User Selector - Rear Doors Internal Handle/Window Disabling</v>
      </c>
      <c r="N2261" s="157"/>
      <c r="O2261" s="157"/>
      <c r="P2261" s="159" t="s">
        <v>7942</v>
      </c>
      <c r="Q2261" s="157"/>
      <c r="R2261" s="157"/>
      <c r="S2261" s="157"/>
      <c r="T2261" s="157"/>
      <c r="U2261" s="159" t="s">
        <v>2138</v>
      </c>
      <c r="V2261" s="159" t="s">
        <v>2138</v>
      </c>
      <c r="W2261" s="159" t="s">
        <v>2138</v>
      </c>
      <c r="X2261" s="160">
        <f t="shared" ref="X2261:AA2263" si="49">2*1/(20*60)</f>
        <v>1.6666666666666668E-3</v>
      </c>
      <c r="Y2261" s="160">
        <f t="shared" si="49"/>
        <v>1.6666666666666668E-3</v>
      </c>
      <c r="Z2261" s="160">
        <f t="shared" si="49"/>
        <v>1.6666666666666668E-3</v>
      </c>
      <c r="AA2261" s="160">
        <f t="shared" si="49"/>
        <v>1.6666666666666668E-3</v>
      </c>
    </row>
    <row r="2262" spans="1:27" ht="18" customHeight="1" x14ac:dyDescent="0.25">
      <c r="A2262" s="159">
        <v>6000</v>
      </c>
      <c r="B2262" s="157" t="s">
        <v>29</v>
      </c>
      <c r="C2262" s="157" t="s">
        <v>386</v>
      </c>
      <c r="D2262" s="159" t="s">
        <v>389</v>
      </c>
      <c r="E2262" s="157" t="s">
        <v>387</v>
      </c>
      <c r="F2262" s="157" t="s">
        <v>1277</v>
      </c>
      <c r="G2262" s="157" t="s">
        <v>1278</v>
      </c>
      <c r="H2262" s="157" t="s">
        <v>1294</v>
      </c>
      <c r="I2262" s="157" t="s">
        <v>1823</v>
      </c>
      <c r="J2262" s="157" t="s">
        <v>1824</v>
      </c>
      <c r="K2262" s="157" t="s">
        <v>1281</v>
      </c>
      <c r="L2262" s="157" t="s">
        <v>1282</v>
      </c>
      <c r="M2262" s="157" t="str">
        <f t="shared" si="48"/>
        <v>User Selector - Rear Doors Internal Handle/Window Disabling</v>
      </c>
      <c r="N2262" s="157"/>
      <c r="O2262" s="157"/>
      <c r="P2262" s="159" t="s">
        <v>7942</v>
      </c>
      <c r="Q2262" s="157"/>
      <c r="R2262" s="157"/>
      <c r="S2262" s="157"/>
      <c r="T2262" s="157"/>
      <c r="U2262" s="159" t="s">
        <v>2138</v>
      </c>
      <c r="V2262" s="159" t="s">
        <v>2138</v>
      </c>
      <c r="W2262" s="159" t="s">
        <v>2138</v>
      </c>
      <c r="X2262" s="160">
        <f t="shared" si="49"/>
        <v>1.6666666666666668E-3</v>
      </c>
      <c r="Y2262" s="160">
        <f t="shared" si="49"/>
        <v>1.6666666666666668E-3</v>
      </c>
      <c r="Z2262" s="160">
        <f t="shared" si="49"/>
        <v>1.6666666666666668E-3</v>
      </c>
      <c r="AA2262" s="160">
        <f t="shared" si="49"/>
        <v>1.6666666666666668E-3</v>
      </c>
    </row>
    <row r="2263" spans="1:27" ht="18" customHeight="1" x14ac:dyDescent="0.25">
      <c r="A2263" s="159">
        <v>6000</v>
      </c>
      <c r="B2263" s="157" t="s">
        <v>29</v>
      </c>
      <c r="C2263" s="157" t="s">
        <v>386</v>
      </c>
      <c r="D2263" s="159" t="s">
        <v>390</v>
      </c>
      <c r="E2263" s="157" t="s">
        <v>1249</v>
      </c>
      <c r="F2263" s="157" t="s">
        <v>1264</v>
      </c>
      <c r="G2263" s="157" t="s">
        <v>1278</v>
      </c>
      <c r="H2263" s="157" t="s">
        <v>1294</v>
      </c>
      <c r="I2263" s="157" t="s">
        <v>1823</v>
      </c>
      <c r="J2263" s="157" t="s">
        <v>1824</v>
      </c>
      <c r="K2263" s="157" t="s">
        <v>1281</v>
      </c>
      <c r="L2263" s="157" t="s">
        <v>1282</v>
      </c>
      <c r="M2263" s="157" t="str">
        <f t="shared" si="48"/>
        <v>User Selector - Rear Doors Internal Handle/Window Disabling</v>
      </c>
      <c r="N2263" s="157"/>
      <c r="O2263" s="157"/>
      <c r="P2263" s="159" t="s">
        <v>7942</v>
      </c>
      <c r="Q2263" s="157"/>
      <c r="R2263" s="157"/>
      <c r="S2263" s="157"/>
      <c r="T2263" s="157"/>
      <c r="U2263" s="159" t="s">
        <v>2138</v>
      </c>
      <c r="V2263" s="159" t="s">
        <v>2138</v>
      </c>
      <c r="W2263" s="159" t="s">
        <v>2138</v>
      </c>
      <c r="X2263" s="160">
        <f t="shared" si="49"/>
        <v>1.6666666666666668E-3</v>
      </c>
      <c r="Y2263" s="160">
        <f t="shared" si="49"/>
        <v>1.6666666666666668E-3</v>
      </c>
      <c r="Z2263" s="160">
        <f t="shared" si="49"/>
        <v>1.6666666666666668E-3</v>
      </c>
      <c r="AA2263" s="160">
        <f t="shared" si="49"/>
        <v>1.6666666666666668E-3</v>
      </c>
    </row>
    <row r="2264" spans="1:27" ht="18" customHeight="1" x14ac:dyDescent="0.25">
      <c r="A2264" s="159">
        <v>6011</v>
      </c>
      <c r="B2264" s="157" t="s">
        <v>29</v>
      </c>
      <c r="C2264" s="157" t="s">
        <v>82</v>
      </c>
      <c r="D2264" s="159" t="s">
        <v>1107</v>
      </c>
      <c r="E2264" s="157" t="s">
        <v>1105</v>
      </c>
      <c r="F2264" s="157"/>
      <c r="G2264" s="157" t="s">
        <v>1278</v>
      </c>
      <c r="H2264" s="157" t="s">
        <v>1294</v>
      </c>
      <c r="I2264" s="157" t="s">
        <v>1825</v>
      </c>
      <c r="J2264" s="157" t="s">
        <v>1343</v>
      </c>
      <c r="K2264" s="157" t="s">
        <v>1269</v>
      </c>
      <c r="L2264" s="157" t="s">
        <v>1342</v>
      </c>
      <c r="M2264" s="157" t="str">
        <f t="shared" si="48"/>
        <v>Stepper Motor - Tailgate Lock and Unlock</v>
      </c>
      <c r="N2264" s="157"/>
      <c r="O2264" s="157"/>
      <c r="P2264" s="159" t="s">
        <v>6004</v>
      </c>
      <c r="Q2264" s="157" t="s">
        <v>2115</v>
      </c>
      <c r="R2264" s="157" t="s">
        <v>8652</v>
      </c>
      <c r="S2264" s="157" t="s">
        <v>8653</v>
      </c>
      <c r="T2264" s="157"/>
      <c r="U2264" s="159" t="s">
        <v>2138</v>
      </c>
      <c r="V2264" s="159" t="s">
        <v>2138</v>
      </c>
      <c r="W2264" s="159" t="s">
        <v>2138</v>
      </c>
      <c r="X2264" s="160">
        <v>0</v>
      </c>
      <c r="Y2264" s="160">
        <v>0</v>
      </c>
      <c r="Z2264" s="160">
        <v>0</v>
      </c>
      <c r="AA2264" s="160">
        <v>0</v>
      </c>
    </row>
    <row r="2265" spans="1:27" ht="18" customHeight="1" x14ac:dyDescent="0.25">
      <c r="A2265" s="159">
        <v>6013</v>
      </c>
      <c r="B2265" s="157" t="s">
        <v>29</v>
      </c>
      <c r="C2265" s="157" t="s">
        <v>82</v>
      </c>
      <c r="D2265" s="159" t="s">
        <v>1110</v>
      </c>
      <c r="E2265" s="157" t="s">
        <v>1108</v>
      </c>
      <c r="F2265" s="157"/>
      <c r="G2265" s="157" t="s">
        <v>1278</v>
      </c>
      <c r="H2265" s="157" t="s">
        <v>1294</v>
      </c>
      <c r="I2265" s="157" t="s">
        <v>8697</v>
      </c>
      <c r="J2265" s="157" t="s">
        <v>1343</v>
      </c>
      <c r="K2265" s="157" t="s">
        <v>1281</v>
      </c>
      <c r="L2265" s="157" t="s">
        <v>1282</v>
      </c>
      <c r="M2265" s="157" t="str">
        <f t="shared" si="48"/>
        <v>User Selector - Tailgate Release Handle Switch</v>
      </c>
      <c r="N2265" s="157"/>
      <c r="O2265" s="157"/>
      <c r="P2265" s="159" t="s">
        <v>5819</v>
      </c>
      <c r="Q2265" s="157" t="s">
        <v>2115</v>
      </c>
      <c r="R2265" s="157" t="s">
        <v>8566</v>
      </c>
      <c r="S2265" s="157" t="s">
        <v>8611</v>
      </c>
      <c r="T2265" s="157"/>
      <c r="U2265" s="159" t="s">
        <v>2138</v>
      </c>
      <c r="V2265" s="159" t="s">
        <v>2138</v>
      </c>
      <c r="W2265" s="159" t="s">
        <v>2138</v>
      </c>
      <c r="X2265" s="160">
        <f>2/(20*60)</f>
        <v>1.6666666666666668E-3</v>
      </c>
      <c r="Y2265" s="160">
        <f>2/(20*60)</f>
        <v>1.6666666666666668E-3</v>
      </c>
      <c r="Z2265" s="160">
        <f>2/(20*60)</f>
        <v>1.6666666666666668E-3</v>
      </c>
      <c r="AA2265" s="160">
        <f>2/(20*60)</f>
        <v>1.6666666666666668E-3</v>
      </c>
    </row>
    <row r="2266" spans="1:27" ht="18" customHeight="1" x14ac:dyDescent="0.25">
      <c r="A2266" s="159">
        <v>6030</v>
      </c>
      <c r="B2266" s="157" t="s">
        <v>77</v>
      </c>
      <c r="C2266" s="157" t="s">
        <v>124</v>
      </c>
      <c r="D2266" s="159" t="s">
        <v>1121</v>
      </c>
      <c r="E2266" s="157" t="s">
        <v>1119</v>
      </c>
      <c r="F2266" s="157"/>
      <c r="G2266" s="157" t="s">
        <v>1278</v>
      </c>
      <c r="H2266" s="157" t="s">
        <v>1283</v>
      </c>
      <c r="I2266" s="157" t="s">
        <v>1826</v>
      </c>
      <c r="J2266" s="157" t="s">
        <v>1373</v>
      </c>
      <c r="K2266" s="157" t="s">
        <v>1269</v>
      </c>
      <c r="L2266" s="157" t="s">
        <v>1286</v>
      </c>
      <c r="M2266" s="157" t="str">
        <f t="shared" si="48"/>
        <v>LED Lamp - Footwell Illumination RL</v>
      </c>
      <c r="N2266" s="157"/>
      <c r="O2266" s="157"/>
      <c r="P2266" s="159" t="s">
        <v>6707</v>
      </c>
      <c r="Q2266" s="157" t="s">
        <v>2115</v>
      </c>
      <c r="R2266" s="157" t="s">
        <v>8436</v>
      </c>
      <c r="S2266" s="157" t="s">
        <v>8606</v>
      </c>
      <c r="T2266" s="157"/>
      <c r="U2266" s="159" t="s">
        <v>2129</v>
      </c>
      <c r="V2266" s="159" t="s">
        <v>2129</v>
      </c>
      <c r="W2266" s="159" t="s">
        <v>2138</v>
      </c>
      <c r="X2266" s="160">
        <v>0</v>
      </c>
      <c r="Y2266" s="160">
        <v>0</v>
      </c>
      <c r="Z2266" s="160">
        <v>0.5</v>
      </c>
      <c r="AA2266" s="160">
        <v>0.5</v>
      </c>
    </row>
    <row r="2267" spans="1:27" ht="18" customHeight="1" x14ac:dyDescent="0.25">
      <c r="A2267" s="159">
        <v>6031</v>
      </c>
      <c r="B2267" s="157" t="s">
        <v>77</v>
      </c>
      <c r="C2267" s="157" t="s">
        <v>124</v>
      </c>
      <c r="D2267" s="159" t="s">
        <v>1121</v>
      </c>
      <c r="E2267" s="157" t="s">
        <v>1119</v>
      </c>
      <c r="F2267" s="157"/>
      <c r="G2267" s="157" t="s">
        <v>1278</v>
      </c>
      <c r="H2267" s="157" t="s">
        <v>1283</v>
      </c>
      <c r="I2267" s="157" t="s">
        <v>1827</v>
      </c>
      <c r="J2267" s="157" t="s">
        <v>1373</v>
      </c>
      <c r="K2267" s="157" t="s">
        <v>1269</v>
      </c>
      <c r="L2267" s="157" t="s">
        <v>1286</v>
      </c>
      <c r="M2267" s="157" t="str">
        <f t="shared" si="48"/>
        <v>LED Lamp - Footwell Illumination RR</v>
      </c>
      <c r="N2267" s="157"/>
      <c r="O2267" s="157"/>
      <c r="P2267" s="159" t="s">
        <v>4837</v>
      </c>
      <c r="Q2267" s="157" t="s">
        <v>2115</v>
      </c>
      <c r="R2267" s="157" t="s">
        <v>8436</v>
      </c>
      <c r="S2267" s="157" t="s">
        <v>8606</v>
      </c>
      <c r="T2267" s="157"/>
      <c r="U2267" s="159" t="s">
        <v>2129</v>
      </c>
      <c r="V2267" s="159" t="s">
        <v>2129</v>
      </c>
      <c r="W2267" s="159" t="s">
        <v>2138</v>
      </c>
      <c r="X2267" s="160">
        <v>0</v>
      </c>
      <c r="Y2267" s="160">
        <v>0</v>
      </c>
      <c r="Z2267" s="160">
        <v>0.5</v>
      </c>
      <c r="AA2267" s="160">
        <v>0.5</v>
      </c>
    </row>
    <row r="2268" spans="1:27" ht="18" customHeight="1" x14ac:dyDescent="0.25">
      <c r="A2268" s="159">
        <v>6036</v>
      </c>
      <c r="B2268" s="157" t="s">
        <v>77</v>
      </c>
      <c r="C2268" s="157" t="s">
        <v>128</v>
      </c>
      <c r="D2268" s="159" t="s">
        <v>1118</v>
      </c>
      <c r="E2268" s="157" t="s">
        <v>1116</v>
      </c>
      <c r="F2268" s="157"/>
      <c r="G2268" s="157" t="s">
        <v>1278</v>
      </c>
      <c r="H2268" s="157" t="s">
        <v>1304</v>
      </c>
      <c r="I2268" s="157" t="s">
        <v>1829</v>
      </c>
      <c r="J2268" s="157" t="s">
        <v>1828</v>
      </c>
      <c r="K2268" s="157" t="s">
        <v>1269</v>
      </c>
      <c r="L2268" s="157" t="s">
        <v>1830</v>
      </c>
      <c r="M2268" s="157" t="str">
        <f t="shared" si="48"/>
        <v>Seat Heater RL - Heating Seat Pan Rear L</v>
      </c>
      <c r="N2268" s="157"/>
      <c r="O2268" s="157"/>
      <c r="P2268" s="159" t="s">
        <v>5862</v>
      </c>
      <c r="Q2268" s="157" t="s">
        <v>2115</v>
      </c>
      <c r="R2268" s="157" t="s">
        <v>8652</v>
      </c>
      <c r="S2268" s="157" t="s">
        <v>8653</v>
      </c>
      <c r="T2268" s="157"/>
      <c r="U2268" s="159" t="s">
        <v>2129</v>
      </c>
      <c r="V2268" s="159" t="s">
        <v>2129</v>
      </c>
      <c r="W2268" s="159" t="s">
        <v>2138</v>
      </c>
      <c r="X2268" s="160">
        <v>0</v>
      </c>
      <c r="Y2268" s="160">
        <f t="shared" ref="Y2268:Z2271" si="50">0.75*5/20+0.5*5/20+0.25*5/20</f>
        <v>0.375</v>
      </c>
      <c r="Z2268" s="160">
        <f t="shared" si="50"/>
        <v>0.375</v>
      </c>
      <c r="AA2268" s="160">
        <v>0</v>
      </c>
    </row>
    <row r="2269" spans="1:27" ht="18" customHeight="1" x14ac:dyDescent="0.25">
      <c r="A2269" s="159">
        <v>6037</v>
      </c>
      <c r="B2269" s="157" t="s">
        <v>77</v>
      </c>
      <c r="C2269" s="157" t="s">
        <v>128</v>
      </c>
      <c r="D2269" s="159" t="s">
        <v>1118</v>
      </c>
      <c r="E2269" s="157" t="s">
        <v>1116</v>
      </c>
      <c r="F2269" s="157"/>
      <c r="G2269" s="157" t="s">
        <v>1278</v>
      </c>
      <c r="H2269" s="157" t="s">
        <v>1304</v>
      </c>
      <c r="I2269" s="157" t="s">
        <v>1831</v>
      </c>
      <c r="J2269" s="157" t="s">
        <v>1828</v>
      </c>
      <c r="K2269" s="157" t="s">
        <v>1269</v>
      </c>
      <c r="L2269" s="157" t="s">
        <v>1830</v>
      </c>
      <c r="M2269" s="157" t="str">
        <f t="shared" si="48"/>
        <v>Seat Heater RL - Heating Seat Back Rear L</v>
      </c>
      <c r="N2269" s="157"/>
      <c r="O2269" s="157"/>
      <c r="P2269" s="159" t="s">
        <v>5862</v>
      </c>
      <c r="Q2269" s="157" t="s">
        <v>2115</v>
      </c>
      <c r="R2269" s="157" t="s">
        <v>8652</v>
      </c>
      <c r="S2269" s="157" t="s">
        <v>8653</v>
      </c>
      <c r="T2269" s="157"/>
      <c r="U2269" s="159" t="s">
        <v>2129</v>
      </c>
      <c r="V2269" s="159" t="s">
        <v>2129</v>
      </c>
      <c r="W2269" s="159" t="s">
        <v>2138</v>
      </c>
      <c r="X2269" s="160">
        <v>0</v>
      </c>
      <c r="Y2269" s="160">
        <f t="shared" si="50"/>
        <v>0.375</v>
      </c>
      <c r="Z2269" s="160">
        <f t="shared" si="50"/>
        <v>0.375</v>
      </c>
      <c r="AA2269" s="160">
        <v>0</v>
      </c>
    </row>
    <row r="2270" spans="1:27" ht="18" customHeight="1" x14ac:dyDescent="0.25">
      <c r="A2270" s="159">
        <v>6038</v>
      </c>
      <c r="B2270" s="157" t="s">
        <v>77</v>
      </c>
      <c r="C2270" s="157" t="s">
        <v>128</v>
      </c>
      <c r="D2270" s="159" t="s">
        <v>1118</v>
      </c>
      <c r="E2270" s="157" t="s">
        <v>1116</v>
      </c>
      <c r="F2270" s="157"/>
      <c r="G2270" s="157" t="s">
        <v>1278</v>
      </c>
      <c r="H2270" s="157" t="s">
        <v>1304</v>
      </c>
      <c r="I2270" s="157" t="s">
        <v>1832</v>
      </c>
      <c r="J2270" s="157" t="s">
        <v>1828</v>
      </c>
      <c r="K2270" s="157" t="s">
        <v>1269</v>
      </c>
      <c r="L2270" s="157" t="s">
        <v>1833</v>
      </c>
      <c r="M2270" s="157" t="str">
        <f t="shared" si="48"/>
        <v>Seat Heater RR - Heating Seat Pan Rear R</v>
      </c>
      <c r="N2270" s="157"/>
      <c r="O2270" s="157"/>
      <c r="P2270" s="159" t="s">
        <v>5676</v>
      </c>
      <c r="Q2270" s="157" t="s">
        <v>2115</v>
      </c>
      <c r="R2270" s="157" t="s">
        <v>8652</v>
      </c>
      <c r="S2270" s="157" t="s">
        <v>8653</v>
      </c>
      <c r="T2270" s="157"/>
      <c r="U2270" s="159" t="s">
        <v>2129</v>
      </c>
      <c r="V2270" s="159" t="s">
        <v>2129</v>
      </c>
      <c r="W2270" s="159" t="s">
        <v>2138</v>
      </c>
      <c r="X2270" s="160">
        <v>0</v>
      </c>
      <c r="Y2270" s="160">
        <f t="shared" si="50"/>
        <v>0.375</v>
      </c>
      <c r="Z2270" s="160">
        <f t="shared" si="50"/>
        <v>0.375</v>
      </c>
      <c r="AA2270" s="160">
        <v>0</v>
      </c>
    </row>
    <row r="2271" spans="1:27" ht="18" customHeight="1" x14ac:dyDescent="0.25">
      <c r="A2271" s="159">
        <v>6039</v>
      </c>
      <c r="B2271" s="157" t="s">
        <v>77</v>
      </c>
      <c r="C2271" s="157" t="s">
        <v>128</v>
      </c>
      <c r="D2271" s="159" t="s">
        <v>1118</v>
      </c>
      <c r="E2271" s="157" t="s">
        <v>1116</v>
      </c>
      <c r="F2271" s="157"/>
      <c r="G2271" s="157" t="s">
        <v>1278</v>
      </c>
      <c r="H2271" s="157" t="s">
        <v>1304</v>
      </c>
      <c r="I2271" s="157" t="s">
        <v>1834</v>
      </c>
      <c r="J2271" s="157" t="s">
        <v>1828</v>
      </c>
      <c r="K2271" s="157" t="s">
        <v>1269</v>
      </c>
      <c r="L2271" s="157" t="s">
        <v>1833</v>
      </c>
      <c r="M2271" s="157" t="str">
        <f t="shared" si="48"/>
        <v>Seat Heater RR - Heating Seat Back Rear R</v>
      </c>
      <c r="N2271" s="157"/>
      <c r="O2271" s="157"/>
      <c r="P2271" s="159" t="s">
        <v>5676</v>
      </c>
      <c r="Q2271" s="157" t="s">
        <v>2115</v>
      </c>
      <c r="R2271" s="157" t="s">
        <v>8652</v>
      </c>
      <c r="S2271" s="157" t="s">
        <v>8653</v>
      </c>
      <c r="T2271" s="157"/>
      <c r="U2271" s="159" t="s">
        <v>2129</v>
      </c>
      <c r="V2271" s="159" t="s">
        <v>2129</v>
      </c>
      <c r="W2271" s="159" t="s">
        <v>2138</v>
      </c>
      <c r="X2271" s="160">
        <v>0</v>
      </c>
      <c r="Y2271" s="160">
        <f t="shared" si="50"/>
        <v>0.375</v>
      </c>
      <c r="Z2271" s="160">
        <f t="shared" si="50"/>
        <v>0.375</v>
      </c>
      <c r="AA2271" s="160">
        <v>0</v>
      </c>
    </row>
    <row r="2272" spans="1:27" ht="18" customHeight="1" x14ac:dyDescent="0.25">
      <c r="A2272" s="159">
        <v>6040</v>
      </c>
      <c r="B2272" s="157" t="s">
        <v>77</v>
      </c>
      <c r="C2272" s="157" t="s">
        <v>128</v>
      </c>
      <c r="D2272" s="159" t="s">
        <v>145</v>
      </c>
      <c r="E2272" s="157" t="s">
        <v>143</v>
      </c>
      <c r="F2272" s="157" t="s">
        <v>1264</v>
      </c>
      <c r="G2272" s="157" t="s">
        <v>1278</v>
      </c>
      <c r="H2272" s="157" t="s">
        <v>1835</v>
      </c>
      <c r="I2272" s="157" t="s">
        <v>1836</v>
      </c>
      <c r="J2272" s="157" t="s">
        <v>1837</v>
      </c>
      <c r="K2272" s="157" t="s">
        <v>1269</v>
      </c>
      <c r="L2272" s="157" t="s">
        <v>1838</v>
      </c>
      <c r="M2272" s="157" t="str">
        <f t="shared" si="48"/>
        <v>Ventilator Motor Seat Back FL - Seat Ventilation Driver</v>
      </c>
      <c r="N2272" s="157"/>
      <c r="O2272" s="157"/>
      <c r="P2272" s="159" t="s">
        <v>7446</v>
      </c>
      <c r="Q2272" s="157" t="s">
        <v>2115</v>
      </c>
      <c r="R2272" s="157" t="s">
        <v>8569</v>
      </c>
      <c r="S2272" s="157" t="s">
        <v>8610</v>
      </c>
      <c r="T2272" s="157"/>
      <c r="U2272" s="159" t="s">
        <v>2129</v>
      </c>
      <c r="V2272" s="159" t="s">
        <v>2129</v>
      </c>
      <c r="W2272" s="159" t="s">
        <v>2138</v>
      </c>
      <c r="X2272" s="160">
        <v>0.8</v>
      </c>
      <c r="Y2272" s="160">
        <v>0.15</v>
      </c>
      <c r="Z2272" s="160">
        <v>0.3</v>
      </c>
      <c r="AA2272" s="160">
        <v>0.5</v>
      </c>
    </row>
    <row r="2273" spans="1:27" ht="18" customHeight="1" x14ac:dyDescent="0.25">
      <c r="A2273" s="159">
        <v>6041</v>
      </c>
      <c r="B2273" s="157" t="s">
        <v>77</v>
      </c>
      <c r="C2273" s="157" t="s">
        <v>128</v>
      </c>
      <c r="D2273" s="159" t="s">
        <v>145</v>
      </c>
      <c r="E2273" s="157" t="s">
        <v>143</v>
      </c>
      <c r="F2273" s="157" t="s">
        <v>1264</v>
      </c>
      <c r="G2273" s="157" t="s">
        <v>1278</v>
      </c>
      <c r="H2273" s="157" t="s">
        <v>1835</v>
      </c>
      <c r="I2273" s="157" t="s">
        <v>1836</v>
      </c>
      <c r="J2273" s="157" t="s">
        <v>1837</v>
      </c>
      <c r="K2273" s="157" t="s">
        <v>1269</v>
      </c>
      <c r="L2273" s="157" t="s">
        <v>1839</v>
      </c>
      <c r="M2273" s="157" t="str">
        <f t="shared" si="48"/>
        <v>Ventilator Motor Seat Pan FL - Seat Ventilation Driver</v>
      </c>
      <c r="N2273" s="157"/>
      <c r="O2273" s="157"/>
      <c r="P2273" s="159" t="s">
        <v>7446</v>
      </c>
      <c r="Q2273" s="157" t="s">
        <v>2115</v>
      </c>
      <c r="R2273" s="157" t="s">
        <v>8569</v>
      </c>
      <c r="S2273" s="157" t="s">
        <v>8610</v>
      </c>
      <c r="T2273" s="157"/>
      <c r="U2273" s="159" t="s">
        <v>2129</v>
      </c>
      <c r="V2273" s="159" t="s">
        <v>2129</v>
      </c>
      <c r="W2273" s="159" t="s">
        <v>2138</v>
      </c>
      <c r="X2273" s="160">
        <v>0.8</v>
      </c>
      <c r="Y2273" s="160">
        <v>0.15</v>
      </c>
      <c r="Z2273" s="160">
        <v>0.3</v>
      </c>
      <c r="AA2273" s="160">
        <v>0.5</v>
      </c>
    </row>
    <row r="2274" spans="1:27" ht="18" customHeight="1" x14ac:dyDescent="0.25">
      <c r="A2274" s="159">
        <v>6042</v>
      </c>
      <c r="B2274" s="157" t="s">
        <v>77</v>
      </c>
      <c r="C2274" s="157" t="s">
        <v>128</v>
      </c>
      <c r="D2274" s="159" t="s">
        <v>570</v>
      </c>
      <c r="E2274" s="157" t="s">
        <v>568</v>
      </c>
      <c r="F2274" s="157"/>
      <c r="G2274" s="157" t="s">
        <v>1278</v>
      </c>
      <c r="H2274" s="157" t="s">
        <v>1835</v>
      </c>
      <c r="I2274" s="157" t="s">
        <v>1840</v>
      </c>
      <c r="J2274" s="157" t="s">
        <v>1837</v>
      </c>
      <c r="K2274" s="157" t="s">
        <v>1269</v>
      </c>
      <c r="L2274" s="157" t="s">
        <v>1841</v>
      </c>
      <c r="M2274" s="157" t="str">
        <f t="shared" si="48"/>
        <v>Ventilator Motor Seat Back FR - Seat Ventilation Passenger</v>
      </c>
      <c r="N2274" s="157"/>
      <c r="O2274" s="157"/>
      <c r="P2274" s="159" t="s">
        <v>4169</v>
      </c>
      <c r="Q2274" s="157" t="s">
        <v>2115</v>
      </c>
      <c r="R2274" s="157" t="s">
        <v>8569</v>
      </c>
      <c r="S2274" s="157" t="s">
        <v>8610</v>
      </c>
      <c r="T2274" s="157"/>
      <c r="U2274" s="159" t="s">
        <v>2129</v>
      </c>
      <c r="V2274" s="159" t="s">
        <v>2129</v>
      </c>
      <c r="W2274" s="159" t="s">
        <v>2138</v>
      </c>
      <c r="X2274" s="160">
        <v>0.8</v>
      </c>
      <c r="Y2274" s="160">
        <v>0.15</v>
      </c>
      <c r="Z2274" s="160">
        <v>0.3</v>
      </c>
      <c r="AA2274" s="160">
        <v>0.5</v>
      </c>
    </row>
    <row r="2275" spans="1:27" ht="18" customHeight="1" x14ac:dyDescent="0.25">
      <c r="A2275" s="159">
        <v>6043</v>
      </c>
      <c r="B2275" s="157" t="s">
        <v>77</v>
      </c>
      <c r="C2275" s="157" t="s">
        <v>128</v>
      </c>
      <c r="D2275" s="159" t="s">
        <v>570</v>
      </c>
      <c r="E2275" s="157" t="s">
        <v>568</v>
      </c>
      <c r="F2275" s="157"/>
      <c r="G2275" s="157" t="s">
        <v>1278</v>
      </c>
      <c r="H2275" s="157" t="s">
        <v>1835</v>
      </c>
      <c r="I2275" s="157" t="s">
        <v>1840</v>
      </c>
      <c r="J2275" s="157" t="s">
        <v>1837</v>
      </c>
      <c r="K2275" s="157" t="s">
        <v>1269</v>
      </c>
      <c r="L2275" s="157" t="s">
        <v>1842</v>
      </c>
      <c r="M2275" s="157" t="str">
        <f t="shared" si="48"/>
        <v>Ventilator Motor Seat Pan FR - Seat Ventilation Passenger</v>
      </c>
      <c r="N2275" s="157"/>
      <c r="O2275" s="157"/>
      <c r="P2275" s="159" t="s">
        <v>4169</v>
      </c>
      <c r="Q2275" s="157" t="s">
        <v>2115</v>
      </c>
      <c r="R2275" s="157" t="s">
        <v>8569</v>
      </c>
      <c r="S2275" s="157" t="s">
        <v>8610</v>
      </c>
      <c r="T2275" s="157"/>
      <c r="U2275" s="159" t="s">
        <v>2129</v>
      </c>
      <c r="V2275" s="159" t="s">
        <v>2129</v>
      </c>
      <c r="W2275" s="159" t="s">
        <v>2138</v>
      </c>
      <c r="X2275" s="160">
        <v>0.8</v>
      </c>
      <c r="Y2275" s="160">
        <v>0.15</v>
      </c>
      <c r="Z2275" s="160">
        <v>0.3</v>
      </c>
      <c r="AA2275" s="160">
        <v>0.5</v>
      </c>
    </row>
    <row r="2276" spans="1:27" ht="18" customHeight="1" x14ac:dyDescent="0.25">
      <c r="A2276" s="159">
        <v>6044</v>
      </c>
      <c r="B2276" s="157" t="s">
        <v>77</v>
      </c>
      <c r="C2276" s="157" t="s">
        <v>136</v>
      </c>
      <c r="D2276" s="159" t="s">
        <v>139</v>
      </c>
      <c r="E2276" s="157" t="s">
        <v>137</v>
      </c>
      <c r="F2276" s="157" t="s">
        <v>1275</v>
      </c>
      <c r="G2276" s="157" t="s">
        <v>1278</v>
      </c>
      <c r="H2276" s="157" t="s">
        <v>1347</v>
      </c>
      <c r="I2276" s="157" t="s">
        <v>1843</v>
      </c>
      <c r="J2276" s="157" t="s">
        <v>1844</v>
      </c>
      <c r="K2276" s="157" t="s">
        <v>1269</v>
      </c>
      <c r="L2276" s="157" t="s">
        <v>1845</v>
      </c>
      <c r="M2276" s="157" t="str">
        <f t="shared" si="48"/>
        <v>Compressor Motor for Multi-contour FL - Multi-Contour Seat Driver</v>
      </c>
      <c r="N2276" s="157"/>
      <c r="O2276" s="157"/>
      <c r="P2276" s="159"/>
      <c r="Q2276" s="157"/>
      <c r="R2276" s="157"/>
      <c r="S2276" s="157"/>
      <c r="T2276" s="157"/>
      <c r="U2276" s="159"/>
      <c r="V2276" s="159"/>
      <c r="W2276" s="159"/>
      <c r="X2276" s="160"/>
      <c r="Y2276" s="160"/>
      <c r="Z2276" s="160"/>
      <c r="AA2276" s="160"/>
    </row>
    <row r="2277" spans="1:27" ht="18" customHeight="1" x14ac:dyDescent="0.25">
      <c r="A2277" s="159">
        <v>6045</v>
      </c>
      <c r="B2277" s="157" t="s">
        <v>77</v>
      </c>
      <c r="C2277" s="157" t="s">
        <v>136</v>
      </c>
      <c r="D2277" s="159" t="s">
        <v>567</v>
      </c>
      <c r="E2277" s="157" t="s">
        <v>565</v>
      </c>
      <c r="F2277" s="157" t="s">
        <v>1275</v>
      </c>
      <c r="G2277" s="157" t="s">
        <v>1278</v>
      </c>
      <c r="H2277" s="157" t="s">
        <v>1347</v>
      </c>
      <c r="I2277" s="157" t="s">
        <v>1846</v>
      </c>
      <c r="J2277" s="157" t="s">
        <v>1844</v>
      </c>
      <c r="K2277" s="157" t="s">
        <v>1269</v>
      </c>
      <c r="L2277" s="157" t="s">
        <v>1847</v>
      </c>
      <c r="M2277" s="157" t="str">
        <f t="shared" si="48"/>
        <v>Compressor Motor for Multi-contour FR - Multi-Contour Seat Passenger</v>
      </c>
      <c r="N2277" s="157"/>
      <c r="O2277" s="157"/>
      <c r="P2277" s="159"/>
      <c r="Q2277" s="157"/>
      <c r="R2277" s="157"/>
      <c r="S2277" s="157"/>
      <c r="T2277" s="157"/>
      <c r="U2277" s="159"/>
      <c r="V2277" s="159"/>
      <c r="W2277" s="159"/>
      <c r="X2277" s="160"/>
      <c r="Y2277" s="160"/>
      <c r="Z2277" s="160"/>
      <c r="AA2277" s="160"/>
    </row>
    <row r="2278" spans="1:27" ht="18" customHeight="1" x14ac:dyDescent="0.25">
      <c r="A2278" s="159">
        <v>6046</v>
      </c>
      <c r="B2278" s="157" t="s">
        <v>77</v>
      </c>
      <c r="C2278" s="157" t="s">
        <v>136</v>
      </c>
      <c r="D2278" s="159" t="s">
        <v>139</v>
      </c>
      <c r="E2278" s="157" t="s">
        <v>137</v>
      </c>
      <c r="F2278" s="157" t="s">
        <v>1275</v>
      </c>
      <c r="G2278" s="157" t="s">
        <v>1278</v>
      </c>
      <c r="H2278" s="157" t="s">
        <v>1347</v>
      </c>
      <c r="I2278" s="157" t="s">
        <v>1848</v>
      </c>
      <c r="J2278" s="157" t="s">
        <v>1844</v>
      </c>
      <c r="K2278" s="157" t="s">
        <v>1312</v>
      </c>
      <c r="L2278" s="157" t="s">
        <v>8671</v>
      </c>
      <c r="M2278" s="157" t="str">
        <f t="shared" si="48"/>
        <v>Sensor Hall Height - Driver - Seat Height Adjustment Driver</v>
      </c>
      <c r="N2278" s="157"/>
      <c r="O2278" s="157"/>
      <c r="P2278" s="159" t="s">
        <v>7086</v>
      </c>
      <c r="Q2278" s="157" t="s">
        <v>2115</v>
      </c>
      <c r="R2278" s="157" t="s">
        <v>2124</v>
      </c>
      <c r="S2278" s="157" t="s">
        <v>8608</v>
      </c>
      <c r="T2278" s="157"/>
      <c r="U2278" s="159" t="s">
        <v>2129</v>
      </c>
      <c r="V2278" s="159" t="s">
        <v>2129</v>
      </c>
      <c r="W2278" s="159" t="s">
        <v>2138</v>
      </c>
      <c r="X2278" s="160">
        <v>0</v>
      </c>
      <c r="Y2278" s="160">
        <v>0</v>
      </c>
      <c r="Z2278" s="160">
        <v>0</v>
      </c>
      <c r="AA2278" s="160">
        <v>0</v>
      </c>
    </row>
    <row r="2279" spans="1:27" ht="18" customHeight="1" x14ac:dyDescent="0.25">
      <c r="A2279" s="159">
        <v>6047</v>
      </c>
      <c r="B2279" s="157" t="s">
        <v>77</v>
      </c>
      <c r="C2279" s="157" t="s">
        <v>136</v>
      </c>
      <c r="D2279" s="159" t="s">
        <v>139</v>
      </c>
      <c r="E2279" s="157" t="s">
        <v>137</v>
      </c>
      <c r="F2279" s="157" t="s">
        <v>1275</v>
      </c>
      <c r="G2279" s="157" t="s">
        <v>1278</v>
      </c>
      <c r="H2279" s="157" t="s">
        <v>1347</v>
      </c>
      <c r="I2279" s="157" t="s">
        <v>1849</v>
      </c>
      <c r="J2279" s="157" t="s">
        <v>1844</v>
      </c>
      <c r="K2279" s="157" t="s">
        <v>1312</v>
      </c>
      <c r="L2279" s="157" t="s">
        <v>8675</v>
      </c>
      <c r="M2279" s="157" t="str">
        <f t="shared" si="48"/>
        <v>Sensor Hall Tilt - Driver - Seat Tilt Adjustment Driver</v>
      </c>
      <c r="N2279" s="157"/>
      <c r="O2279" s="157"/>
      <c r="P2279" s="159" t="s">
        <v>7086</v>
      </c>
      <c r="Q2279" s="157" t="s">
        <v>2115</v>
      </c>
      <c r="R2279" s="157" t="s">
        <v>2124</v>
      </c>
      <c r="S2279" s="157" t="s">
        <v>8608</v>
      </c>
      <c r="T2279" s="157"/>
      <c r="U2279" s="159" t="s">
        <v>2129</v>
      </c>
      <c r="V2279" s="159" t="s">
        <v>2129</v>
      </c>
      <c r="W2279" s="159" t="s">
        <v>2138</v>
      </c>
      <c r="X2279" s="160">
        <v>0</v>
      </c>
      <c r="Y2279" s="160">
        <v>0</v>
      </c>
      <c r="Z2279" s="160">
        <v>0</v>
      </c>
      <c r="AA2279" s="160">
        <v>0</v>
      </c>
    </row>
    <row r="2280" spans="1:27" ht="18" customHeight="1" x14ac:dyDescent="0.25">
      <c r="A2280" s="159">
        <v>6048</v>
      </c>
      <c r="B2280" s="157" t="s">
        <v>77</v>
      </c>
      <c r="C2280" s="157" t="s">
        <v>136</v>
      </c>
      <c r="D2280" s="159" t="s">
        <v>139</v>
      </c>
      <c r="E2280" s="157" t="s">
        <v>137</v>
      </c>
      <c r="F2280" s="157" t="s">
        <v>1275</v>
      </c>
      <c r="G2280" s="157" t="s">
        <v>1278</v>
      </c>
      <c r="H2280" s="157" t="s">
        <v>1347</v>
      </c>
      <c r="I2280" s="157" t="s">
        <v>1850</v>
      </c>
      <c r="J2280" s="157" t="s">
        <v>1844</v>
      </c>
      <c r="K2280" s="157" t="s">
        <v>1312</v>
      </c>
      <c r="L2280" s="157" t="s">
        <v>8667</v>
      </c>
      <c r="M2280" s="157" t="str">
        <f t="shared" si="48"/>
        <v>Sensor Hall Length - Driver - Seat Length Adjustment Driver</v>
      </c>
      <c r="N2280" s="157"/>
      <c r="O2280" s="157"/>
      <c r="P2280" s="159" t="s">
        <v>7086</v>
      </c>
      <c r="Q2280" s="157" t="s">
        <v>2115</v>
      </c>
      <c r="R2280" s="157" t="s">
        <v>2124</v>
      </c>
      <c r="S2280" s="157" t="s">
        <v>8608</v>
      </c>
      <c r="T2280" s="157"/>
      <c r="U2280" s="159" t="s">
        <v>2129</v>
      </c>
      <c r="V2280" s="159" t="s">
        <v>2129</v>
      </c>
      <c r="W2280" s="159" t="s">
        <v>2138</v>
      </c>
      <c r="X2280" s="160">
        <v>0</v>
      </c>
      <c r="Y2280" s="160">
        <v>0</v>
      </c>
      <c r="Z2280" s="160">
        <v>0</v>
      </c>
      <c r="AA2280" s="160">
        <v>0</v>
      </c>
    </row>
    <row r="2281" spans="1:27" ht="18" customHeight="1" x14ac:dyDescent="0.25">
      <c r="A2281" s="159">
        <v>6049</v>
      </c>
      <c r="B2281" s="157" t="s">
        <v>77</v>
      </c>
      <c r="C2281" s="157" t="s">
        <v>136</v>
      </c>
      <c r="D2281" s="159" t="s">
        <v>139</v>
      </c>
      <c r="E2281" s="157" t="s">
        <v>137</v>
      </c>
      <c r="F2281" s="157" t="s">
        <v>1275</v>
      </c>
      <c r="G2281" s="157" t="s">
        <v>1278</v>
      </c>
      <c r="H2281" s="157" t="s">
        <v>1347</v>
      </c>
      <c r="I2281" s="157" t="s">
        <v>1849</v>
      </c>
      <c r="J2281" s="157" t="s">
        <v>1844</v>
      </c>
      <c r="K2281" s="157" t="s">
        <v>1269</v>
      </c>
      <c r="L2281" s="157" t="s">
        <v>8677</v>
      </c>
      <c r="M2281" s="157" t="str">
        <f t="shared" si="48"/>
        <v>Seat Tilt Motor - Driver - Seat Tilt Adjustment Driver</v>
      </c>
      <c r="N2281" s="157"/>
      <c r="O2281" s="157"/>
      <c r="P2281" s="159" t="s">
        <v>7086</v>
      </c>
      <c r="Q2281" s="157" t="s">
        <v>2115</v>
      </c>
      <c r="R2281" s="157" t="s">
        <v>2121</v>
      </c>
      <c r="S2281" s="157" t="s">
        <v>8632</v>
      </c>
      <c r="T2281" s="157"/>
      <c r="U2281" s="159" t="s">
        <v>2129</v>
      </c>
      <c r="V2281" s="159" t="s">
        <v>2129</v>
      </c>
      <c r="W2281" s="159" t="s">
        <v>2138</v>
      </c>
      <c r="X2281" s="160">
        <v>0</v>
      </c>
      <c r="Y2281" s="160">
        <v>0</v>
      </c>
      <c r="Z2281" s="160">
        <v>0</v>
      </c>
      <c r="AA2281" s="160">
        <v>0</v>
      </c>
    </row>
    <row r="2282" spans="1:27" ht="18" customHeight="1" x14ac:dyDescent="0.25">
      <c r="A2282" s="159">
        <v>6050</v>
      </c>
      <c r="B2282" s="157" t="s">
        <v>77</v>
      </c>
      <c r="C2282" s="157" t="s">
        <v>136</v>
      </c>
      <c r="D2282" s="159" t="s">
        <v>139</v>
      </c>
      <c r="E2282" s="157" t="s">
        <v>137</v>
      </c>
      <c r="F2282" s="157" t="s">
        <v>1275</v>
      </c>
      <c r="G2282" s="157" t="s">
        <v>1278</v>
      </c>
      <c r="H2282" s="157" t="s">
        <v>1347</v>
      </c>
      <c r="I2282" s="157" t="s">
        <v>1850</v>
      </c>
      <c r="J2282" s="157" t="s">
        <v>1844</v>
      </c>
      <c r="K2282" s="157" t="s">
        <v>1269</v>
      </c>
      <c r="L2282" s="157" t="s">
        <v>8668</v>
      </c>
      <c r="M2282" s="157" t="str">
        <f t="shared" si="48"/>
        <v>Seat Length Motor - Driver - Seat Length Adjustment Driver</v>
      </c>
      <c r="N2282" s="157"/>
      <c r="O2282" s="157"/>
      <c r="P2282" s="159" t="s">
        <v>7086</v>
      </c>
      <c r="Q2282" s="157" t="s">
        <v>2115</v>
      </c>
      <c r="R2282" s="157" t="s">
        <v>2121</v>
      </c>
      <c r="S2282" s="157" t="s">
        <v>8632</v>
      </c>
      <c r="T2282" s="157"/>
      <c r="U2282" s="159" t="s">
        <v>2129</v>
      </c>
      <c r="V2282" s="159" t="s">
        <v>2129</v>
      </c>
      <c r="W2282" s="159" t="s">
        <v>2138</v>
      </c>
      <c r="X2282" s="160">
        <v>0</v>
      </c>
      <c r="Y2282" s="160">
        <v>0</v>
      </c>
      <c r="Z2282" s="160">
        <v>0</v>
      </c>
      <c r="AA2282" s="160">
        <v>0</v>
      </c>
    </row>
    <row r="2283" spans="1:27" ht="18" customHeight="1" x14ac:dyDescent="0.25">
      <c r="A2283" s="159">
        <v>6051</v>
      </c>
      <c r="B2283" s="157" t="s">
        <v>77</v>
      </c>
      <c r="C2283" s="157" t="s">
        <v>136</v>
      </c>
      <c r="D2283" s="159" t="s">
        <v>139</v>
      </c>
      <c r="E2283" s="157" t="s">
        <v>137</v>
      </c>
      <c r="F2283" s="157" t="s">
        <v>1275</v>
      </c>
      <c r="G2283" s="157" t="s">
        <v>1278</v>
      </c>
      <c r="H2283" s="157" t="s">
        <v>1347</v>
      </c>
      <c r="I2283" s="157" t="s">
        <v>1851</v>
      </c>
      <c r="J2283" s="157" t="s">
        <v>1844</v>
      </c>
      <c r="K2283" s="157" t="s">
        <v>1269</v>
      </c>
      <c r="L2283" s="157" t="s">
        <v>8679</v>
      </c>
      <c r="M2283" s="157" t="str">
        <f t="shared" si="48"/>
        <v>Seat Depth Motor - Driver - Seat Depth Adjustment Driver</v>
      </c>
      <c r="N2283" s="157"/>
      <c r="O2283" s="157"/>
      <c r="P2283" s="159" t="s">
        <v>7086</v>
      </c>
      <c r="Q2283" s="157" t="s">
        <v>2115</v>
      </c>
      <c r="R2283" s="157" t="s">
        <v>2121</v>
      </c>
      <c r="S2283" s="157" t="s">
        <v>8632</v>
      </c>
      <c r="T2283" s="157"/>
      <c r="U2283" s="159" t="s">
        <v>2129</v>
      </c>
      <c r="V2283" s="159" t="s">
        <v>2129</v>
      </c>
      <c r="W2283" s="159" t="s">
        <v>2138</v>
      </c>
      <c r="X2283" s="160">
        <v>0</v>
      </c>
      <c r="Y2283" s="160">
        <v>0</v>
      </c>
      <c r="Z2283" s="160">
        <v>0</v>
      </c>
      <c r="AA2283" s="160">
        <v>0</v>
      </c>
    </row>
    <row r="2284" spans="1:27" ht="18" customHeight="1" x14ac:dyDescent="0.25">
      <c r="A2284" s="159">
        <v>6052</v>
      </c>
      <c r="B2284" s="157" t="s">
        <v>77</v>
      </c>
      <c r="C2284" s="157" t="s">
        <v>136</v>
      </c>
      <c r="D2284" s="159" t="s">
        <v>139</v>
      </c>
      <c r="E2284" s="157" t="s">
        <v>137</v>
      </c>
      <c r="F2284" s="157" t="s">
        <v>1275</v>
      </c>
      <c r="G2284" s="157" t="s">
        <v>1278</v>
      </c>
      <c r="H2284" s="157" t="s">
        <v>1347</v>
      </c>
      <c r="I2284" s="157" t="s">
        <v>1848</v>
      </c>
      <c r="J2284" s="157" t="s">
        <v>1844</v>
      </c>
      <c r="K2284" s="157" t="s">
        <v>1269</v>
      </c>
      <c r="L2284" s="157" t="s">
        <v>8672</v>
      </c>
      <c r="M2284" s="157" t="str">
        <f t="shared" si="48"/>
        <v>Seat Height Motor - Driver - Seat Height Adjustment Driver</v>
      </c>
      <c r="N2284" s="157"/>
      <c r="O2284" s="157"/>
      <c r="P2284" s="159" t="s">
        <v>7086</v>
      </c>
      <c r="Q2284" s="157" t="s">
        <v>2115</v>
      </c>
      <c r="R2284" s="157" t="s">
        <v>2121</v>
      </c>
      <c r="S2284" s="157" t="s">
        <v>8632</v>
      </c>
      <c r="T2284" s="157"/>
      <c r="U2284" s="159" t="s">
        <v>2129</v>
      </c>
      <c r="V2284" s="159" t="s">
        <v>2129</v>
      </c>
      <c r="W2284" s="159" t="s">
        <v>2138</v>
      </c>
      <c r="X2284" s="160">
        <v>0</v>
      </c>
      <c r="Y2284" s="160">
        <v>0</v>
      </c>
      <c r="Z2284" s="160">
        <v>0</v>
      </c>
      <c r="AA2284" s="160">
        <v>0</v>
      </c>
    </row>
    <row r="2285" spans="1:27" ht="18" customHeight="1" x14ac:dyDescent="0.25">
      <c r="A2285" s="159">
        <v>6053</v>
      </c>
      <c r="B2285" s="157" t="s">
        <v>77</v>
      </c>
      <c r="C2285" s="157" t="s">
        <v>136</v>
      </c>
      <c r="D2285" s="159" t="s">
        <v>139</v>
      </c>
      <c r="E2285" s="157" t="s">
        <v>137</v>
      </c>
      <c r="F2285" s="157" t="s">
        <v>1275</v>
      </c>
      <c r="G2285" s="157" t="s">
        <v>1278</v>
      </c>
      <c r="H2285" s="157" t="s">
        <v>1347</v>
      </c>
      <c r="I2285" s="157" t="s">
        <v>1851</v>
      </c>
      <c r="J2285" s="157" t="s">
        <v>1844</v>
      </c>
      <c r="K2285" s="157" t="s">
        <v>1312</v>
      </c>
      <c r="L2285" s="157" t="s">
        <v>8680</v>
      </c>
      <c r="M2285" s="157" t="str">
        <f t="shared" si="48"/>
        <v>Sensor Hall Depth - Driver - Seat Depth Adjustment Driver</v>
      </c>
      <c r="N2285" s="157"/>
      <c r="O2285" s="157"/>
      <c r="P2285" s="159" t="s">
        <v>7086</v>
      </c>
      <c r="Q2285" s="157" t="s">
        <v>2115</v>
      </c>
      <c r="R2285" s="157" t="s">
        <v>2124</v>
      </c>
      <c r="S2285" s="157" t="s">
        <v>8608</v>
      </c>
      <c r="T2285" s="157"/>
      <c r="U2285" s="159" t="s">
        <v>2129</v>
      </c>
      <c r="V2285" s="159" t="s">
        <v>2129</v>
      </c>
      <c r="W2285" s="159" t="s">
        <v>2138</v>
      </c>
      <c r="X2285" s="160">
        <v>0</v>
      </c>
      <c r="Y2285" s="160">
        <v>0</v>
      </c>
      <c r="Z2285" s="160">
        <v>0</v>
      </c>
      <c r="AA2285" s="160">
        <v>0</v>
      </c>
    </row>
    <row r="2286" spans="1:27" ht="18" customHeight="1" x14ac:dyDescent="0.25">
      <c r="A2286" s="159">
        <v>6054</v>
      </c>
      <c r="B2286" s="157" t="s">
        <v>77</v>
      </c>
      <c r="C2286" s="157" t="s">
        <v>136</v>
      </c>
      <c r="D2286" s="159" t="s">
        <v>1057</v>
      </c>
      <c r="E2286" s="157" t="s">
        <v>1055</v>
      </c>
      <c r="F2286" s="157" t="s">
        <v>1264</v>
      </c>
      <c r="G2286" s="157" t="s">
        <v>1278</v>
      </c>
      <c r="H2286" s="157" t="s">
        <v>1308</v>
      </c>
      <c r="I2286" s="157" t="s">
        <v>1852</v>
      </c>
      <c r="J2286" s="157" t="s">
        <v>1853</v>
      </c>
      <c r="K2286" s="157" t="s">
        <v>1281</v>
      </c>
      <c r="L2286" s="157" t="s">
        <v>8661</v>
      </c>
      <c r="M2286" s="157" t="str">
        <f t="shared" si="48"/>
        <v>Massage Switch - User Selector - Driver - Command Driver</v>
      </c>
      <c r="N2286" s="157"/>
      <c r="O2286" s="157"/>
      <c r="P2286" s="159" t="s">
        <v>5841</v>
      </c>
      <c r="Q2286" s="157" t="s">
        <v>2115</v>
      </c>
      <c r="R2286" s="157" t="s">
        <v>8577</v>
      </c>
      <c r="S2286" s="157" t="s">
        <v>8606</v>
      </c>
      <c r="T2286" s="157"/>
      <c r="U2286" s="159" t="s">
        <v>2129</v>
      </c>
      <c r="V2286" s="159" t="s">
        <v>2129</v>
      </c>
      <c r="W2286" s="159" t="s">
        <v>2138</v>
      </c>
      <c r="X2286" s="160">
        <f>2/20</f>
        <v>0.1</v>
      </c>
      <c r="Y2286" s="160">
        <f>5/20</f>
        <v>0.25</v>
      </c>
      <c r="Z2286" s="160">
        <f>2/20</f>
        <v>0.1</v>
      </c>
      <c r="AA2286" s="160">
        <f>5/20</f>
        <v>0.25</v>
      </c>
    </row>
    <row r="2287" spans="1:27" ht="18" customHeight="1" x14ac:dyDescent="0.25">
      <c r="A2287" s="159">
        <v>6055</v>
      </c>
      <c r="B2287" s="157" t="s">
        <v>77</v>
      </c>
      <c r="C2287" s="157" t="s">
        <v>136</v>
      </c>
      <c r="D2287" s="159" t="s">
        <v>139</v>
      </c>
      <c r="E2287" s="157" t="s">
        <v>137</v>
      </c>
      <c r="F2287" s="157" t="s">
        <v>1275</v>
      </c>
      <c r="G2287" s="157" t="s">
        <v>1278</v>
      </c>
      <c r="H2287" s="157" t="s">
        <v>1347</v>
      </c>
      <c r="I2287" s="157" t="s">
        <v>1852</v>
      </c>
      <c r="J2287" s="157" t="s">
        <v>1844</v>
      </c>
      <c r="K2287" s="157" t="s">
        <v>1281</v>
      </c>
      <c r="L2287" s="157" t="s">
        <v>1854</v>
      </c>
      <c r="M2287" s="157" t="str">
        <f t="shared" si="48"/>
        <v>Mutifunction Switch - User Selector - Command Driver</v>
      </c>
      <c r="N2287" s="157"/>
      <c r="O2287" s="157"/>
      <c r="P2287" s="159"/>
      <c r="Q2287" s="157"/>
      <c r="R2287" s="157"/>
      <c r="S2287" s="157"/>
      <c r="T2287" s="157"/>
      <c r="U2287" s="159"/>
      <c r="V2287" s="159"/>
      <c r="W2287" s="159"/>
      <c r="X2287" s="160"/>
      <c r="Y2287" s="160"/>
      <c r="Z2287" s="160"/>
      <c r="AA2287" s="160"/>
    </row>
    <row r="2288" spans="1:27" ht="18" customHeight="1" x14ac:dyDescent="0.25">
      <c r="A2288" s="159">
        <v>6056</v>
      </c>
      <c r="B2288" s="157" t="s">
        <v>77</v>
      </c>
      <c r="C2288" s="157" t="s">
        <v>136</v>
      </c>
      <c r="D2288" s="159" t="s">
        <v>139</v>
      </c>
      <c r="E2288" s="157" t="s">
        <v>137</v>
      </c>
      <c r="F2288" s="157" t="s">
        <v>1275</v>
      </c>
      <c r="G2288" s="157" t="s">
        <v>1278</v>
      </c>
      <c r="H2288" s="157" t="s">
        <v>1347</v>
      </c>
      <c r="I2288" s="157" t="s">
        <v>1855</v>
      </c>
      <c r="J2288" s="157" t="s">
        <v>1844</v>
      </c>
      <c r="K2288" s="157" t="s">
        <v>1269</v>
      </c>
      <c r="L2288" s="157" t="s">
        <v>8663</v>
      </c>
      <c r="M2288" s="157" t="str">
        <f t="shared" si="48"/>
        <v>Seat Backrest Motor - Driver - Seat Backrest Adjustment Driver</v>
      </c>
      <c r="N2288" s="157"/>
      <c r="O2288" s="157"/>
      <c r="P2288" s="159" t="s">
        <v>7086</v>
      </c>
      <c r="Q2288" s="157" t="s">
        <v>2115</v>
      </c>
      <c r="R2288" s="157" t="s">
        <v>2121</v>
      </c>
      <c r="S2288" s="157" t="s">
        <v>8632</v>
      </c>
      <c r="T2288" s="157"/>
      <c r="U2288" s="159" t="s">
        <v>2129</v>
      </c>
      <c r="V2288" s="159" t="s">
        <v>2129</v>
      </c>
      <c r="W2288" s="159" t="s">
        <v>2138</v>
      </c>
      <c r="X2288" s="160">
        <v>0</v>
      </c>
      <c r="Y2288" s="160">
        <v>0</v>
      </c>
      <c r="Z2288" s="160">
        <v>0</v>
      </c>
      <c r="AA2288" s="160">
        <v>0</v>
      </c>
    </row>
    <row r="2289" spans="1:27" ht="18" customHeight="1" x14ac:dyDescent="0.25">
      <c r="A2289" s="159">
        <v>6057</v>
      </c>
      <c r="B2289" s="157" t="s">
        <v>77</v>
      </c>
      <c r="C2289" s="157" t="s">
        <v>136</v>
      </c>
      <c r="D2289" s="159" t="s">
        <v>139</v>
      </c>
      <c r="E2289" s="157" t="s">
        <v>137</v>
      </c>
      <c r="F2289" s="157" t="s">
        <v>1275</v>
      </c>
      <c r="G2289" s="157" t="s">
        <v>1278</v>
      </c>
      <c r="H2289" s="157" t="s">
        <v>1347</v>
      </c>
      <c r="I2289" s="157" t="s">
        <v>1856</v>
      </c>
      <c r="J2289" s="157" t="s">
        <v>1844</v>
      </c>
      <c r="K2289" s="157" t="s">
        <v>1281</v>
      </c>
      <c r="L2289" s="157" t="s">
        <v>1857</v>
      </c>
      <c r="M2289" s="157" t="str">
        <f t="shared" si="48"/>
        <v>Easy Entry Switch - User Selector - Easy Entry Driver</v>
      </c>
      <c r="N2289" s="157"/>
      <c r="O2289" s="157"/>
      <c r="P2289" s="159"/>
      <c r="Q2289" s="157"/>
      <c r="R2289" s="157"/>
      <c r="S2289" s="157"/>
      <c r="T2289" s="157"/>
      <c r="U2289" s="159"/>
      <c r="V2289" s="159"/>
      <c r="W2289" s="159"/>
      <c r="X2289" s="160"/>
      <c r="Y2289" s="160"/>
      <c r="Z2289" s="160"/>
      <c r="AA2289" s="160"/>
    </row>
    <row r="2290" spans="1:27" ht="18" customHeight="1" x14ac:dyDescent="0.25">
      <c r="A2290" s="159">
        <v>6058</v>
      </c>
      <c r="B2290" s="157" t="s">
        <v>77</v>
      </c>
      <c r="C2290" s="157" t="s">
        <v>136</v>
      </c>
      <c r="D2290" s="159" t="s">
        <v>139</v>
      </c>
      <c r="E2290" s="157" t="s">
        <v>137</v>
      </c>
      <c r="F2290" s="157" t="s">
        <v>1275</v>
      </c>
      <c r="G2290" s="157" t="s">
        <v>1278</v>
      </c>
      <c r="H2290" s="157" t="s">
        <v>1347</v>
      </c>
      <c r="I2290" s="157" t="s">
        <v>1855</v>
      </c>
      <c r="J2290" s="157" t="s">
        <v>1844</v>
      </c>
      <c r="K2290" s="157" t="s">
        <v>1312</v>
      </c>
      <c r="L2290" s="157" t="s">
        <v>8666</v>
      </c>
      <c r="M2290" s="157" t="str">
        <f t="shared" si="48"/>
        <v>Sensor Hall Seat Backrest - Driver - Seat Backrest Adjustment Driver</v>
      </c>
      <c r="N2290" s="157"/>
      <c r="O2290" s="157"/>
      <c r="P2290" s="159" t="s">
        <v>7086</v>
      </c>
      <c r="Q2290" s="157" t="s">
        <v>2115</v>
      </c>
      <c r="R2290" s="157" t="s">
        <v>2124</v>
      </c>
      <c r="S2290" s="157" t="s">
        <v>8608</v>
      </c>
      <c r="T2290" s="157"/>
      <c r="U2290" s="159" t="s">
        <v>2129</v>
      </c>
      <c r="V2290" s="159" t="s">
        <v>2129</v>
      </c>
      <c r="W2290" s="159" t="s">
        <v>2138</v>
      </c>
      <c r="X2290" s="160">
        <v>0</v>
      </c>
      <c r="Y2290" s="160">
        <v>0</v>
      </c>
      <c r="Z2290" s="160">
        <v>0</v>
      </c>
      <c r="AA2290" s="160">
        <v>0</v>
      </c>
    </row>
    <row r="2291" spans="1:27" ht="18" customHeight="1" x14ac:dyDescent="0.25">
      <c r="A2291" s="159">
        <v>6059</v>
      </c>
      <c r="B2291" s="157" t="s">
        <v>77</v>
      </c>
      <c r="C2291" s="157" t="s">
        <v>136</v>
      </c>
      <c r="D2291" s="159" t="s">
        <v>567</v>
      </c>
      <c r="E2291" s="157" t="s">
        <v>565</v>
      </c>
      <c r="F2291" s="157" t="s">
        <v>1275</v>
      </c>
      <c r="G2291" s="157" t="s">
        <v>1278</v>
      </c>
      <c r="H2291" s="157" t="s">
        <v>1347</v>
      </c>
      <c r="I2291" s="157" t="s">
        <v>1858</v>
      </c>
      <c r="J2291" s="157" t="s">
        <v>1844</v>
      </c>
      <c r="K2291" s="157" t="s">
        <v>1312</v>
      </c>
      <c r="L2291" s="157" t="s">
        <v>8673</v>
      </c>
      <c r="M2291" s="157" t="str">
        <f t="shared" si="48"/>
        <v>Sensor Hall Height - Passenger - Seat Height Adjustment Passenger</v>
      </c>
      <c r="N2291" s="157"/>
      <c r="O2291" s="157"/>
      <c r="P2291" s="159" t="s">
        <v>4448</v>
      </c>
      <c r="Q2291" s="157" t="s">
        <v>2115</v>
      </c>
      <c r="R2291" s="157" t="s">
        <v>2124</v>
      </c>
      <c r="S2291" s="157" t="s">
        <v>8608</v>
      </c>
      <c r="T2291" s="157"/>
      <c r="U2291" s="159" t="s">
        <v>2129</v>
      </c>
      <c r="V2291" s="159" t="s">
        <v>2129</v>
      </c>
      <c r="W2291" s="159" t="s">
        <v>2138</v>
      </c>
      <c r="X2291" s="160">
        <v>0</v>
      </c>
      <c r="Y2291" s="160">
        <v>0</v>
      </c>
      <c r="Z2291" s="160">
        <v>0</v>
      </c>
      <c r="AA2291" s="160">
        <v>0</v>
      </c>
    </row>
    <row r="2292" spans="1:27" ht="18" customHeight="1" x14ac:dyDescent="0.25">
      <c r="A2292" s="159">
        <v>6060</v>
      </c>
      <c r="B2292" s="157" t="s">
        <v>77</v>
      </c>
      <c r="C2292" s="157" t="s">
        <v>136</v>
      </c>
      <c r="D2292" s="159" t="s">
        <v>567</v>
      </c>
      <c r="E2292" s="157" t="s">
        <v>565</v>
      </c>
      <c r="F2292" s="157" t="s">
        <v>1275</v>
      </c>
      <c r="G2292" s="157" t="s">
        <v>1278</v>
      </c>
      <c r="H2292" s="157" t="s">
        <v>1347</v>
      </c>
      <c r="I2292" s="157" t="s">
        <v>1859</v>
      </c>
      <c r="J2292" s="157" t="s">
        <v>1844</v>
      </c>
      <c r="K2292" s="157" t="s">
        <v>1312</v>
      </c>
      <c r="L2292" s="157" t="s">
        <v>8676</v>
      </c>
      <c r="M2292" s="157" t="str">
        <f t="shared" si="48"/>
        <v>Sensor Hall Tilt - Passenger - Seat Tilt Adjustment Passenger</v>
      </c>
      <c r="N2292" s="157"/>
      <c r="O2292" s="157"/>
      <c r="P2292" s="159" t="s">
        <v>4448</v>
      </c>
      <c r="Q2292" s="157" t="s">
        <v>2115</v>
      </c>
      <c r="R2292" s="157" t="s">
        <v>2124</v>
      </c>
      <c r="S2292" s="157" t="s">
        <v>8608</v>
      </c>
      <c r="T2292" s="157"/>
      <c r="U2292" s="159" t="s">
        <v>2129</v>
      </c>
      <c r="V2292" s="159" t="s">
        <v>2129</v>
      </c>
      <c r="W2292" s="159" t="s">
        <v>2138</v>
      </c>
      <c r="X2292" s="160">
        <v>0</v>
      </c>
      <c r="Y2292" s="160">
        <v>0</v>
      </c>
      <c r="Z2292" s="160">
        <v>0</v>
      </c>
      <c r="AA2292" s="160">
        <v>0</v>
      </c>
    </row>
    <row r="2293" spans="1:27" ht="18" customHeight="1" x14ac:dyDescent="0.25">
      <c r="A2293" s="159">
        <v>6061</v>
      </c>
      <c r="B2293" s="157" t="s">
        <v>77</v>
      </c>
      <c r="C2293" s="157" t="s">
        <v>136</v>
      </c>
      <c r="D2293" s="159" t="s">
        <v>567</v>
      </c>
      <c r="E2293" s="157" t="s">
        <v>565</v>
      </c>
      <c r="F2293" s="157" t="s">
        <v>1275</v>
      </c>
      <c r="G2293" s="157" t="s">
        <v>1278</v>
      </c>
      <c r="H2293" s="157" t="s">
        <v>1347</v>
      </c>
      <c r="I2293" s="157" t="s">
        <v>1860</v>
      </c>
      <c r="J2293" s="157" t="s">
        <v>1844</v>
      </c>
      <c r="K2293" s="157" t="s">
        <v>1312</v>
      </c>
      <c r="L2293" s="157" t="s">
        <v>8669</v>
      </c>
      <c r="M2293" s="157" t="str">
        <f t="shared" si="48"/>
        <v>Sensor Hall Length - Passenger - Seat Length Adjustment Passenger</v>
      </c>
      <c r="N2293" s="157"/>
      <c r="O2293" s="157"/>
      <c r="P2293" s="159" t="s">
        <v>4448</v>
      </c>
      <c r="Q2293" s="157" t="s">
        <v>2115</v>
      </c>
      <c r="R2293" s="157" t="s">
        <v>2124</v>
      </c>
      <c r="S2293" s="157" t="s">
        <v>8608</v>
      </c>
      <c r="T2293" s="157"/>
      <c r="U2293" s="159" t="s">
        <v>2129</v>
      </c>
      <c r="V2293" s="159" t="s">
        <v>2129</v>
      </c>
      <c r="W2293" s="159" t="s">
        <v>2138</v>
      </c>
      <c r="X2293" s="160">
        <v>0</v>
      </c>
      <c r="Y2293" s="160">
        <v>0</v>
      </c>
      <c r="Z2293" s="160">
        <v>0</v>
      </c>
      <c r="AA2293" s="160">
        <v>0</v>
      </c>
    </row>
    <row r="2294" spans="1:27" ht="18" customHeight="1" x14ac:dyDescent="0.25">
      <c r="A2294" s="159">
        <v>6062</v>
      </c>
      <c r="B2294" s="157" t="s">
        <v>77</v>
      </c>
      <c r="C2294" s="157" t="s">
        <v>136</v>
      </c>
      <c r="D2294" s="159" t="s">
        <v>567</v>
      </c>
      <c r="E2294" s="157" t="s">
        <v>565</v>
      </c>
      <c r="F2294" s="157" t="s">
        <v>1275</v>
      </c>
      <c r="G2294" s="157" t="s">
        <v>1278</v>
      </c>
      <c r="H2294" s="157" t="s">
        <v>1347</v>
      </c>
      <c r="I2294" s="157" t="s">
        <v>1859</v>
      </c>
      <c r="J2294" s="157" t="s">
        <v>1844</v>
      </c>
      <c r="K2294" s="157" t="s">
        <v>1269</v>
      </c>
      <c r="L2294" s="157" t="s">
        <v>8678</v>
      </c>
      <c r="M2294" s="157" t="str">
        <f t="shared" si="48"/>
        <v>Seat Tilt Motor - Passenger - Seat Tilt Adjustment Passenger</v>
      </c>
      <c r="N2294" s="157"/>
      <c r="O2294" s="157"/>
      <c r="P2294" s="159" t="s">
        <v>4448</v>
      </c>
      <c r="Q2294" s="157" t="s">
        <v>2115</v>
      </c>
      <c r="R2294" s="157" t="s">
        <v>2121</v>
      </c>
      <c r="S2294" s="157" t="s">
        <v>8632</v>
      </c>
      <c r="T2294" s="157"/>
      <c r="U2294" s="159" t="s">
        <v>2129</v>
      </c>
      <c r="V2294" s="159" t="s">
        <v>2129</v>
      </c>
      <c r="W2294" s="159" t="s">
        <v>2138</v>
      </c>
      <c r="X2294" s="160">
        <v>0</v>
      </c>
      <c r="Y2294" s="160">
        <v>0</v>
      </c>
      <c r="Z2294" s="160">
        <v>0</v>
      </c>
      <c r="AA2294" s="160">
        <v>0</v>
      </c>
    </row>
    <row r="2295" spans="1:27" ht="18" customHeight="1" x14ac:dyDescent="0.25">
      <c r="A2295" s="159">
        <v>6063</v>
      </c>
      <c r="B2295" s="157" t="s">
        <v>77</v>
      </c>
      <c r="C2295" s="157" t="s">
        <v>136</v>
      </c>
      <c r="D2295" s="159" t="s">
        <v>567</v>
      </c>
      <c r="E2295" s="157" t="s">
        <v>565</v>
      </c>
      <c r="F2295" s="157" t="s">
        <v>1275</v>
      </c>
      <c r="G2295" s="157" t="s">
        <v>1278</v>
      </c>
      <c r="H2295" s="157" t="s">
        <v>1347</v>
      </c>
      <c r="I2295" s="157" t="s">
        <v>1860</v>
      </c>
      <c r="J2295" s="157" t="s">
        <v>1844</v>
      </c>
      <c r="K2295" s="157" t="s">
        <v>1269</v>
      </c>
      <c r="L2295" s="157" t="s">
        <v>8670</v>
      </c>
      <c r="M2295" s="157" t="str">
        <f t="shared" si="48"/>
        <v>Seat Length Motor - Passenger - Seat Length Adjustment Passenger</v>
      </c>
      <c r="N2295" s="157"/>
      <c r="O2295" s="157"/>
      <c r="P2295" s="159" t="s">
        <v>4448</v>
      </c>
      <c r="Q2295" s="157" t="s">
        <v>2115</v>
      </c>
      <c r="R2295" s="157" t="s">
        <v>2121</v>
      </c>
      <c r="S2295" s="157" t="s">
        <v>8632</v>
      </c>
      <c r="T2295" s="157"/>
      <c r="U2295" s="159" t="s">
        <v>2129</v>
      </c>
      <c r="V2295" s="159" t="s">
        <v>2129</v>
      </c>
      <c r="W2295" s="159" t="s">
        <v>2138</v>
      </c>
      <c r="X2295" s="160">
        <v>0</v>
      </c>
      <c r="Y2295" s="160">
        <v>0</v>
      </c>
      <c r="Z2295" s="160">
        <v>0</v>
      </c>
      <c r="AA2295" s="160">
        <v>0</v>
      </c>
    </row>
    <row r="2296" spans="1:27" ht="18" customHeight="1" x14ac:dyDescent="0.25">
      <c r="A2296" s="159">
        <v>6064</v>
      </c>
      <c r="B2296" s="157" t="s">
        <v>77</v>
      </c>
      <c r="C2296" s="157" t="s">
        <v>136</v>
      </c>
      <c r="D2296" s="159" t="s">
        <v>567</v>
      </c>
      <c r="E2296" s="157" t="s">
        <v>565</v>
      </c>
      <c r="F2296" s="157" t="s">
        <v>1275</v>
      </c>
      <c r="G2296" s="157" t="s">
        <v>1278</v>
      </c>
      <c r="H2296" s="157" t="s">
        <v>1347</v>
      </c>
      <c r="I2296" s="157" t="s">
        <v>1861</v>
      </c>
      <c r="J2296" s="157" t="s">
        <v>1844</v>
      </c>
      <c r="K2296" s="157" t="s">
        <v>1269</v>
      </c>
      <c r="L2296" s="157" t="s">
        <v>8681</v>
      </c>
      <c r="M2296" s="157" t="str">
        <f t="shared" si="48"/>
        <v>Seat Depth Motor - Passenger - Seat Depth Adjustment Passenger</v>
      </c>
      <c r="N2296" s="157"/>
      <c r="O2296" s="157"/>
      <c r="P2296" s="159" t="s">
        <v>4448</v>
      </c>
      <c r="Q2296" s="157" t="s">
        <v>2115</v>
      </c>
      <c r="R2296" s="157" t="s">
        <v>2121</v>
      </c>
      <c r="S2296" s="157" t="s">
        <v>8632</v>
      </c>
      <c r="T2296" s="157"/>
      <c r="U2296" s="159" t="s">
        <v>2129</v>
      </c>
      <c r="V2296" s="159" t="s">
        <v>2129</v>
      </c>
      <c r="W2296" s="159" t="s">
        <v>2138</v>
      </c>
      <c r="X2296" s="160">
        <v>0</v>
      </c>
      <c r="Y2296" s="160">
        <v>0</v>
      </c>
      <c r="Z2296" s="160">
        <v>0</v>
      </c>
      <c r="AA2296" s="160">
        <v>0</v>
      </c>
    </row>
    <row r="2297" spans="1:27" ht="18" customHeight="1" x14ac:dyDescent="0.25">
      <c r="A2297" s="159">
        <v>6065</v>
      </c>
      <c r="B2297" s="157" t="s">
        <v>77</v>
      </c>
      <c r="C2297" s="157" t="s">
        <v>136</v>
      </c>
      <c r="D2297" s="159" t="s">
        <v>567</v>
      </c>
      <c r="E2297" s="157" t="s">
        <v>565</v>
      </c>
      <c r="F2297" s="157" t="s">
        <v>1275</v>
      </c>
      <c r="G2297" s="157" t="s">
        <v>1278</v>
      </c>
      <c r="H2297" s="157" t="s">
        <v>1347</v>
      </c>
      <c r="I2297" s="157" t="s">
        <v>1858</v>
      </c>
      <c r="J2297" s="157" t="s">
        <v>1844</v>
      </c>
      <c r="K2297" s="157" t="s">
        <v>1269</v>
      </c>
      <c r="L2297" s="157" t="s">
        <v>8674</v>
      </c>
      <c r="M2297" s="157" t="str">
        <f t="shared" si="48"/>
        <v>Seat Height Motor - Passenger - Seat Height Adjustment Passenger</v>
      </c>
      <c r="N2297" s="157"/>
      <c r="O2297" s="157"/>
      <c r="P2297" s="159" t="s">
        <v>4448</v>
      </c>
      <c r="Q2297" s="157" t="s">
        <v>2115</v>
      </c>
      <c r="R2297" s="157" t="s">
        <v>2121</v>
      </c>
      <c r="S2297" s="157" t="s">
        <v>8632</v>
      </c>
      <c r="T2297" s="157"/>
      <c r="U2297" s="159" t="s">
        <v>2129</v>
      </c>
      <c r="V2297" s="159" t="s">
        <v>2129</v>
      </c>
      <c r="W2297" s="159" t="s">
        <v>2138</v>
      </c>
      <c r="X2297" s="160">
        <v>0</v>
      </c>
      <c r="Y2297" s="160">
        <v>0</v>
      </c>
      <c r="Z2297" s="160">
        <v>0</v>
      </c>
      <c r="AA2297" s="160">
        <v>0</v>
      </c>
    </row>
    <row r="2298" spans="1:27" ht="18" customHeight="1" x14ac:dyDescent="0.25">
      <c r="A2298" s="159">
        <v>6067</v>
      </c>
      <c r="B2298" s="157" t="s">
        <v>77</v>
      </c>
      <c r="C2298" s="157" t="s">
        <v>136</v>
      </c>
      <c r="D2298" s="159" t="s">
        <v>1060</v>
      </c>
      <c r="E2298" s="157" t="s">
        <v>1058</v>
      </c>
      <c r="F2298" s="157" t="s">
        <v>1010</v>
      </c>
      <c r="G2298" s="157" t="s">
        <v>1278</v>
      </c>
      <c r="H2298" s="157" t="s">
        <v>1308</v>
      </c>
      <c r="I2298" s="157" t="s">
        <v>1862</v>
      </c>
      <c r="J2298" s="157" t="s">
        <v>1853</v>
      </c>
      <c r="K2298" s="157" t="s">
        <v>1281</v>
      </c>
      <c r="L2298" s="157" t="s">
        <v>8662</v>
      </c>
      <c r="M2298" s="157" t="str">
        <f t="shared" si="48"/>
        <v>Massage Switch - User Selector - Passenger - Command Passenger</v>
      </c>
      <c r="N2298" s="157"/>
      <c r="O2298" s="157"/>
      <c r="P2298" s="159" t="s">
        <v>5655</v>
      </c>
      <c r="Q2298" s="157" t="s">
        <v>2115</v>
      </c>
      <c r="R2298" s="157" t="s">
        <v>8577</v>
      </c>
      <c r="S2298" s="157" t="s">
        <v>8606</v>
      </c>
      <c r="T2298" s="157"/>
      <c r="U2298" s="159" t="s">
        <v>2129</v>
      </c>
      <c r="V2298" s="159" t="s">
        <v>2129</v>
      </c>
      <c r="W2298" s="159" t="s">
        <v>2138</v>
      </c>
      <c r="X2298" s="160">
        <f>2/20</f>
        <v>0.1</v>
      </c>
      <c r="Y2298" s="160">
        <f>5/20</f>
        <v>0.25</v>
      </c>
      <c r="Z2298" s="160">
        <f>2/20</f>
        <v>0.1</v>
      </c>
      <c r="AA2298" s="160">
        <f>5/20</f>
        <v>0.25</v>
      </c>
    </row>
    <row r="2299" spans="1:27" ht="18" customHeight="1" x14ac:dyDescent="0.25">
      <c r="A2299" s="159">
        <v>6068</v>
      </c>
      <c r="B2299" s="157" t="s">
        <v>77</v>
      </c>
      <c r="C2299" s="157" t="s">
        <v>136</v>
      </c>
      <c r="D2299" s="159" t="s">
        <v>567</v>
      </c>
      <c r="E2299" s="157" t="s">
        <v>565</v>
      </c>
      <c r="F2299" s="157" t="s">
        <v>1275</v>
      </c>
      <c r="G2299" s="157" t="s">
        <v>1278</v>
      </c>
      <c r="H2299" s="157" t="s">
        <v>1347</v>
      </c>
      <c r="I2299" s="157" t="s">
        <v>1862</v>
      </c>
      <c r="J2299" s="157" t="s">
        <v>1844</v>
      </c>
      <c r="K2299" s="157" t="s">
        <v>1281</v>
      </c>
      <c r="L2299" s="157" t="s">
        <v>1854</v>
      </c>
      <c r="M2299" s="157" t="str">
        <f t="shared" si="48"/>
        <v>Mutifunction Switch - User Selector - Command Passenger</v>
      </c>
      <c r="N2299" s="157"/>
      <c r="O2299" s="157"/>
      <c r="P2299" s="159"/>
      <c r="Q2299" s="157"/>
      <c r="R2299" s="157"/>
      <c r="S2299" s="157"/>
      <c r="T2299" s="157"/>
      <c r="U2299" s="159"/>
      <c r="V2299" s="159"/>
      <c r="W2299" s="159"/>
      <c r="X2299" s="160"/>
      <c r="Y2299" s="160"/>
      <c r="Z2299" s="160"/>
      <c r="AA2299" s="160"/>
    </row>
    <row r="2300" spans="1:27" ht="18" customHeight="1" x14ac:dyDescent="0.25">
      <c r="A2300" s="159">
        <v>6069</v>
      </c>
      <c r="B2300" s="157" t="s">
        <v>77</v>
      </c>
      <c r="C2300" s="157" t="s">
        <v>136</v>
      </c>
      <c r="D2300" s="159" t="s">
        <v>567</v>
      </c>
      <c r="E2300" s="157" t="s">
        <v>565</v>
      </c>
      <c r="F2300" s="157" t="s">
        <v>1275</v>
      </c>
      <c r="G2300" s="157" t="s">
        <v>1278</v>
      </c>
      <c r="H2300" s="157" t="s">
        <v>1347</v>
      </c>
      <c r="I2300" s="157" t="s">
        <v>1863</v>
      </c>
      <c r="J2300" s="157" t="s">
        <v>1844</v>
      </c>
      <c r="K2300" s="157" t="s">
        <v>1269</v>
      </c>
      <c r="L2300" s="157" t="s">
        <v>8664</v>
      </c>
      <c r="M2300" s="157" t="str">
        <f t="shared" si="48"/>
        <v>Seat Backrest Motor - Passenger - Seat Backrest Adjustment Passenger</v>
      </c>
      <c r="N2300" s="157"/>
      <c r="O2300" s="157"/>
      <c r="P2300" s="159" t="s">
        <v>4448</v>
      </c>
      <c r="Q2300" s="157" t="s">
        <v>2115</v>
      </c>
      <c r="R2300" s="157" t="s">
        <v>2121</v>
      </c>
      <c r="S2300" s="157" t="s">
        <v>8632</v>
      </c>
      <c r="T2300" s="157"/>
      <c r="U2300" s="159" t="s">
        <v>2129</v>
      </c>
      <c r="V2300" s="159" t="s">
        <v>2129</v>
      </c>
      <c r="W2300" s="159" t="s">
        <v>2138</v>
      </c>
      <c r="X2300" s="160">
        <v>0</v>
      </c>
      <c r="Y2300" s="160">
        <v>0</v>
      </c>
      <c r="Z2300" s="160">
        <v>0</v>
      </c>
      <c r="AA2300" s="160">
        <v>0</v>
      </c>
    </row>
    <row r="2301" spans="1:27" ht="18" customHeight="1" x14ac:dyDescent="0.25">
      <c r="A2301" s="159">
        <v>6070</v>
      </c>
      <c r="B2301" s="157" t="s">
        <v>77</v>
      </c>
      <c r="C2301" s="157" t="s">
        <v>136</v>
      </c>
      <c r="D2301" s="159" t="s">
        <v>567</v>
      </c>
      <c r="E2301" s="157" t="s">
        <v>565</v>
      </c>
      <c r="F2301" s="157" t="s">
        <v>1275</v>
      </c>
      <c r="G2301" s="157" t="s">
        <v>1278</v>
      </c>
      <c r="H2301" s="157" t="s">
        <v>1347</v>
      </c>
      <c r="I2301" s="157" t="s">
        <v>1861</v>
      </c>
      <c r="J2301" s="157" t="s">
        <v>1844</v>
      </c>
      <c r="K2301" s="157" t="s">
        <v>1312</v>
      </c>
      <c r="L2301" s="157" t="s">
        <v>8682</v>
      </c>
      <c r="M2301" s="157" t="str">
        <f t="shared" si="48"/>
        <v>Sensor Hall Depth - Passenger - Seat Depth Adjustment Passenger</v>
      </c>
      <c r="N2301" s="157"/>
      <c r="O2301" s="157"/>
      <c r="P2301" s="159" t="s">
        <v>4448</v>
      </c>
      <c r="Q2301" s="157" t="s">
        <v>2115</v>
      </c>
      <c r="R2301" s="157" t="s">
        <v>2124</v>
      </c>
      <c r="S2301" s="157" t="s">
        <v>8608</v>
      </c>
      <c r="T2301" s="157"/>
      <c r="U2301" s="159" t="s">
        <v>2129</v>
      </c>
      <c r="V2301" s="159" t="s">
        <v>2129</v>
      </c>
      <c r="W2301" s="159" t="s">
        <v>2138</v>
      </c>
      <c r="X2301" s="160">
        <v>0</v>
      </c>
      <c r="Y2301" s="160">
        <v>0</v>
      </c>
      <c r="Z2301" s="160">
        <v>0</v>
      </c>
      <c r="AA2301" s="160">
        <v>0</v>
      </c>
    </row>
    <row r="2302" spans="1:27" ht="18" customHeight="1" x14ac:dyDescent="0.25">
      <c r="A2302" s="159">
        <v>6071</v>
      </c>
      <c r="B2302" s="157" t="s">
        <v>77</v>
      </c>
      <c r="C2302" s="157" t="s">
        <v>136</v>
      </c>
      <c r="D2302" s="159" t="s">
        <v>567</v>
      </c>
      <c r="E2302" s="157" t="s">
        <v>565</v>
      </c>
      <c r="F2302" s="157" t="s">
        <v>1275</v>
      </c>
      <c r="G2302" s="157" t="s">
        <v>1278</v>
      </c>
      <c r="H2302" s="157" t="s">
        <v>1347</v>
      </c>
      <c r="I2302" s="157" t="s">
        <v>1863</v>
      </c>
      <c r="J2302" s="157" t="s">
        <v>1844</v>
      </c>
      <c r="K2302" s="157" t="s">
        <v>1312</v>
      </c>
      <c r="L2302" s="157" t="s">
        <v>8665</v>
      </c>
      <c r="M2302" s="157" t="str">
        <f t="shared" si="48"/>
        <v>Sensor Hall Seat Backrest - Passenger - Seat Backrest Adjustment Passenger</v>
      </c>
      <c r="N2302" s="157"/>
      <c r="O2302" s="157"/>
      <c r="P2302" s="159" t="s">
        <v>4448</v>
      </c>
      <c r="Q2302" s="157" t="s">
        <v>2115</v>
      </c>
      <c r="R2302" s="157" t="s">
        <v>2124</v>
      </c>
      <c r="S2302" s="157" t="s">
        <v>8608</v>
      </c>
      <c r="T2302" s="157"/>
      <c r="U2302" s="159" t="s">
        <v>2129</v>
      </c>
      <c r="V2302" s="159" t="s">
        <v>2129</v>
      </c>
      <c r="W2302" s="159" t="s">
        <v>2138</v>
      </c>
      <c r="X2302" s="160">
        <v>0</v>
      </c>
      <c r="Y2302" s="160">
        <v>0</v>
      </c>
      <c r="Z2302" s="160">
        <v>0</v>
      </c>
      <c r="AA2302" s="160">
        <v>0</v>
      </c>
    </row>
    <row r="2303" spans="1:27" ht="18" customHeight="1" x14ac:dyDescent="0.25">
      <c r="A2303" s="159">
        <v>6072</v>
      </c>
      <c r="B2303" s="157" t="s">
        <v>77</v>
      </c>
      <c r="C2303" s="157" t="s">
        <v>136</v>
      </c>
      <c r="D2303" s="159" t="s">
        <v>567</v>
      </c>
      <c r="E2303" s="157" t="s">
        <v>565</v>
      </c>
      <c r="F2303" s="157" t="s">
        <v>1275</v>
      </c>
      <c r="G2303" s="157" t="s">
        <v>1278</v>
      </c>
      <c r="H2303" s="157" t="s">
        <v>1347</v>
      </c>
      <c r="I2303" s="157" t="s">
        <v>1864</v>
      </c>
      <c r="J2303" s="157" t="s">
        <v>1844</v>
      </c>
      <c r="K2303" s="157" t="s">
        <v>1281</v>
      </c>
      <c r="L2303" s="157" t="s">
        <v>1857</v>
      </c>
      <c r="M2303" s="157" t="str">
        <f t="shared" si="48"/>
        <v>Easy Entry Switch - User Selector - Easy Entry Passenger</v>
      </c>
      <c r="N2303" s="157"/>
      <c r="O2303" s="157"/>
      <c r="P2303" s="159"/>
      <c r="Q2303" s="157"/>
      <c r="R2303" s="157"/>
      <c r="S2303" s="157"/>
      <c r="T2303" s="157"/>
      <c r="U2303" s="159"/>
      <c r="V2303" s="159"/>
      <c r="W2303" s="159"/>
      <c r="X2303" s="160"/>
      <c r="Y2303" s="160"/>
      <c r="Z2303" s="160"/>
      <c r="AA2303" s="160"/>
    </row>
    <row r="2304" spans="1:27" ht="18" customHeight="1" x14ac:dyDescent="0.25">
      <c r="A2304" s="159">
        <v>6080</v>
      </c>
      <c r="B2304" s="157" t="s">
        <v>77</v>
      </c>
      <c r="C2304" s="157" t="s">
        <v>128</v>
      </c>
      <c r="D2304" s="159" t="s">
        <v>131</v>
      </c>
      <c r="E2304" s="157" t="s">
        <v>129</v>
      </c>
      <c r="F2304" s="157" t="s">
        <v>1264</v>
      </c>
      <c r="G2304" s="157" t="s">
        <v>1278</v>
      </c>
      <c r="H2304" s="157" t="s">
        <v>1304</v>
      </c>
      <c r="I2304" s="157" t="s">
        <v>9556</v>
      </c>
      <c r="J2304" s="157" t="s">
        <v>1306</v>
      </c>
      <c r="K2304" s="157" t="s">
        <v>1281</v>
      </c>
      <c r="L2304" s="157" t="s">
        <v>8654</v>
      </c>
      <c r="M2304" s="157" t="str">
        <f t="shared" si="48"/>
        <v>Potentiomenter - User Selector Driver - Seat Temperature Adjustment FL</v>
      </c>
      <c r="N2304" s="157"/>
      <c r="O2304" s="157"/>
      <c r="P2304" s="159" t="s">
        <v>5837</v>
      </c>
      <c r="Q2304" s="157" t="s">
        <v>2115</v>
      </c>
      <c r="R2304" s="157" t="s">
        <v>8436</v>
      </c>
      <c r="S2304" s="157" t="s">
        <v>8606</v>
      </c>
      <c r="T2304" s="157"/>
      <c r="U2304" s="159" t="s">
        <v>2129</v>
      </c>
      <c r="V2304" s="159" t="s">
        <v>2138</v>
      </c>
      <c r="W2304" s="159" t="s">
        <v>2138</v>
      </c>
      <c r="X2304" s="160">
        <v>0</v>
      </c>
      <c r="Y2304" s="160">
        <v>1</v>
      </c>
      <c r="Z2304" s="160">
        <v>1</v>
      </c>
      <c r="AA2304" s="160">
        <v>0</v>
      </c>
    </row>
    <row r="2305" spans="1:27" ht="18" customHeight="1" x14ac:dyDescent="0.25">
      <c r="A2305" s="159">
        <v>6081</v>
      </c>
      <c r="B2305" s="157" t="s">
        <v>77</v>
      </c>
      <c r="C2305" s="157" t="s">
        <v>128</v>
      </c>
      <c r="D2305" s="159" t="s">
        <v>564</v>
      </c>
      <c r="E2305" s="157" t="s">
        <v>562</v>
      </c>
      <c r="F2305" s="157" t="s">
        <v>1264</v>
      </c>
      <c r="G2305" s="157" t="s">
        <v>1278</v>
      </c>
      <c r="H2305" s="157" t="s">
        <v>1304</v>
      </c>
      <c r="I2305" s="157" t="s">
        <v>9557</v>
      </c>
      <c r="J2305" s="157" t="s">
        <v>1733</v>
      </c>
      <c r="K2305" s="157" t="s">
        <v>1281</v>
      </c>
      <c r="L2305" s="157" t="s">
        <v>8655</v>
      </c>
      <c r="M2305" s="157" t="str">
        <f t="shared" si="48"/>
        <v>Potentiomenter - User Selector Passenger - Seat Temperature Adjustment FR</v>
      </c>
      <c r="N2305" s="157"/>
      <c r="O2305" s="157"/>
      <c r="P2305" s="159" t="s">
        <v>5651</v>
      </c>
      <c r="Q2305" s="157" t="s">
        <v>2115</v>
      </c>
      <c r="R2305" s="157" t="s">
        <v>8436</v>
      </c>
      <c r="S2305" s="157" t="s">
        <v>8606</v>
      </c>
      <c r="T2305" s="157"/>
      <c r="U2305" s="159" t="s">
        <v>2129</v>
      </c>
      <c r="V2305" s="159" t="s">
        <v>2138</v>
      </c>
      <c r="W2305" s="159" t="s">
        <v>2138</v>
      </c>
      <c r="X2305" s="160">
        <v>0</v>
      </c>
      <c r="Y2305" s="160">
        <v>1</v>
      </c>
      <c r="Z2305" s="160">
        <v>1</v>
      </c>
      <c r="AA2305" s="160">
        <v>0</v>
      </c>
    </row>
    <row r="2306" spans="1:27" ht="18" customHeight="1" x14ac:dyDescent="0.25">
      <c r="A2306" s="159">
        <v>6082</v>
      </c>
      <c r="B2306" s="157" t="s">
        <v>77</v>
      </c>
      <c r="C2306" s="157" t="s">
        <v>128</v>
      </c>
      <c r="D2306" s="159" t="s">
        <v>1118</v>
      </c>
      <c r="E2306" s="157" t="s">
        <v>1116</v>
      </c>
      <c r="F2306" s="157"/>
      <c r="G2306" s="157" t="s">
        <v>1278</v>
      </c>
      <c r="H2306" s="157" t="s">
        <v>1304</v>
      </c>
      <c r="I2306" s="157" t="s">
        <v>9558</v>
      </c>
      <c r="J2306" s="157" t="s">
        <v>1828</v>
      </c>
      <c r="K2306" s="157" t="s">
        <v>1281</v>
      </c>
      <c r="L2306" s="157" t="s">
        <v>8656</v>
      </c>
      <c r="M2306" s="157" t="str">
        <f t="shared" si="48"/>
        <v>Potentiomenter - User Selector Rear Left - Seat Temperature Adjustment RL</v>
      </c>
      <c r="N2306" s="157"/>
      <c r="O2306" s="157"/>
      <c r="P2306" s="159" t="s">
        <v>5860</v>
      </c>
      <c r="Q2306" s="157" t="s">
        <v>2115</v>
      </c>
      <c r="R2306" s="157" t="s">
        <v>8436</v>
      </c>
      <c r="S2306" s="157" t="s">
        <v>8606</v>
      </c>
      <c r="T2306" s="157"/>
      <c r="U2306" s="159" t="s">
        <v>2129</v>
      </c>
      <c r="V2306" s="159" t="s">
        <v>2129</v>
      </c>
      <c r="W2306" s="159" t="s">
        <v>2138</v>
      </c>
      <c r="X2306" s="160">
        <v>0</v>
      </c>
      <c r="Y2306" s="160">
        <v>1</v>
      </c>
      <c r="Z2306" s="160">
        <v>1</v>
      </c>
      <c r="AA2306" s="160">
        <v>0</v>
      </c>
    </row>
    <row r="2307" spans="1:27" ht="18" customHeight="1" x14ac:dyDescent="0.25">
      <c r="A2307" s="159">
        <v>6083</v>
      </c>
      <c r="B2307" s="157" t="s">
        <v>77</v>
      </c>
      <c r="C2307" s="157" t="s">
        <v>128</v>
      </c>
      <c r="D2307" s="159" t="s">
        <v>1118</v>
      </c>
      <c r="E2307" s="157" t="s">
        <v>1116</v>
      </c>
      <c r="F2307" s="157"/>
      <c r="G2307" s="157" t="s">
        <v>1278</v>
      </c>
      <c r="H2307" s="157" t="s">
        <v>1304</v>
      </c>
      <c r="I2307" s="157" t="s">
        <v>9559</v>
      </c>
      <c r="J2307" s="157" t="s">
        <v>1828</v>
      </c>
      <c r="K2307" s="157" t="s">
        <v>1281</v>
      </c>
      <c r="L2307" s="157" t="s">
        <v>8657</v>
      </c>
      <c r="M2307" s="157" t="str">
        <f t="shared" si="48"/>
        <v>Potentiomenter - User Selector Rear Right - Seat Temperature Adjustment RR</v>
      </c>
      <c r="N2307" s="157"/>
      <c r="O2307" s="157"/>
      <c r="P2307" s="159" t="s">
        <v>5674</v>
      </c>
      <c r="Q2307" s="157" t="s">
        <v>2115</v>
      </c>
      <c r="R2307" s="157" t="s">
        <v>8436</v>
      </c>
      <c r="S2307" s="157" t="s">
        <v>8606</v>
      </c>
      <c r="T2307" s="157"/>
      <c r="U2307" s="159" t="s">
        <v>2129</v>
      </c>
      <c r="V2307" s="159" t="s">
        <v>2129</v>
      </c>
      <c r="W2307" s="159" t="s">
        <v>2138</v>
      </c>
      <c r="X2307" s="160">
        <v>0</v>
      </c>
      <c r="Y2307" s="160">
        <v>1</v>
      </c>
      <c r="Z2307" s="160">
        <v>1</v>
      </c>
      <c r="AA2307" s="160">
        <v>0</v>
      </c>
    </row>
    <row r="2308" spans="1:27" ht="18" customHeight="1" x14ac:dyDescent="0.25">
      <c r="A2308" s="159">
        <v>6090</v>
      </c>
      <c r="B2308" s="157" t="s">
        <v>256</v>
      </c>
      <c r="C2308" s="157" t="s">
        <v>543</v>
      </c>
      <c r="D2308" s="159" t="s">
        <v>546</v>
      </c>
      <c r="E2308" s="157" t="s">
        <v>544</v>
      </c>
      <c r="F2308" s="157"/>
      <c r="G2308" s="157" t="s">
        <v>1299</v>
      </c>
      <c r="H2308" s="157" t="s">
        <v>1465</v>
      </c>
      <c r="I2308" s="157" t="s">
        <v>1865</v>
      </c>
      <c r="J2308" s="157" t="s">
        <v>1866</v>
      </c>
      <c r="K2308" s="157" t="s">
        <v>1312</v>
      </c>
      <c r="L2308" s="157" t="s">
        <v>1312</v>
      </c>
      <c r="M2308" s="157" t="str">
        <f t="shared" si="48"/>
        <v>Sensor - Steering Angle</v>
      </c>
      <c r="N2308" s="157"/>
      <c r="O2308" s="157"/>
      <c r="P2308" s="159" t="s">
        <v>6583</v>
      </c>
      <c r="Q2308" s="157"/>
      <c r="R2308" s="157"/>
      <c r="S2308" s="157"/>
      <c r="T2308" s="157"/>
      <c r="U2308" s="159" t="s">
        <v>2129</v>
      </c>
      <c r="V2308" s="159" t="s">
        <v>2138</v>
      </c>
      <c r="W2308" s="159" t="s">
        <v>2138</v>
      </c>
      <c r="X2308" s="160">
        <v>1</v>
      </c>
      <c r="Y2308" s="160">
        <v>1</v>
      </c>
      <c r="Z2308" s="160">
        <v>1</v>
      </c>
      <c r="AA2308" s="160">
        <v>1</v>
      </c>
    </row>
    <row r="2309" spans="1:27" ht="18" customHeight="1" x14ac:dyDescent="0.25">
      <c r="A2309" s="159">
        <v>6090</v>
      </c>
      <c r="B2309" s="157" t="s">
        <v>256</v>
      </c>
      <c r="C2309" s="157" t="s">
        <v>543</v>
      </c>
      <c r="D2309" s="159" t="s">
        <v>549</v>
      </c>
      <c r="E2309" s="157" t="s">
        <v>547</v>
      </c>
      <c r="F2309" s="157" t="s">
        <v>1264</v>
      </c>
      <c r="G2309" s="157" t="s">
        <v>1299</v>
      </c>
      <c r="H2309" s="157" t="s">
        <v>1465</v>
      </c>
      <c r="I2309" s="157" t="s">
        <v>1865</v>
      </c>
      <c r="J2309" s="157" t="s">
        <v>1866</v>
      </c>
      <c r="K2309" s="157" t="s">
        <v>1312</v>
      </c>
      <c r="L2309" s="157" t="s">
        <v>1312</v>
      </c>
      <c r="M2309" s="157" t="str">
        <f t="shared" si="48"/>
        <v>Sensor - Steering Angle</v>
      </c>
      <c r="N2309" s="157"/>
      <c r="O2309" s="157"/>
      <c r="P2309" s="159" t="s">
        <v>6583</v>
      </c>
      <c r="Q2309" s="157"/>
      <c r="R2309" s="157"/>
      <c r="S2309" s="157"/>
      <c r="T2309" s="157"/>
      <c r="U2309" s="159" t="s">
        <v>2129</v>
      </c>
      <c r="V2309" s="159" t="s">
        <v>2138</v>
      </c>
      <c r="W2309" s="159" t="s">
        <v>2138</v>
      </c>
      <c r="X2309" s="160">
        <v>1</v>
      </c>
      <c r="Y2309" s="160">
        <v>1</v>
      </c>
      <c r="Z2309" s="160">
        <v>1</v>
      </c>
      <c r="AA2309" s="160">
        <v>1</v>
      </c>
    </row>
    <row r="2310" spans="1:27" ht="18" customHeight="1" x14ac:dyDescent="0.25">
      <c r="A2310" s="159">
        <v>6090</v>
      </c>
      <c r="B2310" s="157" t="s">
        <v>256</v>
      </c>
      <c r="C2310" s="157" t="s">
        <v>543</v>
      </c>
      <c r="D2310" s="159" t="s">
        <v>597</v>
      </c>
      <c r="E2310" s="157" t="s">
        <v>595</v>
      </c>
      <c r="F2310" s="157"/>
      <c r="G2310" s="157" t="s">
        <v>1299</v>
      </c>
      <c r="H2310" s="157" t="s">
        <v>1465</v>
      </c>
      <c r="I2310" s="157" t="s">
        <v>1865</v>
      </c>
      <c r="J2310" s="157" t="s">
        <v>1866</v>
      </c>
      <c r="K2310" s="157" t="s">
        <v>1312</v>
      </c>
      <c r="L2310" s="157" t="s">
        <v>1312</v>
      </c>
      <c r="M2310" s="157" t="str">
        <f t="shared" si="48"/>
        <v>Sensor - Steering Angle</v>
      </c>
      <c r="N2310" s="157"/>
      <c r="O2310" s="157"/>
      <c r="P2310" s="159" t="s">
        <v>6583</v>
      </c>
      <c r="Q2310" s="157"/>
      <c r="R2310" s="157"/>
      <c r="S2310" s="157"/>
      <c r="T2310" s="157"/>
      <c r="U2310" s="159" t="s">
        <v>2129</v>
      </c>
      <c r="V2310" s="159" t="s">
        <v>2138</v>
      </c>
      <c r="W2310" s="159" t="s">
        <v>2138</v>
      </c>
      <c r="X2310" s="160">
        <v>1</v>
      </c>
      <c r="Y2310" s="160">
        <v>1</v>
      </c>
      <c r="Z2310" s="160">
        <v>1</v>
      </c>
      <c r="AA2310" s="160">
        <v>1</v>
      </c>
    </row>
    <row r="2311" spans="1:27" ht="18" customHeight="1" x14ac:dyDescent="0.25">
      <c r="A2311" s="159">
        <v>6091</v>
      </c>
      <c r="B2311" s="157" t="s">
        <v>29</v>
      </c>
      <c r="C2311" s="157" t="s">
        <v>30</v>
      </c>
      <c r="D2311" s="159" t="s">
        <v>869</v>
      </c>
      <c r="E2311" s="157" t="s">
        <v>867</v>
      </c>
      <c r="F2311" s="157" t="s">
        <v>1264</v>
      </c>
      <c r="G2311" s="157" t="s">
        <v>1321</v>
      </c>
      <c r="H2311" s="157" t="s">
        <v>1287</v>
      </c>
      <c r="I2311" s="157" t="s">
        <v>1867</v>
      </c>
      <c r="J2311" s="157" t="s">
        <v>1455</v>
      </c>
      <c r="K2311" s="157" t="s">
        <v>1269</v>
      </c>
      <c r="L2311" s="157" t="s">
        <v>1286</v>
      </c>
      <c r="M2311" s="157" t="str">
        <f t="shared" si="48"/>
        <v>LED Lamp - Charge Port Light</v>
      </c>
      <c r="N2311" s="157"/>
      <c r="O2311" s="157"/>
      <c r="P2311" s="159" t="s">
        <v>7617</v>
      </c>
      <c r="Q2311" s="157"/>
      <c r="R2311" s="157"/>
      <c r="S2311" s="157"/>
      <c r="T2311" s="157"/>
      <c r="U2311" s="159" t="s">
        <v>2129</v>
      </c>
      <c r="V2311" s="159" t="s">
        <v>2129</v>
      </c>
      <c r="W2311" s="159" t="s">
        <v>2138</v>
      </c>
      <c r="X2311" s="160">
        <v>0</v>
      </c>
      <c r="Y2311" s="160">
        <v>0</v>
      </c>
      <c r="Z2311" s="160">
        <v>0</v>
      </c>
      <c r="AA2311" s="160">
        <v>0</v>
      </c>
    </row>
    <row r="2312" spans="1:27" ht="18" customHeight="1" x14ac:dyDescent="0.25">
      <c r="A2312" s="159">
        <v>6092</v>
      </c>
      <c r="B2312" s="157" t="s">
        <v>29</v>
      </c>
      <c r="C2312" s="157" t="s">
        <v>30</v>
      </c>
      <c r="D2312" s="159" t="s">
        <v>99</v>
      </c>
      <c r="E2312" s="157" t="s">
        <v>97</v>
      </c>
      <c r="F2312" s="157" t="s">
        <v>1264</v>
      </c>
      <c r="G2312" s="157" t="s">
        <v>1536</v>
      </c>
      <c r="H2312" s="157" t="s">
        <v>1287</v>
      </c>
      <c r="I2312" s="157" t="s">
        <v>1868</v>
      </c>
      <c r="J2312" s="157" t="s">
        <v>1455</v>
      </c>
      <c r="K2312" s="157" t="s">
        <v>1269</v>
      </c>
      <c r="L2312" s="157" t="s">
        <v>1286</v>
      </c>
      <c r="M2312" s="157" t="str">
        <f t="shared" si="48"/>
        <v>LED Lamp - Daytime Running Light FL</v>
      </c>
      <c r="N2312" s="157"/>
      <c r="O2312" s="157"/>
      <c r="P2312" s="159"/>
      <c r="Q2312" s="157"/>
      <c r="R2312" s="157"/>
      <c r="S2312" s="157"/>
      <c r="T2312" s="157"/>
      <c r="U2312" s="159" t="s">
        <v>2129</v>
      </c>
      <c r="V2312" s="159" t="s">
        <v>2129</v>
      </c>
      <c r="W2312" s="159" t="s">
        <v>2129</v>
      </c>
      <c r="X2312" s="160">
        <v>1</v>
      </c>
      <c r="Y2312" s="160">
        <v>1</v>
      </c>
      <c r="Z2312" s="160">
        <v>0.5</v>
      </c>
      <c r="AA2312" s="160">
        <v>0.5</v>
      </c>
    </row>
    <row r="2313" spans="1:27" ht="18" customHeight="1" x14ac:dyDescent="0.25">
      <c r="A2313" s="159">
        <v>6093</v>
      </c>
      <c r="B2313" s="157" t="s">
        <v>29</v>
      </c>
      <c r="C2313" s="157" t="s">
        <v>30</v>
      </c>
      <c r="D2313" s="159" t="s">
        <v>99</v>
      </c>
      <c r="E2313" s="157" t="s">
        <v>97</v>
      </c>
      <c r="F2313" s="157" t="s">
        <v>1264</v>
      </c>
      <c r="G2313" s="157" t="s">
        <v>1536</v>
      </c>
      <c r="H2313" s="157" t="s">
        <v>1287</v>
      </c>
      <c r="I2313" s="157" t="s">
        <v>1869</v>
      </c>
      <c r="J2313" s="157" t="s">
        <v>1455</v>
      </c>
      <c r="K2313" s="157" t="s">
        <v>1269</v>
      </c>
      <c r="L2313" s="157" t="s">
        <v>1286</v>
      </c>
      <c r="M2313" s="157" t="str">
        <f t="shared" si="48"/>
        <v>LED Lamp - Daytime Running Light FR</v>
      </c>
      <c r="N2313" s="157"/>
      <c r="O2313" s="157"/>
      <c r="P2313" s="159"/>
      <c r="Q2313" s="157"/>
      <c r="R2313" s="157"/>
      <c r="S2313" s="157"/>
      <c r="T2313" s="157"/>
      <c r="U2313" s="159" t="s">
        <v>2129</v>
      </c>
      <c r="V2313" s="159" t="s">
        <v>2129</v>
      </c>
      <c r="W2313" s="159" t="s">
        <v>2129</v>
      </c>
      <c r="X2313" s="160">
        <v>1</v>
      </c>
      <c r="Y2313" s="160">
        <v>1</v>
      </c>
      <c r="Z2313" s="160">
        <v>0.5</v>
      </c>
      <c r="AA2313" s="160">
        <v>0.5</v>
      </c>
    </row>
    <row r="2314" spans="1:27" ht="18" customHeight="1" x14ac:dyDescent="0.25">
      <c r="A2314" s="159">
        <v>6094</v>
      </c>
      <c r="B2314" s="157" t="s">
        <v>29</v>
      </c>
      <c r="C2314" s="157" t="s">
        <v>30</v>
      </c>
      <c r="D2314" s="159" t="s">
        <v>174</v>
      </c>
      <c r="E2314" s="157" t="s">
        <v>172</v>
      </c>
      <c r="F2314" s="157" t="s">
        <v>1264</v>
      </c>
      <c r="G2314" s="157" t="s">
        <v>1536</v>
      </c>
      <c r="H2314" s="157" t="s">
        <v>1287</v>
      </c>
      <c r="I2314" s="157" t="s">
        <v>1870</v>
      </c>
      <c r="J2314" s="157" t="s">
        <v>1578</v>
      </c>
      <c r="K2314" s="157" t="s">
        <v>1269</v>
      </c>
      <c r="L2314" s="157" t="s">
        <v>2084</v>
      </c>
      <c r="M2314" s="157" t="str">
        <f t="shared" ref="M2314:M2377" si="51">CONCATENATE(L2314," - ",I2314)</f>
        <v>H1 - Front Fog Lamp FR</v>
      </c>
      <c r="N2314" s="157"/>
      <c r="O2314" s="157"/>
      <c r="P2314" s="167" t="s">
        <v>3520</v>
      </c>
      <c r="Q2314" s="157"/>
      <c r="R2314" s="157"/>
      <c r="S2314" s="157"/>
      <c r="T2314" s="157"/>
      <c r="U2314" s="159" t="s">
        <v>2138</v>
      </c>
      <c r="V2314" s="159" t="s">
        <v>2129</v>
      </c>
      <c r="W2314" s="159" t="s">
        <v>2129</v>
      </c>
      <c r="X2314" s="160">
        <v>0</v>
      </c>
      <c r="Y2314" s="160">
        <v>0</v>
      </c>
      <c r="Z2314" s="160">
        <v>0</v>
      </c>
      <c r="AA2314" s="160">
        <v>1</v>
      </c>
    </row>
    <row r="2315" spans="1:27" ht="18" customHeight="1" x14ac:dyDescent="0.25">
      <c r="A2315" s="159">
        <v>6095</v>
      </c>
      <c r="B2315" s="157" t="s">
        <v>29</v>
      </c>
      <c r="C2315" s="157" t="s">
        <v>30</v>
      </c>
      <c r="D2315" s="159" t="s">
        <v>175</v>
      </c>
      <c r="E2315" s="157" t="s">
        <v>571</v>
      </c>
      <c r="F2315" s="157" t="s">
        <v>1264</v>
      </c>
      <c r="G2315" s="157" t="s">
        <v>1536</v>
      </c>
      <c r="H2315" s="157" t="s">
        <v>1287</v>
      </c>
      <c r="I2315" s="157" t="s">
        <v>1870</v>
      </c>
      <c r="J2315" s="157" t="s">
        <v>1578</v>
      </c>
      <c r="K2315" s="157" t="s">
        <v>1269</v>
      </c>
      <c r="L2315" s="157" t="s">
        <v>2084</v>
      </c>
      <c r="M2315" s="157" t="str">
        <f t="shared" si="51"/>
        <v>H1 - Front Fog Lamp FR</v>
      </c>
      <c r="N2315" s="157"/>
      <c r="O2315" s="157"/>
      <c r="P2315" s="167" t="s">
        <v>3520</v>
      </c>
      <c r="Q2315" s="157"/>
      <c r="R2315" s="157"/>
      <c r="S2315" s="157"/>
      <c r="T2315" s="157"/>
      <c r="U2315" s="159" t="s">
        <v>2138</v>
      </c>
      <c r="V2315" s="159" t="s">
        <v>2129</v>
      </c>
      <c r="W2315" s="159" t="s">
        <v>2129</v>
      </c>
      <c r="X2315" s="160">
        <v>0</v>
      </c>
      <c r="Y2315" s="160">
        <v>0</v>
      </c>
      <c r="Z2315" s="160">
        <v>0</v>
      </c>
      <c r="AA2315" s="160">
        <v>1</v>
      </c>
    </row>
    <row r="2316" spans="1:27" ht="18" customHeight="1" x14ac:dyDescent="0.25">
      <c r="A2316" s="159">
        <v>6096</v>
      </c>
      <c r="B2316" s="157" t="s">
        <v>29</v>
      </c>
      <c r="C2316" s="157" t="s">
        <v>30</v>
      </c>
      <c r="D2316" s="159" t="s">
        <v>174</v>
      </c>
      <c r="E2316" s="157" t="s">
        <v>172</v>
      </c>
      <c r="F2316" s="157" t="s">
        <v>1264</v>
      </c>
      <c r="G2316" s="157" t="s">
        <v>1536</v>
      </c>
      <c r="H2316" s="157" t="s">
        <v>1287</v>
      </c>
      <c r="I2316" s="157" t="s">
        <v>1870</v>
      </c>
      <c r="J2316" s="157" t="s">
        <v>1340</v>
      </c>
      <c r="K2316" s="157" t="s">
        <v>1269</v>
      </c>
      <c r="L2316" s="157" t="s">
        <v>1286</v>
      </c>
      <c r="M2316" s="157" t="str">
        <f t="shared" si="51"/>
        <v>LED Lamp - Front Fog Lamp FR</v>
      </c>
      <c r="N2316" s="157"/>
      <c r="O2316" s="157"/>
      <c r="P2316" s="167" t="s">
        <v>3520</v>
      </c>
      <c r="Q2316" s="157"/>
      <c r="R2316" s="157"/>
      <c r="S2316" s="157"/>
      <c r="T2316" s="157"/>
      <c r="U2316" s="159" t="s">
        <v>2129</v>
      </c>
      <c r="V2316" s="159" t="s">
        <v>2138</v>
      </c>
      <c r="W2316" s="159" t="s">
        <v>2138</v>
      </c>
      <c r="X2316" s="160">
        <v>0</v>
      </c>
      <c r="Y2316" s="160">
        <v>0</v>
      </c>
      <c r="Z2316" s="160">
        <v>0</v>
      </c>
      <c r="AA2316" s="160">
        <v>1</v>
      </c>
    </row>
    <row r="2317" spans="1:27" ht="18" customHeight="1" x14ac:dyDescent="0.25">
      <c r="A2317" s="159">
        <v>6097</v>
      </c>
      <c r="B2317" s="157" t="s">
        <v>29</v>
      </c>
      <c r="C2317" s="157" t="s">
        <v>30</v>
      </c>
      <c r="D2317" s="159" t="s">
        <v>175</v>
      </c>
      <c r="E2317" s="157" t="s">
        <v>571</v>
      </c>
      <c r="F2317" s="157" t="s">
        <v>1264</v>
      </c>
      <c r="G2317" s="157" t="s">
        <v>1536</v>
      </c>
      <c r="H2317" s="157" t="s">
        <v>1287</v>
      </c>
      <c r="I2317" s="157" t="s">
        <v>1870</v>
      </c>
      <c r="J2317" s="157" t="s">
        <v>1340</v>
      </c>
      <c r="K2317" s="157" t="s">
        <v>1269</v>
      </c>
      <c r="L2317" s="157" t="s">
        <v>1286</v>
      </c>
      <c r="M2317" s="157" t="str">
        <f t="shared" si="51"/>
        <v>LED Lamp - Front Fog Lamp FR</v>
      </c>
      <c r="N2317" s="157"/>
      <c r="O2317" s="157"/>
      <c r="P2317" s="167" t="s">
        <v>3520</v>
      </c>
      <c r="Q2317" s="157"/>
      <c r="R2317" s="157"/>
      <c r="S2317" s="157"/>
      <c r="T2317" s="157"/>
      <c r="U2317" s="159" t="s">
        <v>2129</v>
      </c>
      <c r="V2317" s="159" t="s">
        <v>2138</v>
      </c>
      <c r="W2317" s="159" t="s">
        <v>2138</v>
      </c>
      <c r="X2317" s="160">
        <v>0</v>
      </c>
      <c r="Y2317" s="160">
        <v>0</v>
      </c>
      <c r="Z2317" s="160">
        <v>0</v>
      </c>
      <c r="AA2317" s="160">
        <v>1</v>
      </c>
    </row>
    <row r="2318" spans="1:27" ht="18" customHeight="1" x14ac:dyDescent="0.25">
      <c r="A2318" s="159">
        <v>6100</v>
      </c>
      <c r="B2318" s="157" t="s">
        <v>29</v>
      </c>
      <c r="C2318" s="157" t="s">
        <v>30</v>
      </c>
      <c r="D2318" s="159" t="s">
        <v>185</v>
      </c>
      <c r="E2318" s="157" t="s">
        <v>391</v>
      </c>
      <c r="F2318" s="157" t="s">
        <v>1275</v>
      </c>
      <c r="G2318" s="157" t="s">
        <v>1536</v>
      </c>
      <c r="H2318" s="157" t="s">
        <v>1287</v>
      </c>
      <c r="I2318" s="157" t="s">
        <v>9774</v>
      </c>
      <c r="J2318" s="157" t="s">
        <v>1577</v>
      </c>
      <c r="K2318" s="157" t="s">
        <v>1269</v>
      </c>
      <c r="L2318" s="157" t="s">
        <v>9769</v>
      </c>
      <c r="M2318" s="157" t="str">
        <f t="shared" si="51"/>
        <v>Headlamp Assy' H1 + H7 + P21W + P5W Right - Low Beam Right</v>
      </c>
      <c r="N2318" s="157"/>
      <c r="O2318" s="157"/>
      <c r="P2318" s="159" t="s">
        <v>3268</v>
      </c>
      <c r="Q2318" s="157" t="s">
        <v>2115</v>
      </c>
      <c r="R2318" s="157" t="s">
        <v>8266</v>
      </c>
      <c r="S2318" s="157" t="s">
        <v>8626</v>
      </c>
      <c r="T2318" s="157"/>
      <c r="U2318" s="159" t="s">
        <v>2138</v>
      </c>
      <c r="V2318" s="159" t="s">
        <v>2129</v>
      </c>
      <c r="W2318" s="159" t="s">
        <v>2129</v>
      </c>
      <c r="X2318" s="160">
        <v>0</v>
      </c>
      <c r="Y2318" s="160">
        <v>0</v>
      </c>
      <c r="Z2318" s="160">
        <v>1</v>
      </c>
      <c r="AA2318" s="160">
        <v>1</v>
      </c>
    </row>
    <row r="2319" spans="1:27" ht="18" customHeight="1" x14ac:dyDescent="0.25">
      <c r="A2319" s="159">
        <v>6100</v>
      </c>
      <c r="B2319" s="157" t="s">
        <v>29</v>
      </c>
      <c r="C2319" s="157" t="s">
        <v>30</v>
      </c>
      <c r="D2319" s="159" t="s">
        <v>395</v>
      </c>
      <c r="E2319" s="157" t="s">
        <v>393</v>
      </c>
      <c r="F2319" s="157" t="s">
        <v>1277</v>
      </c>
      <c r="G2319" s="157" t="s">
        <v>1536</v>
      </c>
      <c r="H2319" s="157" t="s">
        <v>1287</v>
      </c>
      <c r="I2319" s="157" t="s">
        <v>9774</v>
      </c>
      <c r="J2319" s="157" t="s">
        <v>1577</v>
      </c>
      <c r="K2319" s="157" t="s">
        <v>1269</v>
      </c>
      <c r="L2319" s="157" t="s">
        <v>9769</v>
      </c>
      <c r="M2319" s="157" t="str">
        <f t="shared" si="51"/>
        <v>Headlamp Assy' H1 + H7 + P21W + P5W Right - Low Beam Right</v>
      </c>
      <c r="N2319" s="157"/>
      <c r="O2319" s="157"/>
      <c r="P2319" s="159" t="s">
        <v>3268</v>
      </c>
      <c r="Q2319" s="157" t="s">
        <v>2115</v>
      </c>
      <c r="R2319" s="157" t="s">
        <v>8266</v>
      </c>
      <c r="S2319" s="157" t="s">
        <v>8626</v>
      </c>
      <c r="T2319" s="157"/>
      <c r="U2319" s="159" t="s">
        <v>2138</v>
      </c>
      <c r="V2319" s="159" t="s">
        <v>2129</v>
      </c>
      <c r="W2319" s="159" t="s">
        <v>2129</v>
      </c>
      <c r="X2319" s="160">
        <v>0</v>
      </c>
      <c r="Y2319" s="160">
        <v>0</v>
      </c>
      <c r="Z2319" s="160">
        <v>1</v>
      </c>
      <c r="AA2319" s="160">
        <v>1</v>
      </c>
    </row>
    <row r="2320" spans="1:27" ht="18" customHeight="1" x14ac:dyDescent="0.25">
      <c r="A2320" s="159">
        <v>6100</v>
      </c>
      <c r="B2320" s="157" t="s">
        <v>29</v>
      </c>
      <c r="C2320" s="157" t="s">
        <v>30</v>
      </c>
      <c r="D2320" s="159" t="s">
        <v>398</v>
      </c>
      <c r="E2320" s="157" t="s">
        <v>396</v>
      </c>
      <c r="F2320" s="157" t="s">
        <v>1264</v>
      </c>
      <c r="G2320" s="157" t="s">
        <v>1536</v>
      </c>
      <c r="H2320" s="157" t="s">
        <v>1287</v>
      </c>
      <c r="I2320" s="157" t="s">
        <v>9770</v>
      </c>
      <c r="J2320" s="157" t="s">
        <v>1577</v>
      </c>
      <c r="K2320" s="157" t="s">
        <v>1269</v>
      </c>
      <c r="L2320" s="157" t="s">
        <v>9769</v>
      </c>
      <c r="M2320" s="157" t="str">
        <f t="shared" si="51"/>
        <v>Headlamp Assy' H1 + H7 + P21W + P5W Right - Grounding</v>
      </c>
      <c r="N2320" s="157"/>
      <c r="O2320" s="157"/>
      <c r="P2320" s="159" t="s">
        <v>3268</v>
      </c>
      <c r="Q2320" s="157" t="s">
        <v>2115</v>
      </c>
      <c r="R2320" s="157" t="s">
        <v>8266</v>
      </c>
      <c r="S2320" s="157" t="s">
        <v>8626</v>
      </c>
      <c r="T2320" s="157"/>
      <c r="U2320" s="159" t="s">
        <v>2138</v>
      </c>
      <c r="V2320" s="159" t="s">
        <v>2129</v>
      </c>
      <c r="W2320" s="159" t="s">
        <v>2129</v>
      </c>
      <c r="X2320" s="160">
        <v>0</v>
      </c>
      <c r="Y2320" s="160">
        <v>0</v>
      </c>
      <c r="Z2320" s="160">
        <v>1</v>
      </c>
      <c r="AA2320" s="160">
        <v>1</v>
      </c>
    </row>
    <row r="2321" spans="1:27" ht="18" customHeight="1" x14ac:dyDescent="0.25">
      <c r="A2321" s="159">
        <v>6100</v>
      </c>
      <c r="B2321" s="157" t="s">
        <v>266</v>
      </c>
      <c r="C2321" s="157" t="s">
        <v>286</v>
      </c>
      <c r="D2321" s="159" t="s">
        <v>289</v>
      </c>
      <c r="E2321" s="157" t="s">
        <v>287</v>
      </c>
      <c r="F2321" s="157" t="s">
        <v>1277</v>
      </c>
      <c r="G2321" s="157" t="s">
        <v>1536</v>
      </c>
      <c r="H2321" s="157" t="s">
        <v>1287</v>
      </c>
      <c r="I2321" s="157" t="s">
        <v>9774</v>
      </c>
      <c r="J2321" s="157" t="s">
        <v>1577</v>
      </c>
      <c r="K2321" s="157" t="s">
        <v>1269</v>
      </c>
      <c r="L2321" s="157" t="s">
        <v>9769</v>
      </c>
      <c r="M2321" s="157" t="str">
        <f t="shared" si="51"/>
        <v>Headlamp Assy' H1 + H7 + P21W + P5W Right - Low Beam Right</v>
      </c>
      <c r="N2321" s="157"/>
      <c r="O2321" s="157"/>
      <c r="P2321" s="159" t="s">
        <v>3268</v>
      </c>
      <c r="Q2321" s="157" t="s">
        <v>2115</v>
      </c>
      <c r="R2321" s="157" t="s">
        <v>8266</v>
      </c>
      <c r="S2321" s="157" t="s">
        <v>8626</v>
      </c>
      <c r="T2321" s="157"/>
      <c r="U2321" s="159" t="s">
        <v>2138</v>
      </c>
      <c r="V2321" s="159" t="s">
        <v>2129</v>
      </c>
      <c r="W2321" s="159" t="s">
        <v>2129</v>
      </c>
      <c r="X2321" s="160">
        <v>0</v>
      </c>
      <c r="Y2321" s="160">
        <v>0</v>
      </c>
      <c r="Z2321" s="160">
        <v>1</v>
      </c>
      <c r="AA2321" s="160">
        <v>1</v>
      </c>
    </row>
    <row r="2322" spans="1:27" ht="18" customHeight="1" x14ac:dyDescent="0.25">
      <c r="A2322" s="159">
        <v>6103</v>
      </c>
      <c r="B2322" s="157" t="s">
        <v>29</v>
      </c>
      <c r="C2322" s="157" t="s">
        <v>30</v>
      </c>
      <c r="D2322" s="159" t="s">
        <v>185</v>
      </c>
      <c r="E2322" s="157" t="s">
        <v>391</v>
      </c>
      <c r="F2322" s="157" t="s">
        <v>1275</v>
      </c>
      <c r="G2322" s="157" t="s">
        <v>1536</v>
      </c>
      <c r="H2322" s="157" t="s">
        <v>1287</v>
      </c>
      <c r="I2322" s="157" t="s">
        <v>1459</v>
      </c>
      <c r="J2322" s="157" t="s">
        <v>1340</v>
      </c>
      <c r="K2322" s="157" t="s">
        <v>1269</v>
      </c>
      <c r="L2322" s="157" t="s">
        <v>9764</v>
      </c>
      <c r="M2322" s="157" t="str">
        <f t="shared" si="51"/>
        <v>Headlamp Assy' Full LED Right - Power Supply</v>
      </c>
      <c r="N2322" s="157"/>
      <c r="O2322" s="157"/>
      <c r="P2322" s="159" t="s">
        <v>3268</v>
      </c>
      <c r="Q2322" s="157" t="s">
        <v>2115</v>
      </c>
      <c r="R2322" s="157" t="s">
        <v>8263</v>
      </c>
      <c r="S2322" s="157" t="s">
        <v>8615</v>
      </c>
      <c r="T2322" s="157"/>
      <c r="U2322" s="159" t="s">
        <v>2129</v>
      </c>
      <c r="V2322" s="159" t="s">
        <v>2138</v>
      </c>
      <c r="W2322" s="159" t="s">
        <v>2129</v>
      </c>
      <c r="X2322" s="160">
        <v>0.24</v>
      </c>
      <c r="Y2322" s="160">
        <v>0.24</v>
      </c>
      <c r="Z2322" s="160">
        <f>(3*0.24+4.67*(2*1/(20*60))+4.67*1)/12.34</f>
        <v>0.43742166396542409</v>
      </c>
      <c r="AA2322" s="160">
        <f>(3*0.24+4.67*0.3+4.67*1)/12.34</f>
        <v>0.55032414910858996</v>
      </c>
    </row>
    <row r="2323" spans="1:27" ht="18" customHeight="1" x14ac:dyDescent="0.25">
      <c r="A2323" s="159">
        <v>6103</v>
      </c>
      <c r="B2323" s="157" t="s">
        <v>29</v>
      </c>
      <c r="C2323" s="157" t="s">
        <v>30</v>
      </c>
      <c r="D2323" s="159" t="s">
        <v>395</v>
      </c>
      <c r="E2323" s="157" t="s">
        <v>393</v>
      </c>
      <c r="F2323" s="157" t="s">
        <v>1277</v>
      </c>
      <c r="G2323" s="157" t="s">
        <v>1536</v>
      </c>
      <c r="H2323" s="157" t="s">
        <v>1287</v>
      </c>
      <c r="I2323" s="157" t="s">
        <v>1459</v>
      </c>
      <c r="J2323" s="157" t="s">
        <v>1340</v>
      </c>
      <c r="K2323" s="157" t="s">
        <v>1269</v>
      </c>
      <c r="L2323" s="157" t="s">
        <v>9764</v>
      </c>
      <c r="M2323" s="157" t="str">
        <f t="shared" si="51"/>
        <v>Headlamp Assy' Full LED Right - Power Supply</v>
      </c>
      <c r="N2323" s="157"/>
      <c r="O2323" s="157"/>
      <c r="P2323" s="159" t="s">
        <v>3268</v>
      </c>
      <c r="Q2323" s="157" t="s">
        <v>2115</v>
      </c>
      <c r="R2323" s="157" t="s">
        <v>8263</v>
      </c>
      <c r="S2323" s="157" t="s">
        <v>8615</v>
      </c>
      <c r="T2323" s="157"/>
      <c r="U2323" s="159" t="s">
        <v>2129</v>
      </c>
      <c r="V2323" s="159" t="s">
        <v>2138</v>
      </c>
      <c r="W2323" s="159" t="s">
        <v>2129</v>
      </c>
      <c r="X2323" s="160">
        <v>0.24</v>
      </c>
      <c r="Y2323" s="160">
        <v>0.24</v>
      </c>
      <c r="Z2323" s="160">
        <f>(3*0.24+4.67*(2*1/(20*60))+4.67*1)/12.34</f>
        <v>0.43742166396542409</v>
      </c>
      <c r="AA2323" s="160">
        <f>(3*0.24+4.67*0.3+4.67*1)/12.34</f>
        <v>0.55032414910858996</v>
      </c>
    </row>
    <row r="2324" spans="1:27" ht="18" customHeight="1" x14ac:dyDescent="0.25">
      <c r="A2324" s="159">
        <v>6103</v>
      </c>
      <c r="B2324" s="157" t="s">
        <v>29</v>
      </c>
      <c r="C2324" s="157" t="s">
        <v>30</v>
      </c>
      <c r="D2324" s="159" t="s">
        <v>398</v>
      </c>
      <c r="E2324" s="157" t="s">
        <v>396</v>
      </c>
      <c r="F2324" s="157" t="s">
        <v>1264</v>
      </c>
      <c r="G2324" s="157" t="s">
        <v>1536</v>
      </c>
      <c r="H2324" s="157" t="s">
        <v>1287</v>
      </c>
      <c r="I2324" s="157" t="s">
        <v>1459</v>
      </c>
      <c r="J2324" s="157" t="s">
        <v>1340</v>
      </c>
      <c r="K2324" s="157" t="s">
        <v>1269</v>
      </c>
      <c r="L2324" s="157" t="s">
        <v>9764</v>
      </c>
      <c r="M2324" s="157" t="str">
        <f t="shared" si="51"/>
        <v>Headlamp Assy' Full LED Right - Power Supply</v>
      </c>
      <c r="N2324" s="157"/>
      <c r="O2324" s="157"/>
      <c r="P2324" s="159" t="s">
        <v>3268</v>
      </c>
      <c r="Q2324" s="157" t="s">
        <v>2115</v>
      </c>
      <c r="R2324" s="157" t="s">
        <v>8263</v>
      </c>
      <c r="S2324" s="157" t="s">
        <v>8615</v>
      </c>
      <c r="T2324" s="157"/>
      <c r="U2324" s="159" t="s">
        <v>2129</v>
      </c>
      <c r="V2324" s="159" t="s">
        <v>2138</v>
      </c>
      <c r="W2324" s="159" t="s">
        <v>2129</v>
      </c>
      <c r="X2324" s="160">
        <v>0.24</v>
      </c>
      <c r="Y2324" s="160">
        <v>0.24</v>
      </c>
      <c r="Z2324" s="160">
        <f>(3*0.24+4.67*(2*1/(20*60))+4.67*1)/12.34</f>
        <v>0.43742166396542409</v>
      </c>
      <c r="AA2324" s="160">
        <f>(3*0.24+4.67*0.3+4.67*1)/12.34</f>
        <v>0.55032414910858996</v>
      </c>
    </row>
    <row r="2325" spans="1:27" ht="18" customHeight="1" x14ac:dyDescent="0.25">
      <c r="A2325" s="159">
        <v>6103</v>
      </c>
      <c r="B2325" s="157" t="s">
        <v>266</v>
      </c>
      <c r="C2325" s="157" t="s">
        <v>286</v>
      </c>
      <c r="D2325" s="159" t="s">
        <v>289</v>
      </c>
      <c r="E2325" s="157" t="s">
        <v>287</v>
      </c>
      <c r="F2325" s="157" t="s">
        <v>1277</v>
      </c>
      <c r="G2325" s="157" t="s">
        <v>1536</v>
      </c>
      <c r="H2325" s="157" t="s">
        <v>1287</v>
      </c>
      <c r="I2325" s="157" t="s">
        <v>1459</v>
      </c>
      <c r="J2325" s="157" t="s">
        <v>1340</v>
      </c>
      <c r="K2325" s="157" t="s">
        <v>1269</v>
      </c>
      <c r="L2325" s="157" t="s">
        <v>9764</v>
      </c>
      <c r="M2325" s="157" t="str">
        <f t="shared" si="51"/>
        <v>Headlamp Assy' Full LED Right - Power Supply</v>
      </c>
      <c r="N2325" s="157"/>
      <c r="O2325" s="157"/>
      <c r="P2325" s="159" t="s">
        <v>3268</v>
      </c>
      <c r="Q2325" s="157" t="s">
        <v>2115</v>
      </c>
      <c r="R2325" s="157" t="s">
        <v>8263</v>
      </c>
      <c r="S2325" s="157" t="s">
        <v>8615</v>
      </c>
      <c r="T2325" s="157"/>
      <c r="U2325" s="159" t="s">
        <v>2129</v>
      </c>
      <c r="V2325" s="159" t="s">
        <v>2138</v>
      </c>
      <c r="W2325" s="159" t="s">
        <v>2129</v>
      </c>
      <c r="X2325" s="160">
        <v>0.24</v>
      </c>
      <c r="Y2325" s="160">
        <v>0.24</v>
      </c>
      <c r="Z2325" s="160">
        <f>(3*0.24+4.67*(2*1/(20*60))+4.67*1)/12.34</f>
        <v>0.43742166396542409</v>
      </c>
      <c r="AA2325" s="160">
        <f>(3*0.24+4.67*0.3+4.67*1)/12.34</f>
        <v>0.55032414910858996</v>
      </c>
    </row>
    <row r="2326" spans="1:27" ht="18" customHeight="1" x14ac:dyDescent="0.25">
      <c r="A2326" s="159">
        <v>6106</v>
      </c>
      <c r="B2326" s="157" t="s">
        <v>29</v>
      </c>
      <c r="C2326" s="157" t="s">
        <v>30</v>
      </c>
      <c r="D2326" s="159" t="s">
        <v>185</v>
      </c>
      <c r="E2326" s="157" t="s">
        <v>391</v>
      </c>
      <c r="F2326" s="157" t="s">
        <v>1275</v>
      </c>
      <c r="G2326" s="157" t="s">
        <v>1536</v>
      </c>
      <c r="H2326" s="157" t="s">
        <v>1287</v>
      </c>
      <c r="I2326" s="157" t="s">
        <v>9755</v>
      </c>
      <c r="J2326" s="157" t="s">
        <v>1709</v>
      </c>
      <c r="K2326" s="157" t="s">
        <v>1269</v>
      </c>
      <c r="L2326" s="157" t="s">
        <v>9765</v>
      </c>
      <c r="M2326" s="157" t="str">
        <f t="shared" si="51"/>
        <v>Headlamp Assy' Full LED Matrix Right - Position Lamp Right</v>
      </c>
      <c r="N2326" s="157"/>
      <c r="O2326" s="157"/>
      <c r="P2326" s="159" t="s">
        <v>3268</v>
      </c>
      <c r="Q2326" s="157" t="s">
        <v>2115</v>
      </c>
      <c r="R2326" s="157" t="s">
        <v>8262</v>
      </c>
      <c r="S2326" s="157" t="s">
        <v>8634</v>
      </c>
      <c r="T2326" s="157"/>
      <c r="U2326" s="159" t="s">
        <v>2129</v>
      </c>
      <c r="V2326" s="159" t="s">
        <v>2129</v>
      </c>
      <c r="W2326" s="159" t="s">
        <v>2138</v>
      </c>
      <c r="X2326" s="160">
        <v>0</v>
      </c>
      <c r="Y2326" s="160">
        <v>0</v>
      </c>
      <c r="Z2326" s="160">
        <v>1</v>
      </c>
      <c r="AA2326" s="160">
        <v>1</v>
      </c>
    </row>
    <row r="2327" spans="1:27" ht="18" customHeight="1" x14ac:dyDescent="0.25">
      <c r="A2327" s="159">
        <v>6106</v>
      </c>
      <c r="B2327" s="157" t="s">
        <v>29</v>
      </c>
      <c r="C2327" s="157" t="s">
        <v>30</v>
      </c>
      <c r="D2327" s="159" t="s">
        <v>395</v>
      </c>
      <c r="E2327" s="157" t="s">
        <v>393</v>
      </c>
      <c r="F2327" s="157" t="s">
        <v>1277</v>
      </c>
      <c r="G2327" s="157" t="s">
        <v>1536</v>
      </c>
      <c r="H2327" s="157" t="s">
        <v>1287</v>
      </c>
      <c r="I2327" s="157" t="s">
        <v>9755</v>
      </c>
      <c r="J2327" s="157" t="s">
        <v>1709</v>
      </c>
      <c r="K2327" s="157" t="s">
        <v>1269</v>
      </c>
      <c r="L2327" s="157" t="s">
        <v>9765</v>
      </c>
      <c r="M2327" s="157" t="str">
        <f t="shared" si="51"/>
        <v>Headlamp Assy' Full LED Matrix Right - Position Lamp Right</v>
      </c>
      <c r="N2327" s="157"/>
      <c r="O2327" s="157"/>
      <c r="P2327" s="159" t="s">
        <v>3268</v>
      </c>
      <c r="Q2327" s="157" t="s">
        <v>2115</v>
      </c>
      <c r="R2327" s="157" t="s">
        <v>8262</v>
      </c>
      <c r="S2327" s="157" t="s">
        <v>8634</v>
      </c>
      <c r="T2327" s="157"/>
      <c r="U2327" s="159" t="s">
        <v>2129</v>
      </c>
      <c r="V2327" s="159" t="s">
        <v>2129</v>
      </c>
      <c r="W2327" s="159" t="s">
        <v>2138</v>
      </c>
      <c r="X2327" s="160">
        <v>0</v>
      </c>
      <c r="Y2327" s="160">
        <v>0</v>
      </c>
      <c r="Z2327" s="160">
        <v>1</v>
      </c>
      <c r="AA2327" s="160">
        <v>1</v>
      </c>
    </row>
    <row r="2328" spans="1:27" ht="18" customHeight="1" x14ac:dyDescent="0.25">
      <c r="A2328" s="159">
        <v>6106</v>
      </c>
      <c r="B2328" s="157" t="s">
        <v>29</v>
      </c>
      <c r="C2328" s="157" t="s">
        <v>30</v>
      </c>
      <c r="D2328" s="159" t="s">
        <v>398</v>
      </c>
      <c r="E2328" s="157" t="s">
        <v>396</v>
      </c>
      <c r="F2328" s="157" t="s">
        <v>1264</v>
      </c>
      <c r="G2328" s="157" t="s">
        <v>1536</v>
      </c>
      <c r="H2328" s="157" t="s">
        <v>1287</v>
      </c>
      <c r="I2328" s="157" t="s">
        <v>9755</v>
      </c>
      <c r="J2328" s="157" t="s">
        <v>1709</v>
      </c>
      <c r="K2328" s="157" t="s">
        <v>1269</v>
      </c>
      <c r="L2328" s="157" t="s">
        <v>9765</v>
      </c>
      <c r="M2328" s="157" t="str">
        <f t="shared" si="51"/>
        <v>Headlamp Assy' Full LED Matrix Right - Position Lamp Right</v>
      </c>
      <c r="N2328" s="157"/>
      <c r="O2328" s="157"/>
      <c r="P2328" s="159" t="s">
        <v>3268</v>
      </c>
      <c r="Q2328" s="157" t="s">
        <v>2115</v>
      </c>
      <c r="R2328" s="157" t="s">
        <v>8262</v>
      </c>
      <c r="S2328" s="157" t="s">
        <v>8634</v>
      </c>
      <c r="T2328" s="157"/>
      <c r="U2328" s="159" t="s">
        <v>2129</v>
      </c>
      <c r="V2328" s="159" t="s">
        <v>2129</v>
      </c>
      <c r="W2328" s="159" t="s">
        <v>2138</v>
      </c>
      <c r="X2328" s="160">
        <v>0</v>
      </c>
      <c r="Y2328" s="160">
        <v>0</v>
      </c>
      <c r="Z2328" s="160">
        <v>1</v>
      </c>
      <c r="AA2328" s="160">
        <v>1</v>
      </c>
    </row>
    <row r="2329" spans="1:27" ht="18" customHeight="1" x14ac:dyDescent="0.25">
      <c r="A2329" s="159">
        <v>6106</v>
      </c>
      <c r="B2329" s="157" t="s">
        <v>266</v>
      </c>
      <c r="C2329" s="157" t="s">
        <v>286</v>
      </c>
      <c r="D2329" s="159" t="s">
        <v>289</v>
      </c>
      <c r="E2329" s="157" t="s">
        <v>287</v>
      </c>
      <c r="F2329" s="157" t="s">
        <v>1277</v>
      </c>
      <c r="G2329" s="157" t="s">
        <v>1536</v>
      </c>
      <c r="H2329" s="157" t="s">
        <v>1287</v>
      </c>
      <c r="I2329" s="157" t="s">
        <v>9755</v>
      </c>
      <c r="J2329" s="157" t="s">
        <v>1709</v>
      </c>
      <c r="K2329" s="157" t="s">
        <v>1269</v>
      </c>
      <c r="L2329" s="157" t="s">
        <v>9765</v>
      </c>
      <c r="M2329" s="157" t="str">
        <f t="shared" si="51"/>
        <v>Headlamp Assy' Full LED Matrix Right - Position Lamp Right</v>
      </c>
      <c r="N2329" s="157"/>
      <c r="O2329" s="157"/>
      <c r="P2329" s="159" t="s">
        <v>3268</v>
      </c>
      <c r="Q2329" s="157" t="s">
        <v>2115</v>
      </c>
      <c r="R2329" s="157" t="s">
        <v>8262</v>
      </c>
      <c r="S2329" s="157" t="s">
        <v>8634</v>
      </c>
      <c r="T2329" s="157"/>
      <c r="U2329" s="159" t="s">
        <v>2129</v>
      </c>
      <c r="V2329" s="159" t="s">
        <v>2129</v>
      </c>
      <c r="W2329" s="159" t="s">
        <v>2138</v>
      </c>
      <c r="X2329" s="160">
        <v>0</v>
      </c>
      <c r="Y2329" s="160">
        <v>0</v>
      </c>
      <c r="Z2329" s="160">
        <v>1</v>
      </c>
      <c r="AA2329" s="160">
        <v>1</v>
      </c>
    </row>
    <row r="2330" spans="1:27" ht="18" customHeight="1" x14ac:dyDescent="0.25">
      <c r="A2330" s="159">
        <v>6109</v>
      </c>
      <c r="B2330" s="157" t="s">
        <v>29</v>
      </c>
      <c r="C2330" s="157" t="s">
        <v>30</v>
      </c>
      <c r="D2330" s="159" t="s">
        <v>185</v>
      </c>
      <c r="E2330" s="157" t="s">
        <v>391</v>
      </c>
      <c r="F2330" s="157" t="s">
        <v>1275</v>
      </c>
      <c r="G2330" s="157" t="s">
        <v>1536</v>
      </c>
      <c r="H2330" s="157" t="s">
        <v>1287</v>
      </c>
      <c r="I2330" s="157" t="s">
        <v>9772</v>
      </c>
      <c r="J2330" s="157" t="s">
        <v>1576</v>
      </c>
      <c r="K2330" s="157" t="s">
        <v>1269</v>
      </c>
      <c r="L2330" s="157" t="s">
        <v>9767</v>
      </c>
      <c r="M2330" s="157" t="str">
        <f t="shared" si="51"/>
        <v>Headlamp Assy' H4 + P21W + P5W Right - High Beam Right</v>
      </c>
      <c r="N2330" s="157"/>
      <c r="O2330" s="157"/>
      <c r="P2330" s="159" t="s">
        <v>3268</v>
      </c>
      <c r="Q2330" s="157" t="s">
        <v>2115</v>
      </c>
      <c r="R2330" s="157" t="s">
        <v>8264</v>
      </c>
      <c r="S2330" s="157" t="s">
        <v>8625</v>
      </c>
      <c r="T2330" s="157"/>
      <c r="U2330" s="159" t="s">
        <v>2129</v>
      </c>
      <c r="V2330" s="159" t="s">
        <v>2129</v>
      </c>
      <c r="W2330" s="159" t="s">
        <v>2129</v>
      </c>
      <c r="X2330" s="160">
        <v>0</v>
      </c>
      <c r="Y2330" s="160">
        <v>0</v>
      </c>
      <c r="Z2330" s="160">
        <f>2*1/(20*60)</f>
        <v>1.6666666666666668E-3</v>
      </c>
      <c r="AA2330" s="160">
        <v>0.3</v>
      </c>
    </row>
    <row r="2331" spans="1:27" ht="18" customHeight="1" x14ac:dyDescent="0.25">
      <c r="A2331" s="159">
        <v>6109</v>
      </c>
      <c r="B2331" s="157" t="s">
        <v>29</v>
      </c>
      <c r="C2331" s="157" t="s">
        <v>30</v>
      </c>
      <c r="D2331" s="159" t="s">
        <v>395</v>
      </c>
      <c r="E2331" s="157" t="s">
        <v>393</v>
      </c>
      <c r="F2331" s="157" t="s">
        <v>1277</v>
      </c>
      <c r="G2331" s="157" t="s">
        <v>1536</v>
      </c>
      <c r="H2331" s="157" t="s">
        <v>1287</v>
      </c>
      <c r="I2331" s="157" t="s">
        <v>9772</v>
      </c>
      <c r="J2331" s="157" t="s">
        <v>1576</v>
      </c>
      <c r="K2331" s="157" t="s">
        <v>1269</v>
      </c>
      <c r="L2331" s="157" t="s">
        <v>9767</v>
      </c>
      <c r="M2331" s="157" t="str">
        <f t="shared" si="51"/>
        <v>Headlamp Assy' H4 + P21W + P5W Right - High Beam Right</v>
      </c>
      <c r="N2331" s="157"/>
      <c r="O2331" s="157"/>
      <c r="P2331" s="159" t="s">
        <v>3268</v>
      </c>
      <c r="Q2331" s="157" t="s">
        <v>2115</v>
      </c>
      <c r="R2331" s="157" t="s">
        <v>8264</v>
      </c>
      <c r="S2331" s="157" t="s">
        <v>8625</v>
      </c>
      <c r="T2331" s="157"/>
      <c r="U2331" s="159" t="s">
        <v>2129</v>
      </c>
      <c r="V2331" s="159" t="s">
        <v>2129</v>
      </c>
      <c r="W2331" s="159" t="s">
        <v>2129</v>
      </c>
      <c r="X2331" s="160">
        <v>0</v>
      </c>
      <c r="Y2331" s="160">
        <v>0</v>
      </c>
      <c r="Z2331" s="160">
        <f>2*1/(20*60)</f>
        <v>1.6666666666666668E-3</v>
      </c>
      <c r="AA2331" s="160">
        <v>0.3</v>
      </c>
    </row>
    <row r="2332" spans="1:27" ht="18" customHeight="1" x14ac:dyDescent="0.25">
      <c r="A2332" s="159">
        <v>6109</v>
      </c>
      <c r="B2332" s="157" t="s">
        <v>29</v>
      </c>
      <c r="C2332" s="157" t="s">
        <v>30</v>
      </c>
      <c r="D2332" s="159" t="s">
        <v>398</v>
      </c>
      <c r="E2332" s="157" t="s">
        <v>396</v>
      </c>
      <c r="F2332" s="157" t="s">
        <v>1264</v>
      </c>
      <c r="G2332" s="157" t="s">
        <v>1536</v>
      </c>
      <c r="H2332" s="157" t="s">
        <v>1287</v>
      </c>
      <c r="I2332" s="157" t="s">
        <v>9770</v>
      </c>
      <c r="J2332" s="157" t="s">
        <v>1576</v>
      </c>
      <c r="K2332" s="157" t="s">
        <v>1269</v>
      </c>
      <c r="L2332" s="157" t="s">
        <v>9767</v>
      </c>
      <c r="M2332" s="157" t="str">
        <f t="shared" si="51"/>
        <v>Headlamp Assy' H4 + P21W + P5W Right - Grounding</v>
      </c>
      <c r="N2332" s="157"/>
      <c r="O2332" s="157"/>
      <c r="P2332" s="159" t="s">
        <v>3268</v>
      </c>
      <c r="Q2332" s="157" t="s">
        <v>2115</v>
      </c>
      <c r="R2332" s="157" t="s">
        <v>8264</v>
      </c>
      <c r="S2332" s="157" t="s">
        <v>8625</v>
      </c>
      <c r="T2332" s="157"/>
      <c r="U2332" s="159" t="s">
        <v>2129</v>
      </c>
      <c r="V2332" s="159" t="s">
        <v>2129</v>
      </c>
      <c r="W2332" s="159" t="s">
        <v>2129</v>
      </c>
      <c r="X2332" s="160">
        <v>0</v>
      </c>
      <c r="Y2332" s="160">
        <v>0</v>
      </c>
      <c r="Z2332" s="160">
        <v>1</v>
      </c>
      <c r="AA2332" s="160">
        <v>1</v>
      </c>
    </row>
    <row r="2333" spans="1:27" ht="18" customHeight="1" x14ac:dyDescent="0.25">
      <c r="A2333" s="159">
        <v>6109</v>
      </c>
      <c r="B2333" s="157" t="s">
        <v>266</v>
      </c>
      <c r="C2333" s="157" t="s">
        <v>286</v>
      </c>
      <c r="D2333" s="159" t="s">
        <v>289</v>
      </c>
      <c r="E2333" s="157" t="s">
        <v>287</v>
      </c>
      <c r="F2333" s="157" t="s">
        <v>1277</v>
      </c>
      <c r="G2333" s="157" t="s">
        <v>1536</v>
      </c>
      <c r="H2333" s="157" t="s">
        <v>1287</v>
      </c>
      <c r="I2333" s="157" t="s">
        <v>9772</v>
      </c>
      <c r="J2333" s="157" t="s">
        <v>1576</v>
      </c>
      <c r="K2333" s="157" t="s">
        <v>1269</v>
      </c>
      <c r="L2333" s="157" t="s">
        <v>9767</v>
      </c>
      <c r="M2333" s="157" t="str">
        <f t="shared" si="51"/>
        <v>Headlamp Assy' H4 + P21W + P5W Right - High Beam Right</v>
      </c>
      <c r="N2333" s="157"/>
      <c r="O2333" s="157"/>
      <c r="P2333" s="159" t="s">
        <v>3268</v>
      </c>
      <c r="Q2333" s="157" t="s">
        <v>2115</v>
      </c>
      <c r="R2333" s="157" t="s">
        <v>8264</v>
      </c>
      <c r="S2333" s="157" t="s">
        <v>8625</v>
      </c>
      <c r="T2333" s="157"/>
      <c r="U2333" s="159" t="s">
        <v>2129</v>
      </c>
      <c r="V2333" s="159" t="s">
        <v>2129</v>
      </c>
      <c r="W2333" s="159" t="s">
        <v>2129</v>
      </c>
      <c r="X2333" s="160">
        <v>0</v>
      </c>
      <c r="Y2333" s="160">
        <v>0</v>
      </c>
      <c r="Z2333" s="160">
        <f>2*1/(20*60)</f>
        <v>1.6666666666666668E-3</v>
      </c>
      <c r="AA2333" s="160">
        <v>0.3</v>
      </c>
    </row>
    <row r="2334" spans="1:27" ht="18" customHeight="1" x14ac:dyDescent="0.25">
      <c r="A2334" s="159">
        <v>6112</v>
      </c>
      <c r="B2334" s="157" t="s">
        <v>29</v>
      </c>
      <c r="C2334" s="157" t="s">
        <v>30</v>
      </c>
      <c r="D2334" s="159" t="s">
        <v>185</v>
      </c>
      <c r="E2334" s="157" t="s">
        <v>391</v>
      </c>
      <c r="F2334" s="157" t="s">
        <v>1275</v>
      </c>
      <c r="G2334" s="157" t="s">
        <v>1536</v>
      </c>
      <c r="H2334" s="157" t="s">
        <v>1287</v>
      </c>
      <c r="I2334" s="157" t="s">
        <v>9775</v>
      </c>
      <c r="J2334" s="157" t="s">
        <v>1575</v>
      </c>
      <c r="K2334" s="157" t="s">
        <v>1269</v>
      </c>
      <c r="L2334" s="157" t="s">
        <v>9762</v>
      </c>
      <c r="M2334" s="157" t="str">
        <f t="shared" si="51"/>
        <v>Headlamp Assy' Xenon + LED Right - Daytime Runlight</v>
      </c>
      <c r="N2334" s="157"/>
      <c r="O2334" s="157"/>
      <c r="P2334" s="159" t="s">
        <v>3268</v>
      </c>
      <c r="Q2334" s="157" t="s">
        <v>2115</v>
      </c>
      <c r="R2334" s="157" t="s">
        <v>8265</v>
      </c>
      <c r="S2334" s="157" t="s">
        <v>8624</v>
      </c>
      <c r="T2334" s="157"/>
      <c r="U2334" s="159" t="s">
        <v>2129</v>
      </c>
      <c r="V2334" s="159" t="s">
        <v>2129</v>
      </c>
      <c r="W2334" s="159" t="s">
        <v>2129</v>
      </c>
      <c r="X2334" s="160">
        <v>1</v>
      </c>
      <c r="Y2334" s="160">
        <v>1</v>
      </c>
      <c r="Z2334" s="160">
        <v>0.5</v>
      </c>
      <c r="AA2334" s="160">
        <v>0.5</v>
      </c>
    </row>
    <row r="2335" spans="1:27" ht="18" customHeight="1" x14ac:dyDescent="0.25">
      <c r="A2335" s="159">
        <v>6112</v>
      </c>
      <c r="B2335" s="157" t="s">
        <v>29</v>
      </c>
      <c r="C2335" s="157" t="s">
        <v>30</v>
      </c>
      <c r="D2335" s="159" t="s">
        <v>395</v>
      </c>
      <c r="E2335" s="157" t="s">
        <v>393</v>
      </c>
      <c r="F2335" s="157" t="s">
        <v>1277</v>
      </c>
      <c r="G2335" s="157" t="s">
        <v>1536</v>
      </c>
      <c r="H2335" s="157" t="s">
        <v>1287</v>
      </c>
      <c r="I2335" s="157" t="s">
        <v>9775</v>
      </c>
      <c r="J2335" s="157" t="s">
        <v>1575</v>
      </c>
      <c r="K2335" s="157" t="s">
        <v>1269</v>
      </c>
      <c r="L2335" s="157" t="s">
        <v>9762</v>
      </c>
      <c r="M2335" s="157" t="str">
        <f t="shared" si="51"/>
        <v>Headlamp Assy' Xenon + LED Right - Daytime Runlight</v>
      </c>
      <c r="N2335" s="157"/>
      <c r="O2335" s="157"/>
      <c r="P2335" s="159" t="s">
        <v>3268</v>
      </c>
      <c r="Q2335" s="157" t="s">
        <v>2115</v>
      </c>
      <c r="R2335" s="157" t="s">
        <v>8265</v>
      </c>
      <c r="S2335" s="157" t="s">
        <v>8624</v>
      </c>
      <c r="T2335" s="157"/>
      <c r="U2335" s="159" t="s">
        <v>2129</v>
      </c>
      <c r="V2335" s="159" t="s">
        <v>2129</v>
      </c>
      <c r="W2335" s="159" t="s">
        <v>2129</v>
      </c>
      <c r="X2335" s="160">
        <v>1</v>
      </c>
      <c r="Y2335" s="160">
        <v>1</v>
      </c>
      <c r="Z2335" s="160">
        <v>0.5</v>
      </c>
      <c r="AA2335" s="160">
        <v>0.5</v>
      </c>
    </row>
    <row r="2336" spans="1:27" ht="18" customHeight="1" x14ac:dyDescent="0.25">
      <c r="A2336" s="159">
        <v>6112</v>
      </c>
      <c r="B2336" s="157" t="s">
        <v>29</v>
      </c>
      <c r="C2336" s="157" t="s">
        <v>30</v>
      </c>
      <c r="D2336" s="159" t="s">
        <v>398</v>
      </c>
      <c r="E2336" s="157" t="s">
        <v>396</v>
      </c>
      <c r="F2336" s="157" t="s">
        <v>1264</v>
      </c>
      <c r="G2336" s="157" t="s">
        <v>1536</v>
      </c>
      <c r="H2336" s="157" t="s">
        <v>1287</v>
      </c>
      <c r="I2336" s="157" t="s">
        <v>9770</v>
      </c>
      <c r="J2336" s="157" t="s">
        <v>1575</v>
      </c>
      <c r="K2336" s="157" t="s">
        <v>1269</v>
      </c>
      <c r="L2336" s="157" t="s">
        <v>9762</v>
      </c>
      <c r="M2336" s="157" t="str">
        <f t="shared" si="51"/>
        <v>Headlamp Assy' Xenon + LED Right - Grounding</v>
      </c>
      <c r="N2336" s="157"/>
      <c r="O2336" s="157"/>
      <c r="P2336" s="159" t="s">
        <v>3268</v>
      </c>
      <c r="Q2336" s="157" t="s">
        <v>2115</v>
      </c>
      <c r="R2336" s="157" t="s">
        <v>8265</v>
      </c>
      <c r="S2336" s="157" t="s">
        <v>8624</v>
      </c>
      <c r="T2336" s="157"/>
      <c r="U2336" s="159" t="s">
        <v>2129</v>
      </c>
      <c r="V2336" s="159" t="s">
        <v>2129</v>
      </c>
      <c r="W2336" s="159" t="s">
        <v>2129</v>
      </c>
      <c r="X2336" s="160">
        <v>0</v>
      </c>
      <c r="Y2336" s="160">
        <v>0</v>
      </c>
      <c r="Z2336" s="160">
        <v>1</v>
      </c>
      <c r="AA2336" s="160">
        <v>1</v>
      </c>
    </row>
    <row r="2337" spans="1:27" ht="18" customHeight="1" x14ac:dyDescent="0.25">
      <c r="A2337" s="159">
        <v>6112</v>
      </c>
      <c r="B2337" s="157" t="s">
        <v>266</v>
      </c>
      <c r="C2337" s="157" t="s">
        <v>286</v>
      </c>
      <c r="D2337" s="159" t="s">
        <v>289</v>
      </c>
      <c r="E2337" s="157" t="s">
        <v>287</v>
      </c>
      <c r="F2337" s="157" t="s">
        <v>1277</v>
      </c>
      <c r="G2337" s="157" t="s">
        <v>1536</v>
      </c>
      <c r="H2337" s="157" t="s">
        <v>1287</v>
      </c>
      <c r="I2337" s="157" t="s">
        <v>9775</v>
      </c>
      <c r="J2337" s="157" t="s">
        <v>1575</v>
      </c>
      <c r="K2337" s="157" t="s">
        <v>1269</v>
      </c>
      <c r="L2337" s="157" t="s">
        <v>9762</v>
      </c>
      <c r="M2337" s="157" t="str">
        <f t="shared" si="51"/>
        <v>Headlamp Assy' Xenon + LED Right - Daytime Runlight</v>
      </c>
      <c r="N2337" s="157"/>
      <c r="O2337" s="157"/>
      <c r="P2337" s="159" t="s">
        <v>3268</v>
      </c>
      <c r="Q2337" s="157" t="s">
        <v>2115</v>
      </c>
      <c r="R2337" s="157" t="s">
        <v>8265</v>
      </c>
      <c r="S2337" s="157" t="s">
        <v>8624</v>
      </c>
      <c r="T2337" s="157"/>
      <c r="U2337" s="159" t="s">
        <v>2129</v>
      </c>
      <c r="V2337" s="159" t="s">
        <v>2129</v>
      </c>
      <c r="W2337" s="159" t="s">
        <v>2129</v>
      </c>
      <c r="X2337" s="160">
        <v>1</v>
      </c>
      <c r="Y2337" s="160">
        <v>1</v>
      </c>
      <c r="Z2337" s="160">
        <v>0.5</v>
      </c>
      <c r="AA2337" s="160">
        <v>0.5</v>
      </c>
    </row>
    <row r="2338" spans="1:27" ht="18" customHeight="1" x14ac:dyDescent="0.25">
      <c r="A2338" s="159">
        <v>6115</v>
      </c>
      <c r="B2338" s="157" t="s">
        <v>29</v>
      </c>
      <c r="C2338" s="157" t="s">
        <v>30</v>
      </c>
      <c r="D2338" s="159" t="s">
        <v>863</v>
      </c>
      <c r="E2338" s="157" t="s">
        <v>861</v>
      </c>
      <c r="F2338" s="157" t="s">
        <v>1264</v>
      </c>
      <c r="G2338" s="157" t="s">
        <v>1536</v>
      </c>
      <c r="H2338" s="157" t="s">
        <v>1287</v>
      </c>
      <c r="I2338" s="157" t="s">
        <v>1288</v>
      </c>
      <c r="J2338" s="157" t="s">
        <v>1289</v>
      </c>
      <c r="K2338" s="157" t="s">
        <v>1269</v>
      </c>
      <c r="L2338" s="157" t="s">
        <v>8428</v>
      </c>
      <c r="M2338" s="157" t="str">
        <f t="shared" si="51"/>
        <v>LED Lamp in Door Handle FL - Puddle Illumination</v>
      </c>
      <c r="N2338" s="157"/>
      <c r="O2338" s="157"/>
      <c r="P2338" s="159" t="s">
        <v>8180</v>
      </c>
      <c r="Q2338" s="157" t="s">
        <v>2115</v>
      </c>
      <c r="R2338" s="157" t="s">
        <v>8272</v>
      </c>
      <c r="S2338" s="157" t="s">
        <v>8629</v>
      </c>
      <c r="T2338" s="157"/>
      <c r="U2338" s="159" t="s">
        <v>2129</v>
      </c>
      <c r="V2338" s="159" t="s">
        <v>2129</v>
      </c>
      <c r="W2338" s="159" t="s">
        <v>2129</v>
      </c>
      <c r="X2338" s="160">
        <v>0</v>
      </c>
      <c r="Y2338" s="160">
        <v>0</v>
      </c>
      <c r="Z2338" s="160">
        <v>0</v>
      </c>
      <c r="AA2338" s="160">
        <v>0</v>
      </c>
    </row>
    <row r="2339" spans="1:27" ht="18" customHeight="1" x14ac:dyDescent="0.25">
      <c r="A2339" s="159">
        <v>6116</v>
      </c>
      <c r="B2339" s="157" t="s">
        <v>29</v>
      </c>
      <c r="C2339" s="157" t="s">
        <v>30</v>
      </c>
      <c r="D2339" s="159" t="s">
        <v>863</v>
      </c>
      <c r="E2339" s="157" t="s">
        <v>861</v>
      </c>
      <c r="F2339" s="157" t="s">
        <v>1264</v>
      </c>
      <c r="G2339" s="157" t="s">
        <v>1536</v>
      </c>
      <c r="H2339" s="157" t="s">
        <v>1287</v>
      </c>
      <c r="I2339" s="157" t="s">
        <v>1288</v>
      </c>
      <c r="J2339" s="157" t="s">
        <v>1289</v>
      </c>
      <c r="K2339" s="157" t="s">
        <v>1269</v>
      </c>
      <c r="L2339" s="157" t="s">
        <v>8429</v>
      </c>
      <c r="M2339" s="157" t="str">
        <f t="shared" si="51"/>
        <v>LED Lamp in Door Handle FR - Puddle Illumination</v>
      </c>
      <c r="N2339" s="157"/>
      <c r="O2339" s="157"/>
      <c r="P2339" s="159" t="s">
        <v>3619</v>
      </c>
      <c r="Q2339" s="157" t="s">
        <v>2115</v>
      </c>
      <c r="R2339" s="157" t="s">
        <v>8272</v>
      </c>
      <c r="S2339" s="157" t="s">
        <v>8629</v>
      </c>
      <c r="T2339" s="157"/>
      <c r="U2339" s="159" t="s">
        <v>2129</v>
      </c>
      <c r="V2339" s="159" t="s">
        <v>2129</v>
      </c>
      <c r="W2339" s="159" t="s">
        <v>2129</v>
      </c>
      <c r="X2339" s="160">
        <v>0</v>
      </c>
      <c r="Y2339" s="160">
        <v>0</v>
      </c>
      <c r="Z2339" s="160">
        <v>0</v>
      </c>
      <c r="AA2339" s="160">
        <v>0</v>
      </c>
    </row>
    <row r="2340" spans="1:27" ht="18" customHeight="1" x14ac:dyDescent="0.25">
      <c r="A2340" s="159">
        <v>6117</v>
      </c>
      <c r="B2340" s="157" t="s">
        <v>29</v>
      </c>
      <c r="C2340" s="157" t="s">
        <v>30</v>
      </c>
      <c r="D2340" s="159" t="s">
        <v>863</v>
      </c>
      <c r="E2340" s="157" t="s">
        <v>861</v>
      </c>
      <c r="F2340" s="157" t="s">
        <v>1264</v>
      </c>
      <c r="G2340" s="157" t="s">
        <v>1536</v>
      </c>
      <c r="H2340" s="157" t="s">
        <v>1287</v>
      </c>
      <c r="I2340" s="157" t="s">
        <v>1288</v>
      </c>
      <c r="J2340" s="157" t="s">
        <v>1289</v>
      </c>
      <c r="K2340" s="157" t="s">
        <v>1269</v>
      </c>
      <c r="L2340" s="157" t="s">
        <v>8430</v>
      </c>
      <c r="M2340" s="157" t="str">
        <f t="shared" si="51"/>
        <v>LED Lamp in Door Handle RL - Puddle Illumination</v>
      </c>
      <c r="N2340" s="157"/>
      <c r="O2340" s="157"/>
      <c r="P2340" s="159" t="s">
        <v>8206</v>
      </c>
      <c r="Q2340" s="157" t="s">
        <v>2115</v>
      </c>
      <c r="R2340" s="157" t="s">
        <v>8272</v>
      </c>
      <c r="S2340" s="157" t="s">
        <v>8629</v>
      </c>
      <c r="T2340" s="157"/>
      <c r="U2340" s="159" t="s">
        <v>2129</v>
      </c>
      <c r="V2340" s="159" t="s">
        <v>2129</v>
      </c>
      <c r="W2340" s="159" t="s">
        <v>2129</v>
      </c>
      <c r="X2340" s="160">
        <v>0</v>
      </c>
      <c r="Y2340" s="160">
        <v>0</v>
      </c>
      <c r="Z2340" s="160">
        <v>0</v>
      </c>
      <c r="AA2340" s="160">
        <v>0</v>
      </c>
    </row>
    <row r="2341" spans="1:27" ht="18" customHeight="1" x14ac:dyDescent="0.25">
      <c r="A2341" s="159">
        <v>6118</v>
      </c>
      <c r="B2341" s="157" t="s">
        <v>29</v>
      </c>
      <c r="C2341" s="157" t="s">
        <v>30</v>
      </c>
      <c r="D2341" s="159" t="s">
        <v>863</v>
      </c>
      <c r="E2341" s="157" t="s">
        <v>861</v>
      </c>
      <c r="F2341" s="157" t="s">
        <v>1264</v>
      </c>
      <c r="G2341" s="157" t="s">
        <v>1536</v>
      </c>
      <c r="H2341" s="157" t="s">
        <v>1287</v>
      </c>
      <c r="I2341" s="157" t="s">
        <v>1288</v>
      </c>
      <c r="J2341" s="157" t="s">
        <v>1289</v>
      </c>
      <c r="K2341" s="157" t="s">
        <v>1269</v>
      </c>
      <c r="L2341" s="157" t="s">
        <v>8431</v>
      </c>
      <c r="M2341" s="157" t="str">
        <f t="shared" si="51"/>
        <v>LED Lamp in Door Handle RR - Puddle Illumination</v>
      </c>
      <c r="N2341" s="157"/>
      <c r="O2341" s="157"/>
      <c r="P2341" s="159" t="s">
        <v>3645</v>
      </c>
      <c r="Q2341" s="157" t="s">
        <v>2115</v>
      </c>
      <c r="R2341" s="157" t="s">
        <v>8272</v>
      </c>
      <c r="S2341" s="157" t="s">
        <v>8629</v>
      </c>
      <c r="T2341" s="157"/>
      <c r="U2341" s="159" t="s">
        <v>2129</v>
      </c>
      <c r="V2341" s="159" t="s">
        <v>2129</v>
      </c>
      <c r="W2341" s="159" t="s">
        <v>2129</v>
      </c>
      <c r="X2341" s="160">
        <v>0</v>
      </c>
      <c r="Y2341" s="160">
        <v>0</v>
      </c>
      <c r="Z2341" s="160">
        <v>0</v>
      </c>
      <c r="AA2341" s="160">
        <v>0</v>
      </c>
    </row>
    <row r="2342" spans="1:27" ht="18" customHeight="1" x14ac:dyDescent="0.25">
      <c r="A2342" s="159">
        <v>6129</v>
      </c>
      <c r="B2342" s="157" t="s">
        <v>29</v>
      </c>
      <c r="C2342" s="157" t="s">
        <v>30</v>
      </c>
      <c r="D2342" s="159" t="s">
        <v>95</v>
      </c>
      <c r="E2342" s="157" t="s">
        <v>93</v>
      </c>
      <c r="F2342" s="157" t="s">
        <v>1277</v>
      </c>
      <c r="G2342" s="157" t="s">
        <v>1536</v>
      </c>
      <c r="H2342" s="157" t="s">
        <v>1287</v>
      </c>
      <c r="I2342" s="157" t="s">
        <v>9770</v>
      </c>
      <c r="J2342" s="157" t="s">
        <v>1340</v>
      </c>
      <c r="K2342" s="157" t="s">
        <v>1269</v>
      </c>
      <c r="L2342" s="157" t="s">
        <v>9764</v>
      </c>
      <c r="M2342" s="157" t="str">
        <f t="shared" si="51"/>
        <v>Headlamp Assy' Full LED Right - Grounding</v>
      </c>
      <c r="N2342" s="157"/>
      <c r="O2342" s="157"/>
      <c r="P2342" s="159" t="s">
        <v>3194</v>
      </c>
      <c r="Q2342" s="157"/>
      <c r="R2342" s="157"/>
      <c r="S2342" s="157"/>
      <c r="T2342" s="157"/>
      <c r="U2342" s="159" t="s">
        <v>2129</v>
      </c>
      <c r="V2342" s="159" t="s">
        <v>2129</v>
      </c>
      <c r="W2342" s="159" t="s">
        <v>2129</v>
      </c>
      <c r="X2342" s="160">
        <v>0.3</v>
      </c>
      <c r="Y2342" s="160">
        <v>0.1</v>
      </c>
      <c r="Z2342" s="160">
        <v>0.3</v>
      </c>
      <c r="AA2342" s="160">
        <v>0.1</v>
      </c>
    </row>
    <row r="2343" spans="1:27" ht="18" customHeight="1" x14ac:dyDescent="0.25">
      <c r="A2343" s="159">
        <v>6130</v>
      </c>
      <c r="B2343" s="157" t="s">
        <v>29</v>
      </c>
      <c r="C2343" s="157" t="s">
        <v>30</v>
      </c>
      <c r="D2343" s="159" t="s">
        <v>174</v>
      </c>
      <c r="E2343" s="157" t="s">
        <v>172</v>
      </c>
      <c r="F2343" s="157" t="s">
        <v>1277</v>
      </c>
      <c r="G2343" s="157" t="s">
        <v>1536</v>
      </c>
      <c r="H2343" s="157" t="s">
        <v>1287</v>
      </c>
      <c r="I2343" s="157" t="s">
        <v>9770</v>
      </c>
      <c r="J2343" s="157" t="s">
        <v>1340</v>
      </c>
      <c r="K2343" s="157" t="s">
        <v>1269</v>
      </c>
      <c r="L2343" s="157" t="s">
        <v>9764</v>
      </c>
      <c r="M2343" s="157" t="str">
        <f t="shared" si="51"/>
        <v>Headlamp Assy' Full LED Right - Grounding</v>
      </c>
      <c r="N2343" s="157"/>
      <c r="O2343" s="157"/>
      <c r="P2343" s="159" t="s">
        <v>3194</v>
      </c>
      <c r="Q2343" s="157"/>
      <c r="R2343" s="157"/>
      <c r="S2343" s="157"/>
      <c r="T2343" s="157"/>
      <c r="U2343" s="159" t="s">
        <v>2129</v>
      </c>
      <c r="V2343" s="159" t="s">
        <v>2129</v>
      </c>
      <c r="W2343" s="159" t="s">
        <v>2129</v>
      </c>
      <c r="X2343" s="160">
        <v>0.3</v>
      </c>
      <c r="Y2343" s="160">
        <v>0.1</v>
      </c>
      <c r="Z2343" s="160">
        <v>0.3</v>
      </c>
      <c r="AA2343" s="160">
        <v>0.1</v>
      </c>
    </row>
    <row r="2344" spans="1:27" ht="18" customHeight="1" x14ac:dyDescent="0.25">
      <c r="A2344" s="159">
        <v>6131</v>
      </c>
      <c r="B2344" s="157" t="s">
        <v>29</v>
      </c>
      <c r="C2344" s="157" t="s">
        <v>30</v>
      </c>
      <c r="D2344" s="159" t="s">
        <v>401</v>
      </c>
      <c r="E2344" s="157" t="s">
        <v>399</v>
      </c>
      <c r="F2344" s="157" t="s">
        <v>1277</v>
      </c>
      <c r="G2344" s="157" t="s">
        <v>1536</v>
      </c>
      <c r="H2344" s="157" t="s">
        <v>1287</v>
      </c>
      <c r="I2344" s="157" t="s">
        <v>9770</v>
      </c>
      <c r="J2344" s="157" t="s">
        <v>1340</v>
      </c>
      <c r="K2344" s="157" t="s">
        <v>1269</v>
      </c>
      <c r="L2344" s="157" t="s">
        <v>9764</v>
      </c>
      <c r="M2344" s="157" t="str">
        <f t="shared" si="51"/>
        <v>Headlamp Assy' Full LED Right - Grounding</v>
      </c>
      <c r="N2344" s="157"/>
      <c r="O2344" s="157"/>
      <c r="P2344" s="159" t="s">
        <v>3194</v>
      </c>
      <c r="Q2344" s="157"/>
      <c r="R2344" s="157"/>
      <c r="S2344" s="157"/>
      <c r="T2344" s="157"/>
      <c r="U2344" s="159" t="s">
        <v>2129</v>
      </c>
      <c r="V2344" s="159" t="s">
        <v>2129</v>
      </c>
      <c r="W2344" s="159" t="s">
        <v>2129</v>
      </c>
      <c r="X2344" s="160">
        <v>0.3</v>
      </c>
      <c r="Y2344" s="160">
        <v>0.1</v>
      </c>
      <c r="Z2344" s="160">
        <v>0.3</v>
      </c>
      <c r="AA2344" s="160">
        <v>0.1</v>
      </c>
    </row>
    <row r="2345" spans="1:27" ht="18" customHeight="1" x14ac:dyDescent="0.25">
      <c r="A2345" s="159">
        <v>6132</v>
      </c>
      <c r="B2345" s="157" t="s">
        <v>29</v>
      </c>
      <c r="C2345" s="157" t="s">
        <v>30</v>
      </c>
      <c r="D2345" s="159" t="s">
        <v>96</v>
      </c>
      <c r="E2345" s="157" t="s">
        <v>402</v>
      </c>
      <c r="F2345" s="157" t="s">
        <v>1277</v>
      </c>
      <c r="G2345" s="157" t="s">
        <v>1536</v>
      </c>
      <c r="H2345" s="157" t="s">
        <v>1287</v>
      </c>
      <c r="I2345" s="157" t="s">
        <v>9770</v>
      </c>
      <c r="J2345" s="157" t="s">
        <v>1340</v>
      </c>
      <c r="K2345" s="157" t="s">
        <v>1269</v>
      </c>
      <c r="L2345" s="157" t="s">
        <v>9764</v>
      </c>
      <c r="M2345" s="157" t="str">
        <f t="shared" si="51"/>
        <v>Headlamp Assy' Full LED Right - Grounding</v>
      </c>
      <c r="N2345" s="157"/>
      <c r="O2345" s="157"/>
      <c r="P2345" s="159" t="s">
        <v>3194</v>
      </c>
      <c r="Q2345" s="157"/>
      <c r="R2345" s="157"/>
      <c r="S2345" s="157"/>
      <c r="T2345" s="157"/>
      <c r="U2345" s="159" t="s">
        <v>2129</v>
      </c>
      <c r="V2345" s="159" t="s">
        <v>2129</v>
      </c>
      <c r="W2345" s="159" t="s">
        <v>2129</v>
      </c>
      <c r="X2345" s="160">
        <v>0.3</v>
      </c>
      <c r="Y2345" s="160">
        <v>0.1</v>
      </c>
      <c r="Z2345" s="160">
        <v>0.3</v>
      </c>
      <c r="AA2345" s="160">
        <v>0.1</v>
      </c>
    </row>
    <row r="2346" spans="1:27" ht="18" customHeight="1" x14ac:dyDescent="0.25">
      <c r="A2346" s="159">
        <v>6133</v>
      </c>
      <c r="B2346" s="157" t="s">
        <v>29</v>
      </c>
      <c r="C2346" s="157" t="s">
        <v>30</v>
      </c>
      <c r="D2346" s="159" t="s">
        <v>95</v>
      </c>
      <c r="E2346" s="157" t="s">
        <v>93</v>
      </c>
      <c r="F2346" s="157" t="s">
        <v>1277</v>
      </c>
      <c r="G2346" s="157" t="s">
        <v>1536</v>
      </c>
      <c r="H2346" s="157" t="s">
        <v>1287</v>
      </c>
      <c r="I2346" s="157" t="s">
        <v>1871</v>
      </c>
      <c r="J2346" s="157" t="s">
        <v>1340</v>
      </c>
      <c r="K2346" s="157" t="s">
        <v>1269</v>
      </c>
      <c r="L2346" s="157" t="s">
        <v>9747</v>
      </c>
      <c r="M2346" s="157" t="str">
        <f t="shared" si="51"/>
        <v>Taillamp Assy' Full LED - Turn Signal RL</v>
      </c>
      <c r="N2346" s="157"/>
      <c r="O2346" s="157"/>
      <c r="P2346" s="159" t="s">
        <v>7886</v>
      </c>
      <c r="Q2346" s="157"/>
      <c r="R2346" s="157"/>
      <c r="S2346" s="157"/>
      <c r="T2346" s="157"/>
      <c r="U2346" s="159" t="s">
        <v>2129</v>
      </c>
      <c r="V2346" s="159" t="s">
        <v>2129</v>
      </c>
      <c r="W2346" s="159" t="s">
        <v>2129</v>
      </c>
      <c r="X2346" s="160">
        <v>0.3</v>
      </c>
      <c r="Y2346" s="160">
        <v>0.1</v>
      </c>
      <c r="Z2346" s="160">
        <v>0.3</v>
      </c>
      <c r="AA2346" s="160">
        <v>0.1</v>
      </c>
    </row>
    <row r="2347" spans="1:27" ht="18" customHeight="1" x14ac:dyDescent="0.25">
      <c r="A2347" s="159">
        <v>6134</v>
      </c>
      <c r="B2347" s="157" t="s">
        <v>29</v>
      </c>
      <c r="C2347" s="157" t="s">
        <v>30</v>
      </c>
      <c r="D2347" s="159" t="s">
        <v>174</v>
      </c>
      <c r="E2347" s="157" t="s">
        <v>172</v>
      </c>
      <c r="F2347" s="157" t="s">
        <v>1277</v>
      </c>
      <c r="G2347" s="157" t="s">
        <v>1536</v>
      </c>
      <c r="H2347" s="157" t="s">
        <v>1287</v>
      </c>
      <c r="I2347" s="157" t="s">
        <v>1871</v>
      </c>
      <c r="J2347" s="157" t="s">
        <v>1340</v>
      </c>
      <c r="K2347" s="157" t="s">
        <v>1269</v>
      </c>
      <c r="L2347" s="157" t="s">
        <v>9747</v>
      </c>
      <c r="M2347" s="157" t="str">
        <f t="shared" si="51"/>
        <v>Taillamp Assy' Full LED - Turn Signal RL</v>
      </c>
      <c r="N2347" s="157"/>
      <c r="O2347" s="157"/>
      <c r="P2347" s="159" t="s">
        <v>7886</v>
      </c>
      <c r="Q2347" s="157"/>
      <c r="R2347" s="157"/>
      <c r="S2347" s="157"/>
      <c r="T2347" s="157"/>
      <c r="U2347" s="159" t="s">
        <v>2129</v>
      </c>
      <c r="V2347" s="159" t="s">
        <v>2129</v>
      </c>
      <c r="W2347" s="159" t="s">
        <v>2129</v>
      </c>
      <c r="X2347" s="160">
        <v>0.3</v>
      </c>
      <c r="Y2347" s="160">
        <v>0.1</v>
      </c>
      <c r="Z2347" s="160">
        <v>0.3</v>
      </c>
      <c r="AA2347" s="160">
        <v>0.1</v>
      </c>
    </row>
    <row r="2348" spans="1:27" ht="18" customHeight="1" x14ac:dyDescent="0.25">
      <c r="A2348" s="159">
        <v>6135</v>
      </c>
      <c r="B2348" s="157" t="s">
        <v>29</v>
      </c>
      <c r="C2348" s="157" t="s">
        <v>30</v>
      </c>
      <c r="D2348" s="159" t="s">
        <v>401</v>
      </c>
      <c r="E2348" s="157" t="s">
        <v>399</v>
      </c>
      <c r="F2348" s="157" t="s">
        <v>1277</v>
      </c>
      <c r="G2348" s="157" t="s">
        <v>1536</v>
      </c>
      <c r="H2348" s="157" t="s">
        <v>1287</v>
      </c>
      <c r="I2348" s="157" t="s">
        <v>1871</v>
      </c>
      <c r="J2348" s="157" t="s">
        <v>1340</v>
      </c>
      <c r="K2348" s="157" t="s">
        <v>1269</v>
      </c>
      <c r="L2348" s="157" t="s">
        <v>9747</v>
      </c>
      <c r="M2348" s="157" t="str">
        <f t="shared" si="51"/>
        <v>Taillamp Assy' Full LED - Turn Signal RL</v>
      </c>
      <c r="N2348" s="157"/>
      <c r="O2348" s="157"/>
      <c r="P2348" s="159" t="s">
        <v>7886</v>
      </c>
      <c r="Q2348" s="157"/>
      <c r="R2348" s="157"/>
      <c r="S2348" s="157"/>
      <c r="T2348" s="157"/>
      <c r="U2348" s="159" t="s">
        <v>2129</v>
      </c>
      <c r="V2348" s="159" t="s">
        <v>2129</v>
      </c>
      <c r="W2348" s="159" t="s">
        <v>2129</v>
      </c>
      <c r="X2348" s="160">
        <v>0.3</v>
      </c>
      <c r="Y2348" s="160">
        <v>0.1</v>
      </c>
      <c r="Z2348" s="160">
        <v>0.3</v>
      </c>
      <c r="AA2348" s="160">
        <v>0.1</v>
      </c>
    </row>
    <row r="2349" spans="1:27" ht="18" customHeight="1" x14ac:dyDescent="0.25">
      <c r="A2349" s="159">
        <v>6136</v>
      </c>
      <c r="B2349" s="157" t="s">
        <v>29</v>
      </c>
      <c r="C2349" s="157" t="s">
        <v>30</v>
      </c>
      <c r="D2349" s="159" t="s">
        <v>96</v>
      </c>
      <c r="E2349" s="157" t="s">
        <v>402</v>
      </c>
      <c r="F2349" s="157" t="s">
        <v>1277</v>
      </c>
      <c r="G2349" s="157" t="s">
        <v>1536</v>
      </c>
      <c r="H2349" s="157" t="s">
        <v>1287</v>
      </c>
      <c r="I2349" s="157" t="s">
        <v>1871</v>
      </c>
      <c r="J2349" s="157" t="s">
        <v>1340</v>
      </c>
      <c r="K2349" s="157" t="s">
        <v>1269</v>
      </c>
      <c r="L2349" s="157" t="s">
        <v>9747</v>
      </c>
      <c r="M2349" s="157" t="str">
        <f t="shared" si="51"/>
        <v>Taillamp Assy' Full LED - Turn Signal RL</v>
      </c>
      <c r="N2349" s="157"/>
      <c r="O2349" s="157"/>
      <c r="P2349" s="159" t="s">
        <v>7886</v>
      </c>
      <c r="Q2349" s="157"/>
      <c r="R2349" s="157"/>
      <c r="S2349" s="157"/>
      <c r="T2349" s="157"/>
      <c r="U2349" s="159" t="s">
        <v>2129</v>
      </c>
      <c r="V2349" s="159" t="s">
        <v>2129</v>
      </c>
      <c r="W2349" s="159" t="s">
        <v>2129</v>
      </c>
      <c r="X2349" s="160">
        <v>0.3</v>
      </c>
      <c r="Y2349" s="160">
        <v>0.1</v>
      </c>
      <c r="Z2349" s="160">
        <v>0.3</v>
      </c>
      <c r="AA2349" s="160">
        <v>0.1</v>
      </c>
    </row>
    <row r="2350" spans="1:27" ht="18" customHeight="1" x14ac:dyDescent="0.25">
      <c r="A2350" s="159">
        <v>6137</v>
      </c>
      <c r="B2350" s="157" t="s">
        <v>29</v>
      </c>
      <c r="C2350" s="157" t="s">
        <v>30</v>
      </c>
      <c r="D2350" s="159" t="s">
        <v>95</v>
      </c>
      <c r="E2350" s="157" t="s">
        <v>93</v>
      </c>
      <c r="F2350" s="157" t="s">
        <v>1277</v>
      </c>
      <c r="G2350" s="157" t="s">
        <v>1536</v>
      </c>
      <c r="H2350" s="157" t="s">
        <v>1287</v>
      </c>
      <c r="I2350" s="157" t="s">
        <v>1872</v>
      </c>
      <c r="J2350" s="157" t="s">
        <v>1340</v>
      </c>
      <c r="K2350" s="157" t="s">
        <v>1269</v>
      </c>
      <c r="L2350" s="157" t="s">
        <v>9747</v>
      </c>
      <c r="M2350" s="157" t="str">
        <f t="shared" si="51"/>
        <v>Taillamp Assy' Full LED - Turn Signal RR</v>
      </c>
      <c r="N2350" s="157"/>
      <c r="O2350" s="157"/>
      <c r="P2350" s="159" t="s">
        <v>3953</v>
      </c>
      <c r="Q2350" s="157"/>
      <c r="R2350" s="157"/>
      <c r="S2350" s="157"/>
      <c r="T2350" s="157"/>
      <c r="U2350" s="159" t="s">
        <v>2129</v>
      </c>
      <c r="V2350" s="159" t="s">
        <v>2129</v>
      </c>
      <c r="W2350" s="159" t="s">
        <v>2129</v>
      </c>
      <c r="X2350" s="160">
        <v>0.3</v>
      </c>
      <c r="Y2350" s="160">
        <v>0.1</v>
      </c>
      <c r="Z2350" s="160">
        <v>0.3</v>
      </c>
      <c r="AA2350" s="160">
        <v>0.1</v>
      </c>
    </row>
    <row r="2351" spans="1:27" ht="18" customHeight="1" x14ac:dyDescent="0.25">
      <c r="A2351" s="159">
        <v>6138</v>
      </c>
      <c r="B2351" s="157" t="s">
        <v>29</v>
      </c>
      <c r="C2351" s="157" t="s">
        <v>30</v>
      </c>
      <c r="D2351" s="159" t="s">
        <v>174</v>
      </c>
      <c r="E2351" s="157" t="s">
        <v>172</v>
      </c>
      <c r="F2351" s="157" t="s">
        <v>1277</v>
      </c>
      <c r="G2351" s="157" t="s">
        <v>1536</v>
      </c>
      <c r="H2351" s="157" t="s">
        <v>1287</v>
      </c>
      <c r="I2351" s="157" t="s">
        <v>1872</v>
      </c>
      <c r="J2351" s="157" t="s">
        <v>1340</v>
      </c>
      <c r="K2351" s="157" t="s">
        <v>1269</v>
      </c>
      <c r="L2351" s="157" t="s">
        <v>9747</v>
      </c>
      <c r="M2351" s="157" t="str">
        <f t="shared" si="51"/>
        <v>Taillamp Assy' Full LED - Turn Signal RR</v>
      </c>
      <c r="N2351" s="157"/>
      <c r="O2351" s="157"/>
      <c r="P2351" s="159" t="s">
        <v>3953</v>
      </c>
      <c r="Q2351" s="157"/>
      <c r="R2351" s="157"/>
      <c r="S2351" s="157"/>
      <c r="T2351" s="157"/>
      <c r="U2351" s="159" t="s">
        <v>2129</v>
      </c>
      <c r="V2351" s="159" t="s">
        <v>2129</v>
      </c>
      <c r="W2351" s="159" t="s">
        <v>2129</v>
      </c>
      <c r="X2351" s="160">
        <v>0.3</v>
      </c>
      <c r="Y2351" s="160">
        <v>0.1</v>
      </c>
      <c r="Z2351" s="160">
        <v>0.3</v>
      </c>
      <c r="AA2351" s="160">
        <v>0.1</v>
      </c>
    </row>
    <row r="2352" spans="1:27" ht="18" customHeight="1" x14ac:dyDescent="0.25">
      <c r="A2352" s="159">
        <v>6139</v>
      </c>
      <c r="B2352" s="157" t="s">
        <v>29</v>
      </c>
      <c r="C2352" s="157" t="s">
        <v>30</v>
      </c>
      <c r="D2352" s="159" t="s">
        <v>401</v>
      </c>
      <c r="E2352" s="157" t="s">
        <v>399</v>
      </c>
      <c r="F2352" s="157" t="s">
        <v>1277</v>
      </c>
      <c r="G2352" s="157" t="s">
        <v>1536</v>
      </c>
      <c r="H2352" s="157" t="s">
        <v>1287</v>
      </c>
      <c r="I2352" s="157" t="s">
        <v>1872</v>
      </c>
      <c r="J2352" s="157" t="s">
        <v>1340</v>
      </c>
      <c r="K2352" s="157" t="s">
        <v>1269</v>
      </c>
      <c r="L2352" s="157" t="s">
        <v>9747</v>
      </c>
      <c r="M2352" s="157" t="str">
        <f t="shared" si="51"/>
        <v>Taillamp Assy' Full LED - Turn Signal RR</v>
      </c>
      <c r="N2352" s="157"/>
      <c r="O2352" s="157"/>
      <c r="P2352" s="159" t="s">
        <v>3953</v>
      </c>
      <c r="Q2352" s="157"/>
      <c r="R2352" s="157"/>
      <c r="S2352" s="157"/>
      <c r="T2352" s="157"/>
      <c r="U2352" s="159" t="s">
        <v>2129</v>
      </c>
      <c r="V2352" s="159" t="s">
        <v>2129</v>
      </c>
      <c r="W2352" s="159" t="s">
        <v>2129</v>
      </c>
      <c r="X2352" s="160">
        <v>0.3</v>
      </c>
      <c r="Y2352" s="160">
        <v>0.1</v>
      </c>
      <c r="Z2352" s="160">
        <v>0.3</v>
      </c>
      <c r="AA2352" s="160">
        <v>0.1</v>
      </c>
    </row>
    <row r="2353" spans="1:27" ht="18" customHeight="1" x14ac:dyDescent="0.25">
      <c r="A2353" s="159">
        <v>6140</v>
      </c>
      <c r="B2353" s="157" t="s">
        <v>29</v>
      </c>
      <c r="C2353" s="157" t="s">
        <v>30</v>
      </c>
      <c r="D2353" s="159" t="s">
        <v>96</v>
      </c>
      <c r="E2353" s="157" t="s">
        <v>402</v>
      </c>
      <c r="F2353" s="157" t="s">
        <v>1277</v>
      </c>
      <c r="G2353" s="157" t="s">
        <v>1536</v>
      </c>
      <c r="H2353" s="157" t="s">
        <v>1287</v>
      </c>
      <c r="I2353" s="157" t="s">
        <v>1872</v>
      </c>
      <c r="J2353" s="157" t="s">
        <v>1340</v>
      </c>
      <c r="K2353" s="157" t="s">
        <v>1269</v>
      </c>
      <c r="L2353" s="157" t="s">
        <v>9747</v>
      </c>
      <c r="M2353" s="157" t="str">
        <f t="shared" si="51"/>
        <v>Taillamp Assy' Full LED - Turn Signal RR</v>
      </c>
      <c r="N2353" s="157"/>
      <c r="O2353" s="157"/>
      <c r="P2353" s="159" t="s">
        <v>3953</v>
      </c>
      <c r="Q2353" s="157"/>
      <c r="R2353" s="157"/>
      <c r="S2353" s="157"/>
      <c r="T2353" s="157"/>
      <c r="U2353" s="159" t="s">
        <v>2129</v>
      </c>
      <c r="V2353" s="159" t="s">
        <v>2129</v>
      </c>
      <c r="W2353" s="159" t="s">
        <v>2129</v>
      </c>
      <c r="X2353" s="160">
        <v>0.3</v>
      </c>
      <c r="Y2353" s="160">
        <v>0.1</v>
      </c>
      <c r="Z2353" s="160">
        <v>0.3</v>
      </c>
      <c r="AA2353" s="160">
        <v>0.1</v>
      </c>
    </row>
    <row r="2354" spans="1:27" ht="18" customHeight="1" x14ac:dyDescent="0.25">
      <c r="A2354" s="159">
        <v>6141</v>
      </c>
      <c r="B2354" s="157" t="s">
        <v>29</v>
      </c>
      <c r="C2354" s="157" t="s">
        <v>30</v>
      </c>
      <c r="D2354" s="159" t="s">
        <v>95</v>
      </c>
      <c r="E2354" s="157" t="s">
        <v>93</v>
      </c>
      <c r="F2354" s="157" t="s">
        <v>1277</v>
      </c>
      <c r="G2354" s="157" t="s">
        <v>1536</v>
      </c>
      <c r="H2354" s="157" t="s">
        <v>1287</v>
      </c>
      <c r="I2354" s="157" t="s">
        <v>1873</v>
      </c>
      <c r="J2354" s="157" t="s">
        <v>1578</v>
      </c>
      <c r="K2354" s="157" t="s">
        <v>1269</v>
      </c>
      <c r="L2354" s="157" t="s">
        <v>9523</v>
      </c>
      <c r="M2354" s="157" t="str">
        <f t="shared" si="51"/>
        <v>Bulb P10W - Turn Signal SL</v>
      </c>
      <c r="N2354" s="157"/>
      <c r="O2354" s="157"/>
      <c r="P2354" s="159" t="s">
        <v>8149</v>
      </c>
      <c r="Q2354" s="157"/>
      <c r="R2354" s="157"/>
      <c r="S2354" s="157"/>
      <c r="T2354" s="157"/>
      <c r="U2354" s="159" t="s">
        <v>2138</v>
      </c>
      <c r="V2354" s="159" t="s">
        <v>2129</v>
      </c>
      <c r="W2354" s="159" t="s">
        <v>2129</v>
      </c>
      <c r="X2354" s="160">
        <v>0.3</v>
      </c>
      <c r="Y2354" s="160">
        <v>0.1</v>
      </c>
      <c r="Z2354" s="160">
        <v>0.3</v>
      </c>
      <c r="AA2354" s="160">
        <v>0.1</v>
      </c>
    </row>
    <row r="2355" spans="1:27" ht="18" customHeight="1" x14ac:dyDescent="0.25">
      <c r="A2355" s="159">
        <v>6141</v>
      </c>
      <c r="B2355" s="157" t="s">
        <v>29</v>
      </c>
      <c r="C2355" s="157" t="s">
        <v>30</v>
      </c>
      <c r="D2355" s="159" t="s">
        <v>95</v>
      </c>
      <c r="E2355" s="157" t="s">
        <v>93</v>
      </c>
      <c r="F2355" s="157" t="s">
        <v>1277</v>
      </c>
      <c r="G2355" s="157" t="s">
        <v>1536</v>
      </c>
      <c r="H2355" s="157" t="s">
        <v>1287</v>
      </c>
      <c r="I2355" s="157" t="s">
        <v>9759</v>
      </c>
      <c r="J2355" s="157" t="s">
        <v>1578</v>
      </c>
      <c r="K2355" s="157" t="s">
        <v>1269</v>
      </c>
      <c r="L2355" s="157" t="s">
        <v>9748</v>
      </c>
      <c r="M2355" s="157" t="str">
        <f t="shared" si="51"/>
        <v>Side Repeater Bulb P10W - Turn Signal Left</v>
      </c>
      <c r="N2355" s="157"/>
      <c r="O2355" s="157"/>
      <c r="P2355" s="159" t="s">
        <v>8149</v>
      </c>
      <c r="Q2355" s="157"/>
      <c r="R2355" s="157"/>
      <c r="S2355" s="157"/>
      <c r="T2355" s="157"/>
      <c r="U2355" s="159" t="s">
        <v>2138</v>
      </c>
      <c r="V2355" s="159" t="s">
        <v>2129</v>
      </c>
      <c r="W2355" s="159" t="s">
        <v>2129</v>
      </c>
      <c r="X2355" s="160">
        <v>0.3</v>
      </c>
      <c r="Y2355" s="160">
        <v>0.1</v>
      </c>
      <c r="Z2355" s="160">
        <v>0.3</v>
      </c>
      <c r="AA2355" s="160">
        <v>0.1</v>
      </c>
    </row>
    <row r="2356" spans="1:27" ht="18" customHeight="1" x14ac:dyDescent="0.25">
      <c r="A2356" s="159">
        <v>6142</v>
      </c>
      <c r="B2356" s="157" t="s">
        <v>29</v>
      </c>
      <c r="C2356" s="157" t="s">
        <v>30</v>
      </c>
      <c r="D2356" s="159" t="s">
        <v>112</v>
      </c>
      <c r="E2356" s="157" t="s">
        <v>110</v>
      </c>
      <c r="F2356" s="157" t="s">
        <v>1277</v>
      </c>
      <c r="G2356" s="157" t="s">
        <v>1536</v>
      </c>
      <c r="H2356" s="157" t="s">
        <v>1287</v>
      </c>
      <c r="I2356" s="157" t="s">
        <v>1873</v>
      </c>
      <c r="J2356" s="157" t="s">
        <v>1578</v>
      </c>
      <c r="K2356" s="157" t="s">
        <v>1269</v>
      </c>
      <c r="L2356" s="157" t="s">
        <v>9523</v>
      </c>
      <c r="M2356" s="157" t="str">
        <f t="shared" si="51"/>
        <v>Bulb P10W - Turn Signal SL</v>
      </c>
      <c r="N2356" s="157"/>
      <c r="O2356" s="157"/>
      <c r="P2356" s="159" t="s">
        <v>8149</v>
      </c>
      <c r="Q2356" s="157"/>
      <c r="R2356" s="157"/>
      <c r="S2356" s="157"/>
      <c r="T2356" s="157"/>
      <c r="U2356" s="159" t="s">
        <v>2138</v>
      </c>
      <c r="V2356" s="159" t="s">
        <v>2129</v>
      </c>
      <c r="W2356" s="159" t="s">
        <v>2129</v>
      </c>
      <c r="X2356" s="160">
        <v>0.3</v>
      </c>
      <c r="Y2356" s="160">
        <v>0.1</v>
      </c>
      <c r="Z2356" s="160">
        <v>0.3</v>
      </c>
      <c r="AA2356" s="160">
        <v>0.1</v>
      </c>
    </row>
    <row r="2357" spans="1:27" ht="18" customHeight="1" x14ac:dyDescent="0.25">
      <c r="A2357" s="159">
        <v>6142</v>
      </c>
      <c r="B2357" s="157" t="s">
        <v>29</v>
      </c>
      <c r="C2357" s="157" t="s">
        <v>30</v>
      </c>
      <c r="D2357" s="159" t="s">
        <v>112</v>
      </c>
      <c r="E2357" s="157" t="s">
        <v>110</v>
      </c>
      <c r="F2357" s="157" t="s">
        <v>1277</v>
      </c>
      <c r="G2357" s="157" t="s">
        <v>1536</v>
      </c>
      <c r="H2357" s="157" t="s">
        <v>1287</v>
      </c>
      <c r="I2357" s="157" t="s">
        <v>9759</v>
      </c>
      <c r="J2357" s="157" t="s">
        <v>1578</v>
      </c>
      <c r="K2357" s="157" t="s">
        <v>1269</v>
      </c>
      <c r="L2357" s="157" t="s">
        <v>9748</v>
      </c>
      <c r="M2357" s="157" t="str">
        <f t="shared" si="51"/>
        <v>Side Repeater Bulb P10W - Turn Signal Left</v>
      </c>
      <c r="N2357" s="157"/>
      <c r="O2357" s="157"/>
      <c r="P2357" s="159" t="s">
        <v>8149</v>
      </c>
      <c r="Q2357" s="157"/>
      <c r="R2357" s="157"/>
      <c r="S2357" s="157"/>
      <c r="T2357" s="157"/>
      <c r="U2357" s="159" t="s">
        <v>2138</v>
      </c>
      <c r="V2357" s="159" t="s">
        <v>2129</v>
      </c>
      <c r="W2357" s="159" t="s">
        <v>2129</v>
      </c>
      <c r="X2357" s="160">
        <v>0.3</v>
      </c>
      <c r="Y2357" s="160">
        <v>0.1</v>
      </c>
      <c r="Z2357" s="160">
        <v>0.3</v>
      </c>
      <c r="AA2357" s="160">
        <v>0.1</v>
      </c>
    </row>
    <row r="2358" spans="1:27" ht="18" customHeight="1" x14ac:dyDescent="0.25">
      <c r="A2358" s="159">
        <v>6143</v>
      </c>
      <c r="B2358" s="157" t="s">
        <v>29</v>
      </c>
      <c r="C2358" s="157" t="s">
        <v>30</v>
      </c>
      <c r="D2358" s="159" t="s">
        <v>174</v>
      </c>
      <c r="E2358" s="157" t="s">
        <v>172</v>
      </c>
      <c r="F2358" s="157" t="s">
        <v>1277</v>
      </c>
      <c r="G2358" s="157" t="s">
        <v>1536</v>
      </c>
      <c r="H2358" s="157" t="s">
        <v>1287</v>
      </c>
      <c r="I2358" s="157" t="s">
        <v>1873</v>
      </c>
      <c r="J2358" s="157" t="s">
        <v>1578</v>
      </c>
      <c r="K2358" s="157" t="s">
        <v>1269</v>
      </c>
      <c r="L2358" s="157" t="s">
        <v>9523</v>
      </c>
      <c r="M2358" s="157" t="str">
        <f t="shared" si="51"/>
        <v>Bulb P10W - Turn Signal SL</v>
      </c>
      <c r="N2358" s="157"/>
      <c r="O2358" s="157"/>
      <c r="P2358" s="159" t="s">
        <v>8149</v>
      </c>
      <c r="Q2358" s="157"/>
      <c r="R2358" s="157"/>
      <c r="S2358" s="157"/>
      <c r="T2358" s="157"/>
      <c r="U2358" s="159" t="s">
        <v>2138</v>
      </c>
      <c r="V2358" s="159" t="s">
        <v>2129</v>
      </c>
      <c r="W2358" s="159" t="s">
        <v>2129</v>
      </c>
      <c r="X2358" s="160">
        <v>0.3</v>
      </c>
      <c r="Y2358" s="160">
        <v>0.1</v>
      </c>
      <c r="Z2358" s="160">
        <v>0.3</v>
      </c>
      <c r="AA2358" s="160">
        <v>0.1</v>
      </c>
    </row>
    <row r="2359" spans="1:27" ht="18" customHeight="1" x14ac:dyDescent="0.25">
      <c r="A2359" s="159">
        <v>6144</v>
      </c>
      <c r="B2359" s="157" t="s">
        <v>29</v>
      </c>
      <c r="C2359" s="157" t="s">
        <v>30</v>
      </c>
      <c r="D2359" s="159" t="s">
        <v>401</v>
      </c>
      <c r="E2359" s="157" t="s">
        <v>399</v>
      </c>
      <c r="F2359" s="157" t="s">
        <v>1277</v>
      </c>
      <c r="G2359" s="157" t="s">
        <v>1536</v>
      </c>
      <c r="H2359" s="157" t="s">
        <v>1287</v>
      </c>
      <c r="I2359" s="157" t="s">
        <v>1873</v>
      </c>
      <c r="J2359" s="157" t="s">
        <v>1578</v>
      </c>
      <c r="K2359" s="157" t="s">
        <v>1269</v>
      </c>
      <c r="L2359" s="157" t="s">
        <v>9523</v>
      </c>
      <c r="M2359" s="157" t="str">
        <f t="shared" si="51"/>
        <v>Bulb P10W - Turn Signal SL</v>
      </c>
      <c r="N2359" s="157"/>
      <c r="O2359" s="157"/>
      <c r="P2359" s="159" t="s">
        <v>8149</v>
      </c>
      <c r="Q2359" s="157"/>
      <c r="R2359" s="157"/>
      <c r="S2359" s="157"/>
      <c r="T2359" s="157"/>
      <c r="U2359" s="159" t="s">
        <v>2138</v>
      </c>
      <c r="V2359" s="159" t="s">
        <v>2129</v>
      </c>
      <c r="W2359" s="159" t="s">
        <v>2129</v>
      </c>
      <c r="X2359" s="160">
        <v>0.3</v>
      </c>
      <c r="Y2359" s="160">
        <v>0.1</v>
      </c>
      <c r="Z2359" s="160">
        <v>0.3</v>
      </c>
      <c r="AA2359" s="160">
        <v>0.1</v>
      </c>
    </row>
    <row r="2360" spans="1:27" ht="18" customHeight="1" x14ac:dyDescent="0.25">
      <c r="A2360" s="159">
        <v>6144</v>
      </c>
      <c r="B2360" s="157" t="s">
        <v>29</v>
      </c>
      <c r="C2360" s="157" t="s">
        <v>30</v>
      </c>
      <c r="D2360" s="159" t="s">
        <v>401</v>
      </c>
      <c r="E2360" s="157" t="s">
        <v>399</v>
      </c>
      <c r="F2360" s="157" t="s">
        <v>1277</v>
      </c>
      <c r="G2360" s="157" t="s">
        <v>1536</v>
      </c>
      <c r="H2360" s="157" t="s">
        <v>1287</v>
      </c>
      <c r="I2360" s="157" t="s">
        <v>9759</v>
      </c>
      <c r="J2360" s="157" t="s">
        <v>1578</v>
      </c>
      <c r="K2360" s="157" t="s">
        <v>1269</v>
      </c>
      <c r="L2360" s="157" t="s">
        <v>9748</v>
      </c>
      <c r="M2360" s="157" t="str">
        <f t="shared" si="51"/>
        <v>Side Repeater Bulb P10W - Turn Signal Left</v>
      </c>
      <c r="N2360" s="157"/>
      <c r="O2360" s="157"/>
      <c r="P2360" s="159" t="s">
        <v>8149</v>
      </c>
      <c r="Q2360" s="157"/>
      <c r="R2360" s="157"/>
      <c r="S2360" s="157"/>
      <c r="T2360" s="157"/>
      <c r="U2360" s="159" t="s">
        <v>2138</v>
      </c>
      <c r="V2360" s="159" t="s">
        <v>2129</v>
      </c>
      <c r="W2360" s="159" t="s">
        <v>2129</v>
      </c>
      <c r="X2360" s="160">
        <v>0.3</v>
      </c>
      <c r="Y2360" s="160">
        <v>0.1</v>
      </c>
      <c r="Z2360" s="160">
        <v>0.3</v>
      </c>
      <c r="AA2360" s="160">
        <v>0.1</v>
      </c>
    </row>
    <row r="2361" spans="1:27" ht="18" customHeight="1" x14ac:dyDescent="0.25">
      <c r="A2361" s="159">
        <v>6145</v>
      </c>
      <c r="B2361" s="157" t="s">
        <v>29</v>
      </c>
      <c r="C2361" s="157" t="s">
        <v>30</v>
      </c>
      <c r="D2361" s="159" t="s">
        <v>95</v>
      </c>
      <c r="E2361" s="157" t="s">
        <v>93</v>
      </c>
      <c r="F2361" s="157" t="s">
        <v>1277</v>
      </c>
      <c r="G2361" s="157" t="s">
        <v>1536</v>
      </c>
      <c r="H2361" s="157" t="s">
        <v>1287</v>
      </c>
      <c r="I2361" s="157" t="s">
        <v>1874</v>
      </c>
      <c r="J2361" s="157" t="s">
        <v>1578</v>
      </c>
      <c r="K2361" s="157" t="s">
        <v>1269</v>
      </c>
      <c r="L2361" s="157" t="s">
        <v>9523</v>
      </c>
      <c r="M2361" s="157" t="str">
        <f t="shared" si="51"/>
        <v>Bulb P10W - Turn Signal SR</v>
      </c>
      <c r="N2361" s="157"/>
      <c r="O2361" s="157"/>
      <c r="P2361" s="159" t="s">
        <v>2242</v>
      </c>
      <c r="Q2361" s="157"/>
      <c r="R2361" s="157"/>
      <c r="S2361" s="157"/>
      <c r="T2361" s="157"/>
      <c r="U2361" s="159" t="s">
        <v>2138</v>
      </c>
      <c r="V2361" s="159" t="s">
        <v>2129</v>
      </c>
      <c r="W2361" s="159" t="s">
        <v>2129</v>
      </c>
      <c r="X2361" s="160">
        <v>0.3</v>
      </c>
      <c r="Y2361" s="160">
        <v>0.1</v>
      </c>
      <c r="Z2361" s="160">
        <v>0.3</v>
      </c>
      <c r="AA2361" s="160">
        <v>0.1</v>
      </c>
    </row>
    <row r="2362" spans="1:27" ht="18" customHeight="1" x14ac:dyDescent="0.25">
      <c r="A2362" s="159">
        <v>6145</v>
      </c>
      <c r="B2362" s="157" t="s">
        <v>29</v>
      </c>
      <c r="C2362" s="157" t="s">
        <v>30</v>
      </c>
      <c r="D2362" s="159" t="s">
        <v>95</v>
      </c>
      <c r="E2362" s="157" t="s">
        <v>93</v>
      </c>
      <c r="F2362" s="157" t="s">
        <v>1277</v>
      </c>
      <c r="G2362" s="157" t="s">
        <v>1536</v>
      </c>
      <c r="H2362" s="157" t="s">
        <v>1287</v>
      </c>
      <c r="I2362" s="157" t="s">
        <v>9760</v>
      </c>
      <c r="J2362" s="157" t="s">
        <v>1578</v>
      </c>
      <c r="K2362" s="157" t="s">
        <v>1269</v>
      </c>
      <c r="L2362" s="157" t="s">
        <v>9748</v>
      </c>
      <c r="M2362" s="157" t="str">
        <f t="shared" si="51"/>
        <v>Side Repeater Bulb P10W - Turn Signal Right</v>
      </c>
      <c r="N2362" s="157"/>
      <c r="O2362" s="157"/>
      <c r="P2362" s="159" t="s">
        <v>2242</v>
      </c>
      <c r="Q2362" s="157"/>
      <c r="R2362" s="157"/>
      <c r="S2362" s="157"/>
      <c r="T2362" s="157"/>
      <c r="U2362" s="159" t="s">
        <v>2138</v>
      </c>
      <c r="V2362" s="159" t="s">
        <v>2129</v>
      </c>
      <c r="W2362" s="159" t="s">
        <v>2129</v>
      </c>
      <c r="X2362" s="160">
        <v>0.3</v>
      </c>
      <c r="Y2362" s="160">
        <v>0.1</v>
      </c>
      <c r="Z2362" s="160">
        <v>0.3</v>
      </c>
      <c r="AA2362" s="160">
        <v>0.1</v>
      </c>
    </row>
    <row r="2363" spans="1:27" ht="18" customHeight="1" x14ac:dyDescent="0.25">
      <c r="A2363" s="159">
        <v>6146</v>
      </c>
      <c r="B2363" s="157" t="s">
        <v>29</v>
      </c>
      <c r="C2363" s="157" t="s">
        <v>30</v>
      </c>
      <c r="D2363" s="159" t="s">
        <v>112</v>
      </c>
      <c r="E2363" s="157" t="s">
        <v>110</v>
      </c>
      <c r="F2363" s="157" t="s">
        <v>1277</v>
      </c>
      <c r="G2363" s="157" t="s">
        <v>1536</v>
      </c>
      <c r="H2363" s="157" t="s">
        <v>1287</v>
      </c>
      <c r="I2363" s="157" t="s">
        <v>1874</v>
      </c>
      <c r="J2363" s="157" t="s">
        <v>1578</v>
      </c>
      <c r="K2363" s="157" t="s">
        <v>1269</v>
      </c>
      <c r="L2363" s="157" t="s">
        <v>9523</v>
      </c>
      <c r="M2363" s="157" t="str">
        <f t="shared" si="51"/>
        <v>Bulb P10W - Turn Signal SR</v>
      </c>
      <c r="N2363" s="157"/>
      <c r="O2363" s="157"/>
      <c r="P2363" s="159" t="s">
        <v>2242</v>
      </c>
      <c r="Q2363" s="157"/>
      <c r="R2363" s="157"/>
      <c r="S2363" s="157"/>
      <c r="T2363" s="157"/>
      <c r="U2363" s="159" t="s">
        <v>2138</v>
      </c>
      <c r="V2363" s="159" t="s">
        <v>2129</v>
      </c>
      <c r="W2363" s="159" t="s">
        <v>2129</v>
      </c>
      <c r="X2363" s="160">
        <v>0.3</v>
      </c>
      <c r="Y2363" s="160">
        <v>0.1</v>
      </c>
      <c r="Z2363" s="160">
        <v>0.3</v>
      </c>
      <c r="AA2363" s="160">
        <v>0.1</v>
      </c>
    </row>
    <row r="2364" spans="1:27" ht="18" customHeight="1" x14ac:dyDescent="0.25">
      <c r="A2364" s="159">
        <v>6146</v>
      </c>
      <c r="B2364" s="157" t="s">
        <v>29</v>
      </c>
      <c r="C2364" s="157" t="s">
        <v>30</v>
      </c>
      <c r="D2364" s="159" t="s">
        <v>112</v>
      </c>
      <c r="E2364" s="157" t="s">
        <v>110</v>
      </c>
      <c r="F2364" s="157" t="s">
        <v>1277</v>
      </c>
      <c r="G2364" s="157" t="s">
        <v>1536</v>
      </c>
      <c r="H2364" s="157" t="s">
        <v>1287</v>
      </c>
      <c r="I2364" s="157" t="s">
        <v>9760</v>
      </c>
      <c r="J2364" s="157" t="s">
        <v>1578</v>
      </c>
      <c r="K2364" s="157" t="s">
        <v>1269</v>
      </c>
      <c r="L2364" s="157" t="s">
        <v>9748</v>
      </c>
      <c r="M2364" s="157" t="str">
        <f t="shared" si="51"/>
        <v>Side Repeater Bulb P10W - Turn Signal Right</v>
      </c>
      <c r="N2364" s="157"/>
      <c r="O2364" s="157"/>
      <c r="P2364" s="159" t="s">
        <v>2242</v>
      </c>
      <c r="Q2364" s="157"/>
      <c r="R2364" s="157"/>
      <c r="S2364" s="157"/>
      <c r="T2364" s="157"/>
      <c r="U2364" s="159" t="s">
        <v>2138</v>
      </c>
      <c r="V2364" s="159" t="s">
        <v>2129</v>
      </c>
      <c r="W2364" s="159" t="s">
        <v>2129</v>
      </c>
      <c r="X2364" s="160">
        <v>0.3</v>
      </c>
      <c r="Y2364" s="160">
        <v>0.1</v>
      </c>
      <c r="Z2364" s="160">
        <v>0.3</v>
      </c>
      <c r="AA2364" s="160">
        <v>0.1</v>
      </c>
    </row>
    <row r="2365" spans="1:27" ht="18" customHeight="1" x14ac:dyDescent="0.25">
      <c r="A2365" s="159">
        <v>6147</v>
      </c>
      <c r="B2365" s="157" t="s">
        <v>29</v>
      </c>
      <c r="C2365" s="157" t="s">
        <v>30</v>
      </c>
      <c r="D2365" s="159" t="s">
        <v>174</v>
      </c>
      <c r="E2365" s="157" t="s">
        <v>172</v>
      </c>
      <c r="F2365" s="157" t="s">
        <v>1277</v>
      </c>
      <c r="G2365" s="157" t="s">
        <v>1536</v>
      </c>
      <c r="H2365" s="157" t="s">
        <v>1287</v>
      </c>
      <c r="I2365" s="157" t="s">
        <v>1874</v>
      </c>
      <c r="J2365" s="157" t="s">
        <v>1578</v>
      </c>
      <c r="K2365" s="157" t="s">
        <v>1269</v>
      </c>
      <c r="L2365" s="157" t="s">
        <v>9523</v>
      </c>
      <c r="M2365" s="157" t="str">
        <f t="shared" si="51"/>
        <v>Bulb P10W - Turn Signal SR</v>
      </c>
      <c r="N2365" s="157"/>
      <c r="O2365" s="157"/>
      <c r="P2365" s="159" t="s">
        <v>2242</v>
      </c>
      <c r="Q2365" s="157"/>
      <c r="R2365" s="157"/>
      <c r="S2365" s="157"/>
      <c r="T2365" s="157"/>
      <c r="U2365" s="159" t="s">
        <v>2138</v>
      </c>
      <c r="V2365" s="159" t="s">
        <v>2129</v>
      </c>
      <c r="W2365" s="159" t="s">
        <v>2129</v>
      </c>
      <c r="X2365" s="160">
        <v>0.3</v>
      </c>
      <c r="Y2365" s="160">
        <v>0.1</v>
      </c>
      <c r="Z2365" s="160">
        <v>0.3</v>
      </c>
      <c r="AA2365" s="160">
        <v>0.1</v>
      </c>
    </row>
    <row r="2366" spans="1:27" ht="18" customHeight="1" x14ac:dyDescent="0.25">
      <c r="A2366" s="159">
        <v>6148</v>
      </c>
      <c r="B2366" s="157" t="s">
        <v>29</v>
      </c>
      <c r="C2366" s="157" t="s">
        <v>30</v>
      </c>
      <c r="D2366" s="159" t="s">
        <v>401</v>
      </c>
      <c r="E2366" s="157" t="s">
        <v>399</v>
      </c>
      <c r="F2366" s="157" t="s">
        <v>1277</v>
      </c>
      <c r="G2366" s="157" t="s">
        <v>1536</v>
      </c>
      <c r="H2366" s="157" t="s">
        <v>1287</v>
      </c>
      <c r="I2366" s="157" t="s">
        <v>1874</v>
      </c>
      <c r="J2366" s="157" t="s">
        <v>1578</v>
      </c>
      <c r="K2366" s="157" t="s">
        <v>1269</v>
      </c>
      <c r="L2366" s="157" t="s">
        <v>9523</v>
      </c>
      <c r="M2366" s="157" t="str">
        <f t="shared" si="51"/>
        <v>Bulb P10W - Turn Signal SR</v>
      </c>
      <c r="N2366" s="157"/>
      <c r="O2366" s="157"/>
      <c r="P2366" s="159" t="s">
        <v>2242</v>
      </c>
      <c r="Q2366" s="157"/>
      <c r="R2366" s="157"/>
      <c r="S2366" s="157"/>
      <c r="T2366" s="157"/>
      <c r="U2366" s="159" t="s">
        <v>2138</v>
      </c>
      <c r="V2366" s="159" t="s">
        <v>2129</v>
      </c>
      <c r="W2366" s="159" t="s">
        <v>2129</v>
      </c>
      <c r="X2366" s="160">
        <v>0.3</v>
      </c>
      <c r="Y2366" s="160">
        <v>0.1</v>
      </c>
      <c r="Z2366" s="160">
        <v>0.3</v>
      </c>
      <c r="AA2366" s="160">
        <v>0.1</v>
      </c>
    </row>
    <row r="2367" spans="1:27" ht="18" customHeight="1" x14ac:dyDescent="0.25">
      <c r="A2367" s="159">
        <v>6148</v>
      </c>
      <c r="B2367" s="157" t="s">
        <v>29</v>
      </c>
      <c r="C2367" s="157" t="s">
        <v>30</v>
      </c>
      <c r="D2367" s="159" t="s">
        <v>401</v>
      </c>
      <c r="E2367" s="157" t="s">
        <v>399</v>
      </c>
      <c r="F2367" s="157" t="s">
        <v>1277</v>
      </c>
      <c r="G2367" s="157" t="s">
        <v>1536</v>
      </c>
      <c r="H2367" s="157" t="s">
        <v>1287</v>
      </c>
      <c r="I2367" s="157" t="s">
        <v>9760</v>
      </c>
      <c r="J2367" s="157" t="s">
        <v>1578</v>
      </c>
      <c r="K2367" s="157" t="s">
        <v>1269</v>
      </c>
      <c r="L2367" s="157" t="s">
        <v>9748</v>
      </c>
      <c r="M2367" s="157" t="str">
        <f t="shared" si="51"/>
        <v>Side Repeater Bulb P10W - Turn Signal Right</v>
      </c>
      <c r="N2367" s="157"/>
      <c r="O2367" s="157"/>
      <c r="P2367" s="159" t="s">
        <v>2242</v>
      </c>
      <c r="Q2367" s="157"/>
      <c r="R2367" s="157"/>
      <c r="S2367" s="157"/>
      <c r="T2367" s="157"/>
      <c r="U2367" s="159" t="s">
        <v>2138</v>
      </c>
      <c r="V2367" s="159" t="s">
        <v>2129</v>
      </c>
      <c r="W2367" s="159" t="s">
        <v>2129</v>
      </c>
      <c r="X2367" s="160">
        <v>0.3</v>
      </c>
      <c r="Y2367" s="160">
        <v>0.1</v>
      </c>
      <c r="Z2367" s="160">
        <v>0.3</v>
      </c>
      <c r="AA2367" s="160">
        <v>0.1</v>
      </c>
    </row>
    <row r="2368" spans="1:27" ht="18" customHeight="1" x14ac:dyDescent="0.25">
      <c r="A2368" s="159">
        <v>6160</v>
      </c>
      <c r="B2368" s="157" t="s">
        <v>29</v>
      </c>
      <c r="C2368" s="157" t="s">
        <v>82</v>
      </c>
      <c r="D2368" s="159" t="s">
        <v>92</v>
      </c>
      <c r="E2368" s="157" t="s">
        <v>90</v>
      </c>
      <c r="F2368" s="157" t="s">
        <v>1264</v>
      </c>
      <c r="G2368" s="157" t="s">
        <v>1278</v>
      </c>
      <c r="H2368" s="157" t="s">
        <v>1294</v>
      </c>
      <c r="I2368" s="157" t="s">
        <v>1804</v>
      </c>
      <c r="J2368" s="157" t="s">
        <v>1296</v>
      </c>
      <c r="K2368" s="157" t="s">
        <v>1281</v>
      </c>
      <c r="L2368" s="157" t="s">
        <v>1875</v>
      </c>
      <c r="M2368" s="157" t="str">
        <f t="shared" si="51"/>
        <v>Door Ajar Switch FL - Door Lock and Unlock</v>
      </c>
      <c r="N2368" s="157"/>
      <c r="O2368" s="157"/>
      <c r="P2368" s="159" t="s">
        <v>7956</v>
      </c>
      <c r="Q2368" s="157" t="s">
        <v>2115</v>
      </c>
      <c r="R2368" s="157" t="s">
        <v>2142</v>
      </c>
      <c r="S2368" s="157" t="s">
        <v>8608</v>
      </c>
      <c r="T2368" s="157"/>
      <c r="U2368" s="159" t="s">
        <v>2129</v>
      </c>
      <c r="V2368" s="159" t="s">
        <v>2129</v>
      </c>
      <c r="W2368" s="159" t="s">
        <v>2129</v>
      </c>
      <c r="X2368" s="160">
        <v>0</v>
      </c>
      <c r="Y2368" s="160">
        <v>0</v>
      </c>
      <c r="Z2368" s="160">
        <v>0</v>
      </c>
      <c r="AA2368" s="160">
        <v>0</v>
      </c>
    </row>
    <row r="2369" spans="1:27" ht="18" customHeight="1" x14ac:dyDescent="0.25">
      <c r="A2369" s="159">
        <v>6160</v>
      </c>
      <c r="B2369" s="157" t="s">
        <v>77</v>
      </c>
      <c r="C2369" s="157" t="s">
        <v>149</v>
      </c>
      <c r="D2369" s="159" t="s">
        <v>178</v>
      </c>
      <c r="E2369" s="157" t="s">
        <v>176</v>
      </c>
      <c r="F2369" s="157" t="s">
        <v>1264</v>
      </c>
      <c r="G2369" s="157" t="s">
        <v>1278</v>
      </c>
      <c r="H2369" s="157" t="s">
        <v>1294</v>
      </c>
      <c r="I2369" s="157" t="s">
        <v>1804</v>
      </c>
      <c r="J2369" s="157" t="s">
        <v>1296</v>
      </c>
      <c r="K2369" s="157" t="s">
        <v>1281</v>
      </c>
      <c r="L2369" s="157" t="s">
        <v>1875</v>
      </c>
      <c r="M2369" s="157" t="str">
        <f t="shared" si="51"/>
        <v>Door Ajar Switch FL - Door Lock and Unlock</v>
      </c>
      <c r="N2369" s="157"/>
      <c r="O2369" s="157"/>
      <c r="P2369" s="159" t="s">
        <v>7956</v>
      </c>
      <c r="Q2369" s="157" t="s">
        <v>2115</v>
      </c>
      <c r="R2369" s="157" t="s">
        <v>2142</v>
      </c>
      <c r="S2369" s="157" t="s">
        <v>8608</v>
      </c>
      <c r="T2369" s="157"/>
      <c r="U2369" s="159" t="s">
        <v>2129</v>
      </c>
      <c r="V2369" s="159" t="s">
        <v>2129</v>
      </c>
      <c r="W2369" s="159" t="s">
        <v>2129</v>
      </c>
      <c r="X2369" s="160">
        <v>0</v>
      </c>
      <c r="Y2369" s="160">
        <v>0</v>
      </c>
      <c r="Z2369" s="160">
        <v>0</v>
      </c>
      <c r="AA2369" s="160">
        <v>0</v>
      </c>
    </row>
    <row r="2370" spans="1:27" ht="18" customHeight="1" x14ac:dyDescent="0.25">
      <c r="A2370" s="159">
        <v>6160</v>
      </c>
      <c r="B2370" s="157" t="s">
        <v>77</v>
      </c>
      <c r="C2370" s="157" t="s">
        <v>124</v>
      </c>
      <c r="D2370" s="159" t="s">
        <v>127</v>
      </c>
      <c r="E2370" s="157" t="s">
        <v>125</v>
      </c>
      <c r="F2370" s="157" t="s">
        <v>1264</v>
      </c>
      <c r="G2370" s="157" t="s">
        <v>1278</v>
      </c>
      <c r="H2370" s="157" t="s">
        <v>1294</v>
      </c>
      <c r="I2370" s="157" t="s">
        <v>1804</v>
      </c>
      <c r="J2370" s="157" t="s">
        <v>1296</v>
      </c>
      <c r="K2370" s="157" t="s">
        <v>1281</v>
      </c>
      <c r="L2370" s="157" t="s">
        <v>1875</v>
      </c>
      <c r="M2370" s="157" t="str">
        <f t="shared" si="51"/>
        <v>Door Ajar Switch FL - Door Lock and Unlock</v>
      </c>
      <c r="N2370" s="157"/>
      <c r="O2370" s="157"/>
      <c r="P2370" s="159" t="s">
        <v>7956</v>
      </c>
      <c r="Q2370" s="157" t="s">
        <v>2115</v>
      </c>
      <c r="R2370" s="157" t="s">
        <v>2142</v>
      </c>
      <c r="S2370" s="157" t="s">
        <v>8608</v>
      </c>
      <c r="T2370" s="157"/>
      <c r="U2370" s="159" t="s">
        <v>2129</v>
      </c>
      <c r="V2370" s="159" t="s">
        <v>2129</v>
      </c>
      <c r="W2370" s="159" t="s">
        <v>2129</v>
      </c>
      <c r="X2370" s="160">
        <v>0</v>
      </c>
      <c r="Y2370" s="160">
        <v>0</v>
      </c>
      <c r="Z2370" s="160">
        <v>0</v>
      </c>
      <c r="AA2370" s="160">
        <v>0</v>
      </c>
    </row>
    <row r="2371" spans="1:27" ht="18" customHeight="1" x14ac:dyDescent="0.25">
      <c r="A2371" s="159">
        <v>6160</v>
      </c>
      <c r="B2371" s="157" t="s">
        <v>63</v>
      </c>
      <c r="C2371" s="157" t="s">
        <v>64</v>
      </c>
      <c r="D2371" s="159" t="s">
        <v>752</v>
      </c>
      <c r="E2371" s="157" t="s">
        <v>750</v>
      </c>
      <c r="F2371" s="157"/>
      <c r="G2371" s="157" t="s">
        <v>1278</v>
      </c>
      <c r="H2371" s="157" t="s">
        <v>1294</v>
      </c>
      <c r="I2371" s="157" t="s">
        <v>1804</v>
      </c>
      <c r="J2371" s="157" t="s">
        <v>1296</v>
      </c>
      <c r="K2371" s="157" t="s">
        <v>1281</v>
      </c>
      <c r="L2371" s="157" t="s">
        <v>1875</v>
      </c>
      <c r="M2371" s="157" t="str">
        <f t="shared" si="51"/>
        <v>Door Ajar Switch FL - Door Lock and Unlock</v>
      </c>
      <c r="N2371" s="157"/>
      <c r="O2371" s="157"/>
      <c r="P2371" s="159" t="s">
        <v>7956</v>
      </c>
      <c r="Q2371" s="157" t="s">
        <v>2115</v>
      </c>
      <c r="R2371" s="157" t="s">
        <v>2142</v>
      </c>
      <c r="S2371" s="157" t="s">
        <v>8608</v>
      </c>
      <c r="T2371" s="157"/>
      <c r="U2371" s="159" t="s">
        <v>2129</v>
      </c>
      <c r="V2371" s="159" t="s">
        <v>2129</v>
      </c>
      <c r="W2371" s="159" t="s">
        <v>2129</v>
      </c>
      <c r="X2371" s="160">
        <v>0</v>
      </c>
      <c r="Y2371" s="160">
        <v>0</v>
      </c>
      <c r="Z2371" s="160">
        <v>0</v>
      </c>
      <c r="AA2371" s="160">
        <v>0</v>
      </c>
    </row>
    <row r="2372" spans="1:27" ht="18" customHeight="1" x14ac:dyDescent="0.25">
      <c r="A2372" s="159">
        <v>6161</v>
      </c>
      <c r="B2372" s="157" t="s">
        <v>29</v>
      </c>
      <c r="C2372" s="157" t="s">
        <v>82</v>
      </c>
      <c r="D2372" s="159" t="s">
        <v>92</v>
      </c>
      <c r="E2372" s="157" t="s">
        <v>90</v>
      </c>
      <c r="F2372" s="157" t="s">
        <v>1264</v>
      </c>
      <c r="G2372" s="157" t="s">
        <v>1278</v>
      </c>
      <c r="H2372" s="157" t="s">
        <v>1294</v>
      </c>
      <c r="I2372" s="157" t="s">
        <v>1804</v>
      </c>
      <c r="J2372" s="157" t="s">
        <v>1296</v>
      </c>
      <c r="K2372" s="157" t="s">
        <v>1281</v>
      </c>
      <c r="L2372" s="157" t="s">
        <v>1876</v>
      </c>
      <c r="M2372" s="157" t="str">
        <f t="shared" si="51"/>
        <v>Door Ajar Switch FR - Door Lock and Unlock</v>
      </c>
      <c r="N2372" s="157"/>
      <c r="O2372" s="157"/>
      <c r="P2372" s="159" t="s">
        <v>3808</v>
      </c>
      <c r="Q2372" s="157" t="s">
        <v>2115</v>
      </c>
      <c r="R2372" s="157" t="s">
        <v>2142</v>
      </c>
      <c r="S2372" s="157" t="s">
        <v>8608</v>
      </c>
      <c r="T2372" s="157"/>
      <c r="U2372" s="159" t="s">
        <v>2129</v>
      </c>
      <c r="V2372" s="159" t="s">
        <v>2129</v>
      </c>
      <c r="W2372" s="159" t="s">
        <v>2129</v>
      </c>
      <c r="X2372" s="160">
        <v>0</v>
      </c>
      <c r="Y2372" s="160">
        <v>0</v>
      </c>
      <c r="Z2372" s="160">
        <v>0</v>
      </c>
      <c r="AA2372" s="160">
        <v>0</v>
      </c>
    </row>
    <row r="2373" spans="1:27" ht="18" customHeight="1" x14ac:dyDescent="0.25">
      <c r="A2373" s="159">
        <v>6161</v>
      </c>
      <c r="B2373" s="157" t="s">
        <v>77</v>
      </c>
      <c r="C2373" s="157" t="s">
        <v>149</v>
      </c>
      <c r="D2373" s="159" t="s">
        <v>178</v>
      </c>
      <c r="E2373" s="157" t="s">
        <v>176</v>
      </c>
      <c r="F2373" s="157" t="s">
        <v>1264</v>
      </c>
      <c r="G2373" s="157" t="s">
        <v>1278</v>
      </c>
      <c r="H2373" s="157" t="s">
        <v>1294</v>
      </c>
      <c r="I2373" s="157" t="s">
        <v>1804</v>
      </c>
      <c r="J2373" s="157" t="s">
        <v>1296</v>
      </c>
      <c r="K2373" s="157" t="s">
        <v>1281</v>
      </c>
      <c r="L2373" s="157" t="s">
        <v>1876</v>
      </c>
      <c r="M2373" s="157" t="str">
        <f t="shared" si="51"/>
        <v>Door Ajar Switch FR - Door Lock and Unlock</v>
      </c>
      <c r="N2373" s="157"/>
      <c r="O2373" s="157"/>
      <c r="P2373" s="159" t="s">
        <v>3808</v>
      </c>
      <c r="Q2373" s="157" t="s">
        <v>2115</v>
      </c>
      <c r="R2373" s="157" t="s">
        <v>2142</v>
      </c>
      <c r="S2373" s="157" t="s">
        <v>8608</v>
      </c>
      <c r="T2373" s="157"/>
      <c r="U2373" s="159" t="s">
        <v>2129</v>
      </c>
      <c r="V2373" s="159" t="s">
        <v>2129</v>
      </c>
      <c r="W2373" s="159" t="s">
        <v>2129</v>
      </c>
      <c r="X2373" s="160">
        <v>0</v>
      </c>
      <c r="Y2373" s="160">
        <v>0</v>
      </c>
      <c r="Z2373" s="160">
        <v>0</v>
      </c>
      <c r="AA2373" s="160">
        <v>0</v>
      </c>
    </row>
    <row r="2374" spans="1:27" ht="18" customHeight="1" x14ac:dyDescent="0.25">
      <c r="A2374" s="159">
        <v>6161</v>
      </c>
      <c r="B2374" s="157" t="s">
        <v>77</v>
      </c>
      <c r="C2374" s="157" t="s">
        <v>124</v>
      </c>
      <c r="D2374" s="159" t="s">
        <v>127</v>
      </c>
      <c r="E2374" s="157" t="s">
        <v>125</v>
      </c>
      <c r="F2374" s="157" t="s">
        <v>1264</v>
      </c>
      <c r="G2374" s="157" t="s">
        <v>1278</v>
      </c>
      <c r="H2374" s="157" t="s">
        <v>1294</v>
      </c>
      <c r="I2374" s="157" t="s">
        <v>1804</v>
      </c>
      <c r="J2374" s="157" t="s">
        <v>1296</v>
      </c>
      <c r="K2374" s="157" t="s">
        <v>1281</v>
      </c>
      <c r="L2374" s="157" t="s">
        <v>1876</v>
      </c>
      <c r="M2374" s="157" t="str">
        <f t="shared" si="51"/>
        <v>Door Ajar Switch FR - Door Lock and Unlock</v>
      </c>
      <c r="N2374" s="157"/>
      <c r="O2374" s="157"/>
      <c r="P2374" s="159" t="s">
        <v>3808</v>
      </c>
      <c r="Q2374" s="157" t="s">
        <v>2115</v>
      </c>
      <c r="R2374" s="157" t="s">
        <v>2142</v>
      </c>
      <c r="S2374" s="157" t="s">
        <v>8608</v>
      </c>
      <c r="T2374" s="157"/>
      <c r="U2374" s="159" t="s">
        <v>2129</v>
      </c>
      <c r="V2374" s="159" t="s">
        <v>2129</v>
      </c>
      <c r="W2374" s="159" t="s">
        <v>2129</v>
      </c>
      <c r="X2374" s="160">
        <v>0</v>
      </c>
      <c r="Y2374" s="160">
        <v>0</v>
      </c>
      <c r="Z2374" s="160">
        <v>0</v>
      </c>
      <c r="AA2374" s="160">
        <v>0</v>
      </c>
    </row>
    <row r="2375" spans="1:27" ht="18" customHeight="1" x14ac:dyDescent="0.25">
      <c r="A2375" s="159">
        <v>6161</v>
      </c>
      <c r="B2375" s="157" t="s">
        <v>63</v>
      </c>
      <c r="C2375" s="157" t="s">
        <v>64</v>
      </c>
      <c r="D2375" s="159" t="s">
        <v>752</v>
      </c>
      <c r="E2375" s="157" t="s">
        <v>750</v>
      </c>
      <c r="F2375" s="157"/>
      <c r="G2375" s="157" t="s">
        <v>1278</v>
      </c>
      <c r="H2375" s="157" t="s">
        <v>1294</v>
      </c>
      <c r="I2375" s="157" t="s">
        <v>1804</v>
      </c>
      <c r="J2375" s="157" t="s">
        <v>1296</v>
      </c>
      <c r="K2375" s="157" t="s">
        <v>1281</v>
      </c>
      <c r="L2375" s="157" t="s">
        <v>1876</v>
      </c>
      <c r="M2375" s="157" t="str">
        <f t="shared" si="51"/>
        <v>Door Ajar Switch FR - Door Lock and Unlock</v>
      </c>
      <c r="N2375" s="157"/>
      <c r="O2375" s="157"/>
      <c r="P2375" s="159" t="s">
        <v>3808</v>
      </c>
      <c r="Q2375" s="157" t="s">
        <v>2115</v>
      </c>
      <c r="R2375" s="157" t="s">
        <v>2142</v>
      </c>
      <c r="S2375" s="157" t="s">
        <v>8608</v>
      </c>
      <c r="T2375" s="157"/>
      <c r="U2375" s="159" t="s">
        <v>2129</v>
      </c>
      <c r="V2375" s="159" t="s">
        <v>2129</v>
      </c>
      <c r="W2375" s="159" t="s">
        <v>2129</v>
      </c>
      <c r="X2375" s="160">
        <v>0</v>
      </c>
      <c r="Y2375" s="160">
        <v>0</v>
      </c>
      <c r="Z2375" s="160">
        <v>0</v>
      </c>
      <c r="AA2375" s="160">
        <v>0</v>
      </c>
    </row>
    <row r="2376" spans="1:27" ht="18" customHeight="1" x14ac:dyDescent="0.25">
      <c r="A2376" s="159">
        <v>6162</v>
      </c>
      <c r="B2376" s="157" t="s">
        <v>29</v>
      </c>
      <c r="C2376" s="157" t="s">
        <v>82</v>
      </c>
      <c r="D2376" s="159" t="s">
        <v>86</v>
      </c>
      <c r="E2376" s="157" t="s">
        <v>777</v>
      </c>
      <c r="F2376" s="157" t="s">
        <v>1264</v>
      </c>
      <c r="G2376" s="157" t="s">
        <v>1278</v>
      </c>
      <c r="H2376" s="157" t="s">
        <v>1294</v>
      </c>
      <c r="I2376" s="157" t="s">
        <v>1804</v>
      </c>
      <c r="J2376" s="157" t="s">
        <v>1296</v>
      </c>
      <c r="K2376" s="157" t="s">
        <v>1281</v>
      </c>
      <c r="L2376" s="157" t="s">
        <v>1877</v>
      </c>
      <c r="M2376" s="157" t="str">
        <f t="shared" si="51"/>
        <v>Door Ajar Switch RL - Door Lock and Unlock</v>
      </c>
      <c r="N2376" s="157"/>
      <c r="O2376" s="157"/>
      <c r="P2376" s="159" t="s">
        <v>7983</v>
      </c>
      <c r="Q2376" s="157" t="s">
        <v>2115</v>
      </c>
      <c r="R2376" s="157" t="s">
        <v>2142</v>
      </c>
      <c r="S2376" s="157" t="s">
        <v>8608</v>
      </c>
      <c r="T2376" s="157"/>
      <c r="U2376" s="159" t="s">
        <v>2129</v>
      </c>
      <c r="V2376" s="159" t="s">
        <v>2129</v>
      </c>
      <c r="W2376" s="159" t="s">
        <v>2129</v>
      </c>
      <c r="X2376" s="160">
        <v>0</v>
      </c>
      <c r="Y2376" s="160">
        <v>0</v>
      </c>
      <c r="Z2376" s="160">
        <v>0</v>
      </c>
      <c r="AA2376" s="160">
        <v>0</v>
      </c>
    </row>
    <row r="2377" spans="1:27" ht="18" customHeight="1" x14ac:dyDescent="0.25">
      <c r="A2377" s="159">
        <v>6162</v>
      </c>
      <c r="B2377" s="157" t="s">
        <v>77</v>
      </c>
      <c r="C2377" s="157" t="s">
        <v>149</v>
      </c>
      <c r="D2377" s="159" t="s">
        <v>178</v>
      </c>
      <c r="E2377" s="157" t="s">
        <v>176</v>
      </c>
      <c r="F2377" s="157" t="s">
        <v>1264</v>
      </c>
      <c r="G2377" s="157" t="s">
        <v>1278</v>
      </c>
      <c r="H2377" s="157" t="s">
        <v>1294</v>
      </c>
      <c r="I2377" s="157" t="s">
        <v>1804</v>
      </c>
      <c r="J2377" s="157" t="s">
        <v>1296</v>
      </c>
      <c r="K2377" s="157" t="s">
        <v>1281</v>
      </c>
      <c r="L2377" s="157" t="s">
        <v>1877</v>
      </c>
      <c r="M2377" s="157" t="str">
        <f t="shared" si="51"/>
        <v>Door Ajar Switch RL - Door Lock and Unlock</v>
      </c>
      <c r="N2377" s="157"/>
      <c r="O2377" s="157"/>
      <c r="P2377" s="159" t="s">
        <v>7983</v>
      </c>
      <c r="Q2377" s="157" t="s">
        <v>2115</v>
      </c>
      <c r="R2377" s="157" t="s">
        <v>2142</v>
      </c>
      <c r="S2377" s="157" t="s">
        <v>8608</v>
      </c>
      <c r="T2377" s="157"/>
      <c r="U2377" s="159" t="s">
        <v>2129</v>
      </c>
      <c r="V2377" s="159" t="s">
        <v>2129</v>
      </c>
      <c r="W2377" s="159" t="s">
        <v>2129</v>
      </c>
      <c r="X2377" s="160">
        <v>0</v>
      </c>
      <c r="Y2377" s="160">
        <v>0</v>
      </c>
      <c r="Z2377" s="160">
        <v>0</v>
      </c>
      <c r="AA2377" s="160">
        <v>0</v>
      </c>
    </row>
    <row r="2378" spans="1:27" ht="18" customHeight="1" x14ac:dyDescent="0.25">
      <c r="A2378" s="159">
        <v>6162</v>
      </c>
      <c r="B2378" s="157" t="s">
        <v>77</v>
      </c>
      <c r="C2378" s="157" t="s">
        <v>124</v>
      </c>
      <c r="D2378" s="159" t="s">
        <v>1121</v>
      </c>
      <c r="E2378" s="157" t="s">
        <v>1119</v>
      </c>
      <c r="F2378" s="157"/>
      <c r="G2378" s="157" t="s">
        <v>1278</v>
      </c>
      <c r="H2378" s="157" t="s">
        <v>1294</v>
      </c>
      <c r="I2378" s="157" t="s">
        <v>1804</v>
      </c>
      <c r="J2378" s="157" t="s">
        <v>1296</v>
      </c>
      <c r="K2378" s="157" t="s">
        <v>1281</v>
      </c>
      <c r="L2378" s="157" t="s">
        <v>1877</v>
      </c>
      <c r="M2378" s="157" t="str">
        <f t="shared" ref="M2378:M2441" si="52">CONCATENATE(L2378," - ",I2378)</f>
        <v>Door Ajar Switch RL - Door Lock and Unlock</v>
      </c>
      <c r="N2378" s="157"/>
      <c r="O2378" s="157"/>
      <c r="P2378" s="159" t="s">
        <v>7983</v>
      </c>
      <c r="Q2378" s="157" t="s">
        <v>2115</v>
      </c>
      <c r="R2378" s="157" t="s">
        <v>2142</v>
      </c>
      <c r="S2378" s="157" t="s">
        <v>8608</v>
      </c>
      <c r="T2378" s="157"/>
      <c r="U2378" s="159" t="s">
        <v>2129</v>
      </c>
      <c r="V2378" s="159" t="s">
        <v>2129</v>
      </c>
      <c r="W2378" s="159" t="s">
        <v>2129</v>
      </c>
      <c r="X2378" s="160">
        <v>0</v>
      </c>
      <c r="Y2378" s="160">
        <v>0</v>
      </c>
      <c r="Z2378" s="160">
        <v>0</v>
      </c>
      <c r="AA2378" s="160">
        <v>0</v>
      </c>
    </row>
    <row r="2379" spans="1:27" ht="18" customHeight="1" x14ac:dyDescent="0.25">
      <c r="A2379" s="159">
        <v>6162</v>
      </c>
      <c r="B2379" s="157" t="s">
        <v>63</v>
      </c>
      <c r="C2379" s="157" t="s">
        <v>64</v>
      </c>
      <c r="D2379" s="159" t="s">
        <v>752</v>
      </c>
      <c r="E2379" s="157" t="s">
        <v>750</v>
      </c>
      <c r="F2379" s="157"/>
      <c r="G2379" s="157" t="s">
        <v>1278</v>
      </c>
      <c r="H2379" s="157" t="s">
        <v>1294</v>
      </c>
      <c r="I2379" s="157" t="s">
        <v>1804</v>
      </c>
      <c r="J2379" s="157" t="s">
        <v>1296</v>
      </c>
      <c r="K2379" s="157" t="s">
        <v>1281</v>
      </c>
      <c r="L2379" s="157" t="s">
        <v>1877</v>
      </c>
      <c r="M2379" s="157" t="str">
        <f t="shared" si="52"/>
        <v>Door Ajar Switch RL - Door Lock and Unlock</v>
      </c>
      <c r="N2379" s="157"/>
      <c r="O2379" s="157"/>
      <c r="P2379" s="159" t="s">
        <v>7983</v>
      </c>
      <c r="Q2379" s="157" t="s">
        <v>2115</v>
      </c>
      <c r="R2379" s="157" t="s">
        <v>2142</v>
      </c>
      <c r="S2379" s="157" t="s">
        <v>8608</v>
      </c>
      <c r="T2379" s="157"/>
      <c r="U2379" s="159" t="s">
        <v>2129</v>
      </c>
      <c r="V2379" s="159" t="s">
        <v>2129</v>
      </c>
      <c r="W2379" s="159" t="s">
        <v>2129</v>
      </c>
      <c r="X2379" s="160">
        <v>0</v>
      </c>
      <c r="Y2379" s="160">
        <v>0</v>
      </c>
      <c r="Z2379" s="160">
        <v>0</v>
      </c>
      <c r="AA2379" s="160">
        <v>0</v>
      </c>
    </row>
    <row r="2380" spans="1:27" ht="18" customHeight="1" x14ac:dyDescent="0.25">
      <c r="A2380" s="159">
        <v>6163</v>
      </c>
      <c r="B2380" s="157" t="s">
        <v>29</v>
      </c>
      <c r="C2380" s="157" t="s">
        <v>82</v>
      </c>
      <c r="D2380" s="159" t="s">
        <v>86</v>
      </c>
      <c r="E2380" s="157" t="s">
        <v>777</v>
      </c>
      <c r="F2380" s="157" t="s">
        <v>1264</v>
      </c>
      <c r="G2380" s="157" t="s">
        <v>1278</v>
      </c>
      <c r="H2380" s="157" t="s">
        <v>1294</v>
      </c>
      <c r="I2380" s="157" t="s">
        <v>1804</v>
      </c>
      <c r="J2380" s="157" t="s">
        <v>1296</v>
      </c>
      <c r="K2380" s="157" t="s">
        <v>1281</v>
      </c>
      <c r="L2380" s="157" t="s">
        <v>1878</v>
      </c>
      <c r="M2380" s="157" t="str">
        <f t="shared" si="52"/>
        <v>Door Ajar Switch RR - Door Lock and Unlock</v>
      </c>
      <c r="N2380" s="157"/>
      <c r="O2380" s="157"/>
      <c r="P2380" s="159" t="s">
        <v>3835</v>
      </c>
      <c r="Q2380" s="157" t="s">
        <v>2115</v>
      </c>
      <c r="R2380" s="157" t="s">
        <v>2142</v>
      </c>
      <c r="S2380" s="157" t="s">
        <v>8608</v>
      </c>
      <c r="T2380" s="157"/>
      <c r="U2380" s="159" t="s">
        <v>2129</v>
      </c>
      <c r="V2380" s="159" t="s">
        <v>2129</v>
      </c>
      <c r="W2380" s="159" t="s">
        <v>2129</v>
      </c>
      <c r="X2380" s="160">
        <v>0</v>
      </c>
      <c r="Y2380" s="160">
        <v>0</v>
      </c>
      <c r="Z2380" s="160">
        <v>0</v>
      </c>
      <c r="AA2380" s="160">
        <v>0</v>
      </c>
    </row>
    <row r="2381" spans="1:27" ht="18" customHeight="1" x14ac:dyDescent="0.25">
      <c r="A2381" s="159">
        <v>6163</v>
      </c>
      <c r="B2381" s="157" t="s">
        <v>77</v>
      </c>
      <c r="C2381" s="157" t="s">
        <v>149</v>
      </c>
      <c r="D2381" s="159" t="s">
        <v>178</v>
      </c>
      <c r="E2381" s="157" t="s">
        <v>176</v>
      </c>
      <c r="F2381" s="157" t="s">
        <v>1264</v>
      </c>
      <c r="G2381" s="157" t="s">
        <v>1278</v>
      </c>
      <c r="H2381" s="157" t="s">
        <v>1294</v>
      </c>
      <c r="I2381" s="157" t="s">
        <v>1804</v>
      </c>
      <c r="J2381" s="157" t="s">
        <v>1296</v>
      </c>
      <c r="K2381" s="157" t="s">
        <v>1281</v>
      </c>
      <c r="L2381" s="157" t="s">
        <v>1878</v>
      </c>
      <c r="M2381" s="157" t="str">
        <f t="shared" si="52"/>
        <v>Door Ajar Switch RR - Door Lock and Unlock</v>
      </c>
      <c r="N2381" s="157"/>
      <c r="O2381" s="157"/>
      <c r="P2381" s="159" t="s">
        <v>3835</v>
      </c>
      <c r="Q2381" s="157" t="s">
        <v>2115</v>
      </c>
      <c r="R2381" s="157" t="s">
        <v>2142</v>
      </c>
      <c r="S2381" s="157" t="s">
        <v>8608</v>
      </c>
      <c r="T2381" s="157"/>
      <c r="U2381" s="159" t="s">
        <v>2129</v>
      </c>
      <c r="V2381" s="159" t="s">
        <v>2129</v>
      </c>
      <c r="W2381" s="159" t="s">
        <v>2129</v>
      </c>
      <c r="X2381" s="160">
        <v>0</v>
      </c>
      <c r="Y2381" s="160">
        <v>0</v>
      </c>
      <c r="Z2381" s="160">
        <v>0</v>
      </c>
      <c r="AA2381" s="160">
        <v>0</v>
      </c>
    </row>
    <row r="2382" spans="1:27" ht="18" customHeight="1" x14ac:dyDescent="0.25">
      <c r="A2382" s="159">
        <v>6163</v>
      </c>
      <c r="B2382" s="157" t="s">
        <v>77</v>
      </c>
      <c r="C2382" s="157" t="s">
        <v>124</v>
      </c>
      <c r="D2382" s="159" t="s">
        <v>1121</v>
      </c>
      <c r="E2382" s="157" t="s">
        <v>1119</v>
      </c>
      <c r="F2382" s="157"/>
      <c r="G2382" s="157" t="s">
        <v>1278</v>
      </c>
      <c r="H2382" s="157" t="s">
        <v>1294</v>
      </c>
      <c r="I2382" s="157" t="s">
        <v>1804</v>
      </c>
      <c r="J2382" s="157" t="s">
        <v>1296</v>
      </c>
      <c r="K2382" s="157" t="s">
        <v>1281</v>
      </c>
      <c r="L2382" s="157" t="s">
        <v>1878</v>
      </c>
      <c r="M2382" s="157" t="str">
        <f t="shared" si="52"/>
        <v>Door Ajar Switch RR - Door Lock and Unlock</v>
      </c>
      <c r="N2382" s="157"/>
      <c r="O2382" s="157"/>
      <c r="P2382" s="159" t="s">
        <v>3835</v>
      </c>
      <c r="Q2382" s="157" t="s">
        <v>2115</v>
      </c>
      <c r="R2382" s="157" t="s">
        <v>2142</v>
      </c>
      <c r="S2382" s="157" t="s">
        <v>8608</v>
      </c>
      <c r="T2382" s="157"/>
      <c r="U2382" s="159" t="s">
        <v>2129</v>
      </c>
      <c r="V2382" s="159" t="s">
        <v>2129</v>
      </c>
      <c r="W2382" s="159" t="s">
        <v>2129</v>
      </c>
      <c r="X2382" s="160">
        <v>0</v>
      </c>
      <c r="Y2382" s="160">
        <v>0</v>
      </c>
      <c r="Z2382" s="160">
        <v>0</v>
      </c>
      <c r="AA2382" s="160">
        <v>0</v>
      </c>
    </row>
    <row r="2383" spans="1:27" ht="18" customHeight="1" x14ac:dyDescent="0.25">
      <c r="A2383" s="159">
        <v>6163</v>
      </c>
      <c r="B2383" s="157" t="s">
        <v>63</v>
      </c>
      <c r="C2383" s="157" t="s">
        <v>64</v>
      </c>
      <c r="D2383" s="159" t="s">
        <v>752</v>
      </c>
      <c r="E2383" s="157" t="s">
        <v>750</v>
      </c>
      <c r="F2383" s="157"/>
      <c r="G2383" s="157" t="s">
        <v>1278</v>
      </c>
      <c r="H2383" s="157" t="s">
        <v>1294</v>
      </c>
      <c r="I2383" s="157" t="s">
        <v>1804</v>
      </c>
      <c r="J2383" s="157" t="s">
        <v>1296</v>
      </c>
      <c r="K2383" s="157" t="s">
        <v>1281</v>
      </c>
      <c r="L2383" s="157" t="s">
        <v>1878</v>
      </c>
      <c r="M2383" s="157" t="str">
        <f t="shared" si="52"/>
        <v>Door Ajar Switch RR - Door Lock and Unlock</v>
      </c>
      <c r="N2383" s="157"/>
      <c r="O2383" s="157"/>
      <c r="P2383" s="159" t="s">
        <v>3835</v>
      </c>
      <c r="Q2383" s="157" t="s">
        <v>2115</v>
      </c>
      <c r="R2383" s="157" t="s">
        <v>2142</v>
      </c>
      <c r="S2383" s="157" t="s">
        <v>8608</v>
      </c>
      <c r="T2383" s="157"/>
      <c r="U2383" s="159" t="s">
        <v>2129</v>
      </c>
      <c r="V2383" s="159" t="s">
        <v>2129</v>
      </c>
      <c r="W2383" s="159" t="s">
        <v>2129</v>
      </c>
      <c r="X2383" s="160">
        <v>0</v>
      </c>
      <c r="Y2383" s="160">
        <v>0</v>
      </c>
      <c r="Z2383" s="160">
        <v>0</v>
      </c>
      <c r="AA2383" s="160">
        <v>0</v>
      </c>
    </row>
    <row r="2384" spans="1:27" ht="18" customHeight="1" x14ac:dyDescent="0.25">
      <c r="A2384" s="159">
        <v>6200</v>
      </c>
      <c r="B2384" s="157" t="s">
        <v>77</v>
      </c>
      <c r="C2384" s="157" t="s">
        <v>136</v>
      </c>
      <c r="D2384" s="159" t="s">
        <v>977</v>
      </c>
      <c r="E2384" s="157" t="s">
        <v>975</v>
      </c>
      <c r="F2384" s="157"/>
      <c r="G2384" s="157" t="s">
        <v>1278</v>
      </c>
      <c r="H2384" s="157" t="s">
        <v>1347</v>
      </c>
      <c r="I2384" s="157" t="s">
        <v>1348</v>
      </c>
      <c r="J2384" s="157" t="s">
        <v>1310</v>
      </c>
      <c r="K2384" s="157" t="s">
        <v>1269</v>
      </c>
      <c r="L2384" s="157" t="s">
        <v>1330</v>
      </c>
      <c r="M2384" s="157" t="str">
        <f t="shared" si="52"/>
        <v>Motor - Seat Release 2nd Row Left</v>
      </c>
      <c r="N2384" s="157"/>
      <c r="O2384" s="157"/>
      <c r="P2384" s="159"/>
      <c r="Q2384" s="157"/>
      <c r="R2384" s="157"/>
      <c r="S2384" s="157"/>
      <c r="T2384" s="157"/>
      <c r="U2384" s="159"/>
      <c r="V2384" s="159"/>
      <c r="W2384" s="159"/>
      <c r="X2384" s="160"/>
      <c r="Y2384" s="160"/>
      <c r="Z2384" s="160"/>
      <c r="AA2384" s="160"/>
    </row>
    <row r="2385" spans="1:27" ht="18" customHeight="1" x14ac:dyDescent="0.25">
      <c r="A2385" s="159">
        <v>6201</v>
      </c>
      <c r="B2385" s="157" t="s">
        <v>77</v>
      </c>
      <c r="C2385" s="157" t="s">
        <v>136</v>
      </c>
      <c r="D2385" s="159" t="s">
        <v>1124</v>
      </c>
      <c r="E2385" s="157" t="s">
        <v>1122</v>
      </c>
      <c r="F2385" s="157"/>
      <c r="G2385" s="157" t="s">
        <v>1278</v>
      </c>
      <c r="H2385" s="157" t="s">
        <v>1347</v>
      </c>
      <c r="I2385" s="157" t="s">
        <v>8686</v>
      </c>
      <c r="J2385" s="157" t="s">
        <v>1310</v>
      </c>
      <c r="K2385" s="157" t="s">
        <v>1312</v>
      </c>
      <c r="L2385" s="157" t="s">
        <v>1312</v>
      </c>
      <c r="M2385" s="157" t="str">
        <f t="shared" si="52"/>
        <v>Sensor - seat Backrest Tilting 2nd Row Right</v>
      </c>
      <c r="N2385" s="157"/>
      <c r="O2385" s="157"/>
      <c r="P2385" s="159" t="s">
        <v>5676</v>
      </c>
      <c r="Q2385" s="157" t="s">
        <v>2115</v>
      </c>
      <c r="R2385" s="157" t="s">
        <v>2124</v>
      </c>
      <c r="S2385" s="157" t="s">
        <v>8608</v>
      </c>
      <c r="T2385" s="157"/>
      <c r="U2385" s="159" t="s">
        <v>2129</v>
      </c>
      <c r="V2385" s="159" t="s">
        <v>2129</v>
      </c>
      <c r="W2385" s="159" t="s">
        <v>2138</v>
      </c>
      <c r="X2385" s="160">
        <v>0</v>
      </c>
      <c r="Y2385" s="160">
        <v>0</v>
      </c>
      <c r="Z2385" s="160">
        <v>0</v>
      </c>
      <c r="AA2385" s="160">
        <v>0</v>
      </c>
    </row>
    <row r="2386" spans="1:27" ht="18" customHeight="1" x14ac:dyDescent="0.25">
      <c r="A2386" s="159">
        <v>6202</v>
      </c>
      <c r="B2386" s="157" t="s">
        <v>77</v>
      </c>
      <c r="C2386" s="157" t="s">
        <v>136</v>
      </c>
      <c r="D2386" s="159" t="s">
        <v>1124</v>
      </c>
      <c r="E2386" s="157" t="s">
        <v>1122</v>
      </c>
      <c r="F2386" s="157"/>
      <c r="G2386" s="157" t="s">
        <v>1278</v>
      </c>
      <c r="H2386" s="157" t="s">
        <v>1347</v>
      </c>
      <c r="I2386" s="157" t="s">
        <v>8687</v>
      </c>
      <c r="J2386" s="157" t="s">
        <v>1310</v>
      </c>
      <c r="K2386" s="157" t="s">
        <v>1281</v>
      </c>
      <c r="L2386" s="157" t="s">
        <v>1282</v>
      </c>
      <c r="M2386" s="157" t="str">
        <f t="shared" si="52"/>
        <v>User Selector - Seat Backrest Tilting 2nd Row Left</v>
      </c>
      <c r="N2386" s="157"/>
      <c r="O2386" s="157"/>
      <c r="P2386" s="159" t="s">
        <v>5862</v>
      </c>
      <c r="Q2386" s="157" t="s">
        <v>2115</v>
      </c>
      <c r="R2386" s="157" t="s">
        <v>2141</v>
      </c>
      <c r="S2386" s="157" t="s">
        <v>8608</v>
      </c>
      <c r="T2386" s="157"/>
      <c r="U2386" s="159" t="s">
        <v>2129</v>
      </c>
      <c r="V2386" s="159" t="s">
        <v>2129</v>
      </c>
      <c r="W2386" s="159" t="s">
        <v>2138</v>
      </c>
      <c r="X2386" s="160">
        <v>0</v>
      </c>
      <c r="Y2386" s="160">
        <v>0</v>
      </c>
      <c r="Z2386" s="160">
        <v>0</v>
      </c>
      <c r="AA2386" s="160">
        <v>0</v>
      </c>
    </row>
    <row r="2387" spans="1:27" ht="18" customHeight="1" x14ac:dyDescent="0.25">
      <c r="A2387" s="159">
        <v>6203</v>
      </c>
      <c r="B2387" s="157" t="s">
        <v>77</v>
      </c>
      <c r="C2387" s="157" t="s">
        <v>136</v>
      </c>
      <c r="D2387" s="159" t="s">
        <v>1124</v>
      </c>
      <c r="E2387" s="157" t="s">
        <v>1122</v>
      </c>
      <c r="F2387" s="157"/>
      <c r="G2387" s="157" t="s">
        <v>1278</v>
      </c>
      <c r="H2387" s="157" t="s">
        <v>1347</v>
      </c>
      <c r="I2387" s="157" t="s">
        <v>8687</v>
      </c>
      <c r="J2387" s="157" t="s">
        <v>1310</v>
      </c>
      <c r="K2387" s="157" t="s">
        <v>1312</v>
      </c>
      <c r="L2387" s="157" t="s">
        <v>1312</v>
      </c>
      <c r="M2387" s="157" t="str">
        <f t="shared" si="52"/>
        <v>Sensor - Seat Backrest Tilting 2nd Row Left</v>
      </c>
      <c r="N2387" s="157"/>
      <c r="O2387" s="157"/>
      <c r="P2387" s="159" t="s">
        <v>5862</v>
      </c>
      <c r="Q2387" s="157" t="s">
        <v>2115</v>
      </c>
      <c r="R2387" s="157" t="s">
        <v>2124</v>
      </c>
      <c r="S2387" s="157" t="s">
        <v>8608</v>
      </c>
      <c r="T2387" s="157"/>
      <c r="U2387" s="159" t="s">
        <v>2129</v>
      </c>
      <c r="V2387" s="159" t="s">
        <v>2129</v>
      </c>
      <c r="W2387" s="159" t="s">
        <v>2138</v>
      </c>
      <c r="X2387" s="160">
        <v>0</v>
      </c>
      <c r="Y2387" s="160">
        <v>0</v>
      </c>
      <c r="Z2387" s="160">
        <v>0</v>
      </c>
      <c r="AA2387" s="160">
        <v>0</v>
      </c>
    </row>
    <row r="2388" spans="1:27" ht="18" customHeight="1" x14ac:dyDescent="0.25">
      <c r="A2388" s="159">
        <v>6204</v>
      </c>
      <c r="B2388" s="157" t="s">
        <v>77</v>
      </c>
      <c r="C2388" s="157" t="s">
        <v>136</v>
      </c>
      <c r="D2388" s="159" t="s">
        <v>1124</v>
      </c>
      <c r="E2388" s="157" t="s">
        <v>1122</v>
      </c>
      <c r="F2388" s="157"/>
      <c r="G2388" s="157" t="s">
        <v>1278</v>
      </c>
      <c r="H2388" s="157" t="s">
        <v>1347</v>
      </c>
      <c r="I2388" s="157" t="s">
        <v>8687</v>
      </c>
      <c r="J2388" s="157" t="s">
        <v>1310</v>
      </c>
      <c r="K2388" s="157" t="s">
        <v>1269</v>
      </c>
      <c r="L2388" s="157" t="s">
        <v>1330</v>
      </c>
      <c r="M2388" s="157" t="str">
        <f t="shared" si="52"/>
        <v>Motor - Seat Backrest Tilting 2nd Row Left</v>
      </c>
      <c r="N2388" s="157"/>
      <c r="O2388" s="157"/>
      <c r="P2388" s="159" t="s">
        <v>5862</v>
      </c>
      <c r="Q2388" s="157" t="s">
        <v>2115</v>
      </c>
      <c r="R2388" s="157" t="s">
        <v>2121</v>
      </c>
      <c r="S2388" s="157" t="s">
        <v>8632</v>
      </c>
      <c r="T2388" s="157"/>
      <c r="U2388" s="159" t="s">
        <v>2129</v>
      </c>
      <c r="V2388" s="159" t="s">
        <v>2129</v>
      </c>
      <c r="W2388" s="159" t="s">
        <v>2138</v>
      </c>
      <c r="X2388" s="160">
        <v>0</v>
      </c>
      <c r="Y2388" s="160">
        <v>0</v>
      </c>
      <c r="Z2388" s="160">
        <v>0</v>
      </c>
      <c r="AA2388" s="160">
        <v>0</v>
      </c>
    </row>
    <row r="2389" spans="1:27" ht="18" customHeight="1" x14ac:dyDescent="0.25">
      <c r="A2389" s="159">
        <v>6205</v>
      </c>
      <c r="B2389" s="157" t="s">
        <v>77</v>
      </c>
      <c r="C2389" s="157" t="s">
        <v>136</v>
      </c>
      <c r="D2389" s="159" t="s">
        <v>1124</v>
      </c>
      <c r="E2389" s="157" t="s">
        <v>1122</v>
      </c>
      <c r="F2389" s="157"/>
      <c r="G2389" s="157" t="s">
        <v>1278</v>
      </c>
      <c r="H2389" s="157" t="s">
        <v>1347</v>
      </c>
      <c r="I2389" s="157" t="s">
        <v>1879</v>
      </c>
      <c r="J2389" s="157" t="s">
        <v>1310</v>
      </c>
      <c r="K2389" s="157" t="s">
        <v>1269</v>
      </c>
      <c r="L2389" s="157" t="s">
        <v>1330</v>
      </c>
      <c r="M2389" s="157" t="str">
        <f t="shared" si="52"/>
        <v>Motor - Seat Depth 2nd Row Right</v>
      </c>
      <c r="N2389" s="157"/>
      <c r="O2389" s="157"/>
      <c r="P2389" s="159" t="s">
        <v>5676</v>
      </c>
      <c r="Q2389" s="157" t="s">
        <v>2115</v>
      </c>
      <c r="R2389" s="157" t="s">
        <v>2121</v>
      </c>
      <c r="S2389" s="157" t="s">
        <v>8632</v>
      </c>
      <c r="T2389" s="157"/>
      <c r="U2389" s="159" t="s">
        <v>2129</v>
      </c>
      <c r="V2389" s="159" t="s">
        <v>2129</v>
      </c>
      <c r="W2389" s="159" t="s">
        <v>2138</v>
      </c>
      <c r="X2389" s="160">
        <v>0</v>
      </c>
      <c r="Y2389" s="160">
        <v>0</v>
      </c>
      <c r="Z2389" s="160">
        <v>0</v>
      </c>
      <c r="AA2389" s="160">
        <v>0</v>
      </c>
    </row>
    <row r="2390" spans="1:27" ht="18" customHeight="1" x14ac:dyDescent="0.25">
      <c r="A2390" s="159">
        <v>6206</v>
      </c>
      <c r="B2390" s="157" t="s">
        <v>77</v>
      </c>
      <c r="C2390" s="157" t="s">
        <v>136</v>
      </c>
      <c r="D2390" s="159" t="s">
        <v>1124</v>
      </c>
      <c r="E2390" s="157" t="s">
        <v>1122</v>
      </c>
      <c r="F2390" s="157"/>
      <c r="G2390" s="157" t="s">
        <v>1278</v>
      </c>
      <c r="H2390" s="157" t="s">
        <v>1347</v>
      </c>
      <c r="I2390" s="157" t="s">
        <v>1879</v>
      </c>
      <c r="J2390" s="157" t="s">
        <v>1310</v>
      </c>
      <c r="K2390" s="157" t="s">
        <v>1281</v>
      </c>
      <c r="L2390" s="157" t="s">
        <v>1282</v>
      </c>
      <c r="M2390" s="157" t="str">
        <f t="shared" si="52"/>
        <v>User Selector - Seat Depth 2nd Row Right</v>
      </c>
      <c r="N2390" s="157"/>
      <c r="O2390" s="157"/>
      <c r="P2390" s="159"/>
      <c r="Q2390" s="157"/>
      <c r="R2390" s="157"/>
      <c r="S2390" s="157"/>
      <c r="T2390" s="157"/>
      <c r="U2390" s="159"/>
      <c r="V2390" s="159"/>
      <c r="W2390" s="159"/>
      <c r="X2390" s="160"/>
      <c r="Y2390" s="160"/>
      <c r="Z2390" s="160"/>
      <c r="AA2390" s="160"/>
    </row>
    <row r="2391" spans="1:27" ht="18" customHeight="1" x14ac:dyDescent="0.25">
      <c r="A2391" s="159">
        <v>6207</v>
      </c>
      <c r="B2391" s="157" t="s">
        <v>77</v>
      </c>
      <c r="C2391" s="157" t="s">
        <v>136</v>
      </c>
      <c r="D2391" s="159" t="s">
        <v>1124</v>
      </c>
      <c r="E2391" s="157" t="s">
        <v>1122</v>
      </c>
      <c r="F2391" s="157"/>
      <c r="G2391" s="157" t="s">
        <v>1278</v>
      </c>
      <c r="H2391" s="157" t="s">
        <v>1347</v>
      </c>
      <c r="I2391" s="157" t="s">
        <v>1879</v>
      </c>
      <c r="J2391" s="157" t="s">
        <v>1310</v>
      </c>
      <c r="K2391" s="157" t="s">
        <v>1312</v>
      </c>
      <c r="L2391" s="157" t="s">
        <v>1312</v>
      </c>
      <c r="M2391" s="157" t="str">
        <f t="shared" si="52"/>
        <v>Sensor - Seat Depth 2nd Row Right</v>
      </c>
      <c r="N2391" s="157"/>
      <c r="O2391" s="157"/>
      <c r="P2391" s="159" t="s">
        <v>5676</v>
      </c>
      <c r="Q2391" s="157" t="s">
        <v>2115</v>
      </c>
      <c r="R2391" s="157" t="s">
        <v>2124</v>
      </c>
      <c r="S2391" s="157" t="s">
        <v>8608</v>
      </c>
      <c r="T2391" s="157"/>
      <c r="U2391" s="159" t="s">
        <v>2129</v>
      </c>
      <c r="V2391" s="159" t="s">
        <v>2129</v>
      </c>
      <c r="W2391" s="159" t="s">
        <v>2138</v>
      </c>
      <c r="X2391" s="160">
        <v>0</v>
      </c>
      <c r="Y2391" s="160">
        <v>0</v>
      </c>
      <c r="Z2391" s="160">
        <v>0</v>
      </c>
      <c r="AA2391" s="160">
        <v>0</v>
      </c>
    </row>
    <row r="2392" spans="1:27" ht="18" customHeight="1" x14ac:dyDescent="0.25">
      <c r="A2392" s="159">
        <v>6208</v>
      </c>
      <c r="B2392" s="157" t="s">
        <v>77</v>
      </c>
      <c r="C2392" s="157" t="s">
        <v>136</v>
      </c>
      <c r="D2392" s="159" t="s">
        <v>1124</v>
      </c>
      <c r="E2392" s="157" t="s">
        <v>1122</v>
      </c>
      <c r="F2392" s="157"/>
      <c r="G2392" s="157" t="s">
        <v>1278</v>
      </c>
      <c r="H2392" s="157" t="s">
        <v>1347</v>
      </c>
      <c r="I2392" s="157" t="s">
        <v>1880</v>
      </c>
      <c r="J2392" s="157" t="s">
        <v>1310</v>
      </c>
      <c r="K2392" s="157" t="s">
        <v>1281</v>
      </c>
      <c r="L2392" s="157" t="s">
        <v>1282</v>
      </c>
      <c r="M2392" s="157" t="str">
        <f t="shared" si="52"/>
        <v>User Selector - Seat Depth 2nd Row Left</v>
      </c>
      <c r="N2392" s="157"/>
      <c r="O2392" s="157"/>
      <c r="P2392" s="159"/>
      <c r="Q2392" s="157"/>
      <c r="R2392" s="157"/>
      <c r="S2392" s="157"/>
      <c r="T2392" s="157"/>
      <c r="U2392" s="159"/>
      <c r="V2392" s="159"/>
      <c r="W2392" s="159"/>
      <c r="X2392" s="160"/>
      <c r="Y2392" s="160"/>
      <c r="Z2392" s="160"/>
      <c r="AA2392" s="160"/>
    </row>
    <row r="2393" spans="1:27" ht="18" customHeight="1" x14ac:dyDescent="0.25">
      <c r="A2393" s="159">
        <v>6209</v>
      </c>
      <c r="B2393" s="157" t="s">
        <v>77</v>
      </c>
      <c r="C2393" s="157" t="s">
        <v>136</v>
      </c>
      <c r="D2393" s="159" t="s">
        <v>1124</v>
      </c>
      <c r="E2393" s="157" t="s">
        <v>1122</v>
      </c>
      <c r="F2393" s="157"/>
      <c r="G2393" s="157" t="s">
        <v>1278</v>
      </c>
      <c r="H2393" s="157" t="s">
        <v>1347</v>
      </c>
      <c r="I2393" s="157" t="s">
        <v>1880</v>
      </c>
      <c r="J2393" s="157" t="s">
        <v>1310</v>
      </c>
      <c r="K2393" s="157" t="s">
        <v>1312</v>
      </c>
      <c r="L2393" s="157" t="s">
        <v>1312</v>
      </c>
      <c r="M2393" s="157" t="str">
        <f t="shared" si="52"/>
        <v>Sensor - Seat Depth 2nd Row Left</v>
      </c>
      <c r="N2393" s="157"/>
      <c r="O2393" s="157"/>
      <c r="P2393" s="159" t="s">
        <v>5862</v>
      </c>
      <c r="Q2393" s="157" t="s">
        <v>2115</v>
      </c>
      <c r="R2393" s="157" t="s">
        <v>2124</v>
      </c>
      <c r="S2393" s="157" t="s">
        <v>8608</v>
      </c>
      <c r="T2393" s="157"/>
      <c r="U2393" s="159" t="s">
        <v>2129</v>
      </c>
      <c r="V2393" s="159" t="s">
        <v>2129</v>
      </c>
      <c r="W2393" s="159" t="s">
        <v>2138</v>
      </c>
      <c r="X2393" s="160">
        <v>0</v>
      </c>
      <c r="Y2393" s="160">
        <v>0</v>
      </c>
      <c r="Z2393" s="160">
        <v>0</v>
      </c>
      <c r="AA2393" s="160">
        <v>0</v>
      </c>
    </row>
    <row r="2394" spans="1:27" ht="18" customHeight="1" x14ac:dyDescent="0.25">
      <c r="A2394" s="159">
        <v>6210</v>
      </c>
      <c r="B2394" s="157" t="s">
        <v>77</v>
      </c>
      <c r="C2394" s="157" t="s">
        <v>136</v>
      </c>
      <c r="D2394" s="159" t="s">
        <v>1124</v>
      </c>
      <c r="E2394" s="157" t="s">
        <v>1122</v>
      </c>
      <c r="F2394" s="157"/>
      <c r="G2394" s="157" t="s">
        <v>1278</v>
      </c>
      <c r="H2394" s="157" t="s">
        <v>1347</v>
      </c>
      <c r="I2394" s="157" t="s">
        <v>1880</v>
      </c>
      <c r="J2394" s="157" t="s">
        <v>1310</v>
      </c>
      <c r="K2394" s="157" t="s">
        <v>1269</v>
      </c>
      <c r="L2394" s="157" t="s">
        <v>1330</v>
      </c>
      <c r="M2394" s="157" t="str">
        <f t="shared" si="52"/>
        <v>Motor - Seat Depth 2nd Row Left</v>
      </c>
      <c r="N2394" s="157"/>
      <c r="O2394" s="157"/>
      <c r="P2394" s="159" t="s">
        <v>5862</v>
      </c>
      <c r="Q2394" s="157" t="s">
        <v>2115</v>
      </c>
      <c r="R2394" s="157" t="s">
        <v>2121</v>
      </c>
      <c r="S2394" s="157" t="s">
        <v>8632</v>
      </c>
      <c r="T2394" s="157"/>
      <c r="U2394" s="159" t="s">
        <v>2129</v>
      </c>
      <c r="V2394" s="159" t="s">
        <v>2129</v>
      </c>
      <c r="W2394" s="159" t="s">
        <v>2138</v>
      </c>
      <c r="X2394" s="160">
        <v>0</v>
      </c>
      <c r="Y2394" s="160">
        <v>0</v>
      </c>
      <c r="Z2394" s="160">
        <v>0</v>
      </c>
      <c r="AA2394" s="160">
        <v>0</v>
      </c>
    </row>
    <row r="2395" spans="1:27" ht="18" customHeight="1" x14ac:dyDescent="0.25">
      <c r="A2395" s="159">
        <v>6211</v>
      </c>
      <c r="B2395" s="157" t="s">
        <v>77</v>
      </c>
      <c r="C2395" s="157" t="s">
        <v>136</v>
      </c>
      <c r="D2395" s="159" t="s">
        <v>1124</v>
      </c>
      <c r="E2395" s="157" t="s">
        <v>1122</v>
      </c>
      <c r="F2395" s="157"/>
      <c r="G2395" s="157" t="s">
        <v>1278</v>
      </c>
      <c r="H2395" s="157" t="s">
        <v>1347</v>
      </c>
      <c r="I2395" s="157" t="s">
        <v>8684</v>
      </c>
      <c r="J2395" s="157" t="s">
        <v>1310</v>
      </c>
      <c r="K2395" s="157" t="s">
        <v>1312</v>
      </c>
      <c r="L2395" s="157" t="s">
        <v>1312</v>
      </c>
      <c r="M2395" s="157" t="str">
        <f t="shared" si="52"/>
        <v>Sensor - Seat Backrest Tilting 3rd Row Left</v>
      </c>
      <c r="N2395" s="157"/>
      <c r="O2395" s="157"/>
      <c r="P2395" s="159" t="s">
        <v>7498</v>
      </c>
      <c r="Q2395" s="157" t="s">
        <v>2115</v>
      </c>
      <c r="R2395" s="157" t="s">
        <v>2124</v>
      </c>
      <c r="S2395" s="157" t="s">
        <v>8608</v>
      </c>
      <c r="T2395" s="157"/>
      <c r="U2395" s="159" t="s">
        <v>2129</v>
      </c>
      <c r="V2395" s="159" t="s">
        <v>2129</v>
      </c>
      <c r="W2395" s="159" t="s">
        <v>2138</v>
      </c>
      <c r="X2395" s="160">
        <v>0</v>
      </c>
      <c r="Y2395" s="160">
        <v>0</v>
      </c>
      <c r="Z2395" s="160">
        <v>0</v>
      </c>
      <c r="AA2395" s="160">
        <v>0</v>
      </c>
    </row>
    <row r="2396" spans="1:27" ht="18" customHeight="1" x14ac:dyDescent="0.25">
      <c r="A2396" s="159">
        <v>6212</v>
      </c>
      <c r="B2396" s="157" t="s">
        <v>77</v>
      </c>
      <c r="C2396" s="157" t="s">
        <v>136</v>
      </c>
      <c r="D2396" s="159" t="s">
        <v>1124</v>
      </c>
      <c r="E2396" s="157" t="s">
        <v>1122</v>
      </c>
      <c r="F2396" s="157"/>
      <c r="G2396" s="157" t="s">
        <v>1278</v>
      </c>
      <c r="H2396" s="157" t="s">
        <v>1347</v>
      </c>
      <c r="I2396" s="157" t="s">
        <v>8685</v>
      </c>
      <c r="J2396" s="157" t="s">
        <v>1310</v>
      </c>
      <c r="K2396" s="157" t="s">
        <v>1312</v>
      </c>
      <c r="L2396" s="157" t="s">
        <v>1312</v>
      </c>
      <c r="M2396" s="157" t="str">
        <f t="shared" si="52"/>
        <v>Sensor - Seat Backrest Tilting 3rd Row Right</v>
      </c>
      <c r="N2396" s="157"/>
      <c r="O2396" s="157"/>
      <c r="P2396" s="159" t="s">
        <v>4221</v>
      </c>
      <c r="Q2396" s="157" t="s">
        <v>2115</v>
      </c>
      <c r="R2396" s="157" t="s">
        <v>2124</v>
      </c>
      <c r="S2396" s="157" t="s">
        <v>8608</v>
      </c>
      <c r="T2396" s="157"/>
      <c r="U2396" s="159" t="s">
        <v>2129</v>
      </c>
      <c r="V2396" s="159" t="s">
        <v>2129</v>
      </c>
      <c r="W2396" s="159" t="s">
        <v>2138</v>
      </c>
      <c r="X2396" s="160">
        <v>0</v>
      </c>
      <c r="Y2396" s="160">
        <v>0</v>
      </c>
      <c r="Z2396" s="160">
        <v>0</v>
      </c>
      <c r="AA2396" s="160">
        <v>0</v>
      </c>
    </row>
    <row r="2397" spans="1:27" ht="18" customHeight="1" x14ac:dyDescent="0.25">
      <c r="A2397" s="159">
        <v>6220</v>
      </c>
      <c r="B2397" s="157" t="s">
        <v>251</v>
      </c>
      <c r="C2397" s="157" t="s">
        <v>252</v>
      </c>
      <c r="D2397" s="159" t="s">
        <v>1174</v>
      </c>
      <c r="E2397" s="157" t="s">
        <v>1172</v>
      </c>
      <c r="F2397" s="157"/>
      <c r="G2397" s="157" t="s">
        <v>1321</v>
      </c>
      <c r="H2397" s="157" t="s">
        <v>1436</v>
      </c>
      <c r="I2397" s="157" t="s">
        <v>1323</v>
      </c>
      <c r="J2397" s="157" t="s">
        <v>1324</v>
      </c>
      <c r="K2397" s="157" t="s">
        <v>1274</v>
      </c>
      <c r="L2397" s="157" t="s">
        <v>1781</v>
      </c>
      <c r="M2397" s="157" t="str">
        <f t="shared" si="52"/>
        <v>Automatic Transmission Control Unit - Computing</v>
      </c>
      <c r="N2397" s="157"/>
      <c r="O2397" s="157"/>
      <c r="P2397" s="159"/>
      <c r="Q2397" s="157"/>
      <c r="R2397" s="157"/>
      <c r="S2397" s="157"/>
      <c r="T2397" s="157"/>
      <c r="U2397" s="159"/>
      <c r="V2397" s="159"/>
      <c r="W2397" s="159"/>
      <c r="X2397" s="160"/>
      <c r="Y2397" s="160"/>
      <c r="Z2397" s="160"/>
      <c r="AA2397" s="160"/>
    </row>
    <row r="2398" spans="1:27" ht="18" customHeight="1" x14ac:dyDescent="0.25">
      <c r="A2398" s="159">
        <v>6220</v>
      </c>
      <c r="B2398" s="157" t="s">
        <v>251</v>
      </c>
      <c r="C2398" s="157" t="s">
        <v>311</v>
      </c>
      <c r="D2398" s="159" t="s">
        <v>598</v>
      </c>
      <c r="E2398" s="157" t="s">
        <v>1209</v>
      </c>
      <c r="F2398" s="157"/>
      <c r="G2398" s="157" t="s">
        <v>1321</v>
      </c>
      <c r="H2398" s="157" t="s">
        <v>1436</v>
      </c>
      <c r="I2398" s="157" t="s">
        <v>1323</v>
      </c>
      <c r="J2398" s="157" t="s">
        <v>1324</v>
      </c>
      <c r="K2398" s="157" t="s">
        <v>1274</v>
      </c>
      <c r="L2398" s="157" t="s">
        <v>1781</v>
      </c>
      <c r="M2398" s="157" t="str">
        <f t="shared" si="52"/>
        <v>Automatic Transmission Control Unit - Computing</v>
      </c>
      <c r="N2398" s="157"/>
      <c r="O2398" s="157"/>
      <c r="P2398" s="159"/>
      <c r="Q2398" s="157"/>
      <c r="R2398" s="157"/>
      <c r="S2398" s="157"/>
      <c r="T2398" s="157"/>
      <c r="U2398" s="159"/>
      <c r="V2398" s="159"/>
      <c r="W2398" s="159"/>
      <c r="X2398" s="160"/>
      <c r="Y2398" s="160"/>
      <c r="Z2398" s="160"/>
      <c r="AA2398" s="160"/>
    </row>
    <row r="2399" spans="1:27" ht="18" customHeight="1" x14ac:dyDescent="0.25">
      <c r="A2399" s="159">
        <v>6221</v>
      </c>
      <c r="B2399" s="157" t="s">
        <v>256</v>
      </c>
      <c r="C2399" s="157" t="s">
        <v>532</v>
      </c>
      <c r="D2399" s="159" t="s">
        <v>1195</v>
      </c>
      <c r="E2399" s="157" t="s">
        <v>1193</v>
      </c>
      <c r="F2399" s="157" t="s">
        <v>1298</v>
      </c>
      <c r="G2399" s="157" t="s">
        <v>1299</v>
      </c>
      <c r="H2399" s="157" t="s">
        <v>1326</v>
      </c>
      <c r="I2399" s="157" t="s">
        <v>1881</v>
      </c>
      <c r="J2399" s="157" t="s">
        <v>1882</v>
      </c>
      <c r="K2399" s="157" t="s">
        <v>1312</v>
      </c>
      <c r="L2399" s="157" t="s">
        <v>1883</v>
      </c>
      <c r="M2399" s="157" t="str">
        <f t="shared" si="52"/>
        <v>Weight Sensor - Roof Rack Detection</v>
      </c>
      <c r="N2399" s="157"/>
      <c r="O2399" s="157"/>
      <c r="P2399" s="159" t="s">
        <v>6903</v>
      </c>
      <c r="Q2399" s="157"/>
      <c r="R2399" s="157"/>
      <c r="S2399" s="157"/>
      <c r="T2399" s="157"/>
      <c r="U2399" s="159" t="s">
        <v>2129</v>
      </c>
      <c r="V2399" s="159" t="s">
        <v>2129</v>
      </c>
      <c r="W2399" s="159" t="s">
        <v>2138</v>
      </c>
      <c r="X2399" s="160">
        <v>1</v>
      </c>
      <c r="Y2399" s="160">
        <v>1</v>
      </c>
      <c r="Z2399" s="160">
        <v>1</v>
      </c>
      <c r="AA2399" s="160">
        <v>1</v>
      </c>
    </row>
    <row r="2400" spans="1:27" ht="18" customHeight="1" x14ac:dyDescent="0.25">
      <c r="A2400" s="159">
        <v>6222</v>
      </c>
      <c r="B2400" s="157" t="s">
        <v>251</v>
      </c>
      <c r="C2400" s="157" t="s">
        <v>1006</v>
      </c>
      <c r="D2400" s="159" t="s">
        <v>1009</v>
      </c>
      <c r="E2400" s="157" t="s">
        <v>1007</v>
      </c>
      <c r="F2400" s="157"/>
      <c r="G2400" s="157" t="s">
        <v>1321</v>
      </c>
      <c r="H2400" s="157" t="s">
        <v>1436</v>
      </c>
      <c r="I2400" s="157" t="s">
        <v>1884</v>
      </c>
      <c r="J2400" s="157" t="s">
        <v>1885</v>
      </c>
      <c r="K2400" s="157" t="s">
        <v>1312</v>
      </c>
      <c r="L2400" s="157" t="s">
        <v>1886</v>
      </c>
      <c r="M2400" s="157" t="str">
        <f t="shared" si="52"/>
        <v>Clutch Pedal Sensor - Gear Shifting</v>
      </c>
      <c r="N2400" s="157"/>
      <c r="O2400" s="157"/>
      <c r="P2400" s="159" t="s">
        <v>7301</v>
      </c>
      <c r="Q2400" s="157" t="s">
        <v>2115</v>
      </c>
      <c r="R2400" s="157" t="s">
        <v>8456</v>
      </c>
      <c r="S2400" s="157" t="s">
        <v>8627</v>
      </c>
      <c r="T2400" s="157"/>
      <c r="U2400" s="159" t="s">
        <v>2138</v>
      </c>
      <c r="V2400" s="159" t="s">
        <v>2129</v>
      </c>
      <c r="W2400" s="159" t="s">
        <v>2129</v>
      </c>
      <c r="X2400" s="160">
        <v>1</v>
      </c>
      <c r="Y2400" s="160">
        <v>1</v>
      </c>
      <c r="Z2400" s="160">
        <v>1</v>
      </c>
      <c r="AA2400" s="160">
        <v>1</v>
      </c>
    </row>
    <row r="2401" spans="1:27" ht="18" customHeight="1" x14ac:dyDescent="0.25">
      <c r="A2401" s="159">
        <v>6222</v>
      </c>
      <c r="B2401" s="157" t="s">
        <v>256</v>
      </c>
      <c r="C2401" s="157" t="s">
        <v>532</v>
      </c>
      <c r="D2401" s="159" t="s">
        <v>1195</v>
      </c>
      <c r="E2401" s="157" t="s">
        <v>1193</v>
      </c>
      <c r="F2401" s="157" t="s">
        <v>1298</v>
      </c>
      <c r="G2401" s="157" t="s">
        <v>1321</v>
      </c>
      <c r="H2401" s="157" t="s">
        <v>1436</v>
      </c>
      <c r="I2401" s="157" t="s">
        <v>1884</v>
      </c>
      <c r="J2401" s="157" t="s">
        <v>1885</v>
      </c>
      <c r="K2401" s="157" t="s">
        <v>1312</v>
      </c>
      <c r="L2401" s="157" t="s">
        <v>1886</v>
      </c>
      <c r="M2401" s="157" t="str">
        <f t="shared" si="52"/>
        <v>Clutch Pedal Sensor - Gear Shifting</v>
      </c>
      <c r="N2401" s="157"/>
      <c r="O2401" s="157"/>
      <c r="P2401" s="159" t="s">
        <v>7301</v>
      </c>
      <c r="Q2401" s="157" t="s">
        <v>2115</v>
      </c>
      <c r="R2401" s="157" t="s">
        <v>8456</v>
      </c>
      <c r="S2401" s="157" t="s">
        <v>8627</v>
      </c>
      <c r="T2401" s="157"/>
      <c r="U2401" s="159" t="s">
        <v>2138</v>
      </c>
      <c r="V2401" s="159" t="s">
        <v>2129</v>
      </c>
      <c r="W2401" s="159" t="s">
        <v>2129</v>
      </c>
      <c r="X2401" s="160">
        <v>1</v>
      </c>
      <c r="Y2401" s="160">
        <v>1</v>
      </c>
      <c r="Z2401" s="160">
        <v>1</v>
      </c>
      <c r="AA2401" s="160">
        <v>1</v>
      </c>
    </row>
    <row r="2402" spans="1:27" ht="18" customHeight="1" x14ac:dyDescent="0.25">
      <c r="A2402" s="159">
        <v>6537</v>
      </c>
      <c r="B2402" s="157" t="s">
        <v>29</v>
      </c>
      <c r="C2402" s="157" t="s">
        <v>113</v>
      </c>
      <c r="D2402" s="159" t="s">
        <v>439</v>
      </c>
      <c r="E2402" s="157" t="s">
        <v>437</v>
      </c>
      <c r="F2402" s="157"/>
      <c r="G2402" s="157" t="s">
        <v>1278</v>
      </c>
      <c r="H2402" s="157" t="s">
        <v>1292</v>
      </c>
      <c r="I2402" s="157" t="s">
        <v>8240</v>
      </c>
      <c r="J2402" s="157" t="s">
        <v>1482</v>
      </c>
      <c r="K2402" s="157" t="s">
        <v>1269</v>
      </c>
      <c r="L2402" s="157" t="s">
        <v>1887</v>
      </c>
      <c r="M2402" s="157" t="str">
        <f t="shared" si="52"/>
        <v>A-Pillar Video Display L - Rear View Left</v>
      </c>
      <c r="N2402" s="157"/>
      <c r="O2402" s="157"/>
      <c r="P2402" s="159" t="s">
        <v>8050</v>
      </c>
      <c r="Q2402" s="157" t="s">
        <v>2115</v>
      </c>
      <c r="R2402" s="157" t="s">
        <v>8688</v>
      </c>
      <c r="S2402" s="157" t="s">
        <v>8689</v>
      </c>
      <c r="T2402" s="157"/>
      <c r="U2402" s="159" t="s">
        <v>2129</v>
      </c>
      <c r="V2402" s="159" t="s">
        <v>2129</v>
      </c>
      <c r="W2402" s="159" t="s">
        <v>2138</v>
      </c>
      <c r="X2402" s="160">
        <v>1</v>
      </c>
      <c r="Y2402" s="160">
        <v>1</v>
      </c>
      <c r="Z2402" s="160">
        <v>1</v>
      </c>
      <c r="AA2402" s="160">
        <v>1</v>
      </c>
    </row>
    <row r="2403" spans="1:27" ht="18" customHeight="1" x14ac:dyDescent="0.25">
      <c r="A2403" s="159">
        <v>6538</v>
      </c>
      <c r="B2403" s="157" t="s">
        <v>29</v>
      </c>
      <c r="C2403" s="157" t="s">
        <v>113</v>
      </c>
      <c r="D2403" s="159" t="s">
        <v>439</v>
      </c>
      <c r="E2403" s="157" t="s">
        <v>437</v>
      </c>
      <c r="F2403" s="157"/>
      <c r="G2403" s="157" t="s">
        <v>1278</v>
      </c>
      <c r="H2403" s="157" t="s">
        <v>1292</v>
      </c>
      <c r="I2403" s="157" t="s">
        <v>8241</v>
      </c>
      <c r="J2403" s="157" t="s">
        <v>1482</v>
      </c>
      <c r="K2403" s="157" t="s">
        <v>1269</v>
      </c>
      <c r="L2403" s="157" t="s">
        <v>1888</v>
      </c>
      <c r="M2403" s="157" t="str">
        <f t="shared" si="52"/>
        <v>A-Pillar Video Display R - Rear View Right</v>
      </c>
      <c r="N2403" s="157"/>
      <c r="O2403" s="157"/>
      <c r="P2403" s="159" t="s">
        <v>3692</v>
      </c>
      <c r="Q2403" s="157" t="s">
        <v>2115</v>
      </c>
      <c r="R2403" s="157" t="s">
        <v>8688</v>
      </c>
      <c r="S2403" s="157" t="s">
        <v>8689</v>
      </c>
      <c r="T2403" s="157"/>
      <c r="U2403" s="159" t="s">
        <v>2129</v>
      </c>
      <c r="V2403" s="159" t="s">
        <v>2129</v>
      </c>
      <c r="W2403" s="159" t="s">
        <v>2138</v>
      </c>
      <c r="X2403" s="160">
        <v>1</v>
      </c>
      <c r="Y2403" s="160">
        <v>1</v>
      </c>
      <c r="Z2403" s="160">
        <v>1</v>
      </c>
      <c r="AA2403" s="160">
        <v>1</v>
      </c>
    </row>
    <row r="2404" spans="1:27" ht="18" customHeight="1" x14ac:dyDescent="0.25">
      <c r="A2404" s="159">
        <v>7000</v>
      </c>
      <c r="B2404" s="157" t="s">
        <v>29</v>
      </c>
      <c r="C2404" s="157" t="s">
        <v>153</v>
      </c>
      <c r="D2404" s="159" t="s">
        <v>587</v>
      </c>
      <c r="E2404" s="157" t="s">
        <v>585</v>
      </c>
      <c r="F2404" s="157" t="s">
        <v>1264</v>
      </c>
      <c r="G2404" s="157" t="s">
        <v>1536</v>
      </c>
      <c r="H2404" s="157" t="s">
        <v>1431</v>
      </c>
      <c r="I2404" s="157" t="s">
        <v>1889</v>
      </c>
      <c r="J2404" s="157" t="s">
        <v>1285</v>
      </c>
      <c r="K2404" s="157" t="s">
        <v>1269</v>
      </c>
      <c r="L2404" s="157" t="s">
        <v>8509</v>
      </c>
      <c r="M2404" s="157" t="str">
        <f t="shared" si="52"/>
        <v>Washer Pump Mono - Rear Washer</v>
      </c>
      <c r="N2404" s="157"/>
      <c r="O2404" s="157"/>
      <c r="P2404" s="159" t="s">
        <v>4132</v>
      </c>
      <c r="Q2404" s="157" t="s">
        <v>2115</v>
      </c>
      <c r="R2404" s="157" t="s">
        <v>2130</v>
      </c>
      <c r="S2404" s="157" t="s">
        <v>8609</v>
      </c>
      <c r="T2404" s="157" t="s">
        <v>2129</v>
      </c>
      <c r="U2404" s="159" t="s">
        <v>2129</v>
      </c>
      <c r="V2404" s="159" t="s">
        <v>2129</v>
      </c>
      <c r="W2404" s="159" t="s">
        <v>2129</v>
      </c>
      <c r="X2404" s="160">
        <v>0</v>
      </c>
      <c r="Y2404" s="160">
        <f>2*5/(20*60)</f>
        <v>8.3333333333333332E-3</v>
      </c>
      <c r="Z2404" s="160">
        <f>4*5/(20*60)</f>
        <v>1.6666666666666666E-2</v>
      </c>
      <c r="AA2404" s="160">
        <f>4*5/(20*60)</f>
        <v>1.6666666666666666E-2</v>
      </c>
    </row>
    <row r="2405" spans="1:27" ht="18" customHeight="1" x14ac:dyDescent="0.25">
      <c r="A2405" s="159">
        <v>7001</v>
      </c>
      <c r="B2405" s="157" t="s">
        <v>29</v>
      </c>
      <c r="C2405" s="157" t="s">
        <v>153</v>
      </c>
      <c r="D2405" s="159" t="s">
        <v>689</v>
      </c>
      <c r="E2405" s="157" t="s">
        <v>687</v>
      </c>
      <c r="F2405" s="157" t="s">
        <v>1264</v>
      </c>
      <c r="G2405" s="157" t="s">
        <v>1349</v>
      </c>
      <c r="H2405" s="157" t="s">
        <v>1418</v>
      </c>
      <c r="I2405" s="157" t="s">
        <v>1890</v>
      </c>
      <c r="J2405" s="157"/>
      <c r="K2405" s="157" t="s">
        <v>1269</v>
      </c>
      <c r="L2405" s="157" t="s">
        <v>8509</v>
      </c>
      <c r="M2405" s="157" t="str">
        <f t="shared" si="52"/>
        <v>Washer Pump Mono - Camera Washer</v>
      </c>
      <c r="N2405" s="157"/>
      <c r="O2405" s="157"/>
      <c r="P2405" s="159" t="s">
        <v>2415</v>
      </c>
      <c r="Q2405" s="157" t="s">
        <v>2115</v>
      </c>
      <c r="R2405" s="157" t="s">
        <v>2130</v>
      </c>
      <c r="S2405" s="157" t="s">
        <v>8609</v>
      </c>
      <c r="T2405" s="157" t="s">
        <v>2129</v>
      </c>
      <c r="U2405" s="159" t="s">
        <v>2129</v>
      </c>
      <c r="V2405" s="159" t="s">
        <v>2129</v>
      </c>
      <c r="W2405" s="159" t="s">
        <v>2138</v>
      </c>
      <c r="X2405" s="160">
        <v>0</v>
      </c>
      <c r="Y2405" s="160">
        <v>0.01</v>
      </c>
      <c r="Z2405" s="160">
        <v>0.02</v>
      </c>
      <c r="AA2405" s="160">
        <v>0.02</v>
      </c>
    </row>
    <row r="2406" spans="1:27" ht="18" customHeight="1" x14ac:dyDescent="0.25">
      <c r="A2406" s="159">
        <v>7002</v>
      </c>
      <c r="B2406" s="157" t="s">
        <v>29</v>
      </c>
      <c r="C2406" s="157" t="s">
        <v>120</v>
      </c>
      <c r="D2406" s="159" t="s">
        <v>971</v>
      </c>
      <c r="E2406" s="157" t="s">
        <v>969</v>
      </c>
      <c r="F2406" s="157" t="s">
        <v>1264</v>
      </c>
      <c r="G2406" s="157" t="s">
        <v>1536</v>
      </c>
      <c r="H2406" s="157" t="s">
        <v>1431</v>
      </c>
      <c r="I2406" s="157" t="s">
        <v>1891</v>
      </c>
      <c r="J2406" s="157" t="s">
        <v>1788</v>
      </c>
      <c r="K2406" s="157" t="s">
        <v>1269</v>
      </c>
      <c r="L2406" s="157" t="s">
        <v>1542</v>
      </c>
      <c r="M2406" s="157" t="str">
        <f t="shared" si="52"/>
        <v>Heater - Heated Washer Fluid</v>
      </c>
      <c r="N2406" s="157"/>
      <c r="O2406" s="157"/>
      <c r="P2406" s="159" t="s">
        <v>2415</v>
      </c>
      <c r="Q2406" s="157" t="s">
        <v>2115</v>
      </c>
      <c r="R2406" s="157" t="s">
        <v>2135</v>
      </c>
      <c r="S2406" s="157" t="s">
        <v>8643</v>
      </c>
      <c r="T2406" s="157"/>
      <c r="U2406" s="159" t="s">
        <v>2129</v>
      </c>
      <c r="V2406" s="159" t="s">
        <v>2129</v>
      </c>
      <c r="W2406" s="159" t="s">
        <v>2138</v>
      </c>
      <c r="X2406" s="160">
        <v>0</v>
      </c>
      <c r="Y2406" s="160">
        <f>5/20</f>
        <v>0.25</v>
      </c>
      <c r="Z2406" s="160">
        <f>5/20</f>
        <v>0.25</v>
      </c>
      <c r="AA2406" s="160">
        <v>0</v>
      </c>
    </row>
    <row r="2407" spans="1:27" ht="18" customHeight="1" x14ac:dyDescent="0.25">
      <c r="A2407" s="159">
        <v>7005</v>
      </c>
      <c r="B2407" s="157" t="s">
        <v>29</v>
      </c>
      <c r="C2407" s="157" t="s">
        <v>120</v>
      </c>
      <c r="D2407" s="159" t="s">
        <v>948</v>
      </c>
      <c r="E2407" s="157" t="s">
        <v>946</v>
      </c>
      <c r="F2407" s="157"/>
      <c r="G2407" s="157" t="s">
        <v>1278</v>
      </c>
      <c r="H2407" s="157" t="s">
        <v>1892</v>
      </c>
      <c r="I2407" s="157" t="s">
        <v>1542</v>
      </c>
      <c r="J2407" s="157"/>
      <c r="K2407" s="157" t="s">
        <v>1269</v>
      </c>
      <c r="L2407" s="157" t="s">
        <v>8501</v>
      </c>
      <c r="M2407" s="157" t="str">
        <f t="shared" si="52"/>
        <v>Mirror Camera Heating Right - Heater</v>
      </c>
      <c r="N2407" s="157"/>
      <c r="O2407" s="157"/>
      <c r="P2407" s="159"/>
      <c r="Q2407" s="157"/>
      <c r="R2407" s="157"/>
      <c r="S2407" s="157"/>
      <c r="T2407" s="157"/>
      <c r="U2407" s="159"/>
      <c r="V2407" s="159"/>
      <c r="W2407" s="159"/>
      <c r="X2407" s="160"/>
      <c r="Y2407" s="160"/>
      <c r="Z2407" s="160"/>
      <c r="AA2407" s="160"/>
    </row>
    <row r="2408" spans="1:27" ht="18" customHeight="1" x14ac:dyDescent="0.25">
      <c r="A2408" s="159">
        <v>7006</v>
      </c>
      <c r="B2408" s="157" t="s">
        <v>29</v>
      </c>
      <c r="C2408" s="157" t="s">
        <v>120</v>
      </c>
      <c r="D2408" s="159" t="s">
        <v>948</v>
      </c>
      <c r="E2408" s="157" t="s">
        <v>946</v>
      </c>
      <c r="F2408" s="157"/>
      <c r="G2408" s="157" t="s">
        <v>1278</v>
      </c>
      <c r="H2408" s="157" t="s">
        <v>1892</v>
      </c>
      <c r="I2408" s="157" t="s">
        <v>1542</v>
      </c>
      <c r="J2408" s="157"/>
      <c r="K2408" s="157" t="s">
        <v>1269</v>
      </c>
      <c r="L2408" s="157" t="s">
        <v>8502</v>
      </c>
      <c r="M2408" s="157" t="str">
        <f t="shared" si="52"/>
        <v>Mirror Camera Heater Left - Heater</v>
      </c>
      <c r="N2408" s="157"/>
      <c r="O2408" s="157"/>
      <c r="P2408" s="159"/>
      <c r="Q2408" s="157"/>
      <c r="R2408" s="157"/>
      <c r="S2408" s="157"/>
      <c r="T2408" s="157"/>
      <c r="U2408" s="159"/>
      <c r="V2408" s="159"/>
      <c r="W2408" s="159"/>
      <c r="X2408" s="160"/>
      <c r="Y2408" s="160"/>
      <c r="Z2408" s="160"/>
      <c r="AA2408" s="160"/>
    </row>
    <row r="2409" spans="1:27" ht="18" customHeight="1" x14ac:dyDescent="0.25">
      <c r="A2409" s="159">
        <v>7008</v>
      </c>
      <c r="B2409" s="157" t="s">
        <v>29</v>
      </c>
      <c r="C2409" s="157" t="s">
        <v>120</v>
      </c>
      <c r="D2409" s="159" t="s">
        <v>624</v>
      </c>
      <c r="E2409" s="157" t="s">
        <v>622</v>
      </c>
      <c r="F2409" s="157" t="s">
        <v>1264</v>
      </c>
      <c r="G2409" s="157" t="s">
        <v>1536</v>
      </c>
      <c r="H2409" s="157" t="s">
        <v>1431</v>
      </c>
      <c r="I2409" s="157" t="s">
        <v>1893</v>
      </c>
      <c r="J2409" s="157" t="s">
        <v>1788</v>
      </c>
      <c r="K2409" s="157" t="s">
        <v>1269</v>
      </c>
      <c r="L2409" s="157" t="s">
        <v>1893</v>
      </c>
      <c r="M2409" s="157" t="str">
        <f t="shared" si="52"/>
        <v>Rear Spray Nozzle Heater - Rear Spray Nozzle Heater</v>
      </c>
      <c r="N2409" s="157"/>
      <c r="O2409" s="157"/>
      <c r="P2409" s="159" t="s">
        <v>5793</v>
      </c>
      <c r="Q2409" s="157" t="s">
        <v>2115</v>
      </c>
      <c r="R2409" s="157" t="s">
        <v>2135</v>
      </c>
      <c r="S2409" s="157" t="s">
        <v>8643</v>
      </c>
      <c r="T2409" s="157"/>
      <c r="U2409" s="159" t="s">
        <v>2129</v>
      </c>
      <c r="V2409" s="159" t="s">
        <v>2129</v>
      </c>
      <c r="W2409" s="159" t="s">
        <v>2138</v>
      </c>
      <c r="X2409" s="160">
        <v>0</v>
      </c>
      <c r="Y2409" s="160">
        <f>2/20</f>
        <v>0.1</v>
      </c>
      <c r="Z2409" s="160">
        <f>2/20</f>
        <v>0.1</v>
      </c>
      <c r="AA2409" s="160">
        <v>0</v>
      </c>
    </row>
    <row r="2410" spans="1:27" ht="18" customHeight="1" x14ac:dyDescent="0.25">
      <c r="A2410" s="159">
        <v>7012</v>
      </c>
      <c r="B2410" s="157" t="s">
        <v>77</v>
      </c>
      <c r="C2410" s="157" t="s">
        <v>149</v>
      </c>
      <c r="D2410" s="159" t="s">
        <v>195</v>
      </c>
      <c r="E2410" s="157" t="s">
        <v>193</v>
      </c>
      <c r="F2410" s="157" t="s">
        <v>1264</v>
      </c>
      <c r="G2410" s="157" t="s">
        <v>1278</v>
      </c>
      <c r="H2410" s="157" t="s">
        <v>1283</v>
      </c>
      <c r="I2410" s="157" t="s">
        <v>1894</v>
      </c>
      <c r="J2410" s="157" t="s">
        <v>1425</v>
      </c>
      <c r="K2410" s="157" t="s">
        <v>1281</v>
      </c>
      <c r="L2410" s="157" t="s">
        <v>1281</v>
      </c>
      <c r="M2410" s="157" t="str">
        <f t="shared" si="52"/>
        <v>Switch - Maplight FL</v>
      </c>
      <c r="N2410" s="157"/>
      <c r="O2410" s="157"/>
      <c r="P2410" s="159" t="s">
        <v>5841</v>
      </c>
      <c r="Q2410" s="157" t="s">
        <v>2115</v>
      </c>
      <c r="R2410" s="157" t="s">
        <v>2124</v>
      </c>
      <c r="S2410" s="157" t="s">
        <v>8608</v>
      </c>
      <c r="T2410" s="157"/>
      <c r="U2410" s="159" t="s">
        <v>2129</v>
      </c>
      <c r="V2410" s="159" t="s">
        <v>2138</v>
      </c>
      <c r="W2410" s="159" t="s">
        <v>2138</v>
      </c>
      <c r="X2410" s="160">
        <v>0</v>
      </c>
      <c r="Y2410" s="160">
        <v>0</v>
      </c>
      <c r="Z2410" s="160">
        <v>0.05</v>
      </c>
      <c r="AA2410" s="160">
        <v>0.05</v>
      </c>
    </row>
    <row r="2411" spans="1:27" ht="18" customHeight="1" x14ac:dyDescent="0.25">
      <c r="A2411" s="159">
        <v>7013</v>
      </c>
      <c r="B2411" s="157" t="s">
        <v>77</v>
      </c>
      <c r="C2411" s="157" t="s">
        <v>149</v>
      </c>
      <c r="D2411" s="159" t="s">
        <v>195</v>
      </c>
      <c r="E2411" s="157" t="s">
        <v>193</v>
      </c>
      <c r="F2411" s="157" t="s">
        <v>1264</v>
      </c>
      <c r="G2411" s="157" t="s">
        <v>1278</v>
      </c>
      <c r="H2411" s="157" t="s">
        <v>1283</v>
      </c>
      <c r="I2411" s="157" t="s">
        <v>1895</v>
      </c>
      <c r="J2411" s="157" t="s">
        <v>1425</v>
      </c>
      <c r="K2411" s="157" t="s">
        <v>1281</v>
      </c>
      <c r="L2411" s="157" t="s">
        <v>1281</v>
      </c>
      <c r="M2411" s="157" t="str">
        <f t="shared" si="52"/>
        <v>Switch - Maplight FR</v>
      </c>
      <c r="N2411" s="157"/>
      <c r="O2411" s="157"/>
      <c r="P2411" s="159" t="s">
        <v>5655</v>
      </c>
      <c r="Q2411" s="157" t="s">
        <v>2115</v>
      </c>
      <c r="R2411" s="157" t="s">
        <v>2124</v>
      </c>
      <c r="S2411" s="157" t="s">
        <v>8608</v>
      </c>
      <c r="T2411" s="157"/>
      <c r="U2411" s="159" t="s">
        <v>2129</v>
      </c>
      <c r="V2411" s="159" t="s">
        <v>2138</v>
      </c>
      <c r="W2411" s="159" t="s">
        <v>2138</v>
      </c>
      <c r="X2411" s="160">
        <v>0</v>
      </c>
      <c r="Y2411" s="160">
        <v>0</v>
      </c>
      <c r="Z2411" s="160">
        <v>0.05</v>
      </c>
      <c r="AA2411" s="160">
        <v>0.05</v>
      </c>
    </row>
    <row r="2412" spans="1:27" ht="18" customHeight="1" x14ac:dyDescent="0.25">
      <c r="A2412" s="159">
        <v>7014</v>
      </c>
      <c r="B2412" s="157" t="s">
        <v>77</v>
      </c>
      <c r="C2412" s="157" t="s">
        <v>149</v>
      </c>
      <c r="D2412" s="159" t="s">
        <v>195</v>
      </c>
      <c r="E2412" s="157" t="s">
        <v>193</v>
      </c>
      <c r="F2412" s="157" t="s">
        <v>1264</v>
      </c>
      <c r="G2412" s="157" t="s">
        <v>1278</v>
      </c>
      <c r="H2412" s="157" t="s">
        <v>1283</v>
      </c>
      <c r="I2412" s="157" t="s">
        <v>1894</v>
      </c>
      <c r="J2412" s="157" t="s">
        <v>1425</v>
      </c>
      <c r="K2412" s="157" t="s">
        <v>1269</v>
      </c>
      <c r="L2412" s="157" t="s">
        <v>1286</v>
      </c>
      <c r="M2412" s="157" t="str">
        <f t="shared" si="52"/>
        <v>LED Lamp - Maplight FL</v>
      </c>
      <c r="N2412" s="157"/>
      <c r="O2412" s="157"/>
      <c r="P2412" s="159" t="s">
        <v>5841</v>
      </c>
      <c r="Q2412" s="157" t="s">
        <v>2115</v>
      </c>
      <c r="R2412" s="157" t="s">
        <v>8566</v>
      </c>
      <c r="S2412" s="157" t="s">
        <v>8611</v>
      </c>
      <c r="T2412" s="157"/>
      <c r="U2412" s="159" t="s">
        <v>2129</v>
      </c>
      <c r="V2412" s="159" t="s">
        <v>2138</v>
      </c>
      <c r="W2412" s="159" t="s">
        <v>2138</v>
      </c>
      <c r="X2412" s="160">
        <v>0</v>
      </c>
      <c r="Y2412" s="160">
        <v>0</v>
      </c>
      <c r="Z2412" s="160">
        <v>0.05</v>
      </c>
      <c r="AA2412" s="160">
        <v>0.05</v>
      </c>
    </row>
    <row r="2413" spans="1:27" ht="18" customHeight="1" x14ac:dyDescent="0.25">
      <c r="A2413" s="159">
        <v>7015</v>
      </c>
      <c r="B2413" s="157" t="s">
        <v>77</v>
      </c>
      <c r="C2413" s="157" t="s">
        <v>149</v>
      </c>
      <c r="D2413" s="159" t="s">
        <v>195</v>
      </c>
      <c r="E2413" s="157" t="s">
        <v>193</v>
      </c>
      <c r="F2413" s="157" t="s">
        <v>1264</v>
      </c>
      <c r="G2413" s="157" t="s">
        <v>1278</v>
      </c>
      <c r="H2413" s="157" t="s">
        <v>1283</v>
      </c>
      <c r="I2413" s="157" t="s">
        <v>1895</v>
      </c>
      <c r="J2413" s="157" t="s">
        <v>1425</v>
      </c>
      <c r="K2413" s="157" t="s">
        <v>1269</v>
      </c>
      <c r="L2413" s="157" t="s">
        <v>1286</v>
      </c>
      <c r="M2413" s="157" t="str">
        <f t="shared" si="52"/>
        <v>LED Lamp - Maplight FR</v>
      </c>
      <c r="N2413" s="157"/>
      <c r="O2413" s="157"/>
      <c r="P2413" s="159" t="s">
        <v>5655</v>
      </c>
      <c r="Q2413" s="157" t="s">
        <v>2115</v>
      </c>
      <c r="R2413" s="157" t="s">
        <v>8566</v>
      </c>
      <c r="S2413" s="157" t="s">
        <v>8611</v>
      </c>
      <c r="T2413" s="157"/>
      <c r="U2413" s="159" t="s">
        <v>2129</v>
      </c>
      <c r="V2413" s="159" t="s">
        <v>2138</v>
      </c>
      <c r="W2413" s="159" t="s">
        <v>2138</v>
      </c>
      <c r="X2413" s="160">
        <v>0</v>
      </c>
      <c r="Y2413" s="160">
        <v>0</v>
      </c>
      <c r="Z2413" s="160">
        <v>0.05</v>
      </c>
      <c r="AA2413" s="160">
        <v>0.05</v>
      </c>
    </row>
    <row r="2414" spans="1:27" ht="18" customHeight="1" x14ac:dyDescent="0.25">
      <c r="A2414" s="159">
        <v>7016</v>
      </c>
      <c r="B2414" s="157" t="s">
        <v>77</v>
      </c>
      <c r="C2414" s="157" t="s">
        <v>149</v>
      </c>
      <c r="D2414" s="159" t="s">
        <v>198</v>
      </c>
      <c r="E2414" s="157" t="s">
        <v>196</v>
      </c>
      <c r="F2414" s="157" t="s">
        <v>1264</v>
      </c>
      <c r="G2414" s="157" t="s">
        <v>1278</v>
      </c>
      <c r="H2414" s="157" t="s">
        <v>1283</v>
      </c>
      <c r="I2414" s="157" t="s">
        <v>1424</v>
      </c>
      <c r="J2414" s="157" t="s">
        <v>8567</v>
      </c>
      <c r="K2414" s="157" t="s">
        <v>1281</v>
      </c>
      <c r="L2414" s="157" t="s">
        <v>1281</v>
      </c>
      <c r="M2414" s="157" t="str">
        <f t="shared" si="52"/>
        <v>Switch - Maplight RL</v>
      </c>
      <c r="N2414" s="157"/>
      <c r="O2414" s="157"/>
      <c r="P2414" s="159" t="s">
        <v>6903</v>
      </c>
      <c r="Q2414" s="157" t="s">
        <v>2115</v>
      </c>
      <c r="R2414" s="157" t="s">
        <v>2124</v>
      </c>
      <c r="S2414" s="157" t="s">
        <v>8608</v>
      </c>
      <c r="T2414" s="157"/>
      <c r="U2414" s="159" t="s">
        <v>2129</v>
      </c>
      <c r="V2414" s="159" t="s">
        <v>2129</v>
      </c>
      <c r="W2414" s="159" t="s">
        <v>2138</v>
      </c>
      <c r="X2414" s="160">
        <v>0</v>
      </c>
      <c r="Y2414" s="160">
        <v>0</v>
      </c>
      <c r="Z2414" s="160">
        <v>0.05</v>
      </c>
      <c r="AA2414" s="160">
        <v>0.05</v>
      </c>
    </row>
    <row r="2415" spans="1:27" ht="18" customHeight="1" x14ac:dyDescent="0.25">
      <c r="A2415" s="159">
        <v>7017</v>
      </c>
      <c r="B2415" s="157" t="s">
        <v>77</v>
      </c>
      <c r="C2415" s="157" t="s">
        <v>149</v>
      </c>
      <c r="D2415" s="159" t="s">
        <v>198</v>
      </c>
      <c r="E2415" s="157" t="s">
        <v>196</v>
      </c>
      <c r="F2415" s="157" t="s">
        <v>1264</v>
      </c>
      <c r="G2415" s="157" t="s">
        <v>1278</v>
      </c>
      <c r="H2415" s="157" t="s">
        <v>1283</v>
      </c>
      <c r="I2415" s="157" t="s">
        <v>1426</v>
      </c>
      <c r="J2415" s="157" t="s">
        <v>8567</v>
      </c>
      <c r="K2415" s="157" t="s">
        <v>1281</v>
      </c>
      <c r="L2415" s="157" t="s">
        <v>1281</v>
      </c>
      <c r="M2415" s="157" t="str">
        <f t="shared" si="52"/>
        <v>Switch - Maplight RR</v>
      </c>
      <c r="N2415" s="157"/>
      <c r="O2415" s="157"/>
      <c r="P2415" s="159" t="s">
        <v>4652</v>
      </c>
      <c r="Q2415" s="157" t="s">
        <v>2115</v>
      </c>
      <c r="R2415" s="157" t="s">
        <v>2124</v>
      </c>
      <c r="S2415" s="157" t="s">
        <v>8608</v>
      </c>
      <c r="T2415" s="157"/>
      <c r="U2415" s="159" t="s">
        <v>2129</v>
      </c>
      <c r="V2415" s="159" t="s">
        <v>2129</v>
      </c>
      <c r="W2415" s="159" t="s">
        <v>2138</v>
      </c>
      <c r="X2415" s="160">
        <v>0</v>
      </c>
      <c r="Y2415" s="160">
        <v>0</v>
      </c>
      <c r="Z2415" s="160">
        <v>0.05</v>
      </c>
      <c r="AA2415" s="160">
        <v>0.05</v>
      </c>
    </row>
    <row r="2416" spans="1:27" ht="18" customHeight="1" x14ac:dyDescent="0.25">
      <c r="A2416" s="159">
        <v>7020</v>
      </c>
      <c r="B2416" s="157" t="s">
        <v>77</v>
      </c>
      <c r="C2416" s="157" t="s">
        <v>128</v>
      </c>
      <c r="D2416" s="159" t="s">
        <v>223</v>
      </c>
      <c r="E2416" s="157" t="s">
        <v>221</v>
      </c>
      <c r="F2416" s="157" t="s">
        <v>1264</v>
      </c>
      <c r="G2416" s="157" t="s">
        <v>1278</v>
      </c>
      <c r="H2416" s="157" t="s">
        <v>1357</v>
      </c>
      <c r="I2416" s="157" t="s">
        <v>1542</v>
      </c>
      <c r="J2416" s="157" t="s">
        <v>1358</v>
      </c>
      <c r="K2416" s="157" t="s">
        <v>1269</v>
      </c>
      <c r="L2416" s="157" t="s">
        <v>1896</v>
      </c>
      <c r="M2416" s="157" t="str">
        <f t="shared" si="52"/>
        <v>Steering Wheel Heater - Heater</v>
      </c>
      <c r="N2416" s="157"/>
      <c r="O2416" s="157"/>
      <c r="P2416" s="159"/>
      <c r="Q2416" s="157"/>
      <c r="R2416" s="157"/>
      <c r="S2416" s="157"/>
      <c r="T2416" s="157"/>
      <c r="U2416" s="159"/>
      <c r="V2416" s="159"/>
      <c r="W2416" s="159"/>
      <c r="X2416" s="160"/>
      <c r="Y2416" s="160"/>
      <c r="Z2416" s="160"/>
      <c r="AA2416" s="160"/>
    </row>
    <row r="2417" spans="1:27" ht="18" customHeight="1" x14ac:dyDescent="0.25">
      <c r="A2417" s="159">
        <v>7022</v>
      </c>
      <c r="B2417" s="157" t="s">
        <v>77</v>
      </c>
      <c r="C2417" s="157" t="s">
        <v>128</v>
      </c>
      <c r="D2417" s="159" t="s">
        <v>223</v>
      </c>
      <c r="E2417" s="157" t="s">
        <v>221</v>
      </c>
      <c r="F2417" s="157" t="s">
        <v>1264</v>
      </c>
      <c r="G2417" s="157" t="s">
        <v>1278</v>
      </c>
      <c r="H2417" s="157" t="s">
        <v>1357</v>
      </c>
      <c r="I2417" s="157" t="s">
        <v>1897</v>
      </c>
      <c r="J2417" s="157" t="s">
        <v>1358</v>
      </c>
      <c r="K2417" s="157" t="s">
        <v>1312</v>
      </c>
      <c r="L2417" s="157" t="s">
        <v>1897</v>
      </c>
      <c r="M2417" s="157" t="str">
        <f t="shared" si="52"/>
        <v>Steering Wheel Temperature Sensor - Steering Wheel Temperature Sensor</v>
      </c>
      <c r="N2417" s="157"/>
      <c r="O2417" s="157"/>
      <c r="P2417" s="159"/>
      <c r="Q2417" s="157"/>
      <c r="R2417" s="157"/>
      <c r="S2417" s="157"/>
      <c r="T2417" s="157"/>
      <c r="U2417" s="159"/>
      <c r="V2417" s="159"/>
      <c r="W2417" s="159"/>
      <c r="X2417" s="160"/>
      <c r="Y2417" s="160"/>
      <c r="Z2417" s="160"/>
      <c r="AA2417" s="160"/>
    </row>
    <row r="2418" spans="1:27" ht="18" customHeight="1" x14ac:dyDescent="0.25">
      <c r="A2418" s="159">
        <v>7023</v>
      </c>
      <c r="B2418" s="157" t="s">
        <v>63</v>
      </c>
      <c r="C2418" s="157" t="s">
        <v>64</v>
      </c>
      <c r="D2418" s="159" t="s">
        <v>411</v>
      </c>
      <c r="E2418" s="157" t="s">
        <v>409</v>
      </c>
      <c r="F2418" s="157" t="s">
        <v>1264</v>
      </c>
      <c r="G2418" s="157" t="s">
        <v>1536</v>
      </c>
      <c r="H2418" s="157" t="s">
        <v>1287</v>
      </c>
      <c r="I2418" s="157" t="s">
        <v>1898</v>
      </c>
      <c r="J2418" s="157" t="s">
        <v>1899</v>
      </c>
      <c r="K2418" s="157" t="s">
        <v>1312</v>
      </c>
      <c r="L2418" s="157" t="s">
        <v>1900</v>
      </c>
      <c r="M2418" s="157" t="str">
        <f t="shared" si="52"/>
        <v>Current Sensor - Light Failure Detection</v>
      </c>
      <c r="N2418" s="157"/>
      <c r="O2418" s="157"/>
      <c r="P2418" s="159"/>
      <c r="Q2418" s="157"/>
      <c r="R2418" s="157"/>
      <c r="S2418" s="157"/>
      <c r="T2418" s="157"/>
      <c r="U2418" s="159"/>
      <c r="V2418" s="159"/>
      <c r="W2418" s="159"/>
      <c r="X2418" s="160"/>
      <c r="Y2418" s="160"/>
      <c r="Z2418" s="160"/>
      <c r="AA2418" s="160"/>
    </row>
    <row r="2419" spans="1:27" ht="18" customHeight="1" x14ac:dyDescent="0.25">
      <c r="A2419" s="159">
        <v>7024</v>
      </c>
      <c r="B2419" s="157" t="s">
        <v>63</v>
      </c>
      <c r="C2419" s="157" t="s">
        <v>64</v>
      </c>
      <c r="D2419" s="159" t="s">
        <v>411</v>
      </c>
      <c r="E2419" s="157" t="s">
        <v>409</v>
      </c>
      <c r="F2419" s="157" t="s">
        <v>1264</v>
      </c>
      <c r="G2419" s="157" t="s">
        <v>1536</v>
      </c>
      <c r="H2419" s="157" t="s">
        <v>1287</v>
      </c>
      <c r="I2419" s="157" t="s">
        <v>1898</v>
      </c>
      <c r="J2419" s="157" t="s">
        <v>1901</v>
      </c>
      <c r="K2419" s="157" t="s">
        <v>1312</v>
      </c>
      <c r="L2419" s="157" t="s">
        <v>1900</v>
      </c>
      <c r="M2419" s="157" t="str">
        <f t="shared" si="52"/>
        <v>Current Sensor - Light Failure Detection</v>
      </c>
      <c r="N2419" s="157"/>
      <c r="O2419" s="157"/>
      <c r="P2419" s="159"/>
      <c r="Q2419" s="157"/>
      <c r="R2419" s="157"/>
      <c r="S2419" s="157"/>
      <c r="T2419" s="157"/>
      <c r="U2419" s="159"/>
      <c r="V2419" s="159"/>
      <c r="W2419" s="159"/>
      <c r="X2419" s="160"/>
      <c r="Y2419" s="160"/>
      <c r="Z2419" s="160"/>
      <c r="AA2419" s="160"/>
    </row>
    <row r="2420" spans="1:27" ht="18" customHeight="1" x14ac:dyDescent="0.25">
      <c r="A2420" s="159">
        <v>7025</v>
      </c>
      <c r="B2420" s="157" t="s">
        <v>63</v>
      </c>
      <c r="C2420" s="157" t="s">
        <v>64</v>
      </c>
      <c r="D2420" s="159" t="s">
        <v>411</v>
      </c>
      <c r="E2420" s="157" t="s">
        <v>409</v>
      </c>
      <c r="F2420" s="157" t="s">
        <v>1264</v>
      </c>
      <c r="G2420" s="157" t="s">
        <v>1536</v>
      </c>
      <c r="H2420" s="157" t="s">
        <v>1287</v>
      </c>
      <c r="I2420" s="157" t="s">
        <v>1898</v>
      </c>
      <c r="J2420" s="157" t="s">
        <v>1902</v>
      </c>
      <c r="K2420" s="157" t="s">
        <v>1312</v>
      </c>
      <c r="L2420" s="157" t="s">
        <v>1900</v>
      </c>
      <c r="M2420" s="157" t="str">
        <f t="shared" si="52"/>
        <v>Current Sensor - Light Failure Detection</v>
      </c>
      <c r="N2420" s="157"/>
      <c r="O2420" s="157"/>
      <c r="P2420" s="159"/>
      <c r="Q2420" s="157"/>
      <c r="R2420" s="157"/>
      <c r="S2420" s="157"/>
      <c r="T2420" s="157"/>
      <c r="U2420" s="159"/>
      <c r="V2420" s="159"/>
      <c r="W2420" s="159"/>
      <c r="X2420" s="160"/>
      <c r="Y2420" s="160"/>
      <c r="Z2420" s="160"/>
      <c r="AA2420" s="160"/>
    </row>
    <row r="2421" spans="1:27" ht="18" customHeight="1" x14ac:dyDescent="0.25">
      <c r="A2421" s="159">
        <v>7026</v>
      </c>
      <c r="B2421" s="157" t="s">
        <v>63</v>
      </c>
      <c r="C2421" s="157" t="s">
        <v>64</v>
      </c>
      <c r="D2421" s="159" t="s">
        <v>411</v>
      </c>
      <c r="E2421" s="157" t="s">
        <v>409</v>
      </c>
      <c r="F2421" s="157" t="s">
        <v>1264</v>
      </c>
      <c r="G2421" s="157" t="s">
        <v>1536</v>
      </c>
      <c r="H2421" s="157" t="s">
        <v>1287</v>
      </c>
      <c r="I2421" s="157" t="s">
        <v>1898</v>
      </c>
      <c r="J2421" s="157" t="s">
        <v>1903</v>
      </c>
      <c r="K2421" s="157" t="s">
        <v>1312</v>
      </c>
      <c r="L2421" s="157" t="s">
        <v>1900</v>
      </c>
      <c r="M2421" s="157" t="str">
        <f t="shared" si="52"/>
        <v>Current Sensor - Light Failure Detection</v>
      </c>
      <c r="N2421" s="157"/>
      <c r="O2421" s="157"/>
      <c r="P2421" s="159"/>
      <c r="Q2421" s="157"/>
      <c r="R2421" s="157"/>
      <c r="S2421" s="157"/>
      <c r="T2421" s="157"/>
      <c r="U2421" s="159"/>
      <c r="V2421" s="159"/>
      <c r="W2421" s="159"/>
      <c r="X2421" s="160"/>
      <c r="Y2421" s="160"/>
      <c r="Z2421" s="160"/>
      <c r="AA2421" s="160"/>
    </row>
    <row r="2422" spans="1:27" ht="18" customHeight="1" x14ac:dyDescent="0.25">
      <c r="A2422" s="159">
        <v>7027</v>
      </c>
      <c r="B2422" s="157" t="s">
        <v>63</v>
      </c>
      <c r="C2422" s="157" t="s">
        <v>64</v>
      </c>
      <c r="D2422" s="159" t="s">
        <v>411</v>
      </c>
      <c r="E2422" s="157" t="s">
        <v>409</v>
      </c>
      <c r="F2422" s="157" t="s">
        <v>1264</v>
      </c>
      <c r="G2422" s="157" t="s">
        <v>1536</v>
      </c>
      <c r="H2422" s="157" t="s">
        <v>1287</v>
      </c>
      <c r="I2422" s="157" t="s">
        <v>1898</v>
      </c>
      <c r="J2422" s="157" t="s">
        <v>1904</v>
      </c>
      <c r="K2422" s="157" t="s">
        <v>1312</v>
      </c>
      <c r="L2422" s="157" t="s">
        <v>1900</v>
      </c>
      <c r="M2422" s="157" t="str">
        <f t="shared" si="52"/>
        <v>Current Sensor - Light Failure Detection</v>
      </c>
      <c r="N2422" s="157"/>
      <c r="O2422" s="157"/>
      <c r="P2422" s="159"/>
      <c r="Q2422" s="157"/>
      <c r="R2422" s="157"/>
      <c r="S2422" s="157"/>
      <c r="T2422" s="157"/>
      <c r="U2422" s="159"/>
      <c r="V2422" s="159"/>
      <c r="W2422" s="159"/>
      <c r="X2422" s="160"/>
      <c r="Y2422" s="160"/>
      <c r="Z2422" s="160"/>
      <c r="AA2422" s="160"/>
    </row>
    <row r="2423" spans="1:27" ht="18" customHeight="1" x14ac:dyDescent="0.25">
      <c r="A2423" s="159">
        <v>7028</v>
      </c>
      <c r="B2423" s="157" t="s">
        <v>63</v>
      </c>
      <c r="C2423" s="157" t="s">
        <v>64</v>
      </c>
      <c r="D2423" s="159" t="s">
        <v>411</v>
      </c>
      <c r="E2423" s="157" t="s">
        <v>409</v>
      </c>
      <c r="F2423" s="157" t="s">
        <v>1264</v>
      </c>
      <c r="G2423" s="157" t="s">
        <v>1536</v>
      </c>
      <c r="H2423" s="157" t="s">
        <v>1287</v>
      </c>
      <c r="I2423" s="157" t="s">
        <v>1898</v>
      </c>
      <c r="J2423" s="157" t="s">
        <v>1905</v>
      </c>
      <c r="K2423" s="157" t="s">
        <v>1312</v>
      </c>
      <c r="L2423" s="157" t="s">
        <v>1900</v>
      </c>
      <c r="M2423" s="157" t="str">
        <f t="shared" si="52"/>
        <v>Current Sensor - Light Failure Detection</v>
      </c>
      <c r="N2423" s="157"/>
      <c r="O2423" s="157"/>
      <c r="P2423" s="159"/>
      <c r="Q2423" s="157"/>
      <c r="R2423" s="157"/>
      <c r="S2423" s="157"/>
      <c r="T2423" s="157"/>
      <c r="U2423" s="159"/>
      <c r="V2423" s="159"/>
      <c r="W2423" s="159"/>
      <c r="X2423" s="160"/>
      <c r="Y2423" s="160"/>
      <c r="Z2423" s="160"/>
      <c r="AA2423" s="160"/>
    </row>
    <row r="2424" spans="1:27" ht="18" customHeight="1" x14ac:dyDescent="0.25">
      <c r="A2424" s="159">
        <v>7029</v>
      </c>
      <c r="B2424" s="157" t="s">
        <v>63</v>
      </c>
      <c r="C2424" s="157" t="s">
        <v>64</v>
      </c>
      <c r="D2424" s="159" t="s">
        <v>411</v>
      </c>
      <c r="E2424" s="157" t="s">
        <v>409</v>
      </c>
      <c r="F2424" s="157" t="s">
        <v>1264</v>
      </c>
      <c r="G2424" s="157" t="s">
        <v>1536</v>
      </c>
      <c r="H2424" s="157" t="s">
        <v>1287</v>
      </c>
      <c r="I2424" s="157" t="s">
        <v>1898</v>
      </c>
      <c r="J2424" s="157" t="s">
        <v>1906</v>
      </c>
      <c r="K2424" s="157" t="s">
        <v>1312</v>
      </c>
      <c r="L2424" s="157" t="s">
        <v>1900</v>
      </c>
      <c r="M2424" s="157" t="str">
        <f t="shared" si="52"/>
        <v>Current Sensor - Light Failure Detection</v>
      </c>
      <c r="N2424" s="157"/>
      <c r="O2424" s="157"/>
      <c r="P2424" s="159"/>
      <c r="Q2424" s="157"/>
      <c r="R2424" s="157"/>
      <c r="S2424" s="157"/>
      <c r="T2424" s="157"/>
      <c r="U2424" s="159"/>
      <c r="V2424" s="159"/>
      <c r="W2424" s="159"/>
      <c r="X2424" s="160"/>
      <c r="Y2424" s="160"/>
      <c r="Z2424" s="160"/>
      <c r="AA2424" s="160"/>
    </row>
    <row r="2425" spans="1:27" ht="18" customHeight="1" x14ac:dyDescent="0.25">
      <c r="A2425" s="159">
        <v>7030</v>
      </c>
      <c r="B2425" s="157" t="s">
        <v>63</v>
      </c>
      <c r="C2425" s="157" t="s">
        <v>64</v>
      </c>
      <c r="D2425" s="159" t="s">
        <v>411</v>
      </c>
      <c r="E2425" s="157" t="s">
        <v>409</v>
      </c>
      <c r="F2425" s="157" t="s">
        <v>1264</v>
      </c>
      <c r="G2425" s="157" t="s">
        <v>1536</v>
      </c>
      <c r="H2425" s="157" t="s">
        <v>1287</v>
      </c>
      <c r="I2425" s="157" t="s">
        <v>1898</v>
      </c>
      <c r="J2425" s="157" t="s">
        <v>1907</v>
      </c>
      <c r="K2425" s="157" t="s">
        <v>1312</v>
      </c>
      <c r="L2425" s="157" t="s">
        <v>1900</v>
      </c>
      <c r="M2425" s="157" t="str">
        <f t="shared" si="52"/>
        <v>Current Sensor - Light Failure Detection</v>
      </c>
      <c r="N2425" s="157"/>
      <c r="O2425" s="157"/>
      <c r="P2425" s="159"/>
      <c r="Q2425" s="157"/>
      <c r="R2425" s="157"/>
      <c r="S2425" s="157"/>
      <c r="T2425" s="157"/>
      <c r="U2425" s="159"/>
      <c r="V2425" s="159"/>
      <c r="W2425" s="159"/>
      <c r="X2425" s="160"/>
      <c r="Y2425" s="160"/>
      <c r="Z2425" s="160"/>
      <c r="AA2425" s="160"/>
    </row>
    <row r="2426" spans="1:27" ht="18" customHeight="1" x14ac:dyDescent="0.25">
      <c r="A2426" s="159">
        <v>7031</v>
      </c>
      <c r="B2426" s="157" t="s">
        <v>63</v>
      </c>
      <c r="C2426" s="157" t="s">
        <v>64</v>
      </c>
      <c r="D2426" s="159" t="s">
        <v>411</v>
      </c>
      <c r="E2426" s="157" t="s">
        <v>409</v>
      </c>
      <c r="F2426" s="157" t="s">
        <v>1264</v>
      </c>
      <c r="G2426" s="157" t="s">
        <v>1536</v>
      </c>
      <c r="H2426" s="157" t="s">
        <v>1287</v>
      </c>
      <c r="I2426" s="157" t="s">
        <v>1898</v>
      </c>
      <c r="J2426" s="157" t="s">
        <v>1586</v>
      </c>
      <c r="K2426" s="157" t="s">
        <v>1312</v>
      </c>
      <c r="L2426" s="157" t="s">
        <v>1900</v>
      </c>
      <c r="M2426" s="157" t="str">
        <f t="shared" si="52"/>
        <v>Current Sensor - Light Failure Detection</v>
      </c>
      <c r="N2426" s="157"/>
      <c r="O2426" s="157"/>
      <c r="P2426" s="159"/>
      <c r="Q2426" s="157"/>
      <c r="R2426" s="157"/>
      <c r="S2426" s="157"/>
      <c r="T2426" s="157"/>
      <c r="U2426" s="159"/>
      <c r="V2426" s="159"/>
      <c r="W2426" s="159"/>
      <c r="X2426" s="160"/>
      <c r="Y2426" s="160"/>
      <c r="Z2426" s="160"/>
      <c r="AA2426" s="160"/>
    </row>
    <row r="2427" spans="1:27" ht="18" customHeight="1" x14ac:dyDescent="0.25">
      <c r="A2427" s="159">
        <v>7032</v>
      </c>
      <c r="B2427" s="157" t="s">
        <v>63</v>
      </c>
      <c r="C2427" s="157" t="s">
        <v>64</v>
      </c>
      <c r="D2427" s="159" t="s">
        <v>648</v>
      </c>
      <c r="E2427" s="157" t="s">
        <v>646</v>
      </c>
      <c r="F2427" s="157"/>
      <c r="G2427" s="157" t="s">
        <v>1321</v>
      </c>
      <c r="H2427" s="157" t="s">
        <v>1330</v>
      </c>
      <c r="I2427" s="157" t="s">
        <v>1908</v>
      </c>
      <c r="J2427" s="157" t="s">
        <v>1324</v>
      </c>
      <c r="K2427" s="157" t="s">
        <v>1312</v>
      </c>
      <c r="L2427" s="157" t="s">
        <v>1909</v>
      </c>
      <c r="M2427" s="157" t="str">
        <f t="shared" si="52"/>
        <v>Rear Motor Speed Sensor - Motor Speed</v>
      </c>
      <c r="N2427" s="157"/>
      <c r="O2427" s="157"/>
      <c r="P2427" s="159" t="s">
        <v>5433</v>
      </c>
      <c r="Q2427" s="157"/>
      <c r="R2427" s="157"/>
      <c r="S2427" s="157"/>
      <c r="T2427" s="157"/>
      <c r="U2427" s="159" t="s">
        <v>2129</v>
      </c>
      <c r="V2427" s="159" t="s">
        <v>2129</v>
      </c>
      <c r="W2427" s="159" t="s">
        <v>2129</v>
      </c>
      <c r="X2427" s="160">
        <v>1</v>
      </c>
      <c r="Y2427" s="160">
        <v>1</v>
      </c>
      <c r="Z2427" s="160">
        <v>1</v>
      </c>
      <c r="AA2427" s="160">
        <v>1</v>
      </c>
    </row>
    <row r="2428" spans="1:27" ht="18" customHeight="1" x14ac:dyDescent="0.25">
      <c r="A2428" s="159">
        <v>7033</v>
      </c>
      <c r="B2428" s="157" t="s">
        <v>63</v>
      </c>
      <c r="C2428" s="157" t="s">
        <v>64</v>
      </c>
      <c r="D2428" s="159" t="s">
        <v>648</v>
      </c>
      <c r="E2428" s="157" t="s">
        <v>646</v>
      </c>
      <c r="F2428" s="157"/>
      <c r="G2428" s="157" t="s">
        <v>1321</v>
      </c>
      <c r="H2428" s="157" t="s">
        <v>1330</v>
      </c>
      <c r="I2428" s="157" t="s">
        <v>1908</v>
      </c>
      <c r="J2428" s="157" t="s">
        <v>1434</v>
      </c>
      <c r="K2428" s="157" t="s">
        <v>1312</v>
      </c>
      <c r="L2428" s="157" t="s">
        <v>1910</v>
      </c>
      <c r="M2428" s="157" t="str">
        <f t="shared" si="52"/>
        <v>Front Motor Speed Sensor - Motor Speed</v>
      </c>
      <c r="N2428" s="157"/>
      <c r="O2428" s="157"/>
      <c r="P2428" s="159" t="s">
        <v>2401</v>
      </c>
      <c r="Q2428" s="157"/>
      <c r="R2428" s="157"/>
      <c r="S2428" s="157"/>
      <c r="T2428" s="157"/>
      <c r="U2428" s="159" t="s">
        <v>2129</v>
      </c>
      <c r="V2428" s="159" t="s">
        <v>2129</v>
      </c>
      <c r="W2428" s="159" t="s">
        <v>2129</v>
      </c>
      <c r="X2428" s="160">
        <v>1</v>
      </c>
      <c r="Y2428" s="160">
        <v>1</v>
      </c>
      <c r="Z2428" s="160">
        <v>1</v>
      </c>
      <c r="AA2428" s="160">
        <v>1</v>
      </c>
    </row>
    <row r="2429" spans="1:27" ht="18" customHeight="1" x14ac:dyDescent="0.25">
      <c r="A2429" s="159">
        <v>7035</v>
      </c>
      <c r="B2429" s="157" t="s">
        <v>266</v>
      </c>
      <c r="C2429" s="157" t="s">
        <v>294</v>
      </c>
      <c r="D2429" s="159" t="s">
        <v>297</v>
      </c>
      <c r="E2429" s="157" t="s">
        <v>295</v>
      </c>
      <c r="F2429" s="157"/>
      <c r="G2429" s="157" t="s">
        <v>1349</v>
      </c>
      <c r="H2429" s="157" t="s">
        <v>1418</v>
      </c>
      <c r="I2429" s="157" t="s">
        <v>1559</v>
      </c>
      <c r="J2429" s="157" t="s">
        <v>8303</v>
      </c>
      <c r="K2429" s="157" t="s">
        <v>1312</v>
      </c>
      <c r="L2429" s="157" t="s">
        <v>9609</v>
      </c>
      <c r="M2429" s="157" t="str">
        <f t="shared" si="52"/>
        <v>Ultrasonic Sensor FMR - Short Range Distance Measurement</v>
      </c>
      <c r="N2429" s="157"/>
      <c r="O2429" s="157"/>
      <c r="P2429" s="159" t="s">
        <v>3570</v>
      </c>
      <c r="Q2429" s="157" t="s">
        <v>2115</v>
      </c>
      <c r="R2429" s="157" t="s">
        <v>2145</v>
      </c>
      <c r="S2429" s="157" t="s">
        <v>8584</v>
      </c>
      <c r="T2429" s="157"/>
      <c r="U2429" s="159" t="s">
        <v>2129</v>
      </c>
      <c r="V2429" s="159" t="s">
        <v>2138</v>
      </c>
      <c r="W2429" s="159" t="s">
        <v>2138</v>
      </c>
      <c r="X2429" s="160">
        <v>0.05</v>
      </c>
      <c r="Y2429" s="160">
        <v>0</v>
      </c>
      <c r="Z2429" s="160">
        <v>0.05</v>
      </c>
      <c r="AA2429" s="160">
        <v>0</v>
      </c>
    </row>
    <row r="2430" spans="1:27" ht="18" customHeight="1" x14ac:dyDescent="0.25">
      <c r="A2430" s="159">
        <v>7035</v>
      </c>
      <c r="B2430" s="157" t="s">
        <v>266</v>
      </c>
      <c r="C2430" s="157" t="s">
        <v>294</v>
      </c>
      <c r="D2430" s="159" t="s">
        <v>503</v>
      </c>
      <c r="E2430" s="157" t="s">
        <v>501</v>
      </c>
      <c r="F2430" s="157"/>
      <c r="G2430" s="157" t="s">
        <v>1349</v>
      </c>
      <c r="H2430" s="157" t="s">
        <v>1418</v>
      </c>
      <c r="I2430" s="157" t="s">
        <v>1559</v>
      </c>
      <c r="J2430" s="157" t="s">
        <v>8303</v>
      </c>
      <c r="K2430" s="157" t="s">
        <v>1312</v>
      </c>
      <c r="L2430" s="157" t="s">
        <v>9609</v>
      </c>
      <c r="M2430" s="157" t="str">
        <f t="shared" si="52"/>
        <v>Ultrasonic Sensor FMR - Short Range Distance Measurement</v>
      </c>
      <c r="N2430" s="157"/>
      <c r="O2430" s="157"/>
      <c r="P2430" s="159" t="s">
        <v>3570</v>
      </c>
      <c r="Q2430" s="157" t="s">
        <v>2115</v>
      </c>
      <c r="R2430" s="157" t="s">
        <v>2145</v>
      </c>
      <c r="S2430" s="157" t="s">
        <v>8584</v>
      </c>
      <c r="T2430" s="157"/>
      <c r="U2430" s="159" t="s">
        <v>2129</v>
      </c>
      <c r="V2430" s="159" t="s">
        <v>2129</v>
      </c>
      <c r="W2430" s="159" t="s">
        <v>2138</v>
      </c>
      <c r="X2430" s="160">
        <v>0.05</v>
      </c>
      <c r="Y2430" s="160">
        <v>0</v>
      </c>
      <c r="Z2430" s="160">
        <v>0.05</v>
      </c>
      <c r="AA2430" s="160">
        <v>0</v>
      </c>
    </row>
    <row r="2431" spans="1:27" ht="18" customHeight="1" x14ac:dyDescent="0.25">
      <c r="A2431" s="159">
        <v>7035</v>
      </c>
      <c r="B2431" s="157" t="s">
        <v>266</v>
      </c>
      <c r="C2431" s="157" t="s">
        <v>294</v>
      </c>
      <c r="D2431" s="159" t="s">
        <v>692</v>
      </c>
      <c r="E2431" s="157" t="s">
        <v>690</v>
      </c>
      <c r="F2431" s="157"/>
      <c r="G2431" s="157" t="s">
        <v>1349</v>
      </c>
      <c r="H2431" s="157" t="s">
        <v>1418</v>
      </c>
      <c r="I2431" s="157" t="s">
        <v>1559</v>
      </c>
      <c r="J2431" s="157" t="s">
        <v>8303</v>
      </c>
      <c r="K2431" s="157" t="s">
        <v>1312</v>
      </c>
      <c r="L2431" s="157" t="s">
        <v>9609</v>
      </c>
      <c r="M2431" s="157" t="str">
        <f t="shared" si="52"/>
        <v>Ultrasonic Sensor FMR - Short Range Distance Measurement</v>
      </c>
      <c r="N2431" s="157"/>
      <c r="O2431" s="157"/>
      <c r="P2431" s="159" t="s">
        <v>3570</v>
      </c>
      <c r="Q2431" s="157" t="s">
        <v>2115</v>
      </c>
      <c r="R2431" s="157" t="s">
        <v>2145</v>
      </c>
      <c r="S2431" s="157" t="s">
        <v>8584</v>
      </c>
      <c r="T2431" s="157"/>
      <c r="U2431" s="159" t="s">
        <v>2129</v>
      </c>
      <c r="V2431" s="159" t="s">
        <v>2129</v>
      </c>
      <c r="W2431" s="159" t="s">
        <v>2138</v>
      </c>
      <c r="X2431" s="160">
        <v>0.05</v>
      </c>
      <c r="Y2431" s="160">
        <v>0</v>
      </c>
      <c r="Z2431" s="160">
        <v>0.05</v>
      </c>
      <c r="AA2431" s="160">
        <v>0</v>
      </c>
    </row>
    <row r="2432" spans="1:27" ht="18" customHeight="1" x14ac:dyDescent="0.25">
      <c r="A2432" s="159">
        <v>7035</v>
      </c>
      <c r="B2432" s="157" t="s">
        <v>266</v>
      </c>
      <c r="C2432" s="157" t="s">
        <v>294</v>
      </c>
      <c r="D2432" s="159" t="s">
        <v>1177</v>
      </c>
      <c r="E2432" s="157" t="s">
        <v>1175</v>
      </c>
      <c r="F2432" s="157"/>
      <c r="G2432" s="157" t="s">
        <v>1349</v>
      </c>
      <c r="H2432" s="157" t="s">
        <v>1418</v>
      </c>
      <c r="I2432" s="157" t="s">
        <v>1559</v>
      </c>
      <c r="J2432" s="157" t="s">
        <v>8303</v>
      </c>
      <c r="K2432" s="157" t="s">
        <v>1312</v>
      </c>
      <c r="L2432" s="157" t="s">
        <v>9609</v>
      </c>
      <c r="M2432" s="157" t="str">
        <f t="shared" si="52"/>
        <v>Ultrasonic Sensor FMR - Short Range Distance Measurement</v>
      </c>
      <c r="N2432" s="157"/>
      <c r="O2432" s="157"/>
      <c r="P2432" s="159" t="s">
        <v>3570</v>
      </c>
      <c r="Q2432" s="157" t="s">
        <v>2115</v>
      </c>
      <c r="R2432" s="157" t="s">
        <v>2145</v>
      </c>
      <c r="S2432" s="157" t="s">
        <v>8584</v>
      </c>
      <c r="T2432" s="157"/>
      <c r="U2432" s="159" t="s">
        <v>2129</v>
      </c>
      <c r="V2432" s="159" t="s">
        <v>2129</v>
      </c>
      <c r="W2432" s="159" t="s">
        <v>2138</v>
      </c>
      <c r="X2432" s="160">
        <v>0.05</v>
      </c>
      <c r="Y2432" s="160">
        <v>0</v>
      </c>
      <c r="Z2432" s="160">
        <v>0.05</v>
      </c>
      <c r="AA2432" s="160">
        <v>0</v>
      </c>
    </row>
    <row r="2433" spans="1:27" ht="18" customHeight="1" x14ac:dyDescent="0.25">
      <c r="A2433" s="159">
        <v>7035</v>
      </c>
      <c r="B2433" s="157" t="s">
        <v>266</v>
      </c>
      <c r="C2433" s="157" t="s">
        <v>294</v>
      </c>
      <c r="D2433" s="159" t="s">
        <v>1178</v>
      </c>
      <c r="E2433" s="157" t="s">
        <v>1179</v>
      </c>
      <c r="F2433" s="157"/>
      <c r="G2433" s="157" t="s">
        <v>1349</v>
      </c>
      <c r="H2433" s="157" t="s">
        <v>1418</v>
      </c>
      <c r="I2433" s="157" t="s">
        <v>1559</v>
      </c>
      <c r="J2433" s="157" t="s">
        <v>8303</v>
      </c>
      <c r="K2433" s="157" t="s">
        <v>1312</v>
      </c>
      <c r="L2433" s="157" t="s">
        <v>9609</v>
      </c>
      <c r="M2433" s="157" t="str">
        <f t="shared" si="52"/>
        <v>Ultrasonic Sensor FMR - Short Range Distance Measurement</v>
      </c>
      <c r="N2433" s="157"/>
      <c r="O2433" s="157"/>
      <c r="P2433" s="159" t="s">
        <v>3570</v>
      </c>
      <c r="Q2433" s="157" t="s">
        <v>2115</v>
      </c>
      <c r="R2433" s="157" t="s">
        <v>2145</v>
      </c>
      <c r="S2433" s="157" t="s">
        <v>8584</v>
      </c>
      <c r="T2433" s="157"/>
      <c r="U2433" s="159" t="s">
        <v>2129</v>
      </c>
      <c r="V2433" s="159" t="s">
        <v>2138</v>
      </c>
      <c r="W2433" s="159" t="s">
        <v>2138</v>
      </c>
      <c r="X2433" s="160">
        <v>0.05</v>
      </c>
      <c r="Y2433" s="160">
        <v>0</v>
      </c>
      <c r="Z2433" s="160">
        <v>0.05</v>
      </c>
      <c r="AA2433" s="160">
        <v>0</v>
      </c>
    </row>
    <row r="2434" spans="1:27" ht="18" customHeight="1" x14ac:dyDescent="0.25">
      <c r="A2434" s="159">
        <v>7035</v>
      </c>
      <c r="B2434" s="157" t="s">
        <v>266</v>
      </c>
      <c r="C2434" s="157" t="s">
        <v>294</v>
      </c>
      <c r="D2434" s="159" t="s">
        <v>1207</v>
      </c>
      <c r="E2434" s="157" t="s">
        <v>1205</v>
      </c>
      <c r="F2434" s="157"/>
      <c r="G2434" s="157" t="s">
        <v>1349</v>
      </c>
      <c r="H2434" s="157" t="s">
        <v>1418</v>
      </c>
      <c r="I2434" s="157" t="s">
        <v>1559</v>
      </c>
      <c r="J2434" s="157" t="s">
        <v>8303</v>
      </c>
      <c r="K2434" s="157" t="s">
        <v>1312</v>
      </c>
      <c r="L2434" s="157" t="s">
        <v>9609</v>
      </c>
      <c r="M2434" s="157" t="str">
        <f t="shared" si="52"/>
        <v>Ultrasonic Sensor FMR - Short Range Distance Measurement</v>
      </c>
      <c r="N2434" s="157"/>
      <c r="O2434" s="157"/>
      <c r="P2434" s="159" t="s">
        <v>3570</v>
      </c>
      <c r="Q2434" s="157" t="s">
        <v>2115</v>
      </c>
      <c r="R2434" s="157" t="s">
        <v>2145</v>
      </c>
      <c r="S2434" s="157" t="s">
        <v>8584</v>
      </c>
      <c r="T2434" s="157"/>
      <c r="U2434" s="159" t="s">
        <v>2129</v>
      </c>
      <c r="V2434" s="159" t="s">
        <v>2138</v>
      </c>
      <c r="W2434" s="159" t="s">
        <v>2138</v>
      </c>
      <c r="X2434" s="160">
        <v>0.05</v>
      </c>
      <c r="Y2434" s="160">
        <v>0</v>
      </c>
      <c r="Z2434" s="160">
        <v>0.05</v>
      </c>
      <c r="AA2434" s="160">
        <v>0</v>
      </c>
    </row>
    <row r="2435" spans="1:27" ht="18" customHeight="1" x14ac:dyDescent="0.25">
      <c r="A2435" s="159">
        <v>7036</v>
      </c>
      <c r="B2435" s="157" t="s">
        <v>266</v>
      </c>
      <c r="C2435" s="157" t="s">
        <v>294</v>
      </c>
      <c r="D2435" s="159" t="s">
        <v>297</v>
      </c>
      <c r="E2435" s="157" t="s">
        <v>295</v>
      </c>
      <c r="F2435" s="157"/>
      <c r="G2435" s="157" t="s">
        <v>1349</v>
      </c>
      <c r="H2435" s="157" t="s">
        <v>1418</v>
      </c>
      <c r="I2435" s="157" t="s">
        <v>1559</v>
      </c>
      <c r="J2435" s="157" t="s">
        <v>8301</v>
      </c>
      <c r="K2435" s="157" t="s">
        <v>1312</v>
      </c>
      <c r="L2435" s="157" t="s">
        <v>9610</v>
      </c>
      <c r="M2435" s="157" t="str">
        <f t="shared" si="52"/>
        <v>Ultrasonic Sensor FR - Short Range Distance Measurement</v>
      </c>
      <c r="N2435" s="157"/>
      <c r="O2435" s="157"/>
      <c r="P2435" s="159" t="s">
        <v>3522</v>
      </c>
      <c r="Q2435" s="157" t="s">
        <v>2115</v>
      </c>
      <c r="R2435" s="157" t="s">
        <v>2145</v>
      </c>
      <c r="S2435" s="157" t="s">
        <v>8584</v>
      </c>
      <c r="T2435" s="157"/>
      <c r="U2435" s="159" t="s">
        <v>2129</v>
      </c>
      <c r="V2435" s="159" t="s">
        <v>2138</v>
      </c>
      <c r="W2435" s="159" t="s">
        <v>2138</v>
      </c>
      <c r="X2435" s="160">
        <v>0.05</v>
      </c>
      <c r="Y2435" s="160">
        <v>0</v>
      </c>
      <c r="Z2435" s="160">
        <v>0.05</v>
      </c>
      <c r="AA2435" s="160">
        <v>0</v>
      </c>
    </row>
    <row r="2436" spans="1:27" ht="18" customHeight="1" x14ac:dyDescent="0.25">
      <c r="A2436" s="159">
        <v>7036</v>
      </c>
      <c r="B2436" s="157" t="s">
        <v>266</v>
      </c>
      <c r="C2436" s="157" t="s">
        <v>294</v>
      </c>
      <c r="D2436" s="159" t="s">
        <v>503</v>
      </c>
      <c r="E2436" s="157" t="s">
        <v>501</v>
      </c>
      <c r="F2436" s="157"/>
      <c r="G2436" s="157" t="s">
        <v>1349</v>
      </c>
      <c r="H2436" s="157" t="s">
        <v>1418</v>
      </c>
      <c r="I2436" s="157" t="s">
        <v>1559</v>
      </c>
      <c r="J2436" s="157" t="s">
        <v>8301</v>
      </c>
      <c r="K2436" s="157" t="s">
        <v>1312</v>
      </c>
      <c r="L2436" s="157" t="s">
        <v>9610</v>
      </c>
      <c r="M2436" s="157" t="str">
        <f t="shared" si="52"/>
        <v>Ultrasonic Sensor FR - Short Range Distance Measurement</v>
      </c>
      <c r="N2436" s="157"/>
      <c r="O2436" s="157"/>
      <c r="P2436" s="159" t="s">
        <v>3522</v>
      </c>
      <c r="Q2436" s="157" t="s">
        <v>2115</v>
      </c>
      <c r="R2436" s="157" t="s">
        <v>2145</v>
      </c>
      <c r="S2436" s="157" t="s">
        <v>8584</v>
      </c>
      <c r="T2436" s="157"/>
      <c r="U2436" s="159" t="s">
        <v>2129</v>
      </c>
      <c r="V2436" s="159" t="s">
        <v>2129</v>
      </c>
      <c r="W2436" s="159" t="s">
        <v>2138</v>
      </c>
      <c r="X2436" s="160">
        <v>0.05</v>
      </c>
      <c r="Y2436" s="160">
        <v>0</v>
      </c>
      <c r="Z2436" s="160">
        <v>0.05</v>
      </c>
      <c r="AA2436" s="160">
        <v>0</v>
      </c>
    </row>
    <row r="2437" spans="1:27" ht="18" customHeight="1" x14ac:dyDescent="0.25">
      <c r="A2437" s="159">
        <v>7036</v>
      </c>
      <c r="B2437" s="157" t="s">
        <v>266</v>
      </c>
      <c r="C2437" s="157" t="s">
        <v>294</v>
      </c>
      <c r="D2437" s="159" t="s">
        <v>692</v>
      </c>
      <c r="E2437" s="157" t="s">
        <v>690</v>
      </c>
      <c r="F2437" s="157"/>
      <c r="G2437" s="157" t="s">
        <v>1349</v>
      </c>
      <c r="H2437" s="157" t="s">
        <v>1418</v>
      </c>
      <c r="I2437" s="157" t="s">
        <v>1559</v>
      </c>
      <c r="J2437" s="157" t="s">
        <v>8301</v>
      </c>
      <c r="K2437" s="157" t="s">
        <v>1312</v>
      </c>
      <c r="L2437" s="157" t="s">
        <v>9610</v>
      </c>
      <c r="M2437" s="157" t="str">
        <f t="shared" si="52"/>
        <v>Ultrasonic Sensor FR - Short Range Distance Measurement</v>
      </c>
      <c r="N2437" s="157"/>
      <c r="O2437" s="157"/>
      <c r="P2437" s="159" t="s">
        <v>3522</v>
      </c>
      <c r="Q2437" s="157" t="s">
        <v>2115</v>
      </c>
      <c r="R2437" s="157" t="s">
        <v>2145</v>
      </c>
      <c r="S2437" s="157" t="s">
        <v>8584</v>
      </c>
      <c r="T2437" s="157"/>
      <c r="U2437" s="159" t="s">
        <v>2129</v>
      </c>
      <c r="V2437" s="159" t="s">
        <v>2129</v>
      </c>
      <c r="W2437" s="159" t="s">
        <v>2138</v>
      </c>
      <c r="X2437" s="160">
        <v>0.05</v>
      </c>
      <c r="Y2437" s="160">
        <v>0</v>
      </c>
      <c r="Z2437" s="160">
        <v>0.05</v>
      </c>
      <c r="AA2437" s="160">
        <v>0</v>
      </c>
    </row>
    <row r="2438" spans="1:27" ht="18" customHeight="1" x14ac:dyDescent="0.25">
      <c r="A2438" s="159">
        <v>7036</v>
      </c>
      <c r="B2438" s="157" t="s">
        <v>266</v>
      </c>
      <c r="C2438" s="157" t="s">
        <v>294</v>
      </c>
      <c r="D2438" s="159" t="s">
        <v>1177</v>
      </c>
      <c r="E2438" s="157" t="s">
        <v>1175</v>
      </c>
      <c r="F2438" s="157"/>
      <c r="G2438" s="157" t="s">
        <v>1349</v>
      </c>
      <c r="H2438" s="157" t="s">
        <v>1418</v>
      </c>
      <c r="I2438" s="157" t="s">
        <v>1559</v>
      </c>
      <c r="J2438" s="157" t="s">
        <v>8301</v>
      </c>
      <c r="K2438" s="157" t="s">
        <v>1312</v>
      </c>
      <c r="L2438" s="157" t="s">
        <v>9610</v>
      </c>
      <c r="M2438" s="157" t="str">
        <f t="shared" si="52"/>
        <v>Ultrasonic Sensor FR - Short Range Distance Measurement</v>
      </c>
      <c r="N2438" s="157"/>
      <c r="O2438" s="157"/>
      <c r="P2438" s="159" t="s">
        <v>3522</v>
      </c>
      <c r="Q2438" s="157" t="s">
        <v>2115</v>
      </c>
      <c r="R2438" s="157" t="s">
        <v>2145</v>
      </c>
      <c r="S2438" s="157" t="s">
        <v>8584</v>
      </c>
      <c r="T2438" s="157"/>
      <c r="U2438" s="159" t="s">
        <v>2129</v>
      </c>
      <c r="V2438" s="159" t="s">
        <v>2129</v>
      </c>
      <c r="W2438" s="159" t="s">
        <v>2138</v>
      </c>
      <c r="X2438" s="160">
        <v>0.05</v>
      </c>
      <c r="Y2438" s="160">
        <v>0</v>
      </c>
      <c r="Z2438" s="160">
        <v>0.05</v>
      </c>
      <c r="AA2438" s="160">
        <v>0</v>
      </c>
    </row>
    <row r="2439" spans="1:27" ht="18" customHeight="1" x14ac:dyDescent="0.25">
      <c r="A2439" s="159">
        <v>7036</v>
      </c>
      <c r="B2439" s="157" t="s">
        <v>266</v>
      </c>
      <c r="C2439" s="157" t="s">
        <v>294</v>
      </c>
      <c r="D2439" s="159" t="s">
        <v>1178</v>
      </c>
      <c r="E2439" s="157" t="s">
        <v>1179</v>
      </c>
      <c r="F2439" s="157"/>
      <c r="G2439" s="157" t="s">
        <v>1349</v>
      </c>
      <c r="H2439" s="157" t="s">
        <v>1418</v>
      </c>
      <c r="I2439" s="157" t="s">
        <v>1559</v>
      </c>
      <c r="J2439" s="157" t="s">
        <v>8301</v>
      </c>
      <c r="K2439" s="157" t="s">
        <v>1312</v>
      </c>
      <c r="L2439" s="157" t="s">
        <v>9610</v>
      </c>
      <c r="M2439" s="157" t="str">
        <f t="shared" si="52"/>
        <v>Ultrasonic Sensor FR - Short Range Distance Measurement</v>
      </c>
      <c r="N2439" s="157"/>
      <c r="O2439" s="157"/>
      <c r="P2439" s="159" t="s">
        <v>3522</v>
      </c>
      <c r="Q2439" s="157" t="s">
        <v>2115</v>
      </c>
      <c r="R2439" s="157" t="s">
        <v>2145</v>
      </c>
      <c r="S2439" s="157" t="s">
        <v>8584</v>
      </c>
      <c r="T2439" s="157"/>
      <c r="U2439" s="159" t="s">
        <v>2129</v>
      </c>
      <c r="V2439" s="159" t="s">
        <v>2138</v>
      </c>
      <c r="W2439" s="159" t="s">
        <v>2138</v>
      </c>
      <c r="X2439" s="160">
        <v>0.05</v>
      </c>
      <c r="Y2439" s="160">
        <v>0</v>
      </c>
      <c r="Z2439" s="160">
        <v>0.05</v>
      </c>
      <c r="AA2439" s="160">
        <v>0</v>
      </c>
    </row>
    <row r="2440" spans="1:27" ht="18" customHeight="1" x14ac:dyDescent="0.25">
      <c r="A2440" s="159">
        <v>7036</v>
      </c>
      <c r="B2440" s="157" t="s">
        <v>266</v>
      </c>
      <c r="C2440" s="157" t="s">
        <v>294</v>
      </c>
      <c r="D2440" s="159" t="s">
        <v>1207</v>
      </c>
      <c r="E2440" s="157" t="s">
        <v>1205</v>
      </c>
      <c r="F2440" s="157"/>
      <c r="G2440" s="157" t="s">
        <v>1349</v>
      </c>
      <c r="H2440" s="157" t="s">
        <v>1418</v>
      </c>
      <c r="I2440" s="157" t="s">
        <v>1559</v>
      </c>
      <c r="J2440" s="157" t="s">
        <v>8301</v>
      </c>
      <c r="K2440" s="157" t="s">
        <v>1312</v>
      </c>
      <c r="L2440" s="157" t="s">
        <v>9610</v>
      </c>
      <c r="M2440" s="157" t="str">
        <f t="shared" si="52"/>
        <v>Ultrasonic Sensor FR - Short Range Distance Measurement</v>
      </c>
      <c r="N2440" s="157"/>
      <c r="O2440" s="157"/>
      <c r="P2440" s="159" t="s">
        <v>3522</v>
      </c>
      <c r="Q2440" s="157" t="s">
        <v>2115</v>
      </c>
      <c r="R2440" s="157" t="s">
        <v>2145</v>
      </c>
      <c r="S2440" s="157" t="s">
        <v>8584</v>
      </c>
      <c r="T2440" s="157"/>
      <c r="U2440" s="159" t="s">
        <v>2129</v>
      </c>
      <c r="V2440" s="159" t="s">
        <v>2138</v>
      </c>
      <c r="W2440" s="159" t="s">
        <v>2138</v>
      </c>
      <c r="X2440" s="160">
        <v>0.05</v>
      </c>
      <c r="Y2440" s="160">
        <v>0</v>
      </c>
      <c r="Z2440" s="160">
        <v>0.05</v>
      </c>
      <c r="AA2440" s="160">
        <v>0</v>
      </c>
    </row>
    <row r="2441" spans="1:27" ht="18" customHeight="1" x14ac:dyDescent="0.25">
      <c r="A2441" s="159">
        <v>7037</v>
      </c>
      <c r="B2441" s="157" t="s">
        <v>266</v>
      </c>
      <c r="C2441" s="157" t="s">
        <v>294</v>
      </c>
      <c r="D2441" s="159" t="s">
        <v>297</v>
      </c>
      <c r="E2441" s="157" t="s">
        <v>295</v>
      </c>
      <c r="F2441" s="157"/>
      <c r="G2441" s="157" t="s">
        <v>1349</v>
      </c>
      <c r="H2441" s="157" t="s">
        <v>1418</v>
      </c>
      <c r="I2441" s="157" t="s">
        <v>1559</v>
      </c>
      <c r="J2441" s="157" t="s">
        <v>8301</v>
      </c>
      <c r="K2441" s="157" t="s">
        <v>1312</v>
      </c>
      <c r="L2441" s="157" t="s">
        <v>9611</v>
      </c>
      <c r="M2441" s="157" t="str">
        <f t="shared" si="52"/>
        <v>Ultrasonic Sensor FSR - Short Range Distance Measurement</v>
      </c>
      <c r="N2441" s="157"/>
      <c r="O2441" s="157"/>
      <c r="P2441" s="159" t="s">
        <v>3040</v>
      </c>
      <c r="Q2441" s="157" t="s">
        <v>2115</v>
      </c>
      <c r="R2441" s="157" t="s">
        <v>2145</v>
      </c>
      <c r="S2441" s="157" t="s">
        <v>8584</v>
      </c>
      <c r="T2441" s="157"/>
      <c r="U2441" s="159" t="s">
        <v>2129</v>
      </c>
      <c r="V2441" s="159" t="s">
        <v>2138</v>
      </c>
      <c r="W2441" s="159" t="s">
        <v>2138</v>
      </c>
      <c r="X2441" s="160">
        <v>0.05</v>
      </c>
      <c r="Y2441" s="160">
        <v>0</v>
      </c>
      <c r="Z2441" s="160">
        <v>0.05</v>
      </c>
      <c r="AA2441" s="160">
        <v>0</v>
      </c>
    </row>
    <row r="2442" spans="1:27" ht="18" customHeight="1" x14ac:dyDescent="0.25">
      <c r="A2442" s="159">
        <v>7037</v>
      </c>
      <c r="B2442" s="157" t="s">
        <v>266</v>
      </c>
      <c r="C2442" s="157" t="s">
        <v>294</v>
      </c>
      <c r="D2442" s="159" t="s">
        <v>503</v>
      </c>
      <c r="E2442" s="157" t="s">
        <v>501</v>
      </c>
      <c r="F2442" s="157"/>
      <c r="G2442" s="157" t="s">
        <v>1349</v>
      </c>
      <c r="H2442" s="157" t="s">
        <v>1418</v>
      </c>
      <c r="I2442" s="157" t="s">
        <v>1559</v>
      </c>
      <c r="J2442" s="157" t="s">
        <v>8301</v>
      </c>
      <c r="K2442" s="157" t="s">
        <v>1312</v>
      </c>
      <c r="L2442" s="157" t="s">
        <v>9611</v>
      </c>
      <c r="M2442" s="157" t="str">
        <f t="shared" ref="M2442:M2505" si="53">CONCATENATE(L2442," - ",I2442)</f>
        <v>Ultrasonic Sensor FSR - Short Range Distance Measurement</v>
      </c>
      <c r="N2442" s="157"/>
      <c r="O2442" s="157"/>
      <c r="P2442" s="159" t="s">
        <v>3040</v>
      </c>
      <c r="Q2442" s="157" t="s">
        <v>2115</v>
      </c>
      <c r="R2442" s="157" t="s">
        <v>2145</v>
      </c>
      <c r="S2442" s="157" t="s">
        <v>8584</v>
      </c>
      <c r="T2442" s="157"/>
      <c r="U2442" s="159" t="s">
        <v>2129</v>
      </c>
      <c r="V2442" s="159" t="s">
        <v>2129</v>
      </c>
      <c r="W2442" s="159" t="s">
        <v>2138</v>
      </c>
      <c r="X2442" s="160">
        <v>0.05</v>
      </c>
      <c r="Y2442" s="160">
        <v>0</v>
      </c>
      <c r="Z2442" s="160">
        <v>0.05</v>
      </c>
      <c r="AA2442" s="160">
        <v>0</v>
      </c>
    </row>
    <row r="2443" spans="1:27" ht="18" customHeight="1" x14ac:dyDescent="0.25">
      <c r="A2443" s="159">
        <v>7037</v>
      </c>
      <c r="B2443" s="157" t="s">
        <v>266</v>
      </c>
      <c r="C2443" s="157" t="s">
        <v>294</v>
      </c>
      <c r="D2443" s="159" t="s">
        <v>692</v>
      </c>
      <c r="E2443" s="157" t="s">
        <v>690</v>
      </c>
      <c r="F2443" s="157"/>
      <c r="G2443" s="157" t="s">
        <v>1349</v>
      </c>
      <c r="H2443" s="157" t="s">
        <v>1418</v>
      </c>
      <c r="I2443" s="157" t="s">
        <v>1559</v>
      </c>
      <c r="J2443" s="157" t="s">
        <v>8301</v>
      </c>
      <c r="K2443" s="157" t="s">
        <v>1312</v>
      </c>
      <c r="L2443" s="157" t="s">
        <v>9611</v>
      </c>
      <c r="M2443" s="157" t="str">
        <f t="shared" si="53"/>
        <v>Ultrasonic Sensor FSR - Short Range Distance Measurement</v>
      </c>
      <c r="N2443" s="157"/>
      <c r="O2443" s="157"/>
      <c r="P2443" s="159" t="s">
        <v>3040</v>
      </c>
      <c r="Q2443" s="157" t="s">
        <v>2115</v>
      </c>
      <c r="R2443" s="157" t="s">
        <v>2145</v>
      </c>
      <c r="S2443" s="157" t="s">
        <v>8584</v>
      </c>
      <c r="T2443" s="157"/>
      <c r="U2443" s="159" t="s">
        <v>2129</v>
      </c>
      <c r="V2443" s="159" t="s">
        <v>2129</v>
      </c>
      <c r="W2443" s="159" t="s">
        <v>2138</v>
      </c>
      <c r="X2443" s="160">
        <v>0.05</v>
      </c>
      <c r="Y2443" s="160">
        <v>0</v>
      </c>
      <c r="Z2443" s="160">
        <v>0.05</v>
      </c>
      <c r="AA2443" s="160">
        <v>0</v>
      </c>
    </row>
    <row r="2444" spans="1:27" ht="18" customHeight="1" x14ac:dyDescent="0.25">
      <c r="A2444" s="159">
        <v>7037</v>
      </c>
      <c r="B2444" s="157" t="s">
        <v>266</v>
      </c>
      <c r="C2444" s="157" t="s">
        <v>294</v>
      </c>
      <c r="D2444" s="159" t="s">
        <v>1177</v>
      </c>
      <c r="E2444" s="157" t="s">
        <v>1175</v>
      </c>
      <c r="F2444" s="157"/>
      <c r="G2444" s="157" t="s">
        <v>1349</v>
      </c>
      <c r="H2444" s="157" t="s">
        <v>1418</v>
      </c>
      <c r="I2444" s="157" t="s">
        <v>1559</v>
      </c>
      <c r="J2444" s="157" t="s">
        <v>8301</v>
      </c>
      <c r="K2444" s="157" t="s">
        <v>1312</v>
      </c>
      <c r="L2444" s="157" t="s">
        <v>9611</v>
      </c>
      <c r="M2444" s="157" t="str">
        <f t="shared" si="53"/>
        <v>Ultrasonic Sensor FSR - Short Range Distance Measurement</v>
      </c>
      <c r="N2444" s="157"/>
      <c r="O2444" s="157"/>
      <c r="P2444" s="159" t="s">
        <v>3040</v>
      </c>
      <c r="Q2444" s="157" t="s">
        <v>2115</v>
      </c>
      <c r="R2444" s="157" t="s">
        <v>2145</v>
      </c>
      <c r="S2444" s="157" t="s">
        <v>8584</v>
      </c>
      <c r="T2444" s="157"/>
      <c r="U2444" s="159" t="s">
        <v>2129</v>
      </c>
      <c r="V2444" s="159" t="s">
        <v>2129</v>
      </c>
      <c r="W2444" s="159" t="s">
        <v>2138</v>
      </c>
      <c r="X2444" s="160">
        <v>0.05</v>
      </c>
      <c r="Y2444" s="160">
        <v>0</v>
      </c>
      <c r="Z2444" s="160">
        <v>0.05</v>
      </c>
      <c r="AA2444" s="160">
        <v>0</v>
      </c>
    </row>
    <row r="2445" spans="1:27" ht="18" customHeight="1" x14ac:dyDescent="0.25">
      <c r="A2445" s="159">
        <v>7037</v>
      </c>
      <c r="B2445" s="157" t="s">
        <v>266</v>
      </c>
      <c r="C2445" s="157" t="s">
        <v>294</v>
      </c>
      <c r="D2445" s="159" t="s">
        <v>1178</v>
      </c>
      <c r="E2445" s="157" t="s">
        <v>1179</v>
      </c>
      <c r="F2445" s="157"/>
      <c r="G2445" s="157" t="s">
        <v>1349</v>
      </c>
      <c r="H2445" s="157" t="s">
        <v>1418</v>
      </c>
      <c r="I2445" s="157" t="s">
        <v>1559</v>
      </c>
      <c r="J2445" s="157" t="s">
        <v>8301</v>
      </c>
      <c r="K2445" s="157" t="s">
        <v>1312</v>
      </c>
      <c r="L2445" s="157" t="s">
        <v>9611</v>
      </c>
      <c r="M2445" s="157" t="str">
        <f t="shared" si="53"/>
        <v>Ultrasonic Sensor FSR - Short Range Distance Measurement</v>
      </c>
      <c r="N2445" s="157"/>
      <c r="O2445" s="157"/>
      <c r="P2445" s="159" t="s">
        <v>3040</v>
      </c>
      <c r="Q2445" s="157" t="s">
        <v>2115</v>
      </c>
      <c r="R2445" s="157" t="s">
        <v>2145</v>
      </c>
      <c r="S2445" s="157" t="s">
        <v>8584</v>
      </c>
      <c r="T2445" s="157"/>
      <c r="U2445" s="159" t="s">
        <v>2129</v>
      </c>
      <c r="V2445" s="159" t="s">
        <v>2138</v>
      </c>
      <c r="W2445" s="159" t="s">
        <v>2138</v>
      </c>
      <c r="X2445" s="160">
        <v>0.05</v>
      </c>
      <c r="Y2445" s="160">
        <v>0</v>
      </c>
      <c r="Z2445" s="160">
        <v>0.05</v>
      </c>
      <c r="AA2445" s="160">
        <v>0</v>
      </c>
    </row>
    <row r="2446" spans="1:27" ht="18" customHeight="1" x14ac:dyDescent="0.25">
      <c r="A2446" s="159">
        <v>7037</v>
      </c>
      <c r="B2446" s="157" t="s">
        <v>266</v>
      </c>
      <c r="C2446" s="157" t="s">
        <v>294</v>
      </c>
      <c r="D2446" s="159" t="s">
        <v>1207</v>
      </c>
      <c r="E2446" s="157" t="s">
        <v>1205</v>
      </c>
      <c r="F2446" s="157"/>
      <c r="G2446" s="157" t="s">
        <v>1349</v>
      </c>
      <c r="H2446" s="157" t="s">
        <v>1418</v>
      </c>
      <c r="I2446" s="157" t="s">
        <v>1559</v>
      </c>
      <c r="J2446" s="157" t="s">
        <v>8301</v>
      </c>
      <c r="K2446" s="157" t="s">
        <v>1312</v>
      </c>
      <c r="L2446" s="157" t="s">
        <v>9611</v>
      </c>
      <c r="M2446" s="157" t="str">
        <f t="shared" si="53"/>
        <v>Ultrasonic Sensor FSR - Short Range Distance Measurement</v>
      </c>
      <c r="N2446" s="157"/>
      <c r="O2446" s="157"/>
      <c r="P2446" s="159" t="s">
        <v>3040</v>
      </c>
      <c r="Q2446" s="157" t="s">
        <v>2115</v>
      </c>
      <c r="R2446" s="157" t="s">
        <v>2145</v>
      </c>
      <c r="S2446" s="157" t="s">
        <v>8584</v>
      </c>
      <c r="T2446" s="157"/>
      <c r="U2446" s="159" t="s">
        <v>2129</v>
      </c>
      <c r="V2446" s="159" t="s">
        <v>2138</v>
      </c>
      <c r="W2446" s="159" t="s">
        <v>2138</v>
      </c>
      <c r="X2446" s="160">
        <v>0.05</v>
      </c>
      <c r="Y2446" s="160">
        <v>0</v>
      </c>
      <c r="Z2446" s="160">
        <v>0.05</v>
      </c>
      <c r="AA2446" s="160">
        <v>0</v>
      </c>
    </row>
    <row r="2447" spans="1:27" ht="18" customHeight="1" x14ac:dyDescent="0.25">
      <c r="A2447" s="159">
        <v>7038</v>
      </c>
      <c r="B2447" s="157" t="s">
        <v>266</v>
      </c>
      <c r="C2447" s="157" t="s">
        <v>294</v>
      </c>
      <c r="D2447" s="159" t="s">
        <v>298</v>
      </c>
      <c r="E2447" s="157" t="s">
        <v>299</v>
      </c>
      <c r="F2447" s="157"/>
      <c r="G2447" s="157" t="s">
        <v>1349</v>
      </c>
      <c r="H2447" s="157" t="s">
        <v>1418</v>
      </c>
      <c r="I2447" s="157" t="s">
        <v>1559</v>
      </c>
      <c r="J2447" s="157" t="s">
        <v>8301</v>
      </c>
      <c r="K2447" s="157" t="s">
        <v>1312</v>
      </c>
      <c r="L2447" s="157" t="s">
        <v>9612</v>
      </c>
      <c r="M2447" s="157" t="str">
        <f t="shared" si="53"/>
        <v>Ultrasonic Sensor RSL - Short Range Distance Measurement</v>
      </c>
      <c r="N2447" s="157"/>
      <c r="O2447" s="157"/>
      <c r="P2447" s="159" t="s">
        <v>8002</v>
      </c>
      <c r="Q2447" s="157" t="s">
        <v>2115</v>
      </c>
      <c r="R2447" s="157" t="s">
        <v>2145</v>
      </c>
      <c r="S2447" s="157" t="s">
        <v>8584</v>
      </c>
      <c r="T2447" s="157"/>
      <c r="U2447" s="159" t="s">
        <v>2138</v>
      </c>
      <c r="V2447" s="159" t="s">
        <v>2138</v>
      </c>
      <c r="W2447" s="159" t="s">
        <v>2138</v>
      </c>
      <c r="X2447" s="160">
        <v>0.05</v>
      </c>
      <c r="Y2447" s="160">
        <v>0</v>
      </c>
      <c r="Z2447" s="160">
        <v>0.05</v>
      </c>
      <c r="AA2447" s="160">
        <v>0</v>
      </c>
    </row>
    <row r="2448" spans="1:27" ht="18" customHeight="1" x14ac:dyDescent="0.25">
      <c r="A2448" s="159">
        <v>7038</v>
      </c>
      <c r="B2448" s="157" t="s">
        <v>266</v>
      </c>
      <c r="C2448" s="157" t="s">
        <v>294</v>
      </c>
      <c r="D2448" s="159" t="s">
        <v>503</v>
      </c>
      <c r="E2448" s="157" t="s">
        <v>501</v>
      </c>
      <c r="F2448" s="157"/>
      <c r="G2448" s="157" t="s">
        <v>1349</v>
      </c>
      <c r="H2448" s="157" t="s">
        <v>1418</v>
      </c>
      <c r="I2448" s="157" t="s">
        <v>1559</v>
      </c>
      <c r="J2448" s="157" t="s">
        <v>8301</v>
      </c>
      <c r="K2448" s="157" t="s">
        <v>1312</v>
      </c>
      <c r="L2448" s="157" t="s">
        <v>9612</v>
      </c>
      <c r="M2448" s="157" t="str">
        <f t="shared" si="53"/>
        <v>Ultrasonic Sensor RSL - Short Range Distance Measurement</v>
      </c>
      <c r="N2448" s="157"/>
      <c r="O2448" s="157"/>
      <c r="P2448" s="159" t="s">
        <v>8002</v>
      </c>
      <c r="Q2448" s="157" t="s">
        <v>2115</v>
      </c>
      <c r="R2448" s="157" t="s">
        <v>2145</v>
      </c>
      <c r="S2448" s="157" t="s">
        <v>8584</v>
      </c>
      <c r="T2448" s="157"/>
      <c r="U2448" s="159" t="s">
        <v>2129</v>
      </c>
      <c r="V2448" s="159" t="s">
        <v>2129</v>
      </c>
      <c r="W2448" s="159" t="s">
        <v>2138</v>
      </c>
      <c r="X2448" s="160">
        <v>0.05</v>
      </c>
      <c r="Y2448" s="160">
        <v>0</v>
      </c>
      <c r="Z2448" s="160">
        <v>0.05</v>
      </c>
      <c r="AA2448" s="160">
        <v>0</v>
      </c>
    </row>
    <row r="2449" spans="1:27" ht="18" customHeight="1" x14ac:dyDescent="0.25">
      <c r="A2449" s="159">
        <v>7038</v>
      </c>
      <c r="B2449" s="157" t="s">
        <v>266</v>
      </c>
      <c r="C2449" s="157" t="s">
        <v>294</v>
      </c>
      <c r="D2449" s="159" t="s">
        <v>692</v>
      </c>
      <c r="E2449" s="157" t="s">
        <v>690</v>
      </c>
      <c r="F2449" s="157"/>
      <c r="G2449" s="157" t="s">
        <v>1349</v>
      </c>
      <c r="H2449" s="157" t="s">
        <v>1418</v>
      </c>
      <c r="I2449" s="157" t="s">
        <v>1559</v>
      </c>
      <c r="J2449" s="157" t="s">
        <v>8301</v>
      </c>
      <c r="K2449" s="157" t="s">
        <v>1312</v>
      </c>
      <c r="L2449" s="157" t="s">
        <v>9612</v>
      </c>
      <c r="M2449" s="157" t="str">
        <f t="shared" si="53"/>
        <v>Ultrasonic Sensor RSL - Short Range Distance Measurement</v>
      </c>
      <c r="N2449" s="157"/>
      <c r="O2449" s="157"/>
      <c r="P2449" s="159" t="s">
        <v>8002</v>
      </c>
      <c r="Q2449" s="157" t="s">
        <v>2115</v>
      </c>
      <c r="R2449" s="157" t="s">
        <v>2145</v>
      </c>
      <c r="S2449" s="157" t="s">
        <v>8584</v>
      </c>
      <c r="T2449" s="157"/>
      <c r="U2449" s="159" t="s">
        <v>2129</v>
      </c>
      <c r="V2449" s="159" t="s">
        <v>2129</v>
      </c>
      <c r="W2449" s="159" t="s">
        <v>2138</v>
      </c>
      <c r="X2449" s="160">
        <v>0.05</v>
      </c>
      <c r="Y2449" s="160">
        <v>0</v>
      </c>
      <c r="Z2449" s="160">
        <v>0.05</v>
      </c>
      <c r="AA2449" s="160">
        <v>0</v>
      </c>
    </row>
    <row r="2450" spans="1:27" ht="18" customHeight="1" x14ac:dyDescent="0.25">
      <c r="A2450" s="159">
        <v>7038</v>
      </c>
      <c r="B2450" s="157" t="s">
        <v>266</v>
      </c>
      <c r="C2450" s="157" t="s">
        <v>294</v>
      </c>
      <c r="D2450" s="159" t="s">
        <v>1177</v>
      </c>
      <c r="E2450" s="157" t="s">
        <v>1175</v>
      </c>
      <c r="F2450" s="157"/>
      <c r="G2450" s="157" t="s">
        <v>1349</v>
      </c>
      <c r="H2450" s="157" t="s">
        <v>1418</v>
      </c>
      <c r="I2450" s="157" t="s">
        <v>1559</v>
      </c>
      <c r="J2450" s="157" t="s">
        <v>8301</v>
      </c>
      <c r="K2450" s="157" t="s">
        <v>1312</v>
      </c>
      <c r="L2450" s="157" t="s">
        <v>9612</v>
      </c>
      <c r="M2450" s="157" t="str">
        <f t="shared" si="53"/>
        <v>Ultrasonic Sensor RSL - Short Range Distance Measurement</v>
      </c>
      <c r="N2450" s="157"/>
      <c r="O2450" s="157"/>
      <c r="P2450" s="159" t="s">
        <v>8002</v>
      </c>
      <c r="Q2450" s="157" t="s">
        <v>2115</v>
      </c>
      <c r="R2450" s="157" t="s">
        <v>2145</v>
      </c>
      <c r="S2450" s="157" t="s">
        <v>8584</v>
      </c>
      <c r="T2450" s="157"/>
      <c r="U2450" s="159" t="s">
        <v>2129</v>
      </c>
      <c r="V2450" s="159" t="s">
        <v>2129</v>
      </c>
      <c r="W2450" s="159" t="s">
        <v>2138</v>
      </c>
      <c r="X2450" s="160">
        <v>0.05</v>
      </c>
      <c r="Y2450" s="160">
        <v>0</v>
      </c>
      <c r="Z2450" s="160">
        <v>0.05</v>
      </c>
      <c r="AA2450" s="160">
        <v>0</v>
      </c>
    </row>
    <row r="2451" spans="1:27" ht="18" customHeight="1" x14ac:dyDescent="0.25">
      <c r="A2451" s="159">
        <v>7038</v>
      </c>
      <c r="B2451" s="157" t="s">
        <v>266</v>
      </c>
      <c r="C2451" s="157" t="s">
        <v>294</v>
      </c>
      <c r="D2451" s="159" t="s">
        <v>1178</v>
      </c>
      <c r="E2451" s="157" t="s">
        <v>1179</v>
      </c>
      <c r="F2451" s="157"/>
      <c r="G2451" s="157" t="s">
        <v>1349</v>
      </c>
      <c r="H2451" s="157" t="s">
        <v>1418</v>
      </c>
      <c r="I2451" s="157" t="s">
        <v>1559</v>
      </c>
      <c r="J2451" s="157" t="s">
        <v>8301</v>
      </c>
      <c r="K2451" s="157" t="s">
        <v>1312</v>
      </c>
      <c r="L2451" s="157" t="s">
        <v>9612</v>
      </c>
      <c r="M2451" s="157" t="str">
        <f t="shared" si="53"/>
        <v>Ultrasonic Sensor RSL - Short Range Distance Measurement</v>
      </c>
      <c r="N2451" s="157"/>
      <c r="O2451" s="157"/>
      <c r="P2451" s="159" t="s">
        <v>8002</v>
      </c>
      <c r="Q2451" s="157" t="s">
        <v>2115</v>
      </c>
      <c r="R2451" s="157" t="s">
        <v>2145</v>
      </c>
      <c r="S2451" s="157" t="s">
        <v>8584</v>
      </c>
      <c r="T2451" s="157"/>
      <c r="U2451" s="159" t="s">
        <v>2129</v>
      </c>
      <c r="V2451" s="159" t="s">
        <v>2138</v>
      </c>
      <c r="W2451" s="159" t="s">
        <v>2138</v>
      </c>
      <c r="X2451" s="160">
        <v>0.05</v>
      </c>
      <c r="Y2451" s="160">
        <v>0</v>
      </c>
      <c r="Z2451" s="160">
        <v>0.05</v>
      </c>
      <c r="AA2451" s="160">
        <v>0</v>
      </c>
    </row>
    <row r="2452" spans="1:27" ht="18" customHeight="1" x14ac:dyDescent="0.25">
      <c r="A2452" s="159">
        <v>7038</v>
      </c>
      <c r="B2452" s="157" t="s">
        <v>266</v>
      </c>
      <c r="C2452" s="157" t="s">
        <v>294</v>
      </c>
      <c r="D2452" s="159" t="s">
        <v>1207</v>
      </c>
      <c r="E2452" s="157" t="s">
        <v>1205</v>
      </c>
      <c r="F2452" s="157"/>
      <c r="G2452" s="157" t="s">
        <v>1349</v>
      </c>
      <c r="H2452" s="157" t="s">
        <v>1418</v>
      </c>
      <c r="I2452" s="157" t="s">
        <v>1559</v>
      </c>
      <c r="J2452" s="157" t="s">
        <v>8301</v>
      </c>
      <c r="K2452" s="157" t="s">
        <v>1312</v>
      </c>
      <c r="L2452" s="157" t="s">
        <v>9612</v>
      </c>
      <c r="M2452" s="157" t="str">
        <f t="shared" si="53"/>
        <v>Ultrasonic Sensor RSL - Short Range Distance Measurement</v>
      </c>
      <c r="N2452" s="157"/>
      <c r="O2452" s="157"/>
      <c r="P2452" s="159" t="s">
        <v>8002</v>
      </c>
      <c r="Q2452" s="157" t="s">
        <v>2115</v>
      </c>
      <c r="R2452" s="157" t="s">
        <v>2145</v>
      </c>
      <c r="S2452" s="157" t="s">
        <v>8584</v>
      </c>
      <c r="T2452" s="157"/>
      <c r="U2452" s="159" t="s">
        <v>2129</v>
      </c>
      <c r="V2452" s="159" t="s">
        <v>2138</v>
      </c>
      <c r="W2452" s="159" t="s">
        <v>2138</v>
      </c>
      <c r="X2452" s="160">
        <v>0.05</v>
      </c>
      <c r="Y2452" s="160">
        <v>0</v>
      </c>
      <c r="Z2452" s="160">
        <v>0.05</v>
      </c>
      <c r="AA2452" s="160">
        <v>0</v>
      </c>
    </row>
    <row r="2453" spans="1:27" ht="18" customHeight="1" x14ac:dyDescent="0.25">
      <c r="A2453" s="159">
        <v>7045</v>
      </c>
      <c r="B2453" s="157" t="s">
        <v>266</v>
      </c>
      <c r="C2453" s="157" t="s">
        <v>276</v>
      </c>
      <c r="D2453" s="159" t="s">
        <v>726</v>
      </c>
      <c r="E2453" s="157" t="s">
        <v>724</v>
      </c>
      <c r="F2453" s="157"/>
      <c r="G2453" s="157" t="s">
        <v>1349</v>
      </c>
      <c r="H2453" s="157" t="s">
        <v>1418</v>
      </c>
      <c r="I2453" s="157" t="s">
        <v>1769</v>
      </c>
      <c r="J2453" s="157" t="s">
        <v>8304</v>
      </c>
      <c r="K2453" s="157" t="s">
        <v>1615</v>
      </c>
      <c r="L2453" s="157" t="s">
        <v>1911</v>
      </c>
      <c r="M2453" s="157" t="str">
        <f t="shared" si="53"/>
        <v>Front Lidar - Long Range Distance Measurement</v>
      </c>
      <c r="N2453" s="157"/>
      <c r="O2453" s="157"/>
      <c r="P2453" s="159" t="s">
        <v>3539</v>
      </c>
      <c r="Q2453" s="157" t="s">
        <v>2115</v>
      </c>
      <c r="R2453" s="157" t="s">
        <v>8599</v>
      </c>
      <c r="S2453" s="157" t="s">
        <v>8612</v>
      </c>
      <c r="T2453" s="157"/>
      <c r="U2453" s="159" t="s">
        <v>2129</v>
      </c>
      <c r="V2453" s="159" t="s">
        <v>2129</v>
      </c>
      <c r="W2453" s="159" t="s">
        <v>2138</v>
      </c>
      <c r="X2453" s="160">
        <v>1</v>
      </c>
      <c r="Y2453" s="160">
        <v>1</v>
      </c>
      <c r="Z2453" s="160">
        <v>1</v>
      </c>
      <c r="AA2453" s="160">
        <v>1</v>
      </c>
    </row>
    <row r="2454" spans="1:27" ht="18" customHeight="1" x14ac:dyDescent="0.25">
      <c r="A2454" s="159">
        <v>7045</v>
      </c>
      <c r="B2454" s="157" t="s">
        <v>266</v>
      </c>
      <c r="C2454" s="157" t="s">
        <v>294</v>
      </c>
      <c r="D2454" s="159" t="s">
        <v>297</v>
      </c>
      <c r="E2454" s="157" t="s">
        <v>295</v>
      </c>
      <c r="F2454" s="157"/>
      <c r="G2454" s="157" t="s">
        <v>1349</v>
      </c>
      <c r="H2454" s="157" t="s">
        <v>1418</v>
      </c>
      <c r="I2454" s="157" t="s">
        <v>1769</v>
      </c>
      <c r="J2454" s="157" t="s">
        <v>8304</v>
      </c>
      <c r="K2454" s="157" t="s">
        <v>1615</v>
      </c>
      <c r="L2454" s="157" t="s">
        <v>1911</v>
      </c>
      <c r="M2454" s="157" t="str">
        <f t="shared" si="53"/>
        <v>Front Lidar - Long Range Distance Measurement</v>
      </c>
      <c r="N2454" s="157"/>
      <c r="O2454" s="157"/>
      <c r="P2454" s="159" t="s">
        <v>3539</v>
      </c>
      <c r="Q2454" s="157" t="s">
        <v>2115</v>
      </c>
      <c r="R2454" s="157" t="s">
        <v>8599</v>
      </c>
      <c r="S2454" s="157" t="s">
        <v>8612</v>
      </c>
      <c r="T2454" s="157"/>
      <c r="U2454" s="159" t="s">
        <v>2129</v>
      </c>
      <c r="V2454" s="159" t="s">
        <v>2129</v>
      </c>
      <c r="W2454" s="159" t="s">
        <v>2138</v>
      </c>
      <c r="X2454" s="160">
        <v>1</v>
      </c>
      <c r="Y2454" s="160">
        <v>1</v>
      </c>
      <c r="Z2454" s="160">
        <v>1</v>
      </c>
      <c r="AA2454" s="160">
        <v>1</v>
      </c>
    </row>
    <row r="2455" spans="1:27" ht="18" customHeight="1" x14ac:dyDescent="0.25">
      <c r="A2455" s="159">
        <v>7045</v>
      </c>
      <c r="B2455" s="157" t="s">
        <v>266</v>
      </c>
      <c r="C2455" s="157" t="s">
        <v>294</v>
      </c>
      <c r="D2455" s="159" t="s">
        <v>298</v>
      </c>
      <c r="E2455" s="157" t="s">
        <v>299</v>
      </c>
      <c r="F2455" s="157"/>
      <c r="G2455" s="157" t="s">
        <v>1349</v>
      </c>
      <c r="H2455" s="157" t="s">
        <v>1418</v>
      </c>
      <c r="I2455" s="157" t="s">
        <v>1769</v>
      </c>
      <c r="J2455" s="157" t="s">
        <v>8304</v>
      </c>
      <c r="K2455" s="157" t="s">
        <v>1615</v>
      </c>
      <c r="L2455" s="157" t="s">
        <v>1911</v>
      </c>
      <c r="M2455" s="157" t="str">
        <f t="shared" si="53"/>
        <v>Front Lidar - Long Range Distance Measurement</v>
      </c>
      <c r="N2455" s="157"/>
      <c r="O2455" s="157"/>
      <c r="P2455" s="159" t="s">
        <v>3539</v>
      </c>
      <c r="Q2455" s="157" t="s">
        <v>2115</v>
      </c>
      <c r="R2455" s="157" t="s">
        <v>8599</v>
      </c>
      <c r="S2455" s="157" t="s">
        <v>8612</v>
      </c>
      <c r="T2455" s="157"/>
      <c r="U2455" s="159" t="s">
        <v>2129</v>
      </c>
      <c r="V2455" s="159" t="s">
        <v>2129</v>
      </c>
      <c r="W2455" s="159" t="s">
        <v>2138</v>
      </c>
      <c r="X2455" s="160">
        <v>1</v>
      </c>
      <c r="Y2455" s="160">
        <v>1</v>
      </c>
      <c r="Z2455" s="160">
        <v>1</v>
      </c>
      <c r="AA2455" s="160">
        <v>1</v>
      </c>
    </row>
    <row r="2456" spans="1:27" ht="18" customHeight="1" x14ac:dyDescent="0.25">
      <c r="A2456" s="159">
        <v>7045</v>
      </c>
      <c r="B2456" s="157" t="s">
        <v>266</v>
      </c>
      <c r="C2456" s="157" t="s">
        <v>294</v>
      </c>
      <c r="D2456" s="159" t="s">
        <v>503</v>
      </c>
      <c r="E2456" s="157" t="s">
        <v>501</v>
      </c>
      <c r="F2456" s="157"/>
      <c r="G2456" s="157" t="s">
        <v>1349</v>
      </c>
      <c r="H2456" s="157" t="s">
        <v>1418</v>
      </c>
      <c r="I2456" s="157" t="s">
        <v>1769</v>
      </c>
      <c r="J2456" s="157" t="s">
        <v>8304</v>
      </c>
      <c r="K2456" s="157" t="s">
        <v>1615</v>
      </c>
      <c r="L2456" s="157" t="s">
        <v>1911</v>
      </c>
      <c r="M2456" s="157" t="str">
        <f t="shared" si="53"/>
        <v>Front Lidar - Long Range Distance Measurement</v>
      </c>
      <c r="N2456" s="157"/>
      <c r="O2456" s="157"/>
      <c r="P2456" s="159" t="s">
        <v>3539</v>
      </c>
      <c r="Q2456" s="157" t="s">
        <v>2115</v>
      </c>
      <c r="R2456" s="157" t="s">
        <v>8599</v>
      </c>
      <c r="S2456" s="157" t="s">
        <v>8612</v>
      </c>
      <c r="T2456" s="157"/>
      <c r="U2456" s="159" t="s">
        <v>2129</v>
      </c>
      <c r="V2456" s="159" t="s">
        <v>2129</v>
      </c>
      <c r="W2456" s="159" t="s">
        <v>2138</v>
      </c>
      <c r="X2456" s="160">
        <v>1</v>
      </c>
      <c r="Y2456" s="160">
        <v>1</v>
      </c>
      <c r="Z2456" s="160">
        <v>1</v>
      </c>
      <c r="AA2456" s="160">
        <v>1</v>
      </c>
    </row>
    <row r="2457" spans="1:27" ht="18" customHeight="1" x14ac:dyDescent="0.25">
      <c r="A2457" s="159">
        <v>7045</v>
      </c>
      <c r="B2457" s="157" t="s">
        <v>266</v>
      </c>
      <c r="C2457" s="157" t="s">
        <v>294</v>
      </c>
      <c r="D2457" s="159" t="s">
        <v>692</v>
      </c>
      <c r="E2457" s="157" t="s">
        <v>690</v>
      </c>
      <c r="F2457" s="157"/>
      <c r="G2457" s="157" t="s">
        <v>1349</v>
      </c>
      <c r="H2457" s="157" t="s">
        <v>1418</v>
      </c>
      <c r="I2457" s="157" t="s">
        <v>1769</v>
      </c>
      <c r="J2457" s="157" t="s">
        <v>8304</v>
      </c>
      <c r="K2457" s="157" t="s">
        <v>1615</v>
      </c>
      <c r="L2457" s="157" t="s">
        <v>1911</v>
      </c>
      <c r="M2457" s="157" t="str">
        <f t="shared" si="53"/>
        <v>Front Lidar - Long Range Distance Measurement</v>
      </c>
      <c r="N2457" s="157"/>
      <c r="O2457" s="157"/>
      <c r="P2457" s="159" t="s">
        <v>3539</v>
      </c>
      <c r="Q2457" s="157" t="s">
        <v>2115</v>
      </c>
      <c r="R2457" s="157" t="s">
        <v>8599</v>
      </c>
      <c r="S2457" s="157" t="s">
        <v>8612</v>
      </c>
      <c r="T2457" s="157"/>
      <c r="U2457" s="159" t="s">
        <v>2129</v>
      </c>
      <c r="V2457" s="159" t="s">
        <v>2129</v>
      </c>
      <c r="W2457" s="159" t="s">
        <v>2138</v>
      </c>
      <c r="X2457" s="160">
        <v>1</v>
      </c>
      <c r="Y2457" s="160">
        <v>1</v>
      </c>
      <c r="Z2457" s="160">
        <v>1</v>
      </c>
      <c r="AA2457" s="160">
        <v>1</v>
      </c>
    </row>
    <row r="2458" spans="1:27" ht="18" customHeight="1" x14ac:dyDescent="0.25">
      <c r="A2458" s="159">
        <v>7045</v>
      </c>
      <c r="B2458" s="157" t="s">
        <v>266</v>
      </c>
      <c r="C2458" s="157" t="s">
        <v>294</v>
      </c>
      <c r="D2458" s="159" t="s">
        <v>1177</v>
      </c>
      <c r="E2458" s="157" t="s">
        <v>1175</v>
      </c>
      <c r="F2458" s="157"/>
      <c r="G2458" s="157" t="s">
        <v>1349</v>
      </c>
      <c r="H2458" s="157" t="s">
        <v>1418</v>
      </c>
      <c r="I2458" s="157" t="s">
        <v>1769</v>
      </c>
      <c r="J2458" s="157" t="s">
        <v>8304</v>
      </c>
      <c r="K2458" s="157" t="s">
        <v>1615</v>
      </c>
      <c r="L2458" s="157" t="s">
        <v>1911</v>
      </c>
      <c r="M2458" s="157" t="str">
        <f t="shared" si="53"/>
        <v>Front Lidar - Long Range Distance Measurement</v>
      </c>
      <c r="N2458" s="157"/>
      <c r="O2458" s="157"/>
      <c r="P2458" s="159" t="s">
        <v>3539</v>
      </c>
      <c r="Q2458" s="157" t="s">
        <v>2115</v>
      </c>
      <c r="R2458" s="157" t="s">
        <v>8599</v>
      </c>
      <c r="S2458" s="157" t="s">
        <v>8612</v>
      </c>
      <c r="T2458" s="157"/>
      <c r="U2458" s="159" t="s">
        <v>2129</v>
      </c>
      <c r="V2458" s="159" t="s">
        <v>2129</v>
      </c>
      <c r="W2458" s="159" t="s">
        <v>2138</v>
      </c>
      <c r="X2458" s="160">
        <v>1</v>
      </c>
      <c r="Y2458" s="160">
        <v>1</v>
      </c>
      <c r="Z2458" s="160">
        <v>1</v>
      </c>
      <c r="AA2458" s="160">
        <v>1</v>
      </c>
    </row>
    <row r="2459" spans="1:27" ht="18" customHeight="1" x14ac:dyDescent="0.25">
      <c r="A2459" s="159">
        <v>7045</v>
      </c>
      <c r="B2459" s="157" t="s">
        <v>266</v>
      </c>
      <c r="C2459" s="157" t="s">
        <v>294</v>
      </c>
      <c r="D2459" s="159" t="s">
        <v>1178</v>
      </c>
      <c r="E2459" s="157" t="s">
        <v>1179</v>
      </c>
      <c r="F2459" s="157"/>
      <c r="G2459" s="157" t="s">
        <v>1349</v>
      </c>
      <c r="H2459" s="157" t="s">
        <v>1418</v>
      </c>
      <c r="I2459" s="157" t="s">
        <v>1769</v>
      </c>
      <c r="J2459" s="157" t="s">
        <v>8304</v>
      </c>
      <c r="K2459" s="157" t="s">
        <v>1615</v>
      </c>
      <c r="L2459" s="157" t="s">
        <v>1911</v>
      </c>
      <c r="M2459" s="157" t="str">
        <f t="shared" si="53"/>
        <v>Front Lidar - Long Range Distance Measurement</v>
      </c>
      <c r="N2459" s="157"/>
      <c r="O2459" s="157"/>
      <c r="P2459" s="159" t="s">
        <v>3539</v>
      </c>
      <c r="Q2459" s="157" t="s">
        <v>2115</v>
      </c>
      <c r="R2459" s="157" t="s">
        <v>8599</v>
      </c>
      <c r="S2459" s="157" t="s">
        <v>8612</v>
      </c>
      <c r="T2459" s="157"/>
      <c r="U2459" s="159" t="s">
        <v>2129</v>
      </c>
      <c r="V2459" s="159" t="s">
        <v>2129</v>
      </c>
      <c r="W2459" s="159" t="s">
        <v>2138</v>
      </c>
      <c r="X2459" s="160">
        <v>1</v>
      </c>
      <c r="Y2459" s="160">
        <v>1</v>
      </c>
      <c r="Z2459" s="160">
        <v>1</v>
      </c>
      <c r="AA2459" s="160">
        <v>1</v>
      </c>
    </row>
    <row r="2460" spans="1:27" ht="18" customHeight="1" x14ac:dyDescent="0.25">
      <c r="A2460" s="159">
        <v>7045</v>
      </c>
      <c r="B2460" s="157" t="s">
        <v>266</v>
      </c>
      <c r="C2460" s="157" t="s">
        <v>294</v>
      </c>
      <c r="D2460" s="159" t="s">
        <v>1207</v>
      </c>
      <c r="E2460" s="157" t="s">
        <v>1205</v>
      </c>
      <c r="F2460" s="157"/>
      <c r="G2460" s="157" t="s">
        <v>1349</v>
      </c>
      <c r="H2460" s="157" t="s">
        <v>1418</v>
      </c>
      <c r="I2460" s="157" t="s">
        <v>1769</v>
      </c>
      <c r="J2460" s="157" t="s">
        <v>8304</v>
      </c>
      <c r="K2460" s="157" t="s">
        <v>1615</v>
      </c>
      <c r="L2460" s="157" t="s">
        <v>1911</v>
      </c>
      <c r="M2460" s="157" t="str">
        <f t="shared" si="53"/>
        <v>Front Lidar - Long Range Distance Measurement</v>
      </c>
      <c r="N2460" s="157"/>
      <c r="O2460" s="157"/>
      <c r="P2460" s="159" t="s">
        <v>3539</v>
      </c>
      <c r="Q2460" s="157" t="s">
        <v>2115</v>
      </c>
      <c r="R2460" s="157" t="s">
        <v>8599</v>
      </c>
      <c r="S2460" s="157" t="s">
        <v>8612</v>
      </c>
      <c r="T2460" s="157"/>
      <c r="U2460" s="159" t="s">
        <v>2129</v>
      </c>
      <c r="V2460" s="159" t="s">
        <v>2129</v>
      </c>
      <c r="W2460" s="159" t="s">
        <v>2138</v>
      </c>
      <c r="X2460" s="160">
        <v>1</v>
      </c>
      <c r="Y2460" s="160">
        <v>1</v>
      </c>
      <c r="Z2460" s="160">
        <v>1</v>
      </c>
      <c r="AA2460" s="160">
        <v>1</v>
      </c>
    </row>
    <row r="2461" spans="1:27" ht="18" customHeight="1" x14ac:dyDescent="0.25">
      <c r="A2461" s="159">
        <v>7045</v>
      </c>
      <c r="B2461" s="157" t="s">
        <v>266</v>
      </c>
      <c r="C2461" s="157" t="s">
        <v>519</v>
      </c>
      <c r="D2461" s="159" t="s">
        <v>522</v>
      </c>
      <c r="E2461" s="157" t="s">
        <v>520</v>
      </c>
      <c r="F2461" s="157"/>
      <c r="G2461" s="157" t="s">
        <v>1349</v>
      </c>
      <c r="H2461" s="157" t="s">
        <v>1418</v>
      </c>
      <c r="I2461" s="157" t="s">
        <v>1769</v>
      </c>
      <c r="J2461" s="157" t="s">
        <v>8304</v>
      </c>
      <c r="K2461" s="157" t="s">
        <v>1615</v>
      </c>
      <c r="L2461" s="157" t="s">
        <v>1911</v>
      </c>
      <c r="M2461" s="157" t="str">
        <f t="shared" si="53"/>
        <v>Front Lidar - Long Range Distance Measurement</v>
      </c>
      <c r="N2461" s="157"/>
      <c r="O2461" s="157"/>
      <c r="P2461" s="159" t="s">
        <v>3539</v>
      </c>
      <c r="Q2461" s="157" t="s">
        <v>2115</v>
      </c>
      <c r="R2461" s="157" t="s">
        <v>8599</v>
      </c>
      <c r="S2461" s="157" t="s">
        <v>8612</v>
      </c>
      <c r="T2461" s="157"/>
      <c r="U2461" s="159" t="s">
        <v>2129</v>
      </c>
      <c r="V2461" s="159" t="s">
        <v>2129</v>
      </c>
      <c r="W2461" s="159" t="s">
        <v>2138</v>
      </c>
      <c r="X2461" s="160">
        <v>1</v>
      </c>
      <c r="Y2461" s="160">
        <v>1</v>
      </c>
      <c r="Z2461" s="160">
        <v>1</v>
      </c>
      <c r="AA2461" s="160">
        <v>1</v>
      </c>
    </row>
    <row r="2462" spans="1:27" ht="18" customHeight="1" x14ac:dyDescent="0.25">
      <c r="A2462" s="159">
        <v>7045</v>
      </c>
      <c r="B2462" s="157" t="s">
        <v>266</v>
      </c>
      <c r="C2462" s="157" t="s">
        <v>519</v>
      </c>
      <c r="D2462" s="159" t="s">
        <v>526</v>
      </c>
      <c r="E2462" s="157" t="s">
        <v>524</v>
      </c>
      <c r="F2462" s="157"/>
      <c r="G2462" s="157" t="s">
        <v>1349</v>
      </c>
      <c r="H2462" s="157" t="s">
        <v>1418</v>
      </c>
      <c r="I2462" s="157" t="s">
        <v>1769</v>
      </c>
      <c r="J2462" s="157" t="s">
        <v>8304</v>
      </c>
      <c r="K2462" s="157" t="s">
        <v>1615</v>
      </c>
      <c r="L2462" s="157" t="s">
        <v>1911</v>
      </c>
      <c r="M2462" s="157" t="str">
        <f t="shared" si="53"/>
        <v>Front Lidar - Long Range Distance Measurement</v>
      </c>
      <c r="N2462" s="157"/>
      <c r="O2462" s="157"/>
      <c r="P2462" s="159" t="s">
        <v>3539</v>
      </c>
      <c r="Q2462" s="157" t="s">
        <v>2115</v>
      </c>
      <c r="R2462" s="157" t="s">
        <v>8599</v>
      </c>
      <c r="S2462" s="157" t="s">
        <v>8612</v>
      </c>
      <c r="T2462" s="157"/>
      <c r="U2462" s="159" t="s">
        <v>2129</v>
      </c>
      <c r="V2462" s="159" t="s">
        <v>2129</v>
      </c>
      <c r="W2462" s="159" t="s">
        <v>2138</v>
      </c>
      <c r="X2462" s="160">
        <v>1</v>
      </c>
      <c r="Y2462" s="160">
        <v>1</v>
      </c>
      <c r="Z2462" s="160">
        <v>1</v>
      </c>
      <c r="AA2462" s="160">
        <v>1</v>
      </c>
    </row>
    <row r="2463" spans="1:27" ht="18" customHeight="1" x14ac:dyDescent="0.25">
      <c r="A2463" s="159">
        <v>7045</v>
      </c>
      <c r="B2463" s="157" t="s">
        <v>266</v>
      </c>
      <c r="C2463" s="157" t="s">
        <v>519</v>
      </c>
      <c r="D2463" s="159" t="s">
        <v>530</v>
      </c>
      <c r="E2463" s="157" t="s">
        <v>528</v>
      </c>
      <c r="F2463" s="157"/>
      <c r="G2463" s="157" t="s">
        <v>1349</v>
      </c>
      <c r="H2463" s="157" t="s">
        <v>1418</v>
      </c>
      <c r="I2463" s="157" t="s">
        <v>1769</v>
      </c>
      <c r="J2463" s="157" t="s">
        <v>8304</v>
      </c>
      <c r="K2463" s="157" t="s">
        <v>1615</v>
      </c>
      <c r="L2463" s="157" t="s">
        <v>1911</v>
      </c>
      <c r="M2463" s="157" t="str">
        <f t="shared" si="53"/>
        <v>Front Lidar - Long Range Distance Measurement</v>
      </c>
      <c r="N2463" s="157"/>
      <c r="O2463" s="157"/>
      <c r="P2463" s="159" t="s">
        <v>3539</v>
      </c>
      <c r="Q2463" s="157" t="s">
        <v>2115</v>
      </c>
      <c r="R2463" s="157" t="s">
        <v>8599</v>
      </c>
      <c r="S2463" s="157" t="s">
        <v>8612</v>
      </c>
      <c r="T2463" s="157"/>
      <c r="U2463" s="159" t="s">
        <v>2129</v>
      </c>
      <c r="V2463" s="159" t="s">
        <v>2129</v>
      </c>
      <c r="W2463" s="159" t="s">
        <v>2138</v>
      </c>
      <c r="X2463" s="160">
        <v>1</v>
      </c>
      <c r="Y2463" s="160">
        <v>1</v>
      </c>
      <c r="Z2463" s="160">
        <v>1</v>
      </c>
      <c r="AA2463" s="160">
        <v>1</v>
      </c>
    </row>
    <row r="2464" spans="1:27" ht="18" customHeight="1" x14ac:dyDescent="0.25">
      <c r="A2464" s="159">
        <v>7045</v>
      </c>
      <c r="B2464" s="157" t="s">
        <v>266</v>
      </c>
      <c r="C2464" s="157" t="s">
        <v>519</v>
      </c>
      <c r="D2464" s="159" t="s">
        <v>787</v>
      </c>
      <c r="E2464" s="157" t="s">
        <v>785</v>
      </c>
      <c r="F2464" s="157"/>
      <c r="G2464" s="157" t="s">
        <v>1349</v>
      </c>
      <c r="H2464" s="157" t="s">
        <v>1418</v>
      </c>
      <c r="I2464" s="157" t="s">
        <v>1769</v>
      </c>
      <c r="J2464" s="157" t="s">
        <v>8304</v>
      </c>
      <c r="K2464" s="157" t="s">
        <v>1615</v>
      </c>
      <c r="L2464" s="157" t="s">
        <v>1911</v>
      </c>
      <c r="M2464" s="157" t="str">
        <f t="shared" si="53"/>
        <v>Front Lidar - Long Range Distance Measurement</v>
      </c>
      <c r="N2464" s="157"/>
      <c r="O2464" s="157"/>
      <c r="P2464" s="159" t="s">
        <v>3539</v>
      </c>
      <c r="Q2464" s="157" t="s">
        <v>2115</v>
      </c>
      <c r="R2464" s="157" t="s">
        <v>8599</v>
      </c>
      <c r="S2464" s="157" t="s">
        <v>8612</v>
      </c>
      <c r="T2464" s="157"/>
      <c r="U2464" s="159" t="s">
        <v>2129</v>
      </c>
      <c r="V2464" s="159" t="s">
        <v>2129</v>
      </c>
      <c r="W2464" s="159" t="s">
        <v>2138</v>
      </c>
      <c r="X2464" s="160">
        <v>1</v>
      </c>
      <c r="Y2464" s="160">
        <v>1</v>
      </c>
      <c r="Z2464" s="160">
        <v>1</v>
      </c>
      <c r="AA2464" s="160">
        <v>1</v>
      </c>
    </row>
    <row r="2465" spans="1:27" ht="18" customHeight="1" x14ac:dyDescent="0.25">
      <c r="A2465" s="159">
        <v>7045</v>
      </c>
      <c r="B2465" s="157" t="s">
        <v>266</v>
      </c>
      <c r="C2465" s="157" t="s">
        <v>519</v>
      </c>
      <c r="D2465" s="159" t="s">
        <v>935</v>
      </c>
      <c r="E2465" s="157" t="s">
        <v>933</v>
      </c>
      <c r="F2465" s="157"/>
      <c r="G2465" s="157" t="s">
        <v>1349</v>
      </c>
      <c r="H2465" s="157" t="s">
        <v>1418</v>
      </c>
      <c r="I2465" s="157" t="s">
        <v>1769</v>
      </c>
      <c r="J2465" s="157" t="s">
        <v>8304</v>
      </c>
      <c r="K2465" s="157" t="s">
        <v>1615</v>
      </c>
      <c r="L2465" s="157" t="s">
        <v>1911</v>
      </c>
      <c r="M2465" s="157" t="str">
        <f t="shared" si="53"/>
        <v>Front Lidar - Long Range Distance Measurement</v>
      </c>
      <c r="N2465" s="157"/>
      <c r="O2465" s="157"/>
      <c r="P2465" s="159" t="s">
        <v>3539</v>
      </c>
      <c r="Q2465" s="157" t="s">
        <v>2115</v>
      </c>
      <c r="R2465" s="157" t="s">
        <v>8599</v>
      </c>
      <c r="S2465" s="157" t="s">
        <v>8612</v>
      </c>
      <c r="T2465" s="157"/>
      <c r="U2465" s="159" t="s">
        <v>2129</v>
      </c>
      <c r="V2465" s="159" t="s">
        <v>2129</v>
      </c>
      <c r="W2465" s="159" t="s">
        <v>2138</v>
      </c>
      <c r="X2465" s="160">
        <v>1</v>
      </c>
      <c r="Y2465" s="160">
        <v>1</v>
      </c>
      <c r="Z2465" s="160">
        <v>1</v>
      </c>
      <c r="AA2465" s="160">
        <v>1</v>
      </c>
    </row>
    <row r="2466" spans="1:27" ht="18" customHeight="1" x14ac:dyDescent="0.25">
      <c r="A2466" s="159">
        <v>7045</v>
      </c>
      <c r="B2466" s="157" t="s">
        <v>266</v>
      </c>
      <c r="C2466" s="157" t="s">
        <v>519</v>
      </c>
      <c r="D2466" s="159" t="s">
        <v>1151</v>
      </c>
      <c r="E2466" s="157" t="s">
        <v>1149</v>
      </c>
      <c r="F2466" s="157"/>
      <c r="G2466" s="157" t="s">
        <v>1349</v>
      </c>
      <c r="H2466" s="157" t="s">
        <v>1418</v>
      </c>
      <c r="I2466" s="157" t="s">
        <v>1769</v>
      </c>
      <c r="J2466" s="157" t="s">
        <v>8304</v>
      </c>
      <c r="K2466" s="157" t="s">
        <v>1615</v>
      </c>
      <c r="L2466" s="157" t="s">
        <v>1911</v>
      </c>
      <c r="M2466" s="157" t="str">
        <f t="shared" si="53"/>
        <v>Front Lidar - Long Range Distance Measurement</v>
      </c>
      <c r="N2466" s="157"/>
      <c r="O2466" s="157"/>
      <c r="P2466" s="159" t="s">
        <v>3539</v>
      </c>
      <c r="Q2466" s="157" t="s">
        <v>2115</v>
      </c>
      <c r="R2466" s="157" t="s">
        <v>8599</v>
      </c>
      <c r="S2466" s="157" t="s">
        <v>8612</v>
      </c>
      <c r="T2466" s="157"/>
      <c r="U2466" s="159" t="s">
        <v>2129</v>
      </c>
      <c r="V2466" s="159" t="s">
        <v>2129</v>
      </c>
      <c r="W2466" s="159" t="s">
        <v>2138</v>
      </c>
      <c r="X2466" s="160">
        <v>1</v>
      </c>
      <c r="Y2466" s="160">
        <v>1</v>
      </c>
      <c r="Z2466" s="160">
        <v>1</v>
      </c>
      <c r="AA2466" s="160">
        <v>1</v>
      </c>
    </row>
    <row r="2467" spans="1:27" ht="18" customHeight="1" x14ac:dyDescent="0.25">
      <c r="A2467" s="159">
        <v>7045</v>
      </c>
      <c r="B2467" s="157" t="s">
        <v>266</v>
      </c>
      <c r="C2467" s="157" t="s">
        <v>519</v>
      </c>
      <c r="D2467" s="159" t="s">
        <v>1159</v>
      </c>
      <c r="E2467" s="157" t="s">
        <v>1157</v>
      </c>
      <c r="F2467" s="157"/>
      <c r="G2467" s="157" t="s">
        <v>1349</v>
      </c>
      <c r="H2467" s="157" t="s">
        <v>1418</v>
      </c>
      <c r="I2467" s="157" t="s">
        <v>1769</v>
      </c>
      <c r="J2467" s="157" t="s">
        <v>8304</v>
      </c>
      <c r="K2467" s="157" t="s">
        <v>1615</v>
      </c>
      <c r="L2467" s="157" t="s">
        <v>1911</v>
      </c>
      <c r="M2467" s="157" t="str">
        <f t="shared" si="53"/>
        <v>Front Lidar - Long Range Distance Measurement</v>
      </c>
      <c r="N2467" s="157"/>
      <c r="O2467" s="157"/>
      <c r="P2467" s="159" t="s">
        <v>3539</v>
      </c>
      <c r="Q2467" s="157" t="s">
        <v>2115</v>
      </c>
      <c r="R2467" s="157" t="s">
        <v>8599</v>
      </c>
      <c r="S2467" s="157" t="s">
        <v>8612</v>
      </c>
      <c r="T2467" s="157"/>
      <c r="U2467" s="159" t="s">
        <v>2129</v>
      </c>
      <c r="V2467" s="159" t="s">
        <v>2129</v>
      </c>
      <c r="W2467" s="159" t="s">
        <v>2138</v>
      </c>
      <c r="X2467" s="160">
        <v>1</v>
      </c>
      <c r="Y2467" s="160">
        <v>1</v>
      </c>
      <c r="Z2467" s="160">
        <v>1</v>
      </c>
      <c r="AA2467" s="160">
        <v>1</v>
      </c>
    </row>
    <row r="2468" spans="1:27" ht="18" customHeight="1" x14ac:dyDescent="0.25">
      <c r="A2468" s="159">
        <v>7046</v>
      </c>
      <c r="B2468" s="157" t="s">
        <v>266</v>
      </c>
      <c r="C2468" s="157" t="s">
        <v>276</v>
      </c>
      <c r="D2468" s="159" t="s">
        <v>726</v>
      </c>
      <c r="E2468" s="157" t="s">
        <v>724</v>
      </c>
      <c r="F2468" s="157"/>
      <c r="G2468" s="157" t="s">
        <v>1349</v>
      </c>
      <c r="H2468" s="157" t="s">
        <v>1350</v>
      </c>
      <c r="I2468" s="157" t="s">
        <v>1614</v>
      </c>
      <c r="J2468" s="157" t="s">
        <v>8295</v>
      </c>
      <c r="K2468" s="157" t="s">
        <v>1615</v>
      </c>
      <c r="L2468" s="157" t="s">
        <v>1912</v>
      </c>
      <c r="M2468" s="157" t="str">
        <f t="shared" si="53"/>
        <v>Lidar_SRL2 - Environment Mapping</v>
      </c>
      <c r="N2468" s="157"/>
      <c r="O2468" s="157"/>
      <c r="P2468" s="159" t="s">
        <v>2311</v>
      </c>
      <c r="Q2468" s="157" t="s">
        <v>2115</v>
      </c>
      <c r="R2468" s="157" t="s">
        <v>8599</v>
      </c>
      <c r="S2468" s="157" t="s">
        <v>8612</v>
      </c>
      <c r="T2468" s="157"/>
      <c r="U2468" s="159" t="s">
        <v>2129</v>
      </c>
      <c r="V2468" s="159" t="s">
        <v>2129</v>
      </c>
      <c r="W2468" s="159" t="s">
        <v>2129</v>
      </c>
      <c r="X2468" s="160">
        <v>1</v>
      </c>
      <c r="Y2468" s="160">
        <v>1</v>
      </c>
      <c r="Z2468" s="160">
        <v>1</v>
      </c>
      <c r="AA2468" s="160">
        <v>1</v>
      </c>
    </row>
    <row r="2469" spans="1:27" ht="18" customHeight="1" x14ac:dyDescent="0.25">
      <c r="A2469" s="159">
        <v>7046</v>
      </c>
      <c r="B2469" s="157" t="s">
        <v>266</v>
      </c>
      <c r="C2469" s="157" t="s">
        <v>267</v>
      </c>
      <c r="D2469" s="159" t="s">
        <v>270</v>
      </c>
      <c r="E2469" s="157" t="s">
        <v>268</v>
      </c>
      <c r="F2469" s="157"/>
      <c r="G2469" s="157" t="s">
        <v>1349</v>
      </c>
      <c r="H2469" s="157" t="s">
        <v>1350</v>
      </c>
      <c r="I2469" s="157" t="s">
        <v>1614</v>
      </c>
      <c r="J2469" s="157" t="s">
        <v>8295</v>
      </c>
      <c r="K2469" s="157" t="s">
        <v>1615</v>
      </c>
      <c r="L2469" s="157" t="s">
        <v>1912</v>
      </c>
      <c r="M2469" s="157" t="str">
        <f t="shared" si="53"/>
        <v>Lidar_SRL2 - Environment Mapping</v>
      </c>
      <c r="N2469" s="157"/>
      <c r="O2469" s="157"/>
      <c r="P2469" s="159" t="s">
        <v>2311</v>
      </c>
      <c r="Q2469" s="157" t="s">
        <v>2115</v>
      </c>
      <c r="R2469" s="157" t="s">
        <v>8599</v>
      </c>
      <c r="S2469" s="157" t="s">
        <v>8612</v>
      </c>
      <c r="T2469" s="157"/>
      <c r="U2469" s="159" t="s">
        <v>2129</v>
      </c>
      <c r="V2469" s="159" t="s">
        <v>2129</v>
      </c>
      <c r="W2469" s="159" t="s">
        <v>2129</v>
      </c>
      <c r="X2469" s="160">
        <v>1</v>
      </c>
      <c r="Y2469" s="160">
        <v>1</v>
      </c>
      <c r="Z2469" s="160">
        <v>1</v>
      </c>
      <c r="AA2469" s="160">
        <v>1</v>
      </c>
    </row>
    <row r="2470" spans="1:27" ht="18" customHeight="1" x14ac:dyDescent="0.25">
      <c r="A2470" s="159">
        <v>7046</v>
      </c>
      <c r="B2470" s="157" t="s">
        <v>266</v>
      </c>
      <c r="C2470" s="157" t="s">
        <v>294</v>
      </c>
      <c r="D2470" s="159" t="s">
        <v>297</v>
      </c>
      <c r="E2470" s="157" t="s">
        <v>295</v>
      </c>
      <c r="F2470" s="157"/>
      <c r="G2470" s="157" t="s">
        <v>1349</v>
      </c>
      <c r="H2470" s="157" t="s">
        <v>1350</v>
      </c>
      <c r="I2470" s="157" t="s">
        <v>1614</v>
      </c>
      <c r="J2470" s="157" t="s">
        <v>8295</v>
      </c>
      <c r="K2470" s="157" t="s">
        <v>1615</v>
      </c>
      <c r="L2470" s="157" t="s">
        <v>1912</v>
      </c>
      <c r="M2470" s="157" t="str">
        <f t="shared" si="53"/>
        <v>Lidar_SRL2 - Environment Mapping</v>
      </c>
      <c r="N2470" s="157"/>
      <c r="O2470" s="157"/>
      <c r="P2470" s="159" t="s">
        <v>2311</v>
      </c>
      <c r="Q2470" s="157" t="s">
        <v>2115</v>
      </c>
      <c r="R2470" s="157" t="s">
        <v>8599</v>
      </c>
      <c r="S2470" s="157" t="s">
        <v>8612</v>
      </c>
      <c r="T2470" s="157"/>
      <c r="U2470" s="159" t="s">
        <v>2129</v>
      </c>
      <c r="V2470" s="159" t="s">
        <v>2129</v>
      </c>
      <c r="W2470" s="159" t="s">
        <v>2129</v>
      </c>
      <c r="X2470" s="160">
        <v>1</v>
      </c>
      <c r="Y2470" s="160">
        <v>1</v>
      </c>
      <c r="Z2470" s="160">
        <v>1</v>
      </c>
      <c r="AA2470" s="160">
        <v>1</v>
      </c>
    </row>
    <row r="2471" spans="1:27" ht="18" customHeight="1" x14ac:dyDescent="0.25">
      <c r="A2471" s="159">
        <v>7046</v>
      </c>
      <c r="B2471" s="157" t="s">
        <v>266</v>
      </c>
      <c r="C2471" s="157" t="s">
        <v>294</v>
      </c>
      <c r="D2471" s="159" t="s">
        <v>298</v>
      </c>
      <c r="E2471" s="157" t="s">
        <v>299</v>
      </c>
      <c r="F2471" s="157"/>
      <c r="G2471" s="157" t="s">
        <v>1349</v>
      </c>
      <c r="H2471" s="157" t="s">
        <v>1350</v>
      </c>
      <c r="I2471" s="157" t="s">
        <v>1614</v>
      </c>
      <c r="J2471" s="157" t="s">
        <v>8295</v>
      </c>
      <c r="K2471" s="157" t="s">
        <v>1615</v>
      </c>
      <c r="L2471" s="157" t="s">
        <v>1912</v>
      </c>
      <c r="M2471" s="157" t="str">
        <f t="shared" si="53"/>
        <v>Lidar_SRL2 - Environment Mapping</v>
      </c>
      <c r="N2471" s="157"/>
      <c r="O2471" s="157"/>
      <c r="P2471" s="159" t="s">
        <v>2311</v>
      </c>
      <c r="Q2471" s="157" t="s">
        <v>2115</v>
      </c>
      <c r="R2471" s="157" t="s">
        <v>8599</v>
      </c>
      <c r="S2471" s="157" t="s">
        <v>8612</v>
      </c>
      <c r="T2471" s="157"/>
      <c r="U2471" s="159" t="s">
        <v>2129</v>
      </c>
      <c r="V2471" s="159" t="s">
        <v>2129</v>
      </c>
      <c r="W2471" s="159" t="s">
        <v>2129</v>
      </c>
      <c r="X2471" s="160">
        <v>1</v>
      </c>
      <c r="Y2471" s="160">
        <v>1</v>
      </c>
      <c r="Z2471" s="160">
        <v>1</v>
      </c>
      <c r="AA2471" s="160">
        <v>1</v>
      </c>
    </row>
    <row r="2472" spans="1:27" ht="18" customHeight="1" x14ac:dyDescent="0.25">
      <c r="A2472" s="159">
        <v>7046</v>
      </c>
      <c r="B2472" s="157" t="s">
        <v>266</v>
      </c>
      <c r="C2472" s="157" t="s">
        <v>294</v>
      </c>
      <c r="D2472" s="159" t="s">
        <v>503</v>
      </c>
      <c r="E2472" s="157" t="s">
        <v>501</v>
      </c>
      <c r="F2472" s="157"/>
      <c r="G2472" s="157" t="s">
        <v>1349</v>
      </c>
      <c r="H2472" s="157" t="s">
        <v>1350</v>
      </c>
      <c r="I2472" s="157" t="s">
        <v>1614</v>
      </c>
      <c r="J2472" s="157" t="s">
        <v>8295</v>
      </c>
      <c r="K2472" s="157" t="s">
        <v>1615</v>
      </c>
      <c r="L2472" s="157" t="s">
        <v>1912</v>
      </c>
      <c r="M2472" s="157" t="str">
        <f t="shared" si="53"/>
        <v>Lidar_SRL2 - Environment Mapping</v>
      </c>
      <c r="N2472" s="157"/>
      <c r="O2472" s="157"/>
      <c r="P2472" s="159" t="s">
        <v>2311</v>
      </c>
      <c r="Q2472" s="157" t="s">
        <v>2115</v>
      </c>
      <c r="R2472" s="157" t="s">
        <v>8599</v>
      </c>
      <c r="S2472" s="157" t="s">
        <v>8612</v>
      </c>
      <c r="T2472" s="157"/>
      <c r="U2472" s="159" t="s">
        <v>2129</v>
      </c>
      <c r="V2472" s="159" t="s">
        <v>2129</v>
      </c>
      <c r="W2472" s="159" t="s">
        <v>2129</v>
      </c>
      <c r="X2472" s="160">
        <v>1</v>
      </c>
      <c r="Y2472" s="160">
        <v>1</v>
      </c>
      <c r="Z2472" s="160">
        <v>1</v>
      </c>
      <c r="AA2472" s="160">
        <v>1</v>
      </c>
    </row>
    <row r="2473" spans="1:27" ht="18" customHeight="1" x14ac:dyDescent="0.25">
      <c r="A2473" s="159">
        <v>7046</v>
      </c>
      <c r="B2473" s="157" t="s">
        <v>266</v>
      </c>
      <c r="C2473" s="157" t="s">
        <v>294</v>
      </c>
      <c r="D2473" s="159" t="s">
        <v>692</v>
      </c>
      <c r="E2473" s="157" t="s">
        <v>690</v>
      </c>
      <c r="F2473" s="157"/>
      <c r="G2473" s="157" t="s">
        <v>1349</v>
      </c>
      <c r="H2473" s="157" t="s">
        <v>1350</v>
      </c>
      <c r="I2473" s="157" t="s">
        <v>1614</v>
      </c>
      <c r="J2473" s="157" t="s">
        <v>8295</v>
      </c>
      <c r="K2473" s="157" t="s">
        <v>1615</v>
      </c>
      <c r="L2473" s="157" t="s">
        <v>1912</v>
      </c>
      <c r="M2473" s="157" t="str">
        <f t="shared" si="53"/>
        <v>Lidar_SRL2 - Environment Mapping</v>
      </c>
      <c r="N2473" s="157"/>
      <c r="O2473" s="157"/>
      <c r="P2473" s="159" t="s">
        <v>2311</v>
      </c>
      <c r="Q2473" s="157" t="s">
        <v>2115</v>
      </c>
      <c r="R2473" s="157" t="s">
        <v>8599</v>
      </c>
      <c r="S2473" s="157" t="s">
        <v>8612</v>
      </c>
      <c r="T2473" s="157"/>
      <c r="U2473" s="159" t="s">
        <v>2129</v>
      </c>
      <c r="V2473" s="159" t="s">
        <v>2129</v>
      </c>
      <c r="W2473" s="159" t="s">
        <v>2129</v>
      </c>
      <c r="X2473" s="160">
        <v>1</v>
      </c>
      <c r="Y2473" s="160">
        <v>1</v>
      </c>
      <c r="Z2473" s="160">
        <v>1</v>
      </c>
      <c r="AA2473" s="160">
        <v>1</v>
      </c>
    </row>
    <row r="2474" spans="1:27" ht="18" customHeight="1" x14ac:dyDescent="0.25">
      <c r="A2474" s="159">
        <v>7046</v>
      </c>
      <c r="B2474" s="157" t="s">
        <v>266</v>
      </c>
      <c r="C2474" s="157" t="s">
        <v>294</v>
      </c>
      <c r="D2474" s="159" t="s">
        <v>1177</v>
      </c>
      <c r="E2474" s="157" t="s">
        <v>1175</v>
      </c>
      <c r="F2474" s="157"/>
      <c r="G2474" s="157" t="s">
        <v>1349</v>
      </c>
      <c r="H2474" s="157" t="s">
        <v>1350</v>
      </c>
      <c r="I2474" s="157" t="s">
        <v>1614</v>
      </c>
      <c r="J2474" s="157" t="s">
        <v>8295</v>
      </c>
      <c r="K2474" s="157" t="s">
        <v>1615</v>
      </c>
      <c r="L2474" s="157" t="s">
        <v>1912</v>
      </c>
      <c r="M2474" s="157" t="str">
        <f t="shared" si="53"/>
        <v>Lidar_SRL2 - Environment Mapping</v>
      </c>
      <c r="N2474" s="157"/>
      <c r="O2474" s="157"/>
      <c r="P2474" s="159" t="s">
        <v>2311</v>
      </c>
      <c r="Q2474" s="157" t="s">
        <v>2115</v>
      </c>
      <c r="R2474" s="157" t="s">
        <v>8599</v>
      </c>
      <c r="S2474" s="157" t="s">
        <v>8612</v>
      </c>
      <c r="T2474" s="157"/>
      <c r="U2474" s="159" t="s">
        <v>2129</v>
      </c>
      <c r="V2474" s="159" t="s">
        <v>2129</v>
      </c>
      <c r="W2474" s="159" t="s">
        <v>2129</v>
      </c>
      <c r="X2474" s="160">
        <v>1</v>
      </c>
      <c r="Y2474" s="160">
        <v>1</v>
      </c>
      <c r="Z2474" s="160">
        <v>1</v>
      </c>
      <c r="AA2474" s="160">
        <v>1</v>
      </c>
    </row>
    <row r="2475" spans="1:27" ht="18" customHeight="1" x14ac:dyDescent="0.25">
      <c r="A2475" s="159">
        <v>7046</v>
      </c>
      <c r="B2475" s="157" t="s">
        <v>266</v>
      </c>
      <c r="C2475" s="157" t="s">
        <v>294</v>
      </c>
      <c r="D2475" s="159" t="s">
        <v>1178</v>
      </c>
      <c r="E2475" s="157" t="s">
        <v>1179</v>
      </c>
      <c r="F2475" s="157"/>
      <c r="G2475" s="157" t="s">
        <v>1349</v>
      </c>
      <c r="H2475" s="157" t="s">
        <v>1350</v>
      </c>
      <c r="I2475" s="157" t="s">
        <v>1614</v>
      </c>
      <c r="J2475" s="157" t="s">
        <v>8295</v>
      </c>
      <c r="K2475" s="157" t="s">
        <v>1615</v>
      </c>
      <c r="L2475" s="157" t="s">
        <v>1912</v>
      </c>
      <c r="M2475" s="157" t="str">
        <f t="shared" si="53"/>
        <v>Lidar_SRL2 - Environment Mapping</v>
      </c>
      <c r="N2475" s="157"/>
      <c r="O2475" s="157"/>
      <c r="P2475" s="159" t="s">
        <v>2311</v>
      </c>
      <c r="Q2475" s="157" t="s">
        <v>2115</v>
      </c>
      <c r="R2475" s="157" t="s">
        <v>8599</v>
      </c>
      <c r="S2475" s="157" t="s">
        <v>8612</v>
      </c>
      <c r="T2475" s="157"/>
      <c r="U2475" s="159" t="s">
        <v>2129</v>
      </c>
      <c r="V2475" s="159" t="s">
        <v>2129</v>
      </c>
      <c r="W2475" s="159" t="s">
        <v>2129</v>
      </c>
      <c r="X2475" s="160">
        <v>1</v>
      </c>
      <c r="Y2475" s="160">
        <v>1</v>
      </c>
      <c r="Z2475" s="160">
        <v>1</v>
      </c>
      <c r="AA2475" s="160">
        <v>1</v>
      </c>
    </row>
    <row r="2476" spans="1:27" ht="18" customHeight="1" x14ac:dyDescent="0.25">
      <c r="A2476" s="159">
        <v>7046</v>
      </c>
      <c r="B2476" s="157" t="s">
        <v>266</v>
      </c>
      <c r="C2476" s="157" t="s">
        <v>294</v>
      </c>
      <c r="D2476" s="159" t="s">
        <v>1207</v>
      </c>
      <c r="E2476" s="157" t="s">
        <v>1205</v>
      </c>
      <c r="F2476" s="157"/>
      <c r="G2476" s="157" t="s">
        <v>1349</v>
      </c>
      <c r="H2476" s="157" t="s">
        <v>1350</v>
      </c>
      <c r="I2476" s="157" t="s">
        <v>1614</v>
      </c>
      <c r="J2476" s="157" t="s">
        <v>8295</v>
      </c>
      <c r="K2476" s="157" t="s">
        <v>1615</v>
      </c>
      <c r="L2476" s="157" t="s">
        <v>1912</v>
      </c>
      <c r="M2476" s="157" t="str">
        <f t="shared" si="53"/>
        <v>Lidar_SRL2 - Environment Mapping</v>
      </c>
      <c r="N2476" s="157"/>
      <c r="O2476" s="157"/>
      <c r="P2476" s="159" t="s">
        <v>2311</v>
      </c>
      <c r="Q2476" s="157" t="s">
        <v>2115</v>
      </c>
      <c r="R2476" s="157" t="s">
        <v>8599</v>
      </c>
      <c r="S2476" s="157" t="s">
        <v>8612</v>
      </c>
      <c r="T2476" s="157"/>
      <c r="U2476" s="159" t="s">
        <v>2129</v>
      </c>
      <c r="V2476" s="159" t="s">
        <v>2129</v>
      </c>
      <c r="W2476" s="159" t="s">
        <v>2129</v>
      </c>
      <c r="X2476" s="160">
        <v>1</v>
      </c>
      <c r="Y2476" s="160">
        <v>1</v>
      </c>
      <c r="Z2476" s="160">
        <v>1</v>
      </c>
      <c r="AA2476" s="160">
        <v>1</v>
      </c>
    </row>
    <row r="2477" spans="1:27" ht="18" customHeight="1" x14ac:dyDescent="0.25">
      <c r="A2477" s="159">
        <v>7046</v>
      </c>
      <c r="B2477" s="157" t="s">
        <v>266</v>
      </c>
      <c r="C2477" s="157" t="s">
        <v>519</v>
      </c>
      <c r="D2477" s="159" t="s">
        <v>522</v>
      </c>
      <c r="E2477" s="157" t="s">
        <v>520</v>
      </c>
      <c r="F2477" s="157"/>
      <c r="G2477" s="157" t="s">
        <v>1349</v>
      </c>
      <c r="H2477" s="157" t="s">
        <v>1350</v>
      </c>
      <c r="I2477" s="157" t="s">
        <v>1614</v>
      </c>
      <c r="J2477" s="157" t="s">
        <v>8295</v>
      </c>
      <c r="K2477" s="157" t="s">
        <v>1615</v>
      </c>
      <c r="L2477" s="157" t="s">
        <v>1912</v>
      </c>
      <c r="M2477" s="157" t="str">
        <f t="shared" si="53"/>
        <v>Lidar_SRL2 - Environment Mapping</v>
      </c>
      <c r="N2477" s="157"/>
      <c r="O2477" s="157"/>
      <c r="P2477" s="159" t="s">
        <v>2311</v>
      </c>
      <c r="Q2477" s="157" t="s">
        <v>2115</v>
      </c>
      <c r="R2477" s="157" t="s">
        <v>8599</v>
      </c>
      <c r="S2477" s="157" t="s">
        <v>8612</v>
      </c>
      <c r="T2477" s="157"/>
      <c r="U2477" s="159" t="s">
        <v>2129</v>
      </c>
      <c r="V2477" s="159" t="s">
        <v>2129</v>
      </c>
      <c r="W2477" s="159" t="s">
        <v>2129</v>
      </c>
      <c r="X2477" s="160">
        <v>1</v>
      </c>
      <c r="Y2477" s="160">
        <v>1</v>
      </c>
      <c r="Z2477" s="160">
        <v>1</v>
      </c>
      <c r="AA2477" s="160">
        <v>1</v>
      </c>
    </row>
    <row r="2478" spans="1:27" ht="18" customHeight="1" x14ac:dyDescent="0.25">
      <c r="A2478" s="159">
        <v>7046</v>
      </c>
      <c r="B2478" s="157" t="s">
        <v>266</v>
      </c>
      <c r="C2478" s="157" t="s">
        <v>519</v>
      </c>
      <c r="D2478" s="159" t="s">
        <v>526</v>
      </c>
      <c r="E2478" s="157" t="s">
        <v>524</v>
      </c>
      <c r="F2478" s="157"/>
      <c r="G2478" s="157" t="s">
        <v>1349</v>
      </c>
      <c r="H2478" s="157" t="s">
        <v>1350</v>
      </c>
      <c r="I2478" s="157" t="s">
        <v>1614</v>
      </c>
      <c r="J2478" s="157" t="s">
        <v>8295</v>
      </c>
      <c r="K2478" s="157" t="s">
        <v>1615</v>
      </c>
      <c r="L2478" s="157" t="s">
        <v>1912</v>
      </c>
      <c r="M2478" s="157" t="str">
        <f t="shared" si="53"/>
        <v>Lidar_SRL2 - Environment Mapping</v>
      </c>
      <c r="N2478" s="157"/>
      <c r="O2478" s="157"/>
      <c r="P2478" s="159" t="s">
        <v>2311</v>
      </c>
      <c r="Q2478" s="157" t="s">
        <v>2115</v>
      </c>
      <c r="R2478" s="157" t="s">
        <v>8599</v>
      </c>
      <c r="S2478" s="157" t="s">
        <v>8612</v>
      </c>
      <c r="T2478" s="157"/>
      <c r="U2478" s="159" t="s">
        <v>2129</v>
      </c>
      <c r="V2478" s="159" t="s">
        <v>2129</v>
      </c>
      <c r="W2478" s="159" t="s">
        <v>2129</v>
      </c>
      <c r="X2478" s="160">
        <v>1</v>
      </c>
      <c r="Y2478" s="160">
        <v>1</v>
      </c>
      <c r="Z2478" s="160">
        <v>1</v>
      </c>
      <c r="AA2478" s="160">
        <v>1</v>
      </c>
    </row>
    <row r="2479" spans="1:27" ht="18" customHeight="1" x14ac:dyDescent="0.25">
      <c r="A2479" s="159">
        <v>7046</v>
      </c>
      <c r="B2479" s="157" t="s">
        <v>266</v>
      </c>
      <c r="C2479" s="157" t="s">
        <v>519</v>
      </c>
      <c r="D2479" s="159" t="s">
        <v>530</v>
      </c>
      <c r="E2479" s="157" t="s">
        <v>528</v>
      </c>
      <c r="F2479" s="157"/>
      <c r="G2479" s="157" t="s">
        <v>1349</v>
      </c>
      <c r="H2479" s="157" t="s">
        <v>1350</v>
      </c>
      <c r="I2479" s="157" t="s">
        <v>1614</v>
      </c>
      <c r="J2479" s="157" t="s">
        <v>8295</v>
      </c>
      <c r="K2479" s="157" t="s">
        <v>1615</v>
      </c>
      <c r="L2479" s="157" t="s">
        <v>1912</v>
      </c>
      <c r="M2479" s="157" t="str">
        <f t="shared" si="53"/>
        <v>Lidar_SRL2 - Environment Mapping</v>
      </c>
      <c r="N2479" s="157"/>
      <c r="O2479" s="157"/>
      <c r="P2479" s="159" t="s">
        <v>2311</v>
      </c>
      <c r="Q2479" s="157" t="s">
        <v>2115</v>
      </c>
      <c r="R2479" s="157" t="s">
        <v>8599</v>
      </c>
      <c r="S2479" s="157" t="s">
        <v>8612</v>
      </c>
      <c r="T2479" s="157"/>
      <c r="U2479" s="159" t="s">
        <v>2129</v>
      </c>
      <c r="V2479" s="159" t="s">
        <v>2129</v>
      </c>
      <c r="W2479" s="159" t="s">
        <v>2129</v>
      </c>
      <c r="X2479" s="160">
        <v>1</v>
      </c>
      <c r="Y2479" s="160">
        <v>1</v>
      </c>
      <c r="Z2479" s="160">
        <v>1</v>
      </c>
      <c r="AA2479" s="160">
        <v>1</v>
      </c>
    </row>
    <row r="2480" spans="1:27" ht="18" customHeight="1" x14ac:dyDescent="0.25">
      <c r="A2480" s="159">
        <v>7046</v>
      </c>
      <c r="B2480" s="157" t="s">
        <v>266</v>
      </c>
      <c r="C2480" s="157" t="s">
        <v>519</v>
      </c>
      <c r="D2480" s="159" t="s">
        <v>787</v>
      </c>
      <c r="E2480" s="157" t="s">
        <v>785</v>
      </c>
      <c r="F2480" s="157"/>
      <c r="G2480" s="157" t="s">
        <v>1349</v>
      </c>
      <c r="H2480" s="157" t="s">
        <v>1350</v>
      </c>
      <c r="I2480" s="157" t="s">
        <v>1614</v>
      </c>
      <c r="J2480" s="157" t="s">
        <v>8295</v>
      </c>
      <c r="K2480" s="157" t="s">
        <v>1615</v>
      </c>
      <c r="L2480" s="157" t="s">
        <v>1912</v>
      </c>
      <c r="M2480" s="157" t="str">
        <f t="shared" si="53"/>
        <v>Lidar_SRL2 - Environment Mapping</v>
      </c>
      <c r="N2480" s="157"/>
      <c r="O2480" s="157"/>
      <c r="P2480" s="159" t="s">
        <v>2311</v>
      </c>
      <c r="Q2480" s="157" t="s">
        <v>2115</v>
      </c>
      <c r="R2480" s="157" t="s">
        <v>8599</v>
      </c>
      <c r="S2480" s="157" t="s">
        <v>8612</v>
      </c>
      <c r="T2480" s="157"/>
      <c r="U2480" s="159" t="s">
        <v>2129</v>
      </c>
      <c r="V2480" s="159" t="s">
        <v>2129</v>
      </c>
      <c r="W2480" s="159" t="s">
        <v>2129</v>
      </c>
      <c r="X2480" s="160">
        <v>1</v>
      </c>
      <c r="Y2480" s="160">
        <v>1</v>
      </c>
      <c r="Z2480" s="160">
        <v>1</v>
      </c>
      <c r="AA2480" s="160">
        <v>1</v>
      </c>
    </row>
    <row r="2481" spans="1:27" ht="18" customHeight="1" x14ac:dyDescent="0.25">
      <c r="A2481" s="159">
        <v>7046</v>
      </c>
      <c r="B2481" s="157" t="s">
        <v>266</v>
      </c>
      <c r="C2481" s="157" t="s">
        <v>519</v>
      </c>
      <c r="D2481" s="159" t="s">
        <v>935</v>
      </c>
      <c r="E2481" s="157" t="s">
        <v>933</v>
      </c>
      <c r="F2481" s="157"/>
      <c r="G2481" s="157" t="s">
        <v>1349</v>
      </c>
      <c r="H2481" s="157" t="s">
        <v>1350</v>
      </c>
      <c r="I2481" s="157" t="s">
        <v>1614</v>
      </c>
      <c r="J2481" s="157" t="s">
        <v>8295</v>
      </c>
      <c r="K2481" s="157" t="s">
        <v>1615</v>
      </c>
      <c r="L2481" s="157" t="s">
        <v>1912</v>
      </c>
      <c r="M2481" s="157" t="str">
        <f t="shared" si="53"/>
        <v>Lidar_SRL2 - Environment Mapping</v>
      </c>
      <c r="N2481" s="157"/>
      <c r="O2481" s="157"/>
      <c r="P2481" s="159" t="s">
        <v>2311</v>
      </c>
      <c r="Q2481" s="157" t="s">
        <v>2115</v>
      </c>
      <c r="R2481" s="157" t="s">
        <v>8599</v>
      </c>
      <c r="S2481" s="157" t="s">
        <v>8612</v>
      </c>
      <c r="T2481" s="157"/>
      <c r="U2481" s="159" t="s">
        <v>2129</v>
      </c>
      <c r="V2481" s="159" t="s">
        <v>2129</v>
      </c>
      <c r="W2481" s="159" t="s">
        <v>2129</v>
      </c>
      <c r="X2481" s="160">
        <v>1</v>
      </c>
      <c r="Y2481" s="160">
        <v>1</v>
      </c>
      <c r="Z2481" s="160">
        <v>1</v>
      </c>
      <c r="AA2481" s="160">
        <v>1</v>
      </c>
    </row>
    <row r="2482" spans="1:27" ht="18" customHeight="1" x14ac:dyDescent="0.25">
      <c r="A2482" s="159">
        <v>7046</v>
      </c>
      <c r="B2482" s="157" t="s">
        <v>266</v>
      </c>
      <c r="C2482" s="157" t="s">
        <v>519</v>
      </c>
      <c r="D2482" s="159" t="s">
        <v>1151</v>
      </c>
      <c r="E2482" s="157" t="s">
        <v>1149</v>
      </c>
      <c r="F2482" s="157"/>
      <c r="G2482" s="157" t="s">
        <v>1349</v>
      </c>
      <c r="H2482" s="157" t="s">
        <v>1350</v>
      </c>
      <c r="I2482" s="157" t="s">
        <v>1614</v>
      </c>
      <c r="J2482" s="157" t="s">
        <v>8295</v>
      </c>
      <c r="K2482" s="157" t="s">
        <v>1615</v>
      </c>
      <c r="L2482" s="157" t="s">
        <v>1912</v>
      </c>
      <c r="M2482" s="157" t="str">
        <f t="shared" si="53"/>
        <v>Lidar_SRL2 - Environment Mapping</v>
      </c>
      <c r="N2482" s="157"/>
      <c r="O2482" s="157"/>
      <c r="P2482" s="159" t="s">
        <v>2311</v>
      </c>
      <c r="Q2482" s="157" t="s">
        <v>2115</v>
      </c>
      <c r="R2482" s="157" t="s">
        <v>8599</v>
      </c>
      <c r="S2482" s="157" t="s">
        <v>8612</v>
      </c>
      <c r="T2482" s="157"/>
      <c r="U2482" s="159" t="s">
        <v>2129</v>
      </c>
      <c r="V2482" s="159" t="s">
        <v>2129</v>
      </c>
      <c r="W2482" s="159" t="s">
        <v>2129</v>
      </c>
      <c r="X2482" s="160">
        <v>1</v>
      </c>
      <c r="Y2482" s="160">
        <v>1</v>
      </c>
      <c r="Z2482" s="160">
        <v>1</v>
      </c>
      <c r="AA2482" s="160">
        <v>1</v>
      </c>
    </row>
    <row r="2483" spans="1:27" ht="18" customHeight="1" x14ac:dyDescent="0.25">
      <c r="A2483" s="159">
        <v>7046</v>
      </c>
      <c r="B2483" s="157" t="s">
        <v>266</v>
      </c>
      <c r="C2483" s="157" t="s">
        <v>519</v>
      </c>
      <c r="D2483" s="159" t="s">
        <v>1159</v>
      </c>
      <c r="E2483" s="157" t="s">
        <v>1157</v>
      </c>
      <c r="F2483" s="157"/>
      <c r="G2483" s="157" t="s">
        <v>1349</v>
      </c>
      <c r="H2483" s="157" t="s">
        <v>1350</v>
      </c>
      <c r="I2483" s="157" t="s">
        <v>1614</v>
      </c>
      <c r="J2483" s="157" t="s">
        <v>8295</v>
      </c>
      <c r="K2483" s="157" t="s">
        <v>1615</v>
      </c>
      <c r="L2483" s="157" t="s">
        <v>1912</v>
      </c>
      <c r="M2483" s="157" t="str">
        <f t="shared" si="53"/>
        <v>Lidar_SRL2 - Environment Mapping</v>
      </c>
      <c r="N2483" s="157"/>
      <c r="O2483" s="157"/>
      <c r="P2483" s="159" t="s">
        <v>2311</v>
      </c>
      <c r="Q2483" s="157" t="s">
        <v>2115</v>
      </c>
      <c r="R2483" s="157" t="s">
        <v>8599</v>
      </c>
      <c r="S2483" s="157" t="s">
        <v>8612</v>
      </c>
      <c r="T2483" s="157"/>
      <c r="U2483" s="159" t="s">
        <v>2129</v>
      </c>
      <c r="V2483" s="159" t="s">
        <v>2129</v>
      </c>
      <c r="W2483" s="159" t="s">
        <v>2129</v>
      </c>
      <c r="X2483" s="160">
        <v>1</v>
      </c>
      <c r="Y2483" s="160">
        <v>1</v>
      </c>
      <c r="Z2483" s="160">
        <v>1</v>
      </c>
      <c r="AA2483" s="160">
        <v>1</v>
      </c>
    </row>
    <row r="2484" spans="1:27" ht="18" customHeight="1" x14ac:dyDescent="0.25">
      <c r="A2484" s="159">
        <v>7047</v>
      </c>
      <c r="B2484" s="157" t="s">
        <v>266</v>
      </c>
      <c r="C2484" s="157" t="s">
        <v>267</v>
      </c>
      <c r="D2484" s="159" t="s">
        <v>270</v>
      </c>
      <c r="E2484" s="157" t="s">
        <v>268</v>
      </c>
      <c r="F2484" s="157"/>
      <c r="G2484" s="157" t="s">
        <v>1349</v>
      </c>
      <c r="H2484" s="157" t="s">
        <v>1350</v>
      </c>
      <c r="I2484" s="157" t="s">
        <v>1614</v>
      </c>
      <c r="J2484" s="157" t="s">
        <v>8295</v>
      </c>
      <c r="K2484" s="157" t="s">
        <v>1615</v>
      </c>
      <c r="L2484" s="157" t="s">
        <v>1913</v>
      </c>
      <c r="M2484" s="157" t="str">
        <f t="shared" si="53"/>
        <v>Lidar_SRL3 - Environment Mapping</v>
      </c>
      <c r="N2484" s="157"/>
      <c r="O2484" s="157"/>
      <c r="P2484" s="159" t="s">
        <v>5819</v>
      </c>
      <c r="Q2484" s="157" t="s">
        <v>2115</v>
      </c>
      <c r="R2484" s="157" t="s">
        <v>8599</v>
      </c>
      <c r="S2484" s="157" t="s">
        <v>8612</v>
      </c>
      <c r="T2484" s="157"/>
      <c r="U2484" s="159" t="s">
        <v>2129</v>
      </c>
      <c r="V2484" s="159" t="s">
        <v>2129</v>
      </c>
      <c r="W2484" s="159" t="s">
        <v>2129</v>
      </c>
      <c r="X2484" s="160">
        <v>1</v>
      </c>
      <c r="Y2484" s="160">
        <v>1</v>
      </c>
      <c r="Z2484" s="160">
        <v>1</v>
      </c>
      <c r="AA2484" s="160">
        <v>1</v>
      </c>
    </row>
    <row r="2485" spans="1:27" ht="18" customHeight="1" x14ac:dyDescent="0.25">
      <c r="A2485" s="159">
        <v>7047</v>
      </c>
      <c r="B2485" s="157" t="s">
        <v>266</v>
      </c>
      <c r="C2485" s="157" t="s">
        <v>294</v>
      </c>
      <c r="D2485" s="159" t="s">
        <v>297</v>
      </c>
      <c r="E2485" s="157" t="s">
        <v>295</v>
      </c>
      <c r="F2485" s="157"/>
      <c r="G2485" s="157" t="s">
        <v>1349</v>
      </c>
      <c r="H2485" s="157" t="s">
        <v>1350</v>
      </c>
      <c r="I2485" s="157" t="s">
        <v>1614</v>
      </c>
      <c r="J2485" s="157" t="s">
        <v>8295</v>
      </c>
      <c r="K2485" s="157" t="s">
        <v>1615</v>
      </c>
      <c r="L2485" s="157" t="s">
        <v>1913</v>
      </c>
      <c r="M2485" s="157" t="str">
        <f t="shared" si="53"/>
        <v>Lidar_SRL3 - Environment Mapping</v>
      </c>
      <c r="N2485" s="157"/>
      <c r="O2485" s="157"/>
      <c r="P2485" s="159" t="s">
        <v>5819</v>
      </c>
      <c r="Q2485" s="157" t="s">
        <v>2115</v>
      </c>
      <c r="R2485" s="157" t="s">
        <v>8599</v>
      </c>
      <c r="S2485" s="157" t="s">
        <v>8612</v>
      </c>
      <c r="T2485" s="157"/>
      <c r="U2485" s="159" t="s">
        <v>2129</v>
      </c>
      <c r="V2485" s="159" t="s">
        <v>2129</v>
      </c>
      <c r="W2485" s="159" t="s">
        <v>2129</v>
      </c>
      <c r="X2485" s="160">
        <v>1</v>
      </c>
      <c r="Y2485" s="160">
        <v>1</v>
      </c>
      <c r="Z2485" s="160">
        <v>1</v>
      </c>
      <c r="AA2485" s="160">
        <v>1</v>
      </c>
    </row>
    <row r="2486" spans="1:27" ht="18" customHeight="1" x14ac:dyDescent="0.25">
      <c r="A2486" s="159">
        <v>7047</v>
      </c>
      <c r="B2486" s="157" t="s">
        <v>266</v>
      </c>
      <c r="C2486" s="157" t="s">
        <v>294</v>
      </c>
      <c r="D2486" s="159" t="s">
        <v>298</v>
      </c>
      <c r="E2486" s="157" t="s">
        <v>299</v>
      </c>
      <c r="F2486" s="157"/>
      <c r="G2486" s="157" t="s">
        <v>1349</v>
      </c>
      <c r="H2486" s="157" t="s">
        <v>1350</v>
      </c>
      <c r="I2486" s="157" t="s">
        <v>1614</v>
      </c>
      <c r="J2486" s="157" t="s">
        <v>8295</v>
      </c>
      <c r="K2486" s="157" t="s">
        <v>1615</v>
      </c>
      <c r="L2486" s="157" t="s">
        <v>1913</v>
      </c>
      <c r="M2486" s="157" t="str">
        <f t="shared" si="53"/>
        <v>Lidar_SRL3 - Environment Mapping</v>
      </c>
      <c r="N2486" s="157"/>
      <c r="O2486" s="157"/>
      <c r="P2486" s="159" t="s">
        <v>5819</v>
      </c>
      <c r="Q2486" s="157" t="s">
        <v>2115</v>
      </c>
      <c r="R2486" s="157" t="s">
        <v>8599</v>
      </c>
      <c r="S2486" s="157" t="s">
        <v>8612</v>
      </c>
      <c r="T2486" s="157"/>
      <c r="U2486" s="159" t="s">
        <v>2129</v>
      </c>
      <c r="V2486" s="159" t="s">
        <v>2129</v>
      </c>
      <c r="W2486" s="159" t="s">
        <v>2129</v>
      </c>
      <c r="X2486" s="160">
        <v>1</v>
      </c>
      <c r="Y2486" s="160">
        <v>1</v>
      </c>
      <c r="Z2486" s="160">
        <v>1</v>
      </c>
      <c r="AA2486" s="160">
        <v>1</v>
      </c>
    </row>
    <row r="2487" spans="1:27" ht="18" customHeight="1" x14ac:dyDescent="0.25">
      <c r="A2487" s="159">
        <v>7047</v>
      </c>
      <c r="B2487" s="157" t="s">
        <v>266</v>
      </c>
      <c r="C2487" s="157" t="s">
        <v>294</v>
      </c>
      <c r="D2487" s="159" t="s">
        <v>503</v>
      </c>
      <c r="E2487" s="157" t="s">
        <v>501</v>
      </c>
      <c r="F2487" s="157"/>
      <c r="G2487" s="157" t="s">
        <v>1349</v>
      </c>
      <c r="H2487" s="157" t="s">
        <v>1350</v>
      </c>
      <c r="I2487" s="157" t="s">
        <v>1614</v>
      </c>
      <c r="J2487" s="157" t="s">
        <v>8295</v>
      </c>
      <c r="K2487" s="157" t="s">
        <v>1615</v>
      </c>
      <c r="L2487" s="157" t="s">
        <v>1913</v>
      </c>
      <c r="M2487" s="157" t="str">
        <f t="shared" si="53"/>
        <v>Lidar_SRL3 - Environment Mapping</v>
      </c>
      <c r="N2487" s="157"/>
      <c r="O2487" s="157"/>
      <c r="P2487" s="159" t="s">
        <v>5819</v>
      </c>
      <c r="Q2487" s="157" t="s">
        <v>2115</v>
      </c>
      <c r="R2487" s="157" t="s">
        <v>8599</v>
      </c>
      <c r="S2487" s="157" t="s">
        <v>8612</v>
      </c>
      <c r="T2487" s="157"/>
      <c r="U2487" s="159" t="s">
        <v>2129</v>
      </c>
      <c r="V2487" s="159" t="s">
        <v>2129</v>
      </c>
      <c r="W2487" s="159" t="s">
        <v>2129</v>
      </c>
      <c r="X2487" s="160">
        <v>1</v>
      </c>
      <c r="Y2487" s="160">
        <v>1</v>
      </c>
      <c r="Z2487" s="160">
        <v>1</v>
      </c>
      <c r="AA2487" s="160">
        <v>1</v>
      </c>
    </row>
    <row r="2488" spans="1:27" ht="18" customHeight="1" x14ac:dyDescent="0.25">
      <c r="A2488" s="159">
        <v>7047</v>
      </c>
      <c r="B2488" s="157" t="s">
        <v>266</v>
      </c>
      <c r="C2488" s="157" t="s">
        <v>294</v>
      </c>
      <c r="D2488" s="159" t="s">
        <v>692</v>
      </c>
      <c r="E2488" s="157" t="s">
        <v>690</v>
      </c>
      <c r="F2488" s="157"/>
      <c r="G2488" s="157" t="s">
        <v>1349</v>
      </c>
      <c r="H2488" s="157" t="s">
        <v>1350</v>
      </c>
      <c r="I2488" s="157" t="s">
        <v>1614</v>
      </c>
      <c r="J2488" s="157" t="s">
        <v>8295</v>
      </c>
      <c r="K2488" s="157" t="s">
        <v>1615</v>
      </c>
      <c r="L2488" s="157" t="s">
        <v>1913</v>
      </c>
      <c r="M2488" s="157" t="str">
        <f t="shared" si="53"/>
        <v>Lidar_SRL3 - Environment Mapping</v>
      </c>
      <c r="N2488" s="157"/>
      <c r="O2488" s="157"/>
      <c r="P2488" s="159" t="s">
        <v>5819</v>
      </c>
      <c r="Q2488" s="157" t="s">
        <v>2115</v>
      </c>
      <c r="R2488" s="157" t="s">
        <v>8599</v>
      </c>
      <c r="S2488" s="157" t="s">
        <v>8612</v>
      </c>
      <c r="T2488" s="157"/>
      <c r="U2488" s="159" t="s">
        <v>2129</v>
      </c>
      <c r="V2488" s="159" t="s">
        <v>2129</v>
      </c>
      <c r="W2488" s="159" t="s">
        <v>2129</v>
      </c>
      <c r="X2488" s="160">
        <v>1</v>
      </c>
      <c r="Y2488" s="160">
        <v>1</v>
      </c>
      <c r="Z2488" s="160">
        <v>1</v>
      </c>
      <c r="AA2488" s="160">
        <v>1</v>
      </c>
    </row>
    <row r="2489" spans="1:27" ht="18" customHeight="1" x14ac:dyDescent="0.25">
      <c r="A2489" s="159">
        <v>7047</v>
      </c>
      <c r="B2489" s="157" t="s">
        <v>266</v>
      </c>
      <c r="C2489" s="157" t="s">
        <v>294</v>
      </c>
      <c r="D2489" s="159" t="s">
        <v>1177</v>
      </c>
      <c r="E2489" s="157" t="s">
        <v>1175</v>
      </c>
      <c r="F2489" s="157"/>
      <c r="G2489" s="157" t="s">
        <v>1349</v>
      </c>
      <c r="H2489" s="157" t="s">
        <v>1350</v>
      </c>
      <c r="I2489" s="157" t="s">
        <v>1614</v>
      </c>
      <c r="J2489" s="157" t="s">
        <v>8295</v>
      </c>
      <c r="K2489" s="157" t="s">
        <v>1615</v>
      </c>
      <c r="L2489" s="157" t="s">
        <v>1913</v>
      </c>
      <c r="M2489" s="157" t="str">
        <f t="shared" si="53"/>
        <v>Lidar_SRL3 - Environment Mapping</v>
      </c>
      <c r="N2489" s="157"/>
      <c r="O2489" s="157"/>
      <c r="P2489" s="159" t="s">
        <v>5819</v>
      </c>
      <c r="Q2489" s="157" t="s">
        <v>2115</v>
      </c>
      <c r="R2489" s="157" t="s">
        <v>8599</v>
      </c>
      <c r="S2489" s="157" t="s">
        <v>8612</v>
      </c>
      <c r="T2489" s="157"/>
      <c r="U2489" s="159" t="s">
        <v>2129</v>
      </c>
      <c r="V2489" s="159" t="s">
        <v>2129</v>
      </c>
      <c r="W2489" s="159" t="s">
        <v>2129</v>
      </c>
      <c r="X2489" s="160">
        <v>1</v>
      </c>
      <c r="Y2489" s="160">
        <v>1</v>
      </c>
      <c r="Z2489" s="160">
        <v>1</v>
      </c>
      <c r="AA2489" s="160">
        <v>1</v>
      </c>
    </row>
    <row r="2490" spans="1:27" ht="18" customHeight="1" x14ac:dyDescent="0.25">
      <c r="A2490" s="159">
        <v>7047</v>
      </c>
      <c r="B2490" s="157" t="s">
        <v>266</v>
      </c>
      <c r="C2490" s="157" t="s">
        <v>294</v>
      </c>
      <c r="D2490" s="159" t="s">
        <v>1178</v>
      </c>
      <c r="E2490" s="157" t="s">
        <v>1179</v>
      </c>
      <c r="F2490" s="157"/>
      <c r="G2490" s="157" t="s">
        <v>1349</v>
      </c>
      <c r="H2490" s="157" t="s">
        <v>1350</v>
      </c>
      <c r="I2490" s="157" t="s">
        <v>1614</v>
      </c>
      <c r="J2490" s="157" t="s">
        <v>8295</v>
      </c>
      <c r="K2490" s="157" t="s">
        <v>1615</v>
      </c>
      <c r="L2490" s="157" t="s">
        <v>1913</v>
      </c>
      <c r="M2490" s="157" t="str">
        <f t="shared" si="53"/>
        <v>Lidar_SRL3 - Environment Mapping</v>
      </c>
      <c r="N2490" s="157"/>
      <c r="O2490" s="157"/>
      <c r="P2490" s="159" t="s">
        <v>5819</v>
      </c>
      <c r="Q2490" s="157" t="s">
        <v>2115</v>
      </c>
      <c r="R2490" s="157" t="s">
        <v>8599</v>
      </c>
      <c r="S2490" s="157" t="s">
        <v>8612</v>
      </c>
      <c r="T2490" s="157"/>
      <c r="U2490" s="159" t="s">
        <v>2129</v>
      </c>
      <c r="V2490" s="159" t="s">
        <v>2129</v>
      </c>
      <c r="W2490" s="159" t="s">
        <v>2129</v>
      </c>
      <c r="X2490" s="160">
        <v>1</v>
      </c>
      <c r="Y2490" s="160">
        <v>1</v>
      </c>
      <c r="Z2490" s="160">
        <v>1</v>
      </c>
      <c r="AA2490" s="160">
        <v>1</v>
      </c>
    </row>
    <row r="2491" spans="1:27" ht="18" customHeight="1" x14ac:dyDescent="0.25">
      <c r="A2491" s="159">
        <v>7047</v>
      </c>
      <c r="B2491" s="157" t="s">
        <v>266</v>
      </c>
      <c r="C2491" s="157" t="s">
        <v>294</v>
      </c>
      <c r="D2491" s="159" t="s">
        <v>1207</v>
      </c>
      <c r="E2491" s="157" t="s">
        <v>1205</v>
      </c>
      <c r="F2491" s="157"/>
      <c r="G2491" s="157" t="s">
        <v>1349</v>
      </c>
      <c r="H2491" s="157" t="s">
        <v>1350</v>
      </c>
      <c r="I2491" s="157" t="s">
        <v>1614</v>
      </c>
      <c r="J2491" s="157" t="s">
        <v>8295</v>
      </c>
      <c r="K2491" s="157" t="s">
        <v>1615</v>
      </c>
      <c r="L2491" s="157" t="s">
        <v>1913</v>
      </c>
      <c r="M2491" s="157" t="str">
        <f t="shared" si="53"/>
        <v>Lidar_SRL3 - Environment Mapping</v>
      </c>
      <c r="N2491" s="157"/>
      <c r="O2491" s="157"/>
      <c r="P2491" s="159" t="s">
        <v>5819</v>
      </c>
      <c r="Q2491" s="157" t="s">
        <v>2115</v>
      </c>
      <c r="R2491" s="157" t="s">
        <v>8599</v>
      </c>
      <c r="S2491" s="157" t="s">
        <v>8612</v>
      </c>
      <c r="T2491" s="157"/>
      <c r="U2491" s="159" t="s">
        <v>2129</v>
      </c>
      <c r="V2491" s="159" t="s">
        <v>2129</v>
      </c>
      <c r="W2491" s="159" t="s">
        <v>2129</v>
      </c>
      <c r="X2491" s="160">
        <v>1</v>
      </c>
      <c r="Y2491" s="160">
        <v>1</v>
      </c>
      <c r="Z2491" s="160">
        <v>1</v>
      </c>
      <c r="AA2491" s="160">
        <v>1</v>
      </c>
    </row>
    <row r="2492" spans="1:27" ht="18" customHeight="1" x14ac:dyDescent="0.25">
      <c r="A2492" s="159">
        <v>7047</v>
      </c>
      <c r="B2492" s="157" t="s">
        <v>266</v>
      </c>
      <c r="C2492" s="157" t="s">
        <v>519</v>
      </c>
      <c r="D2492" s="159" t="s">
        <v>522</v>
      </c>
      <c r="E2492" s="157" t="s">
        <v>520</v>
      </c>
      <c r="F2492" s="157"/>
      <c r="G2492" s="157" t="s">
        <v>1349</v>
      </c>
      <c r="H2492" s="157" t="s">
        <v>1350</v>
      </c>
      <c r="I2492" s="157" t="s">
        <v>1614</v>
      </c>
      <c r="J2492" s="157" t="s">
        <v>8295</v>
      </c>
      <c r="K2492" s="157" t="s">
        <v>1615</v>
      </c>
      <c r="L2492" s="157" t="s">
        <v>1913</v>
      </c>
      <c r="M2492" s="157" t="str">
        <f t="shared" si="53"/>
        <v>Lidar_SRL3 - Environment Mapping</v>
      </c>
      <c r="N2492" s="157"/>
      <c r="O2492" s="157"/>
      <c r="P2492" s="159" t="s">
        <v>5819</v>
      </c>
      <c r="Q2492" s="157" t="s">
        <v>2115</v>
      </c>
      <c r="R2492" s="157" t="s">
        <v>8599</v>
      </c>
      <c r="S2492" s="157" t="s">
        <v>8612</v>
      </c>
      <c r="T2492" s="157"/>
      <c r="U2492" s="159" t="s">
        <v>2129</v>
      </c>
      <c r="V2492" s="159" t="s">
        <v>2129</v>
      </c>
      <c r="W2492" s="159" t="s">
        <v>2129</v>
      </c>
      <c r="X2492" s="160">
        <v>1</v>
      </c>
      <c r="Y2492" s="160">
        <v>1</v>
      </c>
      <c r="Z2492" s="160">
        <v>1</v>
      </c>
      <c r="AA2492" s="160">
        <v>1</v>
      </c>
    </row>
    <row r="2493" spans="1:27" ht="18" customHeight="1" x14ac:dyDescent="0.25">
      <c r="A2493" s="159">
        <v>7047</v>
      </c>
      <c r="B2493" s="157" t="s">
        <v>266</v>
      </c>
      <c r="C2493" s="157" t="s">
        <v>519</v>
      </c>
      <c r="D2493" s="159" t="s">
        <v>526</v>
      </c>
      <c r="E2493" s="157" t="s">
        <v>524</v>
      </c>
      <c r="F2493" s="157"/>
      <c r="G2493" s="157" t="s">
        <v>1349</v>
      </c>
      <c r="H2493" s="157" t="s">
        <v>1350</v>
      </c>
      <c r="I2493" s="157" t="s">
        <v>1614</v>
      </c>
      <c r="J2493" s="157" t="s">
        <v>8295</v>
      </c>
      <c r="K2493" s="157" t="s">
        <v>1615</v>
      </c>
      <c r="L2493" s="157" t="s">
        <v>1913</v>
      </c>
      <c r="M2493" s="157" t="str">
        <f t="shared" si="53"/>
        <v>Lidar_SRL3 - Environment Mapping</v>
      </c>
      <c r="N2493" s="157"/>
      <c r="O2493" s="157"/>
      <c r="P2493" s="159" t="s">
        <v>5819</v>
      </c>
      <c r="Q2493" s="157" t="s">
        <v>2115</v>
      </c>
      <c r="R2493" s="157" t="s">
        <v>8599</v>
      </c>
      <c r="S2493" s="157" t="s">
        <v>8612</v>
      </c>
      <c r="T2493" s="157"/>
      <c r="U2493" s="159" t="s">
        <v>2129</v>
      </c>
      <c r="V2493" s="159" t="s">
        <v>2129</v>
      </c>
      <c r="W2493" s="159" t="s">
        <v>2129</v>
      </c>
      <c r="X2493" s="160">
        <v>1</v>
      </c>
      <c r="Y2493" s="160">
        <v>1</v>
      </c>
      <c r="Z2493" s="160">
        <v>1</v>
      </c>
      <c r="AA2493" s="160">
        <v>1</v>
      </c>
    </row>
    <row r="2494" spans="1:27" ht="18" customHeight="1" x14ac:dyDescent="0.25">
      <c r="A2494" s="159">
        <v>7047</v>
      </c>
      <c r="B2494" s="157" t="s">
        <v>266</v>
      </c>
      <c r="C2494" s="157" t="s">
        <v>519</v>
      </c>
      <c r="D2494" s="159" t="s">
        <v>530</v>
      </c>
      <c r="E2494" s="157" t="s">
        <v>528</v>
      </c>
      <c r="F2494" s="157"/>
      <c r="G2494" s="157" t="s">
        <v>1349</v>
      </c>
      <c r="H2494" s="157" t="s">
        <v>1350</v>
      </c>
      <c r="I2494" s="157" t="s">
        <v>1614</v>
      </c>
      <c r="J2494" s="157" t="s">
        <v>8295</v>
      </c>
      <c r="K2494" s="157" t="s">
        <v>1615</v>
      </c>
      <c r="L2494" s="157" t="s">
        <v>1913</v>
      </c>
      <c r="M2494" s="157" t="str">
        <f t="shared" si="53"/>
        <v>Lidar_SRL3 - Environment Mapping</v>
      </c>
      <c r="N2494" s="157"/>
      <c r="O2494" s="157"/>
      <c r="P2494" s="159" t="s">
        <v>5819</v>
      </c>
      <c r="Q2494" s="157" t="s">
        <v>2115</v>
      </c>
      <c r="R2494" s="157" t="s">
        <v>8599</v>
      </c>
      <c r="S2494" s="157" t="s">
        <v>8612</v>
      </c>
      <c r="T2494" s="157"/>
      <c r="U2494" s="159" t="s">
        <v>2129</v>
      </c>
      <c r="V2494" s="159" t="s">
        <v>2129</v>
      </c>
      <c r="W2494" s="159" t="s">
        <v>2129</v>
      </c>
      <c r="X2494" s="160">
        <v>1</v>
      </c>
      <c r="Y2494" s="160">
        <v>1</v>
      </c>
      <c r="Z2494" s="160">
        <v>1</v>
      </c>
      <c r="AA2494" s="160">
        <v>1</v>
      </c>
    </row>
    <row r="2495" spans="1:27" ht="18" customHeight="1" x14ac:dyDescent="0.25">
      <c r="A2495" s="159">
        <v>7047</v>
      </c>
      <c r="B2495" s="157" t="s">
        <v>266</v>
      </c>
      <c r="C2495" s="157" t="s">
        <v>519</v>
      </c>
      <c r="D2495" s="159" t="s">
        <v>787</v>
      </c>
      <c r="E2495" s="157" t="s">
        <v>785</v>
      </c>
      <c r="F2495" s="157"/>
      <c r="G2495" s="157" t="s">
        <v>1349</v>
      </c>
      <c r="H2495" s="157" t="s">
        <v>1350</v>
      </c>
      <c r="I2495" s="157" t="s">
        <v>1614</v>
      </c>
      <c r="J2495" s="157" t="s">
        <v>8295</v>
      </c>
      <c r="K2495" s="157" t="s">
        <v>1615</v>
      </c>
      <c r="L2495" s="157" t="s">
        <v>1913</v>
      </c>
      <c r="M2495" s="157" t="str">
        <f t="shared" si="53"/>
        <v>Lidar_SRL3 - Environment Mapping</v>
      </c>
      <c r="N2495" s="157"/>
      <c r="O2495" s="157"/>
      <c r="P2495" s="159" t="s">
        <v>5819</v>
      </c>
      <c r="Q2495" s="157" t="s">
        <v>2115</v>
      </c>
      <c r="R2495" s="157" t="s">
        <v>8599</v>
      </c>
      <c r="S2495" s="157" t="s">
        <v>8612</v>
      </c>
      <c r="T2495" s="157"/>
      <c r="U2495" s="159" t="s">
        <v>2129</v>
      </c>
      <c r="V2495" s="159" t="s">
        <v>2129</v>
      </c>
      <c r="W2495" s="159" t="s">
        <v>2129</v>
      </c>
      <c r="X2495" s="160">
        <v>1</v>
      </c>
      <c r="Y2495" s="160">
        <v>1</v>
      </c>
      <c r="Z2495" s="160">
        <v>1</v>
      </c>
      <c r="AA2495" s="160">
        <v>1</v>
      </c>
    </row>
    <row r="2496" spans="1:27" ht="18" customHeight="1" x14ac:dyDescent="0.25">
      <c r="A2496" s="159">
        <v>7047</v>
      </c>
      <c r="B2496" s="157" t="s">
        <v>266</v>
      </c>
      <c r="C2496" s="157" t="s">
        <v>519</v>
      </c>
      <c r="D2496" s="159" t="s">
        <v>935</v>
      </c>
      <c r="E2496" s="157" t="s">
        <v>933</v>
      </c>
      <c r="F2496" s="157"/>
      <c r="G2496" s="157" t="s">
        <v>1349</v>
      </c>
      <c r="H2496" s="157" t="s">
        <v>1350</v>
      </c>
      <c r="I2496" s="157" t="s">
        <v>1614</v>
      </c>
      <c r="J2496" s="157" t="s">
        <v>8295</v>
      </c>
      <c r="K2496" s="157" t="s">
        <v>1615</v>
      </c>
      <c r="L2496" s="157" t="s">
        <v>1913</v>
      </c>
      <c r="M2496" s="157" t="str">
        <f t="shared" si="53"/>
        <v>Lidar_SRL3 - Environment Mapping</v>
      </c>
      <c r="N2496" s="157"/>
      <c r="O2496" s="157"/>
      <c r="P2496" s="159" t="s">
        <v>5819</v>
      </c>
      <c r="Q2496" s="157" t="s">
        <v>2115</v>
      </c>
      <c r="R2496" s="157" t="s">
        <v>8599</v>
      </c>
      <c r="S2496" s="157" t="s">
        <v>8612</v>
      </c>
      <c r="T2496" s="157"/>
      <c r="U2496" s="159" t="s">
        <v>2129</v>
      </c>
      <c r="V2496" s="159" t="s">
        <v>2129</v>
      </c>
      <c r="W2496" s="159" t="s">
        <v>2129</v>
      </c>
      <c r="X2496" s="160">
        <v>1</v>
      </c>
      <c r="Y2496" s="160">
        <v>1</v>
      </c>
      <c r="Z2496" s="160">
        <v>1</v>
      </c>
      <c r="AA2496" s="160">
        <v>1</v>
      </c>
    </row>
    <row r="2497" spans="1:27" ht="18" customHeight="1" x14ac:dyDescent="0.25">
      <c r="A2497" s="159">
        <v>7047</v>
      </c>
      <c r="B2497" s="157" t="s">
        <v>266</v>
      </c>
      <c r="C2497" s="157" t="s">
        <v>519</v>
      </c>
      <c r="D2497" s="159" t="s">
        <v>1151</v>
      </c>
      <c r="E2497" s="157" t="s">
        <v>1149</v>
      </c>
      <c r="F2497" s="157"/>
      <c r="G2497" s="157" t="s">
        <v>1349</v>
      </c>
      <c r="H2497" s="157" t="s">
        <v>1350</v>
      </c>
      <c r="I2497" s="157" t="s">
        <v>1614</v>
      </c>
      <c r="J2497" s="157" t="s">
        <v>8295</v>
      </c>
      <c r="K2497" s="157" t="s">
        <v>1615</v>
      </c>
      <c r="L2497" s="157" t="s">
        <v>1913</v>
      </c>
      <c r="M2497" s="157" t="str">
        <f t="shared" si="53"/>
        <v>Lidar_SRL3 - Environment Mapping</v>
      </c>
      <c r="N2497" s="157"/>
      <c r="O2497" s="157"/>
      <c r="P2497" s="159" t="s">
        <v>5819</v>
      </c>
      <c r="Q2497" s="157" t="s">
        <v>2115</v>
      </c>
      <c r="R2497" s="157" t="s">
        <v>8599</v>
      </c>
      <c r="S2497" s="157" t="s">
        <v>8612</v>
      </c>
      <c r="T2497" s="157"/>
      <c r="U2497" s="159" t="s">
        <v>2129</v>
      </c>
      <c r="V2497" s="159" t="s">
        <v>2129</v>
      </c>
      <c r="W2497" s="159" t="s">
        <v>2129</v>
      </c>
      <c r="X2497" s="160">
        <v>1</v>
      </c>
      <c r="Y2497" s="160">
        <v>1</v>
      </c>
      <c r="Z2497" s="160">
        <v>1</v>
      </c>
      <c r="AA2497" s="160">
        <v>1</v>
      </c>
    </row>
    <row r="2498" spans="1:27" ht="18" customHeight="1" x14ac:dyDescent="0.25">
      <c r="A2498" s="159">
        <v>7047</v>
      </c>
      <c r="B2498" s="157" t="s">
        <v>266</v>
      </c>
      <c r="C2498" s="157" t="s">
        <v>519</v>
      </c>
      <c r="D2498" s="159" t="s">
        <v>1159</v>
      </c>
      <c r="E2498" s="157" t="s">
        <v>1157</v>
      </c>
      <c r="F2498" s="157"/>
      <c r="G2498" s="157" t="s">
        <v>1349</v>
      </c>
      <c r="H2498" s="157" t="s">
        <v>1350</v>
      </c>
      <c r="I2498" s="157" t="s">
        <v>1614</v>
      </c>
      <c r="J2498" s="157" t="s">
        <v>8295</v>
      </c>
      <c r="K2498" s="157" t="s">
        <v>1615</v>
      </c>
      <c r="L2498" s="157" t="s">
        <v>1913</v>
      </c>
      <c r="M2498" s="157" t="str">
        <f t="shared" si="53"/>
        <v>Lidar_SRL3 - Environment Mapping</v>
      </c>
      <c r="N2498" s="157"/>
      <c r="O2498" s="157"/>
      <c r="P2498" s="159" t="s">
        <v>5819</v>
      </c>
      <c r="Q2498" s="157" t="s">
        <v>2115</v>
      </c>
      <c r="R2498" s="157" t="s">
        <v>8599</v>
      </c>
      <c r="S2498" s="157" t="s">
        <v>8612</v>
      </c>
      <c r="T2498" s="157"/>
      <c r="U2498" s="159" t="s">
        <v>2129</v>
      </c>
      <c r="V2498" s="159" t="s">
        <v>2129</v>
      </c>
      <c r="W2498" s="159" t="s">
        <v>2129</v>
      </c>
      <c r="X2498" s="160">
        <v>1</v>
      </c>
      <c r="Y2498" s="160">
        <v>1</v>
      </c>
      <c r="Z2498" s="160">
        <v>1</v>
      </c>
      <c r="AA2498" s="160">
        <v>1</v>
      </c>
    </row>
    <row r="2499" spans="1:27" ht="18" customHeight="1" x14ac:dyDescent="0.25">
      <c r="A2499" s="159">
        <v>7048</v>
      </c>
      <c r="B2499" s="157" t="s">
        <v>266</v>
      </c>
      <c r="C2499" s="157" t="s">
        <v>276</v>
      </c>
      <c r="D2499" s="159" t="s">
        <v>726</v>
      </c>
      <c r="E2499" s="157" t="s">
        <v>724</v>
      </c>
      <c r="F2499" s="157"/>
      <c r="G2499" s="157" t="s">
        <v>1349</v>
      </c>
      <c r="H2499" s="157" t="s">
        <v>1350</v>
      </c>
      <c r="I2499" s="157" t="s">
        <v>1614</v>
      </c>
      <c r="J2499" s="157" t="s">
        <v>8295</v>
      </c>
      <c r="K2499" s="157" t="s">
        <v>1615</v>
      </c>
      <c r="L2499" s="157" t="s">
        <v>1914</v>
      </c>
      <c r="M2499" s="157" t="str">
        <f t="shared" si="53"/>
        <v>Lidar_SRL4 - Environment Mapping</v>
      </c>
      <c r="N2499" s="157"/>
      <c r="O2499" s="157"/>
      <c r="P2499" s="159" t="s">
        <v>8147</v>
      </c>
      <c r="Q2499" s="157" t="s">
        <v>2115</v>
      </c>
      <c r="R2499" s="157" t="s">
        <v>8599</v>
      </c>
      <c r="S2499" s="157" t="s">
        <v>8612</v>
      </c>
      <c r="T2499" s="157"/>
      <c r="U2499" s="159" t="s">
        <v>2129</v>
      </c>
      <c r="V2499" s="159" t="s">
        <v>2129</v>
      </c>
      <c r="W2499" s="159" t="s">
        <v>2129</v>
      </c>
      <c r="X2499" s="160">
        <v>1</v>
      </c>
      <c r="Y2499" s="160">
        <v>1</v>
      </c>
      <c r="Z2499" s="160">
        <v>1</v>
      </c>
      <c r="AA2499" s="160">
        <v>1</v>
      </c>
    </row>
    <row r="2500" spans="1:27" ht="18" customHeight="1" x14ac:dyDescent="0.25">
      <c r="A2500" s="159">
        <v>7048</v>
      </c>
      <c r="B2500" s="157" t="s">
        <v>266</v>
      </c>
      <c r="C2500" s="157" t="s">
        <v>267</v>
      </c>
      <c r="D2500" s="159" t="s">
        <v>270</v>
      </c>
      <c r="E2500" s="157" t="s">
        <v>268</v>
      </c>
      <c r="F2500" s="157"/>
      <c r="G2500" s="157" t="s">
        <v>1349</v>
      </c>
      <c r="H2500" s="157" t="s">
        <v>1350</v>
      </c>
      <c r="I2500" s="157" t="s">
        <v>1614</v>
      </c>
      <c r="J2500" s="157" t="s">
        <v>8295</v>
      </c>
      <c r="K2500" s="157" t="s">
        <v>1615</v>
      </c>
      <c r="L2500" s="157" t="s">
        <v>1914</v>
      </c>
      <c r="M2500" s="157" t="str">
        <f t="shared" si="53"/>
        <v>Lidar_SRL4 - Environment Mapping</v>
      </c>
      <c r="N2500" s="157"/>
      <c r="O2500" s="157"/>
      <c r="P2500" s="159" t="s">
        <v>8147</v>
      </c>
      <c r="Q2500" s="157" t="s">
        <v>2115</v>
      </c>
      <c r="R2500" s="157" t="s">
        <v>8599</v>
      </c>
      <c r="S2500" s="157" t="s">
        <v>8612</v>
      </c>
      <c r="T2500" s="157"/>
      <c r="U2500" s="159" t="s">
        <v>2129</v>
      </c>
      <c r="V2500" s="159" t="s">
        <v>2129</v>
      </c>
      <c r="W2500" s="159" t="s">
        <v>2129</v>
      </c>
      <c r="X2500" s="160">
        <v>1</v>
      </c>
      <c r="Y2500" s="160">
        <v>1</v>
      </c>
      <c r="Z2500" s="160">
        <v>1</v>
      </c>
      <c r="AA2500" s="160">
        <v>1</v>
      </c>
    </row>
    <row r="2501" spans="1:27" ht="18" customHeight="1" x14ac:dyDescent="0.25">
      <c r="A2501" s="159">
        <v>7048</v>
      </c>
      <c r="B2501" s="157" t="s">
        <v>266</v>
      </c>
      <c r="C2501" s="157" t="s">
        <v>294</v>
      </c>
      <c r="D2501" s="159" t="s">
        <v>297</v>
      </c>
      <c r="E2501" s="157" t="s">
        <v>295</v>
      </c>
      <c r="F2501" s="157"/>
      <c r="G2501" s="157" t="s">
        <v>1349</v>
      </c>
      <c r="H2501" s="157" t="s">
        <v>1350</v>
      </c>
      <c r="I2501" s="157" t="s">
        <v>1614</v>
      </c>
      <c r="J2501" s="157" t="s">
        <v>8295</v>
      </c>
      <c r="K2501" s="157" t="s">
        <v>1615</v>
      </c>
      <c r="L2501" s="157" t="s">
        <v>1914</v>
      </c>
      <c r="M2501" s="157" t="str">
        <f t="shared" si="53"/>
        <v>Lidar_SRL4 - Environment Mapping</v>
      </c>
      <c r="N2501" s="157"/>
      <c r="O2501" s="157"/>
      <c r="P2501" s="159" t="s">
        <v>8147</v>
      </c>
      <c r="Q2501" s="157" t="s">
        <v>2115</v>
      </c>
      <c r="R2501" s="157" t="s">
        <v>8599</v>
      </c>
      <c r="S2501" s="157" t="s">
        <v>8612</v>
      </c>
      <c r="T2501" s="157"/>
      <c r="U2501" s="159" t="s">
        <v>2129</v>
      </c>
      <c r="V2501" s="159" t="s">
        <v>2129</v>
      </c>
      <c r="W2501" s="159" t="s">
        <v>2129</v>
      </c>
      <c r="X2501" s="160">
        <v>1</v>
      </c>
      <c r="Y2501" s="160">
        <v>1</v>
      </c>
      <c r="Z2501" s="160">
        <v>1</v>
      </c>
      <c r="AA2501" s="160">
        <v>1</v>
      </c>
    </row>
    <row r="2502" spans="1:27" ht="18" customHeight="1" x14ac:dyDescent="0.25">
      <c r="A2502" s="159">
        <v>7048</v>
      </c>
      <c r="B2502" s="157" t="s">
        <v>266</v>
      </c>
      <c r="C2502" s="157" t="s">
        <v>294</v>
      </c>
      <c r="D2502" s="159" t="s">
        <v>298</v>
      </c>
      <c r="E2502" s="157" t="s">
        <v>299</v>
      </c>
      <c r="F2502" s="157"/>
      <c r="G2502" s="157" t="s">
        <v>1349</v>
      </c>
      <c r="H2502" s="157" t="s">
        <v>1350</v>
      </c>
      <c r="I2502" s="157" t="s">
        <v>1614</v>
      </c>
      <c r="J2502" s="157" t="s">
        <v>8295</v>
      </c>
      <c r="K2502" s="157" t="s">
        <v>1615</v>
      </c>
      <c r="L2502" s="157" t="s">
        <v>1914</v>
      </c>
      <c r="M2502" s="157" t="str">
        <f t="shared" si="53"/>
        <v>Lidar_SRL4 - Environment Mapping</v>
      </c>
      <c r="N2502" s="157"/>
      <c r="O2502" s="157"/>
      <c r="P2502" s="159" t="s">
        <v>8147</v>
      </c>
      <c r="Q2502" s="157" t="s">
        <v>2115</v>
      </c>
      <c r="R2502" s="157" t="s">
        <v>8599</v>
      </c>
      <c r="S2502" s="157" t="s">
        <v>8612</v>
      </c>
      <c r="T2502" s="157"/>
      <c r="U2502" s="159" t="s">
        <v>2129</v>
      </c>
      <c r="V2502" s="159" t="s">
        <v>2129</v>
      </c>
      <c r="W2502" s="159" t="s">
        <v>2129</v>
      </c>
      <c r="X2502" s="160">
        <v>1</v>
      </c>
      <c r="Y2502" s="160">
        <v>1</v>
      </c>
      <c r="Z2502" s="160">
        <v>1</v>
      </c>
      <c r="AA2502" s="160">
        <v>1</v>
      </c>
    </row>
    <row r="2503" spans="1:27" ht="18" customHeight="1" x14ac:dyDescent="0.25">
      <c r="A2503" s="159">
        <v>7048</v>
      </c>
      <c r="B2503" s="157" t="s">
        <v>266</v>
      </c>
      <c r="C2503" s="157" t="s">
        <v>294</v>
      </c>
      <c r="D2503" s="159" t="s">
        <v>503</v>
      </c>
      <c r="E2503" s="157" t="s">
        <v>501</v>
      </c>
      <c r="F2503" s="157"/>
      <c r="G2503" s="157" t="s">
        <v>1349</v>
      </c>
      <c r="H2503" s="157" t="s">
        <v>1350</v>
      </c>
      <c r="I2503" s="157" t="s">
        <v>1614</v>
      </c>
      <c r="J2503" s="157" t="s">
        <v>8295</v>
      </c>
      <c r="K2503" s="157" t="s">
        <v>1615</v>
      </c>
      <c r="L2503" s="157" t="s">
        <v>1914</v>
      </c>
      <c r="M2503" s="157" t="str">
        <f t="shared" si="53"/>
        <v>Lidar_SRL4 - Environment Mapping</v>
      </c>
      <c r="N2503" s="157"/>
      <c r="O2503" s="157"/>
      <c r="P2503" s="159" t="s">
        <v>8147</v>
      </c>
      <c r="Q2503" s="157" t="s">
        <v>2115</v>
      </c>
      <c r="R2503" s="157" t="s">
        <v>8599</v>
      </c>
      <c r="S2503" s="157" t="s">
        <v>8612</v>
      </c>
      <c r="T2503" s="157"/>
      <c r="U2503" s="159" t="s">
        <v>2129</v>
      </c>
      <c r="V2503" s="159" t="s">
        <v>2129</v>
      </c>
      <c r="W2503" s="159" t="s">
        <v>2129</v>
      </c>
      <c r="X2503" s="160">
        <v>1</v>
      </c>
      <c r="Y2503" s="160">
        <v>1</v>
      </c>
      <c r="Z2503" s="160">
        <v>1</v>
      </c>
      <c r="AA2503" s="160">
        <v>1</v>
      </c>
    </row>
    <row r="2504" spans="1:27" ht="18" customHeight="1" x14ac:dyDescent="0.25">
      <c r="A2504" s="159">
        <v>7048</v>
      </c>
      <c r="B2504" s="157" t="s">
        <v>266</v>
      </c>
      <c r="C2504" s="157" t="s">
        <v>294</v>
      </c>
      <c r="D2504" s="159" t="s">
        <v>692</v>
      </c>
      <c r="E2504" s="157" t="s">
        <v>690</v>
      </c>
      <c r="F2504" s="157"/>
      <c r="G2504" s="157" t="s">
        <v>1349</v>
      </c>
      <c r="H2504" s="157" t="s">
        <v>1350</v>
      </c>
      <c r="I2504" s="157" t="s">
        <v>1614</v>
      </c>
      <c r="J2504" s="157" t="s">
        <v>8295</v>
      </c>
      <c r="K2504" s="157" t="s">
        <v>1615</v>
      </c>
      <c r="L2504" s="157" t="s">
        <v>1914</v>
      </c>
      <c r="M2504" s="157" t="str">
        <f t="shared" si="53"/>
        <v>Lidar_SRL4 - Environment Mapping</v>
      </c>
      <c r="N2504" s="157"/>
      <c r="O2504" s="157"/>
      <c r="P2504" s="159" t="s">
        <v>8147</v>
      </c>
      <c r="Q2504" s="157" t="s">
        <v>2115</v>
      </c>
      <c r="R2504" s="157" t="s">
        <v>8599</v>
      </c>
      <c r="S2504" s="157" t="s">
        <v>8612</v>
      </c>
      <c r="T2504" s="157"/>
      <c r="U2504" s="159" t="s">
        <v>2129</v>
      </c>
      <c r="V2504" s="159" t="s">
        <v>2129</v>
      </c>
      <c r="W2504" s="159" t="s">
        <v>2129</v>
      </c>
      <c r="X2504" s="160">
        <v>1</v>
      </c>
      <c r="Y2504" s="160">
        <v>1</v>
      </c>
      <c r="Z2504" s="160">
        <v>1</v>
      </c>
      <c r="AA2504" s="160">
        <v>1</v>
      </c>
    </row>
    <row r="2505" spans="1:27" ht="18" customHeight="1" x14ac:dyDescent="0.25">
      <c r="A2505" s="159">
        <v>7048</v>
      </c>
      <c r="B2505" s="157" t="s">
        <v>266</v>
      </c>
      <c r="C2505" s="157" t="s">
        <v>294</v>
      </c>
      <c r="D2505" s="159" t="s">
        <v>1177</v>
      </c>
      <c r="E2505" s="157" t="s">
        <v>1175</v>
      </c>
      <c r="F2505" s="157"/>
      <c r="G2505" s="157" t="s">
        <v>1349</v>
      </c>
      <c r="H2505" s="157" t="s">
        <v>1350</v>
      </c>
      <c r="I2505" s="157" t="s">
        <v>1614</v>
      </c>
      <c r="J2505" s="157" t="s">
        <v>8295</v>
      </c>
      <c r="K2505" s="157" t="s">
        <v>1615</v>
      </c>
      <c r="L2505" s="157" t="s">
        <v>1914</v>
      </c>
      <c r="M2505" s="157" t="str">
        <f t="shared" si="53"/>
        <v>Lidar_SRL4 - Environment Mapping</v>
      </c>
      <c r="N2505" s="157"/>
      <c r="O2505" s="157"/>
      <c r="P2505" s="159" t="s">
        <v>8147</v>
      </c>
      <c r="Q2505" s="157" t="s">
        <v>2115</v>
      </c>
      <c r="R2505" s="157" t="s">
        <v>8599</v>
      </c>
      <c r="S2505" s="157" t="s">
        <v>8612</v>
      </c>
      <c r="T2505" s="157"/>
      <c r="U2505" s="159" t="s">
        <v>2129</v>
      </c>
      <c r="V2505" s="159" t="s">
        <v>2129</v>
      </c>
      <c r="W2505" s="159" t="s">
        <v>2129</v>
      </c>
      <c r="X2505" s="160">
        <v>1</v>
      </c>
      <c r="Y2505" s="160">
        <v>1</v>
      </c>
      <c r="Z2505" s="160">
        <v>1</v>
      </c>
      <c r="AA2505" s="160">
        <v>1</v>
      </c>
    </row>
    <row r="2506" spans="1:27" ht="18" customHeight="1" x14ac:dyDescent="0.25">
      <c r="A2506" s="159">
        <v>7048</v>
      </c>
      <c r="B2506" s="157" t="s">
        <v>266</v>
      </c>
      <c r="C2506" s="157" t="s">
        <v>294</v>
      </c>
      <c r="D2506" s="159" t="s">
        <v>1178</v>
      </c>
      <c r="E2506" s="157" t="s">
        <v>1179</v>
      </c>
      <c r="F2506" s="157"/>
      <c r="G2506" s="157" t="s">
        <v>1349</v>
      </c>
      <c r="H2506" s="157" t="s">
        <v>1350</v>
      </c>
      <c r="I2506" s="157" t="s">
        <v>1614</v>
      </c>
      <c r="J2506" s="157" t="s">
        <v>8295</v>
      </c>
      <c r="K2506" s="157" t="s">
        <v>1615</v>
      </c>
      <c r="L2506" s="157" t="s">
        <v>1914</v>
      </c>
      <c r="M2506" s="157" t="str">
        <f t="shared" ref="M2506:M2569" si="54">CONCATENATE(L2506," - ",I2506)</f>
        <v>Lidar_SRL4 - Environment Mapping</v>
      </c>
      <c r="N2506" s="157"/>
      <c r="O2506" s="157"/>
      <c r="P2506" s="159" t="s">
        <v>8147</v>
      </c>
      <c r="Q2506" s="157" t="s">
        <v>2115</v>
      </c>
      <c r="R2506" s="157" t="s">
        <v>8599</v>
      </c>
      <c r="S2506" s="157" t="s">
        <v>8612</v>
      </c>
      <c r="T2506" s="157"/>
      <c r="U2506" s="159" t="s">
        <v>2129</v>
      </c>
      <c r="V2506" s="159" t="s">
        <v>2129</v>
      </c>
      <c r="W2506" s="159" t="s">
        <v>2129</v>
      </c>
      <c r="X2506" s="160">
        <v>1</v>
      </c>
      <c r="Y2506" s="160">
        <v>1</v>
      </c>
      <c r="Z2506" s="160">
        <v>1</v>
      </c>
      <c r="AA2506" s="160">
        <v>1</v>
      </c>
    </row>
    <row r="2507" spans="1:27" ht="18" customHeight="1" x14ac:dyDescent="0.25">
      <c r="A2507" s="159">
        <v>7048</v>
      </c>
      <c r="B2507" s="157" t="s">
        <v>266</v>
      </c>
      <c r="C2507" s="157" t="s">
        <v>294</v>
      </c>
      <c r="D2507" s="159" t="s">
        <v>1207</v>
      </c>
      <c r="E2507" s="157" t="s">
        <v>1205</v>
      </c>
      <c r="F2507" s="157"/>
      <c r="G2507" s="157" t="s">
        <v>1349</v>
      </c>
      <c r="H2507" s="157" t="s">
        <v>1350</v>
      </c>
      <c r="I2507" s="157" t="s">
        <v>1614</v>
      </c>
      <c r="J2507" s="157" t="s">
        <v>8295</v>
      </c>
      <c r="K2507" s="157" t="s">
        <v>1615</v>
      </c>
      <c r="L2507" s="157" t="s">
        <v>1914</v>
      </c>
      <c r="M2507" s="157" t="str">
        <f t="shared" si="54"/>
        <v>Lidar_SRL4 - Environment Mapping</v>
      </c>
      <c r="N2507" s="157"/>
      <c r="O2507" s="157"/>
      <c r="P2507" s="159" t="s">
        <v>8147</v>
      </c>
      <c r="Q2507" s="157" t="s">
        <v>2115</v>
      </c>
      <c r="R2507" s="157" t="s">
        <v>8599</v>
      </c>
      <c r="S2507" s="157" t="s">
        <v>8612</v>
      </c>
      <c r="T2507" s="157"/>
      <c r="U2507" s="159" t="s">
        <v>2129</v>
      </c>
      <c r="V2507" s="159" t="s">
        <v>2129</v>
      </c>
      <c r="W2507" s="159" t="s">
        <v>2129</v>
      </c>
      <c r="X2507" s="160">
        <v>1</v>
      </c>
      <c r="Y2507" s="160">
        <v>1</v>
      </c>
      <c r="Z2507" s="160">
        <v>1</v>
      </c>
      <c r="AA2507" s="160">
        <v>1</v>
      </c>
    </row>
    <row r="2508" spans="1:27" ht="18" customHeight="1" x14ac:dyDescent="0.25">
      <c r="A2508" s="159">
        <v>7048</v>
      </c>
      <c r="B2508" s="157" t="s">
        <v>266</v>
      </c>
      <c r="C2508" s="157" t="s">
        <v>519</v>
      </c>
      <c r="D2508" s="159" t="s">
        <v>522</v>
      </c>
      <c r="E2508" s="157" t="s">
        <v>520</v>
      </c>
      <c r="F2508" s="157"/>
      <c r="G2508" s="157" t="s">
        <v>1349</v>
      </c>
      <c r="H2508" s="157" t="s">
        <v>1350</v>
      </c>
      <c r="I2508" s="157" t="s">
        <v>1614</v>
      </c>
      <c r="J2508" s="157" t="s">
        <v>8295</v>
      </c>
      <c r="K2508" s="157" t="s">
        <v>1615</v>
      </c>
      <c r="L2508" s="157" t="s">
        <v>1914</v>
      </c>
      <c r="M2508" s="157" t="str">
        <f t="shared" si="54"/>
        <v>Lidar_SRL4 - Environment Mapping</v>
      </c>
      <c r="N2508" s="157"/>
      <c r="O2508" s="157"/>
      <c r="P2508" s="159" t="s">
        <v>8147</v>
      </c>
      <c r="Q2508" s="157" t="s">
        <v>2115</v>
      </c>
      <c r="R2508" s="157" t="s">
        <v>8599</v>
      </c>
      <c r="S2508" s="157" t="s">
        <v>8612</v>
      </c>
      <c r="T2508" s="157"/>
      <c r="U2508" s="159" t="s">
        <v>2129</v>
      </c>
      <c r="V2508" s="159" t="s">
        <v>2129</v>
      </c>
      <c r="W2508" s="159" t="s">
        <v>2129</v>
      </c>
      <c r="X2508" s="160">
        <v>1</v>
      </c>
      <c r="Y2508" s="160">
        <v>1</v>
      </c>
      <c r="Z2508" s="160">
        <v>1</v>
      </c>
      <c r="AA2508" s="160">
        <v>1</v>
      </c>
    </row>
    <row r="2509" spans="1:27" ht="18" customHeight="1" x14ac:dyDescent="0.25">
      <c r="A2509" s="159">
        <v>7048</v>
      </c>
      <c r="B2509" s="157" t="s">
        <v>266</v>
      </c>
      <c r="C2509" s="157" t="s">
        <v>519</v>
      </c>
      <c r="D2509" s="159" t="s">
        <v>526</v>
      </c>
      <c r="E2509" s="157" t="s">
        <v>524</v>
      </c>
      <c r="F2509" s="157"/>
      <c r="G2509" s="157" t="s">
        <v>1349</v>
      </c>
      <c r="H2509" s="157" t="s">
        <v>1350</v>
      </c>
      <c r="I2509" s="157" t="s">
        <v>1614</v>
      </c>
      <c r="J2509" s="157" t="s">
        <v>8295</v>
      </c>
      <c r="K2509" s="157" t="s">
        <v>1615</v>
      </c>
      <c r="L2509" s="157" t="s">
        <v>1914</v>
      </c>
      <c r="M2509" s="157" t="str">
        <f t="shared" si="54"/>
        <v>Lidar_SRL4 - Environment Mapping</v>
      </c>
      <c r="N2509" s="157"/>
      <c r="O2509" s="157"/>
      <c r="P2509" s="159" t="s">
        <v>8147</v>
      </c>
      <c r="Q2509" s="157" t="s">
        <v>2115</v>
      </c>
      <c r="R2509" s="157" t="s">
        <v>8599</v>
      </c>
      <c r="S2509" s="157" t="s">
        <v>8612</v>
      </c>
      <c r="T2509" s="157"/>
      <c r="U2509" s="159" t="s">
        <v>2129</v>
      </c>
      <c r="V2509" s="159" t="s">
        <v>2129</v>
      </c>
      <c r="W2509" s="159" t="s">
        <v>2129</v>
      </c>
      <c r="X2509" s="160">
        <v>1</v>
      </c>
      <c r="Y2509" s="160">
        <v>1</v>
      </c>
      <c r="Z2509" s="160">
        <v>1</v>
      </c>
      <c r="AA2509" s="160">
        <v>1</v>
      </c>
    </row>
    <row r="2510" spans="1:27" ht="18" customHeight="1" x14ac:dyDescent="0.25">
      <c r="A2510" s="159">
        <v>7048</v>
      </c>
      <c r="B2510" s="157" t="s">
        <v>266</v>
      </c>
      <c r="C2510" s="157" t="s">
        <v>519</v>
      </c>
      <c r="D2510" s="159" t="s">
        <v>530</v>
      </c>
      <c r="E2510" s="157" t="s">
        <v>528</v>
      </c>
      <c r="F2510" s="157"/>
      <c r="G2510" s="157" t="s">
        <v>1349</v>
      </c>
      <c r="H2510" s="157" t="s">
        <v>1350</v>
      </c>
      <c r="I2510" s="157" t="s">
        <v>1614</v>
      </c>
      <c r="J2510" s="157" t="s">
        <v>8295</v>
      </c>
      <c r="K2510" s="157" t="s">
        <v>1615</v>
      </c>
      <c r="L2510" s="157" t="s">
        <v>1914</v>
      </c>
      <c r="M2510" s="157" t="str">
        <f t="shared" si="54"/>
        <v>Lidar_SRL4 - Environment Mapping</v>
      </c>
      <c r="N2510" s="157"/>
      <c r="O2510" s="157"/>
      <c r="P2510" s="159" t="s">
        <v>8147</v>
      </c>
      <c r="Q2510" s="157" t="s">
        <v>2115</v>
      </c>
      <c r="R2510" s="157" t="s">
        <v>8599</v>
      </c>
      <c r="S2510" s="157" t="s">
        <v>8612</v>
      </c>
      <c r="T2510" s="157"/>
      <c r="U2510" s="159" t="s">
        <v>2129</v>
      </c>
      <c r="V2510" s="159" t="s">
        <v>2129</v>
      </c>
      <c r="W2510" s="159" t="s">
        <v>2129</v>
      </c>
      <c r="X2510" s="160">
        <v>1</v>
      </c>
      <c r="Y2510" s="160">
        <v>1</v>
      </c>
      <c r="Z2510" s="160">
        <v>1</v>
      </c>
      <c r="AA2510" s="160">
        <v>1</v>
      </c>
    </row>
    <row r="2511" spans="1:27" ht="18" customHeight="1" x14ac:dyDescent="0.25">
      <c r="A2511" s="159">
        <v>7048</v>
      </c>
      <c r="B2511" s="157" t="s">
        <v>266</v>
      </c>
      <c r="C2511" s="157" t="s">
        <v>519</v>
      </c>
      <c r="D2511" s="159" t="s">
        <v>787</v>
      </c>
      <c r="E2511" s="157" t="s">
        <v>785</v>
      </c>
      <c r="F2511" s="157"/>
      <c r="G2511" s="157" t="s">
        <v>1349</v>
      </c>
      <c r="H2511" s="157" t="s">
        <v>1350</v>
      </c>
      <c r="I2511" s="157" t="s">
        <v>1614</v>
      </c>
      <c r="J2511" s="157" t="s">
        <v>8295</v>
      </c>
      <c r="K2511" s="157" t="s">
        <v>1615</v>
      </c>
      <c r="L2511" s="157" t="s">
        <v>1914</v>
      </c>
      <c r="M2511" s="157" t="str">
        <f t="shared" si="54"/>
        <v>Lidar_SRL4 - Environment Mapping</v>
      </c>
      <c r="N2511" s="157"/>
      <c r="O2511" s="157"/>
      <c r="P2511" s="159" t="s">
        <v>8147</v>
      </c>
      <c r="Q2511" s="157" t="s">
        <v>2115</v>
      </c>
      <c r="R2511" s="157" t="s">
        <v>8599</v>
      </c>
      <c r="S2511" s="157" t="s">
        <v>8612</v>
      </c>
      <c r="T2511" s="157"/>
      <c r="U2511" s="159" t="s">
        <v>2129</v>
      </c>
      <c r="V2511" s="159" t="s">
        <v>2129</v>
      </c>
      <c r="W2511" s="159" t="s">
        <v>2129</v>
      </c>
      <c r="X2511" s="160">
        <v>1</v>
      </c>
      <c r="Y2511" s="160">
        <v>1</v>
      </c>
      <c r="Z2511" s="160">
        <v>1</v>
      </c>
      <c r="AA2511" s="160">
        <v>1</v>
      </c>
    </row>
    <row r="2512" spans="1:27" ht="18" customHeight="1" x14ac:dyDescent="0.25">
      <c r="A2512" s="159">
        <v>7048</v>
      </c>
      <c r="B2512" s="157" t="s">
        <v>266</v>
      </c>
      <c r="C2512" s="157" t="s">
        <v>519</v>
      </c>
      <c r="D2512" s="159" t="s">
        <v>935</v>
      </c>
      <c r="E2512" s="157" t="s">
        <v>933</v>
      </c>
      <c r="F2512" s="157"/>
      <c r="G2512" s="157" t="s">
        <v>1349</v>
      </c>
      <c r="H2512" s="157" t="s">
        <v>1350</v>
      </c>
      <c r="I2512" s="157" t="s">
        <v>1614</v>
      </c>
      <c r="J2512" s="157" t="s">
        <v>8295</v>
      </c>
      <c r="K2512" s="157" t="s">
        <v>1615</v>
      </c>
      <c r="L2512" s="157" t="s">
        <v>1914</v>
      </c>
      <c r="M2512" s="157" t="str">
        <f t="shared" si="54"/>
        <v>Lidar_SRL4 - Environment Mapping</v>
      </c>
      <c r="N2512" s="157"/>
      <c r="O2512" s="157"/>
      <c r="P2512" s="159" t="s">
        <v>8147</v>
      </c>
      <c r="Q2512" s="157" t="s">
        <v>2115</v>
      </c>
      <c r="R2512" s="157" t="s">
        <v>8599</v>
      </c>
      <c r="S2512" s="157" t="s">
        <v>8612</v>
      </c>
      <c r="T2512" s="157"/>
      <c r="U2512" s="159" t="s">
        <v>2129</v>
      </c>
      <c r="V2512" s="159" t="s">
        <v>2129</v>
      </c>
      <c r="W2512" s="159" t="s">
        <v>2129</v>
      </c>
      <c r="X2512" s="160">
        <v>1</v>
      </c>
      <c r="Y2512" s="160">
        <v>1</v>
      </c>
      <c r="Z2512" s="160">
        <v>1</v>
      </c>
      <c r="AA2512" s="160">
        <v>1</v>
      </c>
    </row>
    <row r="2513" spans="1:27" ht="18" customHeight="1" x14ac:dyDescent="0.25">
      <c r="A2513" s="159">
        <v>7048</v>
      </c>
      <c r="B2513" s="157" t="s">
        <v>266</v>
      </c>
      <c r="C2513" s="157" t="s">
        <v>519</v>
      </c>
      <c r="D2513" s="159" t="s">
        <v>1151</v>
      </c>
      <c r="E2513" s="157" t="s">
        <v>1149</v>
      </c>
      <c r="F2513" s="157"/>
      <c r="G2513" s="157" t="s">
        <v>1349</v>
      </c>
      <c r="H2513" s="157" t="s">
        <v>1350</v>
      </c>
      <c r="I2513" s="157" t="s">
        <v>1614</v>
      </c>
      <c r="J2513" s="157" t="s">
        <v>8295</v>
      </c>
      <c r="K2513" s="157" t="s">
        <v>1615</v>
      </c>
      <c r="L2513" s="157" t="s">
        <v>1914</v>
      </c>
      <c r="M2513" s="157" t="str">
        <f t="shared" si="54"/>
        <v>Lidar_SRL4 - Environment Mapping</v>
      </c>
      <c r="N2513" s="157"/>
      <c r="O2513" s="157"/>
      <c r="P2513" s="159" t="s">
        <v>8147</v>
      </c>
      <c r="Q2513" s="157" t="s">
        <v>2115</v>
      </c>
      <c r="R2513" s="157" t="s">
        <v>8599</v>
      </c>
      <c r="S2513" s="157" t="s">
        <v>8612</v>
      </c>
      <c r="T2513" s="157"/>
      <c r="U2513" s="159" t="s">
        <v>2129</v>
      </c>
      <c r="V2513" s="159" t="s">
        <v>2129</v>
      </c>
      <c r="W2513" s="159" t="s">
        <v>2129</v>
      </c>
      <c r="X2513" s="160">
        <v>1</v>
      </c>
      <c r="Y2513" s="160">
        <v>1</v>
      </c>
      <c r="Z2513" s="160">
        <v>1</v>
      </c>
      <c r="AA2513" s="160">
        <v>1</v>
      </c>
    </row>
    <row r="2514" spans="1:27" ht="18" customHeight="1" x14ac:dyDescent="0.25">
      <c r="A2514" s="159">
        <v>7048</v>
      </c>
      <c r="B2514" s="157" t="s">
        <v>266</v>
      </c>
      <c r="C2514" s="157" t="s">
        <v>519</v>
      </c>
      <c r="D2514" s="159" t="s">
        <v>1159</v>
      </c>
      <c r="E2514" s="157" t="s">
        <v>1157</v>
      </c>
      <c r="F2514" s="157"/>
      <c r="G2514" s="157" t="s">
        <v>1349</v>
      </c>
      <c r="H2514" s="157" t="s">
        <v>1350</v>
      </c>
      <c r="I2514" s="157" t="s">
        <v>1614</v>
      </c>
      <c r="J2514" s="157" t="s">
        <v>8295</v>
      </c>
      <c r="K2514" s="157" t="s">
        <v>1615</v>
      </c>
      <c r="L2514" s="157" t="s">
        <v>1914</v>
      </c>
      <c r="M2514" s="157" t="str">
        <f t="shared" si="54"/>
        <v>Lidar_SRL4 - Environment Mapping</v>
      </c>
      <c r="N2514" s="157"/>
      <c r="O2514" s="157"/>
      <c r="P2514" s="159" t="s">
        <v>8147</v>
      </c>
      <c r="Q2514" s="157" t="s">
        <v>2115</v>
      </c>
      <c r="R2514" s="157" t="s">
        <v>8599</v>
      </c>
      <c r="S2514" s="157" t="s">
        <v>8612</v>
      </c>
      <c r="T2514" s="157"/>
      <c r="U2514" s="159" t="s">
        <v>2129</v>
      </c>
      <c r="V2514" s="159" t="s">
        <v>2129</v>
      </c>
      <c r="W2514" s="159" t="s">
        <v>2129</v>
      </c>
      <c r="X2514" s="160">
        <v>1</v>
      </c>
      <c r="Y2514" s="160">
        <v>1</v>
      </c>
      <c r="Z2514" s="160">
        <v>1</v>
      </c>
      <c r="AA2514" s="160">
        <v>1</v>
      </c>
    </row>
    <row r="2515" spans="1:27" ht="18" customHeight="1" x14ac:dyDescent="0.25">
      <c r="A2515" s="159">
        <v>7050</v>
      </c>
      <c r="B2515" s="157" t="s">
        <v>266</v>
      </c>
      <c r="C2515" s="157" t="s">
        <v>276</v>
      </c>
      <c r="D2515" s="159" t="s">
        <v>1081</v>
      </c>
      <c r="E2515" s="157" t="s">
        <v>1155</v>
      </c>
      <c r="F2515" s="157"/>
      <c r="G2515" s="157" t="s">
        <v>1349</v>
      </c>
      <c r="H2515" s="157" t="s">
        <v>1418</v>
      </c>
      <c r="I2515" s="157" t="s">
        <v>1915</v>
      </c>
      <c r="J2515" s="157" t="s">
        <v>1916</v>
      </c>
      <c r="K2515" s="157" t="s">
        <v>1269</v>
      </c>
      <c r="L2515" s="157" t="s">
        <v>1916</v>
      </c>
      <c r="M2515" s="157" t="str">
        <f t="shared" si="54"/>
        <v>Microphone Front Left - Sound Detection</v>
      </c>
      <c r="N2515" s="157"/>
      <c r="O2515" s="157"/>
      <c r="P2515" s="159" t="s">
        <v>6026</v>
      </c>
      <c r="Q2515" s="157" t="s">
        <v>2115</v>
      </c>
      <c r="R2515" s="157" t="s">
        <v>2124</v>
      </c>
      <c r="S2515" s="157" t="s">
        <v>8608</v>
      </c>
      <c r="T2515" s="157"/>
      <c r="U2515" s="159" t="s">
        <v>2129</v>
      </c>
      <c r="V2515" s="159" t="s">
        <v>2129</v>
      </c>
      <c r="W2515" s="159" t="s">
        <v>2138</v>
      </c>
      <c r="X2515" s="160">
        <v>1</v>
      </c>
      <c r="Y2515" s="160">
        <v>1</v>
      </c>
      <c r="Z2515" s="160">
        <v>1</v>
      </c>
      <c r="AA2515" s="160">
        <v>1</v>
      </c>
    </row>
    <row r="2516" spans="1:27" ht="18" customHeight="1" x14ac:dyDescent="0.25">
      <c r="A2516" s="159">
        <v>7051</v>
      </c>
      <c r="B2516" s="157" t="s">
        <v>266</v>
      </c>
      <c r="C2516" s="157" t="s">
        <v>276</v>
      </c>
      <c r="D2516" s="159" t="s">
        <v>1081</v>
      </c>
      <c r="E2516" s="157" t="s">
        <v>1155</v>
      </c>
      <c r="F2516" s="157"/>
      <c r="G2516" s="157" t="s">
        <v>1349</v>
      </c>
      <c r="H2516" s="157" t="s">
        <v>1418</v>
      </c>
      <c r="I2516" s="157" t="s">
        <v>1915</v>
      </c>
      <c r="J2516" s="157" t="s">
        <v>1917</v>
      </c>
      <c r="K2516" s="157" t="s">
        <v>1269</v>
      </c>
      <c r="L2516" s="157" t="s">
        <v>8651</v>
      </c>
      <c r="M2516" s="157" t="str">
        <f t="shared" si="54"/>
        <v>Microphone Front Middle - Sound Detection</v>
      </c>
      <c r="N2516" s="157"/>
      <c r="O2516" s="157"/>
      <c r="P2516" s="159" t="s">
        <v>5747</v>
      </c>
      <c r="Q2516" s="157" t="s">
        <v>2115</v>
      </c>
      <c r="R2516" s="157" t="s">
        <v>2124</v>
      </c>
      <c r="S2516" s="157" t="s">
        <v>8608</v>
      </c>
      <c r="T2516" s="157"/>
      <c r="U2516" s="159" t="s">
        <v>2129</v>
      </c>
      <c r="V2516" s="159" t="s">
        <v>2129</v>
      </c>
      <c r="W2516" s="159" t="s">
        <v>2138</v>
      </c>
      <c r="X2516" s="160">
        <v>1</v>
      </c>
      <c r="Y2516" s="160">
        <v>1</v>
      </c>
      <c r="Z2516" s="160">
        <v>1</v>
      </c>
      <c r="AA2516" s="160">
        <v>1</v>
      </c>
    </row>
    <row r="2517" spans="1:27" ht="18" customHeight="1" x14ac:dyDescent="0.25">
      <c r="A2517" s="159">
        <v>7052</v>
      </c>
      <c r="B2517" s="157" t="s">
        <v>266</v>
      </c>
      <c r="C2517" s="157" t="s">
        <v>276</v>
      </c>
      <c r="D2517" s="159" t="s">
        <v>1081</v>
      </c>
      <c r="E2517" s="157" t="s">
        <v>1155</v>
      </c>
      <c r="F2517" s="157"/>
      <c r="G2517" s="157" t="s">
        <v>1349</v>
      </c>
      <c r="H2517" s="157" t="s">
        <v>1418</v>
      </c>
      <c r="I2517" s="157" t="s">
        <v>1915</v>
      </c>
      <c r="J2517" s="157" t="s">
        <v>1918</v>
      </c>
      <c r="K2517" s="157" t="s">
        <v>1269</v>
      </c>
      <c r="L2517" s="157" t="s">
        <v>1918</v>
      </c>
      <c r="M2517" s="157" t="str">
        <f t="shared" si="54"/>
        <v>Microphone Front Right - Sound Detection</v>
      </c>
      <c r="N2517" s="157"/>
      <c r="O2517" s="157"/>
      <c r="P2517" s="159" t="s">
        <v>5468</v>
      </c>
      <c r="Q2517" s="157" t="s">
        <v>2115</v>
      </c>
      <c r="R2517" s="157" t="s">
        <v>2124</v>
      </c>
      <c r="S2517" s="157" t="s">
        <v>8608</v>
      </c>
      <c r="T2517" s="157"/>
      <c r="U2517" s="159" t="s">
        <v>2129</v>
      </c>
      <c r="V2517" s="159" t="s">
        <v>2129</v>
      </c>
      <c r="W2517" s="159" t="s">
        <v>2138</v>
      </c>
      <c r="X2517" s="160">
        <v>1</v>
      </c>
      <c r="Y2517" s="160">
        <v>1</v>
      </c>
      <c r="Z2517" s="160">
        <v>1</v>
      </c>
      <c r="AA2517" s="160">
        <v>1</v>
      </c>
    </row>
    <row r="2518" spans="1:27" ht="18" customHeight="1" x14ac:dyDescent="0.25">
      <c r="A2518" s="159">
        <v>7053</v>
      </c>
      <c r="B2518" s="157" t="s">
        <v>266</v>
      </c>
      <c r="C2518" s="157" t="s">
        <v>276</v>
      </c>
      <c r="D2518" s="159" t="s">
        <v>1081</v>
      </c>
      <c r="E2518" s="157" t="s">
        <v>1155</v>
      </c>
      <c r="F2518" s="157"/>
      <c r="G2518" s="157" t="s">
        <v>1349</v>
      </c>
      <c r="H2518" s="157" t="s">
        <v>1418</v>
      </c>
      <c r="I2518" s="157" t="s">
        <v>1915</v>
      </c>
      <c r="J2518" s="157" t="s">
        <v>1919</v>
      </c>
      <c r="K2518" s="157" t="s">
        <v>1269</v>
      </c>
      <c r="L2518" s="157" t="s">
        <v>1919</v>
      </c>
      <c r="M2518" s="157" t="str">
        <f t="shared" si="54"/>
        <v>Microphone Rear Left - Sound Detection</v>
      </c>
      <c r="N2518" s="157"/>
      <c r="O2518" s="157"/>
      <c r="P2518" s="159" t="s">
        <v>7021</v>
      </c>
      <c r="Q2518" s="157" t="s">
        <v>2115</v>
      </c>
      <c r="R2518" s="157" t="s">
        <v>2124</v>
      </c>
      <c r="S2518" s="157" t="s">
        <v>8608</v>
      </c>
      <c r="T2518" s="157"/>
      <c r="U2518" s="159" t="s">
        <v>2129</v>
      </c>
      <c r="V2518" s="159" t="s">
        <v>2129</v>
      </c>
      <c r="W2518" s="159" t="s">
        <v>2138</v>
      </c>
      <c r="X2518" s="160">
        <v>1</v>
      </c>
      <c r="Y2518" s="160">
        <v>1</v>
      </c>
      <c r="Z2518" s="160">
        <v>1</v>
      </c>
      <c r="AA2518" s="160">
        <v>1</v>
      </c>
    </row>
    <row r="2519" spans="1:27" ht="18" customHeight="1" x14ac:dyDescent="0.25">
      <c r="A2519" s="159">
        <v>7054</v>
      </c>
      <c r="B2519" s="157" t="s">
        <v>266</v>
      </c>
      <c r="C2519" s="157" t="s">
        <v>276</v>
      </c>
      <c r="D2519" s="159" t="s">
        <v>1081</v>
      </c>
      <c r="E2519" s="157" t="s">
        <v>1155</v>
      </c>
      <c r="F2519" s="157"/>
      <c r="G2519" s="157" t="s">
        <v>1349</v>
      </c>
      <c r="H2519" s="157" t="s">
        <v>1418</v>
      </c>
      <c r="I2519" s="157" t="s">
        <v>1915</v>
      </c>
      <c r="J2519" s="157" t="s">
        <v>1920</v>
      </c>
      <c r="K2519" s="157" t="s">
        <v>1269</v>
      </c>
      <c r="L2519" s="157" t="s">
        <v>1920</v>
      </c>
      <c r="M2519" s="157" t="str">
        <f t="shared" si="54"/>
        <v>Microphone Rear Middle - Sound Detection</v>
      </c>
      <c r="N2519" s="157"/>
      <c r="O2519" s="157"/>
      <c r="P2519" s="159" t="s">
        <v>5768</v>
      </c>
      <c r="Q2519" s="157" t="s">
        <v>2115</v>
      </c>
      <c r="R2519" s="157" t="s">
        <v>2124</v>
      </c>
      <c r="S2519" s="157" t="s">
        <v>8608</v>
      </c>
      <c r="T2519" s="157"/>
      <c r="U2519" s="159" t="s">
        <v>2129</v>
      </c>
      <c r="V2519" s="159" t="s">
        <v>2129</v>
      </c>
      <c r="W2519" s="159" t="s">
        <v>2138</v>
      </c>
      <c r="X2519" s="160">
        <v>1</v>
      </c>
      <c r="Y2519" s="160">
        <v>1</v>
      </c>
      <c r="Z2519" s="160">
        <v>1</v>
      </c>
      <c r="AA2519" s="160">
        <v>1</v>
      </c>
    </row>
    <row r="2520" spans="1:27" ht="18" customHeight="1" x14ac:dyDescent="0.25">
      <c r="A2520" s="159">
        <v>7055</v>
      </c>
      <c r="B2520" s="157" t="s">
        <v>266</v>
      </c>
      <c r="C2520" s="157" t="s">
        <v>276</v>
      </c>
      <c r="D2520" s="159" t="s">
        <v>1081</v>
      </c>
      <c r="E2520" s="157" t="s">
        <v>1155</v>
      </c>
      <c r="F2520" s="157"/>
      <c r="G2520" s="157" t="s">
        <v>1349</v>
      </c>
      <c r="H2520" s="157" t="s">
        <v>1418</v>
      </c>
      <c r="I2520" s="157" t="s">
        <v>1915</v>
      </c>
      <c r="J2520" s="157" t="s">
        <v>1921</v>
      </c>
      <c r="K2520" s="157" t="s">
        <v>1269</v>
      </c>
      <c r="L2520" s="157" t="s">
        <v>1921</v>
      </c>
      <c r="M2520" s="157" t="str">
        <f t="shared" si="54"/>
        <v>Microphone Rear Right - Sound Detection</v>
      </c>
      <c r="N2520" s="157"/>
      <c r="O2520" s="157"/>
      <c r="P2520" s="159" t="s">
        <v>4577</v>
      </c>
      <c r="Q2520" s="157" t="s">
        <v>2115</v>
      </c>
      <c r="R2520" s="157" t="s">
        <v>2124</v>
      </c>
      <c r="S2520" s="157" t="s">
        <v>8608</v>
      </c>
      <c r="T2520" s="157"/>
      <c r="U2520" s="159" t="s">
        <v>2129</v>
      </c>
      <c r="V2520" s="159" t="s">
        <v>2129</v>
      </c>
      <c r="W2520" s="159" t="s">
        <v>2138</v>
      </c>
      <c r="X2520" s="160">
        <v>1</v>
      </c>
      <c r="Y2520" s="160">
        <v>1</v>
      </c>
      <c r="Z2520" s="160">
        <v>1</v>
      </c>
      <c r="AA2520" s="160">
        <v>1</v>
      </c>
    </row>
    <row r="2521" spans="1:27" ht="18" customHeight="1" x14ac:dyDescent="0.25">
      <c r="A2521" s="159">
        <v>7056</v>
      </c>
      <c r="B2521" s="157" t="s">
        <v>29</v>
      </c>
      <c r="C2521" s="157" t="s">
        <v>30</v>
      </c>
      <c r="D2521" s="159" t="s">
        <v>220</v>
      </c>
      <c r="E2521" s="157" t="s">
        <v>218</v>
      </c>
      <c r="F2521" s="157" t="s">
        <v>1264</v>
      </c>
      <c r="G2521" s="157" t="s">
        <v>1536</v>
      </c>
      <c r="H2521" s="157" t="s">
        <v>1287</v>
      </c>
      <c r="I2521" s="157" t="s">
        <v>1922</v>
      </c>
      <c r="J2521" s="157" t="s">
        <v>1422</v>
      </c>
      <c r="K2521" s="157" t="s">
        <v>1269</v>
      </c>
      <c r="L2521" s="157" t="s">
        <v>9522</v>
      </c>
      <c r="M2521" s="157" t="str">
        <f t="shared" si="54"/>
        <v>Bulb P5W - Side Marker Front Right</v>
      </c>
      <c r="N2521" s="157"/>
      <c r="O2521" s="157"/>
      <c r="P2521" s="159" t="s">
        <v>3079</v>
      </c>
      <c r="Q2521" s="157" t="s">
        <v>2115</v>
      </c>
      <c r="R2521" s="157" t="s">
        <v>9527</v>
      </c>
      <c r="S2521" s="157" t="s">
        <v>9528</v>
      </c>
      <c r="T2521" s="157" t="s">
        <v>2129</v>
      </c>
      <c r="U2521" s="159" t="s">
        <v>2138</v>
      </c>
      <c r="V2521" s="159" t="s">
        <v>2129</v>
      </c>
      <c r="W2521" s="159" t="s">
        <v>2129</v>
      </c>
      <c r="X2521" s="160">
        <v>0</v>
      </c>
      <c r="Y2521" s="160">
        <v>0</v>
      </c>
      <c r="Z2521" s="160">
        <v>1</v>
      </c>
      <c r="AA2521" s="160">
        <v>1</v>
      </c>
    </row>
    <row r="2522" spans="1:27" ht="18" customHeight="1" x14ac:dyDescent="0.25">
      <c r="A2522" s="159">
        <v>7056</v>
      </c>
      <c r="B2522" s="157" t="s">
        <v>29</v>
      </c>
      <c r="C2522" s="157" t="s">
        <v>30</v>
      </c>
      <c r="D2522" s="159" t="s">
        <v>220</v>
      </c>
      <c r="E2522" s="157" t="s">
        <v>218</v>
      </c>
      <c r="F2522" s="157" t="s">
        <v>1264</v>
      </c>
      <c r="G2522" s="157" t="s">
        <v>1536</v>
      </c>
      <c r="H2522" s="157" t="s">
        <v>1287</v>
      </c>
      <c r="I2522" s="157" t="s">
        <v>9755</v>
      </c>
      <c r="J2522" s="157" t="s">
        <v>1422</v>
      </c>
      <c r="K2522" s="157" t="s">
        <v>1269</v>
      </c>
      <c r="L2522" s="157" t="s">
        <v>9751</v>
      </c>
      <c r="M2522" s="157" t="str">
        <f t="shared" si="54"/>
        <v>Side Marker Bulb P5W - Position Lamp Right</v>
      </c>
      <c r="N2522" s="157"/>
      <c r="O2522" s="157"/>
      <c r="P2522" s="159" t="s">
        <v>3079</v>
      </c>
      <c r="Q2522" s="157" t="s">
        <v>2115</v>
      </c>
      <c r="R2522" s="157" t="s">
        <v>9527</v>
      </c>
      <c r="S2522" s="157" t="s">
        <v>9528</v>
      </c>
      <c r="T2522" s="157" t="s">
        <v>2129</v>
      </c>
      <c r="U2522" s="159" t="s">
        <v>2138</v>
      </c>
      <c r="V2522" s="159" t="s">
        <v>2129</v>
      </c>
      <c r="W2522" s="159" t="s">
        <v>2129</v>
      </c>
      <c r="X2522" s="160">
        <v>0</v>
      </c>
      <c r="Y2522" s="160">
        <v>0</v>
      </c>
      <c r="Z2522" s="160">
        <v>1</v>
      </c>
      <c r="AA2522" s="160">
        <v>1</v>
      </c>
    </row>
    <row r="2523" spans="1:27" ht="18" customHeight="1" x14ac:dyDescent="0.25">
      <c r="A2523" s="159">
        <v>7057</v>
      </c>
      <c r="B2523" s="157" t="s">
        <v>29</v>
      </c>
      <c r="C2523" s="157" t="s">
        <v>30</v>
      </c>
      <c r="D2523" s="159" t="s">
        <v>749</v>
      </c>
      <c r="E2523" s="157" t="s">
        <v>747</v>
      </c>
      <c r="F2523" s="157" t="s">
        <v>1264</v>
      </c>
      <c r="G2523" s="157" t="s">
        <v>1536</v>
      </c>
      <c r="H2523" s="157" t="s">
        <v>1287</v>
      </c>
      <c r="I2523" s="157" t="s">
        <v>1923</v>
      </c>
      <c r="J2523" s="157" t="s">
        <v>1340</v>
      </c>
      <c r="K2523" s="157" t="s">
        <v>1269</v>
      </c>
      <c r="L2523" s="157" t="s">
        <v>1286</v>
      </c>
      <c r="M2523" s="157" t="str">
        <f t="shared" si="54"/>
        <v>LED Lamp - Side Marker Rear Left</v>
      </c>
      <c r="N2523" s="157"/>
      <c r="O2523" s="157"/>
      <c r="P2523" s="159" t="s">
        <v>8116</v>
      </c>
      <c r="Q2523" s="157"/>
      <c r="R2523" s="157"/>
      <c r="S2523" s="157"/>
      <c r="T2523" s="157"/>
      <c r="U2523" s="159" t="s">
        <v>2129</v>
      </c>
      <c r="V2523" s="159" t="s">
        <v>2138</v>
      </c>
      <c r="W2523" s="159" t="s">
        <v>2138</v>
      </c>
      <c r="X2523" s="160">
        <v>0</v>
      </c>
      <c r="Y2523" s="160">
        <v>0</v>
      </c>
      <c r="Z2523" s="160">
        <v>1</v>
      </c>
      <c r="AA2523" s="160">
        <v>1</v>
      </c>
    </row>
    <row r="2524" spans="1:27" ht="18" customHeight="1" x14ac:dyDescent="0.25">
      <c r="A2524" s="159">
        <v>7057</v>
      </c>
      <c r="B2524" s="157" t="s">
        <v>29</v>
      </c>
      <c r="C2524" s="157" t="s">
        <v>30</v>
      </c>
      <c r="D2524" s="159" t="s">
        <v>749</v>
      </c>
      <c r="E2524" s="157" t="s">
        <v>747</v>
      </c>
      <c r="F2524" s="157" t="s">
        <v>1264</v>
      </c>
      <c r="G2524" s="157" t="s">
        <v>1536</v>
      </c>
      <c r="H2524" s="157" t="s">
        <v>1287</v>
      </c>
      <c r="I2524" s="157" t="s">
        <v>9756</v>
      </c>
      <c r="J2524" s="157" t="s">
        <v>1340</v>
      </c>
      <c r="K2524" s="157" t="s">
        <v>1269</v>
      </c>
      <c r="L2524" s="157" t="s">
        <v>9752</v>
      </c>
      <c r="M2524" s="157" t="str">
        <f t="shared" si="54"/>
        <v>Side Marker LED Lamp - Position Lamp Left</v>
      </c>
      <c r="N2524" s="157"/>
      <c r="O2524" s="157"/>
      <c r="P2524" s="159" t="s">
        <v>8116</v>
      </c>
      <c r="Q2524" s="157"/>
      <c r="R2524" s="157"/>
      <c r="S2524" s="157"/>
      <c r="T2524" s="157"/>
      <c r="U2524" s="159" t="s">
        <v>2129</v>
      </c>
      <c r="V2524" s="159" t="s">
        <v>2138</v>
      </c>
      <c r="W2524" s="159" t="s">
        <v>2138</v>
      </c>
      <c r="X2524" s="160">
        <v>0</v>
      </c>
      <c r="Y2524" s="160">
        <v>0</v>
      </c>
      <c r="Z2524" s="160">
        <v>1</v>
      </c>
      <c r="AA2524" s="160">
        <v>1</v>
      </c>
    </row>
    <row r="2525" spans="1:27" ht="18" customHeight="1" x14ac:dyDescent="0.25">
      <c r="A2525" s="159">
        <v>7058</v>
      </c>
      <c r="B2525" s="157" t="s">
        <v>29</v>
      </c>
      <c r="C2525" s="157" t="s">
        <v>30</v>
      </c>
      <c r="D2525" s="159" t="s">
        <v>96</v>
      </c>
      <c r="E2525" s="157" t="s">
        <v>402</v>
      </c>
      <c r="F2525" s="157" t="s">
        <v>1275</v>
      </c>
      <c r="G2525" s="157" t="s">
        <v>1536</v>
      </c>
      <c r="H2525" s="157" t="s">
        <v>1287</v>
      </c>
      <c r="I2525" s="157" t="s">
        <v>2097</v>
      </c>
      <c r="J2525" s="157" t="s">
        <v>1578</v>
      </c>
      <c r="K2525" s="157" t="s">
        <v>1269</v>
      </c>
      <c r="L2525" s="157" t="s">
        <v>1587</v>
      </c>
      <c r="M2525" s="157" t="str">
        <f t="shared" si="54"/>
        <v>P21W - Side Blinker Right</v>
      </c>
      <c r="N2525" s="157"/>
      <c r="O2525" s="157"/>
      <c r="P2525" s="159" t="s">
        <v>2242</v>
      </c>
      <c r="Q2525" s="157"/>
      <c r="R2525" s="157"/>
      <c r="S2525" s="157"/>
      <c r="T2525" s="157"/>
      <c r="U2525" s="159"/>
      <c r="V2525" s="159"/>
      <c r="W2525" s="159"/>
      <c r="X2525" s="160"/>
      <c r="Y2525" s="160"/>
      <c r="Z2525" s="160"/>
      <c r="AA2525" s="160"/>
    </row>
    <row r="2526" spans="1:27" ht="18" customHeight="1" x14ac:dyDescent="0.25">
      <c r="A2526" s="159">
        <v>7058</v>
      </c>
      <c r="B2526" s="157" t="s">
        <v>29</v>
      </c>
      <c r="C2526" s="157" t="s">
        <v>30</v>
      </c>
      <c r="D2526" s="159" t="s">
        <v>96</v>
      </c>
      <c r="E2526" s="157" t="s">
        <v>402</v>
      </c>
      <c r="F2526" s="157" t="s">
        <v>1277</v>
      </c>
      <c r="G2526" s="157" t="s">
        <v>1536</v>
      </c>
      <c r="H2526" s="157" t="s">
        <v>1287</v>
      </c>
      <c r="I2526" s="157" t="s">
        <v>9760</v>
      </c>
      <c r="J2526" s="157" t="s">
        <v>1578</v>
      </c>
      <c r="K2526" s="157" t="s">
        <v>1269</v>
      </c>
      <c r="L2526" s="157" t="s">
        <v>9746</v>
      </c>
      <c r="M2526" s="157" t="str">
        <f t="shared" si="54"/>
        <v>Side Repeater P21W - Turn Signal Right</v>
      </c>
      <c r="N2526" s="157"/>
      <c r="O2526" s="157"/>
      <c r="P2526" s="159" t="s">
        <v>2242</v>
      </c>
      <c r="Q2526" s="157"/>
      <c r="R2526" s="157"/>
      <c r="S2526" s="157"/>
      <c r="T2526" s="157"/>
      <c r="U2526" s="159" t="s">
        <v>2138</v>
      </c>
      <c r="V2526" s="159" t="s">
        <v>2129</v>
      </c>
      <c r="W2526" s="159" t="s">
        <v>2129</v>
      </c>
      <c r="X2526" s="160">
        <v>0.3</v>
      </c>
      <c r="Y2526" s="160">
        <v>0.1</v>
      </c>
      <c r="Z2526" s="160">
        <v>0.3</v>
      </c>
      <c r="AA2526" s="160">
        <v>0.1</v>
      </c>
    </row>
    <row r="2527" spans="1:27" ht="18" customHeight="1" x14ac:dyDescent="0.25">
      <c r="A2527" s="159">
        <v>7059</v>
      </c>
      <c r="B2527" s="157" t="s">
        <v>266</v>
      </c>
      <c r="C2527" s="157" t="s">
        <v>519</v>
      </c>
      <c r="D2527" s="159" t="s">
        <v>1159</v>
      </c>
      <c r="E2527" s="157" t="s">
        <v>1157</v>
      </c>
      <c r="F2527" s="157"/>
      <c r="G2527" s="157" t="s">
        <v>13</v>
      </c>
      <c r="H2527" s="157" t="s">
        <v>1354</v>
      </c>
      <c r="I2527" s="157" t="s">
        <v>1924</v>
      </c>
      <c r="J2527" s="157" t="s">
        <v>1285</v>
      </c>
      <c r="K2527" s="157" t="s">
        <v>1274</v>
      </c>
      <c r="L2527" s="157" t="s">
        <v>1925</v>
      </c>
      <c r="M2527" s="157" t="str">
        <f t="shared" si="54"/>
        <v>Hard Disk Drive - Data storage</v>
      </c>
      <c r="N2527" s="157"/>
      <c r="O2527" s="157"/>
      <c r="P2527" s="159"/>
      <c r="Q2527" s="157"/>
      <c r="R2527" s="157"/>
      <c r="S2527" s="157"/>
      <c r="T2527" s="157"/>
      <c r="U2527" s="159"/>
      <c r="V2527" s="159"/>
      <c r="W2527" s="159"/>
      <c r="X2527" s="160"/>
      <c r="Y2527" s="160"/>
      <c r="Z2527" s="160"/>
      <c r="AA2527" s="160"/>
    </row>
    <row r="2528" spans="1:27" ht="18" customHeight="1" x14ac:dyDescent="0.25">
      <c r="A2528" s="159">
        <v>7060</v>
      </c>
      <c r="B2528" s="157" t="s">
        <v>77</v>
      </c>
      <c r="C2528" s="157" t="s">
        <v>136</v>
      </c>
      <c r="D2528" s="159" t="s">
        <v>1060</v>
      </c>
      <c r="E2528" s="157" t="s">
        <v>1058</v>
      </c>
      <c r="F2528" s="157" t="s">
        <v>1010</v>
      </c>
      <c r="G2528" s="157" t="s">
        <v>1278</v>
      </c>
      <c r="H2528" s="157" t="s">
        <v>1308</v>
      </c>
      <c r="I2528" s="157" t="s">
        <v>1309</v>
      </c>
      <c r="J2528" s="157" t="s">
        <v>1310</v>
      </c>
      <c r="K2528" s="157" t="s">
        <v>1269</v>
      </c>
      <c r="L2528" s="157" t="s">
        <v>9661</v>
      </c>
      <c r="M2528" s="157" t="str">
        <f t="shared" si="54"/>
        <v>Air Pump - Passenger Seat - Lumbar Massage</v>
      </c>
      <c r="N2528" s="157"/>
      <c r="O2528" s="157"/>
      <c r="P2528" s="159" t="s">
        <v>4355</v>
      </c>
      <c r="Q2528" s="157" t="s">
        <v>2115</v>
      </c>
      <c r="R2528" s="157" t="s">
        <v>8660</v>
      </c>
      <c r="S2528" s="157" t="s">
        <v>8621</v>
      </c>
      <c r="T2528" s="157"/>
      <c r="U2528" s="159" t="s">
        <v>2129</v>
      </c>
      <c r="V2528" s="159" t="s">
        <v>2129</v>
      </c>
      <c r="W2528" s="159" t="s">
        <v>2138</v>
      </c>
      <c r="X2528" s="160">
        <f>2/20</f>
        <v>0.1</v>
      </c>
      <c r="Y2528" s="160">
        <f>5/20</f>
        <v>0.25</v>
      </c>
      <c r="Z2528" s="160">
        <f>2/20</f>
        <v>0.1</v>
      </c>
      <c r="AA2528" s="160">
        <f>5/20</f>
        <v>0.25</v>
      </c>
    </row>
    <row r="2529" spans="1:27" ht="18" customHeight="1" x14ac:dyDescent="0.25">
      <c r="A2529" s="159">
        <v>7061</v>
      </c>
      <c r="B2529" s="157" t="s">
        <v>77</v>
      </c>
      <c r="C2529" s="157" t="s">
        <v>136</v>
      </c>
      <c r="D2529" s="159" t="s">
        <v>1060</v>
      </c>
      <c r="E2529" s="157" t="s">
        <v>1058</v>
      </c>
      <c r="F2529" s="157" t="s">
        <v>1010</v>
      </c>
      <c r="G2529" s="157" t="s">
        <v>1278</v>
      </c>
      <c r="H2529" s="157" t="s">
        <v>1308</v>
      </c>
      <c r="I2529" s="157" t="s">
        <v>1309</v>
      </c>
      <c r="J2529" s="157" t="s">
        <v>1310</v>
      </c>
      <c r="K2529" s="157" t="s">
        <v>1269</v>
      </c>
      <c r="L2529" s="157" t="s">
        <v>8659</v>
      </c>
      <c r="M2529" s="157" t="str">
        <f t="shared" si="54"/>
        <v>Valve - Passenger Seat - Lumbar Massage</v>
      </c>
      <c r="N2529" s="157"/>
      <c r="O2529" s="157"/>
      <c r="P2529" s="159" t="s">
        <v>4355</v>
      </c>
      <c r="Q2529" s="157" t="s">
        <v>2115</v>
      </c>
      <c r="R2529" s="157" t="s">
        <v>2125</v>
      </c>
      <c r="S2529" s="157" t="s">
        <v>8631</v>
      </c>
      <c r="T2529" s="157"/>
      <c r="U2529" s="159" t="s">
        <v>2129</v>
      </c>
      <c r="V2529" s="159" t="s">
        <v>2129</v>
      </c>
      <c r="W2529" s="159" t="s">
        <v>2138</v>
      </c>
      <c r="X2529" s="160">
        <f>2/20</f>
        <v>0.1</v>
      </c>
      <c r="Y2529" s="160">
        <f>5/20</f>
        <v>0.25</v>
      </c>
      <c r="Z2529" s="160">
        <f>2/20</f>
        <v>0.1</v>
      </c>
      <c r="AA2529" s="160">
        <f>5/20</f>
        <v>0.25</v>
      </c>
    </row>
    <row r="2530" spans="1:27" ht="18" customHeight="1" x14ac:dyDescent="0.25">
      <c r="A2530" s="159">
        <v>7062</v>
      </c>
      <c r="B2530" s="157" t="s">
        <v>77</v>
      </c>
      <c r="C2530" s="157" t="s">
        <v>78</v>
      </c>
      <c r="D2530" s="159" t="s">
        <v>81</v>
      </c>
      <c r="E2530" s="157" t="s">
        <v>79</v>
      </c>
      <c r="F2530" s="157" t="s">
        <v>1264</v>
      </c>
      <c r="G2530" s="157" t="s">
        <v>1278</v>
      </c>
      <c r="H2530" s="157" t="s">
        <v>1518</v>
      </c>
      <c r="I2530" s="157" t="s">
        <v>1293</v>
      </c>
      <c r="J2530" s="157" t="s">
        <v>1519</v>
      </c>
      <c r="K2530" s="157" t="s">
        <v>1312</v>
      </c>
      <c r="L2530" s="157" t="s">
        <v>1926</v>
      </c>
      <c r="M2530" s="157" t="str">
        <f t="shared" si="54"/>
        <v>Rear Light Sensor - Rear View</v>
      </c>
      <c r="N2530" s="157"/>
      <c r="O2530" s="157"/>
      <c r="P2530" s="159"/>
      <c r="Q2530" s="157"/>
      <c r="R2530" s="157"/>
      <c r="S2530" s="157"/>
      <c r="T2530" s="157"/>
      <c r="U2530" s="159"/>
      <c r="V2530" s="159"/>
      <c r="W2530" s="159"/>
      <c r="X2530" s="160"/>
      <c r="Y2530" s="160"/>
      <c r="Z2530" s="160"/>
      <c r="AA2530" s="160"/>
    </row>
    <row r="2531" spans="1:27" ht="18" customHeight="1" x14ac:dyDescent="0.25">
      <c r="A2531" s="159">
        <v>7062</v>
      </c>
      <c r="B2531" s="157" t="s">
        <v>77</v>
      </c>
      <c r="C2531" s="157" t="s">
        <v>78</v>
      </c>
      <c r="D2531" s="159" t="s">
        <v>109</v>
      </c>
      <c r="E2531" s="157" t="s">
        <v>107</v>
      </c>
      <c r="F2531" s="157" t="s">
        <v>1264</v>
      </c>
      <c r="G2531" s="157" t="s">
        <v>1278</v>
      </c>
      <c r="H2531" s="157" t="s">
        <v>1518</v>
      </c>
      <c r="I2531" s="157" t="s">
        <v>1293</v>
      </c>
      <c r="J2531" s="157" t="s">
        <v>1519</v>
      </c>
      <c r="K2531" s="157" t="s">
        <v>1312</v>
      </c>
      <c r="L2531" s="157" t="s">
        <v>1926</v>
      </c>
      <c r="M2531" s="157" t="str">
        <f t="shared" si="54"/>
        <v>Rear Light Sensor - Rear View</v>
      </c>
      <c r="N2531" s="157"/>
      <c r="O2531" s="157"/>
      <c r="P2531" s="159"/>
      <c r="Q2531" s="157"/>
      <c r="R2531" s="157"/>
      <c r="S2531" s="157"/>
      <c r="T2531" s="157"/>
      <c r="U2531" s="159"/>
      <c r="V2531" s="159"/>
      <c r="W2531" s="159"/>
      <c r="X2531" s="160"/>
      <c r="Y2531" s="160"/>
      <c r="Z2531" s="160"/>
      <c r="AA2531" s="160"/>
    </row>
    <row r="2532" spans="1:27" ht="18" customHeight="1" x14ac:dyDescent="0.25">
      <c r="A2532" s="159">
        <v>7064</v>
      </c>
      <c r="B2532" s="157" t="s">
        <v>77</v>
      </c>
      <c r="C2532" s="157" t="s">
        <v>1064</v>
      </c>
      <c r="D2532" s="159" t="s">
        <v>1067</v>
      </c>
      <c r="E2532" s="157" t="s">
        <v>1065</v>
      </c>
      <c r="F2532" s="157" t="s">
        <v>73</v>
      </c>
      <c r="G2532" s="157" t="s">
        <v>1278</v>
      </c>
      <c r="H2532" s="157" t="s">
        <v>1364</v>
      </c>
      <c r="I2532" s="157" t="s">
        <v>1365</v>
      </c>
      <c r="J2532" s="157" t="s">
        <v>1366</v>
      </c>
      <c r="K2532" s="157" t="s">
        <v>1281</v>
      </c>
      <c r="L2532" s="157" t="s">
        <v>1927</v>
      </c>
      <c r="M2532" s="157" t="str">
        <f t="shared" si="54"/>
        <v>Adjustment Switch - Steering Column Movement</v>
      </c>
      <c r="N2532" s="157"/>
      <c r="O2532" s="157"/>
      <c r="P2532" s="159" t="s">
        <v>6875</v>
      </c>
      <c r="Q2532" s="157" t="s">
        <v>2115</v>
      </c>
      <c r="R2532" s="157" t="s">
        <v>8278</v>
      </c>
      <c r="S2532" s="157" t="s">
        <v>8611</v>
      </c>
      <c r="T2532" s="157"/>
      <c r="U2532" s="159" t="s">
        <v>2129</v>
      </c>
      <c r="V2532" s="159" t="s">
        <v>2129</v>
      </c>
      <c r="W2532" s="159" t="s">
        <v>2138</v>
      </c>
      <c r="X2532" s="160">
        <v>0</v>
      </c>
      <c r="Y2532" s="160">
        <v>0</v>
      </c>
      <c r="Z2532" s="160">
        <v>0</v>
      </c>
      <c r="AA2532" s="160">
        <v>0</v>
      </c>
    </row>
    <row r="2533" spans="1:27" ht="18" customHeight="1" x14ac:dyDescent="0.25">
      <c r="A2533" s="159">
        <v>7065</v>
      </c>
      <c r="B2533" s="157" t="s">
        <v>77</v>
      </c>
      <c r="C2533" s="157" t="s">
        <v>1068</v>
      </c>
      <c r="D2533" s="159" t="s">
        <v>1071</v>
      </c>
      <c r="E2533" s="157" t="s">
        <v>1069</v>
      </c>
      <c r="F2533" s="157" t="s">
        <v>73</v>
      </c>
      <c r="G2533" s="157" t="s">
        <v>1278</v>
      </c>
      <c r="H2533" s="157" t="s">
        <v>1294</v>
      </c>
      <c r="I2533" s="157" t="s">
        <v>1367</v>
      </c>
      <c r="J2533" s="157" t="s">
        <v>1278</v>
      </c>
      <c r="K2533" s="157" t="s">
        <v>1281</v>
      </c>
      <c r="L2533" s="157" t="s">
        <v>1928</v>
      </c>
      <c r="M2533" s="157" t="str">
        <f t="shared" si="54"/>
        <v>Opening Switch - Glove Box Openning</v>
      </c>
      <c r="N2533" s="157"/>
      <c r="O2533" s="157"/>
      <c r="P2533" s="159" t="s">
        <v>4248</v>
      </c>
      <c r="Q2533" s="157" t="s">
        <v>2115</v>
      </c>
      <c r="R2533" s="157" t="s">
        <v>8282</v>
      </c>
      <c r="S2533" s="157" t="s">
        <v>8631</v>
      </c>
      <c r="T2533" s="157"/>
      <c r="U2533" s="159" t="s">
        <v>2129</v>
      </c>
      <c r="V2533" s="159" t="s">
        <v>2129</v>
      </c>
      <c r="W2533" s="159" t="s">
        <v>2138</v>
      </c>
      <c r="X2533" s="160">
        <v>0</v>
      </c>
      <c r="Y2533" s="160">
        <v>0</v>
      </c>
      <c r="Z2533" s="160">
        <v>0</v>
      </c>
      <c r="AA2533" s="160">
        <v>0</v>
      </c>
    </row>
    <row r="2534" spans="1:27" ht="18" customHeight="1" x14ac:dyDescent="0.25">
      <c r="A2534" s="159">
        <v>7066</v>
      </c>
      <c r="B2534" s="157" t="s">
        <v>29</v>
      </c>
      <c r="C2534" s="157" t="s">
        <v>30</v>
      </c>
      <c r="D2534" s="159" t="s">
        <v>220</v>
      </c>
      <c r="E2534" s="157" t="s">
        <v>218</v>
      </c>
      <c r="F2534" s="157" t="s">
        <v>1264</v>
      </c>
      <c r="G2534" s="157" t="s">
        <v>1536</v>
      </c>
      <c r="H2534" s="157" t="s">
        <v>1287</v>
      </c>
      <c r="I2534" s="157" t="s">
        <v>1922</v>
      </c>
      <c r="J2534" s="157" t="s">
        <v>1422</v>
      </c>
      <c r="K2534" s="157" t="s">
        <v>1269</v>
      </c>
      <c r="L2534" s="157" t="s">
        <v>1286</v>
      </c>
      <c r="M2534" s="157" t="str">
        <f t="shared" si="54"/>
        <v>LED Lamp - Side Marker Front Right</v>
      </c>
      <c r="N2534" s="157"/>
      <c r="O2534" s="157"/>
      <c r="P2534" s="159" t="s">
        <v>3079</v>
      </c>
      <c r="Q2534" s="157"/>
      <c r="R2534" s="157"/>
      <c r="S2534" s="157"/>
      <c r="T2534" s="157"/>
      <c r="U2534" s="159" t="s">
        <v>2129</v>
      </c>
      <c r="V2534" s="159" t="s">
        <v>2138</v>
      </c>
      <c r="W2534" s="159" t="s">
        <v>2138</v>
      </c>
      <c r="X2534" s="160">
        <v>0</v>
      </c>
      <c r="Y2534" s="160">
        <v>0</v>
      </c>
      <c r="Z2534" s="160">
        <v>1</v>
      </c>
      <c r="AA2534" s="160">
        <v>1</v>
      </c>
    </row>
    <row r="2535" spans="1:27" ht="18" customHeight="1" x14ac:dyDescent="0.25">
      <c r="A2535" s="159">
        <v>7066</v>
      </c>
      <c r="B2535" s="157" t="s">
        <v>29</v>
      </c>
      <c r="C2535" s="157" t="s">
        <v>30</v>
      </c>
      <c r="D2535" s="159" t="s">
        <v>220</v>
      </c>
      <c r="E2535" s="157" t="s">
        <v>218</v>
      </c>
      <c r="F2535" s="157" t="s">
        <v>1264</v>
      </c>
      <c r="G2535" s="157" t="s">
        <v>1536</v>
      </c>
      <c r="H2535" s="157" t="s">
        <v>1287</v>
      </c>
      <c r="I2535" s="157" t="s">
        <v>9755</v>
      </c>
      <c r="J2535" s="157" t="s">
        <v>1422</v>
      </c>
      <c r="K2535" s="157" t="s">
        <v>1269</v>
      </c>
      <c r="L2535" s="157" t="s">
        <v>9752</v>
      </c>
      <c r="M2535" s="157" t="str">
        <f t="shared" si="54"/>
        <v>Side Marker LED Lamp - Position Lamp Right</v>
      </c>
      <c r="N2535" s="157"/>
      <c r="O2535" s="157"/>
      <c r="P2535" s="159" t="s">
        <v>3079</v>
      </c>
      <c r="Q2535" s="157"/>
      <c r="R2535" s="157"/>
      <c r="S2535" s="157"/>
      <c r="T2535" s="157"/>
      <c r="U2535" s="159" t="s">
        <v>2129</v>
      </c>
      <c r="V2535" s="159" t="s">
        <v>2138</v>
      </c>
      <c r="W2535" s="159" t="s">
        <v>2138</v>
      </c>
      <c r="X2535" s="160">
        <v>0</v>
      </c>
      <c r="Y2535" s="160">
        <v>0</v>
      </c>
      <c r="Z2535" s="160">
        <v>1</v>
      </c>
      <c r="AA2535" s="160">
        <v>1</v>
      </c>
    </row>
    <row r="2536" spans="1:27" ht="18" customHeight="1" x14ac:dyDescent="0.25">
      <c r="A2536" s="159">
        <v>7067</v>
      </c>
      <c r="B2536" s="157" t="s">
        <v>29</v>
      </c>
      <c r="C2536" s="157" t="s">
        <v>30</v>
      </c>
      <c r="D2536" s="159" t="s">
        <v>749</v>
      </c>
      <c r="E2536" s="157" t="s">
        <v>747</v>
      </c>
      <c r="F2536" s="157" t="s">
        <v>1264</v>
      </c>
      <c r="G2536" s="157" t="s">
        <v>1536</v>
      </c>
      <c r="H2536" s="157" t="s">
        <v>1287</v>
      </c>
      <c r="I2536" s="157" t="s">
        <v>1923</v>
      </c>
      <c r="J2536" s="157" t="s">
        <v>1578</v>
      </c>
      <c r="K2536" s="157" t="s">
        <v>1269</v>
      </c>
      <c r="L2536" s="157" t="s">
        <v>9522</v>
      </c>
      <c r="M2536" s="157" t="str">
        <f t="shared" si="54"/>
        <v>Bulb P5W - Side Marker Rear Left</v>
      </c>
      <c r="N2536" s="157"/>
      <c r="O2536" s="157"/>
      <c r="P2536" s="159" t="s">
        <v>8116</v>
      </c>
      <c r="Q2536" s="157"/>
      <c r="R2536" s="157"/>
      <c r="S2536" s="157"/>
      <c r="T2536" s="157"/>
      <c r="U2536" s="159" t="s">
        <v>2138</v>
      </c>
      <c r="V2536" s="159" t="s">
        <v>2129</v>
      </c>
      <c r="W2536" s="159" t="s">
        <v>2129</v>
      </c>
      <c r="X2536" s="160">
        <v>0</v>
      </c>
      <c r="Y2536" s="160">
        <v>0</v>
      </c>
      <c r="Z2536" s="160">
        <v>1</v>
      </c>
      <c r="AA2536" s="160">
        <v>1</v>
      </c>
    </row>
    <row r="2537" spans="1:27" ht="18" customHeight="1" x14ac:dyDescent="0.25">
      <c r="A2537" s="159">
        <v>7067</v>
      </c>
      <c r="B2537" s="157" t="s">
        <v>29</v>
      </c>
      <c r="C2537" s="157" t="s">
        <v>30</v>
      </c>
      <c r="D2537" s="159" t="s">
        <v>749</v>
      </c>
      <c r="E2537" s="157" t="s">
        <v>747</v>
      </c>
      <c r="F2537" s="157" t="s">
        <v>1264</v>
      </c>
      <c r="G2537" s="157" t="s">
        <v>1536</v>
      </c>
      <c r="H2537" s="157" t="s">
        <v>1287</v>
      </c>
      <c r="I2537" s="157" t="s">
        <v>9755</v>
      </c>
      <c r="J2537" s="157" t="s">
        <v>1578</v>
      </c>
      <c r="K2537" s="157" t="s">
        <v>1269</v>
      </c>
      <c r="L2537" s="157" t="s">
        <v>9751</v>
      </c>
      <c r="M2537" s="157" t="str">
        <f t="shared" si="54"/>
        <v>Side Marker Bulb P5W - Position Lamp Right</v>
      </c>
      <c r="N2537" s="157"/>
      <c r="O2537" s="157"/>
      <c r="P2537" s="159" t="s">
        <v>8116</v>
      </c>
      <c r="Q2537" s="157"/>
      <c r="R2537" s="157"/>
      <c r="S2537" s="157"/>
      <c r="T2537" s="157"/>
      <c r="U2537" s="159" t="s">
        <v>2138</v>
      </c>
      <c r="V2537" s="159" t="s">
        <v>2129</v>
      </c>
      <c r="W2537" s="159" t="s">
        <v>2129</v>
      </c>
      <c r="X2537" s="160">
        <v>0</v>
      </c>
      <c r="Y2537" s="160">
        <v>0</v>
      </c>
      <c r="Z2537" s="160">
        <v>1</v>
      </c>
      <c r="AA2537" s="160">
        <v>1</v>
      </c>
    </row>
    <row r="2538" spans="1:27" ht="18" customHeight="1" x14ac:dyDescent="0.25">
      <c r="A2538" s="159">
        <v>8000</v>
      </c>
      <c r="B2538" s="157" t="s">
        <v>266</v>
      </c>
      <c r="C2538" s="157" t="s">
        <v>294</v>
      </c>
      <c r="D2538" s="159" t="s">
        <v>298</v>
      </c>
      <c r="E2538" s="157" t="s">
        <v>299</v>
      </c>
      <c r="F2538" s="157"/>
      <c r="G2538" s="157" t="s">
        <v>1349</v>
      </c>
      <c r="H2538" s="157" t="s">
        <v>1418</v>
      </c>
      <c r="I2538" s="157" t="s">
        <v>1559</v>
      </c>
      <c r="J2538" s="157" t="s">
        <v>8301</v>
      </c>
      <c r="K2538" s="157" t="s">
        <v>1312</v>
      </c>
      <c r="L2538" s="157" t="s">
        <v>9613</v>
      </c>
      <c r="M2538" s="157" t="str">
        <f t="shared" si="54"/>
        <v>Ultrasonic Sensor RL - Short Range Distance Measurement</v>
      </c>
      <c r="N2538" s="157"/>
      <c r="O2538" s="157"/>
      <c r="P2538" s="159" t="s">
        <v>7515</v>
      </c>
      <c r="Q2538" s="157" t="s">
        <v>2115</v>
      </c>
      <c r="R2538" s="157" t="s">
        <v>2145</v>
      </c>
      <c r="S2538" s="157" t="s">
        <v>8584</v>
      </c>
      <c r="T2538" s="157"/>
      <c r="U2538" s="159" t="s">
        <v>2138</v>
      </c>
      <c r="V2538" s="159" t="s">
        <v>2138</v>
      </c>
      <c r="W2538" s="159" t="s">
        <v>2138</v>
      </c>
      <c r="X2538" s="160">
        <v>0.05</v>
      </c>
      <c r="Y2538" s="160">
        <v>0</v>
      </c>
      <c r="Z2538" s="160">
        <v>0.05</v>
      </c>
      <c r="AA2538" s="160">
        <v>0</v>
      </c>
    </row>
    <row r="2539" spans="1:27" ht="18" customHeight="1" x14ac:dyDescent="0.25">
      <c r="A2539" s="159">
        <v>8000</v>
      </c>
      <c r="B2539" s="157" t="s">
        <v>266</v>
      </c>
      <c r="C2539" s="157" t="s">
        <v>294</v>
      </c>
      <c r="D2539" s="159" t="s">
        <v>503</v>
      </c>
      <c r="E2539" s="157" t="s">
        <v>501</v>
      </c>
      <c r="F2539" s="157"/>
      <c r="G2539" s="157" t="s">
        <v>1349</v>
      </c>
      <c r="H2539" s="157" t="s">
        <v>1418</v>
      </c>
      <c r="I2539" s="157" t="s">
        <v>1559</v>
      </c>
      <c r="J2539" s="157" t="s">
        <v>8301</v>
      </c>
      <c r="K2539" s="157" t="s">
        <v>1312</v>
      </c>
      <c r="L2539" s="157" t="s">
        <v>9613</v>
      </c>
      <c r="M2539" s="157" t="str">
        <f t="shared" si="54"/>
        <v>Ultrasonic Sensor RL - Short Range Distance Measurement</v>
      </c>
      <c r="N2539" s="157"/>
      <c r="O2539" s="157"/>
      <c r="P2539" s="159" t="s">
        <v>7515</v>
      </c>
      <c r="Q2539" s="157" t="s">
        <v>2115</v>
      </c>
      <c r="R2539" s="157" t="s">
        <v>2145</v>
      </c>
      <c r="S2539" s="157" t="s">
        <v>8584</v>
      </c>
      <c r="T2539" s="157"/>
      <c r="U2539" s="159" t="s">
        <v>2129</v>
      </c>
      <c r="V2539" s="159" t="s">
        <v>2129</v>
      </c>
      <c r="W2539" s="159" t="s">
        <v>2138</v>
      </c>
      <c r="X2539" s="160">
        <v>0.05</v>
      </c>
      <c r="Y2539" s="160">
        <v>0</v>
      </c>
      <c r="Z2539" s="160">
        <v>0.05</v>
      </c>
      <c r="AA2539" s="160">
        <v>0</v>
      </c>
    </row>
    <row r="2540" spans="1:27" ht="18" customHeight="1" x14ac:dyDescent="0.25">
      <c r="A2540" s="159">
        <v>8000</v>
      </c>
      <c r="B2540" s="157" t="s">
        <v>266</v>
      </c>
      <c r="C2540" s="157" t="s">
        <v>294</v>
      </c>
      <c r="D2540" s="159" t="s">
        <v>692</v>
      </c>
      <c r="E2540" s="157" t="s">
        <v>690</v>
      </c>
      <c r="F2540" s="157"/>
      <c r="G2540" s="157" t="s">
        <v>1349</v>
      </c>
      <c r="H2540" s="157" t="s">
        <v>1418</v>
      </c>
      <c r="I2540" s="157" t="s">
        <v>1559</v>
      </c>
      <c r="J2540" s="157" t="s">
        <v>8301</v>
      </c>
      <c r="K2540" s="157" t="s">
        <v>1312</v>
      </c>
      <c r="L2540" s="157" t="s">
        <v>9613</v>
      </c>
      <c r="M2540" s="157" t="str">
        <f t="shared" si="54"/>
        <v>Ultrasonic Sensor RL - Short Range Distance Measurement</v>
      </c>
      <c r="N2540" s="157"/>
      <c r="O2540" s="157"/>
      <c r="P2540" s="159" t="s">
        <v>7515</v>
      </c>
      <c r="Q2540" s="157" t="s">
        <v>2115</v>
      </c>
      <c r="R2540" s="157" t="s">
        <v>2145</v>
      </c>
      <c r="S2540" s="157" t="s">
        <v>8584</v>
      </c>
      <c r="T2540" s="157"/>
      <c r="U2540" s="159" t="s">
        <v>2129</v>
      </c>
      <c r="V2540" s="159" t="s">
        <v>2129</v>
      </c>
      <c r="W2540" s="159" t="s">
        <v>2138</v>
      </c>
      <c r="X2540" s="160">
        <v>0.05</v>
      </c>
      <c r="Y2540" s="160">
        <v>0</v>
      </c>
      <c r="Z2540" s="160">
        <v>0.05</v>
      </c>
      <c r="AA2540" s="160">
        <v>0</v>
      </c>
    </row>
    <row r="2541" spans="1:27" ht="18" customHeight="1" x14ac:dyDescent="0.25">
      <c r="A2541" s="159">
        <v>8000</v>
      </c>
      <c r="B2541" s="157" t="s">
        <v>266</v>
      </c>
      <c r="C2541" s="157" t="s">
        <v>294</v>
      </c>
      <c r="D2541" s="159" t="s">
        <v>1177</v>
      </c>
      <c r="E2541" s="157" t="s">
        <v>1175</v>
      </c>
      <c r="F2541" s="157"/>
      <c r="G2541" s="157" t="s">
        <v>1349</v>
      </c>
      <c r="H2541" s="157" t="s">
        <v>1418</v>
      </c>
      <c r="I2541" s="157" t="s">
        <v>1559</v>
      </c>
      <c r="J2541" s="157" t="s">
        <v>8301</v>
      </c>
      <c r="K2541" s="157" t="s">
        <v>1312</v>
      </c>
      <c r="L2541" s="157" t="s">
        <v>9613</v>
      </c>
      <c r="M2541" s="157" t="str">
        <f t="shared" si="54"/>
        <v>Ultrasonic Sensor RL - Short Range Distance Measurement</v>
      </c>
      <c r="N2541" s="157"/>
      <c r="O2541" s="157"/>
      <c r="P2541" s="159" t="s">
        <v>7515</v>
      </c>
      <c r="Q2541" s="157" t="s">
        <v>2115</v>
      </c>
      <c r="R2541" s="157" t="s">
        <v>2145</v>
      </c>
      <c r="S2541" s="157" t="s">
        <v>8584</v>
      </c>
      <c r="T2541" s="157"/>
      <c r="U2541" s="159" t="s">
        <v>2129</v>
      </c>
      <c r="V2541" s="159" t="s">
        <v>2129</v>
      </c>
      <c r="W2541" s="159" t="s">
        <v>2138</v>
      </c>
      <c r="X2541" s="160">
        <v>0.05</v>
      </c>
      <c r="Y2541" s="160">
        <v>0</v>
      </c>
      <c r="Z2541" s="160">
        <v>0.05</v>
      </c>
      <c r="AA2541" s="160">
        <v>0</v>
      </c>
    </row>
    <row r="2542" spans="1:27" ht="18" customHeight="1" x14ac:dyDescent="0.25">
      <c r="A2542" s="159">
        <v>8000</v>
      </c>
      <c r="B2542" s="157" t="s">
        <v>266</v>
      </c>
      <c r="C2542" s="157" t="s">
        <v>294</v>
      </c>
      <c r="D2542" s="159" t="s">
        <v>1178</v>
      </c>
      <c r="E2542" s="157" t="s">
        <v>1179</v>
      </c>
      <c r="F2542" s="157"/>
      <c r="G2542" s="157" t="s">
        <v>1349</v>
      </c>
      <c r="H2542" s="157" t="s">
        <v>1418</v>
      </c>
      <c r="I2542" s="157" t="s">
        <v>1559</v>
      </c>
      <c r="J2542" s="157" t="s">
        <v>8301</v>
      </c>
      <c r="K2542" s="157" t="s">
        <v>1312</v>
      </c>
      <c r="L2542" s="157" t="s">
        <v>9613</v>
      </c>
      <c r="M2542" s="157" t="str">
        <f t="shared" si="54"/>
        <v>Ultrasonic Sensor RL - Short Range Distance Measurement</v>
      </c>
      <c r="N2542" s="157"/>
      <c r="O2542" s="157"/>
      <c r="P2542" s="159" t="s">
        <v>7515</v>
      </c>
      <c r="Q2542" s="157" t="s">
        <v>2115</v>
      </c>
      <c r="R2542" s="157" t="s">
        <v>2145</v>
      </c>
      <c r="S2542" s="157" t="s">
        <v>8584</v>
      </c>
      <c r="T2542" s="157"/>
      <c r="U2542" s="159" t="s">
        <v>2129</v>
      </c>
      <c r="V2542" s="159" t="s">
        <v>2138</v>
      </c>
      <c r="W2542" s="159" t="s">
        <v>2138</v>
      </c>
      <c r="X2542" s="160">
        <v>0.05</v>
      </c>
      <c r="Y2542" s="160">
        <v>0</v>
      </c>
      <c r="Z2542" s="160">
        <v>0.05</v>
      </c>
      <c r="AA2542" s="160">
        <v>0</v>
      </c>
    </row>
    <row r="2543" spans="1:27" ht="18" customHeight="1" x14ac:dyDescent="0.25">
      <c r="A2543" s="159">
        <v>8000</v>
      </c>
      <c r="B2543" s="157" t="s">
        <v>266</v>
      </c>
      <c r="C2543" s="157" t="s">
        <v>294</v>
      </c>
      <c r="D2543" s="159" t="s">
        <v>1207</v>
      </c>
      <c r="E2543" s="157" t="s">
        <v>1205</v>
      </c>
      <c r="F2543" s="157"/>
      <c r="G2543" s="157" t="s">
        <v>1349</v>
      </c>
      <c r="H2543" s="157" t="s">
        <v>1418</v>
      </c>
      <c r="I2543" s="157" t="s">
        <v>1559</v>
      </c>
      <c r="J2543" s="157" t="s">
        <v>8301</v>
      </c>
      <c r="K2543" s="157" t="s">
        <v>1312</v>
      </c>
      <c r="L2543" s="157" t="s">
        <v>9613</v>
      </c>
      <c r="M2543" s="157" t="str">
        <f t="shared" si="54"/>
        <v>Ultrasonic Sensor RL - Short Range Distance Measurement</v>
      </c>
      <c r="N2543" s="157"/>
      <c r="O2543" s="157"/>
      <c r="P2543" s="159" t="s">
        <v>7515</v>
      </c>
      <c r="Q2543" s="157" t="s">
        <v>2115</v>
      </c>
      <c r="R2543" s="157" t="s">
        <v>9526</v>
      </c>
      <c r="S2543" s="157" t="s">
        <v>8584</v>
      </c>
      <c r="T2543" s="157"/>
      <c r="U2543" s="159" t="s">
        <v>2129</v>
      </c>
      <c r="V2543" s="159" t="s">
        <v>2138</v>
      </c>
      <c r="W2543" s="159" t="s">
        <v>2138</v>
      </c>
      <c r="X2543" s="160">
        <v>0.05</v>
      </c>
      <c r="Y2543" s="160">
        <v>0</v>
      </c>
      <c r="Z2543" s="160">
        <v>0.05</v>
      </c>
      <c r="AA2543" s="160">
        <v>0</v>
      </c>
    </row>
    <row r="2544" spans="1:27" ht="18" customHeight="1" x14ac:dyDescent="0.25">
      <c r="A2544" s="159">
        <v>8001</v>
      </c>
      <c r="B2544" s="157" t="s">
        <v>266</v>
      </c>
      <c r="C2544" s="157" t="s">
        <v>294</v>
      </c>
      <c r="D2544" s="159" t="s">
        <v>298</v>
      </c>
      <c r="E2544" s="157" t="s">
        <v>299</v>
      </c>
      <c r="F2544" s="157"/>
      <c r="G2544" s="157" t="s">
        <v>1349</v>
      </c>
      <c r="H2544" s="157" t="s">
        <v>1418</v>
      </c>
      <c r="I2544" s="157" t="s">
        <v>1559</v>
      </c>
      <c r="J2544" s="157" t="s">
        <v>8301</v>
      </c>
      <c r="K2544" s="157" t="s">
        <v>1312</v>
      </c>
      <c r="L2544" s="157" t="s">
        <v>9614</v>
      </c>
      <c r="M2544" s="157" t="str">
        <f t="shared" si="54"/>
        <v>Ultrasonic Sensor RML - Short Range Distance Measurement</v>
      </c>
      <c r="N2544" s="157"/>
      <c r="O2544" s="157"/>
      <c r="P2544" s="159" t="s">
        <v>6194</v>
      </c>
      <c r="Q2544" s="157" t="s">
        <v>2115</v>
      </c>
      <c r="R2544" s="157" t="s">
        <v>2145</v>
      </c>
      <c r="S2544" s="157" t="s">
        <v>8584</v>
      </c>
      <c r="T2544" s="157"/>
      <c r="U2544" s="159" t="s">
        <v>2138</v>
      </c>
      <c r="V2544" s="159" t="s">
        <v>2138</v>
      </c>
      <c r="W2544" s="159" t="s">
        <v>2138</v>
      </c>
      <c r="X2544" s="160">
        <v>0.05</v>
      </c>
      <c r="Y2544" s="160">
        <v>0</v>
      </c>
      <c r="Z2544" s="160">
        <v>0.05</v>
      </c>
      <c r="AA2544" s="160">
        <v>0</v>
      </c>
    </row>
    <row r="2545" spans="1:27" ht="18" customHeight="1" x14ac:dyDescent="0.25">
      <c r="A2545" s="159">
        <v>8001</v>
      </c>
      <c r="B2545" s="157" t="s">
        <v>266</v>
      </c>
      <c r="C2545" s="157" t="s">
        <v>294</v>
      </c>
      <c r="D2545" s="159" t="s">
        <v>503</v>
      </c>
      <c r="E2545" s="157" t="s">
        <v>501</v>
      </c>
      <c r="F2545" s="157"/>
      <c r="G2545" s="157" t="s">
        <v>1349</v>
      </c>
      <c r="H2545" s="157" t="s">
        <v>1418</v>
      </c>
      <c r="I2545" s="157" t="s">
        <v>1559</v>
      </c>
      <c r="J2545" s="157" t="s">
        <v>8301</v>
      </c>
      <c r="K2545" s="157" t="s">
        <v>1312</v>
      </c>
      <c r="L2545" s="157" t="s">
        <v>9614</v>
      </c>
      <c r="M2545" s="157" t="str">
        <f t="shared" si="54"/>
        <v>Ultrasonic Sensor RML - Short Range Distance Measurement</v>
      </c>
      <c r="N2545" s="157"/>
      <c r="O2545" s="157"/>
      <c r="P2545" s="159" t="s">
        <v>6194</v>
      </c>
      <c r="Q2545" s="157" t="s">
        <v>2115</v>
      </c>
      <c r="R2545" s="157" t="s">
        <v>2145</v>
      </c>
      <c r="S2545" s="157" t="s">
        <v>8584</v>
      </c>
      <c r="T2545" s="157"/>
      <c r="U2545" s="159" t="s">
        <v>2129</v>
      </c>
      <c r="V2545" s="159" t="s">
        <v>2129</v>
      </c>
      <c r="W2545" s="159" t="s">
        <v>2138</v>
      </c>
      <c r="X2545" s="160">
        <v>0.05</v>
      </c>
      <c r="Y2545" s="160">
        <v>0</v>
      </c>
      <c r="Z2545" s="160">
        <v>0.05</v>
      </c>
      <c r="AA2545" s="160">
        <v>0</v>
      </c>
    </row>
    <row r="2546" spans="1:27" ht="18" customHeight="1" x14ac:dyDescent="0.25">
      <c r="A2546" s="159">
        <v>8001</v>
      </c>
      <c r="B2546" s="157" t="s">
        <v>266</v>
      </c>
      <c r="C2546" s="157" t="s">
        <v>294</v>
      </c>
      <c r="D2546" s="159" t="s">
        <v>692</v>
      </c>
      <c r="E2546" s="157" t="s">
        <v>690</v>
      </c>
      <c r="F2546" s="157"/>
      <c r="G2546" s="157" t="s">
        <v>1349</v>
      </c>
      <c r="H2546" s="157" t="s">
        <v>1418</v>
      </c>
      <c r="I2546" s="157" t="s">
        <v>1559</v>
      </c>
      <c r="J2546" s="157" t="s">
        <v>8301</v>
      </c>
      <c r="K2546" s="157" t="s">
        <v>1312</v>
      </c>
      <c r="L2546" s="157" t="s">
        <v>9614</v>
      </c>
      <c r="M2546" s="157" t="str">
        <f t="shared" si="54"/>
        <v>Ultrasonic Sensor RML - Short Range Distance Measurement</v>
      </c>
      <c r="N2546" s="157"/>
      <c r="O2546" s="157"/>
      <c r="P2546" s="159" t="s">
        <v>6194</v>
      </c>
      <c r="Q2546" s="157" t="s">
        <v>2115</v>
      </c>
      <c r="R2546" s="157" t="s">
        <v>2145</v>
      </c>
      <c r="S2546" s="157" t="s">
        <v>8584</v>
      </c>
      <c r="T2546" s="157"/>
      <c r="U2546" s="159" t="s">
        <v>2129</v>
      </c>
      <c r="V2546" s="159" t="s">
        <v>2129</v>
      </c>
      <c r="W2546" s="159" t="s">
        <v>2138</v>
      </c>
      <c r="X2546" s="160">
        <v>0.05</v>
      </c>
      <c r="Y2546" s="160">
        <v>0</v>
      </c>
      <c r="Z2546" s="160">
        <v>0.05</v>
      </c>
      <c r="AA2546" s="160">
        <v>0</v>
      </c>
    </row>
    <row r="2547" spans="1:27" ht="18" customHeight="1" x14ac:dyDescent="0.25">
      <c r="A2547" s="159">
        <v>8001</v>
      </c>
      <c r="B2547" s="157" t="s">
        <v>266</v>
      </c>
      <c r="C2547" s="157" t="s">
        <v>294</v>
      </c>
      <c r="D2547" s="159" t="s">
        <v>1177</v>
      </c>
      <c r="E2547" s="157" t="s">
        <v>1175</v>
      </c>
      <c r="F2547" s="157"/>
      <c r="G2547" s="157" t="s">
        <v>1349</v>
      </c>
      <c r="H2547" s="157" t="s">
        <v>1418</v>
      </c>
      <c r="I2547" s="157" t="s">
        <v>1559</v>
      </c>
      <c r="J2547" s="157" t="s">
        <v>8301</v>
      </c>
      <c r="K2547" s="157" t="s">
        <v>1312</v>
      </c>
      <c r="L2547" s="157" t="s">
        <v>9614</v>
      </c>
      <c r="M2547" s="157" t="str">
        <f t="shared" si="54"/>
        <v>Ultrasonic Sensor RML - Short Range Distance Measurement</v>
      </c>
      <c r="N2547" s="157"/>
      <c r="O2547" s="157"/>
      <c r="P2547" s="159" t="s">
        <v>6194</v>
      </c>
      <c r="Q2547" s="157" t="s">
        <v>2115</v>
      </c>
      <c r="R2547" s="157" t="s">
        <v>2145</v>
      </c>
      <c r="S2547" s="157" t="s">
        <v>8584</v>
      </c>
      <c r="T2547" s="157"/>
      <c r="U2547" s="159" t="s">
        <v>2129</v>
      </c>
      <c r="V2547" s="159" t="s">
        <v>2129</v>
      </c>
      <c r="W2547" s="159" t="s">
        <v>2138</v>
      </c>
      <c r="X2547" s="160">
        <v>0.05</v>
      </c>
      <c r="Y2547" s="160">
        <v>0</v>
      </c>
      <c r="Z2547" s="160">
        <v>0.05</v>
      </c>
      <c r="AA2547" s="160">
        <v>0</v>
      </c>
    </row>
    <row r="2548" spans="1:27" ht="18" customHeight="1" x14ac:dyDescent="0.25">
      <c r="A2548" s="159">
        <v>8001</v>
      </c>
      <c r="B2548" s="157" t="s">
        <v>266</v>
      </c>
      <c r="C2548" s="157" t="s">
        <v>294</v>
      </c>
      <c r="D2548" s="159" t="s">
        <v>1178</v>
      </c>
      <c r="E2548" s="157" t="s">
        <v>1179</v>
      </c>
      <c r="F2548" s="157"/>
      <c r="G2548" s="157" t="s">
        <v>1349</v>
      </c>
      <c r="H2548" s="157" t="s">
        <v>1418</v>
      </c>
      <c r="I2548" s="157" t="s">
        <v>1559</v>
      </c>
      <c r="J2548" s="157" t="s">
        <v>8301</v>
      </c>
      <c r="K2548" s="157" t="s">
        <v>1312</v>
      </c>
      <c r="L2548" s="157" t="s">
        <v>9614</v>
      </c>
      <c r="M2548" s="157" t="str">
        <f t="shared" si="54"/>
        <v>Ultrasonic Sensor RML - Short Range Distance Measurement</v>
      </c>
      <c r="N2548" s="157"/>
      <c r="O2548" s="157"/>
      <c r="P2548" s="159" t="s">
        <v>6194</v>
      </c>
      <c r="Q2548" s="157" t="s">
        <v>2115</v>
      </c>
      <c r="R2548" s="157" t="s">
        <v>2145</v>
      </c>
      <c r="S2548" s="157" t="s">
        <v>8584</v>
      </c>
      <c r="T2548" s="157"/>
      <c r="U2548" s="159" t="s">
        <v>2129</v>
      </c>
      <c r="V2548" s="159" t="s">
        <v>2138</v>
      </c>
      <c r="W2548" s="159" t="s">
        <v>2138</v>
      </c>
      <c r="X2548" s="160">
        <v>0.05</v>
      </c>
      <c r="Y2548" s="160">
        <v>0</v>
      </c>
      <c r="Z2548" s="160">
        <v>0.05</v>
      </c>
      <c r="AA2548" s="160">
        <v>0</v>
      </c>
    </row>
    <row r="2549" spans="1:27" ht="18" customHeight="1" x14ac:dyDescent="0.25">
      <c r="A2549" s="159">
        <v>8001</v>
      </c>
      <c r="B2549" s="157" t="s">
        <v>266</v>
      </c>
      <c r="C2549" s="157" t="s">
        <v>294</v>
      </c>
      <c r="D2549" s="159" t="s">
        <v>1207</v>
      </c>
      <c r="E2549" s="157" t="s">
        <v>1205</v>
      </c>
      <c r="F2549" s="157"/>
      <c r="G2549" s="157" t="s">
        <v>1349</v>
      </c>
      <c r="H2549" s="157" t="s">
        <v>1418</v>
      </c>
      <c r="I2549" s="157" t="s">
        <v>1559</v>
      </c>
      <c r="J2549" s="157" t="s">
        <v>8301</v>
      </c>
      <c r="K2549" s="157" t="s">
        <v>1312</v>
      </c>
      <c r="L2549" s="157" t="s">
        <v>9614</v>
      </c>
      <c r="M2549" s="157" t="str">
        <f t="shared" si="54"/>
        <v>Ultrasonic Sensor RML - Short Range Distance Measurement</v>
      </c>
      <c r="N2549" s="157"/>
      <c r="O2549" s="157"/>
      <c r="P2549" s="159" t="s">
        <v>6194</v>
      </c>
      <c r="Q2549" s="157" t="s">
        <v>2115</v>
      </c>
      <c r="R2549" s="157" t="s">
        <v>9526</v>
      </c>
      <c r="S2549" s="157" t="s">
        <v>8584</v>
      </c>
      <c r="T2549" s="157"/>
      <c r="U2549" s="159" t="s">
        <v>2129</v>
      </c>
      <c r="V2549" s="159" t="s">
        <v>2138</v>
      </c>
      <c r="W2549" s="159" t="s">
        <v>2138</v>
      </c>
      <c r="X2549" s="160">
        <v>0.05</v>
      </c>
      <c r="Y2549" s="160">
        <v>0</v>
      </c>
      <c r="Z2549" s="160">
        <v>0.05</v>
      </c>
      <c r="AA2549" s="160">
        <v>0</v>
      </c>
    </row>
    <row r="2550" spans="1:27" ht="18" customHeight="1" x14ac:dyDescent="0.25">
      <c r="A2550" s="159">
        <v>8002</v>
      </c>
      <c r="B2550" s="157" t="s">
        <v>266</v>
      </c>
      <c r="C2550" s="157" t="s">
        <v>294</v>
      </c>
      <c r="D2550" s="159" t="s">
        <v>298</v>
      </c>
      <c r="E2550" s="157" t="s">
        <v>299</v>
      </c>
      <c r="F2550" s="157"/>
      <c r="G2550" s="157" t="s">
        <v>1349</v>
      </c>
      <c r="H2550" s="157" t="s">
        <v>1418</v>
      </c>
      <c r="I2550" s="157" t="s">
        <v>1559</v>
      </c>
      <c r="J2550" s="157" t="s">
        <v>8301</v>
      </c>
      <c r="K2550" s="157" t="s">
        <v>1312</v>
      </c>
      <c r="L2550" s="157" t="s">
        <v>9615</v>
      </c>
      <c r="M2550" s="157" t="str">
        <f t="shared" si="54"/>
        <v>Ultrasonic Sensor RMR - Short Range Distance Measurement</v>
      </c>
      <c r="N2550" s="157"/>
      <c r="O2550" s="157"/>
      <c r="P2550" s="159" t="s">
        <v>5450</v>
      </c>
      <c r="Q2550" s="157" t="s">
        <v>2115</v>
      </c>
      <c r="R2550" s="157" t="s">
        <v>2145</v>
      </c>
      <c r="S2550" s="157" t="s">
        <v>8584</v>
      </c>
      <c r="T2550" s="157"/>
      <c r="U2550" s="159" t="s">
        <v>2138</v>
      </c>
      <c r="V2550" s="159" t="s">
        <v>2138</v>
      </c>
      <c r="W2550" s="159" t="s">
        <v>2138</v>
      </c>
      <c r="X2550" s="160">
        <v>0.05</v>
      </c>
      <c r="Y2550" s="160">
        <v>0</v>
      </c>
      <c r="Z2550" s="160">
        <v>0.05</v>
      </c>
      <c r="AA2550" s="160">
        <v>0</v>
      </c>
    </row>
    <row r="2551" spans="1:27" ht="18" customHeight="1" x14ac:dyDescent="0.25">
      <c r="A2551" s="159">
        <v>8002</v>
      </c>
      <c r="B2551" s="157" t="s">
        <v>266</v>
      </c>
      <c r="C2551" s="157" t="s">
        <v>294</v>
      </c>
      <c r="D2551" s="159" t="s">
        <v>503</v>
      </c>
      <c r="E2551" s="157" t="s">
        <v>501</v>
      </c>
      <c r="F2551" s="157"/>
      <c r="G2551" s="157" t="s">
        <v>1349</v>
      </c>
      <c r="H2551" s="157" t="s">
        <v>1418</v>
      </c>
      <c r="I2551" s="157" t="s">
        <v>1559</v>
      </c>
      <c r="J2551" s="157" t="s">
        <v>8301</v>
      </c>
      <c r="K2551" s="157" t="s">
        <v>1312</v>
      </c>
      <c r="L2551" s="157" t="s">
        <v>9615</v>
      </c>
      <c r="M2551" s="157" t="str">
        <f t="shared" si="54"/>
        <v>Ultrasonic Sensor RMR - Short Range Distance Measurement</v>
      </c>
      <c r="N2551" s="157"/>
      <c r="O2551" s="157"/>
      <c r="P2551" s="159" t="s">
        <v>5450</v>
      </c>
      <c r="Q2551" s="157" t="s">
        <v>2115</v>
      </c>
      <c r="R2551" s="157" t="s">
        <v>2145</v>
      </c>
      <c r="S2551" s="157" t="s">
        <v>8584</v>
      </c>
      <c r="T2551" s="157"/>
      <c r="U2551" s="159" t="s">
        <v>2129</v>
      </c>
      <c r="V2551" s="159" t="s">
        <v>2129</v>
      </c>
      <c r="W2551" s="159" t="s">
        <v>2138</v>
      </c>
      <c r="X2551" s="160">
        <v>0.05</v>
      </c>
      <c r="Y2551" s="160">
        <v>0</v>
      </c>
      <c r="Z2551" s="160">
        <v>0.05</v>
      </c>
      <c r="AA2551" s="160">
        <v>0</v>
      </c>
    </row>
    <row r="2552" spans="1:27" ht="18" customHeight="1" x14ac:dyDescent="0.25">
      <c r="A2552" s="159">
        <v>8002</v>
      </c>
      <c r="B2552" s="157" t="s">
        <v>266</v>
      </c>
      <c r="C2552" s="157" t="s">
        <v>294</v>
      </c>
      <c r="D2552" s="159" t="s">
        <v>692</v>
      </c>
      <c r="E2552" s="157" t="s">
        <v>690</v>
      </c>
      <c r="F2552" s="157"/>
      <c r="G2552" s="157" t="s">
        <v>1349</v>
      </c>
      <c r="H2552" s="157" t="s">
        <v>1418</v>
      </c>
      <c r="I2552" s="157" t="s">
        <v>1559</v>
      </c>
      <c r="J2552" s="157" t="s">
        <v>8301</v>
      </c>
      <c r="K2552" s="157" t="s">
        <v>1312</v>
      </c>
      <c r="L2552" s="157" t="s">
        <v>9615</v>
      </c>
      <c r="M2552" s="157" t="str">
        <f t="shared" si="54"/>
        <v>Ultrasonic Sensor RMR - Short Range Distance Measurement</v>
      </c>
      <c r="N2552" s="157"/>
      <c r="O2552" s="157"/>
      <c r="P2552" s="159" t="s">
        <v>5450</v>
      </c>
      <c r="Q2552" s="157" t="s">
        <v>2115</v>
      </c>
      <c r="R2552" s="157" t="s">
        <v>2145</v>
      </c>
      <c r="S2552" s="157" t="s">
        <v>8584</v>
      </c>
      <c r="T2552" s="157"/>
      <c r="U2552" s="159" t="s">
        <v>2129</v>
      </c>
      <c r="V2552" s="159" t="s">
        <v>2129</v>
      </c>
      <c r="W2552" s="159" t="s">
        <v>2138</v>
      </c>
      <c r="X2552" s="160">
        <v>0.05</v>
      </c>
      <c r="Y2552" s="160">
        <v>0</v>
      </c>
      <c r="Z2552" s="160">
        <v>0.05</v>
      </c>
      <c r="AA2552" s="160">
        <v>0</v>
      </c>
    </row>
    <row r="2553" spans="1:27" ht="18" customHeight="1" x14ac:dyDescent="0.25">
      <c r="A2553" s="159">
        <v>8002</v>
      </c>
      <c r="B2553" s="157" t="s">
        <v>266</v>
      </c>
      <c r="C2553" s="157" t="s">
        <v>294</v>
      </c>
      <c r="D2553" s="159" t="s">
        <v>1177</v>
      </c>
      <c r="E2553" s="157" t="s">
        <v>1175</v>
      </c>
      <c r="F2553" s="157"/>
      <c r="G2553" s="157" t="s">
        <v>1349</v>
      </c>
      <c r="H2553" s="157" t="s">
        <v>1418</v>
      </c>
      <c r="I2553" s="157" t="s">
        <v>1559</v>
      </c>
      <c r="J2553" s="157" t="s">
        <v>8301</v>
      </c>
      <c r="K2553" s="157" t="s">
        <v>1312</v>
      </c>
      <c r="L2553" s="157" t="s">
        <v>9615</v>
      </c>
      <c r="M2553" s="157" t="str">
        <f t="shared" si="54"/>
        <v>Ultrasonic Sensor RMR - Short Range Distance Measurement</v>
      </c>
      <c r="N2553" s="157"/>
      <c r="O2553" s="157"/>
      <c r="P2553" s="159" t="s">
        <v>5450</v>
      </c>
      <c r="Q2553" s="157" t="s">
        <v>2115</v>
      </c>
      <c r="R2553" s="157" t="s">
        <v>2145</v>
      </c>
      <c r="S2553" s="157" t="s">
        <v>8584</v>
      </c>
      <c r="T2553" s="157"/>
      <c r="U2553" s="159" t="s">
        <v>2129</v>
      </c>
      <c r="V2553" s="159" t="s">
        <v>2129</v>
      </c>
      <c r="W2553" s="159" t="s">
        <v>2138</v>
      </c>
      <c r="X2553" s="160">
        <v>0.05</v>
      </c>
      <c r="Y2553" s="160">
        <v>0</v>
      </c>
      <c r="Z2553" s="160">
        <v>0.05</v>
      </c>
      <c r="AA2553" s="160">
        <v>0</v>
      </c>
    </row>
    <row r="2554" spans="1:27" ht="18" customHeight="1" x14ac:dyDescent="0.25">
      <c r="A2554" s="159">
        <v>8002</v>
      </c>
      <c r="B2554" s="157" t="s">
        <v>266</v>
      </c>
      <c r="C2554" s="157" t="s">
        <v>294</v>
      </c>
      <c r="D2554" s="159" t="s">
        <v>1178</v>
      </c>
      <c r="E2554" s="157" t="s">
        <v>1179</v>
      </c>
      <c r="F2554" s="157"/>
      <c r="G2554" s="157" t="s">
        <v>1349</v>
      </c>
      <c r="H2554" s="157" t="s">
        <v>1418</v>
      </c>
      <c r="I2554" s="157" t="s">
        <v>1559</v>
      </c>
      <c r="J2554" s="157" t="s">
        <v>8301</v>
      </c>
      <c r="K2554" s="157" t="s">
        <v>1312</v>
      </c>
      <c r="L2554" s="157" t="s">
        <v>9615</v>
      </c>
      <c r="M2554" s="157" t="str">
        <f t="shared" si="54"/>
        <v>Ultrasonic Sensor RMR - Short Range Distance Measurement</v>
      </c>
      <c r="N2554" s="157"/>
      <c r="O2554" s="157"/>
      <c r="P2554" s="159" t="s">
        <v>5450</v>
      </c>
      <c r="Q2554" s="157" t="s">
        <v>2115</v>
      </c>
      <c r="R2554" s="157" t="s">
        <v>2145</v>
      </c>
      <c r="S2554" s="157" t="s">
        <v>8584</v>
      </c>
      <c r="T2554" s="157"/>
      <c r="U2554" s="159" t="s">
        <v>2129</v>
      </c>
      <c r="V2554" s="159" t="s">
        <v>2138</v>
      </c>
      <c r="W2554" s="159" t="s">
        <v>2138</v>
      </c>
      <c r="X2554" s="160">
        <v>0.05</v>
      </c>
      <c r="Y2554" s="160">
        <v>0</v>
      </c>
      <c r="Z2554" s="160">
        <v>0.05</v>
      </c>
      <c r="AA2554" s="160">
        <v>0</v>
      </c>
    </row>
    <row r="2555" spans="1:27" ht="18" customHeight="1" x14ac:dyDescent="0.25">
      <c r="A2555" s="159">
        <v>8002</v>
      </c>
      <c r="B2555" s="157" t="s">
        <v>266</v>
      </c>
      <c r="C2555" s="157" t="s">
        <v>294</v>
      </c>
      <c r="D2555" s="159" t="s">
        <v>1207</v>
      </c>
      <c r="E2555" s="157" t="s">
        <v>1205</v>
      </c>
      <c r="F2555" s="157"/>
      <c r="G2555" s="157" t="s">
        <v>1349</v>
      </c>
      <c r="H2555" s="157" t="s">
        <v>1418</v>
      </c>
      <c r="I2555" s="157" t="s">
        <v>1559</v>
      </c>
      <c r="J2555" s="157" t="s">
        <v>8301</v>
      </c>
      <c r="K2555" s="157" t="s">
        <v>1312</v>
      </c>
      <c r="L2555" s="157" t="s">
        <v>9615</v>
      </c>
      <c r="M2555" s="157" t="str">
        <f t="shared" si="54"/>
        <v>Ultrasonic Sensor RMR - Short Range Distance Measurement</v>
      </c>
      <c r="N2555" s="157"/>
      <c r="O2555" s="157"/>
      <c r="P2555" s="159" t="s">
        <v>5450</v>
      </c>
      <c r="Q2555" s="157" t="s">
        <v>2115</v>
      </c>
      <c r="R2555" s="157" t="s">
        <v>9526</v>
      </c>
      <c r="S2555" s="157" t="s">
        <v>8584</v>
      </c>
      <c r="T2555" s="157"/>
      <c r="U2555" s="159" t="s">
        <v>2129</v>
      </c>
      <c r="V2555" s="159" t="s">
        <v>2138</v>
      </c>
      <c r="W2555" s="159" t="s">
        <v>2138</v>
      </c>
      <c r="X2555" s="160">
        <v>0.05</v>
      </c>
      <c r="Y2555" s="160">
        <v>0</v>
      </c>
      <c r="Z2555" s="160">
        <v>0.05</v>
      </c>
      <c r="AA2555" s="160">
        <v>0</v>
      </c>
    </row>
    <row r="2556" spans="1:27" ht="18" customHeight="1" x14ac:dyDescent="0.25">
      <c r="A2556" s="159">
        <v>8003</v>
      </c>
      <c r="B2556" s="157" t="s">
        <v>266</v>
      </c>
      <c r="C2556" s="157" t="s">
        <v>294</v>
      </c>
      <c r="D2556" s="159" t="s">
        <v>298</v>
      </c>
      <c r="E2556" s="157" t="s">
        <v>299</v>
      </c>
      <c r="F2556" s="157"/>
      <c r="G2556" s="157" t="s">
        <v>1349</v>
      </c>
      <c r="H2556" s="157" t="s">
        <v>1418</v>
      </c>
      <c r="I2556" s="157" t="s">
        <v>1559</v>
      </c>
      <c r="J2556" s="157" t="s">
        <v>8301</v>
      </c>
      <c r="K2556" s="157" t="s">
        <v>1312</v>
      </c>
      <c r="L2556" s="157" t="s">
        <v>9616</v>
      </c>
      <c r="M2556" s="157" t="str">
        <f t="shared" si="54"/>
        <v>Ultrasonic Sensor RR - Short Range Distance Measurement</v>
      </c>
      <c r="N2556" s="157"/>
      <c r="O2556" s="157"/>
      <c r="P2556" s="159" t="s">
        <v>4238</v>
      </c>
      <c r="Q2556" s="157" t="s">
        <v>2115</v>
      </c>
      <c r="R2556" s="157" t="s">
        <v>2145</v>
      </c>
      <c r="S2556" s="157" t="s">
        <v>8584</v>
      </c>
      <c r="T2556" s="157"/>
      <c r="U2556" s="159" t="s">
        <v>2138</v>
      </c>
      <c r="V2556" s="159" t="s">
        <v>2138</v>
      </c>
      <c r="W2556" s="159" t="s">
        <v>2138</v>
      </c>
      <c r="X2556" s="160">
        <v>0.05</v>
      </c>
      <c r="Y2556" s="160">
        <v>0</v>
      </c>
      <c r="Z2556" s="160">
        <v>0.05</v>
      </c>
      <c r="AA2556" s="160">
        <v>0</v>
      </c>
    </row>
    <row r="2557" spans="1:27" ht="18" customHeight="1" x14ac:dyDescent="0.25">
      <c r="A2557" s="159">
        <v>8003</v>
      </c>
      <c r="B2557" s="157" t="s">
        <v>266</v>
      </c>
      <c r="C2557" s="157" t="s">
        <v>294</v>
      </c>
      <c r="D2557" s="159" t="s">
        <v>503</v>
      </c>
      <c r="E2557" s="157" t="s">
        <v>501</v>
      </c>
      <c r="F2557" s="157"/>
      <c r="G2557" s="157" t="s">
        <v>1349</v>
      </c>
      <c r="H2557" s="157" t="s">
        <v>1418</v>
      </c>
      <c r="I2557" s="157" t="s">
        <v>1559</v>
      </c>
      <c r="J2557" s="157" t="s">
        <v>8301</v>
      </c>
      <c r="K2557" s="157" t="s">
        <v>1312</v>
      </c>
      <c r="L2557" s="157" t="s">
        <v>9616</v>
      </c>
      <c r="M2557" s="157" t="str">
        <f t="shared" si="54"/>
        <v>Ultrasonic Sensor RR - Short Range Distance Measurement</v>
      </c>
      <c r="N2557" s="157"/>
      <c r="O2557" s="157"/>
      <c r="P2557" s="159" t="s">
        <v>4238</v>
      </c>
      <c r="Q2557" s="157" t="s">
        <v>2115</v>
      </c>
      <c r="R2557" s="157" t="s">
        <v>2145</v>
      </c>
      <c r="S2557" s="157" t="s">
        <v>8584</v>
      </c>
      <c r="T2557" s="157"/>
      <c r="U2557" s="159" t="s">
        <v>2129</v>
      </c>
      <c r="V2557" s="159" t="s">
        <v>2129</v>
      </c>
      <c r="W2557" s="159" t="s">
        <v>2138</v>
      </c>
      <c r="X2557" s="160">
        <v>0.05</v>
      </c>
      <c r="Y2557" s="160">
        <v>0</v>
      </c>
      <c r="Z2557" s="160">
        <v>0.05</v>
      </c>
      <c r="AA2557" s="160">
        <v>0</v>
      </c>
    </row>
    <row r="2558" spans="1:27" ht="18" customHeight="1" x14ac:dyDescent="0.25">
      <c r="A2558" s="159">
        <v>8003</v>
      </c>
      <c r="B2558" s="157" t="s">
        <v>266</v>
      </c>
      <c r="C2558" s="157" t="s">
        <v>294</v>
      </c>
      <c r="D2558" s="159" t="s">
        <v>692</v>
      </c>
      <c r="E2558" s="157" t="s">
        <v>690</v>
      </c>
      <c r="F2558" s="157"/>
      <c r="G2558" s="157" t="s">
        <v>1349</v>
      </c>
      <c r="H2558" s="157" t="s">
        <v>1418</v>
      </c>
      <c r="I2558" s="157" t="s">
        <v>1559</v>
      </c>
      <c r="J2558" s="157" t="s">
        <v>8301</v>
      </c>
      <c r="K2558" s="157" t="s">
        <v>1312</v>
      </c>
      <c r="L2558" s="157" t="s">
        <v>9616</v>
      </c>
      <c r="M2558" s="157" t="str">
        <f t="shared" si="54"/>
        <v>Ultrasonic Sensor RR - Short Range Distance Measurement</v>
      </c>
      <c r="N2558" s="157"/>
      <c r="O2558" s="157"/>
      <c r="P2558" s="159" t="s">
        <v>4238</v>
      </c>
      <c r="Q2558" s="157" t="s">
        <v>2115</v>
      </c>
      <c r="R2558" s="157" t="s">
        <v>2145</v>
      </c>
      <c r="S2558" s="157" t="s">
        <v>8584</v>
      </c>
      <c r="T2558" s="157"/>
      <c r="U2558" s="159" t="s">
        <v>2129</v>
      </c>
      <c r="V2558" s="159" t="s">
        <v>2129</v>
      </c>
      <c r="W2558" s="159" t="s">
        <v>2138</v>
      </c>
      <c r="X2558" s="160">
        <v>0.05</v>
      </c>
      <c r="Y2558" s="160">
        <v>0</v>
      </c>
      <c r="Z2558" s="160">
        <v>0.05</v>
      </c>
      <c r="AA2558" s="160">
        <v>0</v>
      </c>
    </row>
    <row r="2559" spans="1:27" ht="18" customHeight="1" x14ac:dyDescent="0.25">
      <c r="A2559" s="159">
        <v>8003</v>
      </c>
      <c r="B2559" s="157" t="s">
        <v>266</v>
      </c>
      <c r="C2559" s="157" t="s">
        <v>294</v>
      </c>
      <c r="D2559" s="159" t="s">
        <v>1177</v>
      </c>
      <c r="E2559" s="157" t="s">
        <v>1175</v>
      </c>
      <c r="F2559" s="157"/>
      <c r="G2559" s="157" t="s">
        <v>1349</v>
      </c>
      <c r="H2559" s="157" t="s">
        <v>1418</v>
      </c>
      <c r="I2559" s="157" t="s">
        <v>1559</v>
      </c>
      <c r="J2559" s="157" t="s">
        <v>8301</v>
      </c>
      <c r="K2559" s="157" t="s">
        <v>1312</v>
      </c>
      <c r="L2559" s="157" t="s">
        <v>9616</v>
      </c>
      <c r="M2559" s="157" t="str">
        <f t="shared" si="54"/>
        <v>Ultrasonic Sensor RR - Short Range Distance Measurement</v>
      </c>
      <c r="N2559" s="157"/>
      <c r="O2559" s="157"/>
      <c r="P2559" s="159" t="s">
        <v>4238</v>
      </c>
      <c r="Q2559" s="157" t="s">
        <v>2115</v>
      </c>
      <c r="R2559" s="157" t="s">
        <v>2145</v>
      </c>
      <c r="S2559" s="157" t="s">
        <v>8584</v>
      </c>
      <c r="T2559" s="157"/>
      <c r="U2559" s="159" t="s">
        <v>2129</v>
      </c>
      <c r="V2559" s="159" t="s">
        <v>2129</v>
      </c>
      <c r="W2559" s="159" t="s">
        <v>2138</v>
      </c>
      <c r="X2559" s="160">
        <v>0.05</v>
      </c>
      <c r="Y2559" s="160">
        <v>0</v>
      </c>
      <c r="Z2559" s="160">
        <v>0.05</v>
      </c>
      <c r="AA2559" s="160">
        <v>0</v>
      </c>
    </row>
    <row r="2560" spans="1:27" ht="18" customHeight="1" x14ac:dyDescent="0.25">
      <c r="A2560" s="159">
        <v>8003</v>
      </c>
      <c r="B2560" s="157" t="s">
        <v>266</v>
      </c>
      <c r="C2560" s="157" t="s">
        <v>294</v>
      </c>
      <c r="D2560" s="159" t="s">
        <v>1178</v>
      </c>
      <c r="E2560" s="157" t="s">
        <v>1179</v>
      </c>
      <c r="F2560" s="157"/>
      <c r="G2560" s="157" t="s">
        <v>1349</v>
      </c>
      <c r="H2560" s="157" t="s">
        <v>1418</v>
      </c>
      <c r="I2560" s="157" t="s">
        <v>1559</v>
      </c>
      <c r="J2560" s="157" t="s">
        <v>8301</v>
      </c>
      <c r="K2560" s="157" t="s">
        <v>1312</v>
      </c>
      <c r="L2560" s="157" t="s">
        <v>9616</v>
      </c>
      <c r="M2560" s="157" t="str">
        <f t="shared" si="54"/>
        <v>Ultrasonic Sensor RR - Short Range Distance Measurement</v>
      </c>
      <c r="N2560" s="157"/>
      <c r="O2560" s="157"/>
      <c r="P2560" s="159" t="s">
        <v>4238</v>
      </c>
      <c r="Q2560" s="157" t="s">
        <v>2115</v>
      </c>
      <c r="R2560" s="157" t="s">
        <v>2145</v>
      </c>
      <c r="S2560" s="157" t="s">
        <v>8584</v>
      </c>
      <c r="T2560" s="157"/>
      <c r="U2560" s="159" t="s">
        <v>2129</v>
      </c>
      <c r="V2560" s="159" t="s">
        <v>2138</v>
      </c>
      <c r="W2560" s="159" t="s">
        <v>2138</v>
      </c>
      <c r="X2560" s="160">
        <v>0.05</v>
      </c>
      <c r="Y2560" s="160">
        <v>0</v>
      </c>
      <c r="Z2560" s="160">
        <v>0.05</v>
      </c>
      <c r="AA2560" s="160">
        <v>0</v>
      </c>
    </row>
    <row r="2561" spans="1:27" ht="18" customHeight="1" x14ac:dyDescent="0.25">
      <c r="A2561" s="159">
        <v>8003</v>
      </c>
      <c r="B2561" s="157" t="s">
        <v>266</v>
      </c>
      <c r="C2561" s="157" t="s">
        <v>294</v>
      </c>
      <c r="D2561" s="159" t="s">
        <v>1207</v>
      </c>
      <c r="E2561" s="157" t="s">
        <v>1205</v>
      </c>
      <c r="F2561" s="157"/>
      <c r="G2561" s="157" t="s">
        <v>1349</v>
      </c>
      <c r="H2561" s="157" t="s">
        <v>1418</v>
      </c>
      <c r="I2561" s="157" t="s">
        <v>1559</v>
      </c>
      <c r="J2561" s="157" t="s">
        <v>8301</v>
      </c>
      <c r="K2561" s="157" t="s">
        <v>1312</v>
      </c>
      <c r="L2561" s="157" t="s">
        <v>9616</v>
      </c>
      <c r="M2561" s="157" t="str">
        <f t="shared" si="54"/>
        <v>Ultrasonic Sensor RR - Short Range Distance Measurement</v>
      </c>
      <c r="N2561" s="157"/>
      <c r="O2561" s="157"/>
      <c r="P2561" s="159" t="s">
        <v>4238</v>
      </c>
      <c r="Q2561" s="157" t="s">
        <v>2115</v>
      </c>
      <c r="R2561" s="157" t="s">
        <v>9526</v>
      </c>
      <c r="S2561" s="157" t="s">
        <v>8584</v>
      </c>
      <c r="T2561" s="157"/>
      <c r="U2561" s="159" t="s">
        <v>2129</v>
      </c>
      <c r="V2561" s="159" t="s">
        <v>2138</v>
      </c>
      <c r="W2561" s="159" t="s">
        <v>2138</v>
      </c>
      <c r="X2561" s="160">
        <v>0.05</v>
      </c>
      <c r="Y2561" s="160">
        <v>0</v>
      </c>
      <c r="Z2561" s="160">
        <v>0.05</v>
      </c>
      <c r="AA2561" s="160">
        <v>0</v>
      </c>
    </row>
    <row r="2562" spans="1:27" ht="18" customHeight="1" x14ac:dyDescent="0.25">
      <c r="A2562" s="159">
        <v>8004</v>
      </c>
      <c r="B2562" s="157" t="s">
        <v>266</v>
      </c>
      <c r="C2562" s="157" t="s">
        <v>294</v>
      </c>
      <c r="D2562" s="159" t="s">
        <v>298</v>
      </c>
      <c r="E2562" s="157" t="s">
        <v>299</v>
      </c>
      <c r="F2562" s="157"/>
      <c r="G2562" s="157" t="s">
        <v>1349</v>
      </c>
      <c r="H2562" s="157" t="s">
        <v>1418</v>
      </c>
      <c r="I2562" s="157" t="s">
        <v>1559</v>
      </c>
      <c r="J2562" s="157" t="s">
        <v>8301</v>
      </c>
      <c r="K2562" s="157" t="s">
        <v>1312</v>
      </c>
      <c r="L2562" s="157" t="s">
        <v>9617</v>
      </c>
      <c r="M2562" s="157" t="str">
        <f t="shared" si="54"/>
        <v>Ultrasonic Sensor RSR - Short Range Distance Measurement</v>
      </c>
      <c r="N2562" s="157"/>
      <c r="O2562" s="157"/>
      <c r="P2562" s="159" t="s">
        <v>3854</v>
      </c>
      <c r="Q2562" s="157" t="s">
        <v>2115</v>
      </c>
      <c r="R2562" s="157" t="s">
        <v>2145</v>
      </c>
      <c r="S2562" s="157" t="s">
        <v>8584</v>
      </c>
      <c r="T2562" s="157"/>
      <c r="U2562" s="159" t="s">
        <v>2138</v>
      </c>
      <c r="V2562" s="159" t="s">
        <v>2138</v>
      </c>
      <c r="W2562" s="159" t="s">
        <v>2138</v>
      </c>
      <c r="X2562" s="160">
        <v>0.05</v>
      </c>
      <c r="Y2562" s="160">
        <v>0</v>
      </c>
      <c r="Z2562" s="160">
        <v>0.05</v>
      </c>
      <c r="AA2562" s="160">
        <v>0</v>
      </c>
    </row>
    <row r="2563" spans="1:27" ht="18" customHeight="1" x14ac:dyDescent="0.25">
      <c r="A2563" s="159">
        <v>8004</v>
      </c>
      <c r="B2563" s="157" t="s">
        <v>266</v>
      </c>
      <c r="C2563" s="157" t="s">
        <v>294</v>
      </c>
      <c r="D2563" s="159" t="s">
        <v>503</v>
      </c>
      <c r="E2563" s="157" t="s">
        <v>501</v>
      </c>
      <c r="F2563" s="157"/>
      <c r="G2563" s="157" t="s">
        <v>1349</v>
      </c>
      <c r="H2563" s="157" t="s">
        <v>1418</v>
      </c>
      <c r="I2563" s="157" t="s">
        <v>1559</v>
      </c>
      <c r="J2563" s="157" t="s">
        <v>8301</v>
      </c>
      <c r="K2563" s="157" t="s">
        <v>1312</v>
      </c>
      <c r="L2563" s="157" t="s">
        <v>9617</v>
      </c>
      <c r="M2563" s="157" t="str">
        <f t="shared" si="54"/>
        <v>Ultrasonic Sensor RSR - Short Range Distance Measurement</v>
      </c>
      <c r="N2563" s="157"/>
      <c r="O2563" s="157"/>
      <c r="P2563" s="159" t="s">
        <v>3854</v>
      </c>
      <c r="Q2563" s="157" t="s">
        <v>2115</v>
      </c>
      <c r="R2563" s="157" t="s">
        <v>2145</v>
      </c>
      <c r="S2563" s="157" t="s">
        <v>8584</v>
      </c>
      <c r="T2563" s="157"/>
      <c r="U2563" s="159" t="s">
        <v>2129</v>
      </c>
      <c r="V2563" s="159" t="s">
        <v>2129</v>
      </c>
      <c r="W2563" s="159" t="s">
        <v>2138</v>
      </c>
      <c r="X2563" s="160">
        <v>0.05</v>
      </c>
      <c r="Y2563" s="160">
        <v>0</v>
      </c>
      <c r="Z2563" s="160">
        <v>0.05</v>
      </c>
      <c r="AA2563" s="160">
        <v>0</v>
      </c>
    </row>
    <row r="2564" spans="1:27" ht="18" customHeight="1" x14ac:dyDescent="0.25">
      <c r="A2564" s="159">
        <v>8004</v>
      </c>
      <c r="B2564" s="157" t="s">
        <v>266</v>
      </c>
      <c r="C2564" s="157" t="s">
        <v>294</v>
      </c>
      <c r="D2564" s="159" t="s">
        <v>692</v>
      </c>
      <c r="E2564" s="157" t="s">
        <v>690</v>
      </c>
      <c r="F2564" s="157"/>
      <c r="G2564" s="157" t="s">
        <v>1349</v>
      </c>
      <c r="H2564" s="157" t="s">
        <v>1418</v>
      </c>
      <c r="I2564" s="157" t="s">
        <v>1559</v>
      </c>
      <c r="J2564" s="157" t="s">
        <v>8301</v>
      </c>
      <c r="K2564" s="157" t="s">
        <v>1312</v>
      </c>
      <c r="L2564" s="157" t="s">
        <v>9617</v>
      </c>
      <c r="M2564" s="157" t="str">
        <f t="shared" si="54"/>
        <v>Ultrasonic Sensor RSR - Short Range Distance Measurement</v>
      </c>
      <c r="N2564" s="157"/>
      <c r="O2564" s="157"/>
      <c r="P2564" s="159" t="s">
        <v>3854</v>
      </c>
      <c r="Q2564" s="157" t="s">
        <v>2115</v>
      </c>
      <c r="R2564" s="157" t="s">
        <v>2145</v>
      </c>
      <c r="S2564" s="157" t="s">
        <v>8584</v>
      </c>
      <c r="T2564" s="157"/>
      <c r="U2564" s="159" t="s">
        <v>2129</v>
      </c>
      <c r="V2564" s="159" t="s">
        <v>2129</v>
      </c>
      <c r="W2564" s="159" t="s">
        <v>2138</v>
      </c>
      <c r="X2564" s="160">
        <v>0.05</v>
      </c>
      <c r="Y2564" s="160">
        <v>0</v>
      </c>
      <c r="Z2564" s="160">
        <v>0.05</v>
      </c>
      <c r="AA2564" s="160">
        <v>0</v>
      </c>
    </row>
    <row r="2565" spans="1:27" ht="18" customHeight="1" x14ac:dyDescent="0.25">
      <c r="A2565" s="159">
        <v>8004</v>
      </c>
      <c r="B2565" s="157" t="s">
        <v>266</v>
      </c>
      <c r="C2565" s="157" t="s">
        <v>294</v>
      </c>
      <c r="D2565" s="159" t="s">
        <v>1177</v>
      </c>
      <c r="E2565" s="157" t="s">
        <v>1175</v>
      </c>
      <c r="F2565" s="157"/>
      <c r="G2565" s="157" t="s">
        <v>1349</v>
      </c>
      <c r="H2565" s="157" t="s">
        <v>1418</v>
      </c>
      <c r="I2565" s="157" t="s">
        <v>1559</v>
      </c>
      <c r="J2565" s="157" t="s">
        <v>8301</v>
      </c>
      <c r="K2565" s="157" t="s">
        <v>1312</v>
      </c>
      <c r="L2565" s="157" t="s">
        <v>9617</v>
      </c>
      <c r="M2565" s="157" t="str">
        <f t="shared" si="54"/>
        <v>Ultrasonic Sensor RSR - Short Range Distance Measurement</v>
      </c>
      <c r="N2565" s="157"/>
      <c r="O2565" s="157"/>
      <c r="P2565" s="159" t="s">
        <v>3854</v>
      </c>
      <c r="Q2565" s="157" t="s">
        <v>2115</v>
      </c>
      <c r="R2565" s="157" t="s">
        <v>2145</v>
      </c>
      <c r="S2565" s="157" t="s">
        <v>8584</v>
      </c>
      <c r="T2565" s="157"/>
      <c r="U2565" s="159" t="s">
        <v>2129</v>
      </c>
      <c r="V2565" s="159" t="s">
        <v>2129</v>
      </c>
      <c r="W2565" s="159" t="s">
        <v>2138</v>
      </c>
      <c r="X2565" s="160">
        <v>0.05</v>
      </c>
      <c r="Y2565" s="160">
        <v>0</v>
      </c>
      <c r="Z2565" s="160">
        <v>0.05</v>
      </c>
      <c r="AA2565" s="160">
        <v>0</v>
      </c>
    </row>
    <row r="2566" spans="1:27" ht="18" customHeight="1" x14ac:dyDescent="0.25">
      <c r="A2566" s="159">
        <v>8004</v>
      </c>
      <c r="B2566" s="157" t="s">
        <v>266</v>
      </c>
      <c r="C2566" s="157" t="s">
        <v>294</v>
      </c>
      <c r="D2566" s="159" t="s">
        <v>1178</v>
      </c>
      <c r="E2566" s="157" t="s">
        <v>1179</v>
      </c>
      <c r="F2566" s="157"/>
      <c r="G2566" s="157" t="s">
        <v>1349</v>
      </c>
      <c r="H2566" s="157" t="s">
        <v>1418</v>
      </c>
      <c r="I2566" s="157" t="s">
        <v>1559</v>
      </c>
      <c r="J2566" s="157" t="s">
        <v>8301</v>
      </c>
      <c r="K2566" s="157" t="s">
        <v>1312</v>
      </c>
      <c r="L2566" s="157" t="s">
        <v>9617</v>
      </c>
      <c r="M2566" s="157" t="str">
        <f t="shared" si="54"/>
        <v>Ultrasonic Sensor RSR - Short Range Distance Measurement</v>
      </c>
      <c r="N2566" s="157"/>
      <c r="O2566" s="157"/>
      <c r="P2566" s="159" t="s">
        <v>3854</v>
      </c>
      <c r="Q2566" s="157" t="s">
        <v>2115</v>
      </c>
      <c r="R2566" s="157" t="s">
        <v>2145</v>
      </c>
      <c r="S2566" s="157" t="s">
        <v>8584</v>
      </c>
      <c r="T2566" s="157"/>
      <c r="U2566" s="159" t="s">
        <v>2129</v>
      </c>
      <c r="V2566" s="159" t="s">
        <v>2138</v>
      </c>
      <c r="W2566" s="159" t="s">
        <v>2138</v>
      </c>
      <c r="X2566" s="160">
        <v>0.05</v>
      </c>
      <c r="Y2566" s="160">
        <v>0</v>
      </c>
      <c r="Z2566" s="160">
        <v>0.05</v>
      </c>
      <c r="AA2566" s="160">
        <v>0</v>
      </c>
    </row>
    <row r="2567" spans="1:27" ht="18" customHeight="1" x14ac:dyDescent="0.25">
      <c r="A2567" s="159">
        <v>8004</v>
      </c>
      <c r="B2567" s="157" t="s">
        <v>266</v>
      </c>
      <c r="C2567" s="157" t="s">
        <v>294</v>
      </c>
      <c r="D2567" s="159" t="s">
        <v>1207</v>
      </c>
      <c r="E2567" s="157" t="s">
        <v>1205</v>
      </c>
      <c r="F2567" s="157"/>
      <c r="G2567" s="157" t="s">
        <v>1349</v>
      </c>
      <c r="H2567" s="157" t="s">
        <v>1418</v>
      </c>
      <c r="I2567" s="157" t="s">
        <v>1559</v>
      </c>
      <c r="J2567" s="157" t="s">
        <v>8301</v>
      </c>
      <c r="K2567" s="157" t="s">
        <v>1312</v>
      </c>
      <c r="L2567" s="157" t="s">
        <v>9617</v>
      </c>
      <c r="M2567" s="157" t="str">
        <f t="shared" si="54"/>
        <v>Ultrasonic Sensor RSR - Short Range Distance Measurement</v>
      </c>
      <c r="N2567" s="157"/>
      <c r="O2567" s="157"/>
      <c r="P2567" s="159" t="s">
        <v>3854</v>
      </c>
      <c r="Q2567" s="157" t="s">
        <v>2115</v>
      </c>
      <c r="R2567" s="157" t="s">
        <v>9526</v>
      </c>
      <c r="S2567" s="157" t="s">
        <v>8584</v>
      </c>
      <c r="T2567" s="157"/>
      <c r="U2567" s="159" t="s">
        <v>2129</v>
      </c>
      <c r="V2567" s="159" t="s">
        <v>2138</v>
      </c>
      <c r="W2567" s="159" t="s">
        <v>2138</v>
      </c>
      <c r="X2567" s="160">
        <v>0.05</v>
      </c>
      <c r="Y2567" s="160">
        <v>0</v>
      </c>
      <c r="Z2567" s="160">
        <v>0.05</v>
      </c>
      <c r="AA2567" s="160">
        <v>0</v>
      </c>
    </row>
    <row r="2568" spans="1:27" ht="18" customHeight="1" x14ac:dyDescent="0.25">
      <c r="A2568" s="159">
        <v>9001</v>
      </c>
      <c r="B2568" s="157"/>
      <c r="C2568" s="157"/>
      <c r="D2568" s="159"/>
      <c r="E2568" s="157"/>
      <c r="F2568" s="157"/>
      <c r="G2568" s="157" t="s">
        <v>1321</v>
      </c>
      <c r="H2568" s="157" t="s">
        <v>1648</v>
      </c>
      <c r="I2568" s="157" t="s">
        <v>1929</v>
      </c>
      <c r="J2568" s="157" t="s">
        <v>1649</v>
      </c>
      <c r="K2568" s="157" t="s">
        <v>1269</v>
      </c>
      <c r="L2568" s="157" t="s">
        <v>1930</v>
      </c>
      <c r="M2568" s="157" t="str">
        <f t="shared" si="54"/>
        <v>Valve 1 - Actuator 1 for assembly mounting - Mounting Vibration Control</v>
      </c>
      <c r="N2568" s="157"/>
      <c r="O2568" s="157"/>
      <c r="P2568" s="167" t="s">
        <v>3304</v>
      </c>
      <c r="Q2568" s="157"/>
      <c r="R2568" s="157"/>
      <c r="S2568" s="157"/>
      <c r="T2568" s="157"/>
      <c r="U2568" s="159" t="s">
        <v>2129</v>
      </c>
      <c r="V2568" s="159" t="s">
        <v>2138</v>
      </c>
      <c r="W2568" s="159" t="s">
        <v>2129</v>
      </c>
      <c r="X2568" s="160">
        <v>0</v>
      </c>
      <c r="Y2568" s="160">
        <v>0.1</v>
      </c>
      <c r="Z2568" s="160">
        <v>0.1</v>
      </c>
      <c r="AA2568" s="160">
        <v>0</v>
      </c>
    </row>
    <row r="2569" spans="1:27" ht="18" customHeight="1" x14ac:dyDescent="0.25">
      <c r="A2569" s="159">
        <v>9002</v>
      </c>
      <c r="B2569" s="157"/>
      <c r="C2569" s="157"/>
      <c r="D2569" s="159"/>
      <c r="E2569" s="157"/>
      <c r="F2569" s="157" t="s">
        <v>1010</v>
      </c>
      <c r="G2569" s="157" t="s">
        <v>1321</v>
      </c>
      <c r="H2569" s="157" t="s">
        <v>1648</v>
      </c>
      <c r="I2569" s="157" t="s">
        <v>1929</v>
      </c>
      <c r="J2569" s="157" t="s">
        <v>1649</v>
      </c>
      <c r="K2569" s="157" t="s">
        <v>1269</v>
      </c>
      <c r="L2569" s="157" t="s">
        <v>1931</v>
      </c>
      <c r="M2569" s="157" t="str">
        <f t="shared" si="54"/>
        <v>Valve 2 - Actuator 2 for assembly mounting - Mounting Vibration Control</v>
      </c>
      <c r="N2569" s="157"/>
      <c r="O2569" s="157"/>
      <c r="P2569" s="159" t="s">
        <v>7057</v>
      </c>
      <c r="Q2569" s="157"/>
      <c r="R2569" s="157"/>
      <c r="S2569" s="157"/>
      <c r="T2569" s="157"/>
      <c r="U2569" s="159" t="s">
        <v>2129</v>
      </c>
      <c r="V2569" s="159" t="s">
        <v>2138</v>
      </c>
      <c r="W2569" s="159" t="s">
        <v>2129</v>
      </c>
      <c r="X2569" s="160">
        <v>0</v>
      </c>
      <c r="Y2569" s="160">
        <v>0.1</v>
      </c>
      <c r="Z2569" s="160">
        <v>0.1</v>
      </c>
      <c r="AA2569" s="160">
        <v>0</v>
      </c>
    </row>
    <row r="2570" spans="1:27" ht="18" customHeight="1" x14ac:dyDescent="0.25">
      <c r="A2570" s="159">
        <v>9006</v>
      </c>
      <c r="B2570" s="157"/>
      <c r="C2570" s="157"/>
      <c r="D2570" s="159"/>
      <c r="E2570" s="157"/>
      <c r="F2570" s="157"/>
      <c r="G2570" s="157" t="s">
        <v>13</v>
      </c>
      <c r="H2570" s="157" t="s">
        <v>1459</v>
      </c>
      <c r="I2570" s="157" t="s">
        <v>1932</v>
      </c>
      <c r="J2570" s="157"/>
      <c r="K2570" s="157" t="s">
        <v>1269</v>
      </c>
      <c r="L2570" s="157" t="s">
        <v>1933</v>
      </c>
      <c r="M2570" s="157" t="str">
        <f t="shared" ref="M2570:M2633" si="55">CONCATENATE(L2570," - ",I2570)</f>
        <v>Connection for emergency power supply - Emergency Power Supply</v>
      </c>
      <c r="N2570" s="157"/>
      <c r="O2570" s="157"/>
      <c r="P2570" s="159"/>
      <c r="Q2570" s="157"/>
      <c r="R2570" s="157"/>
      <c r="S2570" s="157"/>
      <c r="T2570" s="157"/>
      <c r="U2570" s="159"/>
      <c r="V2570" s="159"/>
      <c r="W2570" s="159"/>
      <c r="X2570" s="160">
        <v>0</v>
      </c>
      <c r="Y2570" s="160">
        <v>0</v>
      </c>
      <c r="Z2570" s="160">
        <v>0</v>
      </c>
      <c r="AA2570" s="160">
        <v>0</v>
      </c>
    </row>
    <row r="2571" spans="1:27" ht="18" customHeight="1" x14ac:dyDescent="0.25">
      <c r="A2571" s="159">
        <v>9007</v>
      </c>
      <c r="B2571" s="157" t="s">
        <v>280</v>
      </c>
      <c r="C2571" s="157" t="s">
        <v>337</v>
      </c>
      <c r="D2571" s="159" t="s">
        <v>340</v>
      </c>
      <c r="E2571" s="157" t="s">
        <v>338</v>
      </c>
      <c r="F2571" s="157" t="s">
        <v>1264</v>
      </c>
      <c r="G2571" s="157" t="s">
        <v>1265</v>
      </c>
      <c r="H2571" s="157" t="s">
        <v>1271</v>
      </c>
      <c r="I2571" s="157" t="s">
        <v>1272</v>
      </c>
      <c r="J2571" s="157" t="s">
        <v>1411</v>
      </c>
      <c r="K2571" s="157" t="s">
        <v>1409</v>
      </c>
      <c r="L2571" s="157" t="s">
        <v>9595</v>
      </c>
      <c r="M2571" s="157" t="str">
        <f t="shared" si="55"/>
        <v>Wifi+Bluetooth Antenna - Internal Wireless Digital Data</v>
      </c>
      <c r="N2571" s="157"/>
      <c r="O2571" s="157"/>
      <c r="P2571" s="159" t="s">
        <v>7231</v>
      </c>
      <c r="Q2571" s="157" t="s">
        <v>2115</v>
      </c>
      <c r="R2571" s="157" t="s">
        <v>8239</v>
      </c>
      <c r="S2571" s="157" t="s">
        <v>8604</v>
      </c>
      <c r="T2571" s="157"/>
      <c r="U2571" s="159" t="s">
        <v>2129</v>
      </c>
      <c r="V2571" s="159" t="s">
        <v>2129</v>
      </c>
      <c r="W2571" s="159" t="s">
        <v>2138</v>
      </c>
      <c r="X2571" s="160">
        <v>1</v>
      </c>
      <c r="Y2571" s="160">
        <v>1</v>
      </c>
      <c r="Z2571" s="160">
        <v>1</v>
      </c>
      <c r="AA2571" s="160">
        <v>1</v>
      </c>
    </row>
    <row r="2572" spans="1:27" ht="18" customHeight="1" x14ac:dyDescent="0.25">
      <c r="A2572" s="159">
        <v>9007</v>
      </c>
      <c r="B2572" s="157" t="s">
        <v>318</v>
      </c>
      <c r="C2572" s="157" t="s">
        <v>362</v>
      </c>
      <c r="D2572" s="159" t="s">
        <v>341</v>
      </c>
      <c r="E2572" s="157" t="s">
        <v>705</v>
      </c>
      <c r="F2572" s="157" t="s">
        <v>1264</v>
      </c>
      <c r="G2572" s="157" t="s">
        <v>1265</v>
      </c>
      <c r="H2572" s="157" t="s">
        <v>1271</v>
      </c>
      <c r="I2572" s="157" t="s">
        <v>1272</v>
      </c>
      <c r="J2572" s="157" t="s">
        <v>1411</v>
      </c>
      <c r="K2572" s="157" t="s">
        <v>1409</v>
      </c>
      <c r="L2572" s="157" t="s">
        <v>9595</v>
      </c>
      <c r="M2572" s="157" t="str">
        <f t="shared" si="55"/>
        <v>Wifi+Bluetooth Antenna - Internal Wireless Digital Data</v>
      </c>
      <c r="N2572" s="157"/>
      <c r="O2572" s="157"/>
      <c r="P2572" s="159" t="s">
        <v>7231</v>
      </c>
      <c r="Q2572" s="157" t="s">
        <v>2115</v>
      </c>
      <c r="R2572" s="157" t="s">
        <v>8239</v>
      </c>
      <c r="S2572" s="157" t="s">
        <v>8604</v>
      </c>
      <c r="T2572" s="157"/>
      <c r="U2572" s="159" t="s">
        <v>2129</v>
      </c>
      <c r="V2572" s="159" t="s">
        <v>2129</v>
      </c>
      <c r="W2572" s="159" t="s">
        <v>2138</v>
      </c>
      <c r="X2572" s="160">
        <v>1</v>
      </c>
      <c r="Y2572" s="160">
        <v>1</v>
      </c>
      <c r="Z2572" s="160">
        <v>1</v>
      </c>
      <c r="AA2572" s="160">
        <v>1</v>
      </c>
    </row>
    <row r="2573" spans="1:27" ht="18" customHeight="1" x14ac:dyDescent="0.25">
      <c r="A2573" s="159">
        <v>9011</v>
      </c>
      <c r="B2573" s="157"/>
      <c r="C2573" s="157"/>
      <c r="D2573" s="159"/>
      <c r="E2573" s="157"/>
      <c r="F2573" s="157"/>
      <c r="G2573" s="157" t="s">
        <v>1265</v>
      </c>
      <c r="H2573" s="157" t="s">
        <v>1271</v>
      </c>
      <c r="I2573" s="157" t="s">
        <v>1934</v>
      </c>
      <c r="J2573" s="157"/>
      <c r="K2573" s="157" t="s">
        <v>1409</v>
      </c>
      <c r="L2573" s="157" t="s">
        <v>8553</v>
      </c>
      <c r="M2573" s="157" t="str">
        <f t="shared" si="55"/>
        <v>Satellite Antenna - SDARS - Satellite Digital Audio Radio Service</v>
      </c>
      <c r="N2573" s="157"/>
      <c r="O2573" s="157"/>
      <c r="P2573" s="159" t="s">
        <v>5789</v>
      </c>
      <c r="Q2573" s="157" t="s">
        <v>2115</v>
      </c>
      <c r="R2573" s="157" t="s">
        <v>8239</v>
      </c>
      <c r="S2573" s="157" t="s">
        <v>8604</v>
      </c>
      <c r="T2573" s="157"/>
      <c r="U2573" s="159" t="s">
        <v>2129</v>
      </c>
      <c r="V2573" s="159" t="s">
        <v>2129</v>
      </c>
      <c r="W2573" s="159" t="s">
        <v>2138</v>
      </c>
      <c r="X2573" s="160">
        <v>1</v>
      </c>
      <c r="Y2573" s="160">
        <v>1</v>
      </c>
      <c r="Z2573" s="160">
        <v>1</v>
      </c>
      <c r="AA2573" s="160">
        <v>1</v>
      </c>
    </row>
    <row r="2574" spans="1:27" ht="18" customHeight="1" x14ac:dyDescent="0.25">
      <c r="A2574" s="159">
        <v>9015</v>
      </c>
      <c r="B2574" s="157" t="s">
        <v>77</v>
      </c>
      <c r="C2574" s="157" t="s">
        <v>149</v>
      </c>
      <c r="D2574" s="159" t="s">
        <v>584</v>
      </c>
      <c r="E2574" s="157" t="s">
        <v>582</v>
      </c>
      <c r="F2574" s="157" t="s">
        <v>1264</v>
      </c>
      <c r="G2574" s="157" t="s">
        <v>1278</v>
      </c>
      <c r="H2574" s="157" t="s">
        <v>1283</v>
      </c>
      <c r="I2574" s="157" t="s">
        <v>8542</v>
      </c>
      <c r="J2574" s="157" t="s">
        <v>1428</v>
      </c>
      <c r="K2574" s="157" t="s">
        <v>1281</v>
      </c>
      <c r="L2574" s="157" t="s">
        <v>1281</v>
      </c>
      <c r="M2574" s="157" t="str">
        <f t="shared" si="55"/>
        <v>Switch - Vanity Mirror Illumination RL</v>
      </c>
      <c r="N2574" s="157"/>
      <c r="O2574" s="157"/>
      <c r="P2574" s="159" t="s">
        <v>7085</v>
      </c>
      <c r="Q2574" s="157" t="s">
        <v>2115</v>
      </c>
      <c r="R2574" s="157" t="s">
        <v>2124</v>
      </c>
      <c r="S2574" s="157" t="s">
        <v>8608</v>
      </c>
      <c r="T2574" s="157"/>
      <c r="U2574" s="159" t="s">
        <v>2129</v>
      </c>
      <c r="V2574" s="159" t="s">
        <v>2129</v>
      </c>
      <c r="W2574" s="159" t="s">
        <v>2138</v>
      </c>
      <c r="X2574" s="160">
        <v>0.05</v>
      </c>
      <c r="Y2574" s="160">
        <v>0.05</v>
      </c>
      <c r="Z2574" s="160">
        <v>0.05</v>
      </c>
      <c r="AA2574" s="160">
        <v>0.05</v>
      </c>
    </row>
    <row r="2575" spans="1:27" ht="18" customHeight="1" x14ac:dyDescent="0.25">
      <c r="A2575" s="159">
        <v>9016</v>
      </c>
      <c r="B2575" s="157" t="s">
        <v>77</v>
      </c>
      <c r="C2575" s="157" t="s">
        <v>149</v>
      </c>
      <c r="D2575" s="159" t="s">
        <v>584</v>
      </c>
      <c r="E2575" s="157" t="s">
        <v>582</v>
      </c>
      <c r="F2575" s="157" t="s">
        <v>1264</v>
      </c>
      <c r="G2575" s="157" t="s">
        <v>1278</v>
      </c>
      <c r="H2575" s="157" t="s">
        <v>1283</v>
      </c>
      <c r="I2575" s="157" t="s">
        <v>8542</v>
      </c>
      <c r="J2575" s="157" t="s">
        <v>1428</v>
      </c>
      <c r="K2575" s="157" t="s">
        <v>1269</v>
      </c>
      <c r="L2575" s="157" t="s">
        <v>1286</v>
      </c>
      <c r="M2575" s="157" t="str">
        <f t="shared" si="55"/>
        <v>LED Lamp - Vanity Mirror Illumination RL</v>
      </c>
      <c r="N2575" s="157"/>
      <c r="O2575" s="157"/>
      <c r="P2575" s="159" t="s">
        <v>4931</v>
      </c>
      <c r="Q2575" s="157" t="s">
        <v>2115</v>
      </c>
      <c r="R2575" s="157" t="s">
        <v>8566</v>
      </c>
      <c r="S2575" s="157" t="s">
        <v>8611</v>
      </c>
      <c r="T2575" s="157"/>
      <c r="U2575" s="159" t="s">
        <v>2129</v>
      </c>
      <c r="V2575" s="159" t="s">
        <v>2129</v>
      </c>
      <c r="W2575" s="159" t="s">
        <v>2138</v>
      </c>
      <c r="X2575" s="160">
        <v>0.05</v>
      </c>
      <c r="Y2575" s="160">
        <v>0.05</v>
      </c>
      <c r="Z2575" s="160">
        <v>0.05</v>
      </c>
      <c r="AA2575" s="160">
        <v>0.05</v>
      </c>
    </row>
    <row r="2576" spans="1:27" ht="18" customHeight="1" x14ac:dyDescent="0.25">
      <c r="A2576" s="159">
        <v>9017</v>
      </c>
      <c r="B2576" s="157" t="s">
        <v>77</v>
      </c>
      <c r="C2576" s="157" t="s">
        <v>149</v>
      </c>
      <c r="D2576" s="159" t="s">
        <v>584</v>
      </c>
      <c r="E2576" s="157" t="s">
        <v>582</v>
      </c>
      <c r="F2576" s="157" t="s">
        <v>1264</v>
      </c>
      <c r="G2576" s="157" t="s">
        <v>1278</v>
      </c>
      <c r="H2576" s="157" t="s">
        <v>1283</v>
      </c>
      <c r="I2576" s="157" t="s">
        <v>8543</v>
      </c>
      <c r="J2576" s="157" t="s">
        <v>1428</v>
      </c>
      <c r="K2576" s="157" t="s">
        <v>1269</v>
      </c>
      <c r="L2576" s="157" t="s">
        <v>1286</v>
      </c>
      <c r="M2576" s="157" t="str">
        <f t="shared" si="55"/>
        <v>LED Lamp - Vanity Mirror Illumination RR</v>
      </c>
      <c r="N2576" s="157"/>
      <c r="O2576" s="157"/>
      <c r="P2576" s="159" t="s">
        <v>6612</v>
      </c>
      <c r="Q2576" s="157" t="s">
        <v>2115</v>
      </c>
      <c r="R2576" s="157" t="s">
        <v>8566</v>
      </c>
      <c r="S2576" s="157" t="s">
        <v>8611</v>
      </c>
      <c r="T2576" s="157"/>
      <c r="U2576" s="159" t="s">
        <v>2129</v>
      </c>
      <c r="V2576" s="159" t="s">
        <v>2129</v>
      </c>
      <c r="W2576" s="159" t="s">
        <v>2138</v>
      </c>
      <c r="X2576" s="160">
        <v>0.05</v>
      </c>
      <c r="Y2576" s="160">
        <v>0.05</v>
      </c>
      <c r="Z2576" s="160">
        <v>0.05</v>
      </c>
      <c r="AA2576" s="160">
        <v>0.05</v>
      </c>
    </row>
    <row r="2577" spans="1:27" ht="18" customHeight="1" x14ac:dyDescent="0.25">
      <c r="A2577" s="159">
        <v>9018</v>
      </c>
      <c r="B2577" s="157" t="s">
        <v>77</v>
      </c>
      <c r="C2577" s="157" t="s">
        <v>149</v>
      </c>
      <c r="D2577" s="159" t="s">
        <v>584</v>
      </c>
      <c r="E2577" s="157" t="s">
        <v>582</v>
      </c>
      <c r="F2577" s="157" t="s">
        <v>1264</v>
      </c>
      <c r="G2577" s="157" t="s">
        <v>1278</v>
      </c>
      <c r="H2577" s="157" t="s">
        <v>1283</v>
      </c>
      <c r="I2577" s="157" t="s">
        <v>8543</v>
      </c>
      <c r="J2577" s="157" t="s">
        <v>1428</v>
      </c>
      <c r="K2577" s="157" t="s">
        <v>1281</v>
      </c>
      <c r="L2577" s="157" t="s">
        <v>1281</v>
      </c>
      <c r="M2577" s="157" t="str">
        <f t="shared" si="55"/>
        <v>Switch - Vanity Mirror Illumination RR</v>
      </c>
      <c r="N2577" s="157"/>
      <c r="O2577" s="157"/>
      <c r="P2577" s="159" t="s">
        <v>4447</v>
      </c>
      <c r="Q2577" s="157" t="s">
        <v>2115</v>
      </c>
      <c r="R2577" s="157" t="s">
        <v>2124</v>
      </c>
      <c r="S2577" s="157" t="s">
        <v>8608</v>
      </c>
      <c r="T2577" s="157"/>
      <c r="U2577" s="159" t="s">
        <v>2129</v>
      </c>
      <c r="V2577" s="159" t="s">
        <v>2129</v>
      </c>
      <c r="W2577" s="159" t="s">
        <v>2138</v>
      </c>
      <c r="X2577" s="160">
        <v>0.05</v>
      </c>
      <c r="Y2577" s="160">
        <v>0.05</v>
      </c>
      <c r="Z2577" s="160">
        <v>0.05</v>
      </c>
      <c r="AA2577" s="160">
        <v>0.05</v>
      </c>
    </row>
    <row r="2578" spans="1:27" ht="18" customHeight="1" x14ac:dyDescent="0.25">
      <c r="A2578" s="159">
        <v>9031</v>
      </c>
      <c r="B2578" s="157" t="s">
        <v>251</v>
      </c>
      <c r="C2578" s="157" t="s">
        <v>311</v>
      </c>
      <c r="D2578" s="159" t="s">
        <v>9668</v>
      </c>
      <c r="E2578" s="157" t="s">
        <v>9666</v>
      </c>
      <c r="F2578" s="157" t="s">
        <v>1010</v>
      </c>
      <c r="G2578" s="157" t="s">
        <v>1321</v>
      </c>
      <c r="H2578" s="157" t="s">
        <v>9546</v>
      </c>
      <c r="I2578" s="157" t="s">
        <v>1533</v>
      </c>
      <c r="J2578" s="157" t="s">
        <v>1649</v>
      </c>
      <c r="K2578" s="157" t="s">
        <v>1269</v>
      </c>
      <c r="L2578" s="157" t="s">
        <v>1935</v>
      </c>
      <c r="M2578" s="157" t="str">
        <f t="shared" si="55"/>
        <v>Fuel system diagnostic pump - Fuel Pump</v>
      </c>
      <c r="N2578" s="157"/>
      <c r="O2578" s="157"/>
      <c r="P2578" s="159" t="s">
        <v>4862</v>
      </c>
      <c r="Q2578" s="157"/>
      <c r="R2578" s="157"/>
      <c r="S2578" s="157"/>
      <c r="T2578" s="157"/>
      <c r="U2578" s="159" t="s">
        <v>2129</v>
      </c>
      <c r="V2578" s="159" t="s">
        <v>2138</v>
      </c>
      <c r="W2578" s="159" t="s">
        <v>2129</v>
      </c>
      <c r="X2578" s="160">
        <v>1</v>
      </c>
      <c r="Y2578" s="160">
        <v>1</v>
      </c>
      <c r="Z2578" s="160">
        <v>1</v>
      </c>
      <c r="AA2578" s="160">
        <v>1</v>
      </c>
    </row>
    <row r="2579" spans="1:27" ht="18" customHeight="1" x14ac:dyDescent="0.25">
      <c r="A2579" s="159">
        <v>9032</v>
      </c>
      <c r="B2579" s="157"/>
      <c r="C2579" s="157"/>
      <c r="D2579" s="159"/>
      <c r="E2579" s="157"/>
      <c r="F2579" s="157" t="s">
        <v>1010</v>
      </c>
      <c r="G2579" s="157" t="s">
        <v>1321</v>
      </c>
      <c r="H2579" s="157" t="s">
        <v>1648</v>
      </c>
      <c r="I2579" s="157" t="s">
        <v>1936</v>
      </c>
      <c r="J2579" s="157" t="s">
        <v>1649</v>
      </c>
      <c r="K2579" s="157" t="s">
        <v>1312</v>
      </c>
      <c r="L2579" s="157" t="s">
        <v>1937</v>
      </c>
      <c r="M2579" s="157" t="str">
        <f t="shared" si="55"/>
        <v>Differential pressure sensor [OPF B1] - Exhaust Differential Pressure</v>
      </c>
      <c r="N2579" s="157"/>
      <c r="O2579" s="157"/>
      <c r="P2579" s="159"/>
      <c r="Q2579" s="157"/>
      <c r="R2579" s="157"/>
      <c r="S2579" s="157"/>
      <c r="T2579" s="157"/>
      <c r="U2579" s="159"/>
      <c r="V2579" s="159"/>
      <c r="W2579" s="159"/>
      <c r="X2579" s="160"/>
      <c r="Y2579" s="160"/>
      <c r="Z2579" s="160"/>
      <c r="AA2579" s="160"/>
    </row>
    <row r="2580" spans="1:27" ht="18" customHeight="1" x14ac:dyDescent="0.25">
      <c r="A2580" s="159">
        <v>9033</v>
      </c>
      <c r="B2580" s="157"/>
      <c r="C2580" s="157"/>
      <c r="D2580" s="159"/>
      <c r="E2580" s="157"/>
      <c r="F2580" s="157" t="s">
        <v>1010</v>
      </c>
      <c r="G2580" s="157" t="s">
        <v>1321</v>
      </c>
      <c r="H2580" s="157" t="s">
        <v>1648</v>
      </c>
      <c r="I2580" s="157" t="s">
        <v>1936</v>
      </c>
      <c r="J2580" s="157" t="s">
        <v>1649</v>
      </c>
      <c r="K2580" s="157" t="s">
        <v>1312</v>
      </c>
      <c r="L2580" s="157" t="s">
        <v>1938</v>
      </c>
      <c r="M2580" s="157" t="str">
        <f t="shared" si="55"/>
        <v>Differential pressure sensor 2 [OPF B2] - Exhaust Differential Pressure</v>
      </c>
      <c r="N2580" s="157"/>
      <c r="O2580" s="157"/>
      <c r="P2580" s="159"/>
      <c r="Q2580" s="157"/>
      <c r="R2580" s="157"/>
      <c r="S2580" s="157"/>
      <c r="T2580" s="157"/>
      <c r="U2580" s="159"/>
      <c r="V2580" s="159"/>
      <c r="W2580" s="159"/>
      <c r="X2580" s="160"/>
      <c r="Y2580" s="160"/>
      <c r="Z2580" s="160"/>
      <c r="AA2580" s="160"/>
    </row>
    <row r="2581" spans="1:27" ht="18" customHeight="1" x14ac:dyDescent="0.25">
      <c r="A2581" s="159">
        <v>9034</v>
      </c>
      <c r="B2581" s="157"/>
      <c r="C2581" s="157"/>
      <c r="D2581" s="159" t="s">
        <v>61</v>
      </c>
      <c r="E2581" s="157" t="s">
        <v>59</v>
      </c>
      <c r="F2581" s="157"/>
      <c r="G2581" s="157" t="s">
        <v>1278</v>
      </c>
      <c r="H2581" s="157" t="s">
        <v>1378</v>
      </c>
      <c r="I2581" s="157" t="s">
        <v>9555</v>
      </c>
      <c r="J2581" s="157"/>
      <c r="K2581" s="157" t="s">
        <v>1312</v>
      </c>
      <c r="L2581" s="157" t="s">
        <v>9633</v>
      </c>
      <c r="M2581" s="157" t="str">
        <f t="shared" si="55"/>
        <v>Pressure Switch - Air Conditioning Fluid Sensor</v>
      </c>
      <c r="N2581" s="157"/>
      <c r="O2581" s="157"/>
      <c r="P2581" s="159" t="s">
        <v>2720</v>
      </c>
      <c r="Q2581" s="157"/>
      <c r="R2581" s="157"/>
      <c r="S2581" s="157"/>
      <c r="T2581" s="157"/>
      <c r="U2581" s="159" t="s">
        <v>2129</v>
      </c>
      <c r="V2581" s="159" t="s">
        <v>2129</v>
      </c>
      <c r="W2581" s="159" t="s">
        <v>2138</v>
      </c>
      <c r="X2581" s="160">
        <v>1</v>
      </c>
      <c r="Y2581" s="160">
        <v>1</v>
      </c>
      <c r="Z2581" s="160">
        <v>1</v>
      </c>
      <c r="AA2581" s="160">
        <v>1</v>
      </c>
    </row>
    <row r="2582" spans="1:27" ht="18" customHeight="1" x14ac:dyDescent="0.25">
      <c r="A2582" s="159">
        <v>9034</v>
      </c>
      <c r="B2582" s="157"/>
      <c r="C2582" s="157"/>
      <c r="D2582" s="159" t="s">
        <v>243</v>
      </c>
      <c r="E2582" s="157" t="s">
        <v>241</v>
      </c>
      <c r="F2582" s="157"/>
      <c r="G2582" s="157" t="s">
        <v>1278</v>
      </c>
      <c r="H2582" s="157" t="s">
        <v>1378</v>
      </c>
      <c r="I2582" s="157" t="s">
        <v>9555</v>
      </c>
      <c r="J2582" s="157"/>
      <c r="K2582" s="157" t="s">
        <v>1312</v>
      </c>
      <c r="L2582" s="157" t="s">
        <v>9633</v>
      </c>
      <c r="M2582" s="157" t="str">
        <f t="shared" si="55"/>
        <v>Pressure Switch - Air Conditioning Fluid Sensor</v>
      </c>
      <c r="N2582" s="157"/>
      <c r="O2582" s="157"/>
      <c r="P2582" s="159" t="s">
        <v>2720</v>
      </c>
      <c r="Q2582" s="157"/>
      <c r="R2582" s="157"/>
      <c r="S2582" s="157"/>
      <c r="T2582" s="157"/>
      <c r="U2582" s="159" t="s">
        <v>2138</v>
      </c>
      <c r="V2582" s="159" t="s">
        <v>2129</v>
      </c>
      <c r="W2582" s="159" t="s">
        <v>2129</v>
      </c>
      <c r="X2582" s="160">
        <v>1</v>
      </c>
      <c r="Y2582" s="160">
        <v>1</v>
      </c>
      <c r="Z2582" s="160">
        <v>1</v>
      </c>
      <c r="AA2582" s="160">
        <v>1</v>
      </c>
    </row>
    <row r="2583" spans="1:27" ht="18" customHeight="1" x14ac:dyDescent="0.25">
      <c r="A2583" s="159">
        <v>9034</v>
      </c>
      <c r="B2583" s="157"/>
      <c r="C2583" s="157"/>
      <c r="D2583" s="159" t="s">
        <v>414</v>
      </c>
      <c r="E2583" s="157" t="s">
        <v>412</v>
      </c>
      <c r="F2583" s="157"/>
      <c r="G2583" s="157" t="s">
        <v>1278</v>
      </c>
      <c r="H2583" s="157" t="s">
        <v>1378</v>
      </c>
      <c r="I2583" s="157" t="s">
        <v>9555</v>
      </c>
      <c r="J2583" s="157"/>
      <c r="K2583" s="157" t="s">
        <v>1312</v>
      </c>
      <c r="L2583" s="157" t="s">
        <v>9633</v>
      </c>
      <c r="M2583" s="157" t="str">
        <f t="shared" si="55"/>
        <v>Pressure Switch - Air Conditioning Fluid Sensor</v>
      </c>
      <c r="N2583" s="157"/>
      <c r="O2583" s="157"/>
      <c r="P2583" s="159" t="s">
        <v>2720</v>
      </c>
      <c r="Q2583" s="157"/>
      <c r="R2583" s="157"/>
      <c r="S2583" s="157"/>
      <c r="T2583" s="157"/>
      <c r="U2583" s="159" t="s">
        <v>2129</v>
      </c>
      <c r="V2583" s="159" t="s">
        <v>2138</v>
      </c>
      <c r="W2583" s="159" t="s">
        <v>2138</v>
      </c>
      <c r="X2583" s="160">
        <v>1</v>
      </c>
      <c r="Y2583" s="160">
        <v>1</v>
      </c>
      <c r="Z2583" s="160">
        <v>1</v>
      </c>
      <c r="AA2583" s="160">
        <v>1</v>
      </c>
    </row>
    <row r="2584" spans="1:27" ht="18" customHeight="1" x14ac:dyDescent="0.25">
      <c r="A2584" s="159">
        <v>9034</v>
      </c>
      <c r="B2584" s="157"/>
      <c r="C2584" s="157"/>
      <c r="D2584" s="159" t="s">
        <v>664</v>
      </c>
      <c r="E2584" s="157" t="s">
        <v>662</v>
      </c>
      <c r="F2584" s="157"/>
      <c r="G2584" s="157" t="s">
        <v>1278</v>
      </c>
      <c r="H2584" s="157" t="s">
        <v>1378</v>
      </c>
      <c r="I2584" s="157" t="s">
        <v>9555</v>
      </c>
      <c r="J2584" s="157"/>
      <c r="K2584" s="157" t="s">
        <v>1312</v>
      </c>
      <c r="L2584" s="157" t="s">
        <v>9633</v>
      </c>
      <c r="M2584" s="157" t="str">
        <f t="shared" si="55"/>
        <v>Pressure Switch - Air Conditioning Fluid Sensor</v>
      </c>
      <c r="N2584" s="157"/>
      <c r="O2584" s="157"/>
      <c r="P2584" s="159" t="s">
        <v>2720</v>
      </c>
      <c r="Q2584" s="157"/>
      <c r="R2584" s="157"/>
      <c r="S2584" s="157"/>
      <c r="T2584" s="157"/>
      <c r="U2584" s="159" t="s">
        <v>2138</v>
      </c>
      <c r="V2584" s="159" t="s">
        <v>2129</v>
      </c>
      <c r="W2584" s="159" t="s">
        <v>2129</v>
      </c>
      <c r="X2584" s="160">
        <v>1</v>
      </c>
      <c r="Y2584" s="160">
        <v>1</v>
      </c>
      <c r="Z2584" s="160">
        <v>1</v>
      </c>
      <c r="AA2584" s="160">
        <v>1</v>
      </c>
    </row>
    <row r="2585" spans="1:27" ht="18" customHeight="1" x14ac:dyDescent="0.25">
      <c r="A2585" s="159">
        <v>9034</v>
      </c>
      <c r="B2585" s="157"/>
      <c r="C2585" s="157"/>
      <c r="D2585" s="159" t="s">
        <v>841</v>
      </c>
      <c r="E2585" s="157" t="s">
        <v>839</v>
      </c>
      <c r="F2585" s="157"/>
      <c r="G2585" s="157" t="s">
        <v>1278</v>
      </c>
      <c r="H2585" s="157" t="s">
        <v>1378</v>
      </c>
      <c r="I2585" s="157" t="s">
        <v>9555</v>
      </c>
      <c r="J2585" s="157"/>
      <c r="K2585" s="157" t="s">
        <v>1312</v>
      </c>
      <c r="L2585" s="157" t="s">
        <v>9633</v>
      </c>
      <c r="M2585" s="157" t="str">
        <f t="shared" si="55"/>
        <v>Pressure Switch - Air Conditioning Fluid Sensor</v>
      </c>
      <c r="N2585" s="157"/>
      <c r="O2585" s="157"/>
      <c r="P2585" s="159" t="s">
        <v>2720</v>
      </c>
      <c r="Q2585" s="157"/>
      <c r="R2585" s="157"/>
      <c r="S2585" s="157"/>
      <c r="T2585" s="157"/>
      <c r="U2585" s="159" t="s">
        <v>2129</v>
      </c>
      <c r="V2585" s="159" t="s">
        <v>2129</v>
      </c>
      <c r="W2585" s="159" t="s">
        <v>2138</v>
      </c>
      <c r="X2585" s="160">
        <v>1</v>
      </c>
      <c r="Y2585" s="160">
        <v>1</v>
      </c>
      <c r="Z2585" s="160">
        <v>1</v>
      </c>
      <c r="AA2585" s="160">
        <v>1</v>
      </c>
    </row>
    <row r="2586" spans="1:27" ht="18" customHeight="1" x14ac:dyDescent="0.25">
      <c r="A2586" s="159">
        <v>9034</v>
      </c>
      <c r="B2586" s="157"/>
      <c r="C2586" s="157"/>
      <c r="D2586" s="159" t="s">
        <v>842</v>
      </c>
      <c r="E2586" s="157" t="s">
        <v>843</v>
      </c>
      <c r="F2586" s="157"/>
      <c r="G2586" s="157" t="s">
        <v>1278</v>
      </c>
      <c r="H2586" s="157" t="s">
        <v>1378</v>
      </c>
      <c r="I2586" s="157" t="s">
        <v>9555</v>
      </c>
      <c r="J2586" s="157"/>
      <c r="K2586" s="157" t="s">
        <v>1312</v>
      </c>
      <c r="L2586" s="157" t="s">
        <v>9633</v>
      </c>
      <c r="M2586" s="157" t="str">
        <f t="shared" si="55"/>
        <v>Pressure Switch - Air Conditioning Fluid Sensor</v>
      </c>
      <c r="N2586" s="157"/>
      <c r="O2586" s="157"/>
      <c r="P2586" s="159" t="s">
        <v>2720</v>
      </c>
      <c r="Q2586" s="157"/>
      <c r="R2586" s="157"/>
      <c r="S2586" s="157"/>
      <c r="T2586" s="157"/>
      <c r="U2586" s="159" t="s">
        <v>2129</v>
      </c>
      <c r="V2586" s="159" t="s">
        <v>2129</v>
      </c>
      <c r="W2586" s="159" t="s">
        <v>2138</v>
      </c>
      <c r="X2586" s="160">
        <v>1</v>
      </c>
      <c r="Y2586" s="160">
        <v>1</v>
      </c>
      <c r="Z2586" s="160">
        <v>1</v>
      </c>
      <c r="AA2586" s="160">
        <v>1</v>
      </c>
    </row>
    <row r="2587" spans="1:27" ht="18" customHeight="1" x14ac:dyDescent="0.25">
      <c r="A2587" s="159">
        <v>9034</v>
      </c>
      <c r="B2587" s="157"/>
      <c r="C2587" s="157"/>
      <c r="D2587" s="159" t="s">
        <v>929</v>
      </c>
      <c r="E2587" s="157" t="s">
        <v>927</v>
      </c>
      <c r="F2587" s="157"/>
      <c r="G2587" s="157" t="s">
        <v>1278</v>
      </c>
      <c r="H2587" s="157" t="s">
        <v>1378</v>
      </c>
      <c r="I2587" s="157" t="s">
        <v>9555</v>
      </c>
      <c r="J2587" s="157"/>
      <c r="K2587" s="157" t="s">
        <v>1312</v>
      </c>
      <c r="L2587" s="157" t="s">
        <v>9633</v>
      </c>
      <c r="M2587" s="157" t="str">
        <f t="shared" si="55"/>
        <v>Pressure Switch - Air Conditioning Fluid Sensor</v>
      </c>
      <c r="N2587" s="157"/>
      <c r="O2587" s="157"/>
      <c r="P2587" s="159" t="s">
        <v>2720</v>
      </c>
      <c r="Q2587" s="157"/>
      <c r="R2587" s="157"/>
      <c r="S2587" s="157"/>
      <c r="T2587" s="157"/>
      <c r="U2587" s="159" t="s">
        <v>2129</v>
      </c>
      <c r="V2587" s="159" t="s">
        <v>2129</v>
      </c>
      <c r="W2587" s="159" t="s">
        <v>2138</v>
      </c>
      <c r="X2587" s="160">
        <v>1</v>
      </c>
      <c r="Y2587" s="160">
        <v>1</v>
      </c>
      <c r="Z2587" s="160">
        <v>1</v>
      </c>
      <c r="AA2587" s="160">
        <v>1</v>
      </c>
    </row>
    <row r="2588" spans="1:27" ht="18" customHeight="1" x14ac:dyDescent="0.25">
      <c r="A2588" s="159">
        <v>9034</v>
      </c>
      <c r="B2588" s="157"/>
      <c r="C2588" s="157"/>
      <c r="D2588" s="159" t="s">
        <v>62</v>
      </c>
      <c r="E2588" s="157" t="s">
        <v>991</v>
      </c>
      <c r="F2588" s="157"/>
      <c r="G2588" s="157" t="s">
        <v>1278</v>
      </c>
      <c r="H2588" s="157" t="s">
        <v>1378</v>
      </c>
      <c r="I2588" s="157" t="s">
        <v>9555</v>
      </c>
      <c r="J2588" s="157"/>
      <c r="K2588" s="157" t="s">
        <v>1312</v>
      </c>
      <c r="L2588" s="157" t="s">
        <v>9633</v>
      </c>
      <c r="M2588" s="157" t="str">
        <f t="shared" si="55"/>
        <v>Pressure Switch - Air Conditioning Fluid Sensor</v>
      </c>
      <c r="N2588" s="157"/>
      <c r="O2588" s="157"/>
      <c r="P2588" s="159" t="s">
        <v>2720</v>
      </c>
      <c r="Q2588" s="157"/>
      <c r="R2588" s="157"/>
      <c r="S2588" s="157"/>
      <c r="T2588" s="157"/>
      <c r="U2588" s="159" t="s">
        <v>2129</v>
      </c>
      <c r="V2588" s="159" t="s">
        <v>2138</v>
      </c>
      <c r="W2588" s="159" t="s">
        <v>2129</v>
      </c>
      <c r="X2588" s="160">
        <v>1</v>
      </c>
      <c r="Y2588" s="160">
        <v>1</v>
      </c>
      <c r="Z2588" s="160">
        <v>1</v>
      </c>
      <c r="AA2588" s="160">
        <v>1</v>
      </c>
    </row>
    <row r="2589" spans="1:27" ht="18" customHeight="1" x14ac:dyDescent="0.25">
      <c r="A2589" s="159">
        <v>9034</v>
      </c>
      <c r="B2589" s="157"/>
      <c r="C2589" s="157"/>
      <c r="D2589" s="159" t="s">
        <v>995</v>
      </c>
      <c r="E2589" s="157" t="s">
        <v>993</v>
      </c>
      <c r="F2589" s="157"/>
      <c r="G2589" s="157" t="s">
        <v>1278</v>
      </c>
      <c r="H2589" s="157" t="s">
        <v>1378</v>
      </c>
      <c r="I2589" s="157" t="s">
        <v>9555</v>
      </c>
      <c r="J2589" s="157"/>
      <c r="K2589" s="157" t="s">
        <v>1312</v>
      </c>
      <c r="L2589" s="157" t="s">
        <v>9633</v>
      </c>
      <c r="M2589" s="157" t="str">
        <f t="shared" si="55"/>
        <v>Pressure Switch - Air Conditioning Fluid Sensor</v>
      </c>
      <c r="N2589" s="157"/>
      <c r="O2589" s="157"/>
      <c r="P2589" s="159" t="s">
        <v>2720</v>
      </c>
      <c r="Q2589" s="157"/>
      <c r="R2589" s="157"/>
      <c r="S2589" s="157"/>
      <c r="T2589" s="157"/>
      <c r="U2589" s="159" t="s">
        <v>2129</v>
      </c>
      <c r="V2589" s="159" t="s">
        <v>2129</v>
      </c>
      <c r="W2589" s="159" t="s">
        <v>2138</v>
      </c>
      <c r="X2589" s="160">
        <v>1</v>
      </c>
      <c r="Y2589" s="160">
        <v>1</v>
      </c>
      <c r="Z2589" s="160">
        <v>1</v>
      </c>
      <c r="AA2589" s="160">
        <v>1</v>
      </c>
    </row>
    <row r="2590" spans="1:27" ht="18" customHeight="1" x14ac:dyDescent="0.25">
      <c r="A2590" s="159">
        <v>9037</v>
      </c>
      <c r="B2590" s="157" t="s">
        <v>199</v>
      </c>
      <c r="C2590" s="157" t="s">
        <v>200</v>
      </c>
      <c r="D2590" s="159" t="s">
        <v>683</v>
      </c>
      <c r="E2590" s="157" t="s">
        <v>681</v>
      </c>
      <c r="F2590" s="157" t="s">
        <v>1264</v>
      </c>
      <c r="G2590" s="157" t="s">
        <v>13</v>
      </c>
      <c r="H2590" s="157" t="s">
        <v>1939</v>
      </c>
      <c r="I2590" s="157" t="s">
        <v>1940</v>
      </c>
      <c r="J2590" s="157"/>
      <c r="K2590" s="157" t="s">
        <v>1269</v>
      </c>
      <c r="L2590" s="157" t="s">
        <v>1941</v>
      </c>
      <c r="M2590" s="157" t="str">
        <f t="shared" si="55"/>
        <v>Fire Extinguishing Valve - Fire Extinguishing System</v>
      </c>
      <c r="N2590" s="157"/>
      <c r="O2590" s="157"/>
      <c r="P2590" s="159" t="s">
        <v>2360</v>
      </c>
      <c r="Q2590" s="157" t="s">
        <v>2115</v>
      </c>
      <c r="R2590" s="157" t="s">
        <v>2112</v>
      </c>
      <c r="S2590" s="157" t="s">
        <v>8623</v>
      </c>
      <c r="T2590" s="157"/>
      <c r="U2590" s="159" t="s">
        <v>2129</v>
      </c>
      <c r="V2590" s="159" t="s">
        <v>2129</v>
      </c>
      <c r="W2590" s="159" t="s">
        <v>2138</v>
      </c>
      <c r="X2590" s="160">
        <v>0</v>
      </c>
      <c r="Y2590" s="160">
        <v>0</v>
      </c>
      <c r="Z2590" s="160">
        <v>0</v>
      </c>
      <c r="AA2590" s="160">
        <v>0</v>
      </c>
    </row>
    <row r="2591" spans="1:27" ht="18" customHeight="1" x14ac:dyDescent="0.25">
      <c r="A2591" s="159">
        <v>9043</v>
      </c>
      <c r="B2591" s="157" t="s">
        <v>256</v>
      </c>
      <c r="C2591" s="157" t="s">
        <v>257</v>
      </c>
      <c r="D2591" s="159" t="s">
        <v>260</v>
      </c>
      <c r="E2591" s="157" t="s">
        <v>258</v>
      </c>
      <c r="F2591" s="157"/>
      <c r="G2591" s="157" t="s">
        <v>1299</v>
      </c>
      <c r="H2591" s="157" t="s">
        <v>1432</v>
      </c>
      <c r="I2591" s="157" t="s">
        <v>8424</v>
      </c>
      <c r="J2591" s="157"/>
      <c r="K2591" s="157" t="s">
        <v>1312</v>
      </c>
      <c r="L2591" s="157" t="s">
        <v>9740</v>
      </c>
      <c r="M2591" s="157" t="str">
        <f t="shared" si="55"/>
        <v>Vehicle Level Sensor Front Left - Vehicle Level Information</v>
      </c>
      <c r="N2591" s="157"/>
      <c r="O2591" s="157"/>
      <c r="P2591" s="159" t="s">
        <v>7537</v>
      </c>
      <c r="Q2591" s="157" t="s">
        <v>2115</v>
      </c>
      <c r="R2591" s="157" t="s">
        <v>8583</v>
      </c>
      <c r="S2591" s="157" t="s">
        <v>8584</v>
      </c>
      <c r="T2591" s="157"/>
      <c r="U2591" s="159" t="s">
        <v>2129</v>
      </c>
      <c r="V2591" s="159" t="s">
        <v>2129</v>
      </c>
      <c r="W2591" s="159" t="s">
        <v>2138</v>
      </c>
      <c r="X2591" s="160">
        <v>1</v>
      </c>
      <c r="Y2591" s="160">
        <v>1</v>
      </c>
      <c r="Z2591" s="160">
        <v>1</v>
      </c>
      <c r="AA2591" s="160">
        <v>1</v>
      </c>
    </row>
    <row r="2592" spans="1:27" ht="18" customHeight="1" x14ac:dyDescent="0.25">
      <c r="A2592" s="159">
        <v>9045</v>
      </c>
      <c r="B2592" s="157" t="s">
        <v>251</v>
      </c>
      <c r="C2592" s="157" t="s">
        <v>1006</v>
      </c>
      <c r="D2592" s="159" t="s">
        <v>1016</v>
      </c>
      <c r="E2592" s="157" t="s">
        <v>1014</v>
      </c>
      <c r="F2592" s="157"/>
      <c r="G2592" s="157" t="s">
        <v>1321</v>
      </c>
      <c r="H2592" s="157" t="s">
        <v>1436</v>
      </c>
      <c r="I2592" s="157" t="s">
        <v>1943</v>
      </c>
      <c r="J2592" s="157" t="s">
        <v>1649</v>
      </c>
      <c r="K2592" s="157" t="s">
        <v>1312</v>
      </c>
      <c r="L2592" s="157" t="s">
        <v>1944</v>
      </c>
      <c r="M2592" s="157" t="str">
        <f t="shared" si="55"/>
        <v>Sender - Transmission Neutral Position - Neutral Position</v>
      </c>
      <c r="N2592" s="157"/>
      <c r="O2592" s="157"/>
      <c r="P2592" s="159"/>
      <c r="Q2592" s="157"/>
      <c r="R2592" s="157"/>
      <c r="S2592" s="157"/>
      <c r="T2592" s="157"/>
      <c r="U2592" s="159"/>
      <c r="V2592" s="159"/>
      <c r="W2592" s="159"/>
      <c r="X2592" s="160"/>
      <c r="Y2592" s="160"/>
      <c r="Z2592" s="160"/>
      <c r="AA2592" s="160"/>
    </row>
    <row r="2593" spans="1:27" ht="18" customHeight="1" x14ac:dyDescent="0.25">
      <c r="A2593" s="159">
        <v>9047</v>
      </c>
      <c r="B2593" s="157" t="s">
        <v>251</v>
      </c>
      <c r="C2593" s="157" t="s">
        <v>1006</v>
      </c>
      <c r="D2593" s="159" t="s">
        <v>1016</v>
      </c>
      <c r="E2593" s="157" t="s">
        <v>1014</v>
      </c>
      <c r="F2593" s="157"/>
      <c r="G2593" s="157" t="s">
        <v>1321</v>
      </c>
      <c r="H2593" s="157" t="s">
        <v>1436</v>
      </c>
      <c r="I2593" s="157" t="s">
        <v>1945</v>
      </c>
      <c r="J2593" s="157" t="s">
        <v>1649</v>
      </c>
      <c r="K2593" s="157" t="s">
        <v>1312</v>
      </c>
      <c r="L2593" s="157" t="s">
        <v>1946</v>
      </c>
      <c r="M2593" s="157" t="str">
        <f t="shared" si="55"/>
        <v>Transmission oil temperature sensor - Oil Temperature</v>
      </c>
      <c r="N2593" s="157"/>
      <c r="O2593" s="157"/>
      <c r="P2593" s="159"/>
      <c r="Q2593" s="157"/>
      <c r="R2593" s="157"/>
      <c r="S2593" s="157"/>
      <c r="T2593" s="157"/>
      <c r="U2593" s="159"/>
      <c r="V2593" s="159"/>
      <c r="W2593" s="159"/>
      <c r="X2593" s="160"/>
      <c r="Y2593" s="160"/>
      <c r="Z2593" s="160"/>
      <c r="AA2593" s="160"/>
    </row>
    <row r="2594" spans="1:27" ht="18" customHeight="1" x14ac:dyDescent="0.25">
      <c r="A2594" s="159">
        <v>9048</v>
      </c>
      <c r="B2594" s="157" t="s">
        <v>251</v>
      </c>
      <c r="C2594" s="157" t="s">
        <v>1006</v>
      </c>
      <c r="D2594" s="159" t="s">
        <v>1009</v>
      </c>
      <c r="E2594" s="157" t="s">
        <v>1007</v>
      </c>
      <c r="F2594" s="157"/>
      <c r="G2594" s="157" t="s">
        <v>1321</v>
      </c>
      <c r="H2594" s="157" t="s">
        <v>1436</v>
      </c>
      <c r="I2594" s="157" t="s">
        <v>1947</v>
      </c>
      <c r="J2594" s="157" t="s">
        <v>1649</v>
      </c>
      <c r="K2594" s="157" t="s">
        <v>1312</v>
      </c>
      <c r="L2594" s="157" t="s">
        <v>1948</v>
      </c>
      <c r="M2594" s="157" t="str">
        <f t="shared" si="55"/>
        <v>transmission speed sensor - Speed Sensor</v>
      </c>
      <c r="N2594" s="157"/>
      <c r="O2594" s="157"/>
      <c r="P2594" s="159"/>
      <c r="Q2594" s="157"/>
      <c r="R2594" s="157"/>
      <c r="S2594" s="157"/>
      <c r="T2594" s="157"/>
      <c r="U2594" s="159"/>
      <c r="V2594" s="159"/>
      <c r="W2594" s="159"/>
      <c r="X2594" s="160"/>
      <c r="Y2594" s="160"/>
      <c r="Z2594" s="160"/>
      <c r="AA2594" s="160"/>
    </row>
    <row r="2595" spans="1:27" ht="18" customHeight="1" x14ac:dyDescent="0.25">
      <c r="A2595" s="159">
        <v>9048</v>
      </c>
      <c r="B2595" s="157" t="s">
        <v>251</v>
      </c>
      <c r="C2595" s="157" t="s">
        <v>1006</v>
      </c>
      <c r="D2595" s="159" t="s">
        <v>1016</v>
      </c>
      <c r="E2595" s="157" t="s">
        <v>1014</v>
      </c>
      <c r="F2595" s="157"/>
      <c r="G2595" s="157" t="s">
        <v>1321</v>
      </c>
      <c r="H2595" s="157" t="s">
        <v>1436</v>
      </c>
      <c r="I2595" s="157" t="s">
        <v>1947</v>
      </c>
      <c r="J2595" s="157" t="s">
        <v>1649</v>
      </c>
      <c r="K2595" s="157" t="s">
        <v>1312</v>
      </c>
      <c r="L2595" s="157" t="s">
        <v>1948</v>
      </c>
      <c r="M2595" s="157" t="str">
        <f t="shared" si="55"/>
        <v>transmission speed sensor - Speed Sensor</v>
      </c>
      <c r="N2595" s="157"/>
      <c r="O2595" s="157"/>
      <c r="P2595" s="159"/>
      <c r="Q2595" s="157"/>
      <c r="R2595" s="157"/>
      <c r="S2595" s="157"/>
      <c r="T2595" s="157"/>
      <c r="U2595" s="159"/>
      <c r="V2595" s="159"/>
      <c r="W2595" s="159"/>
      <c r="X2595" s="160"/>
      <c r="Y2595" s="160"/>
      <c r="Z2595" s="160"/>
      <c r="AA2595" s="160"/>
    </row>
    <row r="2596" spans="1:27" ht="18" customHeight="1" x14ac:dyDescent="0.25">
      <c r="A2596" s="159">
        <v>9052</v>
      </c>
      <c r="B2596" s="157"/>
      <c r="C2596" s="157"/>
      <c r="D2596" s="159"/>
      <c r="E2596" s="157"/>
      <c r="F2596" s="157" t="s">
        <v>1010</v>
      </c>
      <c r="G2596" s="157" t="s">
        <v>1321</v>
      </c>
      <c r="H2596" s="157" t="s">
        <v>1648</v>
      </c>
      <c r="I2596" s="157" t="s">
        <v>1541</v>
      </c>
      <c r="J2596" s="157" t="s">
        <v>1649</v>
      </c>
      <c r="K2596" s="157" t="s">
        <v>1269</v>
      </c>
      <c r="L2596" s="157" t="s">
        <v>1949</v>
      </c>
      <c r="M2596" s="157" t="str">
        <f t="shared" si="55"/>
        <v>Pump - Heating Support - Heating</v>
      </c>
      <c r="N2596" s="157"/>
      <c r="O2596" s="157"/>
      <c r="P2596" s="159"/>
      <c r="Q2596" s="157"/>
      <c r="R2596" s="157"/>
      <c r="S2596" s="157"/>
      <c r="T2596" s="157"/>
      <c r="U2596" s="159"/>
      <c r="V2596" s="159"/>
      <c r="W2596" s="159"/>
      <c r="X2596" s="160"/>
      <c r="Y2596" s="160"/>
      <c r="Z2596" s="160"/>
      <c r="AA2596" s="160"/>
    </row>
    <row r="2597" spans="1:27" ht="18" customHeight="1" x14ac:dyDescent="0.25">
      <c r="A2597" s="159">
        <v>9058</v>
      </c>
      <c r="B2597" s="157" t="s">
        <v>29</v>
      </c>
      <c r="C2597" s="157" t="s">
        <v>1089</v>
      </c>
      <c r="D2597" s="159" t="s">
        <v>1088</v>
      </c>
      <c r="E2597" s="157" t="s">
        <v>1090</v>
      </c>
      <c r="F2597" s="157"/>
      <c r="G2597" s="157" t="s">
        <v>1536</v>
      </c>
      <c r="H2597" s="157" t="s">
        <v>1950</v>
      </c>
      <c r="I2597" s="157" t="s">
        <v>1951</v>
      </c>
      <c r="J2597" s="157" t="s">
        <v>1950</v>
      </c>
      <c r="K2597" s="157" t="s">
        <v>1269</v>
      </c>
      <c r="L2597" s="157" t="s">
        <v>1952</v>
      </c>
      <c r="M2597" s="157" t="str">
        <f t="shared" si="55"/>
        <v>Hydraulic pump for convertible top operation - Convertible Top Movement</v>
      </c>
      <c r="N2597" s="157"/>
      <c r="O2597" s="157"/>
      <c r="P2597" s="159" t="s">
        <v>7498</v>
      </c>
      <c r="Q2597" s="157"/>
      <c r="R2597" s="157"/>
      <c r="S2597" s="157"/>
      <c r="T2597" s="157"/>
      <c r="U2597" s="159" t="s">
        <v>2129</v>
      </c>
      <c r="V2597" s="159" t="s">
        <v>2129</v>
      </c>
      <c r="W2597" s="159" t="s">
        <v>2138</v>
      </c>
      <c r="X2597" s="160">
        <f>2*20/(20*60)</f>
        <v>3.3333333333333333E-2</v>
      </c>
      <c r="Y2597" s="160">
        <v>0</v>
      </c>
      <c r="Z2597" s="160">
        <v>0</v>
      </c>
      <c r="AA2597" s="160">
        <v>0</v>
      </c>
    </row>
    <row r="2598" spans="1:27" ht="18" customHeight="1" x14ac:dyDescent="0.25">
      <c r="A2598" s="159">
        <v>9059</v>
      </c>
      <c r="B2598" s="157" t="s">
        <v>251</v>
      </c>
      <c r="C2598" s="157" t="s">
        <v>1006</v>
      </c>
      <c r="D2598" s="159" t="s">
        <v>1022</v>
      </c>
      <c r="E2598" s="157" t="s">
        <v>1020</v>
      </c>
      <c r="F2598" s="157"/>
      <c r="G2598" s="157" t="s">
        <v>1321</v>
      </c>
      <c r="H2598" s="157" t="s">
        <v>1436</v>
      </c>
      <c r="I2598" s="157" t="s">
        <v>2071</v>
      </c>
      <c r="J2598" s="157"/>
      <c r="K2598" s="157" t="s">
        <v>1312</v>
      </c>
      <c r="L2598" s="157" t="s">
        <v>1953</v>
      </c>
      <c r="M2598" s="157" t="str">
        <f t="shared" si="55"/>
        <v>Hydraulic temperature sensor for all-wheel drive - All Wheel Dirve</v>
      </c>
      <c r="N2598" s="157"/>
      <c r="O2598" s="157"/>
      <c r="P2598" s="159"/>
      <c r="Q2598" s="157"/>
      <c r="R2598" s="157"/>
      <c r="S2598" s="157"/>
      <c r="T2598" s="157"/>
      <c r="U2598" s="159"/>
      <c r="V2598" s="159"/>
      <c r="W2598" s="159"/>
      <c r="X2598" s="160"/>
      <c r="Y2598" s="160"/>
      <c r="Z2598" s="160"/>
      <c r="AA2598" s="160"/>
    </row>
    <row r="2599" spans="1:27" ht="18" customHeight="1" x14ac:dyDescent="0.25">
      <c r="A2599" s="159">
        <v>9065</v>
      </c>
      <c r="B2599" s="157" t="s">
        <v>256</v>
      </c>
      <c r="C2599" s="157" t="s">
        <v>257</v>
      </c>
      <c r="D2599" s="159" t="s">
        <v>260</v>
      </c>
      <c r="E2599" s="157" t="s">
        <v>258</v>
      </c>
      <c r="F2599" s="157" t="s">
        <v>1010</v>
      </c>
      <c r="G2599" s="157" t="s">
        <v>1299</v>
      </c>
      <c r="H2599" s="157" t="s">
        <v>1432</v>
      </c>
      <c r="I2599" s="157" t="s">
        <v>1942</v>
      </c>
      <c r="J2599" s="157"/>
      <c r="K2599" s="157" t="s">
        <v>1312</v>
      </c>
      <c r="L2599" s="157" t="s">
        <v>1954</v>
      </c>
      <c r="M2599" s="157" t="str">
        <f t="shared" si="55"/>
        <v>Body Acceleration Sensor RL - Dynamic Stabilization</v>
      </c>
      <c r="N2599" s="157"/>
      <c r="O2599" s="157"/>
      <c r="P2599" s="159" t="s">
        <v>5791</v>
      </c>
      <c r="Q2599" s="157" t="s">
        <v>2115</v>
      </c>
      <c r="R2599" s="157" t="s">
        <v>8582</v>
      </c>
      <c r="S2599" s="157" t="s">
        <v>8576</v>
      </c>
      <c r="T2599" s="157"/>
      <c r="U2599" s="159" t="s">
        <v>2129</v>
      </c>
      <c r="V2599" s="159" t="s">
        <v>2129</v>
      </c>
      <c r="W2599" s="159" t="s">
        <v>2138</v>
      </c>
      <c r="X2599" s="160">
        <v>1</v>
      </c>
      <c r="Y2599" s="160">
        <v>1</v>
      </c>
      <c r="Z2599" s="160">
        <v>1</v>
      </c>
      <c r="AA2599" s="160">
        <v>1</v>
      </c>
    </row>
    <row r="2600" spans="1:27" ht="18" customHeight="1" x14ac:dyDescent="0.25">
      <c r="A2600" s="159">
        <v>9066</v>
      </c>
      <c r="B2600" s="157" t="s">
        <v>256</v>
      </c>
      <c r="C2600" s="157" t="s">
        <v>257</v>
      </c>
      <c r="D2600" s="159" t="s">
        <v>260</v>
      </c>
      <c r="E2600" s="157" t="s">
        <v>258</v>
      </c>
      <c r="F2600" s="157" t="s">
        <v>1010</v>
      </c>
      <c r="G2600" s="157" t="s">
        <v>1299</v>
      </c>
      <c r="H2600" s="157" t="s">
        <v>1432</v>
      </c>
      <c r="I2600" s="157" t="s">
        <v>1942</v>
      </c>
      <c r="J2600" s="157"/>
      <c r="K2600" s="157" t="s">
        <v>1312</v>
      </c>
      <c r="L2600" s="157" t="s">
        <v>1955</v>
      </c>
      <c r="M2600" s="157" t="str">
        <f t="shared" si="55"/>
        <v>Body Acceleration Sensor FL - Dynamic Stabilization</v>
      </c>
      <c r="N2600" s="157"/>
      <c r="O2600" s="157"/>
      <c r="P2600" s="159" t="s">
        <v>7283</v>
      </c>
      <c r="Q2600" s="157" t="s">
        <v>2115</v>
      </c>
      <c r="R2600" s="157" t="s">
        <v>8582</v>
      </c>
      <c r="S2600" s="157" t="s">
        <v>8576</v>
      </c>
      <c r="T2600" s="157"/>
      <c r="U2600" s="159" t="s">
        <v>2129</v>
      </c>
      <c r="V2600" s="159" t="s">
        <v>2129</v>
      </c>
      <c r="W2600" s="159" t="s">
        <v>2138</v>
      </c>
      <c r="X2600" s="160">
        <v>1</v>
      </c>
      <c r="Y2600" s="160">
        <v>1</v>
      </c>
      <c r="Z2600" s="160">
        <v>1</v>
      </c>
      <c r="AA2600" s="160">
        <v>1</v>
      </c>
    </row>
    <row r="2601" spans="1:27" ht="18" customHeight="1" x14ac:dyDescent="0.25">
      <c r="A2601" s="159">
        <v>9067</v>
      </c>
      <c r="B2601" s="157" t="s">
        <v>256</v>
      </c>
      <c r="C2601" s="157" t="s">
        <v>257</v>
      </c>
      <c r="D2601" s="159" t="s">
        <v>260</v>
      </c>
      <c r="E2601" s="157" t="s">
        <v>258</v>
      </c>
      <c r="F2601" s="157" t="s">
        <v>1010</v>
      </c>
      <c r="G2601" s="157" t="s">
        <v>1299</v>
      </c>
      <c r="H2601" s="157" t="s">
        <v>1432</v>
      </c>
      <c r="I2601" s="157" t="s">
        <v>1942</v>
      </c>
      <c r="J2601" s="157"/>
      <c r="K2601" s="157" t="s">
        <v>1312</v>
      </c>
      <c r="L2601" s="157" t="s">
        <v>1956</v>
      </c>
      <c r="M2601" s="157" t="str">
        <f t="shared" si="55"/>
        <v>Body Acceleration Sensor FR - Dynamic Stabilization</v>
      </c>
      <c r="N2601" s="157"/>
      <c r="O2601" s="157"/>
      <c r="P2601" s="159" t="s">
        <v>2721</v>
      </c>
      <c r="Q2601" s="157" t="s">
        <v>2115</v>
      </c>
      <c r="R2601" s="157" t="s">
        <v>8582</v>
      </c>
      <c r="S2601" s="157" t="s">
        <v>8576</v>
      </c>
      <c r="T2601" s="157"/>
      <c r="U2601" s="159" t="s">
        <v>2129</v>
      </c>
      <c r="V2601" s="159" t="s">
        <v>2129</v>
      </c>
      <c r="W2601" s="159" t="s">
        <v>2138</v>
      </c>
      <c r="X2601" s="160">
        <v>1</v>
      </c>
      <c r="Y2601" s="160">
        <v>1</v>
      </c>
      <c r="Z2601" s="160">
        <v>1</v>
      </c>
      <c r="AA2601" s="160">
        <v>1</v>
      </c>
    </row>
    <row r="2602" spans="1:27" ht="18" customHeight="1" x14ac:dyDescent="0.25">
      <c r="A2602" s="159">
        <v>9068</v>
      </c>
      <c r="B2602" s="157" t="s">
        <v>77</v>
      </c>
      <c r="C2602" s="157" t="s">
        <v>149</v>
      </c>
      <c r="D2602" s="159" t="s">
        <v>1095</v>
      </c>
      <c r="E2602" s="157" t="s">
        <v>1093</v>
      </c>
      <c r="F2602" s="157" t="s">
        <v>1264</v>
      </c>
      <c r="G2602" s="157" t="s">
        <v>1278</v>
      </c>
      <c r="H2602" s="157" t="s">
        <v>1283</v>
      </c>
      <c r="I2602" s="157" t="s">
        <v>1957</v>
      </c>
      <c r="J2602" s="157"/>
      <c r="K2602" s="157" t="s">
        <v>1269</v>
      </c>
      <c r="L2602" s="157" t="s">
        <v>1286</v>
      </c>
      <c r="M2602" s="157" t="str">
        <f t="shared" si="55"/>
        <v>LED Lamp - Front Trunk Illumination</v>
      </c>
      <c r="N2602" s="157"/>
      <c r="O2602" s="157"/>
      <c r="P2602" s="159" t="s">
        <v>2847</v>
      </c>
      <c r="Q2602" s="157" t="s">
        <v>2115</v>
      </c>
      <c r="R2602" s="157" t="s">
        <v>9527</v>
      </c>
      <c r="S2602" s="157" t="s">
        <v>8576</v>
      </c>
      <c r="T2602" s="157"/>
      <c r="U2602" s="159" t="s">
        <v>2129</v>
      </c>
      <c r="V2602" s="159" t="s">
        <v>2138</v>
      </c>
      <c r="W2602" s="159" t="s">
        <v>2138</v>
      </c>
      <c r="X2602" s="160">
        <v>0</v>
      </c>
      <c r="Y2602" s="160">
        <v>0</v>
      </c>
      <c r="Z2602" s="160">
        <v>0</v>
      </c>
      <c r="AA2602" s="160">
        <v>0</v>
      </c>
    </row>
    <row r="2603" spans="1:27" ht="18" customHeight="1" x14ac:dyDescent="0.25">
      <c r="A2603" s="159">
        <v>9069</v>
      </c>
      <c r="B2603" s="157" t="s">
        <v>29</v>
      </c>
      <c r="C2603" s="157" t="s">
        <v>1082</v>
      </c>
      <c r="D2603" s="159" t="s">
        <v>1085</v>
      </c>
      <c r="E2603" s="157" t="s">
        <v>1083</v>
      </c>
      <c r="F2603" s="157" t="s">
        <v>1010</v>
      </c>
      <c r="G2603" s="157" t="s">
        <v>1536</v>
      </c>
      <c r="H2603" s="157" t="s">
        <v>1958</v>
      </c>
      <c r="I2603" s="157" t="s">
        <v>1959</v>
      </c>
      <c r="J2603" s="157" t="s">
        <v>1640</v>
      </c>
      <c r="K2603" s="157" t="s">
        <v>1269</v>
      </c>
      <c r="L2603" s="157" t="s">
        <v>1960</v>
      </c>
      <c r="M2603" s="157" t="str">
        <f t="shared" si="55"/>
        <v>Compressor for front spoiler adjustment - Front Spoiler Adjustment</v>
      </c>
      <c r="N2603" s="157"/>
      <c r="O2603" s="157" t="s">
        <v>1010</v>
      </c>
      <c r="P2603" s="159" t="s">
        <v>3075</v>
      </c>
      <c r="Q2603" s="157" t="s">
        <v>2115</v>
      </c>
      <c r="R2603" s="157" t="s">
        <v>8573</v>
      </c>
      <c r="S2603" s="157" t="s">
        <v>8646</v>
      </c>
      <c r="T2603" s="157"/>
      <c r="U2603" s="159" t="s">
        <v>2129</v>
      </c>
      <c r="V2603" s="159" t="s">
        <v>2129</v>
      </c>
      <c r="W2603" s="159" t="s">
        <v>2138</v>
      </c>
      <c r="X2603" s="160">
        <v>0</v>
      </c>
      <c r="Y2603" s="160">
        <f>10*(5/60)/20</f>
        <v>4.1666666666666664E-2</v>
      </c>
      <c r="Z2603" s="160">
        <v>0</v>
      </c>
      <c r="AA2603" s="160">
        <f>10*(5/60)/20</f>
        <v>4.1666666666666664E-2</v>
      </c>
    </row>
    <row r="2604" spans="1:27" ht="18" customHeight="1" x14ac:dyDescent="0.25">
      <c r="A2604" s="159">
        <v>9070</v>
      </c>
      <c r="B2604" s="157" t="s">
        <v>256</v>
      </c>
      <c r="C2604" s="157" t="s">
        <v>543</v>
      </c>
      <c r="D2604" s="159" t="s">
        <v>546</v>
      </c>
      <c r="E2604" s="157" t="s">
        <v>544</v>
      </c>
      <c r="F2604" s="157" t="s">
        <v>1298</v>
      </c>
      <c r="G2604" s="157" t="s">
        <v>1299</v>
      </c>
      <c r="H2604" s="157" t="s">
        <v>1465</v>
      </c>
      <c r="I2604" s="157" t="s">
        <v>1466</v>
      </c>
      <c r="J2604" s="157" t="s">
        <v>1285</v>
      </c>
      <c r="K2604" s="157" t="s">
        <v>1269</v>
      </c>
      <c r="L2604" s="157" t="s">
        <v>2089</v>
      </c>
      <c r="M2604" s="157" t="str">
        <f t="shared" si="55"/>
        <v>Steering Motor Unit - Steering</v>
      </c>
      <c r="N2604" s="157"/>
      <c r="O2604" s="157"/>
      <c r="P2604" s="159" t="s">
        <v>2925</v>
      </c>
      <c r="Q2604" s="157" t="s">
        <v>2115</v>
      </c>
      <c r="R2604" s="157" t="s">
        <v>8456</v>
      </c>
      <c r="S2604" s="157" t="s">
        <v>8627</v>
      </c>
      <c r="T2604" s="157"/>
      <c r="U2604" s="159" t="s">
        <v>2138</v>
      </c>
      <c r="V2604" s="159" t="s">
        <v>2138</v>
      </c>
      <c r="W2604" s="159" t="s">
        <v>2129</v>
      </c>
      <c r="X2604" s="160">
        <v>1</v>
      </c>
      <c r="Y2604" s="160">
        <v>1</v>
      </c>
      <c r="Z2604" s="160">
        <v>1</v>
      </c>
      <c r="AA2604" s="160">
        <v>1</v>
      </c>
    </row>
    <row r="2605" spans="1:27" ht="18" customHeight="1" x14ac:dyDescent="0.25">
      <c r="A2605" s="159">
        <v>9075</v>
      </c>
      <c r="B2605" s="157" t="s">
        <v>251</v>
      </c>
      <c r="C2605" s="157" t="s">
        <v>311</v>
      </c>
      <c r="D2605" s="159" t="s">
        <v>9668</v>
      </c>
      <c r="E2605" s="157" t="s">
        <v>9666</v>
      </c>
      <c r="F2605" s="157" t="s">
        <v>1010</v>
      </c>
      <c r="G2605" s="157" t="s">
        <v>1321</v>
      </c>
      <c r="H2605" s="157" t="s">
        <v>9546</v>
      </c>
      <c r="I2605" s="157" t="s">
        <v>1533</v>
      </c>
      <c r="J2605" s="157" t="s">
        <v>1649</v>
      </c>
      <c r="K2605" s="157" t="s">
        <v>1269</v>
      </c>
      <c r="L2605" s="157" t="s">
        <v>1533</v>
      </c>
      <c r="M2605" s="157" t="str">
        <f t="shared" si="55"/>
        <v>Fuel Pump - Fuel Pump</v>
      </c>
      <c r="N2605" s="157"/>
      <c r="O2605" s="157"/>
      <c r="P2605" s="159" t="s">
        <v>4862</v>
      </c>
      <c r="Q2605" s="157"/>
      <c r="R2605" s="157"/>
      <c r="S2605" s="157"/>
      <c r="T2605" s="157"/>
      <c r="U2605" s="159" t="s">
        <v>2129</v>
      </c>
      <c r="V2605" s="159" t="s">
        <v>2138</v>
      </c>
      <c r="W2605" s="159" t="s">
        <v>2129</v>
      </c>
      <c r="X2605" s="160">
        <v>0.5</v>
      </c>
      <c r="Y2605" s="160">
        <v>0.5</v>
      </c>
      <c r="Z2605" s="160">
        <v>0.5</v>
      </c>
      <c r="AA2605" s="160">
        <v>0.5</v>
      </c>
    </row>
    <row r="2606" spans="1:27" ht="18" customHeight="1" x14ac:dyDescent="0.25">
      <c r="A2606" s="159">
        <v>9075</v>
      </c>
      <c r="B2606" s="157" t="s">
        <v>251</v>
      </c>
      <c r="C2606" s="157" t="s">
        <v>311</v>
      </c>
      <c r="D2606" s="159" t="s">
        <v>9668</v>
      </c>
      <c r="E2606" s="157" t="s">
        <v>9666</v>
      </c>
      <c r="F2606" s="157" t="s">
        <v>1010</v>
      </c>
      <c r="G2606" s="157" t="s">
        <v>1321</v>
      </c>
      <c r="H2606" s="157" t="s">
        <v>9546</v>
      </c>
      <c r="I2606" s="157" t="s">
        <v>1533</v>
      </c>
      <c r="J2606" s="157" t="s">
        <v>1649</v>
      </c>
      <c r="K2606" s="157" t="s">
        <v>1312</v>
      </c>
      <c r="L2606" s="157" t="s">
        <v>9791</v>
      </c>
      <c r="M2606" s="157" t="str">
        <f t="shared" si="55"/>
        <v>Fuel Tank Level Sensor - Fuel Pump</v>
      </c>
      <c r="N2606" s="157"/>
      <c r="O2606" s="157"/>
      <c r="P2606" s="159" t="s">
        <v>4862</v>
      </c>
      <c r="Q2606" s="157"/>
      <c r="R2606" s="157"/>
      <c r="S2606" s="157"/>
      <c r="T2606" s="157"/>
      <c r="U2606" s="159" t="s">
        <v>2129</v>
      </c>
      <c r="V2606" s="159" t="s">
        <v>2138</v>
      </c>
      <c r="W2606" s="159" t="s">
        <v>2129</v>
      </c>
      <c r="X2606" s="160">
        <v>1</v>
      </c>
      <c r="Y2606" s="160">
        <v>1</v>
      </c>
      <c r="Z2606" s="160">
        <v>1</v>
      </c>
      <c r="AA2606" s="160">
        <v>1</v>
      </c>
    </row>
    <row r="2607" spans="1:27" ht="18" customHeight="1" x14ac:dyDescent="0.25">
      <c r="A2607" s="159">
        <v>9079</v>
      </c>
      <c r="B2607" s="157" t="s">
        <v>251</v>
      </c>
      <c r="C2607" s="157" t="s">
        <v>311</v>
      </c>
      <c r="D2607" s="159" t="s">
        <v>9667</v>
      </c>
      <c r="E2607" s="157" t="s">
        <v>9665</v>
      </c>
      <c r="F2607" s="157" t="s">
        <v>1010</v>
      </c>
      <c r="G2607" s="157" t="s">
        <v>1321</v>
      </c>
      <c r="H2607" s="157" t="s">
        <v>1648</v>
      </c>
      <c r="I2607" s="157" t="s">
        <v>1746</v>
      </c>
      <c r="J2607" s="157" t="s">
        <v>1649</v>
      </c>
      <c r="K2607" s="157" t="s">
        <v>1312</v>
      </c>
      <c r="L2607" s="157" t="s">
        <v>1961</v>
      </c>
      <c r="M2607" s="157" t="str">
        <f t="shared" si="55"/>
        <v>Oxigen Sensor - After Catalyzer - Exhaust Measurement</v>
      </c>
      <c r="N2607" s="157"/>
      <c r="O2607" s="157"/>
      <c r="P2607" s="159" t="s">
        <v>6232</v>
      </c>
      <c r="Q2607" s="157"/>
      <c r="R2607" s="157"/>
      <c r="S2607" s="157"/>
      <c r="T2607" s="157"/>
      <c r="U2607" s="159" t="s">
        <v>2138</v>
      </c>
      <c r="V2607" s="159" t="s">
        <v>2129</v>
      </c>
      <c r="W2607" s="159" t="s">
        <v>2129</v>
      </c>
      <c r="X2607" s="160">
        <v>0.05</v>
      </c>
      <c r="Y2607" s="160">
        <v>0.3</v>
      </c>
      <c r="Z2607" s="160">
        <v>0.3</v>
      </c>
      <c r="AA2607" s="160">
        <v>0.05</v>
      </c>
    </row>
    <row r="2608" spans="1:27" ht="18" customHeight="1" x14ac:dyDescent="0.25">
      <c r="A2608" s="159">
        <v>9079</v>
      </c>
      <c r="B2608" s="157" t="s">
        <v>251</v>
      </c>
      <c r="C2608" s="157" t="s">
        <v>311</v>
      </c>
      <c r="D2608" s="159" t="s">
        <v>9668</v>
      </c>
      <c r="E2608" s="157" t="s">
        <v>9666</v>
      </c>
      <c r="F2608" s="157" t="s">
        <v>1010</v>
      </c>
      <c r="G2608" s="157" t="s">
        <v>1321</v>
      </c>
      <c r="H2608" s="157" t="s">
        <v>1648</v>
      </c>
      <c r="I2608" s="157" t="s">
        <v>1746</v>
      </c>
      <c r="J2608" s="157" t="s">
        <v>1649</v>
      </c>
      <c r="K2608" s="157" t="s">
        <v>1312</v>
      </c>
      <c r="L2608" s="157" t="s">
        <v>1961</v>
      </c>
      <c r="M2608" s="157" t="str">
        <f t="shared" si="55"/>
        <v>Oxigen Sensor - After Catalyzer - Exhaust Measurement</v>
      </c>
      <c r="N2608" s="157"/>
      <c r="O2608" s="157"/>
      <c r="P2608" s="159" t="s">
        <v>6232</v>
      </c>
      <c r="Q2608" s="157"/>
      <c r="R2608" s="157"/>
      <c r="S2608" s="157"/>
      <c r="T2608" s="157"/>
      <c r="U2608" s="159" t="s">
        <v>2129</v>
      </c>
      <c r="V2608" s="159" t="s">
        <v>2138</v>
      </c>
      <c r="W2608" s="159" t="s">
        <v>2129</v>
      </c>
      <c r="X2608" s="160">
        <v>0.05</v>
      </c>
      <c r="Y2608" s="160">
        <v>0.3</v>
      </c>
      <c r="Z2608" s="160">
        <v>0.3</v>
      </c>
      <c r="AA2608" s="160">
        <v>0.05</v>
      </c>
    </row>
    <row r="2609" spans="1:27" ht="18" customHeight="1" x14ac:dyDescent="0.25">
      <c r="A2609" s="159">
        <v>9080</v>
      </c>
      <c r="B2609" s="157" t="s">
        <v>251</v>
      </c>
      <c r="C2609" s="157" t="s">
        <v>311</v>
      </c>
      <c r="D2609" s="159" t="s">
        <v>9667</v>
      </c>
      <c r="E2609" s="157" t="s">
        <v>9665</v>
      </c>
      <c r="F2609" s="157" t="s">
        <v>1010</v>
      </c>
      <c r="G2609" s="157" t="s">
        <v>1321</v>
      </c>
      <c r="H2609" s="157" t="s">
        <v>1648</v>
      </c>
      <c r="I2609" s="157" t="s">
        <v>1746</v>
      </c>
      <c r="J2609" s="157" t="s">
        <v>1649</v>
      </c>
      <c r="K2609" s="157" t="s">
        <v>1312</v>
      </c>
      <c r="L2609" s="157" t="s">
        <v>1962</v>
      </c>
      <c r="M2609" s="157" t="str">
        <f t="shared" si="55"/>
        <v>Oxigen Sensor - Before Catalyzer - Exhaust Measurement</v>
      </c>
      <c r="N2609" s="157"/>
      <c r="O2609" s="157"/>
      <c r="P2609" s="159" t="s">
        <v>3434</v>
      </c>
      <c r="Q2609" s="157"/>
      <c r="R2609" s="157"/>
      <c r="S2609" s="157"/>
      <c r="T2609" s="157"/>
      <c r="U2609" s="159" t="s">
        <v>2138</v>
      </c>
      <c r="V2609" s="159" t="s">
        <v>2129</v>
      </c>
      <c r="W2609" s="159" t="s">
        <v>2129</v>
      </c>
      <c r="X2609" s="160">
        <v>1</v>
      </c>
      <c r="Y2609" s="160">
        <v>1</v>
      </c>
      <c r="Z2609" s="160">
        <v>1</v>
      </c>
      <c r="AA2609" s="160">
        <v>1</v>
      </c>
    </row>
    <row r="2610" spans="1:27" ht="18" customHeight="1" x14ac:dyDescent="0.25">
      <c r="A2610" s="159">
        <v>9080</v>
      </c>
      <c r="B2610" s="157" t="s">
        <v>251</v>
      </c>
      <c r="C2610" s="157" t="s">
        <v>311</v>
      </c>
      <c r="D2610" s="159" t="s">
        <v>9668</v>
      </c>
      <c r="E2610" s="157" t="s">
        <v>9666</v>
      </c>
      <c r="F2610" s="157" t="s">
        <v>1010</v>
      </c>
      <c r="G2610" s="157" t="s">
        <v>1321</v>
      </c>
      <c r="H2610" s="157" t="s">
        <v>1648</v>
      </c>
      <c r="I2610" s="157" t="s">
        <v>1746</v>
      </c>
      <c r="J2610" s="157" t="s">
        <v>1649</v>
      </c>
      <c r="K2610" s="157" t="s">
        <v>1312</v>
      </c>
      <c r="L2610" s="157" t="s">
        <v>1962</v>
      </c>
      <c r="M2610" s="157" t="str">
        <f t="shared" si="55"/>
        <v>Oxigen Sensor - Before Catalyzer - Exhaust Measurement</v>
      </c>
      <c r="N2610" s="157"/>
      <c r="O2610" s="157"/>
      <c r="P2610" s="159" t="s">
        <v>3434</v>
      </c>
      <c r="Q2610" s="157"/>
      <c r="R2610" s="157"/>
      <c r="S2610" s="157"/>
      <c r="T2610" s="157"/>
      <c r="U2610" s="159" t="s">
        <v>2129</v>
      </c>
      <c r="V2610" s="159" t="s">
        <v>2138</v>
      </c>
      <c r="W2610" s="159" t="s">
        <v>2129</v>
      </c>
      <c r="X2610" s="160">
        <v>1</v>
      </c>
      <c r="Y2610" s="160">
        <v>1</v>
      </c>
      <c r="Z2610" s="160">
        <v>1</v>
      </c>
      <c r="AA2610" s="160">
        <v>1</v>
      </c>
    </row>
    <row r="2611" spans="1:27" ht="18" customHeight="1" x14ac:dyDescent="0.25">
      <c r="A2611" s="159">
        <v>9108</v>
      </c>
      <c r="B2611" s="157" t="s">
        <v>256</v>
      </c>
      <c r="C2611" s="157" t="s">
        <v>257</v>
      </c>
      <c r="D2611" s="159" t="s">
        <v>1074</v>
      </c>
      <c r="E2611" s="157" t="s">
        <v>1072</v>
      </c>
      <c r="F2611" s="157" t="s">
        <v>1010</v>
      </c>
      <c r="G2611" s="157" t="s">
        <v>1299</v>
      </c>
      <c r="H2611" s="157" t="s">
        <v>1432</v>
      </c>
      <c r="I2611" s="157" t="s">
        <v>1963</v>
      </c>
      <c r="J2611" s="157" t="s">
        <v>8254</v>
      </c>
      <c r="K2611" s="157" t="s">
        <v>1269</v>
      </c>
      <c r="L2611" s="157" t="s">
        <v>8585</v>
      </c>
      <c r="M2611" s="157" t="str">
        <f t="shared" si="55"/>
        <v>Hydraulic Pump Motor - Front Axle Height Adjustment</v>
      </c>
      <c r="N2611" s="157"/>
      <c r="O2611" s="157" t="s">
        <v>1010</v>
      </c>
      <c r="P2611" s="159" t="s">
        <v>3439</v>
      </c>
      <c r="Q2611" s="157" t="s">
        <v>2115</v>
      </c>
      <c r="R2611" s="157" t="s">
        <v>2117</v>
      </c>
      <c r="S2611" s="157" t="s">
        <v>8622</v>
      </c>
      <c r="T2611" s="157"/>
      <c r="U2611" s="159" t="s">
        <v>2129</v>
      </c>
      <c r="V2611" s="159" t="s">
        <v>2129</v>
      </c>
      <c r="W2611" s="159" t="s">
        <v>2138</v>
      </c>
      <c r="X2611" s="160">
        <f>4*10/(20*60)</f>
        <v>3.3333333333333333E-2</v>
      </c>
      <c r="Y2611" s="160">
        <f>4*10/(20*60)</f>
        <v>3.3333333333333333E-2</v>
      </c>
      <c r="Z2611" s="160">
        <f>4*10/(20*60)</f>
        <v>3.3333333333333333E-2</v>
      </c>
      <c r="AA2611" s="160">
        <f>4*10/(20*60)</f>
        <v>3.3333333333333333E-2</v>
      </c>
    </row>
    <row r="2612" spans="1:27" ht="18" customHeight="1" x14ac:dyDescent="0.25">
      <c r="A2612" s="159">
        <v>9109</v>
      </c>
      <c r="B2612" s="157" t="s">
        <v>29</v>
      </c>
      <c r="C2612" s="157" t="s">
        <v>1089</v>
      </c>
      <c r="D2612" s="159" t="s">
        <v>1088</v>
      </c>
      <c r="E2612" s="157" t="s">
        <v>1090</v>
      </c>
      <c r="F2612" s="157"/>
      <c r="G2612" s="157" t="s">
        <v>1536</v>
      </c>
      <c r="H2612" s="157" t="s">
        <v>1950</v>
      </c>
      <c r="I2612" s="157" t="s">
        <v>1964</v>
      </c>
      <c r="J2612" s="157" t="s">
        <v>1950</v>
      </c>
      <c r="K2612" s="157" t="s">
        <v>1269</v>
      </c>
      <c r="L2612" s="157" t="s">
        <v>8544</v>
      </c>
      <c r="M2612" s="157" t="str">
        <f t="shared" si="55"/>
        <v>Wind Deflector Motor - Wind Deflection</v>
      </c>
      <c r="N2612" s="157"/>
      <c r="O2612" s="157"/>
      <c r="P2612" s="159" t="s">
        <v>7712</v>
      </c>
      <c r="Q2612" s="157"/>
      <c r="R2612" s="157"/>
      <c r="S2612" s="157"/>
      <c r="T2612" s="157"/>
      <c r="U2612" s="159" t="s">
        <v>2129</v>
      </c>
      <c r="V2612" s="159" t="s">
        <v>2129</v>
      </c>
      <c r="W2612" s="159" t="s">
        <v>2138</v>
      </c>
      <c r="X2612" s="160">
        <v>1</v>
      </c>
      <c r="Y2612" s="160">
        <v>0</v>
      </c>
      <c r="Z2612" s="160">
        <v>0</v>
      </c>
      <c r="AA2612" s="160">
        <v>0</v>
      </c>
    </row>
    <row r="2613" spans="1:27" ht="18" customHeight="1" x14ac:dyDescent="0.25">
      <c r="A2613" s="159">
        <v>9121</v>
      </c>
      <c r="B2613" s="157"/>
      <c r="C2613" s="157"/>
      <c r="D2613" s="159"/>
      <c r="E2613" s="157"/>
      <c r="F2613" s="157"/>
      <c r="G2613" s="157" t="s">
        <v>13</v>
      </c>
      <c r="H2613" s="157" t="s">
        <v>1459</v>
      </c>
      <c r="I2613" s="157" t="s">
        <v>9561</v>
      </c>
      <c r="J2613" s="157"/>
      <c r="K2613" s="157" t="s">
        <v>1281</v>
      </c>
      <c r="L2613" s="157" t="s">
        <v>1282</v>
      </c>
      <c r="M2613" s="157" t="str">
        <f t="shared" si="55"/>
        <v>User Selector - Emergency Switch-Off Switch</v>
      </c>
      <c r="N2613" s="157"/>
      <c r="O2613" s="157"/>
      <c r="P2613" s="159"/>
      <c r="Q2613" s="157"/>
      <c r="R2613" s="157"/>
      <c r="S2613" s="157"/>
      <c r="T2613" s="157"/>
      <c r="U2613" s="159"/>
      <c r="V2613" s="159"/>
      <c r="W2613" s="159"/>
      <c r="X2613" s="160"/>
      <c r="Y2613" s="160"/>
      <c r="Z2613" s="160"/>
      <c r="AA2613" s="160"/>
    </row>
    <row r="2614" spans="1:27" ht="18" customHeight="1" x14ac:dyDescent="0.25">
      <c r="A2614" s="159">
        <v>9122</v>
      </c>
      <c r="B2614" s="157" t="s">
        <v>29</v>
      </c>
      <c r="C2614" s="157" t="s">
        <v>30</v>
      </c>
      <c r="D2614" s="159" t="s">
        <v>214</v>
      </c>
      <c r="E2614" s="157" t="s">
        <v>212</v>
      </c>
      <c r="F2614" s="157" t="s">
        <v>1264</v>
      </c>
      <c r="G2614" s="157" t="s">
        <v>1536</v>
      </c>
      <c r="H2614" s="157" t="s">
        <v>1287</v>
      </c>
      <c r="I2614" s="157" t="s">
        <v>1965</v>
      </c>
      <c r="J2614" s="157" t="s">
        <v>1007</v>
      </c>
      <c r="K2614" s="157" t="s">
        <v>1281</v>
      </c>
      <c r="L2614" s="157" t="s">
        <v>1965</v>
      </c>
      <c r="M2614" s="157" t="str">
        <f t="shared" si="55"/>
        <v>Reverse Gear Switch - Reverse Gear Switch</v>
      </c>
      <c r="N2614" s="157"/>
      <c r="O2614" s="157"/>
      <c r="P2614" s="159" t="s">
        <v>2390</v>
      </c>
      <c r="Q2614" s="157" t="s">
        <v>2115</v>
      </c>
      <c r="R2614" s="157" t="s">
        <v>2135</v>
      </c>
      <c r="S2614" s="157" t="s">
        <v>8643</v>
      </c>
      <c r="T2614" s="157"/>
      <c r="U2614" s="159" t="s">
        <v>2138</v>
      </c>
      <c r="V2614" s="159" t="s">
        <v>2129</v>
      </c>
      <c r="W2614" s="159" t="s">
        <v>2129</v>
      </c>
      <c r="X2614" s="160">
        <v>0.01</v>
      </c>
      <c r="Y2614" s="160">
        <v>0</v>
      </c>
      <c r="Z2614" s="160">
        <v>0.01</v>
      </c>
      <c r="AA2614" s="160">
        <v>0</v>
      </c>
    </row>
    <row r="2615" spans="1:27" ht="18" customHeight="1" x14ac:dyDescent="0.25">
      <c r="A2615" s="159">
        <v>9123</v>
      </c>
      <c r="B2615" s="157" t="s">
        <v>29</v>
      </c>
      <c r="C2615" s="157" t="s">
        <v>1089</v>
      </c>
      <c r="D2615" s="159" t="s">
        <v>1088</v>
      </c>
      <c r="E2615" s="157" t="s">
        <v>1090</v>
      </c>
      <c r="F2615" s="157"/>
      <c r="G2615" s="157" t="s">
        <v>1536</v>
      </c>
      <c r="H2615" s="157" t="s">
        <v>1950</v>
      </c>
      <c r="I2615" s="157" t="s">
        <v>1966</v>
      </c>
      <c r="J2615" s="157" t="s">
        <v>1950</v>
      </c>
      <c r="K2615" s="157" t="s">
        <v>1281</v>
      </c>
      <c r="L2615" s="157" t="s">
        <v>1282</v>
      </c>
      <c r="M2615" s="157" t="str">
        <f t="shared" si="55"/>
        <v>User Selector - Convertible Top Locking</v>
      </c>
      <c r="N2615" s="157"/>
      <c r="O2615" s="157"/>
      <c r="P2615" s="159" t="s">
        <v>5747</v>
      </c>
      <c r="Q2615" s="157"/>
      <c r="R2615" s="157"/>
      <c r="S2615" s="157"/>
      <c r="T2615" s="157"/>
      <c r="U2615" s="159" t="s">
        <v>2129</v>
      </c>
      <c r="V2615" s="159" t="s">
        <v>2129</v>
      </c>
      <c r="W2615" s="159" t="s">
        <v>2138</v>
      </c>
      <c r="X2615" s="160">
        <v>1</v>
      </c>
      <c r="Y2615" s="160">
        <v>0</v>
      </c>
      <c r="Z2615" s="160">
        <v>0</v>
      </c>
      <c r="AA2615" s="160">
        <v>0</v>
      </c>
    </row>
    <row r="2616" spans="1:27" ht="18" customHeight="1" x14ac:dyDescent="0.25">
      <c r="A2616" s="159">
        <v>9124</v>
      </c>
      <c r="B2616" s="157" t="s">
        <v>256</v>
      </c>
      <c r="C2616" s="157" t="s">
        <v>257</v>
      </c>
      <c r="D2616" s="159" t="s">
        <v>1077</v>
      </c>
      <c r="E2616" s="157" t="s">
        <v>1075</v>
      </c>
      <c r="F2616" s="157" t="s">
        <v>1010</v>
      </c>
      <c r="G2616" s="157" t="s">
        <v>1299</v>
      </c>
      <c r="H2616" s="157" t="s">
        <v>1432</v>
      </c>
      <c r="I2616" s="157" t="s">
        <v>1967</v>
      </c>
      <c r="J2616" s="157" t="s">
        <v>8255</v>
      </c>
      <c r="K2616" s="157" t="s">
        <v>1269</v>
      </c>
      <c r="L2616" s="157" t="s">
        <v>8586</v>
      </c>
      <c r="M2616" s="157" t="str">
        <f t="shared" si="55"/>
        <v>Rear Axle Anti-roll Bar Decoupling Valve - Rear Axle Anti-roll Bar Decoupling</v>
      </c>
      <c r="N2616" s="157"/>
      <c r="O2616" s="157" t="s">
        <v>1010</v>
      </c>
      <c r="P2616" s="159" t="s">
        <v>5793</v>
      </c>
      <c r="Q2616" s="157" t="s">
        <v>2115</v>
      </c>
      <c r="R2616" s="157" t="s">
        <v>8588</v>
      </c>
      <c r="S2616" s="157" t="s">
        <v>8589</v>
      </c>
      <c r="T2616" s="157"/>
      <c r="U2616" s="159" t="s">
        <v>2129</v>
      </c>
      <c r="V2616" s="159" t="s">
        <v>2129</v>
      </c>
      <c r="W2616" s="159" t="s">
        <v>2138</v>
      </c>
      <c r="X2616" s="160">
        <v>1</v>
      </c>
      <c r="Y2616" s="160">
        <v>1</v>
      </c>
      <c r="Z2616" s="160">
        <v>1</v>
      </c>
      <c r="AA2616" s="160">
        <v>1</v>
      </c>
    </row>
    <row r="2617" spans="1:27" ht="18" customHeight="1" x14ac:dyDescent="0.25">
      <c r="A2617" s="159">
        <v>9125</v>
      </c>
      <c r="B2617" s="157" t="s">
        <v>256</v>
      </c>
      <c r="C2617" s="157" t="s">
        <v>257</v>
      </c>
      <c r="D2617" s="159" t="s">
        <v>1077</v>
      </c>
      <c r="E2617" s="157" t="s">
        <v>1075</v>
      </c>
      <c r="F2617" s="157"/>
      <c r="G2617" s="157" t="s">
        <v>1299</v>
      </c>
      <c r="H2617" s="157" t="s">
        <v>1432</v>
      </c>
      <c r="I2617" s="157" t="s">
        <v>1968</v>
      </c>
      <c r="J2617" s="157" t="s">
        <v>8255</v>
      </c>
      <c r="K2617" s="157" t="s">
        <v>1269</v>
      </c>
      <c r="L2617" s="157" t="s">
        <v>8587</v>
      </c>
      <c r="M2617" s="157" t="str">
        <f t="shared" si="55"/>
        <v>Front Axle Anti-roll Bar Decoupling Valve - Front Axle Anti-roll Bar Decoupling</v>
      </c>
      <c r="N2617" s="157"/>
      <c r="O2617" s="157" t="s">
        <v>1010</v>
      </c>
      <c r="P2617" s="159" t="s">
        <v>3507</v>
      </c>
      <c r="Q2617" s="157" t="s">
        <v>2115</v>
      </c>
      <c r="R2617" s="157" t="s">
        <v>8590</v>
      </c>
      <c r="S2617" s="157" t="s">
        <v>8591</v>
      </c>
      <c r="T2617" s="157"/>
      <c r="U2617" s="159" t="s">
        <v>2129</v>
      </c>
      <c r="V2617" s="159" t="s">
        <v>2129</v>
      </c>
      <c r="W2617" s="159" t="s">
        <v>2138</v>
      </c>
      <c r="X2617" s="160">
        <v>1</v>
      </c>
      <c r="Y2617" s="160">
        <v>1</v>
      </c>
      <c r="Z2617" s="160">
        <v>1</v>
      </c>
      <c r="AA2617" s="160">
        <v>1</v>
      </c>
    </row>
    <row r="2618" spans="1:27" ht="18" customHeight="1" x14ac:dyDescent="0.25">
      <c r="A2618" s="159">
        <v>9126</v>
      </c>
      <c r="B2618" s="157" t="s">
        <v>29</v>
      </c>
      <c r="C2618" s="157" t="s">
        <v>120</v>
      </c>
      <c r="D2618" s="159" t="s">
        <v>161</v>
      </c>
      <c r="E2618" s="157" t="s">
        <v>1143</v>
      </c>
      <c r="F2618" s="157"/>
      <c r="G2618" s="157" t="s">
        <v>1349</v>
      </c>
      <c r="H2618" s="157" t="s">
        <v>1418</v>
      </c>
      <c r="I2618" s="157" t="s">
        <v>1969</v>
      </c>
      <c r="J2618" s="157"/>
      <c r="K2618" s="157" t="s">
        <v>1269</v>
      </c>
      <c r="L2618" s="157" t="s">
        <v>1970</v>
      </c>
      <c r="M2618" s="157" t="str">
        <f t="shared" si="55"/>
        <v>Heater - Window heating for front sensors - Front Sensors Heating</v>
      </c>
      <c r="N2618" s="157"/>
      <c r="O2618" s="157"/>
      <c r="P2618" s="159" t="s">
        <v>5746</v>
      </c>
      <c r="Q2618" s="157" t="s">
        <v>2115</v>
      </c>
      <c r="R2618" s="157" t="s">
        <v>2122</v>
      </c>
      <c r="S2618" s="157" t="s">
        <v>8635</v>
      </c>
      <c r="T2618" s="157"/>
      <c r="U2618" s="159" t="s">
        <v>2129</v>
      </c>
      <c r="V2618" s="159" t="s">
        <v>2138</v>
      </c>
      <c r="W2618" s="159" t="s">
        <v>2138</v>
      </c>
      <c r="X2618" s="160">
        <v>0</v>
      </c>
      <c r="Y2618" s="160">
        <v>0.2</v>
      </c>
      <c r="Z2618" s="160">
        <v>0.2</v>
      </c>
      <c r="AA2618" s="160">
        <v>0</v>
      </c>
    </row>
    <row r="2619" spans="1:27" ht="18" customHeight="1" x14ac:dyDescent="0.25">
      <c r="A2619" s="159">
        <v>9133</v>
      </c>
      <c r="B2619" s="157" t="s">
        <v>29</v>
      </c>
      <c r="C2619" s="157" t="s">
        <v>30</v>
      </c>
      <c r="D2619" s="159" t="s">
        <v>233</v>
      </c>
      <c r="E2619" s="157" t="s">
        <v>231</v>
      </c>
      <c r="F2619" s="157" t="s">
        <v>1264</v>
      </c>
      <c r="G2619" s="157" t="s">
        <v>1536</v>
      </c>
      <c r="H2619" s="157" t="s">
        <v>1287</v>
      </c>
      <c r="I2619" s="157" t="s">
        <v>1971</v>
      </c>
      <c r="J2619" s="157" t="s">
        <v>1340</v>
      </c>
      <c r="K2619" s="157" t="s">
        <v>1269</v>
      </c>
      <c r="L2619" s="157" t="s">
        <v>8495</v>
      </c>
      <c r="M2619" s="157" t="str">
        <f t="shared" si="55"/>
        <v>Taillamp Assy' Full LED - Center - Rear Lamps - Central</v>
      </c>
      <c r="N2619" s="157"/>
      <c r="O2619" s="157"/>
      <c r="P2619" s="159" t="s">
        <v>5818</v>
      </c>
      <c r="Q2619" s="157" t="s">
        <v>2115</v>
      </c>
      <c r="R2619" s="157" t="s">
        <v>2140</v>
      </c>
      <c r="S2619" s="157" t="s">
        <v>8645</v>
      </c>
      <c r="T2619" s="157" t="s">
        <v>2129</v>
      </c>
      <c r="U2619" s="159" t="s">
        <v>2129</v>
      </c>
      <c r="V2619" s="159" t="s">
        <v>2129</v>
      </c>
      <c r="W2619" s="159" t="s">
        <v>2138</v>
      </c>
      <c r="X2619" s="160">
        <v>0.17</v>
      </c>
      <c r="Y2619" s="160">
        <v>7.0000000000000007E-2</v>
      </c>
      <c r="Z2619" s="160">
        <v>0.67</v>
      </c>
      <c r="AA2619" s="160">
        <v>0.56999999999999995</v>
      </c>
    </row>
    <row r="2620" spans="1:27" ht="18" customHeight="1" x14ac:dyDescent="0.25">
      <c r="A2620" s="159">
        <v>9133</v>
      </c>
      <c r="B2620" s="157" t="s">
        <v>29</v>
      </c>
      <c r="C2620" s="157" t="s">
        <v>30</v>
      </c>
      <c r="D2620" s="159" t="s">
        <v>377</v>
      </c>
      <c r="E2620" s="157" t="s">
        <v>375</v>
      </c>
      <c r="F2620" s="157" t="s">
        <v>1264</v>
      </c>
      <c r="G2620" s="157" t="s">
        <v>1536</v>
      </c>
      <c r="H2620" s="157" t="s">
        <v>1287</v>
      </c>
      <c r="I2620" s="157" t="s">
        <v>1971</v>
      </c>
      <c r="J2620" s="157" t="s">
        <v>1340</v>
      </c>
      <c r="K2620" s="157" t="s">
        <v>1269</v>
      </c>
      <c r="L2620" s="157" t="s">
        <v>8495</v>
      </c>
      <c r="M2620" s="157" t="str">
        <f t="shared" si="55"/>
        <v>Taillamp Assy' Full LED - Center - Rear Lamps - Central</v>
      </c>
      <c r="N2620" s="157"/>
      <c r="O2620" s="157"/>
      <c r="P2620" s="159" t="s">
        <v>5818</v>
      </c>
      <c r="Q2620" s="157" t="s">
        <v>2115</v>
      </c>
      <c r="R2620" s="157" t="s">
        <v>2140</v>
      </c>
      <c r="S2620" s="157" t="s">
        <v>8645</v>
      </c>
      <c r="T2620" s="157" t="s">
        <v>2129</v>
      </c>
      <c r="U2620" s="159" t="s">
        <v>2129</v>
      </c>
      <c r="V2620" s="159" t="s">
        <v>2129</v>
      </c>
      <c r="W2620" s="159" t="s">
        <v>2138</v>
      </c>
      <c r="X2620" s="160">
        <v>0.17</v>
      </c>
      <c r="Y2620" s="160">
        <v>7.0000000000000007E-2</v>
      </c>
      <c r="Z2620" s="160">
        <v>0.67</v>
      </c>
      <c r="AA2620" s="160">
        <v>0.56999999999999995</v>
      </c>
    </row>
    <row r="2621" spans="1:27" ht="18" customHeight="1" x14ac:dyDescent="0.25">
      <c r="A2621" s="159">
        <v>9133</v>
      </c>
      <c r="B2621" s="157" t="s">
        <v>29</v>
      </c>
      <c r="C2621" s="157" t="s">
        <v>30</v>
      </c>
      <c r="D2621" s="159" t="s">
        <v>380</v>
      </c>
      <c r="E2621" s="157" t="s">
        <v>378</v>
      </c>
      <c r="F2621" s="157" t="s">
        <v>1264</v>
      </c>
      <c r="G2621" s="157" t="s">
        <v>1536</v>
      </c>
      <c r="H2621" s="157" t="s">
        <v>1287</v>
      </c>
      <c r="I2621" s="157" t="s">
        <v>1971</v>
      </c>
      <c r="J2621" s="157" t="s">
        <v>1340</v>
      </c>
      <c r="K2621" s="157" t="s">
        <v>1269</v>
      </c>
      <c r="L2621" s="157" t="s">
        <v>8495</v>
      </c>
      <c r="M2621" s="157" t="str">
        <f t="shared" si="55"/>
        <v>Taillamp Assy' Full LED - Center - Rear Lamps - Central</v>
      </c>
      <c r="N2621" s="157"/>
      <c r="O2621" s="157"/>
      <c r="P2621" s="159" t="s">
        <v>5818</v>
      </c>
      <c r="Q2621" s="157" t="s">
        <v>2115</v>
      </c>
      <c r="R2621" s="157" t="s">
        <v>2140</v>
      </c>
      <c r="S2621" s="157" t="s">
        <v>8645</v>
      </c>
      <c r="T2621" s="157" t="s">
        <v>2129</v>
      </c>
      <c r="U2621" s="159" t="s">
        <v>2129</v>
      </c>
      <c r="V2621" s="159" t="s">
        <v>2129</v>
      </c>
      <c r="W2621" s="159" t="s">
        <v>2138</v>
      </c>
      <c r="X2621" s="160">
        <v>0.17</v>
      </c>
      <c r="Y2621" s="160">
        <v>7.0000000000000007E-2</v>
      </c>
      <c r="Z2621" s="160">
        <v>0.67</v>
      </c>
      <c r="AA2621" s="160">
        <v>0.56999999999999995</v>
      </c>
    </row>
    <row r="2622" spans="1:27" ht="18" customHeight="1" x14ac:dyDescent="0.25">
      <c r="A2622" s="159">
        <v>9133</v>
      </c>
      <c r="B2622" s="157" t="s">
        <v>29</v>
      </c>
      <c r="C2622" s="157" t="s">
        <v>30</v>
      </c>
      <c r="D2622" s="159" t="s">
        <v>398</v>
      </c>
      <c r="E2622" s="157" t="s">
        <v>396</v>
      </c>
      <c r="F2622" s="157" t="s">
        <v>1264</v>
      </c>
      <c r="G2622" s="157" t="s">
        <v>1536</v>
      </c>
      <c r="H2622" s="157" t="s">
        <v>1287</v>
      </c>
      <c r="I2622" s="157" t="s">
        <v>1971</v>
      </c>
      <c r="J2622" s="157" t="s">
        <v>1340</v>
      </c>
      <c r="K2622" s="157" t="s">
        <v>1269</v>
      </c>
      <c r="L2622" s="157" t="s">
        <v>8495</v>
      </c>
      <c r="M2622" s="157" t="str">
        <f t="shared" si="55"/>
        <v>Taillamp Assy' Full LED - Center - Rear Lamps - Central</v>
      </c>
      <c r="N2622" s="157"/>
      <c r="O2622" s="157"/>
      <c r="P2622" s="159" t="s">
        <v>5818</v>
      </c>
      <c r="Q2622" s="157" t="s">
        <v>2115</v>
      </c>
      <c r="R2622" s="157" t="s">
        <v>2140</v>
      </c>
      <c r="S2622" s="157" t="s">
        <v>8645</v>
      </c>
      <c r="T2622" s="157" t="s">
        <v>2129</v>
      </c>
      <c r="U2622" s="159" t="s">
        <v>2129</v>
      </c>
      <c r="V2622" s="159" t="s">
        <v>2129</v>
      </c>
      <c r="W2622" s="159" t="s">
        <v>2138</v>
      </c>
      <c r="X2622" s="160">
        <v>0.17</v>
      </c>
      <c r="Y2622" s="160">
        <v>7.0000000000000007E-2</v>
      </c>
      <c r="Z2622" s="160">
        <v>0.67</v>
      </c>
      <c r="AA2622" s="160">
        <v>0.56999999999999995</v>
      </c>
    </row>
    <row r="2623" spans="1:27" ht="18" customHeight="1" x14ac:dyDescent="0.25">
      <c r="A2623" s="159">
        <v>9133</v>
      </c>
      <c r="B2623" s="157" t="s">
        <v>29</v>
      </c>
      <c r="C2623" s="157" t="s">
        <v>30</v>
      </c>
      <c r="D2623" s="159" t="s">
        <v>408</v>
      </c>
      <c r="E2623" s="157" t="s">
        <v>406</v>
      </c>
      <c r="F2623" s="157" t="s">
        <v>1264</v>
      </c>
      <c r="G2623" s="157" t="s">
        <v>1536</v>
      </c>
      <c r="H2623" s="157" t="s">
        <v>1287</v>
      </c>
      <c r="I2623" s="157" t="s">
        <v>1971</v>
      </c>
      <c r="J2623" s="157" t="s">
        <v>1340</v>
      </c>
      <c r="K2623" s="157" t="s">
        <v>1269</v>
      </c>
      <c r="L2623" s="157" t="s">
        <v>8495</v>
      </c>
      <c r="M2623" s="157" t="str">
        <f t="shared" si="55"/>
        <v>Taillamp Assy' Full LED - Center - Rear Lamps - Central</v>
      </c>
      <c r="N2623" s="157"/>
      <c r="O2623" s="157"/>
      <c r="P2623" s="159" t="s">
        <v>5818</v>
      </c>
      <c r="Q2623" s="157" t="s">
        <v>2115</v>
      </c>
      <c r="R2623" s="157" t="s">
        <v>2140</v>
      </c>
      <c r="S2623" s="157" t="s">
        <v>8645</v>
      </c>
      <c r="T2623" s="157" t="s">
        <v>2129</v>
      </c>
      <c r="U2623" s="159" t="s">
        <v>2129</v>
      </c>
      <c r="V2623" s="159" t="s">
        <v>2129</v>
      </c>
      <c r="W2623" s="159" t="s">
        <v>2138</v>
      </c>
      <c r="X2623" s="160">
        <v>0.17</v>
      </c>
      <c r="Y2623" s="160">
        <v>7.0000000000000007E-2</v>
      </c>
      <c r="Z2623" s="160">
        <v>0.67</v>
      </c>
      <c r="AA2623" s="160">
        <v>0.56999999999999995</v>
      </c>
    </row>
    <row r="2624" spans="1:27" ht="18" customHeight="1" x14ac:dyDescent="0.25">
      <c r="A2624" s="159">
        <v>9135</v>
      </c>
      <c r="B2624" s="157" t="s">
        <v>256</v>
      </c>
      <c r="C2624" s="157" t="s">
        <v>257</v>
      </c>
      <c r="D2624" s="159" t="s">
        <v>1080</v>
      </c>
      <c r="E2624" s="157" t="s">
        <v>1078</v>
      </c>
      <c r="F2624" s="157" t="s">
        <v>1010</v>
      </c>
      <c r="G2624" s="157" t="s">
        <v>1299</v>
      </c>
      <c r="H2624" s="157" t="s">
        <v>1432</v>
      </c>
      <c r="I2624" s="157" t="s">
        <v>1972</v>
      </c>
      <c r="J2624" s="157" t="s">
        <v>9562</v>
      </c>
      <c r="K2624" s="157" t="s">
        <v>1312</v>
      </c>
      <c r="L2624" s="157" t="s">
        <v>1973</v>
      </c>
      <c r="M2624" s="157" t="str">
        <f t="shared" si="55"/>
        <v>Acoustic Sensor Left - Aquaplaning Warning</v>
      </c>
      <c r="N2624" s="157"/>
      <c r="O2624" s="157" t="s">
        <v>1010</v>
      </c>
      <c r="P2624" s="159" t="s">
        <v>8036</v>
      </c>
      <c r="Q2624" s="157"/>
      <c r="R2624" s="157"/>
      <c r="S2624" s="157"/>
      <c r="T2624" s="157"/>
      <c r="U2624" s="159" t="s">
        <v>2129</v>
      </c>
      <c r="V2624" s="159" t="s">
        <v>2129</v>
      </c>
      <c r="W2624" s="159" t="s">
        <v>2138</v>
      </c>
      <c r="X2624" s="160">
        <v>1</v>
      </c>
      <c r="Y2624" s="160">
        <v>1</v>
      </c>
      <c r="Z2624" s="160">
        <v>1</v>
      </c>
      <c r="AA2624" s="160">
        <v>1</v>
      </c>
    </row>
    <row r="2625" spans="1:27" ht="18" customHeight="1" x14ac:dyDescent="0.25">
      <c r="A2625" s="159">
        <v>9136</v>
      </c>
      <c r="B2625" s="157" t="s">
        <v>256</v>
      </c>
      <c r="C2625" s="157" t="s">
        <v>257</v>
      </c>
      <c r="D2625" s="159" t="s">
        <v>1080</v>
      </c>
      <c r="E2625" s="157" t="s">
        <v>1078</v>
      </c>
      <c r="F2625" s="157" t="s">
        <v>1010</v>
      </c>
      <c r="G2625" s="157" t="s">
        <v>1299</v>
      </c>
      <c r="H2625" s="157" t="s">
        <v>1432</v>
      </c>
      <c r="I2625" s="157" t="s">
        <v>1972</v>
      </c>
      <c r="J2625" s="157" t="s">
        <v>9562</v>
      </c>
      <c r="K2625" s="157" t="s">
        <v>1312</v>
      </c>
      <c r="L2625" s="157" t="s">
        <v>1974</v>
      </c>
      <c r="M2625" s="157" t="str">
        <f t="shared" si="55"/>
        <v>Acoustic Sensor Right - Aquaplaning Warning</v>
      </c>
      <c r="N2625" s="157"/>
      <c r="O2625" s="157" t="s">
        <v>1010</v>
      </c>
      <c r="P2625" s="159" t="s">
        <v>2346</v>
      </c>
      <c r="Q2625" s="157" t="s">
        <v>2115</v>
      </c>
      <c r="R2625" s="157" t="s">
        <v>9526</v>
      </c>
      <c r="S2625" s="157" t="s">
        <v>8584</v>
      </c>
      <c r="T2625" s="157" t="s">
        <v>2129</v>
      </c>
      <c r="U2625" s="159" t="s">
        <v>2129</v>
      </c>
      <c r="V2625" s="159" t="s">
        <v>2129</v>
      </c>
      <c r="W2625" s="159" t="s">
        <v>2138</v>
      </c>
      <c r="X2625" s="160">
        <v>1</v>
      </c>
      <c r="Y2625" s="160">
        <v>1</v>
      </c>
      <c r="Z2625" s="160">
        <v>1</v>
      </c>
      <c r="AA2625" s="160">
        <v>1</v>
      </c>
    </row>
    <row r="2626" spans="1:27" ht="18" customHeight="1" x14ac:dyDescent="0.25">
      <c r="A2626" s="159">
        <v>9160</v>
      </c>
      <c r="B2626" s="157"/>
      <c r="C2626" s="157"/>
      <c r="D2626" s="159"/>
      <c r="E2626" s="157"/>
      <c r="F2626" s="157"/>
      <c r="G2626" s="157" t="s">
        <v>1265</v>
      </c>
      <c r="H2626" s="157" t="s">
        <v>1978</v>
      </c>
      <c r="I2626" s="157" t="s">
        <v>1979</v>
      </c>
      <c r="J2626" s="157"/>
      <c r="K2626" s="157" t="s">
        <v>1480</v>
      </c>
      <c r="L2626" s="157" t="s">
        <v>9604</v>
      </c>
      <c r="M2626" s="157" t="str">
        <f t="shared" si="55"/>
        <v>Mid-Range Speaker HL - Engine Noise Generation [E-Sound]</v>
      </c>
      <c r="N2626" s="157"/>
      <c r="O2626" s="157"/>
      <c r="P2626" s="159" t="s">
        <v>8076</v>
      </c>
      <c r="Q2626" s="157" t="s">
        <v>2115</v>
      </c>
      <c r="R2626" s="157" t="s">
        <v>2123</v>
      </c>
      <c r="S2626" s="157" t="s">
        <v>8639</v>
      </c>
      <c r="T2626" s="157"/>
      <c r="U2626" s="159" t="s">
        <v>2129</v>
      </c>
      <c r="V2626" s="159" t="s">
        <v>2129</v>
      </c>
      <c r="W2626" s="159" t="s">
        <v>2138</v>
      </c>
      <c r="X2626" s="160">
        <v>0</v>
      </c>
      <c r="Y2626" s="160">
        <v>0.8</v>
      </c>
      <c r="Z2626" s="160">
        <v>0</v>
      </c>
      <c r="AA2626" s="160">
        <v>0.4</v>
      </c>
    </row>
    <row r="2627" spans="1:27" ht="18" customHeight="1" x14ac:dyDescent="0.25">
      <c r="A2627" s="159">
        <v>9161</v>
      </c>
      <c r="B2627" s="157"/>
      <c r="C2627" s="157"/>
      <c r="D2627" s="159"/>
      <c r="E2627" s="157"/>
      <c r="F2627" s="157"/>
      <c r="G2627" s="157" t="s">
        <v>1265</v>
      </c>
      <c r="H2627" s="157" t="s">
        <v>1978</v>
      </c>
      <c r="I2627" s="157" t="s">
        <v>1979</v>
      </c>
      <c r="J2627" s="157"/>
      <c r="K2627" s="157" t="s">
        <v>1480</v>
      </c>
      <c r="L2627" s="157" t="s">
        <v>9603</v>
      </c>
      <c r="M2627" s="157" t="str">
        <f t="shared" si="55"/>
        <v>Mid-Range Speaker HR - Engine Noise Generation [E-Sound]</v>
      </c>
      <c r="N2627" s="157"/>
      <c r="O2627" s="157"/>
      <c r="P2627" s="159" t="s">
        <v>3718</v>
      </c>
      <c r="Q2627" s="157" t="s">
        <v>2115</v>
      </c>
      <c r="R2627" s="157" t="s">
        <v>2123</v>
      </c>
      <c r="S2627" s="157" t="s">
        <v>8639</v>
      </c>
      <c r="T2627" s="157"/>
      <c r="U2627" s="159" t="s">
        <v>2129</v>
      </c>
      <c r="V2627" s="159" t="s">
        <v>2129</v>
      </c>
      <c r="W2627" s="159" t="s">
        <v>2138</v>
      </c>
      <c r="X2627" s="160">
        <v>0</v>
      </c>
      <c r="Y2627" s="160">
        <v>0.8</v>
      </c>
      <c r="Z2627" s="160">
        <v>0</v>
      </c>
      <c r="AA2627" s="160">
        <v>0.4</v>
      </c>
    </row>
    <row r="2628" spans="1:27" ht="18" customHeight="1" x14ac:dyDescent="0.25">
      <c r="A2628" s="159">
        <v>9162</v>
      </c>
      <c r="B2628" s="157"/>
      <c r="C2628" s="157"/>
      <c r="D2628" s="159"/>
      <c r="E2628" s="157"/>
      <c r="F2628" s="157"/>
      <c r="G2628" s="157" t="s">
        <v>1321</v>
      </c>
      <c r="H2628" s="157" t="s">
        <v>1648</v>
      </c>
      <c r="I2628" s="157" t="s">
        <v>1975</v>
      </c>
      <c r="J2628" s="157" t="s">
        <v>1649</v>
      </c>
      <c r="K2628" s="157" t="s">
        <v>1530</v>
      </c>
      <c r="L2628" s="157" t="s">
        <v>1975</v>
      </c>
      <c r="M2628" s="157" t="str">
        <f t="shared" si="55"/>
        <v>Socket for Radio Data Communication - Socket for Radio Data Communication</v>
      </c>
      <c r="N2628" s="157"/>
      <c r="O2628" s="157"/>
      <c r="P2628" s="159"/>
      <c r="Q2628" s="157"/>
      <c r="R2628" s="157"/>
      <c r="S2628" s="157"/>
      <c r="T2628" s="157"/>
      <c r="U2628" s="159"/>
      <c r="V2628" s="159"/>
      <c r="W2628" s="159"/>
      <c r="X2628" s="160">
        <v>1</v>
      </c>
      <c r="Y2628" s="160">
        <v>1</v>
      </c>
      <c r="Z2628" s="160">
        <v>1</v>
      </c>
      <c r="AA2628" s="160">
        <v>1</v>
      </c>
    </row>
    <row r="2629" spans="1:27" ht="18" customHeight="1" x14ac:dyDescent="0.25">
      <c r="A2629" s="159">
        <v>9163</v>
      </c>
      <c r="B2629" s="157"/>
      <c r="C2629" s="157"/>
      <c r="D2629" s="159"/>
      <c r="E2629" s="157"/>
      <c r="F2629" s="157"/>
      <c r="G2629" s="157" t="s">
        <v>1321</v>
      </c>
      <c r="H2629" s="157" t="s">
        <v>1648</v>
      </c>
      <c r="I2629" s="157" t="s">
        <v>1975</v>
      </c>
      <c r="J2629" s="157" t="s">
        <v>1649</v>
      </c>
      <c r="K2629" s="157" t="s">
        <v>1530</v>
      </c>
      <c r="L2629" s="157" t="s">
        <v>1975</v>
      </c>
      <c r="M2629" s="157" t="str">
        <f t="shared" si="55"/>
        <v>Socket for Radio Data Communication - Socket for Radio Data Communication</v>
      </c>
      <c r="N2629" s="157"/>
      <c r="O2629" s="157"/>
      <c r="P2629" s="159"/>
      <c r="Q2629" s="157"/>
      <c r="R2629" s="157"/>
      <c r="S2629" s="157"/>
      <c r="T2629" s="157"/>
      <c r="U2629" s="159"/>
      <c r="V2629" s="159"/>
      <c r="W2629" s="159"/>
      <c r="X2629" s="160"/>
      <c r="Y2629" s="160"/>
      <c r="Z2629" s="160"/>
      <c r="AA2629" s="160"/>
    </row>
    <row r="2630" spans="1:27" ht="18" customHeight="1" x14ac:dyDescent="0.25">
      <c r="A2630" s="159">
        <v>9164</v>
      </c>
      <c r="B2630" s="157"/>
      <c r="C2630" s="157"/>
      <c r="D2630" s="159"/>
      <c r="E2630" s="157"/>
      <c r="F2630" s="157"/>
      <c r="G2630" s="157" t="s">
        <v>1278</v>
      </c>
      <c r="H2630" s="157" t="s">
        <v>1294</v>
      </c>
      <c r="I2630" s="157" t="s">
        <v>9582</v>
      </c>
      <c r="J2630" s="157"/>
      <c r="K2630" s="157" t="s">
        <v>1269</v>
      </c>
      <c r="L2630" s="157" t="s">
        <v>8314</v>
      </c>
      <c r="M2630" s="157" t="str">
        <f t="shared" si="55"/>
        <v>Stepper  Motor - Front Trunk Release - Front Trunk Open</v>
      </c>
      <c r="N2630" s="157"/>
      <c r="O2630" s="157"/>
      <c r="P2630" s="159" t="s">
        <v>3507</v>
      </c>
      <c r="Q2630" s="157"/>
      <c r="R2630" s="157"/>
      <c r="S2630" s="157"/>
      <c r="T2630" s="157"/>
      <c r="U2630" s="159" t="s">
        <v>2129</v>
      </c>
      <c r="V2630" s="159" t="s">
        <v>2129</v>
      </c>
      <c r="W2630" s="159" t="s">
        <v>2129</v>
      </c>
      <c r="X2630" s="160">
        <f>1/(20*60)</f>
        <v>8.3333333333333339E-4</v>
      </c>
      <c r="Y2630" s="160">
        <f>1/(20*60)</f>
        <v>8.3333333333333339E-4</v>
      </c>
      <c r="Z2630" s="160">
        <f>1/(20*60)</f>
        <v>8.3333333333333339E-4</v>
      </c>
      <c r="AA2630" s="160">
        <f>1/(20*60)</f>
        <v>8.3333333333333339E-4</v>
      </c>
    </row>
    <row r="2631" spans="1:27" ht="18" customHeight="1" x14ac:dyDescent="0.25">
      <c r="A2631" s="159">
        <v>9165</v>
      </c>
      <c r="B2631" s="157" t="s">
        <v>29</v>
      </c>
      <c r="C2631" s="157" t="s">
        <v>82</v>
      </c>
      <c r="D2631" s="159" t="s">
        <v>1104</v>
      </c>
      <c r="E2631" s="157" t="s">
        <v>1102</v>
      </c>
      <c r="F2631" s="157"/>
      <c r="G2631" s="157" t="s">
        <v>1278</v>
      </c>
      <c r="H2631" s="157" t="s">
        <v>1294</v>
      </c>
      <c r="I2631" s="157" t="s">
        <v>1976</v>
      </c>
      <c r="J2631" s="157"/>
      <c r="K2631" s="157" t="s">
        <v>1269</v>
      </c>
      <c r="L2631" s="157" t="s">
        <v>8706</v>
      </c>
      <c r="M2631" s="157" t="str">
        <f t="shared" si="55"/>
        <v>Stepper Motor - Emergency Hood Release - Hood Emergency Release</v>
      </c>
      <c r="N2631" s="157"/>
      <c r="O2631" s="157"/>
      <c r="P2631" s="159" t="s">
        <v>3539</v>
      </c>
      <c r="Q2631" s="157"/>
      <c r="R2631" s="157"/>
      <c r="S2631" s="157"/>
      <c r="T2631" s="157"/>
      <c r="U2631" s="159" t="s">
        <v>2129</v>
      </c>
      <c r="V2631" s="159" t="s">
        <v>2129</v>
      </c>
      <c r="W2631" s="159" t="s">
        <v>2129</v>
      </c>
      <c r="X2631" s="160"/>
      <c r="Y2631" s="160"/>
      <c r="Z2631" s="160"/>
      <c r="AA2631" s="160"/>
    </row>
    <row r="2632" spans="1:27" ht="18" customHeight="1" x14ac:dyDescent="0.25">
      <c r="A2632" s="159">
        <v>9167</v>
      </c>
      <c r="B2632" s="157" t="s">
        <v>256</v>
      </c>
      <c r="C2632" s="157" t="s">
        <v>543</v>
      </c>
      <c r="D2632" s="159" t="s">
        <v>546</v>
      </c>
      <c r="E2632" s="157" t="s">
        <v>544</v>
      </c>
      <c r="F2632" s="157" t="s">
        <v>1298</v>
      </c>
      <c r="G2632" s="157" t="s">
        <v>1299</v>
      </c>
      <c r="H2632" s="157" t="s">
        <v>1465</v>
      </c>
      <c r="I2632" s="157" t="s">
        <v>1977</v>
      </c>
      <c r="J2632" s="157" t="s">
        <v>1640</v>
      </c>
      <c r="K2632" s="157" t="s">
        <v>1269</v>
      </c>
      <c r="L2632" s="157" t="s">
        <v>8503</v>
      </c>
      <c r="M2632" s="157" t="str">
        <f t="shared" si="55"/>
        <v>Rear Axle Steering Motor Right - Rear Axle Steering</v>
      </c>
      <c r="N2632" s="157"/>
      <c r="O2632" s="157"/>
      <c r="P2632" s="159" t="s">
        <v>4207</v>
      </c>
      <c r="Q2632" s="157" t="s">
        <v>2115</v>
      </c>
      <c r="R2632" s="157" t="s">
        <v>8457</v>
      </c>
      <c r="S2632" s="157" t="s">
        <v>9790</v>
      </c>
      <c r="T2632" s="157"/>
      <c r="U2632" s="159" t="s">
        <v>2129</v>
      </c>
      <c r="V2632" s="159" t="s">
        <v>2129</v>
      </c>
      <c r="W2632" s="159" t="s">
        <v>2138</v>
      </c>
      <c r="X2632" s="160">
        <v>0.02</v>
      </c>
      <c r="Y2632" s="160">
        <v>0.01</v>
      </c>
      <c r="Z2632" s="160">
        <v>0.02</v>
      </c>
      <c r="AA2632" s="160">
        <v>0.01</v>
      </c>
    </row>
    <row r="2633" spans="1:27" ht="18" customHeight="1" x14ac:dyDescent="0.25">
      <c r="A2633" s="159">
        <v>9169</v>
      </c>
      <c r="B2633" s="157" t="s">
        <v>266</v>
      </c>
      <c r="C2633" s="157" t="s">
        <v>276</v>
      </c>
      <c r="D2633" s="159" t="s">
        <v>303</v>
      </c>
      <c r="E2633" s="157" t="s">
        <v>301</v>
      </c>
      <c r="F2633" s="157"/>
      <c r="G2633" s="157" t="s">
        <v>1349</v>
      </c>
      <c r="H2633" s="157" t="s">
        <v>1418</v>
      </c>
      <c r="I2633" s="157" t="s">
        <v>8539</v>
      </c>
      <c r="J2633" s="157" t="s">
        <v>8305</v>
      </c>
      <c r="K2633" s="157" t="s">
        <v>1554</v>
      </c>
      <c r="L2633" s="157" t="s">
        <v>2100</v>
      </c>
      <c r="M2633" s="157" t="str">
        <f t="shared" si="55"/>
        <v>Lane Change Assist Radar [Left, Slave] - Lane Change Assist</v>
      </c>
      <c r="N2633" s="157"/>
      <c r="O2633" s="157"/>
      <c r="P2633" s="159" t="s">
        <v>8116</v>
      </c>
      <c r="Q2633" s="157" t="s">
        <v>2115</v>
      </c>
      <c r="R2633" s="157" t="s">
        <v>9532</v>
      </c>
      <c r="S2633" s="157" t="s">
        <v>8589</v>
      </c>
      <c r="T2633" s="157"/>
      <c r="U2633" s="159" t="s">
        <v>2129</v>
      </c>
      <c r="V2633" s="159" t="s">
        <v>2138</v>
      </c>
      <c r="W2633" s="159" t="s">
        <v>2129</v>
      </c>
      <c r="X2633" s="160">
        <v>1</v>
      </c>
      <c r="Y2633" s="160">
        <v>1</v>
      </c>
      <c r="Z2633" s="160">
        <v>1</v>
      </c>
      <c r="AA2633" s="160">
        <v>1</v>
      </c>
    </row>
    <row r="2634" spans="1:27" ht="18" customHeight="1" x14ac:dyDescent="0.25">
      <c r="A2634" s="159">
        <v>9169</v>
      </c>
      <c r="B2634" s="157" t="s">
        <v>266</v>
      </c>
      <c r="C2634" s="157" t="s">
        <v>276</v>
      </c>
      <c r="D2634" s="159" t="s">
        <v>310</v>
      </c>
      <c r="E2634" s="157" t="s">
        <v>308</v>
      </c>
      <c r="F2634" s="157"/>
      <c r="G2634" s="157" t="s">
        <v>1349</v>
      </c>
      <c r="H2634" s="157" t="s">
        <v>1418</v>
      </c>
      <c r="I2634" s="157" t="s">
        <v>8539</v>
      </c>
      <c r="J2634" s="157" t="s">
        <v>8305</v>
      </c>
      <c r="K2634" s="157" t="s">
        <v>1554</v>
      </c>
      <c r="L2634" s="157" t="s">
        <v>2100</v>
      </c>
      <c r="M2634" s="157" t="str">
        <f t="shared" ref="M2634:M2697" si="56">CONCATENATE(L2634," - ",I2634)</f>
        <v>Lane Change Assist Radar [Left, Slave] - Lane Change Assist</v>
      </c>
      <c r="N2634" s="157"/>
      <c r="O2634" s="157"/>
      <c r="P2634" s="159" t="s">
        <v>8116</v>
      </c>
      <c r="Q2634" s="157" t="s">
        <v>2115</v>
      </c>
      <c r="R2634" s="157" t="s">
        <v>9532</v>
      </c>
      <c r="S2634" s="157" t="s">
        <v>8589</v>
      </c>
      <c r="T2634" s="157"/>
      <c r="U2634" s="159" t="s">
        <v>2129</v>
      </c>
      <c r="V2634" s="159" t="s">
        <v>2138</v>
      </c>
      <c r="W2634" s="159" t="s">
        <v>2129</v>
      </c>
      <c r="X2634" s="160">
        <v>1</v>
      </c>
      <c r="Y2634" s="160">
        <v>1</v>
      </c>
      <c r="Z2634" s="160">
        <v>1</v>
      </c>
      <c r="AA2634" s="160">
        <v>1</v>
      </c>
    </row>
    <row r="2635" spans="1:27" ht="18" customHeight="1" x14ac:dyDescent="0.25">
      <c r="A2635" s="159">
        <v>9169</v>
      </c>
      <c r="B2635" s="157" t="s">
        <v>266</v>
      </c>
      <c r="C2635" s="157" t="s">
        <v>276</v>
      </c>
      <c r="D2635" s="159" t="s">
        <v>686</v>
      </c>
      <c r="E2635" s="157" t="s">
        <v>684</v>
      </c>
      <c r="F2635" s="157"/>
      <c r="G2635" s="157" t="s">
        <v>1349</v>
      </c>
      <c r="H2635" s="157" t="s">
        <v>1418</v>
      </c>
      <c r="I2635" s="157" t="s">
        <v>8539</v>
      </c>
      <c r="J2635" s="157" t="s">
        <v>8305</v>
      </c>
      <c r="K2635" s="157" t="s">
        <v>1554</v>
      </c>
      <c r="L2635" s="157" t="s">
        <v>2100</v>
      </c>
      <c r="M2635" s="157" t="str">
        <f t="shared" si="56"/>
        <v>Lane Change Assist Radar [Left, Slave] - Lane Change Assist</v>
      </c>
      <c r="N2635" s="157"/>
      <c r="O2635" s="157"/>
      <c r="P2635" s="159" t="s">
        <v>8116</v>
      </c>
      <c r="Q2635" s="157" t="s">
        <v>2115</v>
      </c>
      <c r="R2635" s="157" t="s">
        <v>9532</v>
      </c>
      <c r="S2635" s="157" t="s">
        <v>8589</v>
      </c>
      <c r="T2635" s="157"/>
      <c r="U2635" s="159" t="s">
        <v>2129</v>
      </c>
      <c r="V2635" s="159" t="s">
        <v>2138</v>
      </c>
      <c r="W2635" s="159" t="s">
        <v>2129</v>
      </c>
      <c r="X2635" s="160">
        <v>1</v>
      </c>
      <c r="Y2635" s="160">
        <v>1</v>
      </c>
      <c r="Z2635" s="160">
        <v>1</v>
      </c>
      <c r="AA2635" s="160">
        <v>1</v>
      </c>
    </row>
    <row r="2636" spans="1:27" ht="18" customHeight="1" x14ac:dyDescent="0.25">
      <c r="A2636" s="159">
        <v>9169</v>
      </c>
      <c r="B2636" s="157" t="s">
        <v>266</v>
      </c>
      <c r="C2636" s="157" t="s">
        <v>276</v>
      </c>
      <c r="D2636" s="159" t="s">
        <v>304</v>
      </c>
      <c r="E2636" s="157" t="s">
        <v>1239</v>
      </c>
      <c r="F2636" s="157"/>
      <c r="G2636" s="157" t="s">
        <v>1349</v>
      </c>
      <c r="H2636" s="157" t="s">
        <v>1418</v>
      </c>
      <c r="I2636" s="157" t="s">
        <v>8539</v>
      </c>
      <c r="J2636" s="157" t="s">
        <v>8305</v>
      </c>
      <c r="K2636" s="157" t="s">
        <v>1554</v>
      </c>
      <c r="L2636" s="157" t="s">
        <v>2100</v>
      </c>
      <c r="M2636" s="157" t="str">
        <f t="shared" si="56"/>
        <v>Lane Change Assist Radar [Left, Slave] - Lane Change Assist</v>
      </c>
      <c r="N2636" s="157"/>
      <c r="O2636" s="157"/>
      <c r="P2636" s="159" t="s">
        <v>8116</v>
      </c>
      <c r="Q2636" s="157" t="s">
        <v>2115</v>
      </c>
      <c r="R2636" s="157" t="s">
        <v>9532</v>
      </c>
      <c r="S2636" s="157" t="s">
        <v>8589</v>
      </c>
      <c r="T2636" s="157"/>
      <c r="U2636" s="159" t="s">
        <v>2129</v>
      </c>
      <c r="V2636" s="159" t="s">
        <v>2138</v>
      </c>
      <c r="W2636" s="159" t="s">
        <v>2129</v>
      </c>
      <c r="X2636" s="160">
        <v>1</v>
      </c>
      <c r="Y2636" s="160">
        <v>1</v>
      </c>
      <c r="Z2636" s="160">
        <v>1</v>
      </c>
      <c r="AA2636" s="160">
        <v>1</v>
      </c>
    </row>
    <row r="2637" spans="1:27" ht="18" customHeight="1" x14ac:dyDescent="0.25">
      <c r="A2637" s="159">
        <v>9169</v>
      </c>
      <c r="B2637" s="157" t="s">
        <v>266</v>
      </c>
      <c r="C2637" s="157" t="s">
        <v>294</v>
      </c>
      <c r="D2637" s="159" t="s">
        <v>297</v>
      </c>
      <c r="E2637" s="157" t="s">
        <v>295</v>
      </c>
      <c r="F2637" s="157"/>
      <c r="G2637" s="157" t="s">
        <v>1349</v>
      </c>
      <c r="H2637" s="157" t="s">
        <v>1418</v>
      </c>
      <c r="I2637" s="157" t="s">
        <v>8539</v>
      </c>
      <c r="J2637" s="157" t="s">
        <v>8305</v>
      </c>
      <c r="K2637" s="157" t="s">
        <v>1554</v>
      </c>
      <c r="L2637" s="157" t="s">
        <v>2100</v>
      </c>
      <c r="M2637" s="157" t="str">
        <f t="shared" si="56"/>
        <v>Lane Change Assist Radar [Left, Slave] - Lane Change Assist</v>
      </c>
      <c r="N2637" s="157"/>
      <c r="O2637" s="157"/>
      <c r="P2637" s="159" t="s">
        <v>8116</v>
      </c>
      <c r="Q2637" s="157" t="s">
        <v>2115</v>
      </c>
      <c r="R2637" s="157" t="s">
        <v>9532</v>
      </c>
      <c r="S2637" s="157" t="s">
        <v>8589</v>
      </c>
      <c r="T2637" s="157"/>
      <c r="U2637" s="159" t="s">
        <v>2129</v>
      </c>
      <c r="V2637" s="159" t="s">
        <v>2138</v>
      </c>
      <c r="W2637" s="159" t="s">
        <v>2129</v>
      </c>
      <c r="X2637" s="160">
        <v>1</v>
      </c>
      <c r="Y2637" s="160">
        <v>1</v>
      </c>
      <c r="Z2637" s="160">
        <v>1</v>
      </c>
      <c r="AA2637" s="160">
        <v>1</v>
      </c>
    </row>
    <row r="2638" spans="1:27" ht="18" customHeight="1" x14ac:dyDescent="0.25">
      <c r="A2638" s="159">
        <v>9169</v>
      </c>
      <c r="B2638" s="157" t="s">
        <v>266</v>
      </c>
      <c r="C2638" s="157" t="s">
        <v>294</v>
      </c>
      <c r="D2638" s="159" t="s">
        <v>298</v>
      </c>
      <c r="E2638" s="157" t="s">
        <v>299</v>
      </c>
      <c r="F2638" s="157"/>
      <c r="G2638" s="157" t="s">
        <v>1349</v>
      </c>
      <c r="H2638" s="157" t="s">
        <v>1418</v>
      </c>
      <c r="I2638" s="157" t="s">
        <v>8539</v>
      </c>
      <c r="J2638" s="157" t="s">
        <v>8305</v>
      </c>
      <c r="K2638" s="157" t="s">
        <v>1554</v>
      </c>
      <c r="L2638" s="157" t="s">
        <v>2100</v>
      </c>
      <c r="M2638" s="157" t="str">
        <f t="shared" si="56"/>
        <v>Lane Change Assist Radar [Left, Slave] - Lane Change Assist</v>
      </c>
      <c r="N2638" s="157"/>
      <c r="O2638" s="157"/>
      <c r="P2638" s="159" t="s">
        <v>8116</v>
      </c>
      <c r="Q2638" s="157" t="s">
        <v>2115</v>
      </c>
      <c r="R2638" s="157" t="s">
        <v>9532</v>
      </c>
      <c r="S2638" s="157" t="s">
        <v>8589</v>
      </c>
      <c r="T2638" s="157"/>
      <c r="U2638" s="159" t="s">
        <v>2129</v>
      </c>
      <c r="V2638" s="159" t="s">
        <v>2138</v>
      </c>
      <c r="W2638" s="159" t="s">
        <v>2129</v>
      </c>
      <c r="X2638" s="160">
        <v>1</v>
      </c>
      <c r="Y2638" s="160">
        <v>1</v>
      </c>
      <c r="Z2638" s="160">
        <v>1</v>
      </c>
      <c r="AA2638" s="160">
        <v>1</v>
      </c>
    </row>
    <row r="2639" spans="1:27" ht="18" customHeight="1" x14ac:dyDescent="0.25">
      <c r="A2639" s="159">
        <v>9169</v>
      </c>
      <c r="B2639" s="157" t="s">
        <v>266</v>
      </c>
      <c r="C2639" s="157" t="s">
        <v>294</v>
      </c>
      <c r="D2639" s="159" t="s">
        <v>1177</v>
      </c>
      <c r="E2639" s="157" t="s">
        <v>1175</v>
      </c>
      <c r="F2639" s="157"/>
      <c r="G2639" s="157" t="s">
        <v>1349</v>
      </c>
      <c r="H2639" s="157" t="s">
        <v>1418</v>
      </c>
      <c r="I2639" s="157" t="s">
        <v>8539</v>
      </c>
      <c r="J2639" s="157" t="s">
        <v>8305</v>
      </c>
      <c r="K2639" s="157" t="s">
        <v>1554</v>
      </c>
      <c r="L2639" s="157" t="s">
        <v>2100</v>
      </c>
      <c r="M2639" s="157" t="str">
        <f t="shared" si="56"/>
        <v>Lane Change Assist Radar [Left, Slave] - Lane Change Assist</v>
      </c>
      <c r="N2639" s="157"/>
      <c r="O2639" s="157"/>
      <c r="P2639" s="159" t="s">
        <v>8116</v>
      </c>
      <c r="Q2639" s="157" t="s">
        <v>2115</v>
      </c>
      <c r="R2639" s="157" t="s">
        <v>9532</v>
      </c>
      <c r="S2639" s="157" t="s">
        <v>8589</v>
      </c>
      <c r="T2639" s="157"/>
      <c r="U2639" s="159" t="s">
        <v>2129</v>
      </c>
      <c r="V2639" s="159" t="s">
        <v>2138</v>
      </c>
      <c r="W2639" s="159" t="s">
        <v>2129</v>
      </c>
      <c r="X2639" s="160">
        <v>1</v>
      </c>
      <c r="Y2639" s="160">
        <v>1</v>
      </c>
      <c r="Z2639" s="160">
        <v>1</v>
      </c>
      <c r="AA2639" s="160">
        <v>1</v>
      </c>
    </row>
    <row r="2640" spans="1:27" ht="18" customHeight="1" x14ac:dyDescent="0.25">
      <c r="A2640" s="159">
        <v>9169</v>
      </c>
      <c r="B2640" s="157" t="s">
        <v>266</v>
      </c>
      <c r="C2640" s="157" t="s">
        <v>294</v>
      </c>
      <c r="D2640" s="159" t="s">
        <v>1178</v>
      </c>
      <c r="E2640" s="157" t="s">
        <v>1179</v>
      </c>
      <c r="F2640" s="157"/>
      <c r="G2640" s="157" t="s">
        <v>1349</v>
      </c>
      <c r="H2640" s="157" t="s">
        <v>1418</v>
      </c>
      <c r="I2640" s="157" t="s">
        <v>8539</v>
      </c>
      <c r="J2640" s="157" t="s">
        <v>8305</v>
      </c>
      <c r="K2640" s="157" t="s">
        <v>1554</v>
      </c>
      <c r="L2640" s="157" t="s">
        <v>2100</v>
      </c>
      <c r="M2640" s="157" t="str">
        <f t="shared" si="56"/>
        <v>Lane Change Assist Radar [Left, Slave] - Lane Change Assist</v>
      </c>
      <c r="N2640" s="157"/>
      <c r="O2640" s="157"/>
      <c r="P2640" s="159" t="s">
        <v>8116</v>
      </c>
      <c r="Q2640" s="157" t="s">
        <v>2115</v>
      </c>
      <c r="R2640" s="157" t="s">
        <v>9532</v>
      </c>
      <c r="S2640" s="157" t="s">
        <v>8589</v>
      </c>
      <c r="T2640" s="157"/>
      <c r="U2640" s="159" t="s">
        <v>2129</v>
      </c>
      <c r="V2640" s="159" t="s">
        <v>2138</v>
      </c>
      <c r="W2640" s="159" t="s">
        <v>2129</v>
      </c>
      <c r="X2640" s="160">
        <v>1</v>
      </c>
      <c r="Y2640" s="160">
        <v>1</v>
      </c>
      <c r="Z2640" s="160">
        <v>1</v>
      </c>
      <c r="AA2640" s="160">
        <v>1</v>
      </c>
    </row>
    <row r="2641" spans="1:27" ht="18" customHeight="1" x14ac:dyDescent="0.25">
      <c r="A2641" s="159">
        <v>9169</v>
      </c>
      <c r="B2641" s="157" t="s">
        <v>266</v>
      </c>
      <c r="C2641" s="157" t="s">
        <v>294</v>
      </c>
      <c r="D2641" s="159" t="s">
        <v>1207</v>
      </c>
      <c r="E2641" s="157" t="s">
        <v>1205</v>
      </c>
      <c r="F2641" s="157"/>
      <c r="G2641" s="157" t="s">
        <v>1349</v>
      </c>
      <c r="H2641" s="157" t="s">
        <v>1418</v>
      </c>
      <c r="I2641" s="157" t="s">
        <v>8539</v>
      </c>
      <c r="J2641" s="157" t="s">
        <v>8305</v>
      </c>
      <c r="K2641" s="157" t="s">
        <v>1554</v>
      </c>
      <c r="L2641" s="157" t="s">
        <v>2100</v>
      </c>
      <c r="M2641" s="157" t="str">
        <f t="shared" si="56"/>
        <v>Lane Change Assist Radar [Left, Slave] - Lane Change Assist</v>
      </c>
      <c r="N2641" s="157"/>
      <c r="O2641" s="157"/>
      <c r="P2641" s="159" t="s">
        <v>8116</v>
      </c>
      <c r="Q2641" s="157" t="s">
        <v>2115</v>
      </c>
      <c r="R2641" s="157" t="s">
        <v>9532</v>
      </c>
      <c r="S2641" s="157" t="s">
        <v>8589</v>
      </c>
      <c r="T2641" s="157"/>
      <c r="U2641" s="159" t="s">
        <v>2129</v>
      </c>
      <c r="V2641" s="159" t="s">
        <v>2138</v>
      </c>
      <c r="W2641" s="159" t="s">
        <v>2129</v>
      </c>
      <c r="X2641" s="160">
        <v>1</v>
      </c>
      <c r="Y2641" s="160">
        <v>1</v>
      </c>
      <c r="Z2641" s="160">
        <v>1</v>
      </c>
      <c r="AA2641" s="160">
        <v>1</v>
      </c>
    </row>
    <row r="2642" spans="1:27" ht="18" customHeight="1" x14ac:dyDescent="0.25">
      <c r="A2642" s="159">
        <v>9169</v>
      </c>
      <c r="B2642" s="157" t="s">
        <v>266</v>
      </c>
      <c r="C2642" s="157" t="s">
        <v>514</v>
      </c>
      <c r="D2642" s="159" t="s">
        <v>517</v>
      </c>
      <c r="E2642" s="157" t="s">
        <v>515</v>
      </c>
      <c r="F2642" s="157"/>
      <c r="G2642" s="157" t="s">
        <v>1349</v>
      </c>
      <c r="H2642" s="157" t="s">
        <v>1418</v>
      </c>
      <c r="I2642" s="157" t="s">
        <v>8539</v>
      </c>
      <c r="J2642" s="157" t="s">
        <v>8305</v>
      </c>
      <c r="K2642" s="157" t="s">
        <v>1554</v>
      </c>
      <c r="L2642" s="157" t="s">
        <v>2100</v>
      </c>
      <c r="M2642" s="157" t="str">
        <f t="shared" si="56"/>
        <v>Lane Change Assist Radar [Left, Slave] - Lane Change Assist</v>
      </c>
      <c r="N2642" s="157"/>
      <c r="O2642" s="157"/>
      <c r="P2642" s="159" t="s">
        <v>8116</v>
      </c>
      <c r="Q2642" s="157" t="s">
        <v>2115</v>
      </c>
      <c r="R2642" s="157" t="s">
        <v>9532</v>
      </c>
      <c r="S2642" s="157" t="s">
        <v>8589</v>
      </c>
      <c r="T2642" s="157"/>
      <c r="U2642" s="159" t="s">
        <v>2129</v>
      </c>
      <c r="V2642" s="159" t="s">
        <v>2138</v>
      </c>
      <c r="W2642" s="159" t="s">
        <v>2129</v>
      </c>
      <c r="X2642" s="160">
        <v>1</v>
      </c>
      <c r="Y2642" s="160">
        <v>1</v>
      </c>
      <c r="Z2642" s="160">
        <v>1</v>
      </c>
      <c r="AA2642" s="160">
        <v>1</v>
      </c>
    </row>
    <row r="2643" spans="1:27" ht="18" customHeight="1" x14ac:dyDescent="0.25">
      <c r="A2643" s="159">
        <v>9169</v>
      </c>
      <c r="B2643" s="157" t="s">
        <v>266</v>
      </c>
      <c r="C2643" s="157" t="s">
        <v>514</v>
      </c>
      <c r="D2643" s="159" t="s">
        <v>731</v>
      </c>
      <c r="E2643" s="157" t="s">
        <v>795</v>
      </c>
      <c r="F2643" s="157"/>
      <c r="G2643" s="157" t="s">
        <v>1349</v>
      </c>
      <c r="H2643" s="157" t="s">
        <v>1418</v>
      </c>
      <c r="I2643" s="157" t="s">
        <v>8539</v>
      </c>
      <c r="J2643" s="157" t="s">
        <v>8305</v>
      </c>
      <c r="K2643" s="157" t="s">
        <v>1554</v>
      </c>
      <c r="L2643" s="157" t="s">
        <v>2100</v>
      </c>
      <c r="M2643" s="157" t="str">
        <f t="shared" si="56"/>
        <v>Lane Change Assist Radar [Left, Slave] - Lane Change Assist</v>
      </c>
      <c r="N2643" s="157"/>
      <c r="O2643" s="157"/>
      <c r="P2643" s="159" t="s">
        <v>8116</v>
      </c>
      <c r="Q2643" s="157" t="s">
        <v>2115</v>
      </c>
      <c r="R2643" s="157" t="s">
        <v>9532</v>
      </c>
      <c r="S2643" s="157" t="s">
        <v>8589</v>
      </c>
      <c r="T2643" s="157"/>
      <c r="U2643" s="159" t="s">
        <v>2129</v>
      </c>
      <c r="V2643" s="159" t="s">
        <v>2138</v>
      </c>
      <c r="W2643" s="159" t="s">
        <v>2129</v>
      </c>
      <c r="X2643" s="160">
        <v>1</v>
      </c>
      <c r="Y2643" s="160">
        <v>1</v>
      </c>
      <c r="Z2643" s="160">
        <v>1</v>
      </c>
      <c r="AA2643" s="160">
        <v>1</v>
      </c>
    </row>
    <row r="2644" spans="1:27" ht="18" customHeight="1" x14ac:dyDescent="0.25">
      <c r="A2644" s="159">
        <v>9169</v>
      </c>
      <c r="B2644" s="157" t="s">
        <v>266</v>
      </c>
      <c r="C2644" s="157" t="s">
        <v>514</v>
      </c>
      <c r="D2644" s="159" t="s">
        <v>1170</v>
      </c>
      <c r="E2644" s="157" t="s">
        <v>1168</v>
      </c>
      <c r="F2644" s="157"/>
      <c r="G2644" s="157" t="s">
        <v>1349</v>
      </c>
      <c r="H2644" s="157" t="s">
        <v>1418</v>
      </c>
      <c r="I2644" s="157" t="s">
        <v>8539</v>
      </c>
      <c r="J2644" s="157" t="s">
        <v>8305</v>
      </c>
      <c r="K2644" s="157" t="s">
        <v>1554</v>
      </c>
      <c r="L2644" s="157" t="s">
        <v>2100</v>
      </c>
      <c r="M2644" s="157" t="str">
        <f t="shared" si="56"/>
        <v>Lane Change Assist Radar [Left, Slave] - Lane Change Assist</v>
      </c>
      <c r="N2644" s="157"/>
      <c r="O2644" s="157"/>
      <c r="P2644" s="159" t="s">
        <v>8116</v>
      </c>
      <c r="Q2644" s="157" t="s">
        <v>2115</v>
      </c>
      <c r="R2644" s="157" t="s">
        <v>9532</v>
      </c>
      <c r="S2644" s="157" t="s">
        <v>8589</v>
      </c>
      <c r="T2644" s="157"/>
      <c r="U2644" s="159" t="s">
        <v>2129</v>
      </c>
      <c r="V2644" s="159" t="s">
        <v>2138</v>
      </c>
      <c r="W2644" s="159" t="s">
        <v>2129</v>
      </c>
      <c r="X2644" s="160">
        <v>1</v>
      </c>
      <c r="Y2644" s="160">
        <v>1</v>
      </c>
      <c r="Z2644" s="160">
        <v>1</v>
      </c>
      <c r="AA2644" s="160">
        <v>1</v>
      </c>
    </row>
    <row r="2645" spans="1:27" ht="18" customHeight="1" x14ac:dyDescent="0.25">
      <c r="A2645" s="159">
        <v>9169</v>
      </c>
      <c r="B2645" s="157" t="s">
        <v>266</v>
      </c>
      <c r="C2645" s="157" t="s">
        <v>514</v>
      </c>
      <c r="D2645" s="159" t="s">
        <v>1171</v>
      </c>
      <c r="E2645" s="157" t="s">
        <v>1223</v>
      </c>
      <c r="F2645" s="157"/>
      <c r="G2645" s="157" t="s">
        <v>1349</v>
      </c>
      <c r="H2645" s="157" t="s">
        <v>1418</v>
      </c>
      <c r="I2645" s="157" t="s">
        <v>8539</v>
      </c>
      <c r="J2645" s="157" t="s">
        <v>8305</v>
      </c>
      <c r="K2645" s="157" t="s">
        <v>1554</v>
      </c>
      <c r="L2645" s="157" t="s">
        <v>2100</v>
      </c>
      <c r="M2645" s="157" t="str">
        <f t="shared" si="56"/>
        <v>Lane Change Assist Radar [Left, Slave] - Lane Change Assist</v>
      </c>
      <c r="N2645" s="157"/>
      <c r="O2645" s="157"/>
      <c r="P2645" s="159" t="s">
        <v>8116</v>
      </c>
      <c r="Q2645" s="157" t="s">
        <v>2115</v>
      </c>
      <c r="R2645" s="157" t="s">
        <v>9532</v>
      </c>
      <c r="S2645" s="157" t="s">
        <v>8589</v>
      </c>
      <c r="T2645" s="157"/>
      <c r="U2645" s="159" t="s">
        <v>2129</v>
      </c>
      <c r="V2645" s="159" t="s">
        <v>2138</v>
      </c>
      <c r="W2645" s="159" t="s">
        <v>2129</v>
      </c>
      <c r="X2645" s="160">
        <v>1</v>
      </c>
      <c r="Y2645" s="160">
        <v>1</v>
      </c>
      <c r="Z2645" s="160">
        <v>1</v>
      </c>
      <c r="AA2645" s="160">
        <v>1</v>
      </c>
    </row>
    <row r="2646" spans="1:27" ht="18" customHeight="1" x14ac:dyDescent="0.25">
      <c r="A2646" s="159">
        <v>9169</v>
      </c>
      <c r="B2646" s="157" t="s">
        <v>266</v>
      </c>
      <c r="C2646" s="157" t="s">
        <v>519</v>
      </c>
      <c r="D2646" s="159" t="s">
        <v>522</v>
      </c>
      <c r="E2646" s="157" t="s">
        <v>520</v>
      </c>
      <c r="F2646" s="157"/>
      <c r="G2646" s="157" t="s">
        <v>1349</v>
      </c>
      <c r="H2646" s="157" t="s">
        <v>1418</v>
      </c>
      <c r="I2646" s="157" t="s">
        <v>8539</v>
      </c>
      <c r="J2646" s="157" t="s">
        <v>8305</v>
      </c>
      <c r="K2646" s="157" t="s">
        <v>1554</v>
      </c>
      <c r="L2646" s="157" t="s">
        <v>2100</v>
      </c>
      <c r="M2646" s="157" t="str">
        <f t="shared" si="56"/>
        <v>Lane Change Assist Radar [Left, Slave] - Lane Change Assist</v>
      </c>
      <c r="N2646" s="157"/>
      <c r="O2646" s="157"/>
      <c r="P2646" s="159" t="s">
        <v>8116</v>
      </c>
      <c r="Q2646" s="157" t="s">
        <v>2115</v>
      </c>
      <c r="R2646" s="157" t="s">
        <v>9532</v>
      </c>
      <c r="S2646" s="157" t="s">
        <v>8589</v>
      </c>
      <c r="T2646" s="157"/>
      <c r="U2646" s="159" t="s">
        <v>2129</v>
      </c>
      <c r="V2646" s="159" t="s">
        <v>2138</v>
      </c>
      <c r="W2646" s="159" t="s">
        <v>2129</v>
      </c>
      <c r="X2646" s="160">
        <v>1</v>
      </c>
      <c r="Y2646" s="160">
        <v>1</v>
      </c>
      <c r="Z2646" s="160">
        <v>1</v>
      </c>
      <c r="AA2646" s="160">
        <v>1</v>
      </c>
    </row>
    <row r="2647" spans="1:27" ht="18" customHeight="1" x14ac:dyDescent="0.25">
      <c r="A2647" s="159">
        <v>9177</v>
      </c>
      <c r="B2647" s="157" t="s">
        <v>256</v>
      </c>
      <c r="C2647" s="157" t="s">
        <v>532</v>
      </c>
      <c r="D2647" s="159" t="s">
        <v>561</v>
      </c>
      <c r="E2647" s="157" t="s">
        <v>559</v>
      </c>
      <c r="F2647" s="157" t="s">
        <v>1275</v>
      </c>
      <c r="G2647" s="157" t="s">
        <v>1299</v>
      </c>
      <c r="H2647" s="157" t="s">
        <v>1326</v>
      </c>
      <c r="I2647" s="157" t="s">
        <v>2088</v>
      </c>
      <c r="J2647" s="157" t="s">
        <v>1981</v>
      </c>
      <c r="K2647" s="157" t="s">
        <v>1269</v>
      </c>
      <c r="L2647" s="157" t="s">
        <v>8545</v>
      </c>
      <c r="M2647" s="157" t="str">
        <f t="shared" si="56"/>
        <v>Electric Brake Booster - Brake Actuator</v>
      </c>
      <c r="N2647" s="157"/>
      <c r="O2647" s="157"/>
      <c r="P2647" s="159" t="s">
        <v>3070</v>
      </c>
      <c r="Q2647" s="157"/>
      <c r="R2647" s="157"/>
      <c r="S2647" s="157"/>
      <c r="T2647" s="157"/>
      <c r="U2647" s="159" t="s">
        <v>2129</v>
      </c>
      <c r="V2647" s="159" t="s">
        <v>2129</v>
      </c>
      <c r="W2647" s="159" t="s">
        <v>2138</v>
      </c>
      <c r="X2647" s="160">
        <v>0.1</v>
      </c>
      <c r="Y2647" s="160">
        <v>0.3</v>
      </c>
      <c r="Z2647" s="160">
        <v>0.3</v>
      </c>
      <c r="AA2647" s="160">
        <v>0.5</v>
      </c>
    </row>
    <row r="2648" spans="1:27" ht="18" customHeight="1" x14ac:dyDescent="0.25">
      <c r="A2648" s="159">
        <v>9178</v>
      </c>
      <c r="B2648" s="157" t="s">
        <v>29</v>
      </c>
      <c r="C2648" s="157" t="s">
        <v>1082</v>
      </c>
      <c r="D2648" s="159" t="s">
        <v>1085</v>
      </c>
      <c r="E2648" s="157" t="s">
        <v>1083</v>
      </c>
      <c r="F2648" s="157"/>
      <c r="G2648" s="157" t="s">
        <v>1536</v>
      </c>
      <c r="H2648" s="157" t="s">
        <v>1958</v>
      </c>
      <c r="I2648" s="157" t="s">
        <v>1959</v>
      </c>
      <c r="J2648" s="157" t="s">
        <v>1640</v>
      </c>
      <c r="K2648" s="157" t="s">
        <v>1312</v>
      </c>
      <c r="L2648" s="157" t="s">
        <v>2072</v>
      </c>
      <c r="M2648" s="157" t="str">
        <f t="shared" si="56"/>
        <v>Spolier Position - Front Spoiler Adjustment</v>
      </c>
      <c r="N2648" s="157"/>
      <c r="O2648" s="157"/>
      <c r="P2648" s="159" t="s">
        <v>3451</v>
      </c>
      <c r="Q2648" s="157" t="s">
        <v>2115</v>
      </c>
      <c r="R2648" s="157" t="s">
        <v>8573</v>
      </c>
      <c r="S2648" s="157" t="s">
        <v>8646</v>
      </c>
      <c r="T2648" s="157"/>
      <c r="U2648" s="159" t="s">
        <v>2129</v>
      </c>
      <c r="V2648" s="159" t="s">
        <v>2129</v>
      </c>
      <c r="W2648" s="159" t="s">
        <v>2138</v>
      </c>
      <c r="X2648" s="160">
        <v>0</v>
      </c>
      <c r="Y2648" s="160">
        <v>1</v>
      </c>
      <c r="Z2648" s="160">
        <v>0</v>
      </c>
      <c r="AA2648" s="160">
        <v>1</v>
      </c>
    </row>
    <row r="2649" spans="1:27" ht="18" customHeight="1" x14ac:dyDescent="0.25">
      <c r="A2649" s="159">
        <v>9181</v>
      </c>
      <c r="B2649" s="157" t="s">
        <v>266</v>
      </c>
      <c r="C2649" s="157" t="s">
        <v>294</v>
      </c>
      <c r="D2649" s="159" t="s">
        <v>503</v>
      </c>
      <c r="E2649" s="157" t="s">
        <v>501</v>
      </c>
      <c r="F2649" s="157"/>
      <c r="G2649" s="157" t="s">
        <v>1349</v>
      </c>
      <c r="H2649" s="157" t="s">
        <v>1350</v>
      </c>
      <c r="I2649" s="157" t="s">
        <v>1982</v>
      </c>
      <c r="J2649" s="157"/>
      <c r="K2649" s="157" t="s">
        <v>1409</v>
      </c>
      <c r="L2649" s="157" t="s">
        <v>8554</v>
      </c>
      <c r="M2649" s="157" t="str">
        <f t="shared" si="56"/>
        <v>RC Parking Antenna - Radio-Controlled Parking</v>
      </c>
      <c r="N2649" s="157"/>
      <c r="O2649" s="157"/>
      <c r="P2649" s="159" t="s">
        <v>5789</v>
      </c>
      <c r="Q2649" s="157" t="s">
        <v>2115</v>
      </c>
      <c r="R2649" s="157" t="s">
        <v>8239</v>
      </c>
      <c r="S2649" s="157" t="s">
        <v>8604</v>
      </c>
      <c r="T2649" s="157"/>
      <c r="U2649" s="159" t="s">
        <v>2138</v>
      </c>
      <c r="V2649" s="159" t="s">
        <v>2138</v>
      </c>
      <c r="W2649" s="159" t="s">
        <v>2138</v>
      </c>
      <c r="X2649" s="160">
        <v>1</v>
      </c>
      <c r="Y2649" s="160">
        <v>1</v>
      </c>
      <c r="Z2649" s="160">
        <v>1</v>
      </c>
      <c r="AA2649" s="160">
        <v>1</v>
      </c>
    </row>
    <row r="2650" spans="1:27" ht="18" customHeight="1" x14ac:dyDescent="0.25">
      <c r="A2650" s="159">
        <v>9182</v>
      </c>
      <c r="B2650" s="157" t="s">
        <v>77</v>
      </c>
      <c r="C2650" s="157" t="s">
        <v>345</v>
      </c>
      <c r="D2650" s="159" t="s">
        <v>348</v>
      </c>
      <c r="E2650" s="157" t="s">
        <v>346</v>
      </c>
      <c r="F2650" s="157" t="s">
        <v>1264</v>
      </c>
      <c r="G2650" s="157" t="s">
        <v>1278</v>
      </c>
      <c r="H2650" s="157" t="s">
        <v>1704</v>
      </c>
      <c r="I2650" s="157" t="s">
        <v>1780</v>
      </c>
      <c r="J2650" s="157"/>
      <c r="K2650" s="157" t="s">
        <v>1274</v>
      </c>
      <c r="L2650" s="157" t="s">
        <v>1983</v>
      </c>
      <c r="M2650" s="157" t="str">
        <f t="shared" si="56"/>
        <v>Control unit for garage door opening - Command</v>
      </c>
      <c r="N2650" s="157"/>
      <c r="O2650" s="157"/>
      <c r="P2650" s="159"/>
      <c r="Q2650" s="157"/>
      <c r="R2650" s="157"/>
      <c r="S2650" s="157"/>
      <c r="T2650" s="157"/>
      <c r="U2650" s="159"/>
      <c r="V2650" s="159"/>
      <c r="W2650" s="159"/>
      <c r="X2650" s="160"/>
      <c r="Y2650" s="160"/>
      <c r="Z2650" s="160"/>
      <c r="AA2650" s="160"/>
    </row>
    <row r="2651" spans="1:27" ht="18" customHeight="1" x14ac:dyDescent="0.25">
      <c r="A2651" s="159">
        <v>9183</v>
      </c>
      <c r="B2651" s="157" t="s">
        <v>256</v>
      </c>
      <c r="C2651" s="157" t="s">
        <v>543</v>
      </c>
      <c r="D2651" s="159" t="s">
        <v>546</v>
      </c>
      <c r="E2651" s="157" t="s">
        <v>544</v>
      </c>
      <c r="F2651" s="157" t="s">
        <v>1298</v>
      </c>
      <c r="G2651" s="157" t="s">
        <v>1299</v>
      </c>
      <c r="H2651" s="157" t="s">
        <v>1465</v>
      </c>
      <c r="I2651" s="157" t="s">
        <v>1977</v>
      </c>
      <c r="J2651" s="157" t="s">
        <v>1640</v>
      </c>
      <c r="K2651" s="157" t="s">
        <v>1269</v>
      </c>
      <c r="L2651" s="157" t="s">
        <v>8504</v>
      </c>
      <c r="M2651" s="157" t="str">
        <f t="shared" si="56"/>
        <v>Rear Axle Steering Motor Left - Rear Axle Steering</v>
      </c>
      <c r="N2651" s="157"/>
      <c r="O2651" s="157"/>
      <c r="P2651" s="159" t="s">
        <v>7484</v>
      </c>
      <c r="Q2651" s="157" t="s">
        <v>2115</v>
      </c>
      <c r="R2651" s="157" t="s">
        <v>8457</v>
      </c>
      <c r="S2651" s="157" t="s">
        <v>9790</v>
      </c>
      <c r="T2651" s="157"/>
      <c r="U2651" s="159" t="s">
        <v>2129</v>
      </c>
      <c r="V2651" s="159" t="s">
        <v>2129</v>
      </c>
      <c r="W2651" s="159" t="s">
        <v>2138</v>
      </c>
      <c r="X2651" s="160">
        <v>0.02</v>
      </c>
      <c r="Y2651" s="160">
        <v>0.01</v>
      </c>
      <c r="Z2651" s="160">
        <v>0.02</v>
      </c>
      <c r="AA2651" s="160">
        <v>0.01</v>
      </c>
    </row>
    <row r="2652" spans="1:27" ht="18" customHeight="1" x14ac:dyDescent="0.25">
      <c r="A2652" s="159">
        <v>9185</v>
      </c>
      <c r="B2652" s="157" t="s">
        <v>29</v>
      </c>
      <c r="C2652" s="157" t="s">
        <v>113</v>
      </c>
      <c r="D2652" s="159" t="s">
        <v>932</v>
      </c>
      <c r="E2652" s="157" t="s">
        <v>930</v>
      </c>
      <c r="F2652" s="157"/>
      <c r="G2652" s="157" t="s">
        <v>1349</v>
      </c>
      <c r="H2652" s="157" t="s">
        <v>1418</v>
      </c>
      <c r="I2652" s="157" t="s">
        <v>540</v>
      </c>
      <c r="J2652" s="157" t="s">
        <v>8298</v>
      </c>
      <c r="K2652" s="157" t="s">
        <v>1352</v>
      </c>
      <c r="L2652" s="157" t="s">
        <v>2074</v>
      </c>
      <c r="M2652" s="157" t="str">
        <f t="shared" si="56"/>
        <v>Camera for night vision system - Night Vision</v>
      </c>
      <c r="N2652" s="157"/>
      <c r="O2652" s="157"/>
      <c r="P2652" s="159" t="s">
        <v>5747</v>
      </c>
      <c r="Q2652" s="157" t="s">
        <v>2115</v>
      </c>
      <c r="R2652" s="157" t="s">
        <v>8600</v>
      </c>
      <c r="S2652" s="157" t="s">
        <v>8613</v>
      </c>
      <c r="T2652" s="157" t="s">
        <v>2134</v>
      </c>
      <c r="U2652" s="159" t="s">
        <v>2129</v>
      </c>
      <c r="V2652" s="159" t="s">
        <v>2129</v>
      </c>
      <c r="W2652" s="159" t="s">
        <v>2138</v>
      </c>
      <c r="X2652" s="160">
        <v>1</v>
      </c>
      <c r="Y2652" s="160">
        <v>1</v>
      </c>
      <c r="Z2652" s="160">
        <v>1</v>
      </c>
      <c r="AA2652" s="160">
        <v>1</v>
      </c>
    </row>
    <row r="2653" spans="1:27" ht="18" customHeight="1" x14ac:dyDescent="0.25">
      <c r="A2653" s="159">
        <v>9185</v>
      </c>
      <c r="B2653" s="157" t="s">
        <v>266</v>
      </c>
      <c r="C2653" s="157" t="s">
        <v>286</v>
      </c>
      <c r="D2653" s="159" t="s">
        <v>289</v>
      </c>
      <c r="E2653" s="157" t="s">
        <v>287</v>
      </c>
      <c r="F2653" s="157"/>
      <c r="G2653" s="157" t="s">
        <v>1349</v>
      </c>
      <c r="H2653" s="157" t="s">
        <v>1418</v>
      </c>
      <c r="I2653" s="157" t="s">
        <v>540</v>
      </c>
      <c r="J2653" s="157" t="s">
        <v>8298</v>
      </c>
      <c r="K2653" s="157" t="s">
        <v>1352</v>
      </c>
      <c r="L2653" s="157" t="s">
        <v>2074</v>
      </c>
      <c r="M2653" s="157" t="str">
        <f t="shared" si="56"/>
        <v>Camera for night vision system - Night Vision</v>
      </c>
      <c r="N2653" s="157"/>
      <c r="O2653" s="157"/>
      <c r="P2653" s="159" t="s">
        <v>5747</v>
      </c>
      <c r="Q2653" s="157" t="s">
        <v>2115</v>
      </c>
      <c r="R2653" s="157" t="s">
        <v>8600</v>
      </c>
      <c r="S2653" s="157" t="s">
        <v>8613</v>
      </c>
      <c r="T2653" s="157" t="s">
        <v>2134</v>
      </c>
      <c r="U2653" s="159" t="s">
        <v>2129</v>
      </c>
      <c r="V2653" s="159" t="s">
        <v>2129</v>
      </c>
      <c r="W2653" s="159" t="s">
        <v>2138</v>
      </c>
      <c r="X2653" s="160">
        <v>1</v>
      </c>
      <c r="Y2653" s="160">
        <v>1</v>
      </c>
      <c r="Z2653" s="160">
        <v>1</v>
      </c>
      <c r="AA2653" s="160">
        <v>1</v>
      </c>
    </row>
    <row r="2654" spans="1:27" ht="18" customHeight="1" x14ac:dyDescent="0.25">
      <c r="A2654" s="159">
        <v>9185</v>
      </c>
      <c r="B2654" s="157" t="s">
        <v>266</v>
      </c>
      <c r="C2654" s="157" t="s">
        <v>276</v>
      </c>
      <c r="D2654" s="159" t="s">
        <v>317</v>
      </c>
      <c r="E2654" s="157" t="s">
        <v>315</v>
      </c>
      <c r="F2654" s="157"/>
      <c r="G2654" s="157" t="s">
        <v>1349</v>
      </c>
      <c r="H2654" s="157" t="s">
        <v>1418</v>
      </c>
      <c r="I2654" s="157" t="s">
        <v>540</v>
      </c>
      <c r="J2654" s="157" t="s">
        <v>8298</v>
      </c>
      <c r="K2654" s="157" t="s">
        <v>1352</v>
      </c>
      <c r="L2654" s="157" t="s">
        <v>2074</v>
      </c>
      <c r="M2654" s="157" t="str">
        <f t="shared" si="56"/>
        <v>Camera for night vision system - Night Vision</v>
      </c>
      <c r="N2654" s="157"/>
      <c r="O2654" s="157"/>
      <c r="P2654" s="159" t="s">
        <v>5747</v>
      </c>
      <c r="Q2654" s="157" t="s">
        <v>2115</v>
      </c>
      <c r="R2654" s="157" t="s">
        <v>8600</v>
      </c>
      <c r="S2654" s="157" t="s">
        <v>8613</v>
      </c>
      <c r="T2654" s="157" t="s">
        <v>2134</v>
      </c>
      <c r="U2654" s="159" t="s">
        <v>2129</v>
      </c>
      <c r="V2654" s="159" t="s">
        <v>2129</v>
      </c>
      <c r="W2654" s="159" t="s">
        <v>2138</v>
      </c>
      <c r="X2654" s="160">
        <v>1</v>
      </c>
      <c r="Y2654" s="160">
        <v>1</v>
      </c>
      <c r="Z2654" s="160">
        <v>1</v>
      </c>
      <c r="AA2654" s="160">
        <v>1</v>
      </c>
    </row>
    <row r="2655" spans="1:27" ht="18" customHeight="1" x14ac:dyDescent="0.25">
      <c r="A2655" s="159">
        <v>9185</v>
      </c>
      <c r="B2655" s="157" t="s">
        <v>266</v>
      </c>
      <c r="C2655" s="157" t="s">
        <v>276</v>
      </c>
      <c r="D2655" s="159" t="s">
        <v>542</v>
      </c>
      <c r="E2655" s="157" t="s">
        <v>540</v>
      </c>
      <c r="F2655" s="157"/>
      <c r="G2655" s="157" t="s">
        <v>1349</v>
      </c>
      <c r="H2655" s="157" t="s">
        <v>1418</v>
      </c>
      <c r="I2655" s="157" t="s">
        <v>540</v>
      </c>
      <c r="J2655" s="157" t="s">
        <v>8298</v>
      </c>
      <c r="K2655" s="157" t="s">
        <v>1352</v>
      </c>
      <c r="L2655" s="157" t="s">
        <v>2074</v>
      </c>
      <c r="M2655" s="157" t="str">
        <f t="shared" si="56"/>
        <v>Camera for night vision system - Night Vision</v>
      </c>
      <c r="N2655" s="157"/>
      <c r="O2655" s="157"/>
      <c r="P2655" s="159" t="s">
        <v>5747</v>
      </c>
      <c r="Q2655" s="157" t="s">
        <v>2115</v>
      </c>
      <c r="R2655" s="157" t="s">
        <v>8600</v>
      </c>
      <c r="S2655" s="157" t="s">
        <v>8613</v>
      </c>
      <c r="T2655" s="157" t="s">
        <v>2134</v>
      </c>
      <c r="U2655" s="159" t="s">
        <v>2129</v>
      </c>
      <c r="V2655" s="159" t="s">
        <v>2129</v>
      </c>
      <c r="W2655" s="159" t="s">
        <v>2138</v>
      </c>
      <c r="X2655" s="160">
        <v>1</v>
      </c>
      <c r="Y2655" s="160">
        <v>1</v>
      </c>
      <c r="Z2655" s="160">
        <v>1</v>
      </c>
      <c r="AA2655" s="160">
        <v>1</v>
      </c>
    </row>
    <row r="2656" spans="1:27" ht="18" customHeight="1" x14ac:dyDescent="0.25">
      <c r="A2656" s="159">
        <v>9185</v>
      </c>
      <c r="B2656" s="157" t="s">
        <v>266</v>
      </c>
      <c r="C2656" s="157" t="s">
        <v>276</v>
      </c>
      <c r="D2656" s="159" t="s">
        <v>726</v>
      </c>
      <c r="E2656" s="157" t="s">
        <v>724</v>
      </c>
      <c r="F2656" s="157"/>
      <c r="G2656" s="157" t="s">
        <v>1349</v>
      </c>
      <c r="H2656" s="157" t="s">
        <v>1418</v>
      </c>
      <c r="I2656" s="157" t="s">
        <v>540</v>
      </c>
      <c r="J2656" s="157" t="s">
        <v>8298</v>
      </c>
      <c r="K2656" s="157" t="s">
        <v>1352</v>
      </c>
      <c r="L2656" s="157" t="s">
        <v>2074</v>
      </c>
      <c r="M2656" s="157" t="str">
        <f t="shared" si="56"/>
        <v>Camera for night vision system - Night Vision</v>
      </c>
      <c r="N2656" s="157"/>
      <c r="O2656" s="157"/>
      <c r="P2656" s="159" t="s">
        <v>5747</v>
      </c>
      <c r="Q2656" s="157" t="s">
        <v>2115</v>
      </c>
      <c r="R2656" s="157" t="s">
        <v>8600</v>
      </c>
      <c r="S2656" s="157" t="s">
        <v>8613</v>
      </c>
      <c r="T2656" s="157" t="s">
        <v>2134</v>
      </c>
      <c r="U2656" s="159" t="s">
        <v>2129</v>
      </c>
      <c r="V2656" s="159" t="s">
        <v>2129</v>
      </c>
      <c r="W2656" s="159" t="s">
        <v>2138</v>
      </c>
      <c r="X2656" s="160">
        <v>1</v>
      </c>
      <c r="Y2656" s="160">
        <v>1</v>
      </c>
      <c r="Z2656" s="160">
        <v>1</v>
      </c>
      <c r="AA2656" s="160">
        <v>1</v>
      </c>
    </row>
    <row r="2657" spans="1:27" ht="18" customHeight="1" x14ac:dyDescent="0.25">
      <c r="A2657" s="159">
        <v>9185</v>
      </c>
      <c r="B2657" s="157" t="s">
        <v>266</v>
      </c>
      <c r="C2657" s="157" t="s">
        <v>276</v>
      </c>
      <c r="D2657" s="159" t="s">
        <v>734</v>
      </c>
      <c r="E2657" s="157" t="s">
        <v>732</v>
      </c>
      <c r="F2657" s="157"/>
      <c r="G2657" s="157" t="s">
        <v>1349</v>
      </c>
      <c r="H2657" s="157" t="s">
        <v>1418</v>
      </c>
      <c r="I2657" s="157" t="s">
        <v>540</v>
      </c>
      <c r="J2657" s="157" t="s">
        <v>8298</v>
      </c>
      <c r="K2657" s="157" t="s">
        <v>1352</v>
      </c>
      <c r="L2657" s="157" t="s">
        <v>2074</v>
      </c>
      <c r="M2657" s="157" t="str">
        <f t="shared" si="56"/>
        <v>Camera for night vision system - Night Vision</v>
      </c>
      <c r="N2657" s="157"/>
      <c r="O2657" s="157"/>
      <c r="P2657" s="159" t="s">
        <v>5747</v>
      </c>
      <c r="Q2657" s="157" t="s">
        <v>2115</v>
      </c>
      <c r="R2657" s="157" t="s">
        <v>8600</v>
      </c>
      <c r="S2657" s="157" t="s">
        <v>8613</v>
      </c>
      <c r="T2657" s="157" t="s">
        <v>2134</v>
      </c>
      <c r="U2657" s="159" t="s">
        <v>2129</v>
      </c>
      <c r="V2657" s="159" t="s">
        <v>2129</v>
      </c>
      <c r="W2657" s="159" t="s">
        <v>2138</v>
      </c>
      <c r="X2657" s="160">
        <v>1</v>
      </c>
      <c r="Y2657" s="160">
        <v>1</v>
      </c>
      <c r="Z2657" s="160">
        <v>1</v>
      </c>
      <c r="AA2657" s="160">
        <v>1</v>
      </c>
    </row>
    <row r="2658" spans="1:27" ht="18" customHeight="1" x14ac:dyDescent="0.25">
      <c r="A2658" s="159">
        <v>9185</v>
      </c>
      <c r="B2658" s="157" t="s">
        <v>266</v>
      </c>
      <c r="C2658" s="157" t="s">
        <v>514</v>
      </c>
      <c r="D2658" s="159" t="s">
        <v>517</v>
      </c>
      <c r="E2658" s="157" t="s">
        <v>515</v>
      </c>
      <c r="F2658" s="157"/>
      <c r="G2658" s="157" t="s">
        <v>1349</v>
      </c>
      <c r="H2658" s="157" t="s">
        <v>1418</v>
      </c>
      <c r="I2658" s="157" t="s">
        <v>540</v>
      </c>
      <c r="J2658" s="157" t="s">
        <v>8298</v>
      </c>
      <c r="K2658" s="157" t="s">
        <v>1352</v>
      </c>
      <c r="L2658" s="157" t="s">
        <v>2074</v>
      </c>
      <c r="M2658" s="157" t="str">
        <f t="shared" si="56"/>
        <v>Camera for night vision system - Night Vision</v>
      </c>
      <c r="N2658" s="157"/>
      <c r="O2658" s="157"/>
      <c r="P2658" s="159" t="s">
        <v>5747</v>
      </c>
      <c r="Q2658" s="157" t="s">
        <v>2115</v>
      </c>
      <c r="R2658" s="157" t="s">
        <v>8600</v>
      </c>
      <c r="S2658" s="157" t="s">
        <v>8613</v>
      </c>
      <c r="T2658" s="157" t="s">
        <v>2134</v>
      </c>
      <c r="U2658" s="159" t="s">
        <v>2129</v>
      </c>
      <c r="V2658" s="159" t="s">
        <v>2129</v>
      </c>
      <c r="W2658" s="159" t="s">
        <v>2138</v>
      </c>
      <c r="X2658" s="160">
        <v>1</v>
      </c>
      <c r="Y2658" s="160">
        <v>1</v>
      </c>
      <c r="Z2658" s="160">
        <v>1</v>
      </c>
      <c r="AA2658" s="160">
        <v>1</v>
      </c>
    </row>
    <row r="2659" spans="1:27" ht="18" customHeight="1" x14ac:dyDescent="0.25">
      <c r="A2659" s="159">
        <v>9185</v>
      </c>
      <c r="B2659" s="157" t="s">
        <v>266</v>
      </c>
      <c r="C2659" s="157" t="s">
        <v>514</v>
      </c>
      <c r="D2659" s="159" t="s">
        <v>730</v>
      </c>
      <c r="E2659" s="157" t="s">
        <v>728</v>
      </c>
      <c r="F2659" s="157"/>
      <c r="G2659" s="157" t="s">
        <v>1349</v>
      </c>
      <c r="H2659" s="157" t="s">
        <v>1418</v>
      </c>
      <c r="I2659" s="157" t="s">
        <v>540</v>
      </c>
      <c r="J2659" s="157" t="s">
        <v>8298</v>
      </c>
      <c r="K2659" s="157" t="s">
        <v>1352</v>
      </c>
      <c r="L2659" s="157" t="s">
        <v>2074</v>
      </c>
      <c r="M2659" s="157" t="str">
        <f t="shared" si="56"/>
        <v>Camera for night vision system - Night Vision</v>
      </c>
      <c r="N2659" s="157"/>
      <c r="O2659" s="157"/>
      <c r="P2659" s="159" t="s">
        <v>5747</v>
      </c>
      <c r="Q2659" s="157" t="s">
        <v>2115</v>
      </c>
      <c r="R2659" s="157" t="s">
        <v>8600</v>
      </c>
      <c r="S2659" s="157" t="s">
        <v>8613</v>
      </c>
      <c r="T2659" s="157" t="s">
        <v>2134</v>
      </c>
      <c r="U2659" s="159" t="s">
        <v>2129</v>
      </c>
      <c r="V2659" s="159" t="s">
        <v>2129</v>
      </c>
      <c r="W2659" s="159" t="s">
        <v>2138</v>
      </c>
      <c r="X2659" s="160">
        <v>1</v>
      </c>
      <c r="Y2659" s="160">
        <v>1</v>
      </c>
      <c r="Z2659" s="160">
        <v>1</v>
      </c>
      <c r="AA2659" s="160">
        <v>1</v>
      </c>
    </row>
    <row r="2660" spans="1:27" ht="18" customHeight="1" x14ac:dyDescent="0.25">
      <c r="A2660" s="159">
        <v>9185</v>
      </c>
      <c r="B2660" s="157" t="s">
        <v>266</v>
      </c>
      <c r="C2660" s="157" t="s">
        <v>514</v>
      </c>
      <c r="D2660" s="159" t="s">
        <v>793</v>
      </c>
      <c r="E2660" s="157" t="s">
        <v>791</v>
      </c>
      <c r="F2660" s="157"/>
      <c r="G2660" s="157" t="s">
        <v>1349</v>
      </c>
      <c r="H2660" s="157" t="s">
        <v>1418</v>
      </c>
      <c r="I2660" s="157" t="s">
        <v>540</v>
      </c>
      <c r="J2660" s="157" t="s">
        <v>8298</v>
      </c>
      <c r="K2660" s="157" t="s">
        <v>1352</v>
      </c>
      <c r="L2660" s="157" t="s">
        <v>2074</v>
      </c>
      <c r="M2660" s="157" t="str">
        <f t="shared" si="56"/>
        <v>Camera for night vision system - Night Vision</v>
      </c>
      <c r="N2660" s="157"/>
      <c r="O2660" s="157"/>
      <c r="P2660" s="159" t="s">
        <v>5747</v>
      </c>
      <c r="Q2660" s="157" t="s">
        <v>2115</v>
      </c>
      <c r="R2660" s="157" t="s">
        <v>8600</v>
      </c>
      <c r="S2660" s="157" t="s">
        <v>8613</v>
      </c>
      <c r="T2660" s="157" t="s">
        <v>2134</v>
      </c>
      <c r="U2660" s="159" t="s">
        <v>2129</v>
      </c>
      <c r="V2660" s="159" t="s">
        <v>2129</v>
      </c>
      <c r="W2660" s="159" t="s">
        <v>2138</v>
      </c>
      <c r="X2660" s="160">
        <v>1</v>
      </c>
      <c r="Y2660" s="160">
        <v>1</v>
      </c>
      <c r="Z2660" s="160">
        <v>1</v>
      </c>
      <c r="AA2660" s="160">
        <v>1</v>
      </c>
    </row>
    <row r="2661" spans="1:27" ht="18" customHeight="1" x14ac:dyDescent="0.25">
      <c r="A2661" s="159">
        <v>9185</v>
      </c>
      <c r="B2661" s="157" t="s">
        <v>266</v>
      </c>
      <c r="C2661" s="157" t="s">
        <v>514</v>
      </c>
      <c r="D2661" s="159" t="s">
        <v>731</v>
      </c>
      <c r="E2661" s="157" t="s">
        <v>795</v>
      </c>
      <c r="F2661" s="157"/>
      <c r="G2661" s="157" t="s">
        <v>1349</v>
      </c>
      <c r="H2661" s="157" t="s">
        <v>1418</v>
      </c>
      <c r="I2661" s="157" t="s">
        <v>540</v>
      </c>
      <c r="J2661" s="157" t="s">
        <v>8298</v>
      </c>
      <c r="K2661" s="157" t="s">
        <v>1352</v>
      </c>
      <c r="L2661" s="157" t="s">
        <v>2074</v>
      </c>
      <c r="M2661" s="157" t="str">
        <f t="shared" si="56"/>
        <v>Camera for night vision system - Night Vision</v>
      </c>
      <c r="N2661" s="157"/>
      <c r="O2661" s="157"/>
      <c r="P2661" s="159" t="s">
        <v>5747</v>
      </c>
      <c r="Q2661" s="157" t="s">
        <v>2115</v>
      </c>
      <c r="R2661" s="157" t="s">
        <v>8600</v>
      </c>
      <c r="S2661" s="157" t="s">
        <v>8613</v>
      </c>
      <c r="T2661" s="157" t="s">
        <v>2134</v>
      </c>
      <c r="U2661" s="159" t="s">
        <v>2129</v>
      </c>
      <c r="V2661" s="159" t="s">
        <v>2129</v>
      </c>
      <c r="W2661" s="159" t="s">
        <v>2138</v>
      </c>
      <c r="X2661" s="160">
        <v>1</v>
      </c>
      <c r="Y2661" s="160">
        <v>1</v>
      </c>
      <c r="Z2661" s="160">
        <v>1</v>
      </c>
      <c r="AA2661" s="160">
        <v>1</v>
      </c>
    </row>
    <row r="2662" spans="1:27" ht="18" customHeight="1" x14ac:dyDescent="0.25">
      <c r="A2662" s="159">
        <v>9185</v>
      </c>
      <c r="B2662" s="157" t="s">
        <v>266</v>
      </c>
      <c r="C2662" s="157" t="s">
        <v>514</v>
      </c>
      <c r="D2662" s="159" t="s">
        <v>1170</v>
      </c>
      <c r="E2662" s="157" t="s">
        <v>1168</v>
      </c>
      <c r="F2662" s="157"/>
      <c r="G2662" s="157" t="s">
        <v>1349</v>
      </c>
      <c r="H2662" s="157" t="s">
        <v>1418</v>
      </c>
      <c r="I2662" s="157" t="s">
        <v>540</v>
      </c>
      <c r="J2662" s="157" t="s">
        <v>8298</v>
      </c>
      <c r="K2662" s="157" t="s">
        <v>1352</v>
      </c>
      <c r="L2662" s="157" t="s">
        <v>2074</v>
      </c>
      <c r="M2662" s="157" t="str">
        <f t="shared" si="56"/>
        <v>Camera for night vision system - Night Vision</v>
      </c>
      <c r="N2662" s="157"/>
      <c r="O2662" s="157"/>
      <c r="P2662" s="159" t="s">
        <v>5747</v>
      </c>
      <c r="Q2662" s="157" t="s">
        <v>2115</v>
      </c>
      <c r="R2662" s="157" t="s">
        <v>8600</v>
      </c>
      <c r="S2662" s="157" t="s">
        <v>8613</v>
      </c>
      <c r="T2662" s="157" t="s">
        <v>2134</v>
      </c>
      <c r="U2662" s="159" t="s">
        <v>2129</v>
      </c>
      <c r="V2662" s="159" t="s">
        <v>2129</v>
      </c>
      <c r="W2662" s="159" t="s">
        <v>2138</v>
      </c>
      <c r="X2662" s="160">
        <v>1</v>
      </c>
      <c r="Y2662" s="160">
        <v>1</v>
      </c>
      <c r="Z2662" s="160">
        <v>1</v>
      </c>
      <c r="AA2662" s="160">
        <v>1</v>
      </c>
    </row>
    <row r="2663" spans="1:27" ht="18" customHeight="1" x14ac:dyDescent="0.25">
      <c r="A2663" s="159">
        <v>9185</v>
      </c>
      <c r="B2663" s="157" t="s">
        <v>266</v>
      </c>
      <c r="C2663" s="157" t="s">
        <v>514</v>
      </c>
      <c r="D2663" s="159" t="s">
        <v>1171</v>
      </c>
      <c r="E2663" s="157" t="s">
        <v>1223</v>
      </c>
      <c r="F2663" s="157"/>
      <c r="G2663" s="157" t="s">
        <v>1349</v>
      </c>
      <c r="H2663" s="157" t="s">
        <v>1418</v>
      </c>
      <c r="I2663" s="157" t="s">
        <v>540</v>
      </c>
      <c r="J2663" s="157" t="s">
        <v>8298</v>
      </c>
      <c r="K2663" s="157" t="s">
        <v>1352</v>
      </c>
      <c r="L2663" s="157" t="s">
        <v>2074</v>
      </c>
      <c r="M2663" s="157" t="str">
        <f t="shared" si="56"/>
        <v>Camera for night vision system - Night Vision</v>
      </c>
      <c r="N2663" s="157"/>
      <c r="O2663" s="157"/>
      <c r="P2663" s="159" t="s">
        <v>5747</v>
      </c>
      <c r="Q2663" s="157" t="s">
        <v>2115</v>
      </c>
      <c r="R2663" s="157" t="s">
        <v>8600</v>
      </c>
      <c r="S2663" s="157" t="s">
        <v>8613</v>
      </c>
      <c r="T2663" s="157" t="s">
        <v>2134</v>
      </c>
      <c r="U2663" s="159" t="s">
        <v>2129</v>
      </c>
      <c r="V2663" s="159" t="s">
        <v>2129</v>
      </c>
      <c r="W2663" s="159" t="s">
        <v>2138</v>
      </c>
      <c r="X2663" s="160">
        <v>1</v>
      </c>
      <c r="Y2663" s="160">
        <v>1</v>
      </c>
      <c r="Z2663" s="160">
        <v>1</v>
      </c>
      <c r="AA2663" s="160">
        <v>1</v>
      </c>
    </row>
    <row r="2664" spans="1:27" ht="18" customHeight="1" x14ac:dyDescent="0.25">
      <c r="A2664" s="159">
        <v>9185</v>
      </c>
      <c r="B2664" s="157" t="s">
        <v>266</v>
      </c>
      <c r="C2664" s="157" t="s">
        <v>519</v>
      </c>
      <c r="D2664" s="159" t="s">
        <v>526</v>
      </c>
      <c r="E2664" s="157" t="s">
        <v>524</v>
      </c>
      <c r="F2664" s="157"/>
      <c r="G2664" s="157" t="s">
        <v>1349</v>
      </c>
      <c r="H2664" s="157" t="s">
        <v>1418</v>
      </c>
      <c r="I2664" s="157" t="s">
        <v>540</v>
      </c>
      <c r="J2664" s="157" t="s">
        <v>8298</v>
      </c>
      <c r="K2664" s="157" t="s">
        <v>1352</v>
      </c>
      <c r="L2664" s="157" t="s">
        <v>2074</v>
      </c>
      <c r="M2664" s="157" t="str">
        <f t="shared" si="56"/>
        <v>Camera for night vision system - Night Vision</v>
      </c>
      <c r="N2664" s="157"/>
      <c r="O2664" s="157"/>
      <c r="P2664" s="159" t="s">
        <v>5747</v>
      </c>
      <c r="Q2664" s="157" t="s">
        <v>2115</v>
      </c>
      <c r="R2664" s="157" t="s">
        <v>8600</v>
      </c>
      <c r="S2664" s="157" t="s">
        <v>8613</v>
      </c>
      <c r="T2664" s="157" t="s">
        <v>2134</v>
      </c>
      <c r="U2664" s="159" t="s">
        <v>2129</v>
      </c>
      <c r="V2664" s="159" t="s">
        <v>2129</v>
      </c>
      <c r="W2664" s="159" t="s">
        <v>2138</v>
      </c>
      <c r="X2664" s="160">
        <v>1</v>
      </c>
      <c r="Y2664" s="160">
        <v>1</v>
      </c>
      <c r="Z2664" s="160">
        <v>1</v>
      </c>
      <c r="AA2664" s="160">
        <v>1</v>
      </c>
    </row>
    <row r="2665" spans="1:27" ht="18" customHeight="1" x14ac:dyDescent="0.25">
      <c r="A2665" s="159">
        <v>9185</v>
      </c>
      <c r="B2665" s="157" t="s">
        <v>266</v>
      </c>
      <c r="C2665" s="157" t="s">
        <v>519</v>
      </c>
      <c r="D2665" s="159" t="s">
        <v>530</v>
      </c>
      <c r="E2665" s="157" t="s">
        <v>528</v>
      </c>
      <c r="F2665" s="157"/>
      <c r="G2665" s="157" t="s">
        <v>1349</v>
      </c>
      <c r="H2665" s="157" t="s">
        <v>1418</v>
      </c>
      <c r="I2665" s="157" t="s">
        <v>540</v>
      </c>
      <c r="J2665" s="157" t="s">
        <v>8298</v>
      </c>
      <c r="K2665" s="157" t="s">
        <v>1352</v>
      </c>
      <c r="L2665" s="157" t="s">
        <v>2074</v>
      </c>
      <c r="M2665" s="157" t="str">
        <f t="shared" si="56"/>
        <v>Camera for night vision system - Night Vision</v>
      </c>
      <c r="N2665" s="157"/>
      <c r="O2665" s="157"/>
      <c r="P2665" s="159" t="s">
        <v>5747</v>
      </c>
      <c r="Q2665" s="157" t="s">
        <v>2115</v>
      </c>
      <c r="R2665" s="157" t="s">
        <v>8600</v>
      </c>
      <c r="S2665" s="157" t="s">
        <v>8613</v>
      </c>
      <c r="T2665" s="157" t="s">
        <v>2134</v>
      </c>
      <c r="U2665" s="159" t="s">
        <v>2129</v>
      </c>
      <c r="V2665" s="159" t="s">
        <v>2129</v>
      </c>
      <c r="W2665" s="159" t="s">
        <v>2138</v>
      </c>
      <c r="X2665" s="160">
        <v>1</v>
      </c>
      <c r="Y2665" s="160">
        <v>1</v>
      </c>
      <c r="Z2665" s="160">
        <v>1</v>
      </c>
      <c r="AA2665" s="160">
        <v>1</v>
      </c>
    </row>
    <row r="2666" spans="1:27" ht="18" customHeight="1" x14ac:dyDescent="0.25">
      <c r="A2666" s="159">
        <v>9185</v>
      </c>
      <c r="B2666" s="157" t="s">
        <v>266</v>
      </c>
      <c r="C2666" s="157" t="s">
        <v>519</v>
      </c>
      <c r="D2666" s="159" t="s">
        <v>787</v>
      </c>
      <c r="E2666" s="157" t="s">
        <v>785</v>
      </c>
      <c r="F2666" s="157"/>
      <c r="G2666" s="157" t="s">
        <v>1349</v>
      </c>
      <c r="H2666" s="157" t="s">
        <v>1418</v>
      </c>
      <c r="I2666" s="157" t="s">
        <v>540</v>
      </c>
      <c r="J2666" s="157" t="s">
        <v>8298</v>
      </c>
      <c r="K2666" s="157" t="s">
        <v>1352</v>
      </c>
      <c r="L2666" s="157" t="s">
        <v>2074</v>
      </c>
      <c r="M2666" s="157" t="str">
        <f t="shared" si="56"/>
        <v>Camera for night vision system - Night Vision</v>
      </c>
      <c r="N2666" s="157"/>
      <c r="O2666" s="157"/>
      <c r="P2666" s="159" t="s">
        <v>5747</v>
      </c>
      <c r="Q2666" s="157" t="s">
        <v>2115</v>
      </c>
      <c r="R2666" s="157" t="s">
        <v>8600</v>
      </c>
      <c r="S2666" s="157" t="s">
        <v>8613</v>
      </c>
      <c r="T2666" s="157" t="s">
        <v>2134</v>
      </c>
      <c r="U2666" s="159" t="s">
        <v>2129</v>
      </c>
      <c r="V2666" s="159" t="s">
        <v>2129</v>
      </c>
      <c r="W2666" s="159" t="s">
        <v>2138</v>
      </c>
      <c r="X2666" s="160">
        <v>1</v>
      </c>
      <c r="Y2666" s="160">
        <v>1</v>
      </c>
      <c r="Z2666" s="160">
        <v>1</v>
      </c>
      <c r="AA2666" s="160">
        <v>1</v>
      </c>
    </row>
    <row r="2667" spans="1:27" ht="18" customHeight="1" x14ac:dyDescent="0.25">
      <c r="A2667" s="159">
        <v>9187</v>
      </c>
      <c r="B2667" s="157" t="s">
        <v>256</v>
      </c>
      <c r="C2667" s="157" t="s">
        <v>429</v>
      </c>
      <c r="D2667" s="159" t="s">
        <v>1028</v>
      </c>
      <c r="E2667" s="157" t="s">
        <v>1026</v>
      </c>
      <c r="F2667" s="157" t="s">
        <v>1010</v>
      </c>
      <c r="G2667" s="157" t="s">
        <v>1299</v>
      </c>
      <c r="H2667" s="157" t="s">
        <v>1984</v>
      </c>
      <c r="I2667" s="157" t="s">
        <v>1985</v>
      </c>
      <c r="J2667" s="157"/>
      <c r="K2667" s="157" t="s">
        <v>1274</v>
      </c>
      <c r="L2667" s="157" t="s">
        <v>1986</v>
      </c>
      <c r="M2667" s="157" t="str">
        <f t="shared" si="56"/>
        <v>Tyre pressure control unit (Receiver) - Tyre Pressure Control</v>
      </c>
      <c r="N2667" s="157"/>
      <c r="O2667" s="157"/>
      <c r="P2667" s="159" t="s">
        <v>5747</v>
      </c>
      <c r="Q2667" s="157"/>
      <c r="R2667" s="157"/>
      <c r="S2667" s="157"/>
      <c r="T2667" s="157"/>
      <c r="U2667" s="159" t="s">
        <v>2129</v>
      </c>
      <c r="V2667" s="159" t="s">
        <v>2138</v>
      </c>
      <c r="W2667" s="159" t="s">
        <v>2138</v>
      </c>
      <c r="X2667" s="160">
        <v>1</v>
      </c>
      <c r="Y2667" s="160">
        <v>1</v>
      </c>
      <c r="Z2667" s="160">
        <v>1</v>
      </c>
      <c r="AA2667" s="160">
        <v>1</v>
      </c>
    </row>
    <row r="2668" spans="1:27" ht="18" customHeight="1" x14ac:dyDescent="0.25">
      <c r="A2668" s="159">
        <v>9188</v>
      </c>
      <c r="B2668" s="157" t="s">
        <v>266</v>
      </c>
      <c r="C2668" s="157" t="s">
        <v>276</v>
      </c>
      <c r="D2668" s="159" t="s">
        <v>303</v>
      </c>
      <c r="E2668" s="157" t="s">
        <v>301</v>
      </c>
      <c r="F2668" s="157"/>
      <c r="G2668" s="157" t="s">
        <v>1349</v>
      </c>
      <c r="H2668" s="157" t="s">
        <v>1418</v>
      </c>
      <c r="I2668" s="157" t="s">
        <v>1980</v>
      </c>
      <c r="J2668" s="157" t="s">
        <v>8305</v>
      </c>
      <c r="K2668" s="157" t="s">
        <v>1554</v>
      </c>
      <c r="L2668" s="157" t="s">
        <v>2075</v>
      </c>
      <c r="M2668" s="157" t="str">
        <f t="shared" si="56"/>
        <v>Lane Change Assist Radar [Right, Master] - Change Lane Assistance</v>
      </c>
      <c r="N2668" s="157"/>
      <c r="O2668" s="157"/>
      <c r="P2668" s="159" t="s">
        <v>3758</v>
      </c>
      <c r="Q2668" s="157" t="s">
        <v>2115</v>
      </c>
      <c r="R2668" s="157" t="s">
        <v>9532</v>
      </c>
      <c r="S2668" s="157" t="s">
        <v>8589</v>
      </c>
      <c r="T2668" s="157"/>
      <c r="U2668" s="159" t="s">
        <v>2129</v>
      </c>
      <c r="V2668" s="159" t="s">
        <v>2138</v>
      </c>
      <c r="W2668" s="159" t="s">
        <v>2129</v>
      </c>
      <c r="X2668" s="160">
        <v>1</v>
      </c>
      <c r="Y2668" s="160">
        <v>1</v>
      </c>
      <c r="Z2668" s="160">
        <v>1</v>
      </c>
      <c r="AA2668" s="160">
        <v>1</v>
      </c>
    </row>
    <row r="2669" spans="1:27" ht="18" customHeight="1" x14ac:dyDescent="0.25">
      <c r="A2669" s="159">
        <v>9188</v>
      </c>
      <c r="B2669" s="157" t="s">
        <v>266</v>
      </c>
      <c r="C2669" s="157" t="s">
        <v>276</v>
      </c>
      <c r="D2669" s="159" t="s">
        <v>310</v>
      </c>
      <c r="E2669" s="157" t="s">
        <v>308</v>
      </c>
      <c r="F2669" s="157"/>
      <c r="G2669" s="157" t="s">
        <v>1349</v>
      </c>
      <c r="H2669" s="157" t="s">
        <v>1418</v>
      </c>
      <c r="I2669" s="157" t="s">
        <v>1980</v>
      </c>
      <c r="J2669" s="157" t="s">
        <v>8305</v>
      </c>
      <c r="K2669" s="157" t="s">
        <v>1554</v>
      </c>
      <c r="L2669" s="157" t="s">
        <v>2075</v>
      </c>
      <c r="M2669" s="157" t="str">
        <f t="shared" si="56"/>
        <v>Lane Change Assist Radar [Right, Master] - Change Lane Assistance</v>
      </c>
      <c r="N2669" s="157"/>
      <c r="O2669" s="157"/>
      <c r="P2669" s="159" t="s">
        <v>3758</v>
      </c>
      <c r="Q2669" s="157" t="s">
        <v>2115</v>
      </c>
      <c r="R2669" s="157" t="s">
        <v>9532</v>
      </c>
      <c r="S2669" s="157" t="s">
        <v>8589</v>
      </c>
      <c r="T2669" s="157"/>
      <c r="U2669" s="159" t="s">
        <v>2129</v>
      </c>
      <c r="V2669" s="159" t="s">
        <v>2138</v>
      </c>
      <c r="W2669" s="159" t="s">
        <v>2129</v>
      </c>
      <c r="X2669" s="160">
        <v>1</v>
      </c>
      <c r="Y2669" s="160">
        <v>1</v>
      </c>
      <c r="Z2669" s="160">
        <v>1</v>
      </c>
      <c r="AA2669" s="160">
        <v>1</v>
      </c>
    </row>
    <row r="2670" spans="1:27" ht="18" customHeight="1" x14ac:dyDescent="0.25">
      <c r="A2670" s="159">
        <v>9188</v>
      </c>
      <c r="B2670" s="157" t="s">
        <v>266</v>
      </c>
      <c r="C2670" s="157" t="s">
        <v>276</v>
      </c>
      <c r="D2670" s="159" t="s">
        <v>686</v>
      </c>
      <c r="E2670" s="157" t="s">
        <v>684</v>
      </c>
      <c r="F2670" s="157"/>
      <c r="G2670" s="157" t="s">
        <v>1349</v>
      </c>
      <c r="H2670" s="157" t="s">
        <v>1418</v>
      </c>
      <c r="I2670" s="157" t="s">
        <v>1980</v>
      </c>
      <c r="J2670" s="157" t="s">
        <v>8305</v>
      </c>
      <c r="K2670" s="157" t="s">
        <v>1554</v>
      </c>
      <c r="L2670" s="157" t="s">
        <v>2075</v>
      </c>
      <c r="M2670" s="157" t="str">
        <f t="shared" si="56"/>
        <v>Lane Change Assist Radar [Right, Master] - Change Lane Assistance</v>
      </c>
      <c r="N2670" s="157"/>
      <c r="O2670" s="157"/>
      <c r="P2670" s="159" t="s">
        <v>3758</v>
      </c>
      <c r="Q2670" s="157" t="s">
        <v>2115</v>
      </c>
      <c r="R2670" s="157" t="s">
        <v>9532</v>
      </c>
      <c r="S2670" s="157" t="s">
        <v>8589</v>
      </c>
      <c r="T2670" s="157"/>
      <c r="U2670" s="159" t="s">
        <v>2129</v>
      </c>
      <c r="V2670" s="159" t="s">
        <v>2138</v>
      </c>
      <c r="W2670" s="159" t="s">
        <v>2129</v>
      </c>
      <c r="X2670" s="160">
        <v>1</v>
      </c>
      <c r="Y2670" s="160">
        <v>1</v>
      </c>
      <c r="Z2670" s="160">
        <v>1</v>
      </c>
      <c r="AA2670" s="160">
        <v>1</v>
      </c>
    </row>
    <row r="2671" spans="1:27" ht="18" customHeight="1" x14ac:dyDescent="0.25">
      <c r="A2671" s="159">
        <v>9188</v>
      </c>
      <c r="B2671" s="157" t="s">
        <v>266</v>
      </c>
      <c r="C2671" s="157" t="s">
        <v>276</v>
      </c>
      <c r="D2671" s="159" t="s">
        <v>304</v>
      </c>
      <c r="E2671" s="157" t="s">
        <v>1239</v>
      </c>
      <c r="F2671" s="157"/>
      <c r="G2671" s="157" t="s">
        <v>1349</v>
      </c>
      <c r="H2671" s="157" t="s">
        <v>1418</v>
      </c>
      <c r="I2671" s="157" t="s">
        <v>1980</v>
      </c>
      <c r="J2671" s="157" t="s">
        <v>8305</v>
      </c>
      <c r="K2671" s="157" t="s">
        <v>1554</v>
      </c>
      <c r="L2671" s="157" t="s">
        <v>2075</v>
      </c>
      <c r="M2671" s="157" t="str">
        <f t="shared" si="56"/>
        <v>Lane Change Assist Radar [Right, Master] - Change Lane Assistance</v>
      </c>
      <c r="N2671" s="157"/>
      <c r="O2671" s="157"/>
      <c r="P2671" s="159" t="s">
        <v>3758</v>
      </c>
      <c r="Q2671" s="157" t="s">
        <v>2115</v>
      </c>
      <c r="R2671" s="157" t="s">
        <v>9532</v>
      </c>
      <c r="S2671" s="157" t="s">
        <v>8589</v>
      </c>
      <c r="T2671" s="157"/>
      <c r="U2671" s="159" t="s">
        <v>2129</v>
      </c>
      <c r="V2671" s="159" t="s">
        <v>2138</v>
      </c>
      <c r="W2671" s="159" t="s">
        <v>2129</v>
      </c>
      <c r="X2671" s="160">
        <v>1</v>
      </c>
      <c r="Y2671" s="160">
        <v>1</v>
      </c>
      <c r="Z2671" s="160">
        <v>1</v>
      </c>
      <c r="AA2671" s="160">
        <v>1</v>
      </c>
    </row>
    <row r="2672" spans="1:27" ht="18" customHeight="1" x14ac:dyDescent="0.25">
      <c r="A2672" s="159">
        <v>9188</v>
      </c>
      <c r="B2672" s="157" t="s">
        <v>266</v>
      </c>
      <c r="C2672" s="157" t="s">
        <v>294</v>
      </c>
      <c r="D2672" s="159" t="s">
        <v>297</v>
      </c>
      <c r="E2672" s="157" t="s">
        <v>295</v>
      </c>
      <c r="F2672" s="157"/>
      <c r="G2672" s="157" t="s">
        <v>1349</v>
      </c>
      <c r="H2672" s="157" t="s">
        <v>1418</v>
      </c>
      <c r="I2672" s="157" t="s">
        <v>1980</v>
      </c>
      <c r="J2672" s="157" t="s">
        <v>8305</v>
      </c>
      <c r="K2672" s="157" t="s">
        <v>1554</v>
      </c>
      <c r="L2672" s="157" t="s">
        <v>2075</v>
      </c>
      <c r="M2672" s="157" t="str">
        <f t="shared" si="56"/>
        <v>Lane Change Assist Radar [Right, Master] - Change Lane Assistance</v>
      </c>
      <c r="N2672" s="157"/>
      <c r="O2672" s="157"/>
      <c r="P2672" s="159" t="s">
        <v>3758</v>
      </c>
      <c r="Q2672" s="157" t="s">
        <v>2115</v>
      </c>
      <c r="R2672" s="157" t="s">
        <v>9532</v>
      </c>
      <c r="S2672" s="157" t="s">
        <v>8589</v>
      </c>
      <c r="T2672" s="157"/>
      <c r="U2672" s="159" t="s">
        <v>2129</v>
      </c>
      <c r="V2672" s="159" t="s">
        <v>2138</v>
      </c>
      <c r="W2672" s="159" t="s">
        <v>2129</v>
      </c>
      <c r="X2672" s="160">
        <v>1</v>
      </c>
      <c r="Y2672" s="160">
        <v>1</v>
      </c>
      <c r="Z2672" s="160">
        <v>1</v>
      </c>
      <c r="AA2672" s="160">
        <v>1</v>
      </c>
    </row>
    <row r="2673" spans="1:27" ht="18" customHeight="1" x14ac:dyDescent="0.25">
      <c r="A2673" s="159">
        <v>9188</v>
      </c>
      <c r="B2673" s="157" t="s">
        <v>266</v>
      </c>
      <c r="C2673" s="157" t="s">
        <v>294</v>
      </c>
      <c r="D2673" s="159" t="s">
        <v>298</v>
      </c>
      <c r="E2673" s="157" t="s">
        <v>299</v>
      </c>
      <c r="F2673" s="157"/>
      <c r="G2673" s="157" t="s">
        <v>1349</v>
      </c>
      <c r="H2673" s="157" t="s">
        <v>1418</v>
      </c>
      <c r="I2673" s="157" t="s">
        <v>1980</v>
      </c>
      <c r="J2673" s="157" t="s">
        <v>8305</v>
      </c>
      <c r="K2673" s="157" t="s">
        <v>1554</v>
      </c>
      <c r="L2673" s="157" t="s">
        <v>2075</v>
      </c>
      <c r="M2673" s="157" t="str">
        <f t="shared" si="56"/>
        <v>Lane Change Assist Radar [Right, Master] - Change Lane Assistance</v>
      </c>
      <c r="N2673" s="157"/>
      <c r="O2673" s="157"/>
      <c r="P2673" s="159" t="s">
        <v>3758</v>
      </c>
      <c r="Q2673" s="157" t="s">
        <v>2115</v>
      </c>
      <c r="R2673" s="157" t="s">
        <v>9532</v>
      </c>
      <c r="S2673" s="157" t="s">
        <v>8589</v>
      </c>
      <c r="T2673" s="157"/>
      <c r="U2673" s="159" t="s">
        <v>2129</v>
      </c>
      <c r="V2673" s="159" t="s">
        <v>2138</v>
      </c>
      <c r="W2673" s="159" t="s">
        <v>2129</v>
      </c>
      <c r="X2673" s="160">
        <v>1</v>
      </c>
      <c r="Y2673" s="160">
        <v>1</v>
      </c>
      <c r="Z2673" s="160">
        <v>1</v>
      </c>
      <c r="AA2673" s="160">
        <v>1</v>
      </c>
    </row>
    <row r="2674" spans="1:27" ht="18" customHeight="1" x14ac:dyDescent="0.25">
      <c r="A2674" s="159">
        <v>9188</v>
      </c>
      <c r="B2674" s="157" t="s">
        <v>266</v>
      </c>
      <c r="C2674" s="157" t="s">
        <v>294</v>
      </c>
      <c r="D2674" s="159" t="s">
        <v>1177</v>
      </c>
      <c r="E2674" s="157" t="s">
        <v>1175</v>
      </c>
      <c r="F2674" s="157"/>
      <c r="G2674" s="157" t="s">
        <v>1349</v>
      </c>
      <c r="H2674" s="157" t="s">
        <v>1418</v>
      </c>
      <c r="I2674" s="157" t="s">
        <v>1980</v>
      </c>
      <c r="J2674" s="157" t="s">
        <v>8305</v>
      </c>
      <c r="K2674" s="157" t="s">
        <v>1554</v>
      </c>
      <c r="L2674" s="157" t="s">
        <v>2075</v>
      </c>
      <c r="M2674" s="157" t="str">
        <f t="shared" si="56"/>
        <v>Lane Change Assist Radar [Right, Master] - Change Lane Assistance</v>
      </c>
      <c r="N2674" s="157"/>
      <c r="O2674" s="157"/>
      <c r="P2674" s="159" t="s">
        <v>3758</v>
      </c>
      <c r="Q2674" s="157" t="s">
        <v>2115</v>
      </c>
      <c r="R2674" s="157" t="s">
        <v>9532</v>
      </c>
      <c r="S2674" s="157" t="s">
        <v>8589</v>
      </c>
      <c r="T2674" s="157"/>
      <c r="U2674" s="159" t="s">
        <v>2129</v>
      </c>
      <c r="V2674" s="159" t="s">
        <v>2138</v>
      </c>
      <c r="W2674" s="159" t="s">
        <v>2129</v>
      </c>
      <c r="X2674" s="160">
        <v>1</v>
      </c>
      <c r="Y2674" s="160">
        <v>1</v>
      </c>
      <c r="Z2674" s="160">
        <v>1</v>
      </c>
      <c r="AA2674" s="160">
        <v>1</v>
      </c>
    </row>
    <row r="2675" spans="1:27" ht="18" customHeight="1" x14ac:dyDescent="0.25">
      <c r="A2675" s="159">
        <v>9188</v>
      </c>
      <c r="B2675" s="157" t="s">
        <v>266</v>
      </c>
      <c r="C2675" s="157" t="s">
        <v>294</v>
      </c>
      <c r="D2675" s="159" t="s">
        <v>1178</v>
      </c>
      <c r="E2675" s="157" t="s">
        <v>1179</v>
      </c>
      <c r="F2675" s="157"/>
      <c r="G2675" s="157" t="s">
        <v>1349</v>
      </c>
      <c r="H2675" s="157" t="s">
        <v>1418</v>
      </c>
      <c r="I2675" s="157" t="s">
        <v>1980</v>
      </c>
      <c r="J2675" s="157" t="s">
        <v>8305</v>
      </c>
      <c r="K2675" s="157" t="s">
        <v>1554</v>
      </c>
      <c r="L2675" s="157" t="s">
        <v>2075</v>
      </c>
      <c r="M2675" s="157" t="str">
        <f t="shared" si="56"/>
        <v>Lane Change Assist Radar [Right, Master] - Change Lane Assistance</v>
      </c>
      <c r="N2675" s="157"/>
      <c r="O2675" s="157"/>
      <c r="P2675" s="159" t="s">
        <v>3758</v>
      </c>
      <c r="Q2675" s="157" t="s">
        <v>2115</v>
      </c>
      <c r="R2675" s="157" t="s">
        <v>9532</v>
      </c>
      <c r="S2675" s="157" t="s">
        <v>8589</v>
      </c>
      <c r="T2675" s="157"/>
      <c r="U2675" s="159" t="s">
        <v>2129</v>
      </c>
      <c r="V2675" s="159" t="s">
        <v>2138</v>
      </c>
      <c r="W2675" s="159" t="s">
        <v>2129</v>
      </c>
      <c r="X2675" s="160">
        <v>1</v>
      </c>
      <c r="Y2675" s="160">
        <v>1</v>
      </c>
      <c r="Z2675" s="160">
        <v>1</v>
      </c>
      <c r="AA2675" s="160">
        <v>1</v>
      </c>
    </row>
    <row r="2676" spans="1:27" ht="18" customHeight="1" x14ac:dyDescent="0.25">
      <c r="A2676" s="159">
        <v>9188</v>
      </c>
      <c r="B2676" s="157" t="s">
        <v>266</v>
      </c>
      <c r="C2676" s="157" t="s">
        <v>294</v>
      </c>
      <c r="D2676" s="159" t="s">
        <v>1207</v>
      </c>
      <c r="E2676" s="157" t="s">
        <v>1205</v>
      </c>
      <c r="F2676" s="157"/>
      <c r="G2676" s="157" t="s">
        <v>1349</v>
      </c>
      <c r="H2676" s="157" t="s">
        <v>1418</v>
      </c>
      <c r="I2676" s="157" t="s">
        <v>1980</v>
      </c>
      <c r="J2676" s="157" t="s">
        <v>8305</v>
      </c>
      <c r="K2676" s="157" t="s">
        <v>1554</v>
      </c>
      <c r="L2676" s="157" t="s">
        <v>2075</v>
      </c>
      <c r="M2676" s="157" t="str">
        <f t="shared" si="56"/>
        <v>Lane Change Assist Radar [Right, Master] - Change Lane Assistance</v>
      </c>
      <c r="N2676" s="157"/>
      <c r="O2676" s="157"/>
      <c r="P2676" s="159" t="s">
        <v>3758</v>
      </c>
      <c r="Q2676" s="157" t="s">
        <v>2115</v>
      </c>
      <c r="R2676" s="157" t="s">
        <v>9532</v>
      </c>
      <c r="S2676" s="157" t="s">
        <v>8589</v>
      </c>
      <c r="T2676" s="157"/>
      <c r="U2676" s="159" t="s">
        <v>2129</v>
      </c>
      <c r="V2676" s="159" t="s">
        <v>2138</v>
      </c>
      <c r="W2676" s="159" t="s">
        <v>2129</v>
      </c>
      <c r="X2676" s="160">
        <v>1</v>
      </c>
      <c r="Y2676" s="160">
        <v>1</v>
      </c>
      <c r="Z2676" s="160">
        <v>1</v>
      </c>
      <c r="AA2676" s="160">
        <v>1</v>
      </c>
    </row>
    <row r="2677" spans="1:27" ht="18" customHeight="1" x14ac:dyDescent="0.25">
      <c r="A2677" s="159">
        <v>9188</v>
      </c>
      <c r="B2677" s="157" t="s">
        <v>266</v>
      </c>
      <c r="C2677" s="157" t="s">
        <v>514</v>
      </c>
      <c r="D2677" s="159" t="s">
        <v>517</v>
      </c>
      <c r="E2677" s="157" t="s">
        <v>515</v>
      </c>
      <c r="F2677" s="157"/>
      <c r="G2677" s="157" t="s">
        <v>1349</v>
      </c>
      <c r="H2677" s="157" t="s">
        <v>1418</v>
      </c>
      <c r="I2677" s="157" t="s">
        <v>1980</v>
      </c>
      <c r="J2677" s="157" t="s">
        <v>8305</v>
      </c>
      <c r="K2677" s="157" t="s">
        <v>1554</v>
      </c>
      <c r="L2677" s="157" t="s">
        <v>2075</v>
      </c>
      <c r="M2677" s="157" t="str">
        <f t="shared" si="56"/>
        <v>Lane Change Assist Radar [Right, Master] - Change Lane Assistance</v>
      </c>
      <c r="N2677" s="157"/>
      <c r="O2677" s="157"/>
      <c r="P2677" s="159" t="s">
        <v>3758</v>
      </c>
      <c r="Q2677" s="157" t="s">
        <v>2115</v>
      </c>
      <c r="R2677" s="157" t="s">
        <v>9532</v>
      </c>
      <c r="S2677" s="157" t="s">
        <v>8589</v>
      </c>
      <c r="T2677" s="157"/>
      <c r="U2677" s="159" t="s">
        <v>2129</v>
      </c>
      <c r="V2677" s="159" t="s">
        <v>2138</v>
      </c>
      <c r="W2677" s="159" t="s">
        <v>2129</v>
      </c>
      <c r="X2677" s="160">
        <v>1</v>
      </c>
      <c r="Y2677" s="160">
        <v>1</v>
      </c>
      <c r="Z2677" s="160">
        <v>1</v>
      </c>
      <c r="AA2677" s="160">
        <v>1</v>
      </c>
    </row>
    <row r="2678" spans="1:27" ht="18" customHeight="1" x14ac:dyDescent="0.25">
      <c r="A2678" s="159">
        <v>9188</v>
      </c>
      <c r="B2678" s="157" t="s">
        <v>266</v>
      </c>
      <c r="C2678" s="157" t="s">
        <v>514</v>
      </c>
      <c r="D2678" s="159" t="s">
        <v>731</v>
      </c>
      <c r="E2678" s="157" t="s">
        <v>795</v>
      </c>
      <c r="F2678" s="157"/>
      <c r="G2678" s="157" t="s">
        <v>1349</v>
      </c>
      <c r="H2678" s="157" t="s">
        <v>1418</v>
      </c>
      <c r="I2678" s="157" t="s">
        <v>1980</v>
      </c>
      <c r="J2678" s="157" t="s">
        <v>8305</v>
      </c>
      <c r="K2678" s="157" t="s">
        <v>1554</v>
      </c>
      <c r="L2678" s="157" t="s">
        <v>2075</v>
      </c>
      <c r="M2678" s="157" t="str">
        <f t="shared" si="56"/>
        <v>Lane Change Assist Radar [Right, Master] - Change Lane Assistance</v>
      </c>
      <c r="N2678" s="157"/>
      <c r="O2678" s="157"/>
      <c r="P2678" s="159" t="s">
        <v>3758</v>
      </c>
      <c r="Q2678" s="157" t="s">
        <v>2115</v>
      </c>
      <c r="R2678" s="157" t="s">
        <v>9532</v>
      </c>
      <c r="S2678" s="157" t="s">
        <v>8589</v>
      </c>
      <c r="T2678" s="157"/>
      <c r="U2678" s="159" t="s">
        <v>2129</v>
      </c>
      <c r="V2678" s="159" t="s">
        <v>2138</v>
      </c>
      <c r="W2678" s="159" t="s">
        <v>2129</v>
      </c>
      <c r="X2678" s="160">
        <v>1</v>
      </c>
      <c r="Y2678" s="160">
        <v>1</v>
      </c>
      <c r="Z2678" s="160">
        <v>1</v>
      </c>
      <c r="AA2678" s="160">
        <v>1</v>
      </c>
    </row>
    <row r="2679" spans="1:27" ht="18" customHeight="1" x14ac:dyDescent="0.25">
      <c r="A2679" s="159">
        <v>9188</v>
      </c>
      <c r="B2679" s="157" t="s">
        <v>266</v>
      </c>
      <c r="C2679" s="157" t="s">
        <v>514</v>
      </c>
      <c r="D2679" s="159" t="s">
        <v>1170</v>
      </c>
      <c r="E2679" s="157" t="s">
        <v>1168</v>
      </c>
      <c r="F2679" s="157"/>
      <c r="G2679" s="157" t="s">
        <v>1349</v>
      </c>
      <c r="H2679" s="157" t="s">
        <v>1418</v>
      </c>
      <c r="I2679" s="157" t="s">
        <v>1980</v>
      </c>
      <c r="J2679" s="157" t="s">
        <v>8305</v>
      </c>
      <c r="K2679" s="157" t="s">
        <v>1554</v>
      </c>
      <c r="L2679" s="157" t="s">
        <v>2075</v>
      </c>
      <c r="M2679" s="157" t="str">
        <f t="shared" si="56"/>
        <v>Lane Change Assist Radar [Right, Master] - Change Lane Assistance</v>
      </c>
      <c r="N2679" s="157"/>
      <c r="O2679" s="157"/>
      <c r="P2679" s="159" t="s">
        <v>3758</v>
      </c>
      <c r="Q2679" s="157" t="s">
        <v>2115</v>
      </c>
      <c r="R2679" s="157" t="s">
        <v>9532</v>
      </c>
      <c r="S2679" s="157" t="s">
        <v>8589</v>
      </c>
      <c r="T2679" s="157"/>
      <c r="U2679" s="159" t="s">
        <v>2129</v>
      </c>
      <c r="V2679" s="159" t="s">
        <v>2138</v>
      </c>
      <c r="W2679" s="159" t="s">
        <v>2129</v>
      </c>
      <c r="X2679" s="160">
        <v>1</v>
      </c>
      <c r="Y2679" s="160">
        <v>1</v>
      </c>
      <c r="Z2679" s="160">
        <v>1</v>
      </c>
      <c r="AA2679" s="160">
        <v>1</v>
      </c>
    </row>
    <row r="2680" spans="1:27" ht="18" customHeight="1" x14ac:dyDescent="0.25">
      <c r="A2680" s="159">
        <v>9188</v>
      </c>
      <c r="B2680" s="157" t="s">
        <v>266</v>
      </c>
      <c r="C2680" s="157" t="s">
        <v>514</v>
      </c>
      <c r="D2680" s="159" t="s">
        <v>1171</v>
      </c>
      <c r="E2680" s="157" t="s">
        <v>1223</v>
      </c>
      <c r="F2680" s="157"/>
      <c r="G2680" s="157" t="s">
        <v>1349</v>
      </c>
      <c r="H2680" s="157" t="s">
        <v>1418</v>
      </c>
      <c r="I2680" s="157" t="s">
        <v>1980</v>
      </c>
      <c r="J2680" s="157" t="s">
        <v>8305</v>
      </c>
      <c r="K2680" s="157" t="s">
        <v>1554</v>
      </c>
      <c r="L2680" s="157" t="s">
        <v>2075</v>
      </c>
      <c r="M2680" s="157" t="str">
        <f t="shared" si="56"/>
        <v>Lane Change Assist Radar [Right, Master] - Change Lane Assistance</v>
      </c>
      <c r="N2680" s="157"/>
      <c r="O2680" s="157"/>
      <c r="P2680" s="159" t="s">
        <v>3758</v>
      </c>
      <c r="Q2680" s="157" t="s">
        <v>2115</v>
      </c>
      <c r="R2680" s="157" t="s">
        <v>9532</v>
      </c>
      <c r="S2680" s="157" t="s">
        <v>8589</v>
      </c>
      <c r="T2680" s="157"/>
      <c r="U2680" s="159" t="s">
        <v>2129</v>
      </c>
      <c r="V2680" s="159" t="s">
        <v>2138</v>
      </c>
      <c r="W2680" s="159" t="s">
        <v>2129</v>
      </c>
      <c r="X2680" s="160">
        <v>1</v>
      </c>
      <c r="Y2680" s="160">
        <v>1</v>
      </c>
      <c r="Z2680" s="160">
        <v>1</v>
      </c>
      <c r="AA2680" s="160">
        <v>1</v>
      </c>
    </row>
    <row r="2681" spans="1:27" ht="18" customHeight="1" x14ac:dyDescent="0.25">
      <c r="A2681" s="159">
        <v>9188</v>
      </c>
      <c r="B2681" s="157" t="s">
        <v>266</v>
      </c>
      <c r="C2681" s="157" t="s">
        <v>519</v>
      </c>
      <c r="D2681" s="159" t="s">
        <v>522</v>
      </c>
      <c r="E2681" s="157" t="s">
        <v>520</v>
      </c>
      <c r="F2681" s="157"/>
      <c r="G2681" s="157" t="s">
        <v>1349</v>
      </c>
      <c r="H2681" s="157" t="s">
        <v>1418</v>
      </c>
      <c r="I2681" s="157" t="s">
        <v>1980</v>
      </c>
      <c r="J2681" s="157" t="s">
        <v>8305</v>
      </c>
      <c r="K2681" s="157" t="s">
        <v>1554</v>
      </c>
      <c r="L2681" s="157" t="s">
        <v>2075</v>
      </c>
      <c r="M2681" s="157" t="str">
        <f t="shared" si="56"/>
        <v>Lane Change Assist Radar [Right, Master] - Change Lane Assistance</v>
      </c>
      <c r="N2681" s="157"/>
      <c r="O2681" s="157"/>
      <c r="P2681" s="159" t="s">
        <v>3758</v>
      </c>
      <c r="Q2681" s="157" t="s">
        <v>2115</v>
      </c>
      <c r="R2681" s="157" t="s">
        <v>9532</v>
      </c>
      <c r="S2681" s="157" t="s">
        <v>8589</v>
      </c>
      <c r="T2681" s="157"/>
      <c r="U2681" s="159" t="s">
        <v>2129</v>
      </c>
      <c r="V2681" s="159" t="s">
        <v>2138</v>
      </c>
      <c r="W2681" s="159" t="s">
        <v>2129</v>
      </c>
      <c r="X2681" s="160">
        <v>1</v>
      </c>
      <c r="Y2681" s="160">
        <v>1</v>
      </c>
      <c r="Z2681" s="160">
        <v>1</v>
      </c>
      <c r="AA2681" s="160">
        <v>1</v>
      </c>
    </row>
    <row r="2682" spans="1:27" ht="18" customHeight="1" x14ac:dyDescent="0.25">
      <c r="A2682" s="159">
        <v>9189</v>
      </c>
      <c r="B2682" s="157" t="s">
        <v>280</v>
      </c>
      <c r="C2682" s="157" t="s">
        <v>281</v>
      </c>
      <c r="D2682" s="159" t="s">
        <v>284</v>
      </c>
      <c r="E2682" s="157" t="s">
        <v>282</v>
      </c>
      <c r="F2682" s="157"/>
      <c r="G2682" s="157" t="s">
        <v>1265</v>
      </c>
      <c r="H2682" s="157" t="s">
        <v>1271</v>
      </c>
      <c r="I2682" s="157" t="s">
        <v>1669</v>
      </c>
      <c r="J2682" s="157" t="s">
        <v>1285</v>
      </c>
      <c r="K2682" s="157" t="s">
        <v>1274</v>
      </c>
      <c r="L2682" s="157" t="s">
        <v>8312</v>
      </c>
      <c r="M2682" s="157" t="str">
        <f t="shared" si="56"/>
        <v>E-Call Communication Module - Emergency Call</v>
      </c>
      <c r="N2682" s="157"/>
      <c r="O2682" s="157"/>
      <c r="P2682" s="159" t="s">
        <v>5749</v>
      </c>
      <c r="Q2682" s="157" t="s">
        <v>2115</v>
      </c>
      <c r="R2682" s="157" t="s">
        <v>8452</v>
      </c>
      <c r="S2682" s="157" t="s">
        <v>8605</v>
      </c>
      <c r="T2682" s="157"/>
      <c r="U2682" s="159" t="s">
        <v>2138</v>
      </c>
      <c r="V2682" s="159" t="s">
        <v>2138</v>
      </c>
      <c r="W2682" s="159" t="s">
        <v>2138</v>
      </c>
      <c r="X2682" s="160">
        <v>1</v>
      </c>
      <c r="Y2682" s="160">
        <v>1</v>
      </c>
      <c r="Z2682" s="160">
        <v>1</v>
      </c>
      <c r="AA2682" s="160">
        <v>1</v>
      </c>
    </row>
    <row r="2683" spans="1:27" ht="18" customHeight="1" x14ac:dyDescent="0.25">
      <c r="A2683" s="159">
        <v>9195</v>
      </c>
      <c r="B2683" s="157" t="s">
        <v>280</v>
      </c>
      <c r="C2683" s="157" t="s">
        <v>354</v>
      </c>
      <c r="D2683" s="159" t="s">
        <v>357</v>
      </c>
      <c r="E2683" s="157" t="s">
        <v>355</v>
      </c>
      <c r="F2683" s="157" t="s">
        <v>1264</v>
      </c>
      <c r="G2683" s="157" t="s">
        <v>1265</v>
      </c>
      <c r="H2683" s="157" t="s">
        <v>1458</v>
      </c>
      <c r="I2683" s="157" t="s">
        <v>1989</v>
      </c>
      <c r="J2683" s="157" t="s">
        <v>1713</v>
      </c>
      <c r="K2683" s="157" t="s">
        <v>1480</v>
      </c>
      <c r="L2683" s="157" t="s">
        <v>1990</v>
      </c>
      <c r="M2683" s="157" t="str">
        <f t="shared" si="56"/>
        <v>Subwoofer - Subwoofer Speaker</v>
      </c>
      <c r="N2683" s="157"/>
      <c r="O2683" s="157"/>
      <c r="P2683" s="159" t="s">
        <v>6535</v>
      </c>
      <c r="Q2683" s="157" t="s">
        <v>2115</v>
      </c>
      <c r="R2683" s="157" t="s">
        <v>2123</v>
      </c>
      <c r="S2683" s="157" t="s">
        <v>8639</v>
      </c>
      <c r="T2683" s="157"/>
      <c r="U2683" s="159" t="s">
        <v>2129</v>
      </c>
      <c r="V2683" s="159" t="s">
        <v>2129</v>
      </c>
      <c r="W2683" s="159" t="s">
        <v>2138</v>
      </c>
      <c r="X2683" s="160">
        <v>0.25</v>
      </c>
      <c r="Y2683" s="160">
        <v>0.35</v>
      </c>
      <c r="Z2683" s="160">
        <v>0.4</v>
      </c>
      <c r="AA2683" s="160">
        <v>0.3</v>
      </c>
    </row>
    <row r="2684" spans="1:27" ht="18" customHeight="1" x14ac:dyDescent="0.25">
      <c r="A2684" s="159">
        <v>9195</v>
      </c>
      <c r="B2684" s="157" t="s">
        <v>280</v>
      </c>
      <c r="C2684" s="157" t="s">
        <v>354</v>
      </c>
      <c r="D2684" s="159" t="s">
        <v>1189</v>
      </c>
      <c r="E2684" s="157" t="s">
        <v>1187</v>
      </c>
      <c r="F2684" s="157" t="s">
        <v>1264</v>
      </c>
      <c r="G2684" s="157" t="s">
        <v>1265</v>
      </c>
      <c r="H2684" s="157" t="s">
        <v>1458</v>
      </c>
      <c r="I2684" s="157" t="s">
        <v>1989</v>
      </c>
      <c r="J2684" s="157" t="s">
        <v>1713</v>
      </c>
      <c r="K2684" s="157" t="s">
        <v>1480</v>
      </c>
      <c r="L2684" s="157" t="s">
        <v>1990</v>
      </c>
      <c r="M2684" s="157" t="str">
        <f t="shared" si="56"/>
        <v>Subwoofer - Subwoofer Speaker</v>
      </c>
      <c r="N2684" s="157"/>
      <c r="O2684" s="157"/>
      <c r="P2684" s="159" t="s">
        <v>6535</v>
      </c>
      <c r="Q2684" s="157" t="s">
        <v>2115</v>
      </c>
      <c r="R2684" s="157" t="s">
        <v>2123</v>
      </c>
      <c r="S2684" s="157" t="s">
        <v>8639</v>
      </c>
      <c r="T2684" s="157"/>
      <c r="U2684" s="159" t="s">
        <v>2129</v>
      </c>
      <c r="V2684" s="159" t="s">
        <v>2129</v>
      </c>
      <c r="W2684" s="159" t="s">
        <v>2138</v>
      </c>
      <c r="X2684" s="160">
        <v>0.25</v>
      </c>
      <c r="Y2684" s="160">
        <v>0.35</v>
      </c>
      <c r="Z2684" s="160">
        <v>0.4</v>
      </c>
      <c r="AA2684" s="160">
        <v>0.3</v>
      </c>
    </row>
    <row r="2685" spans="1:27" ht="18" customHeight="1" x14ac:dyDescent="0.25">
      <c r="A2685" s="159">
        <v>9196</v>
      </c>
      <c r="B2685" s="157" t="s">
        <v>280</v>
      </c>
      <c r="C2685" s="157" t="s">
        <v>354</v>
      </c>
      <c r="D2685" s="159" t="s">
        <v>357</v>
      </c>
      <c r="E2685" s="157" t="s">
        <v>355</v>
      </c>
      <c r="F2685" s="157" t="s">
        <v>1264</v>
      </c>
      <c r="G2685" s="157" t="s">
        <v>1265</v>
      </c>
      <c r="H2685" s="157" t="s">
        <v>1458</v>
      </c>
      <c r="I2685" s="157" t="s">
        <v>1989</v>
      </c>
      <c r="J2685" s="157" t="s">
        <v>1713</v>
      </c>
      <c r="K2685" s="157" t="s">
        <v>1480</v>
      </c>
      <c r="L2685" s="157" t="s">
        <v>1991</v>
      </c>
      <c r="M2685" s="157" t="str">
        <f t="shared" si="56"/>
        <v>Subwoofer [cargo floor] - Subwoofer Speaker</v>
      </c>
      <c r="N2685" s="157"/>
      <c r="O2685" s="157"/>
      <c r="P2685" s="159" t="s">
        <v>4313</v>
      </c>
      <c r="Q2685" s="157" t="s">
        <v>2115</v>
      </c>
      <c r="R2685" s="157" t="s">
        <v>2123</v>
      </c>
      <c r="S2685" s="157" t="s">
        <v>8639</v>
      </c>
      <c r="T2685" s="157"/>
      <c r="U2685" s="159" t="s">
        <v>2129</v>
      </c>
      <c r="V2685" s="159" t="s">
        <v>2129</v>
      </c>
      <c r="W2685" s="159" t="s">
        <v>2138</v>
      </c>
      <c r="X2685" s="160">
        <v>0.25</v>
      </c>
      <c r="Y2685" s="160">
        <v>0.35</v>
      </c>
      <c r="Z2685" s="160">
        <v>0.4</v>
      </c>
      <c r="AA2685" s="160">
        <v>0.3</v>
      </c>
    </row>
    <row r="2686" spans="1:27" ht="18" customHeight="1" x14ac:dyDescent="0.25">
      <c r="A2686" s="159">
        <v>9196</v>
      </c>
      <c r="B2686" s="157" t="s">
        <v>280</v>
      </c>
      <c r="C2686" s="157" t="s">
        <v>354</v>
      </c>
      <c r="D2686" s="159" t="s">
        <v>1189</v>
      </c>
      <c r="E2686" s="157" t="s">
        <v>1187</v>
      </c>
      <c r="F2686" s="157" t="s">
        <v>1264</v>
      </c>
      <c r="G2686" s="157" t="s">
        <v>1265</v>
      </c>
      <c r="H2686" s="157" t="s">
        <v>1458</v>
      </c>
      <c r="I2686" s="157" t="s">
        <v>1989</v>
      </c>
      <c r="J2686" s="157" t="s">
        <v>1713</v>
      </c>
      <c r="K2686" s="157" t="s">
        <v>1480</v>
      </c>
      <c r="L2686" s="157" t="s">
        <v>1991</v>
      </c>
      <c r="M2686" s="157" t="str">
        <f t="shared" si="56"/>
        <v>Subwoofer [cargo floor] - Subwoofer Speaker</v>
      </c>
      <c r="N2686" s="157"/>
      <c r="O2686" s="157"/>
      <c r="P2686" s="159" t="s">
        <v>4313</v>
      </c>
      <c r="Q2686" s="157" t="s">
        <v>2115</v>
      </c>
      <c r="R2686" s="157" t="s">
        <v>2123</v>
      </c>
      <c r="S2686" s="157" t="s">
        <v>8639</v>
      </c>
      <c r="T2686" s="157"/>
      <c r="U2686" s="159" t="s">
        <v>2129</v>
      </c>
      <c r="V2686" s="159" t="s">
        <v>2129</v>
      </c>
      <c r="W2686" s="159" t="s">
        <v>2138</v>
      </c>
      <c r="X2686" s="160">
        <v>0.25</v>
      </c>
      <c r="Y2686" s="160">
        <v>0.35</v>
      </c>
      <c r="Z2686" s="160">
        <v>0.4</v>
      </c>
      <c r="AA2686" s="160">
        <v>0.3</v>
      </c>
    </row>
    <row r="2687" spans="1:27" ht="18" customHeight="1" x14ac:dyDescent="0.25">
      <c r="A2687" s="159">
        <v>9197</v>
      </c>
      <c r="B2687" s="157" t="s">
        <v>29</v>
      </c>
      <c r="C2687" s="157" t="s">
        <v>82</v>
      </c>
      <c r="D2687" s="159" t="s">
        <v>1104</v>
      </c>
      <c r="E2687" s="157" t="s">
        <v>1102</v>
      </c>
      <c r="F2687" s="157"/>
      <c r="G2687" s="157" t="s">
        <v>1278</v>
      </c>
      <c r="H2687" s="157" t="s">
        <v>1294</v>
      </c>
      <c r="I2687" s="157" t="s">
        <v>1976</v>
      </c>
      <c r="J2687" s="157"/>
      <c r="K2687" s="157" t="s">
        <v>1281</v>
      </c>
      <c r="L2687" s="157" t="s">
        <v>1282</v>
      </c>
      <c r="M2687" s="157" t="str">
        <f t="shared" si="56"/>
        <v>User Selector - Hood Emergency Release</v>
      </c>
      <c r="N2687" s="157"/>
      <c r="O2687" s="157"/>
      <c r="P2687" s="159" t="s">
        <v>5832</v>
      </c>
      <c r="Q2687" s="157"/>
      <c r="R2687" s="157"/>
      <c r="S2687" s="157"/>
      <c r="T2687" s="157"/>
      <c r="U2687" s="159" t="s">
        <v>2129</v>
      </c>
      <c r="V2687" s="159" t="s">
        <v>2129</v>
      </c>
      <c r="W2687" s="159" t="s">
        <v>2129</v>
      </c>
      <c r="X2687" s="160"/>
      <c r="Y2687" s="160"/>
      <c r="Z2687" s="160"/>
      <c r="AA2687" s="160"/>
    </row>
    <row r="2688" spans="1:27" ht="18" customHeight="1" x14ac:dyDescent="0.25">
      <c r="A2688" s="159">
        <v>9201</v>
      </c>
      <c r="B2688" s="157" t="s">
        <v>256</v>
      </c>
      <c r="C2688" s="157" t="s">
        <v>257</v>
      </c>
      <c r="D2688" s="159" t="s">
        <v>260</v>
      </c>
      <c r="E2688" s="157" t="s">
        <v>258</v>
      </c>
      <c r="F2688" s="157" t="s">
        <v>1010</v>
      </c>
      <c r="G2688" s="157" t="s">
        <v>1299</v>
      </c>
      <c r="H2688" s="157" t="s">
        <v>1432</v>
      </c>
      <c r="I2688" s="157" t="s">
        <v>8256</v>
      </c>
      <c r="J2688" s="157" t="s">
        <v>8257</v>
      </c>
      <c r="K2688" s="157" t="s">
        <v>1269</v>
      </c>
      <c r="L2688" s="157" t="s">
        <v>1992</v>
      </c>
      <c r="M2688" s="157" t="str">
        <f t="shared" si="56"/>
        <v>Damping Adjustment Valve RL - Vehicle Height Adjustment</v>
      </c>
      <c r="N2688" s="157"/>
      <c r="O2688" s="157"/>
      <c r="P2688" s="159" t="s">
        <v>7876</v>
      </c>
      <c r="Q2688" s="157" t="s">
        <v>2115</v>
      </c>
      <c r="R2688" s="157" t="s">
        <v>2135</v>
      </c>
      <c r="S2688" s="157" t="s">
        <v>8643</v>
      </c>
      <c r="T2688" s="157" t="s">
        <v>2070</v>
      </c>
      <c r="U2688" s="159" t="s">
        <v>2129</v>
      </c>
      <c r="V2688" s="159" t="s">
        <v>2129</v>
      </c>
      <c r="W2688" s="159" t="s">
        <v>2138</v>
      </c>
      <c r="X2688" s="160">
        <v>0</v>
      </c>
      <c r="Y2688" s="160">
        <v>0.05</v>
      </c>
      <c r="Z2688" s="160">
        <v>0</v>
      </c>
      <c r="AA2688" s="160">
        <v>0.05</v>
      </c>
    </row>
    <row r="2689" spans="1:27" ht="18" customHeight="1" x14ac:dyDescent="0.25">
      <c r="A2689" s="159">
        <v>9202</v>
      </c>
      <c r="B2689" s="157" t="s">
        <v>256</v>
      </c>
      <c r="C2689" s="157" t="s">
        <v>257</v>
      </c>
      <c r="D2689" s="159" t="s">
        <v>260</v>
      </c>
      <c r="E2689" s="157" t="s">
        <v>258</v>
      </c>
      <c r="F2689" s="157" t="s">
        <v>1010</v>
      </c>
      <c r="G2689" s="157" t="s">
        <v>1299</v>
      </c>
      <c r="H2689" s="157" t="s">
        <v>1432</v>
      </c>
      <c r="I2689" s="157" t="s">
        <v>8256</v>
      </c>
      <c r="J2689" s="157" t="s">
        <v>8257</v>
      </c>
      <c r="K2689" s="157" t="s">
        <v>1269</v>
      </c>
      <c r="L2689" s="157" t="s">
        <v>1993</v>
      </c>
      <c r="M2689" s="157" t="str">
        <f t="shared" si="56"/>
        <v>Damping Adjustment Valve RR - Vehicle Height Adjustment</v>
      </c>
      <c r="N2689" s="157"/>
      <c r="O2689" s="157"/>
      <c r="P2689" s="159" t="s">
        <v>3943</v>
      </c>
      <c r="Q2689" s="157" t="s">
        <v>2115</v>
      </c>
      <c r="R2689" s="157" t="s">
        <v>2135</v>
      </c>
      <c r="S2689" s="157" t="s">
        <v>8643</v>
      </c>
      <c r="T2689" s="157" t="s">
        <v>2070</v>
      </c>
      <c r="U2689" s="159" t="s">
        <v>2129</v>
      </c>
      <c r="V2689" s="159" t="s">
        <v>2129</v>
      </c>
      <c r="W2689" s="159" t="s">
        <v>2138</v>
      </c>
      <c r="X2689" s="160">
        <v>0</v>
      </c>
      <c r="Y2689" s="160">
        <v>0.05</v>
      </c>
      <c r="Z2689" s="160">
        <v>0</v>
      </c>
      <c r="AA2689" s="160">
        <v>0.05</v>
      </c>
    </row>
    <row r="2690" spans="1:27" ht="18" customHeight="1" x14ac:dyDescent="0.25">
      <c r="A2690" s="159">
        <v>9203</v>
      </c>
      <c r="B2690" s="157" t="s">
        <v>256</v>
      </c>
      <c r="C2690" s="157" t="s">
        <v>257</v>
      </c>
      <c r="D2690" s="159" t="s">
        <v>260</v>
      </c>
      <c r="E2690" s="157" t="s">
        <v>258</v>
      </c>
      <c r="F2690" s="157" t="s">
        <v>1010</v>
      </c>
      <c r="G2690" s="157" t="s">
        <v>1299</v>
      </c>
      <c r="H2690" s="157" t="s">
        <v>1432</v>
      </c>
      <c r="I2690" s="157" t="s">
        <v>8256</v>
      </c>
      <c r="J2690" s="157" t="s">
        <v>8257</v>
      </c>
      <c r="K2690" s="157" t="s">
        <v>1269</v>
      </c>
      <c r="L2690" s="157" t="s">
        <v>1994</v>
      </c>
      <c r="M2690" s="157" t="str">
        <f t="shared" si="56"/>
        <v>Damping Adjustment Valve FL - Vehicle Height Adjustment</v>
      </c>
      <c r="N2690" s="157"/>
      <c r="O2690" s="157"/>
      <c r="P2690" s="159" t="s">
        <v>7538</v>
      </c>
      <c r="Q2690" s="157" t="s">
        <v>2115</v>
      </c>
      <c r="R2690" s="157" t="s">
        <v>2135</v>
      </c>
      <c r="S2690" s="157" t="s">
        <v>8643</v>
      </c>
      <c r="T2690" s="157" t="s">
        <v>2070</v>
      </c>
      <c r="U2690" s="159" t="s">
        <v>2129</v>
      </c>
      <c r="V2690" s="159" t="s">
        <v>2129</v>
      </c>
      <c r="W2690" s="159" t="s">
        <v>2138</v>
      </c>
      <c r="X2690" s="160">
        <v>0</v>
      </c>
      <c r="Y2690" s="160">
        <v>0.05</v>
      </c>
      <c r="Z2690" s="160">
        <v>0</v>
      </c>
      <c r="AA2690" s="160">
        <v>0.05</v>
      </c>
    </row>
    <row r="2691" spans="1:27" ht="18" customHeight="1" x14ac:dyDescent="0.25">
      <c r="A2691" s="159">
        <v>9204</v>
      </c>
      <c r="B2691" s="157" t="s">
        <v>256</v>
      </c>
      <c r="C2691" s="157" t="s">
        <v>257</v>
      </c>
      <c r="D2691" s="159" t="s">
        <v>260</v>
      </c>
      <c r="E2691" s="157" t="s">
        <v>258</v>
      </c>
      <c r="F2691" s="157" t="s">
        <v>1010</v>
      </c>
      <c r="G2691" s="157" t="s">
        <v>1299</v>
      </c>
      <c r="H2691" s="157" t="s">
        <v>1432</v>
      </c>
      <c r="I2691" s="157" t="s">
        <v>8256</v>
      </c>
      <c r="J2691" s="157" t="s">
        <v>8257</v>
      </c>
      <c r="K2691" s="157" t="s">
        <v>1269</v>
      </c>
      <c r="L2691" s="157" t="s">
        <v>1995</v>
      </c>
      <c r="M2691" s="157" t="str">
        <f t="shared" si="56"/>
        <v>Damping Adjustment Valve FR - Vehicle Height Adjustment</v>
      </c>
      <c r="N2691" s="157"/>
      <c r="O2691" s="157"/>
      <c r="P2691" s="159" t="s">
        <v>2684</v>
      </c>
      <c r="Q2691" s="157" t="s">
        <v>2115</v>
      </c>
      <c r="R2691" s="157" t="s">
        <v>2135</v>
      </c>
      <c r="S2691" s="157" t="s">
        <v>8643</v>
      </c>
      <c r="T2691" s="157" t="s">
        <v>2070</v>
      </c>
      <c r="U2691" s="159" t="s">
        <v>2129</v>
      </c>
      <c r="V2691" s="159" t="s">
        <v>2129</v>
      </c>
      <c r="W2691" s="159" t="s">
        <v>2138</v>
      </c>
      <c r="X2691" s="160">
        <v>0</v>
      </c>
      <c r="Y2691" s="160">
        <v>0.05</v>
      </c>
      <c r="Z2691" s="160">
        <v>0</v>
      </c>
      <c r="AA2691" s="160">
        <v>0.05</v>
      </c>
    </row>
    <row r="2692" spans="1:27" ht="18" customHeight="1" x14ac:dyDescent="0.25">
      <c r="A2692" s="159">
        <v>9205</v>
      </c>
      <c r="B2692" s="157" t="s">
        <v>29</v>
      </c>
      <c r="C2692" s="157" t="s">
        <v>1089</v>
      </c>
      <c r="D2692" s="159" t="s">
        <v>1088</v>
      </c>
      <c r="E2692" s="157" t="s">
        <v>1090</v>
      </c>
      <c r="F2692" s="157"/>
      <c r="G2692" s="157" t="s">
        <v>1536</v>
      </c>
      <c r="H2692" s="157" t="s">
        <v>1950</v>
      </c>
      <c r="I2692" s="157" t="s">
        <v>1996</v>
      </c>
      <c r="J2692" s="157" t="s">
        <v>1950</v>
      </c>
      <c r="K2692" s="157" t="s">
        <v>1269</v>
      </c>
      <c r="L2692" s="157" t="s">
        <v>1996</v>
      </c>
      <c r="M2692" s="157" t="str">
        <f t="shared" si="56"/>
        <v>Hood Flap - Hood Flap</v>
      </c>
      <c r="N2692" s="157"/>
      <c r="O2692" s="157"/>
      <c r="P2692" s="159" t="s">
        <v>7506</v>
      </c>
      <c r="Q2692" s="157"/>
      <c r="R2692" s="157"/>
      <c r="S2692" s="157"/>
      <c r="T2692" s="157"/>
      <c r="U2692" s="159" t="s">
        <v>2129</v>
      </c>
      <c r="V2692" s="159" t="s">
        <v>2129</v>
      </c>
      <c r="W2692" s="159" t="s">
        <v>2138</v>
      </c>
      <c r="X2692" s="160">
        <v>1</v>
      </c>
      <c r="Y2692" s="160">
        <v>0</v>
      </c>
      <c r="Z2692" s="160">
        <v>0</v>
      </c>
      <c r="AA2692" s="160">
        <v>0</v>
      </c>
    </row>
    <row r="2693" spans="1:27" ht="18" customHeight="1" x14ac:dyDescent="0.25">
      <c r="A2693" s="159">
        <v>9206</v>
      </c>
      <c r="B2693" s="157" t="s">
        <v>280</v>
      </c>
      <c r="C2693" s="157" t="s">
        <v>354</v>
      </c>
      <c r="D2693" s="159" t="s">
        <v>357</v>
      </c>
      <c r="E2693" s="157" t="s">
        <v>355</v>
      </c>
      <c r="F2693" s="157" t="s">
        <v>1264</v>
      </c>
      <c r="G2693" s="157" t="s">
        <v>1265</v>
      </c>
      <c r="H2693" s="157" t="s">
        <v>1458</v>
      </c>
      <c r="I2693" s="157" t="s">
        <v>1997</v>
      </c>
      <c r="J2693" s="157" t="s">
        <v>1713</v>
      </c>
      <c r="K2693" s="157" t="s">
        <v>1269</v>
      </c>
      <c r="L2693" s="157" t="s">
        <v>1998</v>
      </c>
      <c r="M2693" s="157" t="str">
        <f t="shared" si="56"/>
        <v>Amplifier for bass speakers - Sub-Woofer</v>
      </c>
      <c r="N2693" s="157"/>
      <c r="O2693" s="157"/>
      <c r="P2693" s="159" t="s">
        <v>4674</v>
      </c>
      <c r="Q2693" s="157" t="s">
        <v>2115</v>
      </c>
      <c r="R2693" s="157" t="s">
        <v>8593</v>
      </c>
      <c r="S2693" s="157" t="s">
        <v>8647</v>
      </c>
      <c r="T2693" s="157"/>
      <c r="U2693" s="159" t="s">
        <v>2129</v>
      </c>
      <c r="V2693" s="159" t="s">
        <v>2129</v>
      </c>
      <c r="W2693" s="159" t="s">
        <v>2138</v>
      </c>
      <c r="X2693" s="160">
        <v>0.3</v>
      </c>
      <c r="Y2693" s="160">
        <v>0.3</v>
      </c>
      <c r="Z2693" s="160">
        <v>0.3</v>
      </c>
      <c r="AA2693" s="160">
        <v>0.3</v>
      </c>
    </row>
    <row r="2694" spans="1:27" ht="18" customHeight="1" x14ac:dyDescent="0.25">
      <c r="A2694" s="159">
        <v>9207</v>
      </c>
      <c r="B2694" s="157" t="s">
        <v>280</v>
      </c>
      <c r="C2694" s="157" t="s">
        <v>354</v>
      </c>
      <c r="D2694" s="159" t="s">
        <v>358</v>
      </c>
      <c r="E2694" s="157" t="s">
        <v>472</v>
      </c>
      <c r="F2694" s="157" t="s">
        <v>1264</v>
      </c>
      <c r="G2694" s="157" t="s">
        <v>1265</v>
      </c>
      <c r="H2694" s="157" t="s">
        <v>1458</v>
      </c>
      <c r="I2694" s="157" t="s">
        <v>1999</v>
      </c>
      <c r="J2694" s="157" t="s">
        <v>1713</v>
      </c>
      <c r="K2694" s="157" t="s">
        <v>1269</v>
      </c>
      <c r="L2694" s="157" t="s">
        <v>2000</v>
      </c>
      <c r="M2694" s="157" t="str">
        <f t="shared" si="56"/>
        <v>Amplifier for digital sound package - Digital Sound Package</v>
      </c>
      <c r="N2694" s="157"/>
      <c r="O2694" s="157"/>
      <c r="P2694" s="159" t="s">
        <v>4122</v>
      </c>
      <c r="Q2694" s="157" t="s">
        <v>2115</v>
      </c>
      <c r="R2694" s="157" t="s">
        <v>8592</v>
      </c>
      <c r="S2694" s="157" t="s">
        <v>8648</v>
      </c>
      <c r="T2694" s="157"/>
      <c r="U2694" s="159" t="s">
        <v>2129</v>
      </c>
      <c r="V2694" s="159" t="s">
        <v>2129</v>
      </c>
      <c r="W2694" s="159" t="s">
        <v>2138</v>
      </c>
      <c r="X2694" s="160">
        <v>0</v>
      </c>
      <c r="Y2694" s="160">
        <v>0</v>
      </c>
      <c r="Z2694" s="160">
        <v>0</v>
      </c>
      <c r="AA2694" s="160">
        <v>0</v>
      </c>
    </row>
    <row r="2695" spans="1:27" ht="18" customHeight="1" x14ac:dyDescent="0.25">
      <c r="A2695" s="159">
        <v>9208</v>
      </c>
      <c r="B2695" s="157" t="s">
        <v>280</v>
      </c>
      <c r="C2695" s="157" t="s">
        <v>505</v>
      </c>
      <c r="D2695" s="159" t="s">
        <v>1235</v>
      </c>
      <c r="E2695" s="157" t="s">
        <v>1233</v>
      </c>
      <c r="F2695" s="157" t="s">
        <v>1264</v>
      </c>
      <c r="G2695" s="157" t="s">
        <v>1265</v>
      </c>
      <c r="H2695" s="157" t="s">
        <v>1271</v>
      </c>
      <c r="I2695" s="157" t="s">
        <v>1276</v>
      </c>
      <c r="J2695" s="157" t="s">
        <v>1276</v>
      </c>
      <c r="K2695" s="157" t="s">
        <v>1269</v>
      </c>
      <c r="L2695" s="157" t="s">
        <v>2001</v>
      </c>
      <c r="M2695" s="157" t="str">
        <f t="shared" si="56"/>
        <v>Mobile phone amplifier - Telephone</v>
      </c>
      <c r="N2695" s="157"/>
      <c r="O2695" s="157"/>
      <c r="P2695" s="159"/>
      <c r="Q2695" s="157"/>
      <c r="R2695" s="157"/>
      <c r="S2695" s="157"/>
      <c r="T2695" s="157"/>
      <c r="U2695" s="159"/>
      <c r="V2695" s="159"/>
      <c r="W2695" s="159"/>
      <c r="X2695" s="160"/>
      <c r="Y2695" s="160"/>
      <c r="Z2695" s="160"/>
      <c r="AA2695" s="160"/>
    </row>
    <row r="2696" spans="1:27" ht="18" customHeight="1" x14ac:dyDescent="0.25">
      <c r="A2696" s="159">
        <v>9210</v>
      </c>
      <c r="B2696" s="157" t="s">
        <v>280</v>
      </c>
      <c r="C2696" s="157" t="s">
        <v>505</v>
      </c>
      <c r="D2696" s="159" t="s">
        <v>1235</v>
      </c>
      <c r="E2696" s="157" t="s">
        <v>1233</v>
      </c>
      <c r="F2696" s="157" t="s">
        <v>1264</v>
      </c>
      <c r="G2696" s="157" t="s">
        <v>1265</v>
      </c>
      <c r="H2696" s="157" t="s">
        <v>1271</v>
      </c>
      <c r="I2696" s="157" t="s">
        <v>1276</v>
      </c>
      <c r="J2696" s="157" t="s">
        <v>1276</v>
      </c>
      <c r="K2696" s="157" t="s">
        <v>1269</v>
      </c>
      <c r="L2696" s="157" t="s">
        <v>2002</v>
      </c>
      <c r="M2696" s="157" t="str">
        <f t="shared" si="56"/>
        <v>Mobile phone amplifier [compensator coupling box] - Telephone</v>
      </c>
      <c r="N2696" s="157"/>
      <c r="O2696" s="157"/>
      <c r="P2696" s="159"/>
      <c r="Q2696" s="157"/>
      <c r="R2696" s="157"/>
      <c r="S2696" s="157"/>
      <c r="T2696" s="157"/>
      <c r="U2696" s="159"/>
      <c r="V2696" s="159"/>
      <c r="W2696" s="159"/>
      <c r="X2696" s="160"/>
      <c r="Y2696" s="160"/>
      <c r="Z2696" s="160"/>
      <c r="AA2696" s="160"/>
    </row>
    <row r="2697" spans="1:27" ht="18" customHeight="1" x14ac:dyDescent="0.25">
      <c r="A2697" s="159">
        <v>9211</v>
      </c>
      <c r="B2697" s="157" t="s">
        <v>266</v>
      </c>
      <c r="C2697" s="157" t="s">
        <v>276</v>
      </c>
      <c r="D2697" s="159" t="s">
        <v>542</v>
      </c>
      <c r="E2697" s="157" t="s">
        <v>540</v>
      </c>
      <c r="F2697" s="157"/>
      <c r="G2697" s="157" t="s">
        <v>1349</v>
      </c>
      <c r="H2697" s="157" t="s">
        <v>1418</v>
      </c>
      <c r="I2697" s="157" t="s">
        <v>8512</v>
      </c>
      <c r="J2697" s="157"/>
      <c r="K2697" s="157" t="s">
        <v>1269</v>
      </c>
      <c r="L2697" s="157" t="s">
        <v>8509</v>
      </c>
      <c r="M2697" s="157" t="str">
        <f t="shared" si="56"/>
        <v>Washer Pump Mono - Night Vision Camera Washer</v>
      </c>
      <c r="N2697" s="157"/>
      <c r="O2697" s="157"/>
      <c r="P2697" s="159" t="s">
        <v>2415</v>
      </c>
      <c r="Q2697" s="157" t="s">
        <v>2115</v>
      </c>
      <c r="R2697" s="157" t="s">
        <v>2130</v>
      </c>
      <c r="S2697" s="157" t="s">
        <v>8609</v>
      </c>
      <c r="T2697" s="157" t="s">
        <v>2129</v>
      </c>
      <c r="U2697" s="159" t="s">
        <v>2129</v>
      </c>
      <c r="V2697" s="159" t="s">
        <v>2129</v>
      </c>
      <c r="W2697" s="159" t="s">
        <v>2138</v>
      </c>
      <c r="X2697" s="160">
        <v>0</v>
      </c>
      <c r="Y2697" s="160">
        <v>0.01</v>
      </c>
      <c r="Z2697" s="160">
        <v>0.02</v>
      </c>
      <c r="AA2697" s="160">
        <v>0.02</v>
      </c>
    </row>
    <row r="2698" spans="1:27" ht="18" customHeight="1" x14ac:dyDescent="0.25">
      <c r="A2698" s="159">
        <v>9212</v>
      </c>
      <c r="B2698" s="157" t="s">
        <v>22</v>
      </c>
      <c r="C2698" s="157" t="s">
        <v>40</v>
      </c>
      <c r="D2698" s="159" t="s">
        <v>983</v>
      </c>
      <c r="E2698" s="157" t="s">
        <v>981</v>
      </c>
      <c r="F2698" s="157" t="s">
        <v>1298</v>
      </c>
      <c r="G2698" s="157" t="s">
        <v>1299</v>
      </c>
      <c r="H2698" s="157" t="s">
        <v>1300</v>
      </c>
      <c r="I2698" s="157" t="s">
        <v>1300</v>
      </c>
      <c r="J2698" s="157" t="s">
        <v>2003</v>
      </c>
      <c r="K2698" s="157" t="s">
        <v>1302</v>
      </c>
      <c r="L2698" s="157" t="s">
        <v>2004</v>
      </c>
      <c r="M2698" s="157" t="str">
        <f t="shared" ref="M2698:M2761" si="57">CONCATENATE(L2698," - ",I2698)</f>
        <v>Rollover Protection Passenger's Side [Convertible] - Airbag</v>
      </c>
      <c r="N2698" s="157"/>
      <c r="O2698" s="157"/>
      <c r="P2698" s="159" t="s">
        <v>3996</v>
      </c>
      <c r="Q2698" s="157" t="s">
        <v>2115</v>
      </c>
      <c r="R2698" s="157" t="s">
        <v>2118</v>
      </c>
      <c r="S2698" s="157" t="s">
        <v>2119</v>
      </c>
      <c r="T2698" s="157"/>
      <c r="U2698" s="159" t="s">
        <v>2129</v>
      </c>
      <c r="V2698" s="159" t="s">
        <v>2129</v>
      </c>
      <c r="W2698" s="159" t="s">
        <v>2129</v>
      </c>
      <c r="X2698" s="160">
        <v>0</v>
      </c>
      <c r="Y2698" s="160">
        <v>0</v>
      </c>
      <c r="Z2698" s="160">
        <v>0</v>
      </c>
      <c r="AA2698" s="160">
        <v>0</v>
      </c>
    </row>
    <row r="2699" spans="1:27" ht="18" customHeight="1" x14ac:dyDescent="0.25">
      <c r="A2699" s="159">
        <v>9213</v>
      </c>
      <c r="B2699" s="157" t="s">
        <v>22</v>
      </c>
      <c r="C2699" s="157" t="s">
        <v>40</v>
      </c>
      <c r="D2699" s="159" t="s">
        <v>983</v>
      </c>
      <c r="E2699" s="157" t="s">
        <v>981</v>
      </c>
      <c r="F2699" s="157" t="s">
        <v>1298</v>
      </c>
      <c r="G2699" s="157" t="s">
        <v>1299</v>
      </c>
      <c r="H2699" s="157" t="s">
        <v>1300</v>
      </c>
      <c r="I2699" s="157" t="s">
        <v>1300</v>
      </c>
      <c r="J2699" s="157" t="s">
        <v>2005</v>
      </c>
      <c r="K2699" s="157" t="s">
        <v>1302</v>
      </c>
      <c r="L2699" s="157" t="s">
        <v>2006</v>
      </c>
      <c r="M2699" s="157" t="str">
        <f t="shared" si="57"/>
        <v>Rollover Protection Driver's Side [Convertible] - Airbag</v>
      </c>
      <c r="N2699" s="157"/>
      <c r="O2699" s="157"/>
      <c r="P2699" s="159" t="s">
        <v>7711</v>
      </c>
      <c r="Q2699" s="157" t="s">
        <v>2115</v>
      </c>
      <c r="R2699" s="157" t="s">
        <v>2118</v>
      </c>
      <c r="S2699" s="157" t="s">
        <v>2119</v>
      </c>
      <c r="T2699" s="157"/>
      <c r="U2699" s="159" t="s">
        <v>2129</v>
      </c>
      <c r="V2699" s="159" t="s">
        <v>2129</v>
      </c>
      <c r="W2699" s="159" t="s">
        <v>2129</v>
      </c>
      <c r="X2699" s="160">
        <v>0</v>
      </c>
      <c r="Y2699" s="160">
        <v>0</v>
      </c>
      <c r="Z2699" s="160">
        <v>0</v>
      </c>
      <c r="AA2699" s="160">
        <v>0</v>
      </c>
    </row>
    <row r="2700" spans="1:27" ht="18" customHeight="1" x14ac:dyDescent="0.25">
      <c r="A2700" s="159">
        <v>9214</v>
      </c>
      <c r="B2700" s="157" t="s">
        <v>22</v>
      </c>
      <c r="C2700" s="157" t="s">
        <v>40</v>
      </c>
      <c r="D2700" s="159" t="s">
        <v>985</v>
      </c>
      <c r="E2700" s="157" t="s">
        <v>984</v>
      </c>
      <c r="F2700" s="157" t="s">
        <v>1298</v>
      </c>
      <c r="G2700" s="157" t="s">
        <v>1299</v>
      </c>
      <c r="H2700" s="157" t="s">
        <v>1300</v>
      </c>
      <c r="I2700" s="157" t="s">
        <v>9742</v>
      </c>
      <c r="J2700" s="157" t="s">
        <v>2007</v>
      </c>
      <c r="K2700" s="157" t="s">
        <v>1302</v>
      </c>
      <c r="L2700" s="157" t="s">
        <v>9653</v>
      </c>
      <c r="M2700" s="157" t="str">
        <f t="shared" si="57"/>
        <v>Head Airbag Passenger's Side - Curtain/Head Airbag</v>
      </c>
      <c r="N2700" s="157"/>
      <c r="O2700" s="157"/>
      <c r="P2700" s="159" t="s">
        <v>4447</v>
      </c>
      <c r="Q2700" s="157" t="s">
        <v>2115</v>
      </c>
      <c r="R2700" s="157" t="s">
        <v>2118</v>
      </c>
      <c r="S2700" s="157" t="s">
        <v>2119</v>
      </c>
      <c r="T2700" s="157"/>
      <c r="U2700" s="159" t="s">
        <v>2129</v>
      </c>
      <c r="V2700" s="159" t="s">
        <v>2129</v>
      </c>
      <c r="W2700" s="159" t="s">
        <v>2138</v>
      </c>
      <c r="X2700" s="160">
        <v>0</v>
      </c>
      <c r="Y2700" s="160">
        <v>0</v>
      </c>
      <c r="Z2700" s="160">
        <v>0</v>
      </c>
      <c r="AA2700" s="160">
        <v>0</v>
      </c>
    </row>
    <row r="2701" spans="1:27" ht="18" customHeight="1" x14ac:dyDescent="0.25">
      <c r="A2701" s="159">
        <v>9215</v>
      </c>
      <c r="B2701" s="157" t="s">
        <v>22</v>
      </c>
      <c r="C2701" s="157" t="s">
        <v>40</v>
      </c>
      <c r="D2701" s="159" t="s">
        <v>739</v>
      </c>
      <c r="E2701" s="157" t="s">
        <v>737</v>
      </c>
      <c r="F2701" s="157" t="s">
        <v>1298</v>
      </c>
      <c r="G2701" s="157" t="s">
        <v>1299</v>
      </c>
      <c r="H2701" s="157" t="s">
        <v>1300</v>
      </c>
      <c r="I2701" s="157" t="s">
        <v>9742</v>
      </c>
      <c r="J2701" s="157" t="s">
        <v>2008</v>
      </c>
      <c r="K2701" s="157" t="s">
        <v>1302</v>
      </c>
      <c r="L2701" s="157" t="s">
        <v>9654</v>
      </c>
      <c r="M2701" s="157" t="str">
        <f t="shared" si="57"/>
        <v>Head Airbag Driver's Side - Curtain/Head Airbag</v>
      </c>
      <c r="N2701" s="157"/>
      <c r="O2701" s="157"/>
      <c r="P2701" s="159" t="s">
        <v>7085</v>
      </c>
      <c r="Q2701" s="157" t="s">
        <v>2115</v>
      </c>
      <c r="R2701" s="157" t="s">
        <v>2118</v>
      </c>
      <c r="S2701" s="157" t="s">
        <v>2119</v>
      </c>
      <c r="T2701" s="157"/>
      <c r="U2701" s="159" t="s">
        <v>2129</v>
      </c>
      <c r="V2701" s="159" t="s">
        <v>2129</v>
      </c>
      <c r="W2701" s="159" t="s">
        <v>2138</v>
      </c>
      <c r="X2701" s="160">
        <v>0</v>
      </c>
      <c r="Y2701" s="160">
        <v>0</v>
      </c>
      <c r="Z2701" s="160">
        <v>0</v>
      </c>
      <c r="AA2701" s="160">
        <v>0</v>
      </c>
    </row>
    <row r="2702" spans="1:27" ht="18" customHeight="1" x14ac:dyDescent="0.25">
      <c r="A2702" s="159">
        <v>9217</v>
      </c>
      <c r="B2702" s="157" t="s">
        <v>280</v>
      </c>
      <c r="C2702" s="157" t="s">
        <v>337</v>
      </c>
      <c r="D2702" s="159" t="s">
        <v>1088</v>
      </c>
      <c r="E2702" s="157" t="s">
        <v>1086</v>
      </c>
      <c r="F2702" s="157"/>
      <c r="G2702" s="157" t="s">
        <v>1265</v>
      </c>
      <c r="H2702" s="157" t="s">
        <v>1271</v>
      </c>
      <c r="I2702" s="157" t="s">
        <v>2009</v>
      </c>
      <c r="J2702" s="157"/>
      <c r="K2702" s="157" t="s">
        <v>1269</v>
      </c>
      <c r="L2702" s="157" t="s">
        <v>2009</v>
      </c>
      <c r="M2702" s="157" t="str">
        <f t="shared" si="57"/>
        <v>Chip Card Reader - Chip Card Reader</v>
      </c>
      <c r="N2702" s="157"/>
      <c r="O2702" s="157"/>
      <c r="P2702" s="159" t="s">
        <v>4434</v>
      </c>
      <c r="Q2702" s="157"/>
      <c r="R2702" s="157"/>
      <c r="S2702" s="157"/>
      <c r="T2702" s="157"/>
      <c r="U2702" s="159" t="s">
        <v>2138</v>
      </c>
      <c r="V2702" s="159" t="s">
        <v>2129</v>
      </c>
      <c r="W2702" s="159" t="s">
        <v>2129</v>
      </c>
      <c r="X2702" s="160">
        <v>1</v>
      </c>
      <c r="Y2702" s="160">
        <v>1</v>
      </c>
      <c r="Z2702" s="160">
        <v>1</v>
      </c>
      <c r="AA2702" s="160">
        <v>1</v>
      </c>
    </row>
    <row r="2703" spans="1:27" ht="18" customHeight="1" x14ac:dyDescent="0.25">
      <c r="A2703" s="159">
        <v>9218</v>
      </c>
      <c r="B2703" s="157" t="s">
        <v>22</v>
      </c>
      <c r="C2703" s="157" t="s">
        <v>35</v>
      </c>
      <c r="D2703" s="159" t="s">
        <v>38</v>
      </c>
      <c r="E2703" s="157" t="s">
        <v>36</v>
      </c>
      <c r="F2703" s="157" t="s">
        <v>1277</v>
      </c>
      <c r="G2703" s="157" t="s">
        <v>1299</v>
      </c>
      <c r="H2703" s="157" t="s">
        <v>1300</v>
      </c>
      <c r="I2703" s="157" t="s">
        <v>2010</v>
      </c>
      <c r="J2703" s="157"/>
      <c r="K2703" s="157" t="s">
        <v>1281</v>
      </c>
      <c r="L2703" s="157" t="s">
        <v>1282</v>
      </c>
      <c r="M2703" s="157" t="str">
        <f t="shared" si="57"/>
        <v>User Selector - Passenger Airbag Deactivation</v>
      </c>
      <c r="N2703" s="157"/>
      <c r="O2703" s="157"/>
      <c r="P2703" s="159" t="s">
        <v>4062</v>
      </c>
      <c r="Q2703" s="157"/>
      <c r="R2703" s="157"/>
      <c r="S2703" s="157"/>
      <c r="T2703" s="157"/>
      <c r="U2703" s="159" t="s">
        <v>2138</v>
      </c>
      <c r="V2703" s="159" t="s">
        <v>2138</v>
      </c>
      <c r="W2703" s="159" t="s">
        <v>2138</v>
      </c>
      <c r="X2703" s="160">
        <v>1</v>
      </c>
      <c r="Y2703" s="160">
        <v>1</v>
      </c>
      <c r="Z2703" s="160">
        <v>1</v>
      </c>
      <c r="AA2703" s="160">
        <v>1</v>
      </c>
    </row>
    <row r="2704" spans="1:27" ht="18" customHeight="1" x14ac:dyDescent="0.25">
      <c r="A2704" s="159">
        <v>9250</v>
      </c>
      <c r="B2704" s="157" t="s">
        <v>29</v>
      </c>
      <c r="C2704" s="157" t="s">
        <v>1082</v>
      </c>
      <c r="D2704" s="159" t="s">
        <v>1085</v>
      </c>
      <c r="E2704" s="157" t="s">
        <v>1083</v>
      </c>
      <c r="F2704" s="157"/>
      <c r="G2704" s="157" t="s">
        <v>1536</v>
      </c>
      <c r="H2704" s="157" t="s">
        <v>1958</v>
      </c>
      <c r="I2704" s="157" t="s">
        <v>1988</v>
      </c>
      <c r="J2704" s="157" t="s">
        <v>1640</v>
      </c>
      <c r="K2704" s="157" t="s">
        <v>1269</v>
      </c>
      <c r="L2704" s="157" t="s">
        <v>2077</v>
      </c>
      <c r="M2704" s="157" t="str">
        <f t="shared" si="57"/>
        <v>Rear Spoiler Motor - Rear Spoiler Adjustment</v>
      </c>
      <c r="N2704" s="157"/>
      <c r="O2704" s="157"/>
      <c r="P2704" s="159" t="s">
        <v>4226</v>
      </c>
      <c r="Q2704" s="157" t="s">
        <v>2115</v>
      </c>
      <c r="R2704" s="157" t="s">
        <v>2112</v>
      </c>
      <c r="S2704" s="157" t="s">
        <v>8623</v>
      </c>
      <c r="T2704" s="157"/>
      <c r="U2704" s="159" t="s">
        <v>2129</v>
      </c>
      <c r="V2704" s="159" t="s">
        <v>2129</v>
      </c>
      <c r="W2704" s="159" t="s">
        <v>2138</v>
      </c>
      <c r="X2704" s="160">
        <v>0</v>
      </c>
      <c r="Y2704" s="160">
        <f>10*(5/60)/20</f>
        <v>4.1666666666666664E-2</v>
      </c>
      <c r="Z2704" s="160">
        <v>0</v>
      </c>
      <c r="AA2704" s="160">
        <f>10*(5/60)/20</f>
        <v>4.1666666666666664E-2</v>
      </c>
    </row>
    <row r="2705" spans="1:27" ht="18" customHeight="1" x14ac:dyDescent="0.25">
      <c r="A2705" s="159">
        <v>9251</v>
      </c>
      <c r="B2705" s="157" t="s">
        <v>29</v>
      </c>
      <c r="C2705" s="157" t="s">
        <v>1082</v>
      </c>
      <c r="D2705" s="159" t="s">
        <v>1085</v>
      </c>
      <c r="E2705" s="157" t="s">
        <v>1083</v>
      </c>
      <c r="F2705" s="157"/>
      <c r="G2705" s="157" t="s">
        <v>1536</v>
      </c>
      <c r="H2705" s="157" t="s">
        <v>1958</v>
      </c>
      <c r="I2705" s="157" t="s">
        <v>1988</v>
      </c>
      <c r="J2705" s="157" t="s">
        <v>1640</v>
      </c>
      <c r="K2705" s="157" t="s">
        <v>1312</v>
      </c>
      <c r="L2705" s="157" t="s">
        <v>2078</v>
      </c>
      <c r="M2705" s="157" t="str">
        <f t="shared" si="57"/>
        <v>Rear Spoiler Position Sensor Hall - Rear Spoiler Adjustment</v>
      </c>
      <c r="N2705" s="157"/>
      <c r="O2705" s="157"/>
      <c r="P2705" s="159" t="s">
        <v>4317</v>
      </c>
      <c r="Q2705" s="157" t="s">
        <v>2115</v>
      </c>
      <c r="R2705" s="157" t="s">
        <v>2116</v>
      </c>
      <c r="S2705" s="157" t="s">
        <v>8618</v>
      </c>
      <c r="T2705" s="157"/>
      <c r="U2705" s="159" t="s">
        <v>2129</v>
      </c>
      <c r="V2705" s="159" t="s">
        <v>2129</v>
      </c>
      <c r="W2705" s="159" t="s">
        <v>2138</v>
      </c>
      <c r="X2705" s="160">
        <v>0</v>
      </c>
      <c r="Y2705" s="160">
        <f>10*(5/60)/20</f>
        <v>4.1666666666666664E-2</v>
      </c>
      <c r="Z2705" s="160">
        <v>0</v>
      </c>
      <c r="AA2705" s="160">
        <f>10*(5/60)/20</f>
        <v>4.1666666666666664E-2</v>
      </c>
    </row>
    <row r="2706" spans="1:27" ht="18" customHeight="1" x14ac:dyDescent="0.25">
      <c r="A2706" s="159">
        <v>9253</v>
      </c>
      <c r="B2706" s="157" t="s">
        <v>29</v>
      </c>
      <c r="C2706" s="157" t="s">
        <v>1089</v>
      </c>
      <c r="D2706" s="159" t="s">
        <v>1088</v>
      </c>
      <c r="E2706" s="157" t="s">
        <v>1090</v>
      </c>
      <c r="F2706" s="157"/>
      <c r="G2706" s="157" t="s">
        <v>1536</v>
      </c>
      <c r="H2706" s="157" t="s">
        <v>1950</v>
      </c>
      <c r="I2706" s="157" t="s">
        <v>1987</v>
      </c>
      <c r="J2706" s="157" t="s">
        <v>1950</v>
      </c>
      <c r="K2706" s="157" t="s">
        <v>1269</v>
      </c>
      <c r="L2706" s="157" t="s">
        <v>2079</v>
      </c>
      <c r="M2706" s="157" t="str">
        <f t="shared" si="57"/>
        <v>Top closing unit - Convertible Top Operation</v>
      </c>
      <c r="N2706" s="157"/>
      <c r="O2706" s="157"/>
      <c r="P2706" s="159" t="s">
        <v>7362</v>
      </c>
      <c r="Q2706" s="157"/>
      <c r="R2706" s="157"/>
      <c r="S2706" s="157"/>
      <c r="T2706" s="157"/>
      <c r="U2706" s="159" t="s">
        <v>2129</v>
      </c>
      <c r="V2706" s="159" t="s">
        <v>2129</v>
      </c>
      <c r="W2706" s="159" t="s">
        <v>2138</v>
      </c>
      <c r="X2706" s="160">
        <f>2*20/(20*60)</f>
        <v>3.3333333333333333E-2</v>
      </c>
      <c r="Y2706" s="160">
        <v>0</v>
      </c>
      <c r="Z2706" s="160">
        <v>0</v>
      </c>
      <c r="AA2706" s="160">
        <v>0</v>
      </c>
    </row>
    <row r="2707" spans="1:27" ht="18" customHeight="1" x14ac:dyDescent="0.25">
      <c r="A2707" s="159">
        <v>9254</v>
      </c>
      <c r="B2707" s="157" t="s">
        <v>29</v>
      </c>
      <c r="C2707" s="157" t="s">
        <v>386</v>
      </c>
      <c r="D2707" s="159" t="s">
        <v>389</v>
      </c>
      <c r="E2707" s="157" t="s">
        <v>387</v>
      </c>
      <c r="F2707" s="157" t="s">
        <v>1277</v>
      </c>
      <c r="G2707" s="157" t="s">
        <v>1536</v>
      </c>
      <c r="H2707" s="157" t="s">
        <v>1537</v>
      </c>
      <c r="I2707" s="157" t="s">
        <v>1538</v>
      </c>
      <c r="J2707" s="157" t="s">
        <v>1539</v>
      </c>
      <c r="K2707" s="157" t="s">
        <v>1281</v>
      </c>
      <c r="L2707" s="157" t="s">
        <v>1282</v>
      </c>
      <c r="M2707" s="157" t="str">
        <f t="shared" si="57"/>
        <v>User Selector - Sun Roof Opening and Closing</v>
      </c>
      <c r="N2707" s="157"/>
      <c r="O2707" s="157"/>
      <c r="P2707" s="159" t="s">
        <v>5654</v>
      </c>
      <c r="Q2707" s="157"/>
      <c r="R2707" s="157"/>
      <c r="S2707" s="157"/>
      <c r="T2707" s="157"/>
      <c r="U2707" s="159" t="s">
        <v>2129</v>
      </c>
      <c r="V2707" s="159" t="s">
        <v>2129</v>
      </c>
      <c r="W2707" s="159" t="s">
        <v>2138</v>
      </c>
      <c r="X2707" s="160">
        <v>0.01</v>
      </c>
      <c r="Y2707" s="160">
        <v>0</v>
      </c>
      <c r="Z2707" s="160">
        <v>0</v>
      </c>
      <c r="AA2707" s="160">
        <v>0</v>
      </c>
    </row>
    <row r="2708" spans="1:27" ht="18" customHeight="1" x14ac:dyDescent="0.25">
      <c r="A2708" s="159">
        <v>9255</v>
      </c>
      <c r="B2708" s="157" t="s">
        <v>29</v>
      </c>
      <c r="C2708" s="157" t="s">
        <v>386</v>
      </c>
      <c r="D2708" s="159" t="s">
        <v>389</v>
      </c>
      <c r="E2708" s="157" t="s">
        <v>387</v>
      </c>
      <c r="F2708" s="157" t="s">
        <v>1277</v>
      </c>
      <c r="G2708" s="157" t="s">
        <v>1536</v>
      </c>
      <c r="H2708" s="157" t="s">
        <v>1537</v>
      </c>
      <c r="I2708" s="157" t="s">
        <v>2080</v>
      </c>
      <c r="J2708" s="157" t="s">
        <v>1539</v>
      </c>
      <c r="K2708" s="157" t="s">
        <v>1281</v>
      </c>
      <c r="L2708" s="157" t="s">
        <v>1282</v>
      </c>
      <c r="M2708" s="157" t="str">
        <f t="shared" si="57"/>
        <v>User Selector - Sun Roof Courtain Opening and Closing</v>
      </c>
      <c r="N2708" s="157"/>
      <c r="O2708" s="157"/>
      <c r="P2708" s="159" t="s">
        <v>5840</v>
      </c>
      <c r="Q2708" s="157"/>
      <c r="R2708" s="157"/>
      <c r="S2708" s="157"/>
      <c r="T2708" s="157"/>
      <c r="U2708" s="159" t="s">
        <v>2129</v>
      </c>
      <c r="V2708" s="159" t="s">
        <v>2129</v>
      </c>
      <c r="W2708" s="159" t="s">
        <v>2138</v>
      </c>
      <c r="X2708" s="160">
        <v>0.01</v>
      </c>
      <c r="Y2708" s="160">
        <v>0</v>
      </c>
      <c r="Z2708" s="160">
        <v>0</v>
      </c>
      <c r="AA2708" s="160">
        <v>0</v>
      </c>
    </row>
    <row r="2709" spans="1:27" ht="18" customHeight="1" x14ac:dyDescent="0.25">
      <c r="A2709" s="159">
        <v>9256</v>
      </c>
      <c r="B2709" s="157" t="s">
        <v>29</v>
      </c>
      <c r="C2709" s="157" t="s">
        <v>386</v>
      </c>
      <c r="D2709" s="159" t="s">
        <v>389</v>
      </c>
      <c r="E2709" s="157" t="s">
        <v>387</v>
      </c>
      <c r="F2709" s="157" t="s">
        <v>1277</v>
      </c>
      <c r="G2709" s="157" t="s">
        <v>1536</v>
      </c>
      <c r="H2709" s="157" t="s">
        <v>1537</v>
      </c>
      <c r="I2709" s="157" t="s">
        <v>2092</v>
      </c>
      <c r="J2709" s="157" t="s">
        <v>1539</v>
      </c>
      <c r="K2709" s="157" t="s">
        <v>1269</v>
      </c>
      <c r="L2709" s="157" t="s">
        <v>2093</v>
      </c>
      <c r="M2709" s="157" t="str">
        <f t="shared" si="57"/>
        <v>Motor for Wind Deflection - Sun Roof Wind Deflection</v>
      </c>
      <c r="N2709" s="157"/>
      <c r="O2709" s="157"/>
      <c r="P2709" s="159" t="s">
        <v>5747</v>
      </c>
      <c r="Q2709" s="157"/>
      <c r="R2709" s="157"/>
      <c r="S2709" s="157"/>
      <c r="T2709" s="157"/>
      <c r="U2709" s="159" t="s">
        <v>2129</v>
      </c>
      <c r="V2709" s="159" t="s">
        <v>2129</v>
      </c>
      <c r="W2709" s="159" t="s">
        <v>2138</v>
      </c>
      <c r="X2709" s="160">
        <v>0.01</v>
      </c>
      <c r="Y2709" s="160">
        <v>0</v>
      </c>
      <c r="Z2709" s="160">
        <v>0</v>
      </c>
      <c r="AA2709" s="160">
        <v>0</v>
      </c>
    </row>
    <row r="2710" spans="1:27" ht="18" customHeight="1" x14ac:dyDescent="0.25">
      <c r="A2710" s="159">
        <v>9260</v>
      </c>
      <c r="B2710" s="157" t="s">
        <v>29</v>
      </c>
      <c r="C2710" s="157" t="s">
        <v>113</v>
      </c>
      <c r="D2710" s="159" t="s">
        <v>307</v>
      </c>
      <c r="E2710" s="157" t="s">
        <v>305</v>
      </c>
      <c r="F2710" s="157" t="s">
        <v>1277</v>
      </c>
      <c r="G2710" s="157" t="s">
        <v>1349</v>
      </c>
      <c r="H2710" s="157" t="s">
        <v>1415</v>
      </c>
      <c r="I2710" s="157" t="s">
        <v>1293</v>
      </c>
      <c r="J2710" s="157" t="s">
        <v>1416</v>
      </c>
      <c r="K2710" s="157" t="s">
        <v>1352</v>
      </c>
      <c r="L2710" s="157" t="s">
        <v>1417</v>
      </c>
      <c r="M2710" s="157" t="str">
        <f t="shared" si="57"/>
        <v>Back-up Camera - Rear View</v>
      </c>
      <c r="N2710" s="157"/>
      <c r="O2710" s="157"/>
      <c r="P2710" s="159" t="s">
        <v>5819</v>
      </c>
      <c r="Q2710" s="157"/>
      <c r="R2710" s="157"/>
      <c r="S2710" s="157"/>
      <c r="T2710" s="157"/>
      <c r="U2710" s="159" t="s">
        <v>2129</v>
      </c>
      <c r="V2710" s="159" t="s">
        <v>2129</v>
      </c>
      <c r="W2710" s="159" t="s">
        <v>2129</v>
      </c>
      <c r="X2710" s="160">
        <v>0.1</v>
      </c>
      <c r="Y2710" s="160">
        <v>0</v>
      </c>
      <c r="Z2710" s="160">
        <v>0.1</v>
      </c>
      <c r="AA2710" s="160">
        <v>0</v>
      </c>
    </row>
    <row r="2711" spans="1:27" ht="18" customHeight="1" x14ac:dyDescent="0.25">
      <c r="A2711" s="159">
        <v>10003</v>
      </c>
      <c r="B2711" s="157" t="s">
        <v>57</v>
      </c>
      <c r="C2711" s="157" t="s">
        <v>58</v>
      </c>
      <c r="D2711" s="159" t="s">
        <v>244</v>
      </c>
      <c r="E2711" s="157" t="s">
        <v>759</v>
      </c>
      <c r="F2711" s="157" t="s">
        <v>1264</v>
      </c>
      <c r="G2711" s="157" t="s">
        <v>1278</v>
      </c>
      <c r="H2711" s="157" t="s">
        <v>1378</v>
      </c>
      <c r="I2711" s="157" t="s">
        <v>2011</v>
      </c>
      <c r="J2711" s="157" t="s">
        <v>1504</v>
      </c>
      <c r="K2711" s="157" t="s">
        <v>1281</v>
      </c>
      <c r="L2711" s="157" t="s">
        <v>1282</v>
      </c>
      <c r="M2711" s="157" t="str">
        <f t="shared" si="57"/>
        <v>User Selector - Air Recycling</v>
      </c>
      <c r="N2711" s="157"/>
      <c r="O2711" s="157"/>
      <c r="P2711" s="159" t="s">
        <v>5554</v>
      </c>
      <c r="Q2711" s="157"/>
      <c r="R2711" s="157"/>
      <c r="S2711" s="157"/>
      <c r="T2711" s="157"/>
      <c r="U2711" s="159" t="s">
        <v>2138</v>
      </c>
      <c r="V2711" s="159" t="s">
        <v>2138</v>
      </c>
      <c r="W2711" s="159" t="s">
        <v>2138</v>
      </c>
      <c r="X2711" s="160">
        <v>0</v>
      </c>
      <c r="Y2711" s="160">
        <v>0</v>
      </c>
      <c r="Z2711" s="160">
        <v>1</v>
      </c>
      <c r="AA2711" s="160">
        <v>1</v>
      </c>
    </row>
    <row r="2712" spans="1:27" ht="18" customHeight="1" x14ac:dyDescent="0.25">
      <c r="A2712" s="159">
        <v>10004</v>
      </c>
      <c r="B2712" s="157" t="s">
        <v>57</v>
      </c>
      <c r="C2712" s="157" t="s">
        <v>58</v>
      </c>
      <c r="D2712" s="159" t="s">
        <v>995</v>
      </c>
      <c r="E2712" s="157" t="s">
        <v>993</v>
      </c>
      <c r="F2712" s="157" t="s">
        <v>1264</v>
      </c>
      <c r="G2712" s="157" t="s">
        <v>1278</v>
      </c>
      <c r="H2712" s="157" t="s">
        <v>1378</v>
      </c>
      <c r="I2712" s="157" t="s">
        <v>1387</v>
      </c>
      <c r="J2712" s="157" t="s">
        <v>9644</v>
      </c>
      <c r="K2712" s="157" t="s">
        <v>1312</v>
      </c>
      <c r="L2712" s="157" t="s">
        <v>2069</v>
      </c>
      <c r="M2712" s="157" t="str">
        <f t="shared" si="57"/>
        <v>Temperature Sensor - Coolant Temperature</v>
      </c>
      <c r="N2712" s="157"/>
      <c r="O2712" s="157"/>
      <c r="P2712" s="159" t="s">
        <v>3265</v>
      </c>
      <c r="Q2712" s="157"/>
      <c r="R2712" s="157"/>
      <c r="S2712" s="157"/>
      <c r="T2712" s="157"/>
      <c r="U2712" s="159" t="s">
        <v>2129</v>
      </c>
      <c r="V2712" s="159" t="s">
        <v>2129</v>
      </c>
      <c r="W2712" s="159" t="s">
        <v>2138</v>
      </c>
      <c r="X2712" s="160">
        <v>1</v>
      </c>
      <c r="Y2712" s="160">
        <v>1</v>
      </c>
      <c r="Z2712" s="160">
        <v>1</v>
      </c>
      <c r="AA2712" s="160">
        <v>1</v>
      </c>
    </row>
    <row r="2713" spans="1:27" ht="18" customHeight="1" x14ac:dyDescent="0.25">
      <c r="A2713" s="159">
        <v>10005</v>
      </c>
      <c r="B2713" s="157" t="s">
        <v>57</v>
      </c>
      <c r="C2713" s="157" t="s">
        <v>58</v>
      </c>
      <c r="D2713" s="159" t="s">
        <v>414</v>
      </c>
      <c r="E2713" s="157" t="s">
        <v>412</v>
      </c>
      <c r="F2713" s="157" t="s">
        <v>1264</v>
      </c>
      <c r="G2713" s="157" t="s">
        <v>1278</v>
      </c>
      <c r="H2713" s="157" t="s">
        <v>1378</v>
      </c>
      <c r="I2713" s="157" t="s">
        <v>2012</v>
      </c>
      <c r="J2713" s="157" t="s">
        <v>1380</v>
      </c>
      <c r="K2713" s="157" t="s">
        <v>1269</v>
      </c>
      <c r="L2713" s="157" t="s">
        <v>2013</v>
      </c>
      <c r="M2713" s="157" t="str">
        <f t="shared" si="57"/>
        <v>Valve - Heater Coolant Shut-off - Heat Pump System Operation</v>
      </c>
      <c r="N2713" s="157"/>
      <c r="O2713" s="157"/>
      <c r="P2713" s="159" t="s">
        <v>3070</v>
      </c>
      <c r="Q2713" s="157"/>
      <c r="R2713" s="157"/>
      <c r="S2713" s="157"/>
      <c r="T2713" s="157"/>
      <c r="U2713" s="159" t="s">
        <v>2129</v>
      </c>
      <c r="V2713" s="159" t="s">
        <v>2129</v>
      </c>
      <c r="W2713" s="159" t="s">
        <v>2138</v>
      </c>
      <c r="X2713" s="160">
        <v>0</v>
      </c>
      <c r="Y2713" s="160">
        <v>0.5</v>
      </c>
      <c r="Z2713" s="160">
        <v>0.5</v>
      </c>
      <c r="AA2713" s="160">
        <v>0</v>
      </c>
    </row>
    <row r="2714" spans="1:27" ht="18" customHeight="1" x14ac:dyDescent="0.25">
      <c r="A2714" s="159">
        <v>10006</v>
      </c>
      <c r="B2714" s="157" t="s">
        <v>57</v>
      </c>
      <c r="C2714" s="157" t="s">
        <v>58</v>
      </c>
      <c r="D2714" s="159" t="s">
        <v>995</v>
      </c>
      <c r="E2714" s="157" t="s">
        <v>993</v>
      </c>
      <c r="F2714" s="157" t="s">
        <v>1264</v>
      </c>
      <c r="G2714" s="157" t="s">
        <v>1321</v>
      </c>
      <c r="H2714" s="157" t="s">
        <v>2022</v>
      </c>
      <c r="I2714" s="157" t="s">
        <v>1529</v>
      </c>
      <c r="J2714" s="157" t="s">
        <v>1324</v>
      </c>
      <c r="K2714" s="157" t="s">
        <v>1269</v>
      </c>
      <c r="L2714" s="157" t="s">
        <v>8438</v>
      </c>
      <c r="M2714" s="157" t="str">
        <f t="shared" si="57"/>
        <v>Cooling Fan Motor 600W - Radiator Ventilation</v>
      </c>
      <c r="N2714" s="157"/>
      <c r="O2714" s="157"/>
      <c r="P2714" s="159" t="s">
        <v>3434</v>
      </c>
      <c r="Q2714" s="157" t="s">
        <v>2115</v>
      </c>
      <c r="R2714" s="157" t="s">
        <v>2117</v>
      </c>
      <c r="S2714" s="157" t="s">
        <v>8622</v>
      </c>
      <c r="T2714" s="157"/>
      <c r="U2714" s="159" t="s">
        <v>2129</v>
      </c>
      <c r="V2714" s="159" t="s">
        <v>2138</v>
      </c>
      <c r="W2714" s="159" t="s">
        <v>2129</v>
      </c>
      <c r="X2714" s="160">
        <v>0.8</v>
      </c>
      <c r="Y2714" s="160">
        <v>0.3</v>
      </c>
      <c r="Z2714" s="160">
        <v>0.6</v>
      </c>
      <c r="AA2714" s="160">
        <v>0.4</v>
      </c>
    </row>
    <row r="2715" spans="1:27" ht="18" customHeight="1" x14ac:dyDescent="0.25">
      <c r="A2715" s="159">
        <v>10006</v>
      </c>
      <c r="B2715" s="157" t="s">
        <v>57</v>
      </c>
      <c r="C2715" s="157" t="s">
        <v>349</v>
      </c>
      <c r="D2715" s="159" t="s">
        <v>453</v>
      </c>
      <c r="E2715" s="157" t="s">
        <v>451</v>
      </c>
      <c r="F2715" s="157" t="s">
        <v>1381</v>
      </c>
      <c r="G2715" s="157" t="s">
        <v>1321</v>
      </c>
      <c r="H2715" s="157" t="s">
        <v>2022</v>
      </c>
      <c r="I2715" s="157" t="s">
        <v>1529</v>
      </c>
      <c r="J2715" s="157" t="s">
        <v>1324</v>
      </c>
      <c r="K2715" s="157" t="s">
        <v>1269</v>
      </c>
      <c r="L2715" s="157" t="s">
        <v>8438</v>
      </c>
      <c r="M2715" s="157" t="str">
        <f t="shared" si="57"/>
        <v>Cooling Fan Motor 600W - Radiator Ventilation</v>
      </c>
      <c r="N2715" s="157"/>
      <c r="O2715" s="157"/>
      <c r="P2715" s="159" t="s">
        <v>3434</v>
      </c>
      <c r="Q2715" s="157" t="s">
        <v>2115</v>
      </c>
      <c r="R2715" s="157" t="s">
        <v>2117</v>
      </c>
      <c r="S2715" s="157" t="s">
        <v>8622</v>
      </c>
      <c r="T2715" s="157"/>
      <c r="U2715" s="159" t="s">
        <v>2129</v>
      </c>
      <c r="V2715" s="159" t="s">
        <v>2138</v>
      </c>
      <c r="W2715" s="159" t="s">
        <v>2129</v>
      </c>
      <c r="X2715" s="160">
        <v>0.8</v>
      </c>
      <c r="Y2715" s="160">
        <v>0.3</v>
      </c>
      <c r="Z2715" s="160">
        <v>0.6</v>
      </c>
      <c r="AA2715" s="160">
        <v>0.4</v>
      </c>
    </row>
    <row r="2716" spans="1:27" ht="18" customHeight="1" x14ac:dyDescent="0.25">
      <c r="A2716" s="159">
        <v>10006</v>
      </c>
      <c r="B2716" s="157" t="s">
        <v>57</v>
      </c>
      <c r="C2716" s="157" t="s">
        <v>349</v>
      </c>
      <c r="D2716" s="159" t="s">
        <v>454</v>
      </c>
      <c r="E2716" s="157" t="s">
        <v>700</v>
      </c>
      <c r="F2716" s="157" t="s">
        <v>1264</v>
      </c>
      <c r="G2716" s="157" t="s">
        <v>1321</v>
      </c>
      <c r="H2716" s="157" t="s">
        <v>2022</v>
      </c>
      <c r="I2716" s="157" t="s">
        <v>1529</v>
      </c>
      <c r="J2716" s="157" t="s">
        <v>1324</v>
      </c>
      <c r="K2716" s="157" t="s">
        <v>1269</v>
      </c>
      <c r="L2716" s="157" t="s">
        <v>8438</v>
      </c>
      <c r="M2716" s="157" t="str">
        <f t="shared" si="57"/>
        <v>Cooling Fan Motor 600W - Radiator Ventilation</v>
      </c>
      <c r="N2716" s="157"/>
      <c r="O2716" s="157"/>
      <c r="P2716" s="159" t="s">
        <v>3434</v>
      </c>
      <c r="Q2716" s="157" t="s">
        <v>2115</v>
      </c>
      <c r="R2716" s="157" t="s">
        <v>2117</v>
      </c>
      <c r="S2716" s="157" t="s">
        <v>8622</v>
      </c>
      <c r="T2716" s="157"/>
      <c r="U2716" s="159" t="s">
        <v>2129</v>
      </c>
      <c r="V2716" s="159" t="s">
        <v>2138</v>
      </c>
      <c r="W2716" s="159" t="s">
        <v>2129</v>
      </c>
      <c r="X2716" s="160">
        <v>0.8</v>
      </c>
      <c r="Y2716" s="160">
        <v>0.3</v>
      </c>
      <c r="Z2716" s="160">
        <v>0.6</v>
      </c>
      <c r="AA2716" s="160">
        <v>0.4</v>
      </c>
    </row>
    <row r="2717" spans="1:27" ht="18" customHeight="1" x14ac:dyDescent="0.25">
      <c r="A2717" s="159">
        <v>10006</v>
      </c>
      <c r="B2717" s="157" t="s">
        <v>57</v>
      </c>
      <c r="C2717" s="157" t="s">
        <v>349</v>
      </c>
      <c r="D2717" s="159" t="s">
        <v>910</v>
      </c>
      <c r="E2717" s="157" t="s">
        <v>908</v>
      </c>
      <c r="F2717" s="157" t="s">
        <v>1264</v>
      </c>
      <c r="G2717" s="157" t="s">
        <v>1321</v>
      </c>
      <c r="H2717" s="157" t="s">
        <v>2022</v>
      </c>
      <c r="I2717" s="157" t="s">
        <v>1529</v>
      </c>
      <c r="J2717" s="157" t="s">
        <v>1324</v>
      </c>
      <c r="K2717" s="157" t="s">
        <v>1269</v>
      </c>
      <c r="L2717" s="157" t="s">
        <v>8438</v>
      </c>
      <c r="M2717" s="157" t="str">
        <f t="shared" si="57"/>
        <v>Cooling Fan Motor 600W - Radiator Ventilation</v>
      </c>
      <c r="N2717" s="157"/>
      <c r="O2717" s="157"/>
      <c r="P2717" s="159" t="s">
        <v>3434</v>
      </c>
      <c r="Q2717" s="157" t="s">
        <v>2115</v>
      </c>
      <c r="R2717" s="157" t="s">
        <v>2117</v>
      </c>
      <c r="S2717" s="157" t="s">
        <v>8622</v>
      </c>
      <c r="T2717" s="157"/>
      <c r="U2717" s="159" t="s">
        <v>2129</v>
      </c>
      <c r="V2717" s="159" t="s">
        <v>2138</v>
      </c>
      <c r="W2717" s="159" t="s">
        <v>2129</v>
      </c>
      <c r="X2717" s="160">
        <v>0.8</v>
      </c>
      <c r="Y2717" s="160">
        <v>0.3</v>
      </c>
      <c r="Z2717" s="160">
        <v>0.6</v>
      </c>
      <c r="AA2717" s="160">
        <v>0.4</v>
      </c>
    </row>
    <row r="2718" spans="1:27" ht="18" customHeight="1" x14ac:dyDescent="0.25">
      <c r="A2718" s="159">
        <v>10007</v>
      </c>
      <c r="B2718" s="157" t="s">
        <v>57</v>
      </c>
      <c r="C2718" s="157" t="s">
        <v>58</v>
      </c>
      <c r="D2718" s="159" t="s">
        <v>995</v>
      </c>
      <c r="E2718" s="157" t="s">
        <v>993</v>
      </c>
      <c r="F2718" s="157" t="s">
        <v>1264</v>
      </c>
      <c r="G2718" s="157" t="s">
        <v>1321</v>
      </c>
      <c r="H2718" s="157" t="s">
        <v>2022</v>
      </c>
      <c r="I2718" s="157" t="s">
        <v>1529</v>
      </c>
      <c r="J2718" s="157" t="s">
        <v>1324</v>
      </c>
      <c r="K2718" s="157" t="s">
        <v>1269</v>
      </c>
      <c r="L2718" s="157" t="s">
        <v>8439</v>
      </c>
      <c r="M2718" s="157" t="str">
        <f t="shared" si="57"/>
        <v>Cooling Fan Motor 2x400W - Radiator Ventilation</v>
      </c>
      <c r="N2718" s="157"/>
      <c r="O2718" s="157"/>
      <c r="P2718" s="159" t="s">
        <v>3428</v>
      </c>
      <c r="Q2718" s="157" t="s">
        <v>2115</v>
      </c>
      <c r="R2718" s="157" t="s">
        <v>2117</v>
      </c>
      <c r="S2718" s="157" t="s">
        <v>8622</v>
      </c>
      <c r="T2718" s="157"/>
      <c r="U2718" s="159" t="s">
        <v>2129</v>
      </c>
      <c r="V2718" s="159" t="s">
        <v>2129</v>
      </c>
      <c r="W2718" s="159" t="s">
        <v>2138</v>
      </c>
      <c r="X2718" s="160">
        <v>0.8</v>
      </c>
      <c r="Y2718" s="160">
        <v>0.3</v>
      </c>
      <c r="Z2718" s="160">
        <v>0.6</v>
      </c>
      <c r="AA2718" s="160">
        <v>0.4</v>
      </c>
    </row>
    <row r="2719" spans="1:27" ht="18" customHeight="1" x14ac:dyDescent="0.25">
      <c r="A2719" s="159">
        <v>10007</v>
      </c>
      <c r="B2719" s="157" t="s">
        <v>57</v>
      </c>
      <c r="C2719" s="157" t="s">
        <v>349</v>
      </c>
      <c r="D2719" s="159" t="s">
        <v>453</v>
      </c>
      <c r="E2719" s="157" t="s">
        <v>451</v>
      </c>
      <c r="F2719" s="157" t="s">
        <v>1381</v>
      </c>
      <c r="G2719" s="157" t="s">
        <v>1321</v>
      </c>
      <c r="H2719" s="157" t="s">
        <v>2022</v>
      </c>
      <c r="I2719" s="157" t="s">
        <v>1529</v>
      </c>
      <c r="J2719" s="157" t="s">
        <v>1324</v>
      </c>
      <c r="K2719" s="157" t="s">
        <v>1269</v>
      </c>
      <c r="L2719" s="157" t="s">
        <v>8439</v>
      </c>
      <c r="M2719" s="157" t="str">
        <f t="shared" si="57"/>
        <v>Cooling Fan Motor 2x400W - Radiator Ventilation</v>
      </c>
      <c r="N2719" s="157"/>
      <c r="O2719" s="157"/>
      <c r="P2719" s="159" t="s">
        <v>3428</v>
      </c>
      <c r="Q2719" s="157" t="s">
        <v>2115</v>
      </c>
      <c r="R2719" s="157" t="s">
        <v>2117</v>
      </c>
      <c r="S2719" s="157" t="s">
        <v>8622</v>
      </c>
      <c r="T2719" s="157"/>
      <c r="U2719" s="159" t="s">
        <v>2129</v>
      </c>
      <c r="V2719" s="159" t="s">
        <v>2129</v>
      </c>
      <c r="W2719" s="159" t="s">
        <v>2138</v>
      </c>
      <c r="X2719" s="160">
        <v>0.8</v>
      </c>
      <c r="Y2719" s="160">
        <v>0.3</v>
      </c>
      <c r="Z2719" s="160">
        <v>0.6</v>
      </c>
      <c r="AA2719" s="160">
        <v>0.4</v>
      </c>
    </row>
    <row r="2720" spans="1:27" ht="18" customHeight="1" x14ac:dyDescent="0.25">
      <c r="A2720" s="159">
        <v>10007</v>
      </c>
      <c r="B2720" s="157" t="s">
        <v>57</v>
      </c>
      <c r="C2720" s="157" t="s">
        <v>349</v>
      </c>
      <c r="D2720" s="159" t="s">
        <v>454</v>
      </c>
      <c r="E2720" s="157" t="s">
        <v>700</v>
      </c>
      <c r="F2720" s="157" t="s">
        <v>1264</v>
      </c>
      <c r="G2720" s="157" t="s">
        <v>1321</v>
      </c>
      <c r="H2720" s="157" t="s">
        <v>2022</v>
      </c>
      <c r="I2720" s="157" t="s">
        <v>1529</v>
      </c>
      <c r="J2720" s="157" t="s">
        <v>1324</v>
      </c>
      <c r="K2720" s="157" t="s">
        <v>1269</v>
      </c>
      <c r="L2720" s="157" t="s">
        <v>8439</v>
      </c>
      <c r="M2720" s="157" t="str">
        <f t="shared" si="57"/>
        <v>Cooling Fan Motor 2x400W - Radiator Ventilation</v>
      </c>
      <c r="N2720" s="157"/>
      <c r="O2720" s="157"/>
      <c r="P2720" s="159" t="s">
        <v>3428</v>
      </c>
      <c r="Q2720" s="157" t="s">
        <v>2115</v>
      </c>
      <c r="R2720" s="157" t="s">
        <v>2117</v>
      </c>
      <c r="S2720" s="157" t="s">
        <v>8622</v>
      </c>
      <c r="T2720" s="157"/>
      <c r="U2720" s="159" t="s">
        <v>2129</v>
      </c>
      <c r="V2720" s="159" t="s">
        <v>2129</v>
      </c>
      <c r="W2720" s="159" t="s">
        <v>2138</v>
      </c>
      <c r="X2720" s="160">
        <v>0.8</v>
      </c>
      <c r="Y2720" s="160">
        <v>0.3</v>
      </c>
      <c r="Z2720" s="160">
        <v>0.6</v>
      </c>
      <c r="AA2720" s="160">
        <v>0.4</v>
      </c>
    </row>
    <row r="2721" spans="1:27" ht="18" customHeight="1" x14ac:dyDescent="0.25">
      <c r="A2721" s="159">
        <v>10007</v>
      </c>
      <c r="B2721" s="157" t="s">
        <v>57</v>
      </c>
      <c r="C2721" s="157" t="s">
        <v>349</v>
      </c>
      <c r="D2721" s="159" t="s">
        <v>910</v>
      </c>
      <c r="E2721" s="157" t="s">
        <v>908</v>
      </c>
      <c r="F2721" s="157" t="s">
        <v>1264</v>
      </c>
      <c r="G2721" s="157" t="s">
        <v>1321</v>
      </c>
      <c r="H2721" s="157" t="s">
        <v>2022</v>
      </c>
      <c r="I2721" s="157" t="s">
        <v>1529</v>
      </c>
      <c r="J2721" s="157" t="s">
        <v>1324</v>
      </c>
      <c r="K2721" s="157" t="s">
        <v>1269</v>
      </c>
      <c r="L2721" s="157" t="s">
        <v>8439</v>
      </c>
      <c r="M2721" s="157" t="str">
        <f t="shared" si="57"/>
        <v>Cooling Fan Motor 2x400W - Radiator Ventilation</v>
      </c>
      <c r="N2721" s="157"/>
      <c r="O2721" s="157"/>
      <c r="P2721" s="159" t="s">
        <v>3428</v>
      </c>
      <c r="Q2721" s="157" t="s">
        <v>2115</v>
      </c>
      <c r="R2721" s="157" t="s">
        <v>2117</v>
      </c>
      <c r="S2721" s="157" t="s">
        <v>8622</v>
      </c>
      <c r="T2721" s="157"/>
      <c r="U2721" s="159" t="s">
        <v>2129</v>
      </c>
      <c r="V2721" s="159" t="s">
        <v>2129</v>
      </c>
      <c r="W2721" s="159" t="s">
        <v>2138</v>
      </c>
      <c r="X2721" s="160">
        <v>0.8</v>
      </c>
      <c r="Y2721" s="160">
        <v>0.3</v>
      </c>
      <c r="Z2721" s="160">
        <v>0.6</v>
      </c>
      <c r="AA2721" s="160">
        <v>0.4</v>
      </c>
    </row>
    <row r="2722" spans="1:27" ht="18" customHeight="1" x14ac:dyDescent="0.25">
      <c r="A2722" s="159">
        <v>10008</v>
      </c>
      <c r="B2722" s="157" t="s">
        <v>57</v>
      </c>
      <c r="C2722" s="157" t="s">
        <v>58</v>
      </c>
      <c r="D2722" s="159" t="s">
        <v>995</v>
      </c>
      <c r="E2722" s="157" t="s">
        <v>993</v>
      </c>
      <c r="F2722" s="157" t="s">
        <v>1264</v>
      </c>
      <c r="G2722" s="157" t="s">
        <v>1278</v>
      </c>
      <c r="H2722" s="157" t="s">
        <v>1378</v>
      </c>
      <c r="I2722" s="157" t="s">
        <v>2012</v>
      </c>
      <c r="J2722" s="157" t="s">
        <v>9644</v>
      </c>
      <c r="K2722" s="157" t="s">
        <v>1312</v>
      </c>
      <c r="L2722" s="157" t="s">
        <v>9646</v>
      </c>
      <c r="M2722" s="157" t="str">
        <f t="shared" si="57"/>
        <v>Pressure and Temperature Sensor 1 before Compressor - Heat Pump System Operation</v>
      </c>
      <c r="N2722" s="157"/>
      <c r="O2722" s="157"/>
      <c r="P2722" s="159" t="s">
        <v>2203</v>
      </c>
      <c r="Q2722" s="157"/>
      <c r="R2722" s="157"/>
      <c r="S2722" s="157"/>
      <c r="T2722" s="157"/>
      <c r="U2722" s="159" t="s">
        <v>2129</v>
      </c>
      <c r="V2722" s="159" t="s">
        <v>2129</v>
      </c>
      <c r="W2722" s="159" t="s">
        <v>2138</v>
      </c>
      <c r="X2722" s="160">
        <v>1</v>
      </c>
      <c r="Y2722" s="160">
        <v>1</v>
      </c>
      <c r="Z2722" s="160">
        <v>1</v>
      </c>
      <c r="AA2722" s="160">
        <v>1</v>
      </c>
    </row>
    <row r="2723" spans="1:27" ht="18" customHeight="1" x14ac:dyDescent="0.25">
      <c r="A2723" s="159">
        <v>10009</v>
      </c>
      <c r="B2723" s="157" t="s">
        <v>57</v>
      </c>
      <c r="C2723" s="157" t="s">
        <v>58</v>
      </c>
      <c r="D2723" s="159" t="s">
        <v>995</v>
      </c>
      <c r="E2723" s="157" t="s">
        <v>993</v>
      </c>
      <c r="F2723" s="157" t="s">
        <v>1264</v>
      </c>
      <c r="G2723" s="157" t="s">
        <v>1278</v>
      </c>
      <c r="H2723" s="157" t="s">
        <v>1378</v>
      </c>
      <c r="I2723" s="157" t="s">
        <v>2012</v>
      </c>
      <c r="J2723" s="157" t="s">
        <v>9644</v>
      </c>
      <c r="K2723" s="157" t="s">
        <v>1312</v>
      </c>
      <c r="L2723" s="157" t="s">
        <v>9649</v>
      </c>
      <c r="M2723" s="157" t="str">
        <f t="shared" si="57"/>
        <v>Pressure and Temperature Sensor 2 After AC Condenser - Heat Pump System Operation</v>
      </c>
      <c r="N2723" s="157"/>
      <c r="O2723" s="157"/>
      <c r="P2723" s="159" t="s">
        <v>2262</v>
      </c>
      <c r="Q2723" s="157"/>
      <c r="R2723" s="157"/>
      <c r="S2723" s="157"/>
      <c r="T2723" s="157"/>
      <c r="U2723" s="159" t="s">
        <v>2129</v>
      </c>
      <c r="V2723" s="159" t="s">
        <v>2129</v>
      </c>
      <c r="W2723" s="159" t="s">
        <v>2138</v>
      </c>
      <c r="X2723" s="160">
        <v>1</v>
      </c>
      <c r="Y2723" s="160">
        <v>1</v>
      </c>
      <c r="Z2723" s="160">
        <v>1</v>
      </c>
      <c r="AA2723" s="160">
        <v>1</v>
      </c>
    </row>
    <row r="2724" spans="1:27" ht="18" customHeight="1" x14ac:dyDescent="0.25">
      <c r="A2724" s="159">
        <v>10010</v>
      </c>
      <c r="B2724" s="157" t="s">
        <v>57</v>
      </c>
      <c r="C2724" s="157" t="s">
        <v>58</v>
      </c>
      <c r="D2724" s="159" t="s">
        <v>995</v>
      </c>
      <c r="E2724" s="157" t="s">
        <v>993</v>
      </c>
      <c r="F2724" s="157" t="s">
        <v>1264</v>
      </c>
      <c r="G2724" s="157" t="s">
        <v>1278</v>
      </c>
      <c r="H2724" s="157" t="s">
        <v>1378</v>
      </c>
      <c r="I2724" s="157" t="s">
        <v>2012</v>
      </c>
      <c r="J2724" s="157" t="s">
        <v>9644</v>
      </c>
      <c r="K2724" s="157" t="s">
        <v>1312</v>
      </c>
      <c r="L2724" s="157" t="s">
        <v>9648</v>
      </c>
      <c r="M2724" s="157" t="str">
        <f t="shared" si="57"/>
        <v>Pressure and Temperature Sensor 1 After AC Condenser - Heat Pump System Operation</v>
      </c>
      <c r="N2724" s="157"/>
      <c r="O2724" s="157"/>
      <c r="P2724" s="159" t="s">
        <v>2221</v>
      </c>
      <c r="Q2724" s="157"/>
      <c r="R2724" s="157"/>
      <c r="S2724" s="157"/>
      <c r="T2724" s="157"/>
      <c r="U2724" s="159" t="s">
        <v>2129</v>
      </c>
      <c r="V2724" s="159" t="s">
        <v>2129</v>
      </c>
      <c r="W2724" s="159" t="s">
        <v>2138</v>
      </c>
      <c r="X2724" s="160">
        <v>1</v>
      </c>
      <c r="Y2724" s="160">
        <v>1</v>
      </c>
      <c r="Z2724" s="160">
        <v>1</v>
      </c>
      <c r="AA2724" s="160">
        <v>1</v>
      </c>
    </row>
    <row r="2725" spans="1:27" ht="18" customHeight="1" x14ac:dyDescent="0.25">
      <c r="A2725" s="159">
        <v>10011</v>
      </c>
      <c r="B2725" s="157" t="s">
        <v>57</v>
      </c>
      <c r="C2725" s="157" t="s">
        <v>58</v>
      </c>
      <c r="D2725" s="159" t="s">
        <v>995</v>
      </c>
      <c r="E2725" s="157" t="s">
        <v>993</v>
      </c>
      <c r="F2725" s="157" t="s">
        <v>1264</v>
      </c>
      <c r="G2725" s="157" t="s">
        <v>1278</v>
      </c>
      <c r="H2725" s="157" t="s">
        <v>1378</v>
      </c>
      <c r="I2725" s="157" t="s">
        <v>2012</v>
      </c>
      <c r="J2725" s="157" t="s">
        <v>9644</v>
      </c>
      <c r="K2725" s="157" t="s">
        <v>1312</v>
      </c>
      <c r="L2725" s="157" t="s">
        <v>9650</v>
      </c>
      <c r="M2725" s="157" t="str">
        <f t="shared" si="57"/>
        <v>Pressure and Temperature Sensor Before AC Condenser - Heat Pump System Operation</v>
      </c>
      <c r="N2725" s="157"/>
      <c r="O2725" s="157"/>
      <c r="P2725" s="159" t="s">
        <v>2188</v>
      </c>
      <c r="Q2725" s="157"/>
      <c r="R2725" s="157"/>
      <c r="S2725" s="157"/>
      <c r="T2725" s="157"/>
      <c r="U2725" s="159" t="s">
        <v>2129</v>
      </c>
      <c r="V2725" s="159" t="s">
        <v>2129</v>
      </c>
      <c r="W2725" s="159" t="s">
        <v>2138</v>
      </c>
      <c r="X2725" s="160">
        <v>1</v>
      </c>
      <c r="Y2725" s="160">
        <v>1</v>
      </c>
      <c r="Z2725" s="160">
        <v>1</v>
      </c>
      <c r="AA2725" s="160">
        <v>1</v>
      </c>
    </row>
    <row r="2726" spans="1:27" ht="18" customHeight="1" x14ac:dyDescent="0.25">
      <c r="A2726" s="159">
        <v>10012</v>
      </c>
      <c r="B2726" s="157" t="s">
        <v>57</v>
      </c>
      <c r="C2726" s="157" t="s">
        <v>58</v>
      </c>
      <c r="D2726" s="159" t="s">
        <v>995</v>
      </c>
      <c r="E2726" s="157" t="s">
        <v>993</v>
      </c>
      <c r="F2726" s="157" t="s">
        <v>1264</v>
      </c>
      <c r="G2726" s="157" t="s">
        <v>1278</v>
      </c>
      <c r="H2726" s="157" t="s">
        <v>1378</v>
      </c>
      <c r="I2726" s="157" t="s">
        <v>2012</v>
      </c>
      <c r="J2726" s="157" t="s">
        <v>1380</v>
      </c>
      <c r="K2726" s="157" t="s">
        <v>1269</v>
      </c>
      <c r="L2726" s="157" t="s">
        <v>2014</v>
      </c>
      <c r="M2726" s="157" t="str">
        <f t="shared" si="57"/>
        <v>Expansion Valve for Refrigerant After Heating Condenser - Heat Pump System Operation</v>
      </c>
      <c r="N2726" s="157"/>
      <c r="O2726" s="157"/>
      <c r="P2726" s="159" t="s">
        <v>3342</v>
      </c>
      <c r="Q2726" s="157"/>
      <c r="R2726" s="157"/>
      <c r="S2726" s="157"/>
      <c r="T2726" s="157"/>
      <c r="U2726" s="159" t="s">
        <v>2129</v>
      </c>
      <c r="V2726" s="159" t="s">
        <v>2129</v>
      </c>
      <c r="W2726" s="159" t="s">
        <v>2138</v>
      </c>
      <c r="X2726" s="160">
        <v>0.5</v>
      </c>
      <c r="Y2726" s="160">
        <v>0.5</v>
      </c>
      <c r="Z2726" s="160">
        <v>0.5</v>
      </c>
      <c r="AA2726" s="160">
        <v>0.5</v>
      </c>
    </row>
    <row r="2727" spans="1:27" ht="18" customHeight="1" x14ac:dyDescent="0.25">
      <c r="A2727" s="159">
        <v>10013</v>
      </c>
      <c r="B2727" s="157" t="s">
        <v>57</v>
      </c>
      <c r="C2727" s="157" t="s">
        <v>58</v>
      </c>
      <c r="D2727" s="159" t="s">
        <v>995</v>
      </c>
      <c r="E2727" s="157" t="s">
        <v>993</v>
      </c>
      <c r="F2727" s="157" t="s">
        <v>1264</v>
      </c>
      <c r="G2727" s="157" t="s">
        <v>1278</v>
      </c>
      <c r="H2727" s="157" t="s">
        <v>1378</v>
      </c>
      <c r="I2727" s="157" t="s">
        <v>2012</v>
      </c>
      <c r="J2727" s="157" t="s">
        <v>9644</v>
      </c>
      <c r="K2727" s="157" t="s">
        <v>1269</v>
      </c>
      <c r="L2727" s="157" t="s">
        <v>2015</v>
      </c>
      <c r="M2727" s="157" t="str">
        <f t="shared" si="57"/>
        <v>Expansion Valve for Refrigerant After Evaporator - Heat Pump System Operation</v>
      </c>
      <c r="N2727" s="157"/>
      <c r="O2727" s="157"/>
      <c r="P2727" s="159" t="s">
        <v>2154</v>
      </c>
      <c r="Q2727" s="157"/>
      <c r="R2727" s="157"/>
      <c r="S2727" s="157"/>
      <c r="T2727" s="157"/>
      <c r="U2727" s="159" t="s">
        <v>2129</v>
      </c>
      <c r="V2727" s="159" t="s">
        <v>2129</v>
      </c>
      <c r="W2727" s="159" t="s">
        <v>2138</v>
      </c>
      <c r="X2727" s="160">
        <v>0.5</v>
      </c>
      <c r="Y2727" s="160">
        <v>0.5</v>
      </c>
      <c r="Z2727" s="160">
        <v>0.5</v>
      </c>
      <c r="AA2727" s="160">
        <v>0.5</v>
      </c>
    </row>
    <row r="2728" spans="1:27" ht="18" customHeight="1" x14ac:dyDescent="0.25">
      <c r="A2728" s="159">
        <v>10014</v>
      </c>
      <c r="B2728" s="157" t="s">
        <v>57</v>
      </c>
      <c r="C2728" s="157" t="s">
        <v>58</v>
      </c>
      <c r="D2728" s="159" t="s">
        <v>995</v>
      </c>
      <c r="E2728" s="157" t="s">
        <v>993</v>
      </c>
      <c r="F2728" s="157" t="s">
        <v>1264</v>
      </c>
      <c r="G2728" s="157" t="s">
        <v>1278</v>
      </c>
      <c r="H2728" s="157" t="s">
        <v>1378</v>
      </c>
      <c r="I2728" s="157" t="s">
        <v>2012</v>
      </c>
      <c r="J2728" s="157" t="s">
        <v>1380</v>
      </c>
      <c r="K2728" s="157" t="s">
        <v>1269</v>
      </c>
      <c r="L2728" s="157" t="s">
        <v>2016</v>
      </c>
      <c r="M2728" s="157" t="str">
        <f t="shared" si="57"/>
        <v>Expansion Valve for Refrigerant Before Chiller - Heat Pump System Operation</v>
      </c>
      <c r="N2728" s="157"/>
      <c r="O2728" s="157"/>
      <c r="P2728" s="159" t="s">
        <v>3449</v>
      </c>
      <c r="Q2728" s="157"/>
      <c r="R2728" s="157"/>
      <c r="S2728" s="157"/>
      <c r="T2728" s="157"/>
      <c r="U2728" s="159" t="s">
        <v>2129</v>
      </c>
      <c r="V2728" s="159" t="s">
        <v>2129</v>
      </c>
      <c r="W2728" s="159" t="s">
        <v>2138</v>
      </c>
      <c r="X2728" s="160">
        <v>0.5</v>
      </c>
      <c r="Y2728" s="160">
        <v>0.5</v>
      </c>
      <c r="Z2728" s="160">
        <v>0.5</v>
      </c>
      <c r="AA2728" s="160">
        <v>0.5</v>
      </c>
    </row>
    <row r="2729" spans="1:27" ht="18" customHeight="1" x14ac:dyDescent="0.25">
      <c r="A2729" s="159">
        <v>10015</v>
      </c>
      <c r="B2729" s="157" t="s">
        <v>57</v>
      </c>
      <c r="C2729" s="157" t="s">
        <v>58</v>
      </c>
      <c r="D2729" s="159" t="s">
        <v>995</v>
      </c>
      <c r="E2729" s="157" t="s">
        <v>993</v>
      </c>
      <c r="F2729" s="157" t="s">
        <v>1264</v>
      </c>
      <c r="G2729" s="157" t="s">
        <v>1278</v>
      </c>
      <c r="H2729" s="157" t="s">
        <v>1378</v>
      </c>
      <c r="I2729" s="157" t="s">
        <v>2012</v>
      </c>
      <c r="J2729" s="157" t="s">
        <v>9644</v>
      </c>
      <c r="K2729" s="157" t="s">
        <v>1269</v>
      </c>
      <c r="L2729" s="157" t="s">
        <v>2017</v>
      </c>
      <c r="M2729" s="157" t="str">
        <f t="shared" si="57"/>
        <v>Valve - Refrigerant Shut-off After Heating Condenser - Heat Pump System Operation</v>
      </c>
      <c r="N2729" s="157"/>
      <c r="O2729" s="157"/>
      <c r="P2729" s="159" t="s">
        <v>2641</v>
      </c>
      <c r="Q2729" s="157"/>
      <c r="R2729" s="157"/>
      <c r="S2729" s="157"/>
      <c r="T2729" s="157"/>
      <c r="U2729" s="159" t="s">
        <v>2129</v>
      </c>
      <c r="V2729" s="159" t="s">
        <v>2129</v>
      </c>
      <c r="W2729" s="159" t="s">
        <v>2138</v>
      </c>
      <c r="X2729" s="160">
        <v>0.5</v>
      </c>
      <c r="Y2729" s="160">
        <v>0.5</v>
      </c>
      <c r="Z2729" s="160">
        <v>0.5</v>
      </c>
      <c r="AA2729" s="160">
        <v>0.5</v>
      </c>
    </row>
    <row r="2730" spans="1:27" ht="18" customHeight="1" x14ac:dyDescent="0.25">
      <c r="A2730" s="159">
        <v>10015</v>
      </c>
      <c r="B2730" s="157" t="s">
        <v>57</v>
      </c>
      <c r="C2730" s="157" t="s">
        <v>349</v>
      </c>
      <c r="D2730" s="159" t="s">
        <v>995</v>
      </c>
      <c r="E2730" s="157" t="s">
        <v>993</v>
      </c>
      <c r="F2730" s="157" t="s">
        <v>1264</v>
      </c>
      <c r="G2730" s="157" t="s">
        <v>1278</v>
      </c>
      <c r="H2730" s="157" t="s">
        <v>1378</v>
      </c>
      <c r="I2730" s="157" t="s">
        <v>2012</v>
      </c>
      <c r="J2730" s="157" t="s">
        <v>9644</v>
      </c>
      <c r="K2730" s="157" t="s">
        <v>1269</v>
      </c>
      <c r="L2730" s="157" t="s">
        <v>2017</v>
      </c>
      <c r="M2730" s="157" t="str">
        <f t="shared" si="57"/>
        <v>Valve - Refrigerant Shut-off After Heating Condenser - Heat Pump System Operation</v>
      </c>
      <c r="N2730" s="157"/>
      <c r="O2730" s="157"/>
      <c r="P2730" s="159" t="s">
        <v>2641</v>
      </c>
      <c r="Q2730" s="157"/>
      <c r="R2730" s="157"/>
      <c r="S2730" s="157"/>
      <c r="T2730" s="157"/>
      <c r="U2730" s="159" t="s">
        <v>2129</v>
      </c>
      <c r="V2730" s="159" t="s">
        <v>2129</v>
      </c>
      <c r="W2730" s="159" t="s">
        <v>2138</v>
      </c>
      <c r="X2730" s="160">
        <v>0.5</v>
      </c>
      <c r="Y2730" s="160">
        <v>0.5</v>
      </c>
      <c r="Z2730" s="160">
        <v>0.5</v>
      </c>
      <c r="AA2730" s="160">
        <v>0.5</v>
      </c>
    </row>
    <row r="2731" spans="1:27" ht="18" customHeight="1" x14ac:dyDescent="0.25">
      <c r="A2731" s="159">
        <v>10016</v>
      </c>
      <c r="B2731" s="157" t="s">
        <v>57</v>
      </c>
      <c r="C2731" s="157" t="s">
        <v>58</v>
      </c>
      <c r="D2731" s="159" t="s">
        <v>995</v>
      </c>
      <c r="E2731" s="157" t="s">
        <v>993</v>
      </c>
      <c r="F2731" s="157" t="s">
        <v>1264</v>
      </c>
      <c r="G2731" s="157" t="s">
        <v>1278</v>
      </c>
      <c r="H2731" s="157" t="s">
        <v>1378</v>
      </c>
      <c r="I2731" s="157" t="s">
        <v>2012</v>
      </c>
      <c r="J2731" s="157" t="s">
        <v>9644</v>
      </c>
      <c r="K2731" s="157" t="s">
        <v>1269</v>
      </c>
      <c r="L2731" s="157" t="s">
        <v>2018</v>
      </c>
      <c r="M2731" s="157" t="str">
        <f t="shared" si="57"/>
        <v>Valve - Refrigerant Shut-off After Evaporator - Heat Pump System Operation</v>
      </c>
      <c r="N2731" s="157"/>
      <c r="O2731" s="157"/>
      <c r="P2731" s="159" t="s">
        <v>2336</v>
      </c>
      <c r="Q2731" s="157"/>
      <c r="R2731" s="157"/>
      <c r="S2731" s="157"/>
      <c r="T2731" s="157"/>
      <c r="U2731" s="159" t="s">
        <v>2129</v>
      </c>
      <c r="V2731" s="159" t="s">
        <v>2129</v>
      </c>
      <c r="W2731" s="159" t="s">
        <v>2138</v>
      </c>
      <c r="X2731" s="160">
        <v>0.5</v>
      </c>
      <c r="Y2731" s="160">
        <v>0.5</v>
      </c>
      <c r="Z2731" s="160">
        <v>0.5</v>
      </c>
      <c r="AA2731" s="160">
        <v>0.5</v>
      </c>
    </row>
    <row r="2732" spans="1:27" ht="18" customHeight="1" x14ac:dyDescent="0.25">
      <c r="A2732" s="159">
        <v>10016</v>
      </c>
      <c r="B2732" s="157" t="s">
        <v>57</v>
      </c>
      <c r="C2732" s="157" t="s">
        <v>349</v>
      </c>
      <c r="D2732" s="159" t="s">
        <v>995</v>
      </c>
      <c r="E2732" s="157" t="s">
        <v>993</v>
      </c>
      <c r="F2732" s="157" t="s">
        <v>1264</v>
      </c>
      <c r="G2732" s="157" t="s">
        <v>1278</v>
      </c>
      <c r="H2732" s="157" t="s">
        <v>1378</v>
      </c>
      <c r="I2732" s="157" t="s">
        <v>2012</v>
      </c>
      <c r="J2732" s="157" t="s">
        <v>9644</v>
      </c>
      <c r="K2732" s="157" t="s">
        <v>1269</v>
      </c>
      <c r="L2732" s="157" t="s">
        <v>2018</v>
      </c>
      <c r="M2732" s="157" t="str">
        <f t="shared" si="57"/>
        <v>Valve - Refrigerant Shut-off After Evaporator - Heat Pump System Operation</v>
      </c>
      <c r="N2732" s="157"/>
      <c r="O2732" s="157"/>
      <c r="P2732" s="159" t="s">
        <v>2336</v>
      </c>
      <c r="Q2732" s="157"/>
      <c r="R2732" s="157"/>
      <c r="S2732" s="157"/>
      <c r="T2732" s="157"/>
      <c r="U2732" s="159" t="s">
        <v>2129</v>
      </c>
      <c r="V2732" s="159" t="s">
        <v>2129</v>
      </c>
      <c r="W2732" s="159" t="s">
        <v>2138</v>
      </c>
      <c r="X2732" s="160">
        <v>0.5</v>
      </c>
      <c r="Y2732" s="160">
        <v>0.5</v>
      </c>
      <c r="Z2732" s="160">
        <v>0.5</v>
      </c>
      <c r="AA2732" s="160">
        <v>0.5</v>
      </c>
    </row>
    <row r="2733" spans="1:27" ht="18" customHeight="1" x14ac:dyDescent="0.25">
      <c r="A2733" s="159">
        <v>10017</v>
      </c>
      <c r="B2733" s="157" t="s">
        <v>57</v>
      </c>
      <c r="C2733" s="157" t="s">
        <v>58</v>
      </c>
      <c r="D2733" s="159" t="s">
        <v>61</v>
      </c>
      <c r="E2733" s="157" t="s">
        <v>59</v>
      </c>
      <c r="F2733" s="157" t="s">
        <v>1264</v>
      </c>
      <c r="G2733" s="157" t="s">
        <v>1278</v>
      </c>
      <c r="H2733" s="157" t="s">
        <v>1378</v>
      </c>
      <c r="I2733" s="157" t="s">
        <v>2019</v>
      </c>
      <c r="J2733" s="157" t="s">
        <v>1380</v>
      </c>
      <c r="K2733" s="157" t="s">
        <v>1312</v>
      </c>
      <c r="L2733" s="157" t="s">
        <v>8505</v>
      </c>
      <c r="M2733" s="157" t="str">
        <f t="shared" si="57"/>
        <v>Footwell Temperature Sensor Front Left - Internal Temperature</v>
      </c>
      <c r="N2733" s="157"/>
      <c r="O2733" s="157"/>
      <c r="P2733" s="159" t="s">
        <v>7306</v>
      </c>
      <c r="Q2733" s="157"/>
      <c r="R2733" s="157"/>
      <c r="S2733" s="157"/>
      <c r="T2733" s="157"/>
      <c r="U2733" s="159" t="s">
        <v>2129</v>
      </c>
      <c r="V2733" s="159" t="s">
        <v>2129</v>
      </c>
      <c r="W2733" s="159" t="s">
        <v>2138</v>
      </c>
      <c r="X2733" s="160">
        <v>1</v>
      </c>
      <c r="Y2733" s="160">
        <v>1</v>
      </c>
      <c r="Z2733" s="160">
        <v>1</v>
      </c>
      <c r="AA2733" s="160">
        <v>1</v>
      </c>
    </row>
    <row r="2734" spans="1:27" ht="18" customHeight="1" x14ac:dyDescent="0.25">
      <c r="A2734" s="159">
        <v>10017</v>
      </c>
      <c r="B2734" s="157" t="s">
        <v>57</v>
      </c>
      <c r="C2734" s="157" t="s">
        <v>58</v>
      </c>
      <c r="D2734" s="159" t="s">
        <v>414</v>
      </c>
      <c r="E2734" s="157" t="s">
        <v>412</v>
      </c>
      <c r="F2734" s="157" t="s">
        <v>1264</v>
      </c>
      <c r="G2734" s="157" t="s">
        <v>1278</v>
      </c>
      <c r="H2734" s="157" t="s">
        <v>1378</v>
      </c>
      <c r="I2734" s="157" t="s">
        <v>2019</v>
      </c>
      <c r="J2734" s="157" t="s">
        <v>1380</v>
      </c>
      <c r="K2734" s="157" t="s">
        <v>1312</v>
      </c>
      <c r="L2734" s="157" t="s">
        <v>8505</v>
      </c>
      <c r="M2734" s="157" t="str">
        <f t="shared" si="57"/>
        <v>Footwell Temperature Sensor Front Left - Internal Temperature</v>
      </c>
      <c r="N2734" s="157"/>
      <c r="O2734" s="157"/>
      <c r="P2734" s="159" t="s">
        <v>7306</v>
      </c>
      <c r="Q2734" s="157"/>
      <c r="R2734" s="157"/>
      <c r="S2734" s="157"/>
      <c r="T2734" s="157"/>
      <c r="U2734" s="159" t="s">
        <v>2129</v>
      </c>
      <c r="V2734" s="159" t="s">
        <v>2138</v>
      </c>
      <c r="W2734" s="159" t="s">
        <v>2138</v>
      </c>
      <c r="X2734" s="160">
        <v>1</v>
      </c>
      <c r="Y2734" s="160">
        <v>1</v>
      </c>
      <c r="Z2734" s="160">
        <v>1</v>
      </c>
      <c r="AA2734" s="160">
        <v>1</v>
      </c>
    </row>
    <row r="2735" spans="1:27" ht="18" customHeight="1" x14ac:dyDescent="0.25">
      <c r="A2735" s="159">
        <v>10017</v>
      </c>
      <c r="B2735" s="157" t="s">
        <v>57</v>
      </c>
      <c r="C2735" s="157" t="s">
        <v>58</v>
      </c>
      <c r="D2735" s="159" t="s">
        <v>417</v>
      </c>
      <c r="E2735" s="157" t="s">
        <v>415</v>
      </c>
      <c r="F2735" s="157" t="s">
        <v>1264</v>
      </c>
      <c r="G2735" s="157" t="s">
        <v>1278</v>
      </c>
      <c r="H2735" s="157" t="s">
        <v>1378</v>
      </c>
      <c r="I2735" s="157" t="s">
        <v>2019</v>
      </c>
      <c r="J2735" s="157" t="s">
        <v>1380</v>
      </c>
      <c r="K2735" s="157" t="s">
        <v>1312</v>
      </c>
      <c r="L2735" s="157" t="s">
        <v>8505</v>
      </c>
      <c r="M2735" s="157" t="str">
        <f t="shared" si="57"/>
        <v>Footwell Temperature Sensor Front Left - Internal Temperature</v>
      </c>
      <c r="N2735" s="157"/>
      <c r="O2735" s="157"/>
      <c r="P2735" s="159" t="s">
        <v>7306</v>
      </c>
      <c r="Q2735" s="157"/>
      <c r="R2735" s="157"/>
      <c r="S2735" s="157"/>
      <c r="T2735" s="157"/>
      <c r="U2735" s="159" t="s">
        <v>2129</v>
      </c>
      <c r="V2735" s="159" t="s">
        <v>2138</v>
      </c>
      <c r="W2735" s="159" t="s">
        <v>2138</v>
      </c>
      <c r="X2735" s="160">
        <v>1</v>
      </c>
      <c r="Y2735" s="160">
        <v>1</v>
      </c>
      <c r="Z2735" s="160">
        <v>1</v>
      </c>
      <c r="AA2735" s="160">
        <v>1</v>
      </c>
    </row>
    <row r="2736" spans="1:27" ht="18" customHeight="1" x14ac:dyDescent="0.25">
      <c r="A2736" s="159">
        <v>10017</v>
      </c>
      <c r="B2736" s="157" t="s">
        <v>57</v>
      </c>
      <c r="C2736" s="157" t="s">
        <v>58</v>
      </c>
      <c r="D2736" s="159" t="s">
        <v>62</v>
      </c>
      <c r="E2736" s="157" t="s">
        <v>991</v>
      </c>
      <c r="F2736" s="157" t="s">
        <v>1264</v>
      </c>
      <c r="G2736" s="157" t="s">
        <v>1278</v>
      </c>
      <c r="H2736" s="157" t="s">
        <v>1378</v>
      </c>
      <c r="I2736" s="157" t="s">
        <v>2019</v>
      </c>
      <c r="J2736" s="157" t="s">
        <v>1380</v>
      </c>
      <c r="K2736" s="157" t="s">
        <v>1312</v>
      </c>
      <c r="L2736" s="157" t="s">
        <v>8505</v>
      </c>
      <c r="M2736" s="157" t="str">
        <f t="shared" si="57"/>
        <v>Footwell Temperature Sensor Front Left - Internal Temperature</v>
      </c>
      <c r="N2736" s="157"/>
      <c r="O2736" s="157"/>
      <c r="P2736" s="159" t="s">
        <v>7306</v>
      </c>
      <c r="Q2736" s="157"/>
      <c r="R2736" s="157"/>
      <c r="S2736" s="157"/>
      <c r="T2736" s="157"/>
      <c r="U2736" s="159" t="s">
        <v>2129</v>
      </c>
      <c r="V2736" s="159" t="s">
        <v>2138</v>
      </c>
      <c r="W2736" s="159" t="s">
        <v>2129</v>
      </c>
      <c r="X2736" s="160">
        <v>1</v>
      </c>
      <c r="Y2736" s="160">
        <v>1</v>
      </c>
      <c r="Z2736" s="160">
        <v>1</v>
      </c>
      <c r="AA2736" s="160">
        <v>1</v>
      </c>
    </row>
    <row r="2737" spans="1:27" ht="18" customHeight="1" x14ac:dyDescent="0.25">
      <c r="A2737" s="159">
        <v>10017</v>
      </c>
      <c r="B2737" s="157" t="s">
        <v>57</v>
      </c>
      <c r="C2737" s="157" t="s">
        <v>58</v>
      </c>
      <c r="D2737" s="159" t="s">
        <v>995</v>
      </c>
      <c r="E2737" s="157" t="s">
        <v>993</v>
      </c>
      <c r="F2737" s="157" t="s">
        <v>1264</v>
      </c>
      <c r="G2737" s="157" t="s">
        <v>1278</v>
      </c>
      <c r="H2737" s="157" t="s">
        <v>1378</v>
      </c>
      <c r="I2737" s="157" t="s">
        <v>2019</v>
      </c>
      <c r="J2737" s="157" t="s">
        <v>1380</v>
      </c>
      <c r="K2737" s="157" t="s">
        <v>1312</v>
      </c>
      <c r="L2737" s="157" t="s">
        <v>8505</v>
      </c>
      <c r="M2737" s="157" t="str">
        <f t="shared" si="57"/>
        <v>Footwell Temperature Sensor Front Left - Internal Temperature</v>
      </c>
      <c r="N2737" s="157"/>
      <c r="O2737" s="157"/>
      <c r="P2737" s="159" t="s">
        <v>7306</v>
      </c>
      <c r="Q2737" s="157"/>
      <c r="R2737" s="157"/>
      <c r="S2737" s="157"/>
      <c r="T2737" s="157"/>
      <c r="U2737" s="159" t="s">
        <v>2129</v>
      </c>
      <c r="V2737" s="159" t="s">
        <v>2138</v>
      </c>
      <c r="W2737" s="159" t="s">
        <v>2138</v>
      </c>
      <c r="X2737" s="160">
        <v>1</v>
      </c>
      <c r="Y2737" s="160">
        <v>1</v>
      </c>
      <c r="Z2737" s="160">
        <v>1</v>
      </c>
      <c r="AA2737" s="160">
        <v>1</v>
      </c>
    </row>
    <row r="2738" spans="1:27" ht="18" customHeight="1" x14ac:dyDescent="0.25">
      <c r="A2738" s="159">
        <v>10017</v>
      </c>
      <c r="B2738" s="157" t="s">
        <v>57</v>
      </c>
      <c r="C2738" s="157" t="s">
        <v>58</v>
      </c>
      <c r="D2738" s="159" t="s">
        <v>998</v>
      </c>
      <c r="E2738" s="157" t="s">
        <v>996</v>
      </c>
      <c r="F2738" s="157" t="s">
        <v>1264</v>
      </c>
      <c r="G2738" s="157" t="s">
        <v>1278</v>
      </c>
      <c r="H2738" s="157" t="s">
        <v>1378</v>
      </c>
      <c r="I2738" s="157" t="s">
        <v>2019</v>
      </c>
      <c r="J2738" s="157" t="s">
        <v>1380</v>
      </c>
      <c r="K2738" s="157" t="s">
        <v>1312</v>
      </c>
      <c r="L2738" s="157" t="s">
        <v>8505</v>
      </c>
      <c r="M2738" s="157" t="str">
        <f t="shared" si="57"/>
        <v>Footwell Temperature Sensor Front Left - Internal Temperature</v>
      </c>
      <c r="N2738" s="157"/>
      <c r="O2738" s="157"/>
      <c r="P2738" s="159" t="s">
        <v>7306</v>
      </c>
      <c r="Q2738" s="157"/>
      <c r="R2738" s="157"/>
      <c r="S2738" s="157"/>
      <c r="T2738" s="157"/>
      <c r="U2738" s="159" t="s">
        <v>2129</v>
      </c>
      <c r="V2738" s="159" t="s">
        <v>2129</v>
      </c>
      <c r="W2738" s="159" t="s">
        <v>2138</v>
      </c>
      <c r="X2738" s="160">
        <v>1</v>
      </c>
      <c r="Y2738" s="160">
        <v>1</v>
      </c>
      <c r="Z2738" s="160">
        <v>1</v>
      </c>
      <c r="AA2738" s="160">
        <v>1</v>
      </c>
    </row>
    <row r="2739" spans="1:27" ht="18" customHeight="1" x14ac:dyDescent="0.25">
      <c r="A2739" s="159">
        <v>10017</v>
      </c>
      <c r="B2739" s="157" t="s">
        <v>57</v>
      </c>
      <c r="C2739" s="157" t="s">
        <v>58</v>
      </c>
      <c r="D2739" s="159" t="s">
        <v>2090</v>
      </c>
      <c r="E2739" s="157" t="s">
        <v>1677</v>
      </c>
      <c r="F2739" s="157"/>
      <c r="G2739" s="157" t="s">
        <v>1278</v>
      </c>
      <c r="H2739" s="157" t="s">
        <v>1378</v>
      </c>
      <c r="I2739" s="157" t="s">
        <v>2019</v>
      </c>
      <c r="J2739" s="157" t="s">
        <v>1380</v>
      </c>
      <c r="K2739" s="157" t="s">
        <v>1312</v>
      </c>
      <c r="L2739" s="157" t="s">
        <v>8505</v>
      </c>
      <c r="M2739" s="157" t="str">
        <f t="shared" si="57"/>
        <v>Footwell Temperature Sensor Front Left - Internal Temperature</v>
      </c>
      <c r="N2739" s="157"/>
      <c r="O2739" s="157"/>
      <c r="P2739" s="159" t="s">
        <v>7306</v>
      </c>
      <c r="Q2739" s="157"/>
      <c r="R2739" s="157"/>
      <c r="S2739" s="157"/>
      <c r="T2739" s="157"/>
      <c r="U2739" s="159" t="s">
        <v>2129</v>
      </c>
      <c r="V2739" s="159" t="s">
        <v>2129</v>
      </c>
      <c r="W2739" s="159" t="s">
        <v>2138</v>
      </c>
      <c r="X2739" s="160">
        <v>1</v>
      </c>
      <c r="Y2739" s="160">
        <v>1</v>
      </c>
      <c r="Z2739" s="160">
        <v>1</v>
      </c>
      <c r="AA2739" s="160">
        <v>1</v>
      </c>
    </row>
    <row r="2740" spans="1:27" ht="18" customHeight="1" x14ac:dyDescent="0.25">
      <c r="A2740" s="159">
        <v>10018</v>
      </c>
      <c r="B2740" s="157" t="s">
        <v>57</v>
      </c>
      <c r="C2740" s="157" t="s">
        <v>58</v>
      </c>
      <c r="D2740" s="159" t="s">
        <v>61</v>
      </c>
      <c r="E2740" s="157" t="s">
        <v>59</v>
      </c>
      <c r="F2740" s="157" t="s">
        <v>1264</v>
      </c>
      <c r="G2740" s="157" t="s">
        <v>1278</v>
      </c>
      <c r="H2740" s="157" t="s">
        <v>1378</v>
      </c>
      <c r="I2740" s="157" t="s">
        <v>2019</v>
      </c>
      <c r="J2740" s="157" t="s">
        <v>1380</v>
      </c>
      <c r="K2740" s="157" t="s">
        <v>1312</v>
      </c>
      <c r="L2740" s="157" t="s">
        <v>8506</v>
      </c>
      <c r="M2740" s="157" t="str">
        <f t="shared" si="57"/>
        <v>Footwell Temperature Sensor Front Right - Internal Temperature</v>
      </c>
      <c r="N2740" s="157"/>
      <c r="O2740" s="157"/>
      <c r="P2740" s="159" t="s">
        <v>4249</v>
      </c>
      <c r="Q2740" s="157"/>
      <c r="R2740" s="157"/>
      <c r="S2740" s="157"/>
      <c r="T2740" s="157"/>
      <c r="U2740" s="159" t="s">
        <v>2129</v>
      </c>
      <c r="V2740" s="159" t="s">
        <v>2129</v>
      </c>
      <c r="W2740" s="159" t="s">
        <v>2138</v>
      </c>
      <c r="X2740" s="160">
        <v>1</v>
      </c>
      <c r="Y2740" s="160">
        <v>1</v>
      </c>
      <c r="Z2740" s="160">
        <v>1</v>
      </c>
      <c r="AA2740" s="160">
        <v>1</v>
      </c>
    </row>
    <row r="2741" spans="1:27" ht="18" customHeight="1" x14ac:dyDescent="0.25">
      <c r="A2741" s="159">
        <v>10018</v>
      </c>
      <c r="B2741" s="157" t="s">
        <v>57</v>
      </c>
      <c r="C2741" s="157" t="s">
        <v>58</v>
      </c>
      <c r="D2741" s="159" t="s">
        <v>414</v>
      </c>
      <c r="E2741" s="157" t="s">
        <v>412</v>
      </c>
      <c r="F2741" s="157" t="s">
        <v>1264</v>
      </c>
      <c r="G2741" s="157" t="s">
        <v>1278</v>
      </c>
      <c r="H2741" s="157" t="s">
        <v>1378</v>
      </c>
      <c r="I2741" s="157" t="s">
        <v>2019</v>
      </c>
      <c r="J2741" s="157" t="s">
        <v>1380</v>
      </c>
      <c r="K2741" s="157" t="s">
        <v>1312</v>
      </c>
      <c r="L2741" s="157" t="s">
        <v>8506</v>
      </c>
      <c r="M2741" s="157" t="str">
        <f t="shared" si="57"/>
        <v>Footwell Temperature Sensor Front Right - Internal Temperature</v>
      </c>
      <c r="N2741" s="157"/>
      <c r="O2741" s="157"/>
      <c r="P2741" s="159" t="s">
        <v>4249</v>
      </c>
      <c r="Q2741" s="157"/>
      <c r="R2741" s="157"/>
      <c r="S2741" s="157"/>
      <c r="T2741" s="157"/>
      <c r="U2741" s="159" t="s">
        <v>2129</v>
      </c>
      <c r="V2741" s="159" t="s">
        <v>2138</v>
      </c>
      <c r="W2741" s="159" t="s">
        <v>2138</v>
      </c>
      <c r="X2741" s="160">
        <v>1</v>
      </c>
      <c r="Y2741" s="160">
        <v>1</v>
      </c>
      <c r="Z2741" s="160">
        <v>1</v>
      </c>
      <c r="AA2741" s="160">
        <v>1</v>
      </c>
    </row>
    <row r="2742" spans="1:27" ht="18" customHeight="1" x14ac:dyDescent="0.25">
      <c r="A2742" s="159">
        <v>10018</v>
      </c>
      <c r="B2742" s="157" t="s">
        <v>57</v>
      </c>
      <c r="C2742" s="157" t="s">
        <v>58</v>
      </c>
      <c r="D2742" s="159" t="s">
        <v>417</v>
      </c>
      <c r="E2742" s="157" t="s">
        <v>415</v>
      </c>
      <c r="F2742" s="157" t="s">
        <v>1264</v>
      </c>
      <c r="G2742" s="157" t="s">
        <v>1278</v>
      </c>
      <c r="H2742" s="157" t="s">
        <v>1378</v>
      </c>
      <c r="I2742" s="157" t="s">
        <v>2019</v>
      </c>
      <c r="J2742" s="157" t="s">
        <v>1380</v>
      </c>
      <c r="K2742" s="157" t="s">
        <v>1312</v>
      </c>
      <c r="L2742" s="157" t="s">
        <v>8506</v>
      </c>
      <c r="M2742" s="157" t="str">
        <f t="shared" si="57"/>
        <v>Footwell Temperature Sensor Front Right - Internal Temperature</v>
      </c>
      <c r="N2742" s="157"/>
      <c r="O2742" s="157"/>
      <c r="P2742" s="159" t="s">
        <v>4249</v>
      </c>
      <c r="Q2742" s="157"/>
      <c r="R2742" s="157"/>
      <c r="S2742" s="157"/>
      <c r="T2742" s="157"/>
      <c r="U2742" s="159" t="s">
        <v>2129</v>
      </c>
      <c r="V2742" s="159" t="s">
        <v>2138</v>
      </c>
      <c r="W2742" s="159" t="s">
        <v>2138</v>
      </c>
      <c r="X2742" s="160">
        <v>1</v>
      </c>
      <c r="Y2742" s="160">
        <v>1</v>
      </c>
      <c r="Z2742" s="160">
        <v>1</v>
      </c>
      <c r="AA2742" s="160">
        <v>1</v>
      </c>
    </row>
    <row r="2743" spans="1:27" ht="18" customHeight="1" x14ac:dyDescent="0.25">
      <c r="A2743" s="159">
        <v>10018</v>
      </c>
      <c r="B2743" s="157" t="s">
        <v>57</v>
      </c>
      <c r="C2743" s="157" t="s">
        <v>58</v>
      </c>
      <c r="D2743" s="159" t="s">
        <v>62</v>
      </c>
      <c r="E2743" s="157" t="s">
        <v>991</v>
      </c>
      <c r="F2743" s="157" t="s">
        <v>1264</v>
      </c>
      <c r="G2743" s="157" t="s">
        <v>1278</v>
      </c>
      <c r="H2743" s="157" t="s">
        <v>1378</v>
      </c>
      <c r="I2743" s="157" t="s">
        <v>2019</v>
      </c>
      <c r="J2743" s="157" t="s">
        <v>1380</v>
      </c>
      <c r="K2743" s="157" t="s">
        <v>1312</v>
      </c>
      <c r="L2743" s="157" t="s">
        <v>8506</v>
      </c>
      <c r="M2743" s="157" t="str">
        <f t="shared" si="57"/>
        <v>Footwell Temperature Sensor Front Right - Internal Temperature</v>
      </c>
      <c r="N2743" s="157"/>
      <c r="O2743" s="157"/>
      <c r="P2743" s="159" t="s">
        <v>4249</v>
      </c>
      <c r="Q2743" s="157"/>
      <c r="R2743" s="157"/>
      <c r="S2743" s="157"/>
      <c r="T2743" s="157"/>
      <c r="U2743" s="159" t="s">
        <v>2129</v>
      </c>
      <c r="V2743" s="159" t="s">
        <v>2138</v>
      </c>
      <c r="W2743" s="159" t="s">
        <v>2129</v>
      </c>
      <c r="X2743" s="160">
        <v>1</v>
      </c>
      <c r="Y2743" s="160">
        <v>1</v>
      </c>
      <c r="Z2743" s="160">
        <v>1</v>
      </c>
      <c r="AA2743" s="160">
        <v>1</v>
      </c>
    </row>
    <row r="2744" spans="1:27" ht="18" customHeight="1" x14ac:dyDescent="0.25">
      <c r="A2744" s="159">
        <v>10018</v>
      </c>
      <c r="B2744" s="157" t="s">
        <v>57</v>
      </c>
      <c r="C2744" s="157" t="s">
        <v>58</v>
      </c>
      <c r="D2744" s="159" t="s">
        <v>995</v>
      </c>
      <c r="E2744" s="157" t="s">
        <v>993</v>
      </c>
      <c r="F2744" s="157" t="s">
        <v>1264</v>
      </c>
      <c r="G2744" s="157" t="s">
        <v>1278</v>
      </c>
      <c r="H2744" s="157" t="s">
        <v>1378</v>
      </c>
      <c r="I2744" s="157" t="s">
        <v>2019</v>
      </c>
      <c r="J2744" s="157" t="s">
        <v>1380</v>
      </c>
      <c r="K2744" s="157" t="s">
        <v>1312</v>
      </c>
      <c r="L2744" s="157" t="s">
        <v>8506</v>
      </c>
      <c r="M2744" s="157" t="str">
        <f t="shared" si="57"/>
        <v>Footwell Temperature Sensor Front Right - Internal Temperature</v>
      </c>
      <c r="N2744" s="157"/>
      <c r="O2744" s="157"/>
      <c r="P2744" s="159" t="s">
        <v>4249</v>
      </c>
      <c r="Q2744" s="157"/>
      <c r="R2744" s="157"/>
      <c r="S2744" s="157"/>
      <c r="T2744" s="157"/>
      <c r="U2744" s="159" t="s">
        <v>2129</v>
      </c>
      <c r="V2744" s="159" t="s">
        <v>2138</v>
      </c>
      <c r="W2744" s="159" t="s">
        <v>2138</v>
      </c>
      <c r="X2744" s="160">
        <v>1</v>
      </c>
      <c r="Y2744" s="160">
        <v>1</v>
      </c>
      <c r="Z2744" s="160">
        <v>1</v>
      </c>
      <c r="AA2744" s="160">
        <v>1</v>
      </c>
    </row>
    <row r="2745" spans="1:27" ht="18" customHeight="1" x14ac:dyDescent="0.25">
      <c r="A2745" s="159">
        <v>10018</v>
      </c>
      <c r="B2745" s="157" t="s">
        <v>57</v>
      </c>
      <c r="C2745" s="157" t="s">
        <v>58</v>
      </c>
      <c r="D2745" s="159" t="s">
        <v>998</v>
      </c>
      <c r="E2745" s="157" t="s">
        <v>996</v>
      </c>
      <c r="F2745" s="157" t="s">
        <v>1264</v>
      </c>
      <c r="G2745" s="157" t="s">
        <v>1278</v>
      </c>
      <c r="H2745" s="157" t="s">
        <v>1378</v>
      </c>
      <c r="I2745" s="157" t="s">
        <v>2019</v>
      </c>
      <c r="J2745" s="157" t="s">
        <v>1380</v>
      </c>
      <c r="K2745" s="157" t="s">
        <v>1312</v>
      </c>
      <c r="L2745" s="157" t="s">
        <v>8506</v>
      </c>
      <c r="M2745" s="157" t="str">
        <f t="shared" si="57"/>
        <v>Footwell Temperature Sensor Front Right - Internal Temperature</v>
      </c>
      <c r="N2745" s="157"/>
      <c r="O2745" s="157"/>
      <c r="P2745" s="159" t="s">
        <v>4249</v>
      </c>
      <c r="Q2745" s="157"/>
      <c r="R2745" s="157"/>
      <c r="S2745" s="157"/>
      <c r="T2745" s="157"/>
      <c r="U2745" s="159" t="s">
        <v>2129</v>
      </c>
      <c r="V2745" s="159" t="s">
        <v>2129</v>
      </c>
      <c r="W2745" s="159" t="s">
        <v>2138</v>
      </c>
      <c r="X2745" s="160">
        <v>1</v>
      </c>
      <c r="Y2745" s="160">
        <v>1</v>
      </c>
      <c r="Z2745" s="160">
        <v>1</v>
      </c>
      <c r="AA2745" s="160">
        <v>1</v>
      </c>
    </row>
    <row r="2746" spans="1:27" ht="18" customHeight="1" x14ac:dyDescent="0.25">
      <c r="A2746" s="159">
        <v>10018</v>
      </c>
      <c r="B2746" s="157" t="s">
        <v>57</v>
      </c>
      <c r="C2746" s="157" t="s">
        <v>58</v>
      </c>
      <c r="D2746" s="159" t="s">
        <v>2090</v>
      </c>
      <c r="E2746" s="157" t="s">
        <v>1677</v>
      </c>
      <c r="F2746" s="157"/>
      <c r="G2746" s="157" t="s">
        <v>1278</v>
      </c>
      <c r="H2746" s="157" t="s">
        <v>1378</v>
      </c>
      <c r="I2746" s="157" t="s">
        <v>2019</v>
      </c>
      <c r="J2746" s="157" t="s">
        <v>1380</v>
      </c>
      <c r="K2746" s="157" t="s">
        <v>1312</v>
      </c>
      <c r="L2746" s="157" t="s">
        <v>8506</v>
      </c>
      <c r="M2746" s="157" t="str">
        <f t="shared" si="57"/>
        <v>Footwell Temperature Sensor Front Right - Internal Temperature</v>
      </c>
      <c r="N2746" s="157"/>
      <c r="O2746" s="157"/>
      <c r="P2746" s="159" t="s">
        <v>4249</v>
      </c>
      <c r="Q2746" s="157"/>
      <c r="R2746" s="157"/>
      <c r="S2746" s="157"/>
      <c r="T2746" s="157"/>
      <c r="U2746" s="159" t="s">
        <v>2129</v>
      </c>
      <c r="V2746" s="159" t="s">
        <v>2129</v>
      </c>
      <c r="W2746" s="159" t="s">
        <v>2138</v>
      </c>
      <c r="X2746" s="160">
        <v>1</v>
      </c>
      <c r="Y2746" s="160">
        <v>1</v>
      </c>
      <c r="Z2746" s="160">
        <v>1</v>
      </c>
      <c r="AA2746" s="160">
        <v>1</v>
      </c>
    </row>
    <row r="2747" spans="1:27" ht="18" customHeight="1" x14ac:dyDescent="0.25">
      <c r="A2747" s="159">
        <v>10019</v>
      </c>
      <c r="B2747" s="157" t="s">
        <v>57</v>
      </c>
      <c r="C2747" s="157" t="s">
        <v>58</v>
      </c>
      <c r="D2747" s="159" t="s">
        <v>61</v>
      </c>
      <c r="E2747" s="157" t="s">
        <v>59</v>
      </c>
      <c r="F2747" s="157" t="s">
        <v>1264</v>
      </c>
      <c r="G2747" s="157" t="s">
        <v>1278</v>
      </c>
      <c r="H2747" s="157" t="s">
        <v>1378</v>
      </c>
      <c r="I2747" s="157" t="s">
        <v>1379</v>
      </c>
      <c r="J2747" s="157" t="s">
        <v>1380</v>
      </c>
      <c r="K2747" s="157" t="s">
        <v>1269</v>
      </c>
      <c r="L2747" s="157" t="s">
        <v>9625</v>
      </c>
      <c r="M2747" s="157" t="str">
        <f t="shared" si="57"/>
        <v>Stepper Motor - Cockpit Deflector FL 1 - Air Flow Deflection</v>
      </c>
      <c r="N2747" s="157"/>
      <c r="O2747" s="157"/>
      <c r="P2747" s="159" t="s">
        <v>7074</v>
      </c>
      <c r="Q2747" s="157"/>
      <c r="R2747" s="157"/>
      <c r="S2747" s="157"/>
      <c r="T2747" s="157"/>
      <c r="U2747" s="159" t="s">
        <v>2129</v>
      </c>
      <c r="V2747" s="159" t="s">
        <v>2129</v>
      </c>
      <c r="W2747" s="159" t="s">
        <v>2138</v>
      </c>
      <c r="X2747" s="160">
        <v>0.01</v>
      </c>
      <c r="Y2747" s="160">
        <v>0.01</v>
      </c>
      <c r="Z2747" s="160">
        <v>0.01</v>
      </c>
      <c r="AA2747" s="160">
        <v>0.01</v>
      </c>
    </row>
    <row r="2748" spans="1:27" ht="18" customHeight="1" x14ac:dyDescent="0.25">
      <c r="A2748" s="159">
        <v>10019</v>
      </c>
      <c r="B2748" s="157" t="s">
        <v>57</v>
      </c>
      <c r="C2748" s="157" t="s">
        <v>58</v>
      </c>
      <c r="D2748" s="159" t="s">
        <v>62</v>
      </c>
      <c r="E2748" s="157" t="s">
        <v>991</v>
      </c>
      <c r="F2748" s="157" t="s">
        <v>1264</v>
      </c>
      <c r="G2748" s="157" t="s">
        <v>1278</v>
      </c>
      <c r="H2748" s="157" t="s">
        <v>1378</v>
      </c>
      <c r="I2748" s="157" t="s">
        <v>1379</v>
      </c>
      <c r="J2748" s="157" t="s">
        <v>1380</v>
      </c>
      <c r="K2748" s="157" t="s">
        <v>1269</v>
      </c>
      <c r="L2748" s="157" t="s">
        <v>9625</v>
      </c>
      <c r="M2748" s="157" t="str">
        <f t="shared" si="57"/>
        <v>Stepper Motor - Cockpit Deflector FL 1 - Air Flow Deflection</v>
      </c>
      <c r="N2748" s="157"/>
      <c r="O2748" s="157"/>
      <c r="P2748" s="159" t="s">
        <v>7074</v>
      </c>
      <c r="Q2748" s="157"/>
      <c r="R2748" s="157"/>
      <c r="S2748" s="157"/>
      <c r="T2748" s="157"/>
      <c r="U2748" s="159" t="s">
        <v>2129</v>
      </c>
      <c r="V2748" s="159" t="s">
        <v>2138</v>
      </c>
      <c r="W2748" s="159" t="s">
        <v>2129</v>
      </c>
      <c r="X2748" s="160">
        <v>0.01</v>
      </c>
      <c r="Y2748" s="160">
        <v>0.01</v>
      </c>
      <c r="Z2748" s="160">
        <v>0.01</v>
      </c>
      <c r="AA2748" s="160">
        <v>0.01</v>
      </c>
    </row>
    <row r="2749" spans="1:27" ht="18" customHeight="1" x14ac:dyDescent="0.25">
      <c r="A2749" s="159">
        <v>10019</v>
      </c>
      <c r="B2749" s="157" t="s">
        <v>57</v>
      </c>
      <c r="C2749" s="157" t="s">
        <v>58</v>
      </c>
      <c r="D2749" s="159" t="s">
        <v>995</v>
      </c>
      <c r="E2749" s="157" t="s">
        <v>993</v>
      </c>
      <c r="F2749" s="157" t="s">
        <v>1264</v>
      </c>
      <c r="G2749" s="157" t="s">
        <v>1278</v>
      </c>
      <c r="H2749" s="157" t="s">
        <v>1378</v>
      </c>
      <c r="I2749" s="157" t="s">
        <v>1379</v>
      </c>
      <c r="J2749" s="157" t="s">
        <v>1380</v>
      </c>
      <c r="K2749" s="157" t="s">
        <v>1269</v>
      </c>
      <c r="L2749" s="157" t="s">
        <v>9625</v>
      </c>
      <c r="M2749" s="157" t="str">
        <f t="shared" si="57"/>
        <v>Stepper Motor - Cockpit Deflector FL 1 - Air Flow Deflection</v>
      </c>
      <c r="N2749" s="157"/>
      <c r="O2749" s="157"/>
      <c r="P2749" s="159" t="s">
        <v>7074</v>
      </c>
      <c r="Q2749" s="157"/>
      <c r="R2749" s="157"/>
      <c r="S2749" s="157"/>
      <c r="T2749" s="157"/>
      <c r="U2749" s="159" t="s">
        <v>2129</v>
      </c>
      <c r="V2749" s="159" t="s">
        <v>2138</v>
      </c>
      <c r="W2749" s="159" t="s">
        <v>2138</v>
      </c>
      <c r="X2749" s="160">
        <v>0.01</v>
      </c>
      <c r="Y2749" s="160">
        <v>0.01</v>
      </c>
      <c r="Z2749" s="160">
        <v>0.01</v>
      </c>
      <c r="AA2749" s="160">
        <v>0.01</v>
      </c>
    </row>
    <row r="2750" spans="1:27" ht="18" customHeight="1" x14ac:dyDescent="0.25">
      <c r="A2750" s="159">
        <v>10020</v>
      </c>
      <c r="B2750" s="157" t="s">
        <v>57</v>
      </c>
      <c r="C2750" s="157" t="s">
        <v>58</v>
      </c>
      <c r="D2750" s="159" t="s">
        <v>61</v>
      </c>
      <c r="E2750" s="157" t="s">
        <v>59</v>
      </c>
      <c r="F2750" s="157" t="s">
        <v>1264</v>
      </c>
      <c r="G2750" s="157" t="s">
        <v>1278</v>
      </c>
      <c r="H2750" s="157" t="s">
        <v>1378</v>
      </c>
      <c r="I2750" s="157" t="s">
        <v>1379</v>
      </c>
      <c r="J2750" s="157" t="s">
        <v>1380</v>
      </c>
      <c r="K2750" s="157" t="s">
        <v>1269</v>
      </c>
      <c r="L2750" s="157" t="s">
        <v>9626</v>
      </c>
      <c r="M2750" s="157" t="str">
        <f t="shared" si="57"/>
        <v>Stepper Motor - Cockpit Deflector FL 2 - Air Flow Deflection</v>
      </c>
      <c r="N2750" s="157"/>
      <c r="O2750" s="157"/>
      <c r="P2750" s="159" t="s">
        <v>7074</v>
      </c>
      <c r="Q2750" s="157"/>
      <c r="R2750" s="157"/>
      <c r="S2750" s="157"/>
      <c r="T2750" s="157"/>
      <c r="U2750" s="159" t="s">
        <v>2129</v>
      </c>
      <c r="V2750" s="159" t="s">
        <v>2129</v>
      </c>
      <c r="W2750" s="159" t="s">
        <v>2138</v>
      </c>
      <c r="X2750" s="160">
        <v>0.01</v>
      </c>
      <c r="Y2750" s="160">
        <v>0.01</v>
      </c>
      <c r="Z2750" s="160">
        <v>0.01</v>
      </c>
      <c r="AA2750" s="160">
        <v>0.01</v>
      </c>
    </row>
    <row r="2751" spans="1:27" ht="18" customHeight="1" x14ac:dyDescent="0.25">
      <c r="A2751" s="159">
        <v>10020</v>
      </c>
      <c r="B2751" s="157" t="s">
        <v>57</v>
      </c>
      <c r="C2751" s="157" t="s">
        <v>58</v>
      </c>
      <c r="D2751" s="159" t="s">
        <v>62</v>
      </c>
      <c r="E2751" s="157" t="s">
        <v>991</v>
      </c>
      <c r="F2751" s="157" t="s">
        <v>1264</v>
      </c>
      <c r="G2751" s="157" t="s">
        <v>1278</v>
      </c>
      <c r="H2751" s="157" t="s">
        <v>1378</v>
      </c>
      <c r="I2751" s="157" t="s">
        <v>1379</v>
      </c>
      <c r="J2751" s="157" t="s">
        <v>1380</v>
      </c>
      <c r="K2751" s="157" t="s">
        <v>1269</v>
      </c>
      <c r="L2751" s="157" t="s">
        <v>9626</v>
      </c>
      <c r="M2751" s="157" t="str">
        <f t="shared" si="57"/>
        <v>Stepper Motor - Cockpit Deflector FL 2 - Air Flow Deflection</v>
      </c>
      <c r="N2751" s="157"/>
      <c r="O2751" s="157"/>
      <c r="P2751" s="159" t="s">
        <v>7074</v>
      </c>
      <c r="Q2751" s="157"/>
      <c r="R2751" s="157"/>
      <c r="S2751" s="157"/>
      <c r="T2751" s="157"/>
      <c r="U2751" s="159" t="s">
        <v>2129</v>
      </c>
      <c r="V2751" s="159" t="s">
        <v>2138</v>
      </c>
      <c r="W2751" s="159" t="s">
        <v>2129</v>
      </c>
      <c r="X2751" s="160">
        <v>0.01</v>
      </c>
      <c r="Y2751" s="160">
        <v>0.01</v>
      </c>
      <c r="Z2751" s="160">
        <v>0.01</v>
      </c>
      <c r="AA2751" s="160">
        <v>0.01</v>
      </c>
    </row>
    <row r="2752" spans="1:27" ht="18" customHeight="1" x14ac:dyDescent="0.25">
      <c r="A2752" s="159">
        <v>10020</v>
      </c>
      <c r="B2752" s="157" t="s">
        <v>57</v>
      </c>
      <c r="C2752" s="157" t="s">
        <v>58</v>
      </c>
      <c r="D2752" s="159" t="s">
        <v>995</v>
      </c>
      <c r="E2752" s="157" t="s">
        <v>993</v>
      </c>
      <c r="F2752" s="157" t="s">
        <v>1264</v>
      </c>
      <c r="G2752" s="157" t="s">
        <v>1278</v>
      </c>
      <c r="H2752" s="157" t="s">
        <v>1378</v>
      </c>
      <c r="I2752" s="157" t="s">
        <v>1379</v>
      </c>
      <c r="J2752" s="157" t="s">
        <v>1380</v>
      </c>
      <c r="K2752" s="157" t="s">
        <v>1269</v>
      </c>
      <c r="L2752" s="157" t="s">
        <v>9626</v>
      </c>
      <c r="M2752" s="157" t="str">
        <f t="shared" si="57"/>
        <v>Stepper Motor - Cockpit Deflector FL 2 - Air Flow Deflection</v>
      </c>
      <c r="N2752" s="157"/>
      <c r="O2752" s="157"/>
      <c r="P2752" s="159" t="s">
        <v>7074</v>
      </c>
      <c r="Q2752" s="157"/>
      <c r="R2752" s="157"/>
      <c r="S2752" s="157"/>
      <c r="T2752" s="157"/>
      <c r="U2752" s="159" t="s">
        <v>2129</v>
      </c>
      <c r="V2752" s="159" t="s">
        <v>2138</v>
      </c>
      <c r="W2752" s="159" t="s">
        <v>2138</v>
      </c>
      <c r="X2752" s="160">
        <v>0.01</v>
      </c>
      <c r="Y2752" s="160">
        <v>0.01</v>
      </c>
      <c r="Z2752" s="160">
        <v>0.01</v>
      </c>
      <c r="AA2752" s="160">
        <v>0.01</v>
      </c>
    </row>
    <row r="2753" spans="1:27" ht="18" customHeight="1" x14ac:dyDescent="0.25">
      <c r="A2753" s="159">
        <v>10021</v>
      </c>
      <c r="B2753" s="157" t="s">
        <v>57</v>
      </c>
      <c r="C2753" s="157" t="s">
        <v>58</v>
      </c>
      <c r="D2753" s="159" t="s">
        <v>61</v>
      </c>
      <c r="E2753" s="157" t="s">
        <v>59</v>
      </c>
      <c r="F2753" s="157" t="s">
        <v>1264</v>
      </c>
      <c r="G2753" s="157" t="s">
        <v>1278</v>
      </c>
      <c r="H2753" s="157" t="s">
        <v>1378</v>
      </c>
      <c r="I2753" s="157" t="s">
        <v>1379</v>
      </c>
      <c r="J2753" s="157" t="s">
        <v>1380</v>
      </c>
      <c r="K2753" s="157" t="s">
        <v>1269</v>
      </c>
      <c r="L2753" s="157" t="s">
        <v>9628</v>
      </c>
      <c r="M2753" s="157" t="str">
        <f t="shared" si="57"/>
        <v>Stepper Motor - Cockpit Deflector ML 1 - Air Flow Deflection</v>
      </c>
      <c r="N2753" s="157"/>
      <c r="O2753" s="157"/>
      <c r="P2753" s="159" t="s">
        <v>5923</v>
      </c>
      <c r="Q2753" s="157"/>
      <c r="R2753" s="157"/>
      <c r="S2753" s="157"/>
      <c r="T2753" s="157"/>
      <c r="U2753" s="159" t="s">
        <v>2129</v>
      </c>
      <c r="V2753" s="159" t="s">
        <v>2129</v>
      </c>
      <c r="W2753" s="159" t="s">
        <v>2138</v>
      </c>
      <c r="X2753" s="160">
        <v>0.01</v>
      </c>
      <c r="Y2753" s="160">
        <v>0.01</v>
      </c>
      <c r="Z2753" s="160">
        <v>0.01</v>
      </c>
      <c r="AA2753" s="160">
        <v>0.01</v>
      </c>
    </row>
    <row r="2754" spans="1:27" ht="18" customHeight="1" x14ac:dyDescent="0.25">
      <c r="A2754" s="159">
        <v>10021</v>
      </c>
      <c r="B2754" s="157" t="s">
        <v>57</v>
      </c>
      <c r="C2754" s="157" t="s">
        <v>58</v>
      </c>
      <c r="D2754" s="159" t="s">
        <v>62</v>
      </c>
      <c r="E2754" s="157" t="s">
        <v>991</v>
      </c>
      <c r="F2754" s="157" t="s">
        <v>1264</v>
      </c>
      <c r="G2754" s="157" t="s">
        <v>1278</v>
      </c>
      <c r="H2754" s="157" t="s">
        <v>1378</v>
      </c>
      <c r="I2754" s="157" t="s">
        <v>1379</v>
      </c>
      <c r="J2754" s="157" t="s">
        <v>1380</v>
      </c>
      <c r="K2754" s="157" t="s">
        <v>1269</v>
      </c>
      <c r="L2754" s="157" t="s">
        <v>9628</v>
      </c>
      <c r="M2754" s="157" t="str">
        <f t="shared" si="57"/>
        <v>Stepper Motor - Cockpit Deflector ML 1 - Air Flow Deflection</v>
      </c>
      <c r="N2754" s="157"/>
      <c r="O2754" s="157"/>
      <c r="P2754" s="159" t="s">
        <v>5923</v>
      </c>
      <c r="Q2754" s="157"/>
      <c r="R2754" s="157"/>
      <c r="S2754" s="157"/>
      <c r="T2754" s="157"/>
      <c r="U2754" s="159" t="s">
        <v>2129</v>
      </c>
      <c r="V2754" s="159" t="s">
        <v>2138</v>
      </c>
      <c r="W2754" s="159" t="s">
        <v>2129</v>
      </c>
      <c r="X2754" s="160">
        <v>0.01</v>
      </c>
      <c r="Y2754" s="160">
        <v>0.01</v>
      </c>
      <c r="Z2754" s="160">
        <v>0.01</v>
      </c>
      <c r="AA2754" s="160">
        <v>0.01</v>
      </c>
    </row>
    <row r="2755" spans="1:27" ht="18" customHeight="1" x14ac:dyDescent="0.25">
      <c r="A2755" s="159">
        <v>10021</v>
      </c>
      <c r="B2755" s="157" t="s">
        <v>57</v>
      </c>
      <c r="C2755" s="157" t="s">
        <v>58</v>
      </c>
      <c r="D2755" s="159" t="s">
        <v>995</v>
      </c>
      <c r="E2755" s="157" t="s">
        <v>993</v>
      </c>
      <c r="F2755" s="157" t="s">
        <v>1264</v>
      </c>
      <c r="G2755" s="157" t="s">
        <v>1278</v>
      </c>
      <c r="H2755" s="157" t="s">
        <v>1378</v>
      </c>
      <c r="I2755" s="157" t="s">
        <v>1379</v>
      </c>
      <c r="J2755" s="157" t="s">
        <v>1380</v>
      </c>
      <c r="K2755" s="157" t="s">
        <v>1269</v>
      </c>
      <c r="L2755" s="157" t="s">
        <v>9628</v>
      </c>
      <c r="M2755" s="157" t="str">
        <f t="shared" si="57"/>
        <v>Stepper Motor - Cockpit Deflector ML 1 - Air Flow Deflection</v>
      </c>
      <c r="N2755" s="157"/>
      <c r="O2755" s="157"/>
      <c r="P2755" s="159" t="s">
        <v>5923</v>
      </c>
      <c r="Q2755" s="157"/>
      <c r="R2755" s="157"/>
      <c r="S2755" s="157"/>
      <c r="T2755" s="157"/>
      <c r="U2755" s="159" t="s">
        <v>2129</v>
      </c>
      <c r="V2755" s="159" t="s">
        <v>2138</v>
      </c>
      <c r="W2755" s="159" t="s">
        <v>2138</v>
      </c>
      <c r="X2755" s="160">
        <v>0.01</v>
      </c>
      <c r="Y2755" s="160">
        <v>0.01</v>
      </c>
      <c r="Z2755" s="160">
        <v>0.01</v>
      </c>
      <c r="AA2755" s="160">
        <v>0.01</v>
      </c>
    </row>
    <row r="2756" spans="1:27" ht="18" customHeight="1" x14ac:dyDescent="0.25">
      <c r="A2756" s="159">
        <v>10022</v>
      </c>
      <c r="B2756" s="157" t="s">
        <v>57</v>
      </c>
      <c r="C2756" s="157" t="s">
        <v>58</v>
      </c>
      <c r="D2756" s="159" t="s">
        <v>61</v>
      </c>
      <c r="E2756" s="157" t="s">
        <v>59</v>
      </c>
      <c r="F2756" s="157" t="s">
        <v>1264</v>
      </c>
      <c r="G2756" s="157" t="s">
        <v>1278</v>
      </c>
      <c r="H2756" s="157" t="s">
        <v>1378</v>
      </c>
      <c r="I2756" s="157" t="s">
        <v>1379</v>
      </c>
      <c r="J2756" s="157" t="s">
        <v>1380</v>
      </c>
      <c r="K2756" s="157" t="s">
        <v>1269</v>
      </c>
      <c r="L2756" s="157" t="s">
        <v>9627</v>
      </c>
      <c r="M2756" s="157" t="str">
        <f t="shared" si="57"/>
        <v>Stepper Motor - Cockpit Deflector ML 2 - Air Flow Deflection</v>
      </c>
      <c r="N2756" s="157"/>
      <c r="O2756" s="157"/>
      <c r="P2756" s="159" t="s">
        <v>5923</v>
      </c>
      <c r="Q2756" s="157"/>
      <c r="R2756" s="157"/>
      <c r="S2756" s="157"/>
      <c r="T2756" s="157"/>
      <c r="U2756" s="159" t="s">
        <v>2129</v>
      </c>
      <c r="V2756" s="159" t="s">
        <v>2129</v>
      </c>
      <c r="W2756" s="159" t="s">
        <v>2138</v>
      </c>
      <c r="X2756" s="160">
        <v>0.01</v>
      </c>
      <c r="Y2756" s="160">
        <v>0.01</v>
      </c>
      <c r="Z2756" s="160">
        <v>0.01</v>
      </c>
      <c r="AA2756" s="160">
        <v>0.01</v>
      </c>
    </row>
    <row r="2757" spans="1:27" ht="18" customHeight="1" x14ac:dyDescent="0.25">
      <c r="A2757" s="159">
        <v>10022</v>
      </c>
      <c r="B2757" s="157" t="s">
        <v>57</v>
      </c>
      <c r="C2757" s="157" t="s">
        <v>58</v>
      </c>
      <c r="D2757" s="159" t="s">
        <v>62</v>
      </c>
      <c r="E2757" s="157" t="s">
        <v>991</v>
      </c>
      <c r="F2757" s="157" t="s">
        <v>1264</v>
      </c>
      <c r="G2757" s="157" t="s">
        <v>1278</v>
      </c>
      <c r="H2757" s="157" t="s">
        <v>1378</v>
      </c>
      <c r="I2757" s="157" t="s">
        <v>1379</v>
      </c>
      <c r="J2757" s="157" t="s">
        <v>1380</v>
      </c>
      <c r="K2757" s="157" t="s">
        <v>1269</v>
      </c>
      <c r="L2757" s="157" t="s">
        <v>9627</v>
      </c>
      <c r="M2757" s="157" t="str">
        <f t="shared" si="57"/>
        <v>Stepper Motor - Cockpit Deflector ML 2 - Air Flow Deflection</v>
      </c>
      <c r="N2757" s="157"/>
      <c r="O2757" s="157"/>
      <c r="P2757" s="159" t="s">
        <v>5923</v>
      </c>
      <c r="Q2757" s="157"/>
      <c r="R2757" s="157"/>
      <c r="S2757" s="157"/>
      <c r="T2757" s="157"/>
      <c r="U2757" s="159" t="s">
        <v>2129</v>
      </c>
      <c r="V2757" s="159" t="s">
        <v>2138</v>
      </c>
      <c r="W2757" s="159" t="s">
        <v>2129</v>
      </c>
      <c r="X2757" s="160">
        <v>0.01</v>
      </c>
      <c r="Y2757" s="160">
        <v>0.01</v>
      </c>
      <c r="Z2757" s="160">
        <v>0.01</v>
      </c>
      <c r="AA2757" s="160">
        <v>0.01</v>
      </c>
    </row>
    <row r="2758" spans="1:27" ht="18" customHeight="1" x14ac:dyDescent="0.25">
      <c r="A2758" s="159">
        <v>10022</v>
      </c>
      <c r="B2758" s="157" t="s">
        <v>57</v>
      </c>
      <c r="C2758" s="157" t="s">
        <v>58</v>
      </c>
      <c r="D2758" s="159" t="s">
        <v>995</v>
      </c>
      <c r="E2758" s="157" t="s">
        <v>993</v>
      </c>
      <c r="F2758" s="157" t="s">
        <v>1264</v>
      </c>
      <c r="G2758" s="157" t="s">
        <v>1278</v>
      </c>
      <c r="H2758" s="157" t="s">
        <v>1378</v>
      </c>
      <c r="I2758" s="157" t="s">
        <v>1379</v>
      </c>
      <c r="J2758" s="157" t="s">
        <v>1380</v>
      </c>
      <c r="K2758" s="157" t="s">
        <v>1269</v>
      </c>
      <c r="L2758" s="157" t="s">
        <v>9627</v>
      </c>
      <c r="M2758" s="157" t="str">
        <f t="shared" si="57"/>
        <v>Stepper Motor - Cockpit Deflector ML 2 - Air Flow Deflection</v>
      </c>
      <c r="N2758" s="157"/>
      <c r="O2758" s="157"/>
      <c r="P2758" s="159" t="s">
        <v>5923</v>
      </c>
      <c r="Q2758" s="157"/>
      <c r="R2758" s="157"/>
      <c r="S2758" s="157"/>
      <c r="T2758" s="157"/>
      <c r="U2758" s="159" t="s">
        <v>2129</v>
      </c>
      <c r="V2758" s="159" t="s">
        <v>2138</v>
      </c>
      <c r="W2758" s="159" t="s">
        <v>2138</v>
      </c>
      <c r="X2758" s="160">
        <v>0.01</v>
      </c>
      <c r="Y2758" s="160">
        <v>0.01</v>
      </c>
      <c r="Z2758" s="160">
        <v>0.01</v>
      </c>
      <c r="AA2758" s="160">
        <v>0.01</v>
      </c>
    </row>
    <row r="2759" spans="1:27" ht="18" customHeight="1" x14ac:dyDescent="0.25">
      <c r="A2759" s="159">
        <v>10023</v>
      </c>
      <c r="B2759" s="157" t="s">
        <v>57</v>
      </c>
      <c r="C2759" s="157" t="s">
        <v>58</v>
      </c>
      <c r="D2759" s="159" t="s">
        <v>61</v>
      </c>
      <c r="E2759" s="157" t="s">
        <v>59</v>
      </c>
      <c r="F2759" s="157" t="s">
        <v>1264</v>
      </c>
      <c r="G2759" s="157" t="s">
        <v>1278</v>
      </c>
      <c r="H2759" s="157" t="s">
        <v>1378</v>
      </c>
      <c r="I2759" s="157" t="s">
        <v>1379</v>
      </c>
      <c r="J2759" s="157" t="s">
        <v>1380</v>
      </c>
      <c r="K2759" s="157" t="s">
        <v>1269</v>
      </c>
      <c r="L2759" s="157" t="s">
        <v>9629</v>
      </c>
      <c r="M2759" s="157" t="str">
        <f t="shared" si="57"/>
        <v>Stepper Motor - Cockpit Deflector MR 1 - Air Flow Deflection</v>
      </c>
      <c r="N2759" s="157"/>
      <c r="O2759" s="157"/>
      <c r="P2759" s="159" t="s">
        <v>5551</v>
      </c>
      <c r="Q2759" s="157"/>
      <c r="R2759" s="157"/>
      <c r="S2759" s="157"/>
      <c r="T2759" s="157"/>
      <c r="U2759" s="159" t="s">
        <v>2129</v>
      </c>
      <c r="V2759" s="159" t="s">
        <v>2129</v>
      </c>
      <c r="W2759" s="159" t="s">
        <v>2138</v>
      </c>
      <c r="X2759" s="160">
        <v>0.01</v>
      </c>
      <c r="Y2759" s="160">
        <v>0.01</v>
      </c>
      <c r="Z2759" s="160">
        <v>0.01</v>
      </c>
      <c r="AA2759" s="160">
        <v>0.01</v>
      </c>
    </row>
    <row r="2760" spans="1:27" ht="18" customHeight="1" x14ac:dyDescent="0.25">
      <c r="A2760" s="159">
        <v>10023</v>
      </c>
      <c r="B2760" s="157" t="s">
        <v>57</v>
      </c>
      <c r="C2760" s="157" t="s">
        <v>58</v>
      </c>
      <c r="D2760" s="159" t="s">
        <v>62</v>
      </c>
      <c r="E2760" s="157" t="s">
        <v>991</v>
      </c>
      <c r="F2760" s="157" t="s">
        <v>1264</v>
      </c>
      <c r="G2760" s="157" t="s">
        <v>1278</v>
      </c>
      <c r="H2760" s="157" t="s">
        <v>1378</v>
      </c>
      <c r="I2760" s="157" t="s">
        <v>1379</v>
      </c>
      <c r="J2760" s="157" t="s">
        <v>1380</v>
      </c>
      <c r="K2760" s="157" t="s">
        <v>1269</v>
      </c>
      <c r="L2760" s="157" t="s">
        <v>9629</v>
      </c>
      <c r="M2760" s="157" t="str">
        <f t="shared" si="57"/>
        <v>Stepper Motor - Cockpit Deflector MR 1 - Air Flow Deflection</v>
      </c>
      <c r="N2760" s="157"/>
      <c r="O2760" s="157"/>
      <c r="P2760" s="159" t="s">
        <v>5551</v>
      </c>
      <c r="Q2760" s="157"/>
      <c r="R2760" s="157"/>
      <c r="S2760" s="157"/>
      <c r="T2760" s="157"/>
      <c r="U2760" s="159" t="s">
        <v>2129</v>
      </c>
      <c r="V2760" s="159" t="s">
        <v>2138</v>
      </c>
      <c r="W2760" s="159" t="s">
        <v>2129</v>
      </c>
      <c r="X2760" s="160">
        <v>0.01</v>
      </c>
      <c r="Y2760" s="160">
        <v>0.01</v>
      </c>
      <c r="Z2760" s="160">
        <v>0.01</v>
      </c>
      <c r="AA2760" s="160">
        <v>0.01</v>
      </c>
    </row>
    <row r="2761" spans="1:27" ht="18" customHeight="1" x14ac:dyDescent="0.25">
      <c r="A2761" s="159">
        <v>10023</v>
      </c>
      <c r="B2761" s="157" t="s">
        <v>57</v>
      </c>
      <c r="C2761" s="157" t="s">
        <v>58</v>
      </c>
      <c r="D2761" s="159" t="s">
        <v>995</v>
      </c>
      <c r="E2761" s="157" t="s">
        <v>993</v>
      </c>
      <c r="F2761" s="157" t="s">
        <v>1264</v>
      </c>
      <c r="G2761" s="157" t="s">
        <v>1278</v>
      </c>
      <c r="H2761" s="157" t="s">
        <v>1378</v>
      </c>
      <c r="I2761" s="157" t="s">
        <v>1379</v>
      </c>
      <c r="J2761" s="157" t="s">
        <v>1380</v>
      </c>
      <c r="K2761" s="157" t="s">
        <v>1269</v>
      </c>
      <c r="L2761" s="157" t="s">
        <v>9629</v>
      </c>
      <c r="M2761" s="157" t="str">
        <f t="shared" si="57"/>
        <v>Stepper Motor - Cockpit Deflector MR 1 - Air Flow Deflection</v>
      </c>
      <c r="N2761" s="157"/>
      <c r="O2761" s="157"/>
      <c r="P2761" s="159" t="s">
        <v>5551</v>
      </c>
      <c r="Q2761" s="157"/>
      <c r="R2761" s="157"/>
      <c r="S2761" s="157"/>
      <c r="T2761" s="157"/>
      <c r="U2761" s="159" t="s">
        <v>2129</v>
      </c>
      <c r="V2761" s="159" t="s">
        <v>2138</v>
      </c>
      <c r="W2761" s="159" t="s">
        <v>2138</v>
      </c>
      <c r="X2761" s="160">
        <v>0.01</v>
      </c>
      <c r="Y2761" s="160">
        <v>0.01</v>
      </c>
      <c r="Z2761" s="160">
        <v>0.01</v>
      </c>
      <c r="AA2761" s="160">
        <v>0.01</v>
      </c>
    </row>
    <row r="2762" spans="1:27" ht="18" customHeight="1" x14ac:dyDescent="0.25">
      <c r="A2762" s="159">
        <v>10024</v>
      </c>
      <c r="B2762" s="157" t="s">
        <v>57</v>
      </c>
      <c r="C2762" s="157" t="s">
        <v>58</v>
      </c>
      <c r="D2762" s="159" t="s">
        <v>61</v>
      </c>
      <c r="E2762" s="157" t="s">
        <v>59</v>
      </c>
      <c r="F2762" s="157" t="s">
        <v>1264</v>
      </c>
      <c r="G2762" s="157" t="s">
        <v>1278</v>
      </c>
      <c r="H2762" s="157" t="s">
        <v>1378</v>
      </c>
      <c r="I2762" s="157" t="s">
        <v>1379</v>
      </c>
      <c r="J2762" s="157" t="s">
        <v>1380</v>
      </c>
      <c r="K2762" s="157" t="s">
        <v>1269</v>
      </c>
      <c r="L2762" s="157" t="s">
        <v>9630</v>
      </c>
      <c r="M2762" s="157" t="str">
        <f t="shared" ref="M2762:M2825" si="58">CONCATENATE(L2762," - ",I2762)</f>
        <v>Stepper Motor - Cockpit Deflector MR 2 - Air Flow Deflection</v>
      </c>
      <c r="N2762" s="157"/>
      <c r="O2762" s="157"/>
      <c r="P2762" s="159" t="s">
        <v>5551</v>
      </c>
      <c r="Q2762" s="157"/>
      <c r="R2762" s="157"/>
      <c r="S2762" s="157"/>
      <c r="T2762" s="157"/>
      <c r="U2762" s="159" t="s">
        <v>2129</v>
      </c>
      <c r="V2762" s="159" t="s">
        <v>2129</v>
      </c>
      <c r="W2762" s="159" t="s">
        <v>2138</v>
      </c>
      <c r="X2762" s="160">
        <v>0.01</v>
      </c>
      <c r="Y2762" s="160">
        <v>0.01</v>
      </c>
      <c r="Z2762" s="160">
        <v>0.01</v>
      </c>
      <c r="AA2762" s="160">
        <v>0.01</v>
      </c>
    </row>
    <row r="2763" spans="1:27" ht="18" customHeight="1" x14ac:dyDescent="0.25">
      <c r="A2763" s="159">
        <v>10024</v>
      </c>
      <c r="B2763" s="157" t="s">
        <v>57</v>
      </c>
      <c r="C2763" s="157" t="s">
        <v>58</v>
      </c>
      <c r="D2763" s="159" t="s">
        <v>62</v>
      </c>
      <c r="E2763" s="157" t="s">
        <v>991</v>
      </c>
      <c r="F2763" s="157" t="s">
        <v>1264</v>
      </c>
      <c r="G2763" s="157" t="s">
        <v>1278</v>
      </c>
      <c r="H2763" s="157" t="s">
        <v>1378</v>
      </c>
      <c r="I2763" s="157" t="s">
        <v>1379</v>
      </c>
      <c r="J2763" s="157" t="s">
        <v>1380</v>
      </c>
      <c r="K2763" s="157" t="s">
        <v>1269</v>
      </c>
      <c r="L2763" s="157" t="s">
        <v>9630</v>
      </c>
      <c r="M2763" s="157" t="str">
        <f t="shared" si="58"/>
        <v>Stepper Motor - Cockpit Deflector MR 2 - Air Flow Deflection</v>
      </c>
      <c r="N2763" s="157"/>
      <c r="O2763" s="157"/>
      <c r="P2763" s="159" t="s">
        <v>5551</v>
      </c>
      <c r="Q2763" s="157"/>
      <c r="R2763" s="157"/>
      <c r="S2763" s="157"/>
      <c r="T2763" s="157"/>
      <c r="U2763" s="159" t="s">
        <v>2129</v>
      </c>
      <c r="V2763" s="159" t="s">
        <v>2138</v>
      </c>
      <c r="W2763" s="159" t="s">
        <v>2129</v>
      </c>
      <c r="X2763" s="160">
        <v>0.01</v>
      </c>
      <c r="Y2763" s="160">
        <v>0.01</v>
      </c>
      <c r="Z2763" s="160">
        <v>0.01</v>
      </c>
      <c r="AA2763" s="160">
        <v>0.01</v>
      </c>
    </row>
    <row r="2764" spans="1:27" ht="18" customHeight="1" x14ac:dyDescent="0.25">
      <c r="A2764" s="159">
        <v>10024</v>
      </c>
      <c r="B2764" s="157" t="s">
        <v>57</v>
      </c>
      <c r="C2764" s="157" t="s">
        <v>58</v>
      </c>
      <c r="D2764" s="159" t="s">
        <v>995</v>
      </c>
      <c r="E2764" s="157" t="s">
        <v>993</v>
      </c>
      <c r="F2764" s="157" t="s">
        <v>1264</v>
      </c>
      <c r="G2764" s="157" t="s">
        <v>1278</v>
      </c>
      <c r="H2764" s="157" t="s">
        <v>1378</v>
      </c>
      <c r="I2764" s="157" t="s">
        <v>1379</v>
      </c>
      <c r="J2764" s="157" t="s">
        <v>1380</v>
      </c>
      <c r="K2764" s="157" t="s">
        <v>1269</v>
      </c>
      <c r="L2764" s="157" t="s">
        <v>9630</v>
      </c>
      <c r="M2764" s="157" t="str">
        <f t="shared" si="58"/>
        <v>Stepper Motor - Cockpit Deflector MR 2 - Air Flow Deflection</v>
      </c>
      <c r="N2764" s="157"/>
      <c r="O2764" s="157"/>
      <c r="P2764" s="159" t="s">
        <v>5551</v>
      </c>
      <c r="Q2764" s="157"/>
      <c r="R2764" s="157"/>
      <c r="S2764" s="157"/>
      <c r="T2764" s="157"/>
      <c r="U2764" s="159" t="s">
        <v>2129</v>
      </c>
      <c r="V2764" s="159" t="s">
        <v>2138</v>
      </c>
      <c r="W2764" s="159" t="s">
        <v>2138</v>
      </c>
      <c r="X2764" s="160">
        <v>0.01</v>
      </c>
      <c r="Y2764" s="160">
        <v>0.01</v>
      </c>
      <c r="Z2764" s="160">
        <v>0.01</v>
      </c>
      <c r="AA2764" s="160">
        <v>0.01</v>
      </c>
    </row>
    <row r="2765" spans="1:27" ht="18" customHeight="1" x14ac:dyDescent="0.25">
      <c r="A2765" s="159">
        <v>10025</v>
      </c>
      <c r="B2765" s="157" t="s">
        <v>57</v>
      </c>
      <c r="C2765" s="157" t="s">
        <v>58</v>
      </c>
      <c r="D2765" s="159" t="s">
        <v>61</v>
      </c>
      <c r="E2765" s="157" t="s">
        <v>59</v>
      </c>
      <c r="F2765" s="157" t="s">
        <v>1264</v>
      </c>
      <c r="G2765" s="157" t="s">
        <v>1278</v>
      </c>
      <c r="H2765" s="157" t="s">
        <v>1378</v>
      </c>
      <c r="I2765" s="157" t="s">
        <v>1379</v>
      </c>
      <c r="J2765" s="157" t="s">
        <v>1380</v>
      </c>
      <c r="K2765" s="157" t="s">
        <v>1269</v>
      </c>
      <c r="L2765" s="157" t="s">
        <v>9631</v>
      </c>
      <c r="M2765" s="157" t="str">
        <f t="shared" si="58"/>
        <v>Stepper Motor - Cockpit Deflector FR 1 - Air Flow Deflection</v>
      </c>
      <c r="N2765" s="157"/>
      <c r="O2765" s="157"/>
      <c r="P2765" s="159" t="s">
        <v>4436</v>
      </c>
      <c r="Q2765" s="157"/>
      <c r="R2765" s="157"/>
      <c r="S2765" s="157"/>
      <c r="T2765" s="157"/>
      <c r="U2765" s="159" t="s">
        <v>2129</v>
      </c>
      <c r="V2765" s="159" t="s">
        <v>2129</v>
      </c>
      <c r="W2765" s="159" t="s">
        <v>2138</v>
      </c>
      <c r="X2765" s="160">
        <v>0.01</v>
      </c>
      <c r="Y2765" s="160">
        <v>0.01</v>
      </c>
      <c r="Z2765" s="160">
        <v>0.01</v>
      </c>
      <c r="AA2765" s="160">
        <v>0.01</v>
      </c>
    </row>
    <row r="2766" spans="1:27" ht="18" customHeight="1" x14ac:dyDescent="0.25">
      <c r="A2766" s="159">
        <v>10025</v>
      </c>
      <c r="B2766" s="157" t="s">
        <v>57</v>
      </c>
      <c r="C2766" s="157" t="s">
        <v>58</v>
      </c>
      <c r="D2766" s="159" t="s">
        <v>62</v>
      </c>
      <c r="E2766" s="157" t="s">
        <v>991</v>
      </c>
      <c r="F2766" s="157" t="s">
        <v>1264</v>
      </c>
      <c r="G2766" s="157" t="s">
        <v>1278</v>
      </c>
      <c r="H2766" s="157" t="s">
        <v>1378</v>
      </c>
      <c r="I2766" s="157" t="s">
        <v>1379</v>
      </c>
      <c r="J2766" s="157" t="s">
        <v>1380</v>
      </c>
      <c r="K2766" s="157" t="s">
        <v>1269</v>
      </c>
      <c r="L2766" s="157" t="s">
        <v>9631</v>
      </c>
      <c r="M2766" s="157" t="str">
        <f t="shared" si="58"/>
        <v>Stepper Motor - Cockpit Deflector FR 1 - Air Flow Deflection</v>
      </c>
      <c r="N2766" s="157"/>
      <c r="O2766" s="157"/>
      <c r="P2766" s="159" t="s">
        <v>4436</v>
      </c>
      <c r="Q2766" s="157"/>
      <c r="R2766" s="157"/>
      <c r="S2766" s="157"/>
      <c r="T2766" s="157"/>
      <c r="U2766" s="159" t="s">
        <v>2129</v>
      </c>
      <c r="V2766" s="159" t="s">
        <v>2138</v>
      </c>
      <c r="W2766" s="159" t="s">
        <v>2129</v>
      </c>
      <c r="X2766" s="160">
        <v>0.01</v>
      </c>
      <c r="Y2766" s="160">
        <v>0.01</v>
      </c>
      <c r="Z2766" s="160">
        <v>0.01</v>
      </c>
      <c r="AA2766" s="160">
        <v>0.01</v>
      </c>
    </row>
    <row r="2767" spans="1:27" ht="18" customHeight="1" x14ac:dyDescent="0.25">
      <c r="A2767" s="159">
        <v>10025</v>
      </c>
      <c r="B2767" s="157" t="s">
        <v>57</v>
      </c>
      <c r="C2767" s="157" t="s">
        <v>58</v>
      </c>
      <c r="D2767" s="159" t="s">
        <v>995</v>
      </c>
      <c r="E2767" s="157" t="s">
        <v>993</v>
      </c>
      <c r="F2767" s="157" t="s">
        <v>1264</v>
      </c>
      <c r="G2767" s="157" t="s">
        <v>1278</v>
      </c>
      <c r="H2767" s="157" t="s">
        <v>1378</v>
      </c>
      <c r="I2767" s="157" t="s">
        <v>1379</v>
      </c>
      <c r="J2767" s="157" t="s">
        <v>1380</v>
      </c>
      <c r="K2767" s="157" t="s">
        <v>1269</v>
      </c>
      <c r="L2767" s="157" t="s">
        <v>9631</v>
      </c>
      <c r="M2767" s="157" t="str">
        <f t="shared" si="58"/>
        <v>Stepper Motor - Cockpit Deflector FR 1 - Air Flow Deflection</v>
      </c>
      <c r="N2767" s="157"/>
      <c r="O2767" s="157"/>
      <c r="P2767" s="159" t="s">
        <v>4436</v>
      </c>
      <c r="Q2767" s="157"/>
      <c r="R2767" s="157"/>
      <c r="S2767" s="157"/>
      <c r="T2767" s="157"/>
      <c r="U2767" s="159" t="s">
        <v>2129</v>
      </c>
      <c r="V2767" s="159" t="s">
        <v>2138</v>
      </c>
      <c r="W2767" s="159" t="s">
        <v>2138</v>
      </c>
      <c r="X2767" s="160">
        <v>0.01</v>
      </c>
      <c r="Y2767" s="160">
        <v>0.01</v>
      </c>
      <c r="Z2767" s="160">
        <v>0.01</v>
      </c>
      <c r="AA2767" s="160">
        <v>0.01</v>
      </c>
    </row>
    <row r="2768" spans="1:27" ht="18" customHeight="1" x14ac:dyDescent="0.25">
      <c r="A2768" s="159">
        <v>10026</v>
      </c>
      <c r="B2768" s="157" t="s">
        <v>57</v>
      </c>
      <c r="C2768" s="157" t="s">
        <v>58</v>
      </c>
      <c r="D2768" s="159" t="s">
        <v>61</v>
      </c>
      <c r="E2768" s="157" t="s">
        <v>59</v>
      </c>
      <c r="F2768" s="157" t="s">
        <v>1264</v>
      </c>
      <c r="G2768" s="157" t="s">
        <v>1278</v>
      </c>
      <c r="H2768" s="157" t="s">
        <v>1378</v>
      </c>
      <c r="I2768" s="157" t="s">
        <v>1379</v>
      </c>
      <c r="J2768" s="157" t="s">
        <v>1380</v>
      </c>
      <c r="K2768" s="157" t="s">
        <v>1269</v>
      </c>
      <c r="L2768" s="157" t="s">
        <v>9632</v>
      </c>
      <c r="M2768" s="157" t="str">
        <f t="shared" si="58"/>
        <v>Stepper Motor - Cockpit Deflector FR 2 - Air Flow Deflection</v>
      </c>
      <c r="N2768" s="157"/>
      <c r="O2768" s="157"/>
      <c r="P2768" s="159" t="s">
        <v>4436</v>
      </c>
      <c r="Q2768" s="157"/>
      <c r="R2768" s="157"/>
      <c r="S2768" s="157"/>
      <c r="T2768" s="157"/>
      <c r="U2768" s="159" t="s">
        <v>2129</v>
      </c>
      <c r="V2768" s="159" t="s">
        <v>2129</v>
      </c>
      <c r="W2768" s="159" t="s">
        <v>2138</v>
      </c>
      <c r="X2768" s="160">
        <v>0.01</v>
      </c>
      <c r="Y2768" s="160">
        <v>0.01</v>
      </c>
      <c r="Z2768" s="160">
        <v>0.01</v>
      </c>
      <c r="AA2768" s="160">
        <v>0.01</v>
      </c>
    </row>
    <row r="2769" spans="1:27" ht="18" customHeight="1" x14ac:dyDescent="0.25">
      <c r="A2769" s="159">
        <v>10026</v>
      </c>
      <c r="B2769" s="157" t="s">
        <v>57</v>
      </c>
      <c r="C2769" s="157" t="s">
        <v>58</v>
      </c>
      <c r="D2769" s="159" t="s">
        <v>62</v>
      </c>
      <c r="E2769" s="157" t="s">
        <v>991</v>
      </c>
      <c r="F2769" s="157" t="s">
        <v>1264</v>
      </c>
      <c r="G2769" s="157" t="s">
        <v>1278</v>
      </c>
      <c r="H2769" s="157" t="s">
        <v>1378</v>
      </c>
      <c r="I2769" s="157" t="s">
        <v>1379</v>
      </c>
      <c r="J2769" s="157" t="s">
        <v>1380</v>
      </c>
      <c r="K2769" s="157" t="s">
        <v>1269</v>
      </c>
      <c r="L2769" s="157" t="s">
        <v>9632</v>
      </c>
      <c r="M2769" s="157" t="str">
        <f t="shared" si="58"/>
        <v>Stepper Motor - Cockpit Deflector FR 2 - Air Flow Deflection</v>
      </c>
      <c r="N2769" s="157"/>
      <c r="O2769" s="157"/>
      <c r="P2769" s="159" t="s">
        <v>4436</v>
      </c>
      <c r="Q2769" s="157"/>
      <c r="R2769" s="157"/>
      <c r="S2769" s="157"/>
      <c r="T2769" s="157"/>
      <c r="U2769" s="159" t="s">
        <v>2129</v>
      </c>
      <c r="V2769" s="159" t="s">
        <v>2138</v>
      </c>
      <c r="W2769" s="159" t="s">
        <v>2129</v>
      </c>
      <c r="X2769" s="160">
        <v>0.01</v>
      </c>
      <c r="Y2769" s="160">
        <v>0.01</v>
      </c>
      <c r="Z2769" s="160">
        <v>0.01</v>
      </c>
      <c r="AA2769" s="160">
        <v>0.01</v>
      </c>
    </row>
    <row r="2770" spans="1:27" ht="18" customHeight="1" x14ac:dyDescent="0.25">
      <c r="A2770" s="159">
        <v>10026</v>
      </c>
      <c r="B2770" s="157" t="s">
        <v>57</v>
      </c>
      <c r="C2770" s="157" t="s">
        <v>58</v>
      </c>
      <c r="D2770" s="159" t="s">
        <v>995</v>
      </c>
      <c r="E2770" s="157" t="s">
        <v>993</v>
      </c>
      <c r="F2770" s="157" t="s">
        <v>1264</v>
      </c>
      <c r="G2770" s="157" t="s">
        <v>1278</v>
      </c>
      <c r="H2770" s="157" t="s">
        <v>1378</v>
      </c>
      <c r="I2770" s="157" t="s">
        <v>1379</v>
      </c>
      <c r="J2770" s="157" t="s">
        <v>1380</v>
      </c>
      <c r="K2770" s="157" t="s">
        <v>1269</v>
      </c>
      <c r="L2770" s="157" t="s">
        <v>9632</v>
      </c>
      <c r="M2770" s="157" t="str">
        <f t="shared" si="58"/>
        <v>Stepper Motor - Cockpit Deflector FR 2 - Air Flow Deflection</v>
      </c>
      <c r="N2770" s="157"/>
      <c r="O2770" s="157"/>
      <c r="P2770" s="159" t="s">
        <v>4436</v>
      </c>
      <c r="Q2770" s="157"/>
      <c r="R2770" s="157"/>
      <c r="S2770" s="157"/>
      <c r="T2770" s="157"/>
      <c r="U2770" s="159" t="s">
        <v>2129</v>
      </c>
      <c r="V2770" s="159" t="s">
        <v>2138</v>
      </c>
      <c r="W2770" s="159" t="s">
        <v>2138</v>
      </c>
      <c r="X2770" s="160">
        <v>0.01</v>
      </c>
      <c r="Y2770" s="160">
        <v>0.01</v>
      </c>
      <c r="Z2770" s="160">
        <v>0.01</v>
      </c>
      <c r="AA2770" s="160">
        <v>0.01</v>
      </c>
    </row>
    <row r="2771" spans="1:27" ht="18" customHeight="1" x14ac:dyDescent="0.25">
      <c r="A2771" s="159">
        <v>10027</v>
      </c>
      <c r="B2771" s="157" t="s">
        <v>57</v>
      </c>
      <c r="C2771" s="157" t="s">
        <v>58</v>
      </c>
      <c r="D2771" s="159" t="s">
        <v>664</v>
      </c>
      <c r="E2771" s="157" t="s">
        <v>662</v>
      </c>
      <c r="F2771" s="157" t="s">
        <v>1264</v>
      </c>
      <c r="G2771" s="157" t="s">
        <v>1278</v>
      </c>
      <c r="H2771" s="157" t="s">
        <v>1378</v>
      </c>
      <c r="I2771" s="157" t="s">
        <v>2021</v>
      </c>
      <c r="J2771" s="157" t="s">
        <v>1504</v>
      </c>
      <c r="K2771" s="157" t="s">
        <v>1281</v>
      </c>
      <c r="L2771" s="157" t="s">
        <v>1731</v>
      </c>
      <c r="M2771" s="157" t="str">
        <f t="shared" si="58"/>
        <v>Front Control Unit with User Selector - Command Panel</v>
      </c>
      <c r="N2771" s="157"/>
      <c r="O2771" s="157"/>
      <c r="P2771" s="159" t="s">
        <v>5646</v>
      </c>
      <c r="Q2771" s="157" t="s">
        <v>2115</v>
      </c>
      <c r="R2771" s="157" t="s">
        <v>8577</v>
      </c>
      <c r="S2771" s="157" t="s">
        <v>8606</v>
      </c>
      <c r="T2771" s="157"/>
      <c r="U2771" s="159" t="s">
        <v>2138</v>
      </c>
      <c r="V2771" s="159" t="s">
        <v>2129</v>
      </c>
      <c r="W2771" s="159" t="s">
        <v>2129</v>
      </c>
      <c r="X2771" s="160">
        <v>1</v>
      </c>
      <c r="Y2771" s="160">
        <v>1</v>
      </c>
      <c r="Z2771" s="160">
        <v>0.5</v>
      </c>
      <c r="AA2771" s="160">
        <v>0.5</v>
      </c>
    </row>
    <row r="2772" spans="1:27" ht="18" customHeight="1" x14ac:dyDescent="0.25">
      <c r="A2772" s="159">
        <v>10028</v>
      </c>
      <c r="B2772" s="157" t="s">
        <v>57</v>
      </c>
      <c r="C2772" s="157" t="s">
        <v>58</v>
      </c>
      <c r="D2772" s="159" t="s">
        <v>414</v>
      </c>
      <c r="E2772" s="157" t="s">
        <v>412</v>
      </c>
      <c r="F2772" s="157" t="s">
        <v>1264</v>
      </c>
      <c r="G2772" s="157" t="s">
        <v>1321</v>
      </c>
      <c r="H2772" s="157" t="s">
        <v>2022</v>
      </c>
      <c r="I2772" s="157" t="s">
        <v>2023</v>
      </c>
      <c r="J2772" s="157" t="s">
        <v>1504</v>
      </c>
      <c r="K2772" s="157" t="s">
        <v>1274</v>
      </c>
      <c r="L2772" s="157" t="s">
        <v>2024</v>
      </c>
      <c r="M2772" s="157" t="str">
        <f t="shared" si="58"/>
        <v>Heat Pump Control Unit - Computing - Heat Pump</v>
      </c>
      <c r="N2772" s="157"/>
      <c r="O2772" s="157"/>
      <c r="P2772" s="159"/>
      <c r="Q2772" s="157"/>
      <c r="R2772" s="157"/>
      <c r="S2772" s="157"/>
      <c r="T2772" s="157"/>
      <c r="U2772" s="159"/>
      <c r="V2772" s="159"/>
      <c r="W2772" s="159"/>
      <c r="X2772" s="160"/>
      <c r="Y2772" s="160"/>
      <c r="Z2772" s="160"/>
      <c r="AA2772" s="160"/>
    </row>
    <row r="2773" spans="1:27" ht="18" customHeight="1" x14ac:dyDescent="0.25">
      <c r="A2773" s="159">
        <v>10028</v>
      </c>
      <c r="B2773" s="157" t="s">
        <v>57</v>
      </c>
      <c r="C2773" s="157" t="s">
        <v>58</v>
      </c>
      <c r="D2773" s="159" t="s">
        <v>995</v>
      </c>
      <c r="E2773" s="157" t="s">
        <v>993</v>
      </c>
      <c r="F2773" s="157" t="s">
        <v>1264</v>
      </c>
      <c r="G2773" s="157" t="s">
        <v>1321</v>
      </c>
      <c r="H2773" s="157" t="s">
        <v>2022</v>
      </c>
      <c r="I2773" s="157" t="s">
        <v>2023</v>
      </c>
      <c r="J2773" s="157" t="s">
        <v>1504</v>
      </c>
      <c r="K2773" s="157" t="s">
        <v>1274</v>
      </c>
      <c r="L2773" s="157" t="s">
        <v>2024</v>
      </c>
      <c r="M2773" s="157" t="str">
        <f t="shared" si="58"/>
        <v>Heat Pump Control Unit - Computing - Heat Pump</v>
      </c>
      <c r="N2773" s="157"/>
      <c r="O2773" s="157"/>
      <c r="P2773" s="159"/>
      <c r="Q2773" s="157"/>
      <c r="R2773" s="157"/>
      <c r="S2773" s="157"/>
      <c r="T2773" s="157"/>
      <c r="U2773" s="159"/>
      <c r="V2773" s="159"/>
      <c r="W2773" s="159"/>
      <c r="X2773" s="160"/>
      <c r="Y2773" s="160"/>
      <c r="Z2773" s="160"/>
      <c r="AA2773" s="160"/>
    </row>
    <row r="2774" spans="1:27" ht="18" customHeight="1" x14ac:dyDescent="0.25">
      <c r="A2774" s="159">
        <v>10028</v>
      </c>
      <c r="B2774" s="157" t="s">
        <v>57</v>
      </c>
      <c r="C2774" s="157" t="s">
        <v>58</v>
      </c>
      <c r="D2774" s="159" t="s">
        <v>2090</v>
      </c>
      <c r="E2774" s="157" t="s">
        <v>1677</v>
      </c>
      <c r="F2774" s="157"/>
      <c r="G2774" s="157" t="s">
        <v>1321</v>
      </c>
      <c r="H2774" s="157" t="s">
        <v>2022</v>
      </c>
      <c r="I2774" s="157" t="s">
        <v>2023</v>
      </c>
      <c r="J2774" s="157" t="s">
        <v>1504</v>
      </c>
      <c r="K2774" s="157" t="s">
        <v>1274</v>
      </c>
      <c r="L2774" s="157" t="s">
        <v>2024</v>
      </c>
      <c r="M2774" s="157" t="str">
        <f t="shared" si="58"/>
        <v>Heat Pump Control Unit - Computing - Heat Pump</v>
      </c>
      <c r="N2774" s="157"/>
      <c r="O2774" s="157"/>
      <c r="P2774" s="159"/>
      <c r="Q2774" s="157"/>
      <c r="R2774" s="157"/>
      <c r="S2774" s="157"/>
      <c r="T2774" s="157"/>
      <c r="U2774" s="159" t="s">
        <v>2129</v>
      </c>
      <c r="V2774" s="159" t="s">
        <v>2138</v>
      </c>
      <c r="W2774" s="159" t="s">
        <v>2138</v>
      </c>
      <c r="X2774" s="160"/>
      <c r="Y2774" s="160"/>
      <c r="Z2774" s="160"/>
      <c r="AA2774" s="160"/>
    </row>
    <row r="2775" spans="1:27" ht="18" customHeight="1" x14ac:dyDescent="0.25">
      <c r="A2775" s="159">
        <v>10028</v>
      </c>
      <c r="B2775" s="157" t="s">
        <v>57</v>
      </c>
      <c r="C2775" s="157" t="s">
        <v>349</v>
      </c>
      <c r="D2775" s="159" t="s">
        <v>910</v>
      </c>
      <c r="E2775" s="157" t="s">
        <v>908</v>
      </c>
      <c r="F2775" s="157" t="s">
        <v>1264</v>
      </c>
      <c r="G2775" s="157" t="s">
        <v>1321</v>
      </c>
      <c r="H2775" s="157" t="s">
        <v>2022</v>
      </c>
      <c r="I2775" s="157" t="s">
        <v>2023</v>
      </c>
      <c r="J2775" s="157" t="s">
        <v>1504</v>
      </c>
      <c r="K2775" s="157" t="s">
        <v>1274</v>
      </c>
      <c r="L2775" s="157" t="s">
        <v>2024</v>
      </c>
      <c r="M2775" s="157" t="str">
        <f t="shared" si="58"/>
        <v>Heat Pump Control Unit - Computing - Heat Pump</v>
      </c>
      <c r="N2775" s="157"/>
      <c r="O2775" s="157"/>
      <c r="P2775" s="159"/>
      <c r="Q2775" s="157"/>
      <c r="R2775" s="157"/>
      <c r="S2775" s="157"/>
      <c r="T2775" s="157"/>
      <c r="U2775" s="159"/>
      <c r="V2775" s="159"/>
      <c r="W2775" s="159"/>
      <c r="X2775" s="160"/>
      <c r="Y2775" s="160"/>
      <c r="Z2775" s="160"/>
      <c r="AA2775" s="160"/>
    </row>
    <row r="2776" spans="1:27" ht="18" customHeight="1" x14ac:dyDescent="0.25">
      <c r="A2776" s="159">
        <v>10029</v>
      </c>
      <c r="B2776" s="157" t="s">
        <v>57</v>
      </c>
      <c r="C2776" s="157" t="s">
        <v>58</v>
      </c>
      <c r="D2776" s="159" t="s">
        <v>1002</v>
      </c>
      <c r="E2776" s="157" t="s">
        <v>1005</v>
      </c>
      <c r="F2776" s="157"/>
      <c r="G2776" s="157" t="s">
        <v>1278</v>
      </c>
      <c r="H2776" s="157" t="s">
        <v>1378</v>
      </c>
      <c r="I2776" s="157" t="s">
        <v>2021</v>
      </c>
      <c r="J2776" s="157" t="s">
        <v>2025</v>
      </c>
      <c r="K2776" s="157" t="s">
        <v>1281</v>
      </c>
      <c r="L2776" s="157" t="s">
        <v>2026</v>
      </c>
      <c r="M2776" s="157" t="str">
        <f t="shared" si="58"/>
        <v>User Selector - Blower Speed - Command Panel</v>
      </c>
      <c r="N2776" s="157"/>
      <c r="O2776" s="157"/>
      <c r="P2776" s="159" t="s">
        <v>5646</v>
      </c>
      <c r="Q2776" s="157" t="s">
        <v>2115</v>
      </c>
      <c r="R2776" s="157" t="s">
        <v>9537</v>
      </c>
      <c r="S2776" s="157" t="s">
        <v>8605</v>
      </c>
      <c r="T2776" s="157"/>
      <c r="U2776" s="159" t="s">
        <v>2129</v>
      </c>
      <c r="V2776" s="159" t="s">
        <v>2129</v>
      </c>
      <c r="W2776" s="159" t="s">
        <v>2129</v>
      </c>
      <c r="X2776" s="160">
        <v>1</v>
      </c>
      <c r="Y2776" s="160">
        <v>1</v>
      </c>
      <c r="Z2776" s="160">
        <v>1</v>
      </c>
      <c r="AA2776" s="160">
        <v>1</v>
      </c>
    </row>
    <row r="2777" spans="1:27" ht="18" customHeight="1" x14ac:dyDescent="0.25">
      <c r="A2777" s="159">
        <v>10030</v>
      </c>
      <c r="B2777" s="157" t="s">
        <v>57</v>
      </c>
      <c r="C2777" s="157" t="s">
        <v>58</v>
      </c>
      <c r="D2777" s="159" t="s">
        <v>1002</v>
      </c>
      <c r="E2777" s="157" t="s">
        <v>1005</v>
      </c>
      <c r="F2777" s="157"/>
      <c r="G2777" s="157" t="s">
        <v>1278</v>
      </c>
      <c r="H2777" s="157" t="s">
        <v>1378</v>
      </c>
      <c r="I2777" s="157" t="s">
        <v>2027</v>
      </c>
      <c r="J2777" s="157" t="s">
        <v>2025</v>
      </c>
      <c r="K2777" s="157" t="s">
        <v>1269</v>
      </c>
      <c r="L2777" s="157" t="s">
        <v>2028</v>
      </c>
      <c r="M2777" s="157" t="str">
        <f t="shared" si="58"/>
        <v>Blower Resistance - Blower Speed Control</v>
      </c>
      <c r="N2777" s="157"/>
      <c r="O2777" s="157"/>
      <c r="P2777" s="159"/>
      <c r="Q2777" s="157"/>
      <c r="R2777" s="157"/>
      <c r="S2777" s="157"/>
      <c r="T2777" s="157"/>
      <c r="U2777" s="159" t="s">
        <v>2129</v>
      </c>
      <c r="V2777" s="159" t="s">
        <v>2129</v>
      </c>
      <c r="W2777" s="159" t="s">
        <v>2129</v>
      </c>
      <c r="X2777" s="160"/>
      <c r="Y2777" s="160"/>
      <c r="Z2777" s="160"/>
      <c r="AA2777" s="160"/>
    </row>
    <row r="2778" spans="1:27" ht="18" customHeight="1" x14ac:dyDescent="0.25">
      <c r="A2778" s="159">
        <v>10031</v>
      </c>
      <c r="B2778" s="157" t="s">
        <v>57</v>
      </c>
      <c r="C2778" s="157" t="s">
        <v>58</v>
      </c>
      <c r="D2778" s="159" t="s">
        <v>998</v>
      </c>
      <c r="E2778" s="157" t="s">
        <v>996</v>
      </c>
      <c r="F2778" s="157" t="s">
        <v>1264</v>
      </c>
      <c r="G2778" s="157" t="s">
        <v>1278</v>
      </c>
      <c r="H2778" s="157" t="s">
        <v>1378</v>
      </c>
      <c r="I2778" s="157" t="s">
        <v>1678</v>
      </c>
      <c r="J2778" s="157" t="s">
        <v>2029</v>
      </c>
      <c r="K2778" s="157" t="s">
        <v>1269</v>
      </c>
      <c r="L2778" s="157" t="s">
        <v>9576</v>
      </c>
      <c r="M2778" s="157" t="str">
        <f t="shared" si="58"/>
        <v>Electrical Air Heater PTC Low Voltage - Air Heating</v>
      </c>
      <c r="N2778" s="157"/>
      <c r="O2778" s="157"/>
      <c r="P2778" s="159" t="s">
        <v>5173</v>
      </c>
      <c r="Q2778" s="157" t="s">
        <v>2115</v>
      </c>
      <c r="R2778" s="157" t="s">
        <v>8276</v>
      </c>
      <c r="S2778" s="157" t="s">
        <v>8275</v>
      </c>
      <c r="T2778" s="157"/>
      <c r="U2778" s="159" t="s">
        <v>2129</v>
      </c>
      <c r="V2778" s="159" t="s">
        <v>2138</v>
      </c>
      <c r="W2778" s="159" t="s">
        <v>2129</v>
      </c>
      <c r="X2778" s="160">
        <v>0</v>
      </c>
      <c r="Y2778" s="160">
        <v>0.2</v>
      </c>
      <c r="Z2778" s="160">
        <v>0.4</v>
      </c>
      <c r="AA2778" s="160">
        <v>0</v>
      </c>
    </row>
    <row r="2779" spans="1:27" ht="18" customHeight="1" x14ac:dyDescent="0.25">
      <c r="A2779" s="159">
        <v>10031</v>
      </c>
      <c r="B2779" s="157" t="s">
        <v>57</v>
      </c>
      <c r="C2779" s="157" t="s">
        <v>58</v>
      </c>
      <c r="D2779" s="159" t="s">
        <v>2090</v>
      </c>
      <c r="E2779" s="157" t="s">
        <v>1677</v>
      </c>
      <c r="F2779" s="157"/>
      <c r="G2779" s="157" t="s">
        <v>1278</v>
      </c>
      <c r="H2779" s="157" t="s">
        <v>1378</v>
      </c>
      <c r="I2779" s="157" t="s">
        <v>1678</v>
      </c>
      <c r="J2779" s="157" t="s">
        <v>2029</v>
      </c>
      <c r="K2779" s="157" t="s">
        <v>1269</v>
      </c>
      <c r="L2779" s="157" t="s">
        <v>9576</v>
      </c>
      <c r="M2779" s="157" t="str">
        <f t="shared" si="58"/>
        <v>Electrical Air Heater PTC Low Voltage - Air Heating</v>
      </c>
      <c r="N2779" s="157"/>
      <c r="O2779" s="157"/>
      <c r="P2779" s="159" t="s">
        <v>5173</v>
      </c>
      <c r="Q2779" s="157" t="s">
        <v>2115</v>
      </c>
      <c r="R2779" s="157" t="s">
        <v>8276</v>
      </c>
      <c r="S2779" s="157" t="s">
        <v>8275</v>
      </c>
      <c r="T2779" s="157"/>
      <c r="U2779" s="159" t="s">
        <v>2129</v>
      </c>
      <c r="V2779" s="159" t="s">
        <v>2138</v>
      </c>
      <c r="W2779" s="159" t="s">
        <v>2129</v>
      </c>
      <c r="X2779" s="160">
        <v>0</v>
      </c>
      <c r="Y2779" s="160">
        <v>0.2</v>
      </c>
      <c r="Z2779" s="160">
        <v>0.4</v>
      </c>
      <c r="AA2779" s="160">
        <v>0</v>
      </c>
    </row>
    <row r="2780" spans="1:27" ht="18" customHeight="1" x14ac:dyDescent="0.25">
      <c r="A2780" s="159">
        <v>10031</v>
      </c>
      <c r="B2780" s="157" t="s">
        <v>57</v>
      </c>
      <c r="C2780" s="157" t="s">
        <v>349</v>
      </c>
      <c r="D2780" s="159" t="s">
        <v>353</v>
      </c>
      <c r="E2780" s="157" t="s">
        <v>742</v>
      </c>
      <c r="F2780" s="157" t="s">
        <v>1264</v>
      </c>
      <c r="G2780" s="157" t="s">
        <v>1278</v>
      </c>
      <c r="H2780" s="157" t="s">
        <v>1378</v>
      </c>
      <c r="I2780" s="157" t="s">
        <v>1678</v>
      </c>
      <c r="J2780" s="157" t="s">
        <v>2029</v>
      </c>
      <c r="K2780" s="157" t="s">
        <v>1269</v>
      </c>
      <c r="L2780" s="157" t="s">
        <v>9576</v>
      </c>
      <c r="M2780" s="157" t="str">
        <f t="shared" si="58"/>
        <v>Electrical Air Heater PTC Low Voltage - Air Heating</v>
      </c>
      <c r="N2780" s="157"/>
      <c r="O2780" s="157"/>
      <c r="P2780" s="159" t="s">
        <v>5173</v>
      </c>
      <c r="Q2780" s="157" t="s">
        <v>2115</v>
      </c>
      <c r="R2780" s="157" t="s">
        <v>8276</v>
      </c>
      <c r="S2780" s="157" t="s">
        <v>8275</v>
      </c>
      <c r="T2780" s="157"/>
      <c r="U2780" s="159" t="s">
        <v>2129</v>
      </c>
      <c r="V2780" s="159" t="s">
        <v>2138</v>
      </c>
      <c r="W2780" s="159" t="s">
        <v>2129</v>
      </c>
      <c r="X2780" s="160">
        <v>0</v>
      </c>
      <c r="Y2780" s="160">
        <v>0.2</v>
      </c>
      <c r="Z2780" s="160">
        <v>0.4</v>
      </c>
      <c r="AA2780" s="160">
        <v>0</v>
      </c>
    </row>
    <row r="2781" spans="1:27" ht="18" customHeight="1" x14ac:dyDescent="0.25">
      <c r="A2781" s="159">
        <v>10032</v>
      </c>
      <c r="B2781" s="157" t="s">
        <v>57</v>
      </c>
      <c r="C2781" s="157" t="s">
        <v>58</v>
      </c>
      <c r="D2781" s="159" t="s">
        <v>61</v>
      </c>
      <c r="E2781" s="157" t="s">
        <v>59</v>
      </c>
      <c r="F2781" s="157" t="s">
        <v>1264</v>
      </c>
      <c r="G2781" s="157" t="s">
        <v>1278</v>
      </c>
      <c r="H2781" s="157" t="s">
        <v>1378</v>
      </c>
      <c r="I2781" s="157" t="s">
        <v>1379</v>
      </c>
      <c r="J2781" s="157" t="s">
        <v>1380</v>
      </c>
      <c r="K2781" s="157" t="s">
        <v>1269</v>
      </c>
      <c r="L2781" s="157" t="s">
        <v>9642</v>
      </c>
      <c r="M2781" s="157" t="str">
        <f t="shared" si="58"/>
        <v>Stepper Motor - B-Pillar L - Air Flow Deflection</v>
      </c>
      <c r="N2781" s="157"/>
      <c r="O2781" s="157"/>
      <c r="P2781" s="159" t="s">
        <v>7711</v>
      </c>
      <c r="Q2781" s="157"/>
      <c r="R2781" s="157"/>
      <c r="S2781" s="157"/>
      <c r="T2781" s="157"/>
      <c r="U2781" s="159" t="s">
        <v>2129</v>
      </c>
      <c r="V2781" s="159" t="s">
        <v>2129</v>
      </c>
      <c r="W2781" s="159" t="s">
        <v>2138</v>
      </c>
      <c r="X2781" s="160">
        <v>0.01</v>
      </c>
      <c r="Y2781" s="160">
        <v>0.01</v>
      </c>
      <c r="Z2781" s="160">
        <v>0.01</v>
      </c>
      <c r="AA2781" s="160">
        <v>0.01</v>
      </c>
    </row>
    <row r="2782" spans="1:27" ht="18" customHeight="1" x14ac:dyDescent="0.25">
      <c r="A2782" s="159">
        <v>10032</v>
      </c>
      <c r="B2782" s="157" t="s">
        <v>57</v>
      </c>
      <c r="C2782" s="157" t="s">
        <v>58</v>
      </c>
      <c r="D2782" s="159" t="s">
        <v>841</v>
      </c>
      <c r="E2782" s="157" t="s">
        <v>839</v>
      </c>
      <c r="F2782" s="157" t="s">
        <v>1264</v>
      </c>
      <c r="G2782" s="157" t="s">
        <v>1278</v>
      </c>
      <c r="H2782" s="157" t="s">
        <v>1378</v>
      </c>
      <c r="I2782" s="157" t="s">
        <v>1379</v>
      </c>
      <c r="J2782" s="157" t="s">
        <v>1380</v>
      </c>
      <c r="K2782" s="157" t="s">
        <v>1269</v>
      </c>
      <c r="L2782" s="157" t="s">
        <v>9642</v>
      </c>
      <c r="M2782" s="157" t="str">
        <f t="shared" si="58"/>
        <v>Stepper Motor - B-Pillar L - Air Flow Deflection</v>
      </c>
      <c r="N2782" s="157"/>
      <c r="O2782" s="157"/>
      <c r="P2782" s="159" t="s">
        <v>7711</v>
      </c>
      <c r="Q2782" s="157"/>
      <c r="R2782" s="157"/>
      <c r="S2782" s="157"/>
      <c r="T2782" s="157"/>
      <c r="U2782" s="159" t="s">
        <v>2129</v>
      </c>
      <c r="V2782" s="159" t="s">
        <v>2129</v>
      </c>
      <c r="W2782" s="159" t="s">
        <v>2138</v>
      </c>
      <c r="X2782" s="160">
        <v>0.01</v>
      </c>
      <c r="Y2782" s="160">
        <v>0.01</v>
      </c>
      <c r="Z2782" s="160">
        <v>0.01</v>
      </c>
      <c r="AA2782" s="160">
        <v>0.01</v>
      </c>
    </row>
    <row r="2783" spans="1:27" ht="18" customHeight="1" x14ac:dyDescent="0.25">
      <c r="A2783" s="159">
        <v>10032</v>
      </c>
      <c r="B2783" s="157" t="s">
        <v>57</v>
      </c>
      <c r="C2783" s="157" t="s">
        <v>58</v>
      </c>
      <c r="D2783" s="159" t="s">
        <v>842</v>
      </c>
      <c r="E2783" s="157" t="s">
        <v>843</v>
      </c>
      <c r="F2783" s="157" t="s">
        <v>1264</v>
      </c>
      <c r="G2783" s="157" t="s">
        <v>1278</v>
      </c>
      <c r="H2783" s="157" t="s">
        <v>1378</v>
      </c>
      <c r="I2783" s="157" t="s">
        <v>1379</v>
      </c>
      <c r="J2783" s="157" t="s">
        <v>1380</v>
      </c>
      <c r="K2783" s="157" t="s">
        <v>1269</v>
      </c>
      <c r="L2783" s="157" t="s">
        <v>9642</v>
      </c>
      <c r="M2783" s="157" t="str">
        <f t="shared" si="58"/>
        <v>Stepper Motor - B-Pillar L - Air Flow Deflection</v>
      </c>
      <c r="N2783" s="157"/>
      <c r="O2783" s="157"/>
      <c r="P2783" s="159" t="s">
        <v>7711</v>
      </c>
      <c r="Q2783" s="157"/>
      <c r="R2783" s="157"/>
      <c r="S2783" s="157"/>
      <c r="T2783" s="157"/>
      <c r="U2783" s="159" t="s">
        <v>2129</v>
      </c>
      <c r="V2783" s="159" t="s">
        <v>2129</v>
      </c>
      <c r="W2783" s="159" t="s">
        <v>2138</v>
      </c>
      <c r="X2783" s="160">
        <v>0.01</v>
      </c>
      <c r="Y2783" s="160">
        <v>0.01</v>
      </c>
      <c r="Z2783" s="160">
        <v>0.01</v>
      </c>
      <c r="AA2783" s="160">
        <v>0.01</v>
      </c>
    </row>
    <row r="2784" spans="1:27" ht="18" customHeight="1" x14ac:dyDescent="0.25">
      <c r="A2784" s="159">
        <v>10033</v>
      </c>
      <c r="B2784" s="157" t="s">
        <v>57</v>
      </c>
      <c r="C2784" s="157" t="s">
        <v>58</v>
      </c>
      <c r="D2784" s="159" t="s">
        <v>61</v>
      </c>
      <c r="E2784" s="157" t="s">
        <v>59</v>
      </c>
      <c r="F2784" s="157" t="s">
        <v>1264</v>
      </c>
      <c r="G2784" s="157" t="s">
        <v>1278</v>
      </c>
      <c r="H2784" s="157" t="s">
        <v>1378</v>
      </c>
      <c r="I2784" s="157" t="s">
        <v>1379</v>
      </c>
      <c r="J2784" s="157" t="s">
        <v>1380</v>
      </c>
      <c r="K2784" s="157" t="s">
        <v>1269</v>
      </c>
      <c r="L2784" s="157" t="s">
        <v>9642</v>
      </c>
      <c r="M2784" s="157" t="str">
        <f t="shared" si="58"/>
        <v>Stepper Motor - B-Pillar L - Air Flow Deflection</v>
      </c>
      <c r="N2784" s="157"/>
      <c r="O2784" s="157"/>
      <c r="P2784" s="159" t="s">
        <v>7711</v>
      </c>
      <c r="Q2784" s="157"/>
      <c r="R2784" s="157"/>
      <c r="S2784" s="157"/>
      <c r="T2784" s="157"/>
      <c r="U2784" s="159" t="s">
        <v>2129</v>
      </c>
      <c r="V2784" s="159" t="s">
        <v>2129</v>
      </c>
      <c r="W2784" s="159" t="s">
        <v>2138</v>
      </c>
      <c r="X2784" s="160">
        <v>0.01</v>
      </c>
      <c r="Y2784" s="160">
        <v>0.01</v>
      </c>
      <c r="Z2784" s="160">
        <v>0.01</v>
      </c>
      <c r="AA2784" s="160">
        <v>0.01</v>
      </c>
    </row>
    <row r="2785" spans="1:27" ht="18" customHeight="1" x14ac:dyDescent="0.25">
      <c r="A2785" s="159">
        <v>10033</v>
      </c>
      <c r="B2785" s="157" t="s">
        <v>57</v>
      </c>
      <c r="C2785" s="157" t="s">
        <v>58</v>
      </c>
      <c r="D2785" s="159" t="s">
        <v>841</v>
      </c>
      <c r="E2785" s="157" t="s">
        <v>839</v>
      </c>
      <c r="F2785" s="157" t="s">
        <v>1264</v>
      </c>
      <c r="G2785" s="157" t="s">
        <v>1278</v>
      </c>
      <c r="H2785" s="157" t="s">
        <v>1378</v>
      </c>
      <c r="I2785" s="157" t="s">
        <v>1379</v>
      </c>
      <c r="J2785" s="157" t="s">
        <v>1380</v>
      </c>
      <c r="K2785" s="157" t="s">
        <v>1269</v>
      </c>
      <c r="L2785" s="157" t="s">
        <v>9642</v>
      </c>
      <c r="M2785" s="157" t="str">
        <f t="shared" si="58"/>
        <v>Stepper Motor - B-Pillar L - Air Flow Deflection</v>
      </c>
      <c r="N2785" s="157"/>
      <c r="O2785" s="157"/>
      <c r="P2785" s="159" t="s">
        <v>7711</v>
      </c>
      <c r="Q2785" s="157"/>
      <c r="R2785" s="157"/>
      <c r="S2785" s="157"/>
      <c r="T2785" s="157"/>
      <c r="U2785" s="159" t="s">
        <v>2129</v>
      </c>
      <c r="V2785" s="159" t="s">
        <v>2129</v>
      </c>
      <c r="W2785" s="159" t="s">
        <v>2138</v>
      </c>
      <c r="X2785" s="160">
        <v>0.01</v>
      </c>
      <c r="Y2785" s="160">
        <v>0.01</v>
      </c>
      <c r="Z2785" s="160">
        <v>0.01</v>
      </c>
      <c r="AA2785" s="160">
        <v>0.01</v>
      </c>
    </row>
    <row r="2786" spans="1:27" ht="18" customHeight="1" x14ac:dyDescent="0.25">
      <c r="A2786" s="159">
        <v>10033</v>
      </c>
      <c r="B2786" s="157" t="s">
        <v>57</v>
      </c>
      <c r="C2786" s="157" t="s">
        <v>58</v>
      </c>
      <c r="D2786" s="159" t="s">
        <v>842</v>
      </c>
      <c r="E2786" s="157" t="s">
        <v>843</v>
      </c>
      <c r="F2786" s="157" t="s">
        <v>1264</v>
      </c>
      <c r="G2786" s="157" t="s">
        <v>1278</v>
      </c>
      <c r="H2786" s="157" t="s">
        <v>1378</v>
      </c>
      <c r="I2786" s="157" t="s">
        <v>1379</v>
      </c>
      <c r="J2786" s="157" t="s">
        <v>1380</v>
      </c>
      <c r="K2786" s="157" t="s">
        <v>1269</v>
      </c>
      <c r="L2786" s="157" t="s">
        <v>9642</v>
      </c>
      <c r="M2786" s="157" t="str">
        <f t="shared" si="58"/>
        <v>Stepper Motor - B-Pillar L - Air Flow Deflection</v>
      </c>
      <c r="N2786" s="157"/>
      <c r="O2786" s="157"/>
      <c r="P2786" s="159" t="s">
        <v>7711</v>
      </c>
      <c r="Q2786" s="157"/>
      <c r="R2786" s="157"/>
      <c r="S2786" s="157"/>
      <c r="T2786" s="157"/>
      <c r="U2786" s="159" t="s">
        <v>2129</v>
      </c>
      <c r="V2786" s="159" t="s">
        <v>2129</v>
      </c>
      <c r="W2786" s="159" t="s">
        <v>2138</v>
      </c>
      <c r="X2786" s="160">
        <v>0.01</v>
      </c>
      <c r="Y2786" s="160">
        <v>0.01</v>
      </c>
      <c r="Z2786" s="160">
        <v>0.01</v>
      </c>
      <c r="AA2786" s="160">
        <v>0.01</v>
      </c>
    </row>
    <row r="2787" spans="1:27" ht="18" customHeight="1" x14ac:dyDescent="0.25">
      <c r="A2787" s="159">
        <v>10034</v>
      </c>
      <c r="B2787" s="157" t="s">
        <v>57</v>
      </c>
      <c r="C2787" s="157" t="s">
        <v>58</v>
      </c>
      <c r="D2787" s="159" t="s">
        <v>61</v>
      </c>
      <c r="E2787" s="157" t="s">
        <v>59</v>
      </c>
      <c r="F2787" s="157" t="s">
        <v>1264</v>
      </c>
      <c r="G2787" s="157" t="s">
        <v>1278</v>
      </c>
      <c r="H2787" s="157" t="s">
        <v>1378</v>
      </c>
      <c r="I2787" s="157" t="s">
        <v>1379</v>
      </c>
      <c r="J2787" s="157" t="s">
        <v>1380</v>
      </c>
      <c r="K2787" s="157" t="s">
        <v>1269</v>
      </c>
      <c r="L2787" s="157" t="s">
        <v>9643</v>
      </c>
      <c r="M2787" s="157" t="str">
        <f t="shared" si="58"/>
        <v>Stepper Motor - B-Pillar R - Air Flow Deflection</v>
      </c>
      <c r="N2787" s="157"/>
      <c r="O2787" s="157"/>
      <c r="P2787" s="159" t="s">
        <v>3996</v>
      </c>
      <c r="Q2787" s="157"/>
      <c r="R2787" s="157"/>
      <c r="S2787" s="157"/>
      <c r="T2787" s="157"/>
      <c r="U2787" s="159" t="s">
        <v>2129</v>
      </c>
      <c r="V2787" s="159" t="s">
        <v>2129</v>
      </c>
      <c r="W2787" s="159" t="s">
        <v>2138</v>
      </c>
      <c r="X2787" s="160">
        <v>0.01</v>
      </c>
      <c r="Y2787" s="160">
        <v>0.01</v>
      </c>
      <c r="Z2787" s="160">
        <v>0.01</v>
      </c>
      <c r="AA2787" s="160">
        <v>0.01</v>
      </c>
    </row>
    <row r="2788" spans="1:27" ht="18" customHeight="1" x14ac:dyDescent="0.25">
      <c r="A2788" s="159">
        <v>10034</v>
      </c>
      <c r="B2788" s="157" t="s">
        <v>57</v>
      </c>
      <c r="C2788" s="157" t="s">
        <v>58</v>
      </c>
      <c r="D2788" s="159" t="s">
        <v>841</v>
      </c>
      <c r="E2788" s="157" t="s">
        <v>839</v>
      </c>
      <c r="F2788" s="157" t="s">
        <v>1264</v>
      </c>
      <c r="G2788" s="157" t="s">
        <v>1278</v>
      </c>
      <c r="H2788" s="157" t="s">
        <v>1378</v>
      </c>
      <c r="I2788" s="157" t="s">
        <v>1379</v>
      </c>
      <c r="J2788" s="157" t="s">
        <v>1380</v>
      </c>
      <c r="K2788" s="157" t="s">
        <v>1269</v>
      </c>
      <c r="L2788" s="157" t="s">
        <v>9643</v>
      </c>
      <c r="M2788" s="157" t="str">
        <f t="shared" si="58"/>
        <v>Stepper Motor - B-Pillar R - Air Flow Deflection</v>
      </c>
      <c r="N2788" s="157"/>
      <c r="O2788" s="157"/>
      <c r="P2788" s="159" t="s">
        <v>3996</v>
      </c>
      <c r="Q2788" s="157"/>
      <c r="R2788" s="157"/>
      <c r="S2788" s="157"/>
      <c r="T2788" s="157"/>
      <c r="U2788" s="159" t="s">
        <v>2129</v>
      </c>
      <c r="V2788" s="159" t="s">
        <v>2129</v>
      </c>
      <c r="W2788" s="159" t="s">
        <v>2138</v>
      </c>
      <c r="X2788" s="160">
        <v>0.01</v>
      </c>
      <c r="Y2788" s="160">
        <v>0.01</v>
      </c>
      <c r="Z2788" s="160">
        <v>0.01</v>
      </c>
      <c r="AA2788" s="160">
        <v>0.01</v>
      </c>
    </row>
    <row r="2789" spans="1:27" ht="18" customHeight="1" x14ac:dyDescent="0.25">
      <c r="A2789" s="159">
        <v>10034</v>
      </c>
      <c r="B2789" s="157" t="s">
        <v>57</v>
      </c>
      <c r="C2789" s="157" t="s">
        <v>58</v>
      </c>
      <c r="D2789" s="159" t="s">
        <v>842</v>
      </c>
      <c r="E2789" s="157" t="s">
        <v>843</v>
      </c>
      <c r="F2789" s="157" t="s">
        <v>1264</v>
      </c>
      <c r="G2789" s="157" t="s">
        <v>1278</v>
      </c>
      <c r="H2789" s="157" t="s">
        <v>1378</v>
      </c>
      <c r="I2789" s="157" t="s">
        <v>1379</v>
      </c>
      <c r="J2789" s="157" t="s">
        <v>1380</v>
      </c>
      <c r="K2789" s="157" t="s">
        <v>1269</v>
      </c>
      <c r="L2789" s="157" t="s">
        <v>9643</v>
      </c>
      <c r="M2789" s="157" t="str">
        <f t="shared" si="58"/>
        <v>Stepper Motor - B-Pillar R - Air Flow Deflection</v>
      </c>
      <c r="N2789" s="157"/>
      <c r="O2789" s="157"/>
      <c r="P2789" s="159" t="s">
        <v>3996</v>
      </c>
      <c r="Q2789" s="157"/>
      <c r="R2789" s="157"/>
      <c r="S2789" s="157"/>
      <c r="T2789" s="157"/>
      <c r="U2789" s="159" t="s">
        <v>2129</v>
      </c>
      <c r="V2789" s="159" t="s">
        <v>2129</v>
      </c>
      <c r="W2789" s="159" t="s">
        <v>2138</v>
      </c>
      <c r="X2789" s="160">
        <v>0.01</v>
      </c>
      <c r="Y2789" s="160">
        <v>0.01</v>
      </c>
      <c r="Z2789" s="160">
        <v>0.01</v>
      </c>
      <c r="AA2789" s="160">
        <v>0.01</v>
      </c>
    </row>
    <row r="2790" spans="1:27" ht="18" customHeight="1" x14ac:dyDescent="0.25">
      <c r="A2790" s="159">
        <v>10035</v>
      </c>
      <c r="B2790" s="157" t="s">
        <v>57</v>
      </c>
      <c r="C2790" s="157" t="s">
        <v>58</v>
      </c>
      <c r="D2790" s="159" t="s">
        <v>61</v>
      </c>
      <c r="E2790" s="157" t="s">
        <v>59</v>
      </c>
      <c r="F2790" s="157" t="s">
        <v>1264</v>
      </c>
      <c r="G2790" s="157" t="s">
        <v>1278</v>
      </c>
      <c r="H2790" s="157" t="s">
        <v>1378</v>
      </c>
      <c r="I2790" s="157" t="s">
        <v>1379</v>
      </c>
      <c r="J2790" s="157" t="s">
        <v>1380</v>
      </c>
      <c r="K2790" s="157" t="s">
        <v>1269</v>
      </c>
      <c r="L2790" s="157" t="s">
        <v>9643</v>
      </c>
      <c r="M2790" s="157" t="str">
        <f t="shared" si="58"/>
        <v>Stepper Motor - B-Pillar R - Air Flow Deflection</v>
      </c>
      <c r="N2790" s="157"/>
      <c r="O2790" s="157"/>
      <c r="P2790" s="159" t="s">
        <v>3996</v>
      </c>
      <c r="Q2790" s="157"/>
      <c r="R2790" s="157"/>
      <c r="S2790" s="157"/>
      <c r="T2790" s="157"/>
      <c r="U2790" s="159" t="s">
        <v>2129</v>
      </c>
      <c r="V2790" s="159" t="s">
        <v>2129</v>
      </c>
      <c r="W2790" s="159" t="s">
        <v>2138</v>
      </c>
      <c r="X2790" s="160">
        <v>0.01</v>
      </c>
      <c r="Y2790" s="160">
        <v>0.01</v>
      </c>
      <c r="Z2790" s="160">
        <v>0.01</v>
      </c>
      <c r="AA2790" s="160">
        <v>0.01</v>
      </c>
    </row>
    <row r="2791" spans="1:27" ht="18" customHeight="1" x14ac:dyDescent="0.25">
      <c r="A2791" s="159">
        <v>10035</v>
      </c>
      <c r="B2791" s="157" t="s">
        <v>57</v>
      </c>
      <c r="C2791" s="157" t="s">
        <v>58</v>
      </c>
      <c r="D2791" s="159" t="s">
        <v>841</v>
      </c>
      <c r="E2791" s="157" t="s">
        <v>839</v>
      </c>
      <c r="F2791" s="157" t="s">
        <v>1264</v>
      </c>
      <c r="G2791" s="157" t="s">
        <v>1278</v>
      </c>
      <c r="H2791" s="157" t="s">
        <v>1378</v>
      </c>
      <c r="I2791" s="157" t="s">
        <v>1379</v>
      </c>
      <c r="J2791" s="157" t="s">
        <v>1380</v>
      </c>
      <c r="K2791" s="157" t="s">
        <v>1269</v>
      </c>
      <c r="L2791" s="157" t="s">
        <v>9643</v>
      </c>
      <c r="M2791" s="157" t="str">
        <f t="shared" si="58"/>
        <v>Stepper Motor - B-Pillar R - Air Flow Deflection</v>
      </c>
      <c r="N2791" s="157"/>
      <c r="O2791" s="157"/>
      <c r="P2791" s="159" t="s">
        <v>3996</v>
      </c>
      <c r="Q2791" s="157"/>
      <c r="R2791" s="157"/>
      <c r="S2791" s="157"/>
      <c r="T2791" s="157"/>
      <c r="U2791" s="159" t="s">
        <v>2129</v>
      </c>
      <c r="V2791" s="159" t="s">
        <v>2129</v>
      </c>
      <c r="W2791" s="159" t="s">
        <v>2138</v>
      </c>
      <c r="X2791" s="160">
        <v>0.01</v>
      </c>
      <c r="Y2791" s="160">
        <v>0.01</v>
      </c>
      <c r="Z2791" s="160">
        <v>0.01</v>
      </c>
      <c r="AA2791" s="160">
        <v>0.01</v>
      </c>
    </row>
    <row r="2792" spans="1:27" ht="18" customHeight="1" x14ac:dyDescent="0.25">
      <c r="A2792" s="159">
        <v>10035</v>
      </c>
      <c r="B2792" s="157" t="s">
        <v>57</v>
      </c>
      <c r="C2792" s="157" t="s">
        <v>58</v>
      </c>
      <c r="D2792" s="159" t="s">
        <v>842</v>
      </c>
      <c r="E2792" s="157" t="s">
        <v>843</v>
      </c>
      <c r="F2792" s="157" t="s">
        <v>1264</v>
      </c>
      <c r="G2792" s="157" t="s">
        <v>1278</v>
      </c>
      <c r="H2792" s="157" t="s">
        <v>1378</v>
      </c>
      <c r="I2792" s="157" t="s">
        <v>1379</v>
      </c>
      <c r="J2792" s="157" t="s">
        <v>1380</v>
      </c>
      <c r="K2792" s="157" t="s">
        <v>1269</v>
      </c>
      <c r="L2792" s="157" t="s">
        <v>9643</v>
      </c>
      <c r="M2792" s="157" t="str">
        <f t="shared" si="58"/>
        <v>Stepper Motor - B-Pillar R - Air Flow Deflection</v>
      </c>
      <c r="N2792" s="157"/>
      <c r="O2792" s="157"/>
      <c r="P2792" s="159" t="s">
        <v>3996</v>
      </c>
      <c r="Q2792" s="157"/>
      <c r="R2792" s="157"/>
      <c r="S2792" s="157"/>
      <c r="T2792" s="157"/>
      <c r="U2792" s="159" t="s">
        <v>2129</v>
      </c>
      <c r="V2792" s="159" t="s">
        <v>2129</v>
      </c>
      <c r="W2792" s="159" t="s">
        <v>2138</v>
      </c>
      <c r="X2792" s="160">
        <v>0.01</v>
      </c>
      <c r="Y2792" s="160">
        <v>0.01</v>
      </c>
      <c r="Z2792" s="160">
        <v>0.01</v>
      </c>
      <c r="AA2792" s="160">
        <v>0.01</v>
      </c>
    </row>
    <row r="2793" spans="1:27" ht="18" customHeight="1" x14ac:dyDescent="0.25">
      <c r="A2793" s="159">
        <v>10036</v>
      </c>
      <c r="B2793" s="157" t="s">
        <v>57</v>
      </c>
      <c r="C2793" s="157" t="s">
        <v>58</v>
      </c>
      <c r="D2793" s="159" t="s">
        <v>61</v>
      </c>
      <c r="E2793" s="157" t="s">
        <v>59</v>
      </c>
      <c r="F2793" s="157" t="s">
        <v>1264</v>
      </c>
      <c r="G2793" s="157" t="s">
        <v>1278</v>
      </c>
      <c r="H2793" s="157" t="s">
        <v>1378</v>
      </c>
      <c r="I2793" s="157" t="s">
        <v>1379</v>
      </c>
      <c r="J2793" s="157" t="s">
        <v>1380</v>
      </c>
      <c r="K2793" s="157" t="s">
        <v>1269</v>
      </c>
      <c r="L2793" s="157" t="s">
        <v>2020</v>
      </c>
      <c r="M2793" s="157" t="str">
        <f t="shared" si="58"/>
        <v>Stepper Motor - Cockpit Flap - Air Flow Deflection</v>
      </c>
      <c r="N2793" s="157"/>
      <c r="O2793" s="157"/>
      <c r="P2793" s="159" t="s">
        <v>6291</v>
      </c>
      <c r="Q2793" s="157"/>
      <c r="R2793" s="157"/>
      <c r="S2793" s="157"/>
      <c r="T2793" s="157"/>
      <c r="U2793" s="159" t="s">
        <v>2129</v>
      </c>
      <c r="V2793" s="159" t="s">
        <v>2129</v>
      </c>
      <c r="W2793" s="159" t="s">
        <v>2138</v>
      </c>
      <c r="X2793" s="160">
        <v>0.01</v>
      </c>
      <c r="Y2793" s="160">
        <v>0.01</v>
      </c>
      <c r="Z2793" s="160">
        <v>0.01</v>
      </c>
      <c r="AA2793" s="160">
        <v>0.01</v>
      </c>
    </row>
    <row r="2794" spans="1:27" ht="18" customHeight="1" x14ac:dyDescent="0.25">
      <c r="A2794" s="159">
        <v>10036</v>
      </c>
      <c r="B2794" s="157" t="s">
        <v>57</v>
      </c>
      <c r="C2794" s="157" t="s">
        <v>58</v>
      </c>
      <c r="D2794" s="159" t="s">
        <v>414</v>
      </c>
      <c r="E2794" s="157" t="s">
        <v>412</v>
      </c>
      <c r="F2794" s="157" t="s">
        <v>1264</v>
      </c>
      <c r="G2794" s="157" t="s">
        <v>1278</v>
      </c>
      <c r="H2794" s="157" t="s">
        <v>1378</v>
      </c>
      <c r="I2794" s="157" t="s">
        <v>1379</v>
      </c>
      <c r="J2794" s="157" t="s">
        <v>1380</v>
      </c>
      <c r="K2794" s="157" t="s">
        <v>1269</v>
      </c>
      <c r="L2794" s="157" t="s">
        <v>2020</v>
      </c>
      <c r="M2794" s="157" t="str">
        <f t="shared" si="58"/>
        <v>Stepper Motor - Cockpit Flap - Air Flow Deflection</v>
      </c>
      <c r="N2794" s="157"/>
      <c r="O2794" s="157"/>
      <c r="P2794" s="159" t="s">
        <v>6291</v>
      </c>
      <c r="Q2794" s="157"/>
      <c r="R2794" s="157"/>
      <c r="S2794" s="157"/>
      <c r="T2794" s="157"/>
      <c r="U2794" s="159" t="s">
        <v>2129</v>
      </c>
      <c r="V2794" s="159" t="s">
        <v>2138</v>
      </c>
      <c r="W2794" s="159" t="s">
        <v>2138</v>
      </c>
      <c r="X2794" s="160">
        <v>0.01</v>
      </c>
      <c r="Y2794" s="160">
        <v>0.01</v>
      </c>
      <c r="Z2794" s="160">
        <v>0.01</v>
      </c>
      <c r="AA2794" s="160">
        <v>0.01</v>
      </c>
    </row>
    <row r="2795" spans="1:27" ht="18" customHeight="1" x14ac:dyDescent="0.25">
      <c r="A2795" s="159">
        <v>10036</v>
      </c>
      <c r="B2795" s="157" t="s">
        <v>57</v>
      </c>
      <c r="C2795" s="157" t="s">
        <v>58</v>
      </c>
      <c r="D2795" s="159" t="s">
        <v>417</v>
      </c>
      <c r="E2795" s="157" t="s">
        <v>415</v>
      </c>
      <c r="F2795" s="157" t="s">
        <v>1264</v>
      </c>
      <c r="G2795" s="157" t="s">
        <v>1278</v>
      </c>
      <c r="H2795" s="157" t="s">
        <v>1378</v>
      </c>
      <c r="I2795" s="157" t="s">
        <v>1379</v>
      </c>
      <c r="J2795" s="157" t="s">
        <v>1380</v>
      </c>
      <c r="K2795" s="157" t="s">
        <v>1269</v>
      </c>
      <c r="L2795" s="157" t="s">
        <v>2020</v>
      </c>
      <c r="M2795" s="157" t="str">
        <f t="shared" si="58"/>
        <v>Stepper Motor - Cockpit Flap - Air Flow Deflection</v>
      </c>
      <c r="N2795" s="157"/>
      <c r="O2795" s="157"/>
      <c r="P2795" s="159" t="s">
        <v>6291</v>
      </c>
      <c r="Q2795" s="157"/>
      <c r="R2795" s="157"/>
      <c r="S2795" s="157"/>
      <c r="T2795" s="157"/>
      <c r="U2795" s="159" t="s">
        <v>2129</v>
      </c>
      <c r="V2795" s="159" t="s">
        <v>2138</v>
      </c>
      <c r="W2795" s="159" t="s">
        <v>2138</v>
      </c>
      <c r="X2795" s="160">
        <v>0.01</v>
      </c>
      <c r="Y2795" s="160">
        <v>0.01</v>
      </c>
      <c r="Z2795" s="160">
        <v>0.01</v>
      </c>
      <c r="AA2795" s="160">
        <v>0.01</v>
      </c>
    </row>
    <row r="2796" spans="1:27" ht="18" customHeight="1" x14ac:dyDescent="0.25">
      <c r="A2796" s="159">
        <v>10036</v>
      </c>
      <c r="B2796" s="157" t="s">
        <v>57</v>
      </c>
      <c r="C2796" s="157" t="s">
        <v>58</v>
      </c>
      <c r="D2796" s="159" t="s">
        <v>929</v>
      </c>
      <c r="E2796" s="157" t="s">
        <v>927</v>
      </c>
      <c r="F2796" s="157" t="s">
        <v>1264</v>
      </c>
      <c r="G2796" s="157" t="s">
        <v>1278</v>
      </c>
      <c r="H2796" s="157" t="s">
        <v>1378</v>
      </c>
      <c r="I2796" s="157" t="s">
        <v>1379</v>
      </c>
      <c r="J2796" s="157" t="s">
        <v>1380</v>
      </c>
      <c r="K2796" s="157" t="s">
        <v>1269</v>
      </c>
      <c r="L2796" s="157" t="s">
        <v>2020</v>
      </c>
      <c r="M2796" s="157" t="str">
        <f t="shared" si="58"/>
        <v>Stepper Motor - Cockpit Flap - Air Flow Deflection</v>
      </c>
      <c r="N2796" s="157"/>
      <c r="O2796" s="157"/>
      <c r="P2796" s="159" t="s">
        <v>6291</v>
      </c>
      <c r="Q2796" s="157"/>
      <c r="R2796" s="157"/>
      <c r="S2796" s="157"/>
      <c r="T2796" s="157"/>
      <c r="U2796" s="159" t="s">
        <v>2129</v>
      </c>
      <c r="V2796" s="159" t="s">
        <v>2129</v>
      </c>
      <c r="W2796" s="159" t="s">
        <v>2138</v>
      </c>
      <c r="X2796" s="160">
        <v>0.01</v>
      </c>
      <c r="Y2796" s="160">
        <v>0.01</v>
      </c>
      <c r="Z2796" s="160">
        <v>0.01</v>
      </c>
      <c r="AA2796" s="160">
        <v>0.01</v>
      </c>
    </row>
    <row r="2797" spans="1:27" ht="18" customHeight="1" x14ac:dyDescent="0.25">
      <c r="A2797" s="159">
        <v>10036</v>
      </c>
      <c r="B2797" s="157" t="s">
        <v>57</v>
      </c>
      <c r="C2797" s="157" t="s">
        <v>58</v>
      </c>
      <c r="D2797" s="159" t="s">
        <v>62</v>
      </c>
      <c r="E2797" s="157" t="s">
        <v>991</v>
      </c>
      <c r="F2797" s="157" t="s">
        <v>1264</v>
      </c>
      <c r="G2797" s="157" t="s">
        <v>1278</v>
      </c>
      <c r="H2797" s="157" t="s">
        <v>1378</v>
      </c>
      <c r="I2797" s="157" t="s">
        <v>1379</v>
      </c>
      <c r="J2797" s="157" t="s">
        <v>1380</v>
      </c>
      <c r="K2797" s="157" t="s">
        <v>1269</v>
      </c>
      <c r="L2797" s="157" t="s">
        <v>2020</v>
      </c>
      <c r="M2797" s="157" t="str">
        <f t="shared" si="58"/>
        <v>Stepper Motor - Cockpit Flap - Air Flow Deflection</v>
      </c>
      <c r="N2797" s="157"/>
      <c r="O2797" s="157"/>
      <c r="P2797" s="159" t="s">
        <v>6291</v>
      </c>
      <c r="Q2797" s="157"/>
      <c r="R2797" s="157"/>
      <c r="S2797" s="157"/>
      <c r="T2797" s="157"/>
      <c r="U2797" s="159" t="s">
        <v>2129</v>
      </c>
      <c r="V2797" s="159" t="s">
        <v>2138</v>
      </c>
      <c r="W2797" s="159" t="s">
        <v>2129</v>
      </c>
      <c r="X2797" s="160">
        <v>0.01</v>
      </c>
      <c r="Y2797" s="160">
        <v>0.01</v>
      </c>
      <c r="Z2797" s="160">
        <v>0.01</v>
      </c>
      <c r="AA2797" s="160">
        <v>0.01</v>
      </c>
    </row>
    <row r="2798" spans="1:27" ht="18" customHeight="1" x14ac:dyDescent="0.25">
      <c r="A2798" s="159">
        <v>10036</v>
      </c>
      <c r="B2798" s="157" t="s">
        <v>57</v>
      </c>
      <c r="C2798" s="157" t="s">
        <v>58</v>
      </c>
      <c r="D2798" s="159" t="s">
        <v>998</v>
      </c>
      <c r="E2798" s="157" t="s">
        <v>996</v>
      </c>
      <c r="F2798" s="157" t="s">
        <v>1264</v>
      </c>
      <c r="G2798" s="157" t="s">
        <v>1278</v>
      </c>
      <c r="H2798" s="157" t="s">
        <v>1378</v>
      </c>
      <c r="I2798" s="157" t="s">
        <v>1379</v>
      </c>
      <c r="J2798" s="157" t="s">
        <v>1380</v>
      </c>
      <c r="K2798" s="157" t="s">
        <v>1269</v>
      </c>
      <c r="L2798" s="157" t="s">
        <v>2020</v>
      </c>
      <c r="M2798" s="157" t="str">
        <f t="shared" si="58"/>
        <v>Stepper Motor - Cockpit Flap - Air Flow Deflection</v>
      </c>
      <c r="N2798" s="157"/>
      <c r="O2798" s="157"/>
      <c r="P2798" s="159" t="s">
        <v>6291</v>
      </c>
      <c r="Q2798" s="157"/>
      <c r="R2798" s="157"/>
      <c r="S2798" s="157"/>
      <c r="T2798" s="157"/>
      <c r="U2798" s="159" t="s">
        <v>2129</v>
      </c>
      <c r="V2798" s="159" t="s">
        <v>2129</v>
      </c>
      <c r="W2798" s="159" t="s">
        <v>2138</v>
      </c>
      <c r="X2798" s="160">
        <v>0.01</v>
      </c>
      <c r="Y2798" s="160">
        <v>0.01</v>
      </c>
      <c r="Z2798" s="160">
        <v>0.01</v>
      </c>
      <c r="AA2798" s="160">
        <v>0.01</v>
      </c>
    </row>
    <row r="2799" spans="1:27" ht="18" customHeight="1" x14ac:dyDescent="0.25">
      <c r="A2799" s="159">
        <v>10036</v>
      </c>
      <c r="B2799" s="157" t="s">
        <v>57</v>
      </c>
      <c r="C2799" s="157" t="s">
        <v>58</v>
      </c>
      <c r="D2799" s="159" t="s">
        <v>2090</v>
      </c>
      <c r="E2799" s="157" t="s">
        <v>1677</v>
      </c>
      <c r="F2799" s="157" t="s">
        <v>1264</v>
      </c>
      <c r="G2799" s="157" t="s">
        <v>1278</v>
      </c>
      <c r="H2799" s="157" t="s">
        <v>1378</v>
      </c>
      <c r="I2799" s="157" t="s">
        <v>1379</v>
      </c>
      <c r="J2799" s="157" t="s">
        <v>1380</v>
      </c>
      <c r="K2799" s="157" t="s">
        <v>1269</v>
      </c>
      <c r="L2799" s="157" t="s">
        <v>2020</v>
      </c>
      <c r="M2799" s="157" t="str">
        <f t="shared" si="58"/>
        <v>Stepper Motor - Cockpit Flap - Air Flow Deflection</v>
      </c>
      <c r="N2799" s="157"/>
      <c r="O2799" s="157"/>
      <c r="P2799" s="159" t="s">
        <v>6291</v>
      </c>
      <c r="Q2799" s="157"/>
      <c r="R2799" s="157"/>
      <c r="S2799" s="157"/>
      <c r="T2799" s="157"/>
      <c r="U2799" s="159" t="s">
        <v>2129</v>
      </c>
      <c r="V2799" s="159" t="s">
        <v>2129</v>
      </c>
      <c r="W2799" s="159" t="s">
        <v>2138</v>
      </c>
      <c r="X2799" s="160">
        <v>0.01</v>
      </c>
      <c r="Y2799" s="160">
        <v>0.01</v>
      </c>
      <c r="Z2799" s="160">
        <v>0.01</v>
      </c>
      <c r="AA2799" s="160">
        <v>0.01</v>
      </c>
    </row>
    <row r="2800" spans="1:27" ht="18" customHeight="1" x14ac:dyDescent="0.25">
      <c r="A2800" s="159">
        <v>10037</v>
      </c>
      <c r="B2800" s="157" t="s">
        <v>57</v>
      </c>
      <c r="C2800" s="157" t="s">
        <v>58</v>
      </c>
      <c r="D2800" s="159" t="s">
        <v>61</v>
      </c>
      <c r="E2800" s="157" t="s">
        <v>59</v>
      </c>
      <c r="F2800" s="157" t="s">
        <v>1264</v>
      </c>
      <c r="G2800" s="157" t="s">
        <v>1278</v>
      </c>
      <c r="H2800" s="157" t="s">
        <v>1378</v>
      </c>
      <c r="I2800" s="157" t="s">
        <v>1379</v>
      </c>
      <c r="J2800" s="157" t="s">
        <v>1380</v>
      </c>
      <c r="K2800" s="157" t="s">
        <v>1269</v>
      </c>
      <c r="L2800" s="157" t="s">
        <v>2020</v>
      </c>
      <c r="M2800" s="157" t="str">
        <f t="shared" si="58"/>
        <v>Stepper Motor - Cockpit Flap - Air Flow Deflection</v>
      </c>
      <c r="N2800" s="157"/>
      <c r="O2800" s="157"/>
      <c r="P2800" s="159" t="s">
        <v>6290</v>
      </c>
      <c r="Q2800" s="157"/>
      <c r="R2800" s="157"/>
      <c r="S2800" s="157"/>
      <c r="T2800" s="157"/>
      <c r="U2800" s="159" t="s">
        <v>2129</v>
      </c>
      <c r="V2800" s="159" t="s">
        <v>2129</v>
      </c>
      <c r="W2800" s="159" t="s">
        <v>2138</v>
      </c>
      <c r="X2800" s="160">
        <v>0.01</v>
      </c>
      <c r="Y2800" s="160">
        <v>0.01</v>
      </c>
      <c r="Z2800" s="160">
        <v>0.01</v>
      </c>
      <c r="AA2800" s="160">
        <v>0.01</v>
      </c>
    </row>
    <row r="2801" spans="1:27" ht="18" customHeight="1" x14ac:dyDescent="0.25">
      <c r="A2801" s="159">
        <v>10037</v>
      </c>
      <c r="B2801" s="157" t="s">
        <v>57</v>
      </c>
      <c r="C2801" s="157" t="s">
        <v>58</v>
      </c>
      <c r="D2801" s="159" t="s">
        <v>414</v>
      </c>
      <c r="E2801" s="157" t="s">
        <v>412</v>
      </c>
      <c r="F2801" s="157" t="s">
        <v>1264</v>
      </c>
      <c r="G2801" s="157" t="s">
        <v>1278</v>
      </c>
      <c r="H2801" s="157" t="s">
        <v>1378</v>
      </c>
      <c r="I2801" s="157" t="s">
        <v>1379</v>
      </c>
      <c r="J2801" s="157" t="s">
        <v>1380</v>
      </c>
      <c r="K2801" s="157" t="s">
        <v>1269</v>
      </c>
      <c r="L2801" s="157" t="s">
        <v>2020</v>
      </c>
      <c r="M2801" s="157" t="str">
        <f t="shared" si="58"/>
        <v>Stepper Motor - Cockpit Flap - Air Flow Deflection</v>
      </c>
      <c r="N2801" s="157"/>
      <c r="O2801" s="157"/>
      <c r="P2801" s="159" t="s">
        <v>6290</v>
      </c>
      <c r="Q2801" s="157"/>
      <c r="R2801" s="157"/>
      <c r="S2801" s="157"/>
      <c r="T2801" s="157"/>
      <c r="U2801" s="159" t="s">
        <v>2129</v>
      </c>
      <c r="V2801" s="159" t="s">
        <v>2138</v>
      </c>
      <c r="W2801" s="159" t="s">
        <v>2138</v>
      </c>
      <c r="X2801" s="160">
        <v>0.01</v>
      </c>
      <c r="Y2801" s="160">
        <v>0.01</v>
      </c>
      <c r="Z2801" s="160">
        <v>0.01</v>
      </c>
      <c r="AA2801" s="160">
        <v>0.01</v>
      </c>
    </row>
    <row r="2802" spans="1:27" ht="18" customHeight="1" x14ac:dyDescent="0.25">
      <c r="A2802" s="159">
        <v>10037</v>
      </c>
      <c r="B2802" s="157" t="s">
        <v>57</v>
      </c>
      <c r="C2802" s="157" t="s">
        <v>58</v>
      </c>
      <c r="D2802" s="159" t="s">
        <v>417</v>
      </c>
      <c r="E2802" s="157" t="s">
        <v>415</v>
      </c>
      <c r="F2802" s="157" t="s">
        <v>1264</v>
      </c>
      <c r="G2802" s="157" t="s">
        <v>1278</v>
      </c>
      <c r="H2802" s="157" t="s">
        <v>1378</v>
      </c>
      <c r="I2802" s="157" t="s">
        <v>1379</v>
      </c>
      <c r="J2802" s="157" t="s">
        <v>1380</v>
      </c>
      <c r="K2802" s="157" t="s">
        <v>1269</v>
      </c>
      <c r="L2802" s="157" t="s">
        <v>2020</v>
      </c>
      <c r="M2802" s="157" t="str">
        <f t="shared" si="58"/>
        <v>Stepper Motor - Cockpit Flap - Air Flow Deflection</v>
      </c>
      <c r="N2802" s="157"/>
      <c r="O2802" s="157"/>
      <c r="P2802" s="159" t="s">
        <v>6290</v>
      </c>
      <c r="Q2802" s="157"/>
      <c r="R2802" s="157"/>
      <c r="S2802" s="157"/>
      <c r="T2802" s="157"/>
      <c r="U2802" s="159" t="s">
        <v>2129</v>
      </c>
      <c r="V2802" s="159" t="s">
        <v>2138</v>
      </c>
      <c r="W2802" s="159" t="s">
        <v>2138</v>
      </c>
      <c r="X2802" s="160">
        <v>0.01</v>
      </c>
      <c r="Y2802" s="160">
        <v>0.01</v>
      </c>
      <c r="Z2802" s="160">
        <v>0.01</v>
      </c>
      <c r="AA2802" s="160">
        <v>0.01</v>
      </c>
    </row>
    <row r="2803" spans="1:27" ht="18" customHeight="1" x14ac:dyDescent="0.25">
      <c r="A2803" s="159">
        <v>10037</v>
      </c>
      <c r="B2803" s="157" t="s">
        <v>57</v>
      </c>
      <c r="C2803" s="157" t="s">
        <v>58</v>
      </c>
      <c r="D2803" s="159" t="s">
        <v>929</v>
      </c>
      <c r="E2803" s="157" t="s">
        <v>927</v>
      </c>
      <c r="F2803" s="157" t="s">
        <v>1264</v>
      </c>
      <c r="G2803" s="157" t="s">
        <v>1278</v>
      </c>
      <c r="H2803" s="157" t="s">
        <v>1378</v>
      </c>
      <c r="I2803" s="157" t="s">
        <v>1379</v>
      </c>
      <c r="J2803" s="157" t="s">
        <v>1380</v>
      </c>
      <c r="K2803" s="157" t="s">
        <v>1269</v>
      </c>
      <c r="L2803" s="157" t="s">
        <v>2020</v>
      </c>
      <c r="M2803" s="157" t="str">
        <f t="shared" si="58"/>
        <v>Stepper Motor - Cockpit Flap - Air Flow Deflection</v>
      </c>
      <c r="N2803" s="157"/>
      <c r="O2803" s="157"/>
      <c r="P2803" s="159" t="s">
        <v>6290</v>
      </c>
      <c r="Q2803" s="157"/>
      <c r="R2803" s="157"/>
      <c r="S2803" s="157"/>
      <c r="T2803" s="157"/>
      <c r="U2803" s="159" t="s">
        <v>2129</v>
      </c>
      <c r="V2803" s="159" t="s">
        <v>2129</v>
      </c>
      <c r="W2803" s="159" t="s">
        <v>2138</v>
      </c>
      <c r="X2803" s="160">
        <v>0.01</v>
      </c>
      <c r="Y2803" s="160">
        <v>0.01</v>
      </c>
      <c r="Z2803" s="160">
        <v>0.01</v>
      </c>
      <c r="AA2803" s="160">
        <v>0.01</v>
      </c>
    </row>
    <row r="2804" spans="1:27" ht="18" customHeight="1" x14ac:dyDescent="0.25">
      <c r="A2804" s="159">
        <v>10037</v>
      </c>
      <c r="B2804" s="157" t="s">
        <v>57</v>
      </c>
      <c r="C2804" s="157" t="s">
        <v>58</v>
      </c>
      <c r="D2804" s="159" t="s">
        <v>62</v>
      </c>
      <c r="E2804" s="157" t="s">
        <v>991</v>
      </c>
      <c r="F2804" s="157" t="s">
        <v>1264</v>
      </c>
      <c r="G2804" s="157" t="s">
        <v>1278</v>
      </c>
      <c r="H2804" s="157" t="s">
        <v>1378</v>
      </c>
      <c r="I2804" s="157" t="s">
        <v>1379</v>
      </c>
      <c r="J2804" s="157" t="s">
        <v>1380</v>
      </c>
      <c r="K2804" s="157" t="s">
        <v>1269</v>
      </c>
      <c r="L2804" s="157" t="s">
        <v>2020</v>
      </c>
      <c r="M2804" s="157" t="str">
        <f t="shared" si="58"/>
        <v>Stepper Motor - Cockpit Flap - Air Flow Deflection</v>
      </c>
      <c r="N2804" s="157"/>
      <c r="O2804" s="157"/>
      <c r="P2804" s="159" t="s">
        <v>6290</v>
      </c>
      <c r="Q2804" s="157"/>
      <c r="R2804" s="157"/>
      <c r="S2804" s="157"/>
      <c r="T2804" s="157"/>
      <c r="U2804" s="159" t="s">
        <v>2129</v>
      </c>
      <c r="V2804" s="159" t="s">
        <v>2138</v>
      </c>
      <c r="W2804" s="159" t="s">
        <v>2129</v>
      </c>
      <c r="X2804" s="160">
        <v>0.01</v>
      </c>
      <c r="Y2804" s="160">
        <v>0.01</v>
      </c>
      <c r="Z2804" s="160">
        <v>0.01</v>
      </c>
      <c r="AA2804" s="160">
        <v>0.01</v>
      </c>
    </row>
    <row r="2805" spans="1:27" ht="18" customHeight="1" x14ac:dyDescent="0.25">
      <c r="A2805" s="159">
        <v>10037</v>
      </c>
      <c r="B2805" s="157" t="s">
        <v>57</v>
      </c>
      <c r="C2805" s="157" t="s">
        <v>58</v>
      </c>
      <c r="D2805" s="159" t="s">
        <v>998</v>
      </c>
      <c r="E2805" s="157" t="s">
        <v>996</v>
      </c>
      <c r="F2805" s="157" t="s">
        <v>1264</v>
      </c>
      <c r="G2805" s="157" t="s">
        <v>1278</v>
      </c>
      <c r="H2805" s="157" t="s">
        <v>1378</v>
      </c>
      <c r="I2805" s="157" t="s">
        <v>1379</v>
      </c>
      <c r="J2805" s="157" t="s">
        <v>1380</v>
      </c>
      <c r="K2805" s="157" t="s">
        <v>1269</v>
      </c>
      <c r="L2805" s="157" t="s">
        <v>2020</v>
      </c>
      <c r="M2805" s="157" t="str">
        <f t="shared" si="58"/>
        <v>Stepper Motor - Cockpit Flap - Air Flow Deflection</v>
      </c>
      <c r="N2805" s="157"/>
      <c r="O2805" s="157"/>
      <c r="P2805" s="159" t="s">
        <v>6290</v>
      </c>
      <c r="Q2805" s="157"/>
      <c r="R2805" s="157"/>
      <c r="S2805" s="157"/>
      <c r="T2805" s="157"/>
      <c r="U2805" s="159" t="s">
        <v>2129</v>
      </c>
      <c r="V2805" s="159" t="s">
        <v>2129</v>
      </c>
      <c r="W2805" s="159" t="s">
        <v>2138</v>
      </c>
      <c r="X2805" s="160">
        <v>0.01</v>
      </c>
      <c r="Y2805" s="160">
        <v>0.01</v>
      </c>
      <c r="Z2805" s="160">
        <v>0.01</v>
      </c>
      <c r="AA2805" s="160">
        <v>0.01</v>
      </c>
    </row>
    <row r="2806" spans="1:27" ht="18" customHeight="1" x14ac:dyDescent="0.25">
      <c r="A2806" s="159">
        <v>10037</v>
      </c>
      <c r="B2806" s="157" t="s">
        <v>57</v>
      </c>
      <c r="C2806" s="157" t="s">
        <v>58</v>
      </c>
      <c r="D2806" s="159" t="s">
        <v>2090</v>
      </c>
      <c r="E2806" s="157" t="s">
        <v>1677</v>
      </c>
      <c r="F2806" s="157" t="s">
        <v>1264</v>
      </c>
      <c r="G2806" s="157" t="s">
        <v>1278</v>
      </c>
      <c r="H2806" s="157" t="s">
        <v>1378</v>
      </c>
      <c r="I2806" s="157" t="s">
        <v>1379</v>
      </c>
      <c r="J2806" s="157" t="s">
        <v>1380</v>
      </c>
      <c r="K2806" s="157" t="s">
        <v>1269</v>
      </c>
      <c r="L2806" s="157" t="s">
        <v>2020</v>
      </c>
      <c r="M2806" s="157" t="str">
        <f t="shared" si="58"/>
        <v>Stepper Motor - Cockpit Flap - Air Flow Deflection</v>
      </c>
      <c r="N2806" s="157"/>
      <c r="O2806" s="157"/>
      <c r="P2806" s="159" t="s">
        <v>6290</v>
      </c>
      <c r="Q2806" s="157"/>
      <c r="R2806" s="157"/>
      <c r="S2806" s="157"/>
      <c r="T2806" s="157"/>
      <c r="U2806" s="159" t="s">
        <v>2129</v>
      </c>
      <c r="V2806" s="159" t="s">
        <v>2129</v>
      </c>
      <c r="W2806" s="159" t="s">
        <v>2138</v>
      </c>
      <c r="X2806" s="160">
        <v>0.01</v>
      </c>
      <c r="Y2806" s="160">
        <v>0.01</v>
      </c>
      <c r="Z2806" s="160">
        <v>0.01</v>
      </c>
      <c r="AA2806" s="160">
        <v>0.01</v>
      </c>
    </row>
    <row r="2807" spans="1:27" ht="18" customHeight="1" x14ac:dyDescent="0.25">
      <c r="A2807" s="159">
        <v>10038</v>
      </c>
      <c r="B2807" s="157" t="s">
        <v>57</v>
      </c>
      <c r="C2807" s="157" t="s">
        <v>58</v>
      </c>
      <c r="D2807" s="159" t="s">
        <v>61</v>
      </c>
      <c r="E2807" s="157" t="s">
        <v>59</v>
      </c>
      <c r="F2807" s="157" t="s">
        <v>1264</v>
      </c>
      <c r="G2807" s="157" t="s">
        <v>1278</v>
      </c>
      <c r="H2807" s="157" t="s">
        <v>1378</v>
      </c>
      <c r="I2807" s="157" t="s">
        <v>1379</v>
      </c>
      <c r="J2807" s="157" t="s">
        <v>1380</v>
      </c>
      <c r="K2807" s="157" t="s">
        <v>1269</v>
      </c>
      <c r="L2807" s="157" t="s">
        <v>2020</v>
      </c>
      <c r="M2807" s="157" t="str">
        <f t="shared" si="58"/>
        <v>Stepper Motor - Cockpit Flap - Air Flow Deflection</v>
      </c>
      <c r="N2807" s="157"/>
      <c r="O2807" s="157"/>
      <c r="P2807" s="159" t="s">
        <v>5917</v>
      </c>
      <c r="Q2807" s="157"/>
      <c r="R2807" s="157"/>
      <c r="S2807" s="157"/>
      <c r="T2807" s="157"/>
      <c r="U2807" s="159" t="s">
        <v>2129</v>
      </c>
      <c r="V2807" s="159" t="s">
        <v>2129</v>
      </c>
      <c r="W2807" s="159" t="s">
        <v>2138</v>
      </c>
      <c r="X2807" s="160">
        <v>0.01</v>
      </c>
      <c r="Y2807" s="160">
        <v>0.01</v>
      </c>
      <c r="Z2807" s="160">
        <v>0.01</v>
      </c>
      <c r="AA2807" s="160">
        <v>0.01</v>
      </c>
    </row>
    <row r="2808" spans="1:27" ht="18" customHeight="1" x14ac:dyDescent="0.25">
      <c r="A2808" s="159">
        <v>10038</v>
      </c>
      <c r="B2808" s="157" t="s">
        <v>57</v>
      </c>
      <c r="C2808" s="157" t="s">
        <v>58</v>
      </c>
      <c r="D2808" s="159" t="s">
        <v>414</v>
      </c>
      <c r="E2808" s="157" t="s">
        <v>412</v>
      </c>
      <c r="F2808" s="157" t="s">
        <v>1264</v>
      </c>
      <c r="G2808" s="157" t="s">
        <v>1278</v>
      </c>
      <c r="H2808" s="157" t="s">
        <v>1378</v>
      </c>
      <c r="I2808" s="157" t="s">
        <v>1379</v>
      </c>
      <c r="J2808" s="157" t="s">
        <v>1380</v>
      </c>
      <c r="K2808" s="157" t="s">
        <v>1269</v>
      </c>
      <c r="L2808" s="157" t="s">
        <v>2020</v>
      </c>
      <c r="M2808" s="157" t="str">
        <f t="shared" si="58"/>
        <v>Stepper Motor - Cockpit Flap - Air Flow Deflection</v>
      </c>
      <c r="N2808" s="157"/>
      <c r="O2808" s="157"/>
      <c r="P2808" s="159" t="s">
        <v>5917</v>
      </c>
      <c r="Q2808" s="157"/>
      <c r="R2808" s="157"/>
      <c r="S2808" s="157"/>
      <c r="T2808" s="157"/>
      <c r="U2808" s="159" t="s">
        <v>2129</v>
      </c>
      <c r="V2808" s="159" t="s">
        <v>2138</v>
      </c>
      <c r="W2808" s="159" t="s">
        <v>2138</v>
      </c>
      <c r="X2808" s="160">
        <v>0.01</v>
      </c>
      <c r="Y2808" s="160">
        <v>0.01</v>
      </c>
      <c r="Z2808" s="160">
        <v>0.01</v>
      </c>
      <c r="AA2808" s="160">
        <v>0.01</v>
      </c>
    </row>
    <row r="2809" spans="1:27" ht="18" customHeight="1" x14ac:dyDescent="0.25">
      <c r="A2809" s="159">
        <v>10038</v>
      </c>
      <c r="B2809" s="157" t="s">
        <v>57</v>
      </c>
      <c r="C2809" s="157" t="s">
        <v>58</v>
      </c>
      <c r="D2809" s="159" t="s">
        <v>417</v>
      </c>
      <c r="E2809" s="157" t="s">
        <v>415</v>
      </c>
      <c r="F2809" s="157" t="s">
        <v>1264</v>
      </c>
      <c r="G2809" s="157" t="s">
        <v>1278</v>
      </c>
      <c r="H2809" s="157" t="s">
        <v>1378</v>
      </c>
      <c r="I2809" s="157" t="s">
        <v>1379</v>
      </c>
      <c r="J2809" s="157" t="s">
        <v>1380</v>
      </c>
      <c r="K2809" s="157" t="s">
        <v>1269</v>
      </c>
      <c r="L2809" s="157" t="s">
        <v>2020</v>
      </c>
      <c r="M2809" s="157" t="str">
        <f t="shared" si="58"/>
        <v>Stepper Motor - Cockpit Flap - Air Flow Deflection</v>
      </c>
      <c r="N2809" s="157"/>
      <c r="O2809" s="157"/>
      <c r="P2809" s="159" t="s">
        <v>5917</v>
      </c>
      <c r="Q2809" s="157"/>
      <c r="R2809" s="157"/>
      <c r="S2809" s="157"/>
      <c r="T2809" s="157"/>
      <c r="U2809" s="159" t="s">
        <v>2129</v>
      </c>
      <c r="V2809" s="159" t="s">
        <v>2138</v>
      </c>
      <c r="W2809" s="159" t="s">
        <v>2138</v>
      </c>
      <c r="X2809" s="160">
        <v>0.01</v>
      </c>
      <c r="Y2809" s="160">
        <v>0.01</v>
      </c>
      <c r="Z2809" s="160">
        <v>0.01</v>
      </c>
      <c r="AA2809" s="160">
        <v>0.01</v>
      </c>
    </row>
    <row r="2810" spans="1:27" ht="18" customHeight="1" x14ac:dyDescent="0.25">
      <c r="A2810" s="159">
        <v>10038</v>
      </c>
      <c r="B2810" s="157" t="s">
        <v>57</v>
      </c>
      <c r="C2810" s="157" t="s">
        <v>58</v>
      </c>
      <c r="D2810" s="159" t="s">
        <v>929</v>
      </c>
      <c r="E2810" s="157" t="s">
        <v>927</v>
      </c>
      <c r="F2810" s="157" t="s">
        <v>1264</v>
      </c>
      <c r="G2810" s="157" t="s">
        <v>1278</v>
      </c>
      <c r="H2810" s="157" t="s">
        <v>1378</v>
      </c>
      <c r="I2810" s="157" t="s">
        <v>1379</v>
      </c>
      <c r="J2810" s="157" t="s">
        <v>1380</v>
      </c>
      <c r="K2810" s="157" t="s">
        <v>1269</v>
      </c>
      <c r="L2810" s="157" t="s">
        <v>2020</v>
      </c>
      <c r="M2810" s="157" t="str">
        <f t="shared" si="58"/>
        <v>Stepper Motor - Cockpit Flap - Air Flow Deflection</v>
      </c>
      <c r="N2810" s="157"/>
      <c r="O2810" s="157"/>
      <c r="P2810" s="159" t="s">
        <v>5917</v>
      </c>
      <c r="Q2810" s="157"/>
      <c r="R2810" s="157"/>
      <c r="S2810" s="157"/>
      <c r="T2810" s="157"/>
      <c r="U2810" s="159" t="s">
        <v>2129</v>
      </c>
      <c r="V2810" s="159" t="s">
        <v>2129</v>
      </c>
      <c r="W2810" s="159" t="s">
        <v>2138</v>
      </c>
      <c r="X2810" s="160">
        <v>0.01</v>
      </c>
      <c r="Y2810" s="160">
        <v>0.01</v>
      </c>
      <c r="Z2810" s="160">
        <v>0.01</v>
      </c>
      <c r="AA2810" s="160">
        <v>0.01</v>
      </c>
    </row>
    <row r="2811" spans="1:27" ht="18" customHeight="1" x14ac:dyDescent="0.25">
      <c r="A2811" s="159">
        <v>10038</v>
      </c>
      <c r="B2811" s="157" t="s">
        <v>57</v>
      </c>
      <c r="C2811" s="157" t="s">
        <v>58</v>
      </c>
      <c r="D2811" s="159" t="s">
        <v>62</v>
      </c>
      <c r="E2811" s="157" t="s">
        <v>991</v>
      </c>
      <c r="F2811" s="157" t="s">
        <v>1264</v>
      </c>
      <c r="G2811" s="157" t="s">
        <v>1278</v>
      </c>
      <c r="H2811" s="157" t="s">
        <v>1378</v>
      </c>
      <c r="I2811" s="157" t="s">
        <v>1379</v>
      </c>
      <c r="J2811" s="157" t="s">
        <v>1380</v>
      </c>
      <c r="K2811" s="157" t="s">
        <v>1269</v>
      </c>
      <c r="L2811" s="157" t="s">
        <v>2020</v>
      </c>
      <c r="M2811" s="157" t="str">
        <f t="shared" si="58"/>
        <v>Stepper Motor - Cockpit Flap - Air Flow Deflection</v>
      </c>
      <c r="N2811" s="157"/>
      <c r="O2811" s="157"/>
      <c r="P2811" s="159" t="s">
        <v>5917</v>
      </c>
      <c r="Q2811" s="157"/>
      <c r="R2811" s="157"/>
      <c r="S2811" s="157"/>
      <c r="T2811" s="157"/>
      <c r="U2811" s="159" t="s">
        <v>2129</v>
      </c>
      <c r="V2811" s="159" t="s">
        <v>2138</v>
      </c>
      <c r="W2811" s="159" t="s">
        <v>2129</v>
      </c>
      <c r="X2811" s="160">
        <v>0.01</v>
      </c>
      <c r="Y2811" s="160">
        <v>0.01</v>
      </c>
      <c r="Z2811" s="160">
        <v>0.01</v>
      </c>
      <c r="AA2811" s="160">
        <v>0.01</v>
      </c>
    </row>
    <row r="2812" spans="1:27" ht="18" customHeight="1" x14ac:dyDescent="0.25">
      <c r="A2812" s="159">
        <v>10038</v>
      </c>
      <c r="B2812" s="157" t="s">
        <v>57</v>
      </c>
      <c r="C2812" s="157" t="s">
        <v>58</v>
      </c>
      <c r="D2812" s="159" t="s">
        <v>998</v>
      </c>
      <c r="E2812" s="157" t="s">
        <v>996</v>
      </c>
      <c r="F2812" s="157" t="s">
        <v>1264</v>
      </c>
      <c r="G2812" s="157" t="s">
        <v>1278</v>
      </c>
      <c r="H2812" s="157" t="s">
        <v>1378</v>
      </c>
      <c r="I2812" s="157" t="s">
        <v>1379</v>
      </c>
      <c r="J2812" s="157" t="s">
        <v>1380</v>
      </c>
      <c r="K2812" s="157" t="s">
        <v>1269</v>
      </c>
      <c r="L2812" s="157" t="s">
        <v>2020</v>
      </c>
      <c r="M2812" s="157" t="str">
        <f t="shared" si="58"/>
        <v>Stepper Motor - Cockpit Flap - Air Flow Deflection</v>
      </c>
      <c r="N2812" s="157"/>
      <c r="O2812" s="157"/>
      <c r="P2812" s="159" t="s">
        <v>5917</v>
      </c>
      <c r="Q2812" s="157"/>
      <c r="R2812" s="157"/>
      <c r="S2812" s="157"/>
      <c r="T2812" s="157"/>
      <c r="U2812" s="159" t="s">
        <v>2129</v>
      </c>
      <c r="V2812" s="159" t="s">
        <v>2129</v>
      </c>
      <c r="W2812" s="159" t="s">
        <v>2138</v>
      </c>
      <c r="X2812" s="160">
        <v>0.01</v>
      </c>
      <c r="Y2812" s="160">
        <v>0.01</v>
      </c>
      <c r="Z2812" s="160">
        <v>0.01</v>
      </c>
      <c r="AA2812" s="160">
        <v>0.01</v>
      </c>
    </row>
    <row r="2813" spans="1:27" ht="18" customHeight="1" x14ac:dyDescent="0.25">
      <c r="A2813" s="159">
        <v>10038</v>
      </c>
      <c r="B2813" s="157" t="s">
        <v>57</v>
      </c>
      <c r="C2813" s="157" t="s">
        <v>58</v>
      </c>
      <c r="D2813" s="159" t="s">
        <v>2090</v>
      </c>
      <c r="E2813" s="157" t="s">
        <v>1677</v>
      </c>
      <c r="F2813" s="157" t="s">
        <v>1264</v>
      </c>
      <c r="G2813" s="157" t="s">
        <v>1278</v>
      </c>
      <c r="H2813" s="157" t="s">
        <v>1378</v>
      </c>
      <c r="I2813" s="157" t="s">
        <v>1379</v>
      </c>
      <c r="J2813" s="157" t="s">
        <v>1380</v>
      </c>
      <c r="K2813" s="157" t="s">
        <v>1269</v>
      </c>
      <c r="L2813" s="157" t="s">
        <v>2020</v>
      </c>
      <c r="M2813" s="157" t="str">
        <f t="shared" si="58"/>
        <v>Stepper Motor - Cockpit Flap - Air Flow Deflection</v>
      </c>
      <c r="N2813" s="157"/>
      <c r="O2813" s="157"/>
      <c r="P2813" s="159" t="s">
        <v>5917</v>
      </c>
      <c r="Q2813" s="157"/>
      <c r="R2813" s="157"/>
      <c r="S2813" s="157"/>
      <c r="T2813" s="157"/>
      <c r="U2813" s="159" t="s">
        <v>2129</v>
      </c>
      <c r="V2813" s="159" t="s">
        <v>2129</v>
      </c>
      <c r="W2813" s="159" t="s">
        <v>2138</v>
      </c>
      <c r="X2813" s="160">
        <v>0.01</v>
      </c>
      <c r="Y2813" s="160">
        <v>0.01</v>
      </c>
      <c r="Z2813" s="160">
        <v>0.01</v>
      </c>
      <c r="AA2813" s="160">
        <v>0.01</v>
      </c>
    </row>
    <row r="2814" spans="1:27" ht="18" customHeight="1" x14ac:dyDescent="0.25">
      <c r="A2814" s="159">
        <v>10039</v>
      </c>
      <c r="B2814" s="157" t="s">
        <v>57</v>
      </c>
      <c r="C2814" s="157" t="s">
        <v>58</v>
      </c>
      <c r="D2814" s="159" t="s">
        <v>61</v>
      </c>
      <c r="E2814" s="157" t="s">
        <v>59</v>
      </c>
      <c r="F2814" s="157" t="s">
        <v>1264</v>
      </c>
      <c r="G2814" s="157" t="s">
        <v>1278</v>
      </c>
      <c r="H2814" s="157" t="s">
        <v>1378</v>
      </c>
      <c r="I2814" s="157" t="s">
        <v>1379</v>
      </c>
      <c r="J2814" s="157" t="s">
        <v>1380</v>
      </c>
      <c r="K2814" s="157" t="s">
        <v>1269</v>
      </c>
      <c r="L2814" s="157" t="s">
        <v>2020</v>
      </c>
      <c r="M2814" s="157" t="str">
        <f t="shared" si="58"/>
        <v>Stepper Motor - Cockpit Flap - Air Flow Deflection</v>
      </c>
      <c r="N2814" s="157"/>
      <c r="O2814" s="157"/>
      <c r="P2814" s="159" t="s">
        <v>5731</v>
      </c>
      <c r="Q2814" s="157"/>
      <c r="R2814" s="157"/>
      <c r="S2814" s="157"/>
      <c r="T2814" s="157"/>
      <c r="U2814" s="159" t="s">
        <v>2129</v>
      </c>
      <c r="V2814" s="159" t="s">
        <v>2129</v>
      </c>
      <c r="W2814" s="159" t="s">
        <v>2138</v>
      </c>
      <c r="X2814" s="160">
        <v>0.01</v>
      </c>
      <c r="Y2814" s="160">
        <v>0.01</v>
      </c>
      <c r="Z2814" s="160">
        <v>0.01</v>
      </c>
      <c r="AA2814" s="160">
        <v>0.01</v>
      </c>
    </row>
    <row r="2815" spans="1:27" ht="18" customHeight="1" x14ac:dyDescent="0.25">
      <c r="A2815" s="159">
        <v>10039</v>
      </c>
      <c r="B2815" s="157" t="s">
        <v>57</v>
      </c>
      <c r="C2815" s="157" t="s">
        <v>58</v>
      </c>
      <c r="D2815" s="159" t="s">
        <v>414</v>
      </c>
      <c r="E2815" s="157" t="s">
        <v>412</v>
      </c>
      <c r="F2815" s="157" t="s">
        <v>1264</v>
      </c>
      <c r="G2815" s="157" t="s">
        <v>1278</v>
      </c>
      <c r="H2815" s="157" t="s">
        <v>1378</v>
      </c>
      <c r="I2815" s="157" t="s">
        <v>1379</v>
      </c>
      <c r="J2815" s="157" t="s">
        <v>1380</v>
      </c>
      <c r="K2815" s="157" t="s">
        <v>1269</v>
      </c>
      <c r="L2815" s="157" t="s">
        <v>2020</v>
      </c>
      <c r="M2815" s="157" t="str">
        <f t="shared" si="58"/>
        <v>Stepper Motor - Cockpit Flap - Air Flow Deflection</v>
      </c>
      <c r="N2815" s="157"/>
      <c r="O2815" s="157"/>
      <c r="P2815" s="159" t="s">
        <v>5731</v>
      </c>
      <c r="Q2815" s="157"/>
      <c r="R2815" s="157"/>
      <c r="S2815" s="157"/>
      <c r="T2815" s="157"/>
      <c r="U2815" s="159" t="s">
        <v>2129</v>
      </c>
      <c r="V2815" s="159" t="s">
        <v>2138</v>
      </c>
      <c r="W2815" s="159" t="s">
        <v>2138</v>
      </c>
      <c r="X2815" s="160">
        <v>0.01</v>
      </c>
      <c r="Y2815" s="160">
        <v>0.01</v>
      </c>
      <c r="Z2815" s="160">
        <v>0.01</v>
      </c>
      <c r="AA2815" s="160">
        <v>0.01</v>
      </c>
    </row>
    <row r="2816" spans="1:27" ht="18" customHeight="1" x14ac:dyDescent="0.25">
      <c r="A2816" s="159">
        <v>10039</v>
      </c>
      <c r="B2816" s="157" t="s">
        <v>57</v>
      </c>
      <c r="C2816" s="157" t="s">
        <v>58</v>
      </c>
      <c r="D2816" s="159" t="s">
        <v>417</v>
      </c>
      <c r="E2816" s="157" t="s">
        <v>415</v>
      </c>
      <c r="F2816" s="157" t="s">
        <v>1264</v>
      </c>
      <c r="G2816" s="157" t="s">
        <v>1278</v>
      </c>
      <c r="H2816" s="157" t="s">
        <v>1378</v>
      </c>
      <c r="I2816" s="157" t="s">
        <v>1379</v>
      </c>
      <c r="J2816" s="157" t="s">
        <v>1380</v>
      </c>
      <c r="K2816" s="157" t="s">
        <v>1269</v>
      </c>
      <c r="L2816" s="157" t="s">
        <v>2020</v>
      </c>
      <c r="M2816" s="157" t="str">
        <f t="shared" si="58"/>
        <v>Stepper Motor - Cockpit Flap - Air Flow Deflection</v>
      </c>
      <c r="N2816" s="157"/>
      <c r="O2816" s="157"/>
      <c r="P2816" s="159" t="s">
        <v>5731</v>
      </c>
      <c r="Q2816" s="157"/>
      <c r="R2816" s="157"/>
      <c r="S2816" s="157"/>
      <c r="T2816" s="157"/>
      <c r="U2816" s="159" t="s">
        <v>2129</v>
      </c>
      <c r="V2816" s="159" t="s">
        <v>2138</v>
      </c>
      <c r="W2816" s="159" t="s">
        <v>2138</v>
      </c>
      <c r="X2816" s="160">
        <v>0.01</v>
      </c>
      <c r="Y2816" s="160">
        <v>0.01</v>
      </c>
      <c r="Z2816" s="160">
        <v>0.01</v>
      </c>
      <c r="AA2816" s="160">
        <v>0.01</v>
      </c>
    </row>
    <row r="2817" spans="1:27" ht="18" customHeight="1" x14ac:dyDescent="0.25">
      <c r="A2817" s="159">
        <v>10039</v>
      </c>
      <c r="B2817" s="157" t="s">
        <v>57</v>
      </c>
      <c r="C2817" s="157" t="s">
        <v>58</v>
      </c>
      <c r="D2817" s="159" t="s">
        <v>929</v>
      </c>
      <c r="E2817" s="157" t="s">
        <v>927</v>
      </c>
      <c r="F2817" s="157" t="s">
        <v>1264</v>
      </c>
      <c r="G2817" s="157" t="s">
        <v>1278</v>
      </c>
      <c r="H2817" s="157" t="s">
        <v>1378</v>
      </c>
      <c r="I2817" s="157" t="s">
        <v>1379</v>
      </c>
      <c r="J2817" s="157" t="s">
        <v>1380</v>
      </c>
      <c r="K2817" s="157" t="s">
        <v>1269</v>
      </c>
      <c r="L2817" s="157" t="s">
        <v>2020</v>
      </c>
      <c r="M2817" s="157" t="str">
        <f t="shared" si="58"/>
        <v>Stepper Motor - Cockpit Flap - Air Flow Deflection</v>
      </c>
      <c r="N2817" s="157"/>
      <c r="O2817" s="157"/>
      <c r="P2817" s="159" t="s">
        <v>5731</v>
      </c>
      <c r="Q2817" s="157"/>
      <c r="R2817" s="157"/>
      <c r="S2817" s="157"/>
      <c r="T2817" s="157"/>
      <c r="U2817" s="159" t="s">
        <v>2129</v>
      </c>
      <c r="V2817" s="159" t="s">
        <v>2129</v>
      </c>
      <c r="W2817" s="159" t="s">
        <v>2138</v>
      </c>
      <c r="X2817" s="160">
        <v>0.01</v>
      </c>
      <c r="Y2817" s="160">
        <v>0.01</v>
      </c>
      <c r="Z2817" s="160">
        <v>0.01</v>
      </c>
      <c r="AA2817" s="160">
        <v>0.01</v>
      </c>
    </row>
    <row r="2818" spans="1:27" ht="18" customHeight="1" x14ac:dyDescent="0.25">
      <c r="A2818" s="159">
        <v>10039</v>
      </c>
      <c r="B2818" s="157" t="s">
        <v>57</v>
      </c>
      <c r="C2818" s="157" t="s">
        <v>58</v>
      </c>
      <c r="D2818" s="159" t="s">
        <v>62</v>
      </c>
      <c r="E2818" s="157" t="s">
        <v>991</v>
      </c>
      <c r="F2818" s="157" t="s">
        <v>1264</v>
      </c>
      <c r="G2818" s="157" t="s">
        <v>1278</v>
      </c>
      <c r="H2818" s="157" t="s">
        <v>1378</v>
      </c>
      <c r="I2818" s="157" t="s">
        <v>1379</v>
      </c>
      <c r="J2818" s="157" t="s">
        <v>1380</v>
      </c>
      <c r="K2818" s="157" t="s">
        <v>1269</v>
      </c>
      <c r="L2818" s="157" t="s">
        <v>2020</v>
      </c>
      <c r="M2818" s="157" t="str">
        <f t="shared" si="58"/>
        <v>Stepper Motor - Cockpit Flap - Air Flow Deflection</v>
      </c>
      <c r="N2818" s="157"/>
      <c r="O2818" s="157"/>
      <c r="P2818" s="159" t="s">
        <v>5731</v>
      </c>
      <c r="Q2818" s="157"/>
      <c r="R2818" s="157"/>
      <c r="S2818" s="157"/>
      <c r="T2818" s="157"/>
      <c r="U2818" s="159" t="s">
        <v>2129</v>
      </c>
      <c r="V2818" s="159" t="s">
        <v>2138</v>
      </c>
      <c r="W2818" s="159" t="s">
        <v>2129</v>
      </c>
      <c r="X2818" s="160">
        <v>0.01</v>
      </c>
      <c r="Y2818" s="160">
        <v>0.01</v>
      </c>
      <c r="Z2818" s="160">
        <v>0.01</v>
      </c>
      <c r="AA2818" s="160">
        <v>0.01</v>
      </c>
    </row>
    <row r="2819" spans="1:27" ht="18" customHeight="1" x14ac:dyDescent="0.25">
      <c r="A2819" s="159">
        <v>10039</v>
      </c>
      <c r="B2819" s="157" t="s">
        <v>57</v>
      </c>
      <c r="C2819" s="157" t="s">
        <v>58</v>
      </c>
      <c r="D2819" s="159" t="s">
        <v>998</v>
      </c>
      <c r="E2819" s="157" t="s">
        <v>996</v>
      </c>
      <c r="F2819" s="157" t="s">
        <v>1264</v>
      </c>
      <c r="G2819" s="157" t="s">
        <v>1278</v>
      </c>
      <c r="H2819" s="157" t="s">
        <v>1378</v>
      </c>
      <c r="I2819" s="157" t="s">
        <v>1379</v>
      </c>
      <c r="J2819" s="157" t="s">
        <v>1380</v>
      </c>
      <c r="K2819" s="157" t="s">
        <v>1269</v>
      </c>
      <c r="L2819" s="157" t="s">
        <v>2020</v>
      </c>
      <c r="M2819" s="157" t="str">
        <f t="shared" si="58"/>
        <v>Stepper Motor - Cockpit Flap - Air Flow Deflection</v>
      </c>
      <c r="N2819" s="157"/>
      <c r="O2819" s="157"/>
      <c r="P2819" s="159" t="s">
        <v>5731</v>
      </c>
      <c r="Q2819" s="157"/>
      <c r="R2819" s="157"/>
      <c r="S2819" s="157"/>
      <c r="T2819" s="157"/>
      <c r="U2819" s="159" t="s">
        <v>2129</v>
      </c>
      <c r="V2819" s="159" t="s">
        <v>2129</v>
      </c>
      <c r="W2819" s="159" t="s">
        <v>2138</v>
      </c>
      <c r="X2819" s="160">
        <v>0.01</v>
      </c>
      <c r="Y2819" s="160">
        <v>0.01</v>
      </c>
      <c r="Z2819" s="160">
        <v>0.01</v>
      </c>
      <c r="AA2819" s="160">
        <v>0.01</v>
      </c>
    </row>
    <row r="2820" spans="1:27" ht="18" customHeight="1" x14ac:dyDescent="0.25">
      <c r="A2820" s="159">
        <v>10039</v>
      </c>
      <c r="B2820" s="157" t="s">
        <v>57</v>
      </c>
      <c r="C2820" s="157" t="s">
        <v>58</v>
      </c>
      <c r="D2820" s="159" t="s">
        <v>2090</v>
      </c>
      <c r="E2820" s="157" t="s">
        <v>1677</v>
      </c>
      <c r="F2820" s="157" t="s">
        <v>1264</v>
      </c>
      <c r="G2820" s="157" t="s">
        <v>1278</v>
      </c>
      <c r="H2820" s="157" t="s">
        <v>1378</v>
      </c>
      <c r="I2820" s="157" t="s">
        <v>1379</v>
      </c>
      <c r="J2820" s="157" t="s">
        <v>1380</v>
      </c>
      <c r="K2820" s="157" t="s">
        <v>1269</v>
      </c>
      <c r="L2820" s="157" t="s">
        <v>2020</v>
      </c>
      <c r="M2820" s="157" t="str">
        <f t="shared" si="58"/>
        <v>Stepper Motor - Cockpit Flap - Air Flow Deflection</v>
      </c>
      <c r="N2820" s="157"/>
      <c r="O2820" s="157"/>
      <c r="P2820" s="159" t="s">
        <v>5731</v>
      </c>
      <c r="Q2820" s="157"/>
      <c r="R2820" s="157"/>
      <c r="S2820" s="157"/>
      <c r="T2820" s="157"/>
      <c r="U2820" s="159" t="s">
        <v>2129</v>
      </c>
      <c r="V2820" s="159" t="s">
        <v>2129</v>
      </c>
      <c r="W2820" s="159" t="s">
        <v>2138</v>
      </c>
      <c r="X2820" s="160">
        <v>0.01</v>
      </c>
      <c r="Y2820" s="160">
        <v>0.01</v>
      </c>
      <c r="Z2820" s="160">
        <v>0.01</v>
      </c>
      <c r="AA2820" s="160">
        <v>0.01</v>
      </c>
    </row>
    <row r="2821" spans="1:27" ht="18" customHeight="1" x14ac:dyDescent="0.25">
      <c r="A2821" s="159">
        <v>10040</v>
      </c>
      <c r="B2821" s="157" t="s">
        <v>57</v>
      </c>
      <c r="C2821" s="157" t="s">
        <v>58</v>
      </c>
      <c r="D2821" s="159" t="s">
        <v>61</v>
      </c>
      <c r="E2821" s="157" t="s">
        <v>59</v>
      </c>
      <c r="F2821" s="157" t="s">
        <v>1264</v>
      </c>
      <c r="G2821" s="157" t="s">
        <v>1278</v>
      </c>
      <c r="H2821" s="157" t="s">
        <v>1378</v>
      </c>
      <c r="I2821" s="157" t="s">
        <v>1379</v>
      </c>
      <c r="J2821" s="157" t="s">
        <v>1380</v>
      </c>
      <c r="K2821" s="157" t="s">
        <v>1269</v>
      </c>
      <c r="L2821" s="157" t="s">
        <v>2020</v>
      </c>
      <c r="M2821" s="157" t="str">
        <f t="shared" si="58"/>
        <v>Stepper Motor - Cockpit Flap - Air Flow Deflection</v>
      </c>
      <c r="N2821" s="157"/>
      <c r="O2821" s="157"/>
      <c r="P2821" s="159" t="s">
        <v>5545</v>
      </c>
      <c r="Q2821" s="157"/>
      <c r="R2821" s="157"/>
      <c r="S2821" s="157"/>
      <c r="T2821" s="157"/>
      <c r="U2821" s="159" t="s">
        <v>2129</v>
      </c>
      <c r="V2821" s="159" t="s">
        <v>2129</v>
      </c>
      <c r="W2821" s="159" t="s">
        <v>2138</v>
      </c>
      <c r="X2821" s="160">
        <v>0.01</v>
      </c>
      <c r="Y2821" s="160">
        <v>0.01</v>
      </c>
      <c r="Z2821" s="160">
        <v>0.01</v>
      </c>
      <c r="AA2821" s="160">
        <v>0.01</v>
      </c>
    </row>
    <row r="2822" spans="1:27" ht="18" customHeight="1" x14ac:dyDescent="0.25">
      <c r="A2822" s="159">
        <v>10040</v>
      </c>
      <c r="B2822" s="157" t="s">
        <v>57</v>
      </c>
      <c r="C2822" s="157" t="s">
        <v>58</v>
      </c>
      <c r="D2822" s="159" t="s">
        <v>414</v>
      </c>
      <c r="E2822" s="157" t="s">
        <v>412</v>
      </c>
      <c r="F2822" s="157" t="s">
        <v>1264</v>
      </c>
      <c r="G2822" s="157" t="s">
        <v>1278</v>
      </c>
      <c r="H2822" s="157" t="s">
        <v>1378</v>
      </c>
      <c r="I2822" s="157" t="s">
        <v>1379</v>
      </c>
      <c r="J2822" s="157" t="s">
        <v>1380</v>
      </c>
      <c r="K2822" s="157" t="s">
        <v>1269</v>
      </c>
      <c r="L2822" s="157" t="s">
        <v>2020</v>
      </c>
      <c r="M2822" s="157" t="str">
        <f t="shared" si="58"/>
        <v>Stepper Motor - Cockpit Flap - Air Flow Deflection</v>
      </c>
      <c r="N2822" s="157"/>
      <c r="O2822" s="157"/>
      <c r="P2822" s="159" t="s">
        <v>5545</v>
      </c>
      <c r="Q2822" s="157"/>
      <c r="R2822" s="157"/>
      <c r="S2822" s="157"/>
      <c r="T2822" s="157"/>
      <c r="U2822" s="159" t="s">
        <v>2129</v>
      </c>
      <c r="V2822" s="159" t="s">
        <v>2138</v>
      </c>
      <c r="W2822" s="159" t="s">
        <v>2138</v>
      </c>
      <c r="X2822" s="160">
        <v>0.01</v>
      </c>
      <c r="Y2822" s="160">
        <v>0.01</v>
      </c>
      <c r="Z2822" s="160">
        <v>0.01</v>
      </c>
      <c r="AA2822" s="160">
        <v>0.01</v>
      </c>
    </row>
    <row r="2823" spans="1:27" ht="18" customHeight="1" x14ac:dyDescent="0.25">
      <c r="A2823" s="159">
        <v>10040</v>
      </c>
      <c r="B2823" s="157" t="s">
        <v>57</v>
      </c>
      <c r="C2823" s="157" t="s">
        <v>58</v>
      </c>
      <c r="D2823" s="159" t="s">
        <v>417</v>
      </c>
      <c r="E2823" s="157" t="s">
        <v>415</v>
      </c>
      <c r="F2823" s="157" t="s">
        <v>1264</v>
      </c>
      <c r="G2823" s="157" t="s">
        <v>1278</v>
      </c>
      <c r="H2823" s="157" t="s">
        <v>1378</v>
      </c>
      <c r="I2823" s="157" t="s">
        <v>1379</v>
      </c>
      <c r="J2823" s="157" t="s">
        <v>1380</v>
      </c>
      <c r="K2823" s="157" t="s">
        <v>1269</v>
      </c>
      <c r="L2823" s="157" t="s">
        <v>2020</v>
      </c>
      <c r="M2823" s="157" t="str">
        <f t="shared" si="58"/>
        <v>Stepper Motor - Cockpit Flap - Air Flow Deflection</v>
      </c>
      <c r="N2823" s="157"/>
      <c r="O2823" s="157"/>
      <c r="P2823" s="159" t="s">
        <v>5545</v>
      </c>
      <c r="Q2823" s="157"/>
      <c r="R2823" s="157"/>
      <c r="S2823" s="157"/>
      <c r="T2823" s="157"/>
      <c r="U2823" s="159" t="s">
        <v>2129</v>
      </c>
      <c r="V2823" s="159" t="s">
        <v>2138</v>
      </c>
      <c r="W2823" s="159" t="s">
        <v>2138</v>
      </c>
      <c r="X2823" s="160">
        <v>0.01</v>
      </c>
      <c r="Y2823" s="160">
        <v>0.01</v>
      </c>
      <c r="Z2823" s="160">
        <v>0.01</v>
      </c>
      <c r="AA2823" s="160">
        <v>0.01</v>
      </c>
    </row>
    <row r="2824" spans="1:27" ht="18" customHeight="1" x14ac:dyDescent="0.25">
      <c r="A2824" s="159">
        <v>10040</v>
      </c>
      <c r="B2824" s="157" t="s">
        <v>57</v>
      </c>
      <c r="C2824" s="157" t="s">
        <v>58</v>
      </c>
      <c r="D2824" s="159" t="s">
        <v>929</v>
      </c>
      <c r="E2824" s="157" t="s">
        <v>927</v>
      </c>
      <c r="F2824" s="157" t="s">
        <v>1264</v>
      </c>
      <c r="G2824" s="157" t="s">
        <v>1278</v>
      </c>
      <c r="H2824" s="157" t="s">
        <v>1378</v>
      </c>
      <c r="I2824" s="157" t="s">
        <v>1379</v>
      </c>
      <c r="J2824" s="157" t="s">
        <v>1380</v>
      </c>
      <c r="K2824" s="157" t="s">
        <v>1269</v>
      </c>
      <c r="L2824" s="157" t="s">
        <v>2020</v>
      </c>
      <c r="M2824" s="157" t="str">
        <f t="shared" si="58"/>
        <v>Stepper Motor - Cockpit Flap - Air Flow Deflection</v>
      </c>
      <c r="N2824" s="157"/>
      <c r="O2824" s="157"/>
      <c r="P2824" s="159" t="s">
        <v>5545</v>
      </c>
      <c r="Q2824" s="157"/>
      <c r="R2824" s="157"/>
      <c r="S2824" s="157"/>
      <c r="T2824" s="157"/>
      <c r="U2824" s="159" t="s">
        <v>2129</v>
      </c>
      <c r="V2824" s="159" t="s">
        <v>2129</v>
      </c>
      <c r="W2824" s="159" t="s">
        <v>2138</v>
      </c>
      <c r="X2824" s="160">
        <v>0.01</v>
      </c>
      <c r="Y2824" s="160">
        <v>0.01</v>
      </c>
      <c r="Z2824" s="160">
        <v>0.01</v>
      </c>
      <c r="AA2824" s="160">
        <v>0.01</v>
      </c>
    </row>
    <row r="2825" spans="1:27" ht="18" customHeight="1" x14ac:dyDescent="0.25">
      <c r="A2825" s="159">
        <v>10040</v>
      </c>
      <c r="B2825" s="157" t="s">
        <v>57</v>
      </c>
      <c r="C2825" s="157" t="s">
        <v>58</v>
      </c>
      <c r="D2825" s="159" t="s">
        <v>62</v>
      </c>
      <c r="E2825" s="157" t="s">
        <v>991</v>
      </c>
      <c r="F2825" s="157" t="s">
        <v>1264</v>
      </c>
      <c r="G2825" s="157" t="s">
        <v>1278</v>
      </c>
      <c r="H2825" s="157" t="s">
        <v>1378</v>
      </c>
      <c r="I2825" s="157" t="s">
        <v>1379</v>
      </c>
      <c r="J2825" s="157" t="s">
        <v>1380</v>
      </c>
      <c r="K2825" s="157" t="s">
        <v>1269</v>
      </c>
      <c r="L2825" s="157" t="s">
        <v>2020</v>
      </c>
      <c r="M2825" s="157" t="str">
        <f t="shared" si="58"/>
        <v>Stepper Motor - Cockpit Flap - Air Flow Deflection</v>
      </c>
      <c r="N2825" s="157"/>
      <c r="O2825" s="157"/>
      <c r="P2825" s="159" t="s">
        <v>5545</v>
      </c>
      <c r="Q2825" s="157"/>
      <c r="R2825" s="157"/>
      <c r="S2825" s="157"/>
      <c r="T2825" s="157"/>
      <c r="U2825" s="159" t="s">
        <v>2129</v>
      </c>
      <c r="V2825" s="159" t="s">
        <v>2138</v>
      </c>
      <c r="W2825" s="159" t="s">
        <v>2129</v>
      </c>
      <c r="X2825" s="160">
        <v>0.01</v>
      </c>
      <c r="Y2825" s="160">
        <v>0.01</v>
      </c>
      <c r="Z2825" s="160">
        <v>0.01</v>
      </c>
      <c r="AA2825" s="160">
        <v>0.01</v>
      </c>
    </row>
    <row r="2826" spans="1:27" ht="18" customHeight="1" x14ac:dyDescent="0.25">
      <c r="A2826" s="159">
        <v>10040</v>
      </c>
      <c r="B2826" s="157" t="s">
        <v>57</v>
      </c>
      <c r="C2826" s="157" t="s">
        <v>58</v>
      </c>
      <c r="D2826" s="159" t="s">
        <v>998</v>
      </c>
      <c r="E2826" s="157" t="s">
        <v>996</v>
      </c>
      <c r="F2826" s="157" t="s">
        <v>1264</v>
      </c>
      <c r="G2826" s="157" t="s">
        <v>1278</v>
      </c>
      <c r="H2826" s="157" t="s">
        <v>1378</v>
      </c>
      <c r="I2826" s="157" t="s">
        <v>1379</v>
      </c>
      <c r="J2826" s="157" t="s">
        <v>1380</v>
      </c>
      <c r="K2826" s="157" t="s">
        <v>1269</v>
      </c>
      <c r="L2826" s="157" t="s">
        <v>2020</v>
      </c>
      <c r="M2826" s="157" t="str">
        <f t="shared" ref="M2826:M2889" si="59">CONCATENATE(L2826," - ",I2826)</f>
        <v>Stepper Motor - Cockpit Flap - Air Flow Deflection</v>
      </c>
      <c r="N2826" s="157"/>
      <c r="O2826" s="157"/>
      <c r="P2826" s="159" t="s">
        <v>5545</v>
      </c>
      <c r="Q2826" s="157"/>
      <c r="R2826" s="157"/>
      <c r="S2826" s="157"/>
      <c r="T2826" s="157"/>
      <c r="U2826" s="159" t="s">
        <v>2129</v>
      </c>
      <c r="V2826" s="159" t="s">
        <v>2129</v>
      </c>
      <c r="W2826" s="159" t="s">
        <v>2138</v>
      </c>
      <c r="X2826" s="160">
        <v>0.01</v>
      </c>
      <c r="Y2826" s="160">
        <v>0.01</v>
      </c>
      <c r="Z2826" s="160">
        <v>0.01</v>
      </c>
      <c r="AA2826" s="160">
        <v>0.01</v>
      </c>
    </row>
    <row r="2827" spans="1:27" ht="18" customHeight="1" x14ac:dyDescent="0.25">
      <c r="A2827" s="159">
        <v>10040</v>
      </c>
      <c r="B2827" s="157" t="s">
        <v>57</v>
      </c>
      <c r="C2827" s="157" t="s">
        <v>58</v>
      </c>
      <c r="D2827" s="159" t="s">
        <v>2090</v>
      </c>
      <c r="E2827" s="157" t="s">
        <v>1677</v>
      </c>
      <c r="F2827" s="157" t="s">
        <v>1264</v>
      </c>
      <c r="G2827" s="157" t="s">
        <v>1278</v>
      </c>
      <c r="H2827" s="157" t="s">
        <v>1378</v>
      </c>
      <c r="I2827" s="157" t="s">
        <v>1379</v>
      </c>
      <c r="J2827" s="157" t="s">
        <v>1380</v>
      </c>
      <c r="K2827" s="157" t="s">
        <v>1269</v>
      </c>
      <c r="L2827" s="157" t="s">
        <v>2020</v>
      </c>
      <c r="M2827" s="157" t="str">
        <f t="shared" si="59"/>
        <v>Stepper Motor - Cockpit Flap - Air Flow Deflection</v>
      </c>
      <c r="N2827" s="157"/>
      <c r="O2827" s="157"/>
      <c r="P2827" s="159" t="s">
        <v>5545</v>
      </c>
      <c r="Q2827" s="157"/>
      <c r="R2827" s="157"/>
      <c r="S2827" s="157"/>
      <c r="T2827" s="157"/>
      <c r="U2827" s="159" t="s">
        <v>2129</v>
      </c>
      <c r="V2827" s="159" t="s">
        <v>2129</v>
      </c>
      <c r="W2827" s="159" t="s">
        <v>2138</v>
      </c>
      <c r="X2827" s="160">
        <v>0.01</v>
      </c>
      <c r="Y2827" s="160">
        <v>0.01</v>
      </c>
      <c r="Z2827" s="160">
        <v>0.01</v>
      </c>
      <c r="AA2827" s="160">
        <v>0.01</v>
      </c>
    </row>
    <row r="2828" spans="1:27" ht="18" customHeight="1" x14ac:dyDescent="0.25">
      <c r="A2828" s="159">
        <v>10041</v>
      </c>
      <c r="B2828" s="157" t="s">
        <v>57</v>
      </c>
      <c r="C2828" s="157" t="s">
        <v>58</v>
      </c>
      <c r="D2828" s="159" t="s">
        <v>61</v>
      </c>
      <c r="E2828" s="157" t="s">
        <v>59</v>
      </c>
      <c r="F2828" s="157" t="s">
        <v>1264</v>
      </c>
      <c r="G2828" s="157" t="s">
        <v>1278</v>
      </c>
      <c r="H2828" s="157" t="s">
        <v>1378</v>
      </c>
      <c r="I2828" s="157" t="s">
        <v>1379</v>
      </c>
      <c r="J2828" s="157" t="s">
        <v>1380</v>
      </c>
      <c r="K2828" s="157" t="s">
        <v>1269</v>
      </c>
      <c r="L2828" s="157" t="s">
        <v>2020</v>
      </c>
      <c r="M2828" s="157" t="str">
        <f t="shared" si="59"/>
        <v>Stepper Motor - Cockpit Flap - Air Flow Deflection</v>
      </c>
      <c r="N2828" s="157"/>
      <c r="O2828" s="157"/>
      <c r="P2828" s="159" t="s">
        <v>5174</v>
      </c>
      <c r="Q2828" s="157"/>
      <c r="R2828" s="157"/>
      <c r="S2828" s="157"/>
      <c r="T2828" s="157"/>
      <c r="U2828" s="159" t="s">
        <v>2129</v>
      </c>
      <c r="V2828" s="159" t="s">
        <v>2129</v>
      </c>
      <c r="W2828" s="159" t="s">
        <v>2138</v>
      </c>
      <c r="X2828" s="160">
        <v>0.01</v>
      </c>
      <c r="Y2828" s="160">
        <v>0.01</v>
      </c>
      <c r="Z2828" s="160">
        <v>0.01</v>
      </c>
      <c r="AA2828" s="160">
        <v>0.01</v>
      </c>
    </row>
    <row r="2829" spans="1:27" ht="18" customHeight="1" x14ac:dyDescent="0.25">
      <c r="A2829" s="159">
        <v>10041</v>
      </c>
      <c r="B2829" s="157" t="s">
        <v>57</v>
      </c>
      <c r="C2829" s="157" t="s">
        <v>58</v>
      </c>
      <c r="D2829" s="159" t="s">
        <v>414</v>
      </c>
      <c r="E2829" s="157" t="s">
        <v>412</v>
      </c>
      <c r="F2829" s="157" t="s">
        <v>1264</v>
      </c>
      <c r="G2829" s="157" t="s">
        <v>1278</v>
      </c>
      <c r="H2829" s="157" t="s">
        <v>1378</v>
      </c>
      <c r="I2829" s="157" t="s">
        <v>1379</v>
      </c>
      <c r="J2829" s="157" t="s">
        <v>1380</v>
      </c>
      <c r="K2829" s="157" t="s">
        <v>1269</v>
      </c>
      <c r="L2829" s="157" t="s">
        <v>2020</v>
      </c>
      <c r="M2829" s="157" t="str">
        <f t="shared" si="59"/>
        <v>Stepper Motor - Cockpit Flap - Air Flow Deflection</v>
      </c>
      <c r="N2829" s="157"/>
      <c r="O2829" s="157"/>
      <c r="P2829" s="159" t="s">
        <v>5174</v>
      </c>
      <c r="Q2829" s="157"/>
      <c r="R2829" s="157"/>
      <c r="S2829" s="157"/>
      <c r="T2829" s="157"/>
      <c r="U2829" s="159" t="s">
        <v>2129</v>
      </c>
      <c r="V2829" s="159" t="s">
        <v>2138</v>
      </c>
      <c r="W2829" s="159" t="s">
        <v>2138</v>
      </c>
      <c r="X2829" s="160">
        <v>0.01</v>
      </c>
      <c r="Y2829" s="160">
        <v>0.01</v>
      </c>
      <c r="Z2829" s="160">
        <v>0.01</v>
      </c>
      <c r="AA2829" s="160">
        <v>0.01</v>
      </c>
    </row>
    <row r="2830" spans="1:27" ht="18" customHeight="1" x14ac:dyDescent="0.25">
      <c r="A2830" s="159">
        <v>10041</v>
      </c>
      <c r="B2830" s="157" t="s">
        <v>57</v>
      </c>
      <c r="C2830" s="157" t="s">
        <v>58</v>
      </c>
      <c r="D2830" s="159" t="s">
        <v>417</v>
      </c>
      <c r="E2830" s="157" t="s">
        <v>415</v>
      </c>
      <c r="F2830" s="157" t="s">
        <v>1264</v>
      </c>
      <c r="G2830" s="157" t="s">
        <v>1278</v>
      </c>
      <c r="H2830" s="157" t="s">
        <v>1378</v>
      </c>
      <c r="I2830" s="157" t="s">
        <v>1379</v>
      </c>
      <c r="J2830" s="157" t="s">
        <v>1380</v>
      </c>
      <c r="K2830" s="157" t="s">
        <v>1269</v>
      </c>
      <c r="L2830" s="157" t="s">
        <v>2020</v>
      </c>
      <c r="M2830" s="157" t="str">
        <f t="shared" si="59"/>
        <v>Stepper Motor - Cockpit Flap - Air Flow Deflection</v>
      </c>
      <c r="N2830" s="157"/>
      <c r="O2830" s="157"/>
      <c r="P2830" s="159" t="s">
        <v>5174</v>
      </c>
      <c r="Q2830" s="157"/>
      <c r="R2830" s="157"/>
      <c r="S2830" s="157"/>
      <c r="T2830" s="157"/>
      <c r="U2830" s="159" t="s">
        <v>2129</v>
      </c>
      <c r="V2830" s="159" t="s">
        <v>2138</v>
      </c>
      <c r="W2830" s="159" t="s">
        <v>2138</v>
      </c>
      <c r="X2830" s="160">
        <v>0.01</v>
      </c>
      <c r="Y2830" s="160">
        <v>0.01</v>
      </c>
      <c r="Z2830" s="160">
        <v>0.01</v>
      </c>
      <c r="AA2830" s="160">
        <v>0.01</v>
      </c>
    </row>
    <row r="2831" spans="1:27" ht="18" customHeight="1" x14ac:dyDescent="0.25">
      <c r="A2831" s="159">
        <v>10041</v>
      </c>
      <c r="B2831" s="157" t="s">
        <v>57</v>
      </c>
      <c r="C2831" s="157" t="s">
        <v>58</v>
      </c>
      <c r="D2831" s="159" t="s">
        <v>929</v>
      </c>
      <c r="E2831" s="157" t="s">
        <v>927</v>
      </c>
      <c r="F2831" s="157" t="s">
        <v>1264</v>
      </c>
      <c r="G2831" s="157" t="s">
        <v>1278</v>
      </c>
      <c r="H2831" s="157" t="s">
        <v>1378</v>
      </c>
      <c r="I2831" s="157" t="s">
        <v>1379</v>
      </c>
      <c r="J2831" s="157" t="s">
        <v>1380</v>
      </c>
      <c r="K2831" s="157" t="s">
        <v>1269</v>
      </c>
      <c r="L2831" s="157" t="s">
        <v>2020</v>
      </c>
      <c r="M2831" s="157" t="str">
        <f t="shared" si="59"/>
        <v>Stepper Motor - Cockpit Flap - Air Flow Deflection</v>
      </c>
      <c r="N2831" s="157"/>
      <c r="O2831" s="157"/>
      <c r="P2831" s="159" t="s">
        <v>5174</v>
      </c>
      <c r="Q2831" s="157"/>
      <c r="R2831" s="157"/>
      <c r="S2831" s="157"/>
      <c r="T2831" s="157"/>
      <c r="U2831" s="159" t="s">
        <v>2129</v>
      </c>
      <c r="V2831" s="159" t="s">
        <v>2129</v>
      </c>
      <c r="W2831" s="159" t="s">
        <v>2138</v>
      </c>
      <c r="X2831" s="160">
        <v>0.01</v>
      </c>
      <c r="Y2831" s="160">
        <v>0.01</v>
      </c>
      <c r="Z2831" s="160">
        <v>0.01</v>
      </c>
      <c r="AA2831" s="160">
        <v>0.01</v>
      </c>
    </row>
    <row r="2832" spans="1:27" ht="18" customHeight="1" x14ac:dyDescent="0.25">
      <c r="A2832" s="159">
        <v>10041</v>
      </c>
      <c r="B2832" s="157" t="s">
        <v>57</v>
      </c>
      <c r="C2832" s="157" t="s">
        <v>58</v>
      </c>
      <c r="D2832" s="159" t="s">
        <v>62</v>
      </c>
      <c r="E2832" s="157" t="s">
        <v>991</v>
      </c>
      <c r="F2832" s="157" t="s">
        <v>1264</v>
      </c>
      <c r="G2832" s="157" t="s">
        <v>1278</v>
      </c>
      <c r="H2832" s="157" t="s">
        <v>1378</v>
      </c>
      <c r="I2832" s="157" t="s">
        <v>1379</v>
      </c>
      <c r="J2832" s="157" t="s">
        <v>1380</v>
      </c>
      <c r="K2832" s="157" t="s">
        <v>1269</v>
      </c>
      <c r="L2832" s="157" t="s">
        <v>2020</v>
      </c>
      <c r="M2832" s="157" t="str">
        <f t="shared" si="59"/>
        <v>Stepper Motor - Cockpit Flap - Air Flow Deflection</v>
      </c>
      <c r="N2832" s="157"/>
      <c r="O2832" s="157"/>
      <c r="P2832" s="159" t="s">
        <v>5174</v>
      </c>
      <c r="Q2832" s="157"/>
      <c r="R2832" s="157"/>
      <c r="S2832" s="157"/>
      <c r="T2832" s="157"/>
      <c r="U2832" s="159" t="s">
        <v>2129</v>
      </c>
      <c r="V2832" s="159" t="s">
        <v>2138</v>
      </c>
      <c r="W2832" s="159" t="s">
        <v>2129</v>
      </c>
      <c r="X2832" s="160">
        <v>0.01</v>
      </c>
      <c r="Y2832" s="160">
        <v>0.01</v>
      </c>
      <c r="Z2832" s="160">
        <v>0.01</v>
      </c>
      <c r="AA2832" s="160">
        <v>0.01</v>
      </c>
    </row>
    <row r="2833" spans="1:27" ht="18" customHeight="1" x14ac:dyDescent="0.25">
      <c r="A2833" s="159">
        <v>10041</v>
      </c>
      <c r="B2833" s="157" t="s">
        <v>57</v>
      </c>
      <c r="C2833" s="157" t="s">
        <v>58</v>
      </c>
      <c r="D2833" s="159" t="s">
        <v>998</v>
      </c>
      <c r="E2833" s="157" t="s">
        <v>996</v>
      </c>
      <c r="F2833" s="157" t="s">
        <v>1264</v>
      </c>
      <c r="G2833" s="157" t="s">
        <v>1278</v>
      </c>
      <c r="H2833" s="157" t="s">
        <v>1378</v>
      </c>
      <c r="I2833" s="157" t="s">
        <v>1379</v>
      </c>
      <c r="J2833" s="157" t="s">
        <v>1380</v>
      </c>
      <c r="K2833" s="157" t="s">
        <v>1269</v>
      </c>
      <c r="L2833" s="157" t="s">
        <v>2020</v>
      </c>
      <c r="M2833" s="157" t="str">
        <f t="shared" si="59"/>
        <v>Stepper Motor - Cockpit Flap - Air Flow Deflection</v>
      </c>
      <c r="N2833" s="157"/>
      <c r="O2833" s="157"/>
      <c r="P2833" s="159" t="s">
        <v>5174</v>
      </c>
      <c r="Q2833" s="157"/>
      <c r="R2833" s="157"/>
      <c r="S2833" s="157"/>
      <c r="T2833" s="157"/>
      <c r="U2833" s="159" t="s">
        <v>2129</v>
      </c>
      <c r="V2833" s="159" t="s">
        <v>2129</v>
      </c>
      <c r="W2833" s="159" t="s">
        <v>2138</v>
      </c>
      <c r="X2833" s="160">
        <v>0.01</v>
      </c>
      <c r="Y2833" s="160">
        <v>0.01</v>
      </c>
      <c r="Z2833" s="160">
        <v>0.01</v>
      </c>
      <c r="AA2833" s="160">
        <v>0.01</v>
      </c>
    </row>
    <row r="2834" spans="1:27" ht="18" customHeight="1" x14ac:dyDescent="0.25">
      <c r="A2834" s="159">
        <v>10041</v>
      </c>
      <c r="B2834" s="157" t="s">
        <v>57</v>
      </c>
      <c r="C2834" s="157" t="s">
        <v>58</v>
      </c>
      <c r="D2834" s="159" t="s">
        <v>2090</v>
      </c>
      <c r="E2834" s="157" t="s">
        <v>1677</v>
      </c>
      <c r="F2834" s="157" t="s">
        <v>1264</v>
      </c>
      <c r="G2834" s="157" t="s">
        <v>1278</v>
      </c>
      <c r="H2834" s="157" t="s">
        <v>1378</v>
      </c>
      <c r="I2834" s="157" t="s">
        <v>1379</v>
      </c>
      <c r="J2834" s="157" t="s">
        <v>1380</v>
      </c>
      <c r="K2834" s="157" t="s">
        <v>1269</v>
      </c>
      <c r="L2834" s="157" t="s">
        <v>2020</v>
      </c>
      <c r="M2834" s="157" t="str">
        <f t="shared" si="59"/>
        <v>Stepper Motor - Cockpit Flap - Air Flow Deflection</v>
      </c>
      <c r="N2834" s="157"/>
      <c r="O2834" s="157"/>
      <c r="P2834" s="159" t="s">
        <v>5174</v>
      </c>
      <c r="Q2834" s="157"/>
      <c r="R2834" s="157"/>
      <c r="S2834" s="157"/>
      <c r="T2834" s="157"/>
      <c r="U2834" s="159" t="s">
        <v>2129</v>
      </c>
      <c r="V2834" s="159" t="s">
        <v>2129</v>
      </c>
      <c r="W2834" s="159" t="s">
        <v>2138</v>
      </c>
      <c r="X2834" s="160">
        <v>0.01</v>
      </c>
      <c r="Y2834" s="160">
        <v>0.01</v>
      </c>
      <c r="Z2834" s="160">
        <v>0.01</v>
      </c>
      <c r="AA2834" s="160">
        <v>0.01</v>
      </c>
    </row>
    <row r="2835" spans="1:27" ht="18" customHeight="1" x14ac:dyDescent="0.25">
      <c r="A2835" s="159">
        <v>10042</v>
      </c>
      <c r="B2835" s="157" t="s">
        <v>57</v>
      </c>
      <c r="C2835" s="157" t="s">
        <v>58</v>
      </c>
      <c r="D2835" s="159" t="s">
        <v>61</v>
      </c>
      <c r="E2835" s="157" t="s">
        <v>59</v>
      </c>
      <c r="F2835" s="157" t="s">
        <v>1264</v>
      </c>
      <c r="G2835" s="157" t="s">
        <v>1278</v>
      </c>
      <c r="H2835" s="157" t="s">
        <v>1378</v>
      </c>
      <c r="I2835" s="157" t="s">
        <v>1379</v>
      </c>
      <c r="J2835" s="157" t="s">
        <v>1380</v>
      </c>
      <c r="K2835" s="157" t="s">
        <v>1269</v>
      </c>
      <c r="L2835" s="157" t="s">
        <v>2020</v>
      </c>
      <c r="M2835" s="157" t="str">
        <f t="shared" si="59"/>
        <v>Stepper Motor - Cockpit Flap - Air Flow Deflection</v>
      </c>
      <c r="N2835" s="157"/>
      <c r="O2835" s="157"/>
      <c r="P2835" s="159" t="s">
        <v>5173</v>
      </c>
      <c r="Q2835" s="157"/>
      <c r="R2835" s="157"/>
      <c r="S2835" s="157"/>
      <c r="T2835" s="157"/>
      <c r="U2835" s="159" t="s">
        <v>2129</v>
      </c>
      <c r="V2835" s="159" t="s">
        <v>2129</v>
      </c>
      <c r="W2835" s="159" t="s">
        <v>2138</v>
      </c>
      <c r="X2835" s="160">
        <v>0.01</v>
      </c>
      <c r="Y2835" s="160">
        <v>0.01</v>
      </c>
      <c r="Z2835" s="160">
        <v>0.01</v>
      </c>
      <c r="AA2835" s="160">
        <v>0.01</v>
      </c>
    </row>
    <row r="2836" spans="1:27" ht="18" customHeight="1" x14ac:dyDescent="0.25">
      <c r="A2836" s="159">
        <v>10042</v>
      </c>
      <c r="B2836" s="157" t="s">
        <v>57</v>
      </c>
      <c r="C2836" s="157" t="s">
        <v>58</v>
      </c>
      <c r="D2836" s="159" t="s">
        <v>414</v>
      </c>
      <c r="E2836" s="157" t="s">
        <v>412</v>
      </c>
      <c r="F2836" s="157" t="s">
        <v>1264</v>
      </c>
      <c r="G2836" s="157" t="s">
        <v>1278</v>
      </c>
      <c r="H2836" s="157" t="s">
        <v>1378</v>
      </c>
      <c r="I2836" s="157" t="s">
        <v>1379</v>
      </c>
      <c r="J2836" s="157" t="s">
        <v>1380</v>
      </c>
      <c r="K2836" s="157" t="s">
        <v>1269</v>
      </c>
      <c r="L2836" s="157" t="s">
        <v>2020</v>
      </c>
      <c r="M2836" s="157" t="str">
        <f t="shared" si="59"/>
        <v>Stepper Motor - Cockpit Flap - Air Flow Deflection</v>
      </c>
      <c r="N2836" s="157"/>
      <c r="O2836" s="157"/>
      <c r="P2836" s="159" t="s">
        <v>5173</v>
      </c>
      <c r="Q2836" s="157"/>
      <c r="R2836" s="157"/>
      <c r="S2836" s="157"/>
      <c r="T2836" s="157"/>
      <c r="U2836" s="159" t="s">
        <v>2129</v>
      </c>
      <c r="V2836" s="159" t="s">
        <v>2138</v>
      </c>
      <c r="W2836" s="159" t="s">
        <v>2138</v>
      </c>
      <c r="X2836" s="160">
        <v>0.01</v>
      </c>
      <c r="Y2836" s="160">
        <v>0.01</v>
      </c>
      <c r="Z2836" s="160">
        <v>0.01</v>
      </c>
      <c r="AA2836" s="160">
        <v>0.01</v>
      </c>
    </row>
    <row r="2837" spans="1:27" ht="18" customHeight="1" x14ac:dyDescent="0.25">
      <c r="A2837" s="159">
        <v>10042</v>
      </c>
      <c r="B2837" s="157" t="s">
        <v>57</v>
      </c>
      <c r="C2837" s="157" t="s">
        <v>58</v>
      </c>
      <c r="D2837" s="159" t="s">
        <v>417</v>
      </c>
      <c r="E2837" s="157" t="s">
        <v>415</v>
      </c>
      <c r="F2837" s="157" t="s">
        <v>1264</v>
      </c>
      <c r="G2837" s="157" t="s">
        <v>1278</v>
      </c>
      <c r="H2837" s="157" t="s">
        <v>1378</v>
      </c>
      <c r="I2837" s="157" t="s">
        <v>1379</v>
      </c>
      <c r="J2837" s="157" t="s">
        <v>1380</v>
      </c>
      <c r="K2837" s="157" t="s">
        <v>1269</v>
      </c>
      <c r="L2837" s="157" t="s">
        <v>2020</v>
      </c>
      <c r="M2837" s="157" t="str">
        <f t="shared" si="59"/>
        <v>Stepper Motor - Cockpit Flap - Air Flow Deflection</v>
      </c>
      <c r="N2837" s="157"/>
      <c r="O2837" s="157"/>
      <c r="P2837" s="159" t="s">
        <v>5173</v>
      </c>
      <c r="Q2837" s="157"/>
      <c r="R2837" s="157"/>
      <c r="S2837" s="157"/>
      <c r="T2837" s="157"/>
      <c r="U2837" s="159" t="s">
        <v>2129</v>
      </c>
      <c r="V2837" s="159" t="s">
        <v>2138</v>
      </c>
      <c r="W2837" s="159" t="s">
        <v>2138</v>
      </c>
      <c r="X2837" s="160">
        <v>0.01</v>
      </c>
      <c r="Y2837" s="160">
        <v>0.01</v>
      </c>
      <c r="Z2837" s="160">
        <v>0.01</v>
      </c>
      <c r="AA2837" s="160">
        <v>0.01</v>
      </c>
    </row>
    <row r="2838" spans="1:27" ht="18" customHeight="1" x14ac:dyDescent="0.25">
      <c r="A2838" s="159">
        <v>10042</v>
      </c>
      <c r="B2838" s="157" t="s">
        <v>57</v>
      </c>
      <c r="C2838" s="157" t="s">
        <v>58</v>
      </c>
      <c r="D2838" s="159" t="s">
        <v>929</v>
      </c>
      <c r="E2838" s="157" t="s">
        <v>927</v>
      </c>
      <c r="F2838" s="157" t="s">
        <v>1264</v>
      </c>
      <c r="G2838" s="157" t="s">
        <v>1278</v>
      </c>
      <c r="H2838" s="157" t="s">
        <v>1378</v>
      </c>
      <c r="I2838" s="157" t="s">
        <v>1379</v>
      </c>
      <c r="J2838" s="157" t="s">
        <v>1380</v>
      </c>
      <c r="K2838" s="157" t="s">
        <v>1269</v>
      </c>
      <c r="L2838" s="157" t="s">
        <v>2020</v>
      </c>
      <c r="M2838" s="157" t="str">
        <f t="shared" si="59"/>
        <v>Stepper Motor - Cockpit Flap - Air Flow Deflection</v>
      </c>
      <c r="N2838" s="157"/>
      <c r="O2838" s="157"/>
      <c r="P2838" s="159" t="s">
        <v>5173</v>
      </c>
      <c r="Q2838" s="157"/>
      <c r="R2838" s="157"/>
      <c r="S2838" s="157"/>
      <c r="T2838" s="157"/>
      <c r="U2838" s="159" t="s">
        <v>2129</v>
      </c>
      <c r="V2838" s="159" t="s">
        <v>2129</v>
      </c>
      <c r="W2838" s="159" t="s">
        <v>2138</v>
      </c>
      <c r="X2838" s="160">
        <v>0.01</v>
      </c>
      <c r="Y2838" s="160">
        <v>0.01</v>
      </c>
      <c r="Z2838" s="160">
        <v>0.01</v>
      </c>
      <c r="AA2838" s="160">
        <v>0.01</v>
      </c>
    </row>
    <row r="2839" spans="1:27" ht="18" customHeight="1" x14ac:dyDescent="0.25">
      <c r="A2839" s="159">
        <v>10042</v>
      </c>
      <c r="B2839" s="157" t="s">
        <v>57</v>
      </c>
      <c r="C2839" s="157" t="s">
        <v>58</v>
      </c>
      <c r="D2839" s="159" t="s">
        <v>62</v>
      </c>
      <c r="E2839" s="157" t="s">
        <v>991</v>
      </c>
      <c r="F2839" s="157" t="s">
        <v>1264</v>
      </c>
      <c r="G2839" s="157" t="s">
        <v>1278</v>
      </c>
      <c r="H2839" s="157" t="s">
        <v>1378</v>
      </c>
      <c r="I2839" s="157" t="s">
        <v>1379</v>
      </c>
      <c r="J2839" s="157" t="s">
        <v>1380</v>
      </c>
      <c r="K2839" s="157" t="s">
        <v>1269</v>
      </c>
      <c r="L2839" s="157" t="s">
        <v>2020</v>
      </c>
      <c r="M2839" s="157" t="str">
        <f t="shared" si="59"/>
        <v>Stepper Motor - Cockpit Flap - Air Flow Deflection</v>
      </c>
      <c r="N2839" s="157"/>
      <c r="O2839" s="157"/>
      <c r="P2839" s="159" t="s">
        <v>5173</v>
      </c>
      <c r="Q2839" s="157"/>
      <c r="R2839" s="157"/>
      <c r="S2839" s="157"/>
      <c r="T2839" s="157"/>
      <c r="U2839" s="159" t="s">
        <v>2129</v>
      </c>
      <c r="V2839" s="159" t="s">
        <v>2138</v>
      </c>
      <c r="W2839" s="159" t="s">
        <v>2129</v>
      </c>
      <c r="X2839" s="160">
        <v>0.01</v>
      </c>
      <c r="Y2839" s="160">
        <v>0.01</v>
      </c>
      <c r="Z2839" s="160">
        <v>0.01</v>
      </c>
      <c r="AA2839" s="160">
        <v>0.01</v>
      </c>
    </row>
    <row r="2840" spans="1:27" ht="18" customHeight="1" x14ac:dyDescent="0.25">
      <c r="A2840" s="159">
        <v>10042</v>
      </c>
      <c r="B2840" s="157" t="s">
        <v>57</v>
      </c>
      <c r="C2840" s="157" t="s">
        <v>58</v>
      </c>
      <c r="D2840" s="159" t="s">
        <v>998</v>
      </c>
      <c r="E2840" s="157" t="s">
        <v>996</v>
      </c>
      <c r="F2840" s="157" t="s">
        <v>1264</v>
      </c>
      <c r="G2840" s="157" t="s">
        <v>1278</v>
      </c>
      <c r="H2840" s="157" t="s">
        <v>1378</v>
      </c>
      <c r="I2840" s="157" t="s">
        <v>1379</v>
      </c>
      <c r="J2840" s="157" t="s">
        <v>1380</v>
      </c>
      <c r="K2840" s="157" t="s">
        <v>1269</v>
      </c>
      <c r="L2840" s="157" t="s">
        <v>2020</v>
      </c>
      <c r="M2840" s="157" t="str">
        <f t="shared" si="59"/>
        <v>Stepper Motor - Cockpit Flap - Air Flow Deflection</v>
      </c>
      <c r="N2840" s="157"/>
      <c r="O2840" s="157"/>
      <c r="P2840" s="159" t="s">
        <v>5173</v>
      </c>
      <c r="Q2840" s="157"/>
      <c r="R2840" s="157"/>
      <c r="S2840" s="157"/>
      <c r="T2840" s="157"/>
      <c r="U2840" s="159" t="s">
        <v>2129</v>
      </c>
      <c r="V2840" s="159" t="s">
        <v>2129</v>
      </c>
      <c r="W2840" s="159" t="s">
        <v>2138</v>
      </c>
      <c r="X2840" s="160">
        <v>0.01</v>
      </c>
      <c r="Y2840" s="160">
        <v>0.01</v>
      </c>
      <c r="Z2840" s="160">
        <v>0.01</v>
      </c>
      <c r="AA2840" s="160">
        <v>0.01</v>
      </c>
    </row>
    <row r="2841" spans="1:27" ht="18" customHeight="1" x14ac:dyDescent="0.25">
      <c r="A2841" s="159">
        <v>10042</v>
      </c>
      <c r="B2841" s="157" t="s">
        <v>57</v>
      </c>
      <c r="C2841" s="157" t="s">
        <v>58</v>
      </c>
      <c r="D2841" s="159" t="s">
        <v>2090</v>
      </c>
      <c r="E2841" s="157" t="s">
        <v>1677</v>
      </c>
      <c r="F2841" s="157" t="s">
        <v>1264</v>
      </c>
      <c r="G2841" s="157" t="s">
        <v>1278</v>
      </c>
      <c r="H2841" s="157" t="s">
        <v>1378</v>
      </c>
      <c r="I2841" s="157" t="s">
        <v>1379</v>
      </c>
      <c r="J2841" s="157" t="s">
        <v>1380</v>
      </c>
      <c r="K2841" s="157" t="s">
        <v>1269</v>
      </c>
      <c r="L2841" s="157" t="s">
        <v>2020</v>
      </c>
      <c r="M2841" s="157" t="str">
        <f t="shared" si="59"/>
        <v>Stepper Motor - Cockpit Flap - Air Flow Deflection</v>
      </c>
      <c r="N2841" s="157"/>
      <c r="O2841" s="157"/>
      <c r="P2841" s="159" t="s">
        <v>5173</v>
      </c>
      <c r="Q2841" s="157"/>
      <c r="R2841" s="157"/>
      <c r="S2841" s="157"/>
      <c r="T2841" s="157"/>
      <c r="U2841" s="159" t="s">
        <v>2129</v>
      </c>
      <c r="V2841" s="159" t="s">
        <v>2129</v>
      </c>
      <c r="W2841" s="159" t="s">
        <v>2138</v>
      </c>
      <c r="X2841" s="160">
        <v>0.01</v>
      </c>
      <c r="Y2841" s="160">
        <v>0.01</v>
      </c>
      <c r="Z2841" s="160">
        <v>0.01</v>
      </c>
      <c r="AA2841" s="160">
        <v>0.01</v>
      </c>
    </row>
    <row r="2842" spans="1:27" ht="18" customHeight="1" x14ac:dyDescent="0.25">
      <c r="A2842" s="159">
        <v>10044</v>
      </c>
      <c r="B2842" s="157" t="s">
        <v>57</v>
      </c>
      <c r="C2842" s="157" t="s">
        <v>58</v>
      </c>
      <c r="D2842" s="159" t="s">
        <v>61</v>
      </c>
      <c r="E2842" s="157" t="s">
        <v>59</v>
      </c>
      <c r="F2842" s="157" t="s">
        <v>1264</v>
      </c>
      <c r="G2842" s="157" t="s">
        <v>1278</v>
      </c>
      <c r="H2842" s="157" t="s">
        <v>1378</v>
      </c>
      <c r="I2842" s="157" t="s">
        <v>1379</v>
      </c>
      <c r="J2842" s="157" t="s">
        <v>1380</v>
      </c>
      <c r="K2842" s="157" t="s">
        <v>1281</v>
      </c>
      <c r="L2842" s="157" t="s">
        <v>9639</v>
      </c>
      <c r="M2842" s="157" t="str">
        <f t="shared" si="59"/>
        <v>User Selector Potentiometer - Cockpit Center Air Diffuser Right - Air Flow Deflection</v>
      </c>
      <c r="N2842" s="157"/>
      <c r="O2842" s="157"/>
      <c r="P2842" s="159" t="s">
        <v>5460</v>
      </c>
      <c r="Q2842" s="157"/>
      <c r="R2842" s="157"/>
      <c r="S2842" s="157"/>
      <c r="T2842" s="157"/>
      <c r="U2842" s="159" t="s">
        <v>2129</v>
      </c>
      <c r="V2842" s="159" t="s">
        <v>2129</v>
      </c>
      <c r="W2842" s="159" t="s">
        <v>2138</v>
      </c>
      <c r="X2842" s="160">
        <v>0</v>
      </c>
      <c r="Y2842" s="160">
        <v>0</v>
      </c>
      <c r="Z2842" s="160">
        <v>1</v>
      </c>
      <c r="AA2842" s="160">
        <v>1</v>
      </c>
    </row>
    <row r="2843" spans="1:27" ht="18" customHeight="1" x14ac:dyDescent="0.25">
      <c r="A2843" s="159">
        <v>10044</v>
      </c>
      <c r="B2843" s="157" t="s">
        <v>57</v>
      </c>
      <c r="C2843" s="157" t="s">
        <v>58</v>
      </c>
      <c r="D2843" s="159" t="s">
        <v>417</v>
      </c>
      <c r="E2843" s="157" t="s">
        <v>415</v>
      </c>
      <c r="F2843" s="157" t="s">
        <v>1264</v>
      </c>
      <c r="G2843" s="157" t="s">
        <v>1278</v>
      </c>
      <c r="H2843" s="157" t="s">
        <v>1378</v>
      </c>
      <c r="I2843" s="157" t="s">
        <v>1379</v>
      </c>
      <c r="J2843" s="157" t="s">
        <v>1380</v>
      </c>
      <c r="K2843" s="157" t="s">
        <v>1281</v>
      </c>
      <c r="L2843" s="157" t="s">
        <v>9639</v>
      </c>
      <c r="M2843" s="157" t="str">
        <f t="shared" si="59"/>
        <v>User Selector Potentiometer - Cockpit Center Air Diffuser Right - Air Flow Deflection</v>
      </c>
      <c r="N2843" s="157"/>
      <c r="O2843" s="157"/>
      <c r="P2843" s="159" t="s">
        <v>5460</v>
      </c>
      <c r="Q2843" s="157"/>
      <c r="R2843" s="157"/>
      <c r="S2843" s="157"/>
      <c r="T2843" s="157"/>
      <c r="U2843" s="159" t="s">
        <v>2129</v>
      </c>
      <c r="V2843" s="159" t="s">
        <v>2138</v>
      </c>
      <c r="W2843" s="159" t="s">
        <v>2138</v>
      </c>
      <c r="X2843" s="160">
        <v>0</v>
      </c>
      <c r="Y2843" s="160">
        <v>0</v>
      </c>
      <c r="Z2843" s="160">
        <v>1</v>
      </c>
      <c r="AA2843" s="160">
        <v>1</v>
      </c>
    </row>
    <row r="2844" spans="1:27" ht="18" customHeight="1" x14ac:dyDescent="0.25">
      <c r="A2844" s="159">
        <v>10044</v>
      </c>
      <c r="B2844" s="157" t="s">
        <v>57</v>
      </c>
      <c r="C2844" s="157" t="s">
        <v>58</v>
      </c>
      <c r="D2844" s="159" t="s">
        <v>62</v>
      </c>
      <c r="E2844" s="157" t="s">
        <v>991</v>
      </c>
      <c r="F2844" s="157" t="s">
        <v>1264</v>
      </c>
      <c r="G2844" s="157" t="s">
        <v>1278</v>
      </c>
      <c r="H2844" s="157" t="s">
        <v>1378</v>
      </c>
      <c r="I2844" s="157" t="s">
        <v>1379</v>
      </c>
      <c r="J2844" s="157" t="s">
        <v>1380</v>
      </c>
      <c r="K2844" s="157" t="s">
        <v>1281</v>
      </c>
      <c r="L2844" s="157" t="s">
        <v>9639</v>
      </c>
      <c r="M2844" s="157" t="str">
        <f t="shared" si="59"/>
        <v>User Selector Potentiometer - Cockpit Center Air Diffuser Right - Air Flow Deflection</v>
      </c>
      <c r="N2844" s="157"/>
      <c r="O2844" s="157"/>
      <c r="P2844" s="159" t="s">
        <v>5460</v>
      </c>
      <c r="Q2844" s="157"/>
      <c r="R2844" s="157"/>
      <c r="S2844" s="157"/>
      <c r="T2844" s="157"/>
      <c r="U2844" s="159" t="s">
        <v>2129</v>
      </c>
      <c r="V2844" s="159" t="s">
        <v>2138</v>
      </c>
      <c r="W2844" s="159" t="s">
        <v>2129</v>
      </c>
      <c r="X2844" s="160">
        <v>0</v>
      </c>
      <c r="Y2844" s="160">
        <v>0</v>
      </c>
      <c r="Z2844" s="160">
        <v>1</v>
      </c>
      <c r="AA2844" s="160">
        <v>1</v>
      </c>
    </row>
    <row r="2845" spans="1:27" ht="18" customHeight="1" x14ac:dyDescent="0.25">
      <c r="A2845" s="159">
        <v>10045</v>
      </c>
      <c r="B2845" s="157" t="s">
        <v>57</v>
      </c>
      <c r="C2845" s="157" t="s">
        <v>58</v>
      </c>
      <c r="D2845" s="159" t="s">
        <v>61</v>
      </c>
      <c r="E2845" s="157" t="s">
        <v>59</v>
      </c>
      <c r="F2845" s="157" t="s">
        <v>1264</v>
      </c>
      <c r="G2845" s="157" t="s">
        <v>1278</v>
      </c>
      <c r="H2845" s="157" t="s">
        <v>1378</v>
      </c>
      <c r="I2845" s="157" t="s">
        <v>1379</v>
      </c>
      <c r="J2845" s="157" t="s">
        <v>1380</v>
      </c>
      <c r="K2845" s="157" t="s">
        <v>1281</v>
      </c>
      <c r="L2845" s="157" t="s">
        <v>9641</v>
      </c>
      <c r="M2845" s="157" t="str">
        <f t="shared" si="59"/>
        <v>User Selector Potentiometer - Cockpit Right Air Diffuser - Air Flow Deflection</v>
      </c>
      <c r="N2845" s="157"/>
      <c r="O2845" s="157"/>
      <c r="P2845" s="159" t="s">
        <v>4344</v>
      </c>
      <c r="Q2845" s="157"/>
      <c r="R2845" s="157"/>
      <c r="S2845" s="157"/>
      <c r="T2845" s="157"/>
      <c r="U2845" s="159" t="s">
        <v>2129</v>
      </c>
      <c r="V2845" s="159" t="s">
        <v>2129</v>
      </c>
      <c r="W2845" s="159" t="s">
        <v>2138</v>
      </c>
      <c r="X2845" s="160">
        <v>0</v>
      </c>
      <c r="Y2845" s="160">
        <v>0</v>
      </c>
      <c r="Z2845" s="160">
        <v>1</v>
      </c>
      <c r="AA2845" s="160">
        <v>1</v>
      </c>
    </row>
    <row r="2846" spans="1:27" ht="18" customHeight="1" x14ac:dyDescent="0.25">
      <c r="A2846" s="159">
        <v>10045</v>
      </c>
      <c r="B2846" s="157" t="s">
        <v>57</v>
      </c>
      <c r="C2846" s="157" t="s">
        <v>58</v>
      </c>
      <c r="D2846" s="159" t="s">
        <v>417</v>
      </c>
      <c r="E2846" s="157" t="s">
        <v>415</v>
      </c>
      <c r="F2846" s="157" t="s">
        <v>1264</v>
      </c>
      <c r="G2846" s="157" t="s">
        <v>1278</v>
      </c>
      <c r="H2846" s="157" t="s">
        <v>1378</v>
      </c>
      <c r="I2846" s="157" t="s">
        <v>1379</v>
      </c>
      <c r="J2846" s="157" t="s">
        <v>1380</v>
      </c>
      <c r="K2846" s="157" t="s">
        <v>1281</v>
      </c>
      <c r="L2846" s="157" t="s">
        <v>9641</v>
      </c>
      <c r="M2846" s="157" t="str">
        <f t="shared" si="59"/>
        <v>User Selector Potentiometer - Cockpit Right Air Diffuser - Air Flow Deflection</v>
      </c>
      <c r="N2846" s="157"/>
      <c r="O2846" s="157"/>
      <c r="P2846" s="159" t="s">
        <v>4344</v>
      </c>
      <c r="Q2846" s="157"/>
      <c r="R2846" s="157"/>
      <c r="S2846" s="157"/>
      <c r="T2846" s="157"/>
      <c r="U2846" s="159" t="s">
        <v>2129</v>
      </c>
      <c r="V2846" s="159" t="s">
        <v>2138</v>
      </c>
      <c r="W2846" s="159" t="s">
        <v>2138</v>
      </c>
      <c r="X2846" s="160">
        <v>0</v>
      </c>
      <c r="Y2846" s="160">
        <v>0</v>
      </c>
      <c r="Z2846" s="160">
        <v>1</v>
      </c>
      <c r="AA2846" s="160">
        <v>1</v>
      </c>
    </row>
    <row r="2847" spans="1:27" ht="18" customHeight="1" x14ac:dyDescent="0.25">
      <c r="A2847" s="159">
        <v>10045</v>
      </c>
      <c r="B2847" s="157" t="s">
        <v>57</v>
      </c>
      <c r="C2847" s="157" t="s">
        <v>58</v>
      </c>
      <c r="D2847" s="159" t="s">
        <v>62</v>
      </c>
      <c r="E2847" s="157" t="s">
        <v>991</v>
      </c>
      <c r="F2847" s="157" t="s">
        <v>1264</v>
      </c>
      <c r="G2847" s="157" t="s">
        <v>1278</v>
      </c>
      <c r="H2847" s="157" t="s">
        <v>1378</v>
      </c>
      <c r="I2847" s="157" t="s">
        <v>1379</v>
      </c>
      <c r="J2847" s="157" t="s">
        <v>1380</v>
      </c>
      <c r="K2847" s="157" t="s">
        <v>1281</v>
      </c>
      <c r="L2847" s="157" t="s">
        <v>9641</v>
      </c>
      <c r="M2847" s="157" t="str">
        <f t="shared" si="59"/>
        <v>User Selector Potentiometer - Cockpit Right Air Diffuser - Air Flow Deflection</v>
      </c>
      <c r="N2847" s="157"/>
      <c r="O2847" s="157"/>
      <c r="P2847" s="159" t="s">
        <v>4344</v>
      </c>
      <c r="Q2847" s="157"/>
      <c r="R2847" s="157"/>
      <c r="S2847" s="157"/>
      <c r="T2847" s="157"/>
      <c r="U2847" s="159" t="s">
        <v>2129</v>
      </c>
      <c r="V2847" s="159" t="s">
        <v>2138</v>
      </c>
      <c r="W2847" s="159" t="s">
        <v>2129</v>
      </c>
      <c r="X2847" s="160">
        <v>0</v>
      </c>
      <c r="Y2847" s="160">
        <v>0</v>
      </c>
      <c r="Z2847" s="160">
        <v>1</v>
      </c>
      <c r="AA2847" s="160">
        <v>1</v>
      </c>
    </row>
    <row r="2848" spans="1:27" ht="18" customHeight="1" x14ac:dyDescent="0.25">
      <c r="A2848" s="159">
        <v>10046</v>
      </c>
      <c r="B2848" s="157" t="s">
        <v>57</v>
      </c>
      <c r="C2848" s="157" t="s">
        <v>58</v>
      </c>
      <c r="D2848" s="159" t="s">
        <v>1001</v>
      </c>
      <c r="E2848" s="157" t="s">
        <v>999</v>
      </c>
      <c r="F2848" s="157"/>
      <c r="G2848" s="157" t="s">
        <v>1278</v>
      </c>
      <c r="H2848" s="157" t="s">
        <v>1378</v>
      </c>
      <c r="I2848" s="157" t="s">
        <v>2030</v>
      </c>
      <c r="J2848" s="157" t="s">
        <v>2031</v>
      </c>
      <c r="K2848" s="157" t="s">
        <v>1269</v>
      </c>
      <c r="L2848" s="157" t="s">
        <v>2032</v>
      </c>
      <c r="M2848" s="157" t="str">
        <f t="shared" si="59"/>
        <v>Ionizer Front - Air Ionizer Front</v>
      </c>
      <c r="N2848" s="157"/>
      <c r="O2848" s="157"/>
      <c r="P2848" s="159" t="s">
        <v>5737</v>
      </c>
      <c r="Q2848" s="157" t="s">
        <v>2115</v>
      </c>
      <c r="R2848" s="157" t="s">
        <v>2125</v>
      </c>
      <c r="S2848" s="157" t="s">
        <v>8631</v>
      </c>
      <c r="T2848" s="157"/>
      <c r="U2848" s="159" t="s">
        <v>2129</v>
      </c>
      <c r="V2848" s="159" t="s">
        <v>2138</v>
      </c>
      <c r="W2848" s="159" t="s">
        <v>2138</v>
      </c>
      <c r="X2848" s="160">
        <v>1</v>
      </c>
      <c r="Y2848" s="160">
        <v>1</v>
      </c>
      <c r="Z2848" s="160">
        <v>1</v>
      </c>
      <c r="AA2848" s="160">
        <v>1</v>
      </c>
    </row>
    <row r="2849" spans="1:27" ht="18" customHeight="1" x14ac:dyDescent="0.25">
      <c r="A2849" s="159">
        <v>10047</v>
      </c>
      <c r="B2849" s="157" t="s">
        <v>57</v>
      </c>
      <c r="C2849" s="157" t="s">
        <v>58</v>
      </c>
      <c r="D2849" s="159" t="s">
        <v>1001</v>
      </c>
      <c r="E2849" s="157" t="s">
        <v>999</v>
      </c>
      <c r="F2849" s="157"/>
      <c r="G2849" s="157" t="s">
        <v>1278</v>
      </c>
      <c r="H2849" s="157" t="s">
        <v>1378</v>
      </c>
      <c r="I2849" s="157" t="s">
        <v>2030</v>
      </c>
      <c r="J2849" s="157" t="s">
        <v>2031</v>
      </c>
      <c r="K2849" s="157" t="s">
        <v>1281</v>
      </c>
      <c r="L2849" s="157" t="s">
        <v>2033</v>
      </c>
      <c r="M2849" s="157" t="str">
        <f t="shared" si="59"/>
        <v>User Selector Front - Air Ionizer Front</v>
      </c>
      <c r="N2849" s="157"/>
      <c r="O2849" s="157"/>
      <c r="P2849" s="159" t="s">
        <v>5737</v>
      </c>
      <c r="Q2849" s="157" t="s">
        <v>2115</v>
      </c>
      <c r="R2849" s="157" t="s">
        <v>8281</v>
      </c>
      <c r="S2849" s="157" t="s">
        <v>8610</v>
      </c>
      <c r="T2849" s="157"/>
      <c r="U2849" s="159" t="s">
        <v>2129</v>
      </c>
      <c r="V2849" s="159" t="s">
        <v>2138</v>
      </c>
      <c r="W2849" s="159" t="s">
        <v>2138</v>
      </c>
      <c r="X2849" s="160">
        <v>1</v>
      </c>
      <c r="Y2849" s="160">
        <v>1</v>
      </c>
      <c r="Z2849" s="160">
        <v>1</v>
      </c>
      <c r="AA2849" s="160">
        <v>1</v>
      </c>
    </row>
    <row r="2850" spans="1:27" ht="18" customHeight="1" x14ac:dyDescent="0.25">
      <c r="A2850" s="159">
        <v>10048</v>
      </c>
      <c r="B2850" s="157" t="s">
        <v>57</v>
      </c>
      <c r="C2850" s="157" t="s">
        <v>58</v>
      </c>
      <c r="D2850" s="159" t="s">
        <v>1004</v>
      </c>
      <c r="E2850" s="157" t="s">
        <v>1003</v>
      </c>
      <c r="F2850" s="157"/>
      <c r="G2850" s="157" t="s">
        <v>1278</v>
      </c>
      <c r="H2850" s="157" t="s">
        <v>1378</v>
      </c>
      <c r="I2850" s="157" t="s">
        <v>2034</v>
      </c>
      <c r="J2850" s="157" t="s">
        <v>2031</v>
      </c>
      <c r="K2850" s="157" t="s">
        <v>1269</v>
      </c>
      <c r="L2850" s="157" t="s">
        <v>2035</v>
      </c>
      <c r="M2850" s="157" t="str">
        <f t="shared" si="59"/>
        <v>Ionizer Rear - Air Ionizer Rear</v>
      </c>
      <c r="N2850" s="157"/>
      <c r="O2850" s="157"/>
      <c r="P2850" s="159" t="s">
        <v>5767</v>
      </c>
      <c r="Q2850" s="157" t="s">
        <v>2115</v>
      </c>
      <c r="R2850" s="157" t="s">
        <v>2125</v>
      </c>
      <c r="S2850" s="157" t="s">
        <v>8631</v>
      </c>
      <c r="T2850" s="157"/>
      <c r="U2850" s="159" t="s">
        <v>2129</v>
      </c>
      <c r="V2850" s="159" t="s">
        <v>2129</v>
      </c>
      <c r="W2850" s="159" t="s">
        <v>2138</v>
      </c>
      <c r="X2850" s="160">
        <v>1</v>
      </c>
      <c r="Y2850" s="160">
        <v>1</v>
      </c>
      <c r="Z2850" s="160">
        <v>1</v>
      </c>
      <c r="AA2850" s="160">
        <v>1</v>
      </c>
    </row>
    <row r="2851" spans="1:27" ht="18" customHeight="1" x14ac:dyDescent="0.25">
      <c r="A2851" s="159">
        <v>10049</v>
      </c>
      <c r="B2851" s="157" t="s">
        <v>57</v>
      </c>
      <c r="C2851" s="157" t="s">
        <v>58</v>
      </c>
      <c r="D2851" s="159" t="s">
        <v>1004</v>
      </c>
      <c r="E2851" s="157" t="s">
        <v>1003</v>
      </c>
      <c r="F2851" s="157"/>
      <c r="G2851" s="157" t="s">
        <v>1278</v>
      </c>
      <c r="H2851" s="157" t="s">
        <v>1378</v>
      </c>
      <c r="I2851" s="157" t="s">
        <v>2034</v>
      </c>
      <c r="J2851" s="157" t="s">
        <v>2031</v>
      </c>
      <c r="K2851" s="157" t="s">
        <v>1281</v>
      </c>
      <c r="L2851" s="157" t="s">
        <v>2036</v>
      </c>
      <c r="M2851" s="157" t="str">
        <f t="shared" si="59"/>
        <v>User Selector Rear - Air Ionizer Rear</v>
      </c>
      <c r="N2851" s="157"/>
      <c r="O2851" s="157"/>
      <c r="P2851" s="159" t="s">
        <v>5767</v>
      </c>
      <c r="Q2851" s="157" t="s">
        <v>2115</v>
      </c>
      <c r="R2851" s="157" t="s">
        <v>8281</v>
      </c>
      <c r="S2851" s="157" t="s">
        <v>8610</v>
      </c>
      <c r="T2851" s="157"/>
      <c r="U2851" s="159" t="s">
        <v>2129</v>
      </c>
      <c r="V2851" s="159" t="s">
        <v>2129</v>
      </c>
      <c r="W2851" s="159" t="s">
        <v>2138</v>
      </c>
      <c r="X2851" s="160">
        <v>1</v>
      </c>
      <c r="Y2851" s="160">
        <v>1</v>
      </c>
      <c r="Z2851" s="160">
        <v>1</v>
      </c>
      <c r="AA2851" s="160">
        <v>1</v>
      </c>
    </row>
    <row r="2852" spans="1:27" ht="18" customHeight="1" x14ac:dyDescent="0.25">
      <c r="A2852" s="159">
        <v>10050</v>
      </c>
      <c r="B2852" s="157" t="s">
        <v>57</v>
      </c>
      <c r="C2852" s="157" t="s">
        <v>58</v>
      </c>
      <c r="D2852" s="159" t="s">
        <v>61</v>
      </c>
      <c r="E2852" s="157" t="s">
        <v>59</v>
      </c>
      <c r="F2852" s="157" t="s">
        <v>1264</v>
      </c>
      <c r="G2852" s="157" t="s">
        <v>1278</v>
      </c>
      <c r="H2852" s="157" t="s">
        <v>1378</v>
      </c>
      <c r="I2852" s="157" t="s">
        <v>2037</v>
      </c>
      <c r="J2852" s="157" t="s">
        <v>1504</v>
      </c>
      <c r="K2852" s="157" t="s">
        <v>1312</v>
      </c>
      <c r="L2852" s="157" t="s">
        <v>2038</v>
      </c>
      <c r="M2852" s="157" t="str">
        <f t="shared" si="59"/>
        <v>Solar Sensor - Solar Intensity</v>
      </c>
      <c r="N2852" s="157"/>
      <c r="O2852" s="157"/>
      <c r="P2852" s="159" t="s">
        <v>5731</v>
      </c>
      <c r="Q2852" s="157"/>
      <c r="R2852" s="157"/>
      <c r="S2852" s="157"/>
      <c r="T2852" s="157"/>
      <c r="U2852" s="159" t="s">
        <v>2129</v>
      </c>
      <c r="V2852" s="159" t="s">
        <v>2129</v>
      </c>
      <c r="W2852" s="159" t="s">
        <v>2138</v>
      </c>
      <c r="X2852" s="160">
        <v>1</v>
      </c>
      <c r="Y2852" s="160">
        <v>1</v>
      </c>
      <c r="Z2852" s="160">
        <v>1</v>
      </c>
      <c r="AA2852" s="160">
        <v>1</v>
      </c>
    </row>
    <row r="2853" spans="1:27" ht="18" customHeight="1" x14ac:dyDescent="0.25">
      <c r="A2853" s="159">
        <v>10050</v>
      </c>
      <c r="B2853" s="157" t="s">
        <v>57</v>
      </c>
      <c r="C2853" s="157" t="s">
        <v>58</v>
      </c>
      <c r="D2853" s="159" t="s">
        <v>414</v>
      </c>
      <c r="E2853" s="157" t="s">
        <v>412</v>
      </c>
      <c r="F2853" s="157" t="s">
        <v>1264</v>
      </c>
      <c r="G2853" s="157" t="s">
        <v>1278</v>
      </c>
      <c r="H2853" s="157" t="s">
        <v>1378</v>
      </c>
      <c r="I2853" s="157" t="s">
        <v>2037</v>
      </c>
      <c r="J2853" s="157" t="s">
        <v>1504</v>
      </c>
      <c r="K2853" s="157" t="s">
        <v>1312</v>
      </c>
      <c r="L2853" s="157" t="s">
        <v>2038</v>
      </c>
      <c r="M2853" s="157" t="str">
        <f t="shared" si="59"/>
        <v>Solar Sensor - Solar Intensity</v>
      </c>
      <c r="N2853" s="157"/>
      <c r="O2853" s="157"/>
      <c r="P2853" s="159" t="s">
        <v>5731</v>
      </c>
      <c r="Q2853" s="157"/>
      <c r="R2853" s="157"/>
      <c r="S2853" s="157"/>
      <c r="T2853" s="157"/>
      <c r="U2853" s="159" t="s">
        <v>2129</v>
      </c>
      <c r="V2853" s="159" t="s">
        <v>2138</v>
      </c>
      <c r="W2853" s="159" t="s">
        <v>2138</v>
      </c>
      <c r="X2853" s="160">
        <v>1</v>
      </c>
      <c r="Y2853" s="160">
        <v>1</v>
      </c>
      <c r="Z2853" s="160">
        <v>1</v>
      </c>
      <c r="AA2853" s="160">
        <v>1</v>
      </c>
    </row>
    <row r="2854" spans="1:27" ht="18" customHeight="1" x14ac:dyDescent="0.25">
      <c r="A2854" s="159">
        <v>10050</v>
      </c>
      <c r="B2854" s="157" t="s">
        <v>57</v>
      </c>
      <c r="C2854" s="157" t="s">
        <v>58</v>
      </c>
      <c r="D2854" s="159" t="s">
        <v>417</v>
      </c>
      <c r="E2854" s="157" t="s">
        <v>415</v>
      </c>
      <c r="F2854" s="157" t="s">
        <v>1264</v>
      </c>
      <c r="G2854" s="157" t="s">
        <v>1278</v>
      </c>
      <c r="H2854" s="157" t="s">
        <v>1378</v>
      </c>
      <c r="I2854" s="157" t="s">
        <v>2037</v>
      </c>
      <c r="J2854" s="157" t="s">
        <v>1504</v>
      </c>
      <c r="K2854" s="157" t="s">
        <v>1312</v>
      </c>
      <c r="L2854" s="157" t="s">
        <v>2038</v>
      </c>
      <c r="M2854" s="157" t="str">
        <f t="shared" si="59"/>
        <v>Solar Sensor - Solar Intensity</v>
      </c>
      <c r="N2854" s="157"/>
      <c r="O2854" s="157"/>
      <c r="P2854" s="159" t="s">
        <v>5731</v>
      </c>
      <c r="Q2854" s="157"/>
      <c r="R2854" s="157"/>
      <c r="S2854" s="157"/>
      <c r="T2854" s="157"/>
      <c r="U2854" s="159" t="s">
        <v>2129</v>
      </c>
      <c r="V2854" s="159" t="s">
        <v>2138</v>
      </c>
      <c r="W2854" s="159" t="s">
        <v>2138</v>
      </c>
      <c r="X2854" s="160">
        <v>1</v>
      </c>
      <c r="Y2854" s="160">
        <v>1</v>
      </c>
      <c r="Z2854" s="160">
        <v>1</v>
      </c>
      <c r="AA2854" s="160">
        <v>1</v>
      </c>
    </row>
    <row r="2855" spans="1:27" ht="18" customHeight="1" x14ac:dyDescent="0.25">
      <c r="A2855" s="159">
        <v>10050</v>
      </c>
      <c r="B2855" s="157" t="s">
        <v>57</v>
      </c>
      <c r="C2855" s="157" t="s">
        <v>58</v>
      </c>
      <c r="D2855" s="159" t="s">
        <v>62</v>
      </c>
      <c r="E2855" s="157" t="s">
        <v>991</v>
      </c>
      <c r="F2855" s="157" t="s">
        <v>1264</v>
      </c>
      <c r="G2855" s="157" t="s">
        <v>1278</v>
      </c>
      <c r="H2855" s="157" t="s">
        <v>1378</v>
      </c>
      <c r="I2855" s="157" t="s">
        <v>2037</v>
      </c>
      <c r="J2855" s="157" t="s">
        <v>1504</v>
      </c>
      <c r="K2855" s="157" t="s">
        <v>1312</v>
      </c>
      <c r="L2855" s="157" t="s">
        <v>2038</v>
      </c>
      <c r="M2855" s="157" t="str">
        <f t="shared" si="59"/>
        <v>Solar Sensor - Solar Intensity</v>
      </c>
      <c r="N2855" s="157"/>
      <c r="O2855" s="157"/>
      <c r="P2855" s="159" t="s">
        <v>5731</v>
      </c>
      <c r="Q2855" s="157"/>
      <c r="R2855" s="157"/>
      <c r="S2855" s="157"/>
      <c r="T2855" s="157"/>
      <c r="U2855" s="159" t="s">
        <v>2129</v>
      </c>
      <c r="V2855" s="159" t="s">
        <v>2138</v>
      </c>
      <c r="W2855" s="159" t="s">
        <v>2129</v>
      </c>
      <c r="X2855" s="160">
        <v>1</v>
      </c>
      <c r="Y2855" s="160">
        <v>1</v>
      </c>
      <c r="Z2855" s="160">
        <v>1</v>
      </c>
      <c r="AA2855" s="160">
        <v>1</v>
      </c>
    </row>
    <row r="2856" spans="1:27" ht="18" customHeight="1" x14ac:dyDescent="0.25">
      <c r="A2856" s="159">
        <v>10050</v>
      </c>
      <c r="B2856" s="157" t="s">
        <v>57</v>
      </c>
      <c r="C2856" s="157" t="s">
        <v>58</v>
      </c>
      <c r="D2856" s="159" t="s">
        <v>995</v>
      </c>
      <c r="E2856" s="157" t="s">
        <v>993</v>
      </c>
      <c r="F2856" s="157" t="s">
        <v>1264</v>
      </c>
      <c r="G2856" s="157" t="s">
        <v>1278</v>
      </c>
      <c r="H2856" s="157" t="s">
        <v>1378</v>
      </c>
      <c r="I2856" s="157" t="s">
        <v>2037</v>
      </c>
      <c r="J2856" s="157" t="s">
        <v>1504</v>
      </c>
      <c r="K2856" s="157" t="s">
        <v>1312</v>
      </c>
      <c r="L2856" s="157" t="s">
        <v>2038</v>
      </c>
      <c r="M2856" s="157" t="str">
        <f t="shared" si="59"/>
        <v>Solar Sensor - Solar Intensity</v>
      </c>
      <c r="N2856" s="157"/>
      <c r="O2856" s="157"/>
      <c r="P2856" s="159" t="s">
        <v>5731</v>
      </c>
      <c r="Q2856" s="157"/>
      <c r="R2856" s="157"/>
      <c r="S2856" s="157"/>
      <c r="T2856" s="157"/>
      <c r="U2856" s="159" t="s">
        <v>2129</v>
      </c>
      <c r="V2856" s="159" t="s">
        <v>2138</v>
      </c>
      <c r="W2856" s="159" t="s">
        <v>2138</v>
      </c>
      <c r="X2856" s="160">
        <v>1</v>
      </c>
      <c r="Y2856" s="160">
        <v>1</v>
      </c>
      <c r="Z2856" s="160">
        <v>1</v>
      </c>
      <c r="AA2856" s="160">
        <v>1</v>
      </c>
    </row>
    <row r="2857" spans="1:27" ht="18" customHeight="1" x14ac:dyDescent="0.25">
      <c r="A2857" s="159">
        <v>10051</v>
      </c>
      <c r="B2857" s="157" t="s">
        <v>57</v>
      </c>
      <c r="C2857" s="157" t="s">
        <v>58</v>
      </c>
      <c r="D2857" s="159" t="s">
        <v>244</v>
      </c>
      <c r="E2857" s="157" t="s">
        <v>759</v>
      </c>
      <c r="F2857" s="157" t="s">
        <v>1264</v>
      </c>
      <c r="G2857" s="157" t="s">
        <v>1278</v>
      </c>
      <c r="H2857" s="157" t="s">
        <v>1378</v>
      </c>
      <c r="I2857" s="157" t="s">
        <v>2011</v>
      </c>
      <c r="J2857" s="157" t="s">
        <v>1504</v>
      </c>
      <c r="K2857" s="157" t="s">
        <v>1269</v>
      </c>
      <c r="L2857" s="157" t="s">
        <v>1342</v>
      </c>
      <c r="M2857" s="157" t="str">
        <f t="shared" si="59"/>
        <v>Stepper Motor - Air Recycling</v>
      </c>
      <c r="N2857" s="157"/>
      <c r="O2857" s="157"/>
      <c r="P2857" s="159" t="s">
        <v>4712</v>
      </c>
      <c r="Q2857" s="157"/>
      <c r="R2857" s="157"/>
      <c r="S2857" s="157"/>
      <c r="T2857" s="157"/>
      <c r="U2857" s="159" t="s">
        <v>2138</v>
      </c>
      <c r="V2857" s="159" t="s">
        <v>2129</v>
      </c>
      <c r="W2857" s="159" t="s">
        <v>2129</v>
      </c>
      <c r="X2857" s="160">
        <v>0.01</v>
      </c>
      <c r="Y2857" s="160">
        <v>0.01</v>
      </c>
      <c r="Z2857" s="160">
        <v>0.01</v>
      </c>
      <c r="AA2857" s="160">
        <v>0.01</v>
      </c>
    </row>
    <row r="2858" spans="1:27" ht="18" customHeight="1" x14ac:dyDescent="0.25">
      <c r="A2858" s="159">
        <v>10053</v>
      </c>
      <c r="B2858" s="157" t="s">
        <v>57</v>
      </c>
      <c r="C2858" s="157" t="s">
        <v>58</v>
      </c>
      <c r="D2858" s="159" t="s">
        <v>243</v>
      </c>
      <c r="E2858" s="157" t="s">
        <v>241</v>
      </c>
      <c r="F2858" s="157" t="s">
        <v>1264</v>
      </c>
      <c r="G2858" s="157" t="s">
        <v>1278</v>
      </c>
      <c r="H2858" s="157" t="s">
        <v>1378</v>
      </c>
      <c r="I2858" s="157" t="s">
        <v>2039</v>
      </c>
      <c r="J2858" s="157" t="s">
        <v>1504</v>
      </c>
      <c r="K2858" s="157" t="s">
        <v>1281</v>
      </c>
      <c r="L2858" s="157" t="s">
        <v>1282</v>
      </c>
      <c r="M2858" s="157" t="str">
        <f t="shared" si="59"/>
        <v>User Selector - Widshield Deffog and Defrost</v>
      </c>
      <c r="N2858" s="157"/>
      <c r="O2858" s="157"/>
      <c r="P2858" s="159" t="s">
        <v>5554</v>
      </c>
      <c r="Q2858" s="157"/>
      <c r="R2858" s="157"/>
      <c r="S2858" s="157"/>
      <c r="T2858" s="157"/>
      <c r="U2858" s="159" t="s">
        <v>2129</v>
      </c>
      <c r="V2858" s="159" t="s">
        <v>2138</v>
      </c>
      <c r="W2858" s="159" t="s">
        <v>2138</v>
      </c>
      <c r="X2858" s="160">
        <v>0</v>
      </c>
      <c r="Y2858" s="160">
        <v>0</v>
      </c>
      <c r="Z2858" s="160">
        <v>1</v>
      </c>
      <c r="AA2858" s="160">
        <v>1</v>
      </c>
    </row>
    <row r="2859" spans="1:27" ht="18" customHeight="1" x14ac:dyDescent="0.25">
      <c r="A2859" s="159">
        <v>10054</v>
      </c>
      <c r="B2859" s="157" t="s">
        <v>57</v>
      </c>
      <c r="C2859" s="157" t="s">
        <v>58</v>
      </c>
      <c r="D2859" s="159" t="s">
        <v>61</v>
      </c>
      <c r="E2859" s="157" t="s">
        <v>59</v>
      </c>
      <c r="F2859" s="157" t="s">
        <v>1264</v>
      </c>
      <c r="G2859" s="157" t="s">
        <v>1278</v>
      </c>
      <c r="H2859" s="157" t="s">
        <v>1378</v>
      </c>
      <c r="I2859" s="157" t="s">
        <v>1379</v>
      </c>
      <c r="J2859" s="157" t="s">
        <v>1380</v>
      </c>
      <c r="K2859" s="157" t="s">
        <v>1281</v>
      </c>
      <c r="L2859" s="157" t="s">
        <v>9640</v>
      </c>
      <c r="M2859" s="157" t="str">
        <f t="shared" si="59"/>
        <v>User Selector Potentiometer - Cockpit Left Air Diffuser - Air Flow Deflection</v>
      </c>
      <c r="N2859" s="157"/>
      <c r="O2859" s="157"/>
      <c r="P2859" s="159" t="s">
        <v>7179</v>
      </c>
      <c r="Q2859" s="157"/>
      <c r="R2859" s="157"/>
      <c r="S2859" s="157"/>
      <c r="T2859" s="157"/>
      <c r="U2859" s="159" t="s">
        <v>2129</v>
      </c>
      <c r="V2859" s="159" t="s">
        <v>2129</v>
      </c>
      <c r="W2859" s="159" t="s">
        <v>2138</v>
      </c>
      <c r="X2859" s="160">
        <v>0</v>
      </c>
      <c r="Y2859" s="160">
        <v>0</v>
      </c>
      <c r="Z2859" s="160">
        <v>1</v>
      </c>
      <c r="AA2859" s="160">
        <v>1</v>
      </c>
    </row>
    <row r="2860" spans="1:27" ht="18" customHeight="1" x14ac:dyDescent="0.25">
      <c r="A2860" s="159">
        <v>10054</v>
      </c>
      <c r="B2860" s="157" t="s">
        <v>57</v>
      </c>
      <c r="C2860" s="157" t="s">
        <v>58</v>
      </c>
      <c r="D2860" s="159" t="s">
        <v>417</v>
      </c>
      <c r="E2860" s="157" t="s">
        <v>415</v>
      </c>
      <c r="F2860" s="157" t="s">
        <v>1264</v>
      </c>
      <c r="G2860" s="157" t="s">
        <v>1278</v>
      </c>
      <c r="H2860" s="157" t="s">
        <v>1378</v>
      </c>
      <c r="I2860" s="157" t="s">
        <v>1379</v>
      </c>
      <c r="J2860" s="157" t="s">
        <v>1380</v>
      </c>
      <c r="K2860" s="157" t="s">
        <v>1281</v>
      </c>
      <c r="L2860" s="157" t="s">
        <v>9640</v>
      </c>
      <c r="M2860" s="157" t="str">
        <f t="shared" si="59"/>
        <v>User Selector Potentiometer - Cockpit Left Air Diffuser - Air Flow Deflection</v>
      </c>
      <c r="N2860" s="157"/>
      <c r="O2860" s="157"/>
      <c r="P2860" s="159" t="s">
        <v>7179</v>
      </c>
      <c r="Q2860" s="157"/>
      <c r="R2860" s="157"/>
      <c r="S2860" s="157"/>
      <c r="T2860" s="157"/>
      <c r="U2860" s="159" t="s">
        <v>2129</v>
      </c>
      <c r="V2860" s="159" t="s">
        <v>2138</v>
      </c>
      <c r="W2860" s="159" t="s">
        <v>2138</v>
      </c>
      <c r="X2860" s="160">
        <v>0</v>
      </c>
      <c r="Y2860" s="160">
        <v>0</v>
      </c>
      <c r="Z2860" s="160">
        <v>1</v>
      </c>
      <c r="AA2860" s="160">
        <v>1</v>
      </c>
    </row>
    <row r="2861" spans="1:27" ht="18" customHeight="1" x14ac:dyDescent="0.25">
      <c r="A2861" s="159">
        <v>10054</v>
      </c>
      <c r="B2861" s="157" t="s">
        <v>57</v>
      </c>
      <c r="C2861" s="157" t="s">
        <v>58</v>
      </c>
      <c r="D2861" s="159" t="s">
        <v>62</v>
      </c>
      <c r="E2861" s="157" t="s">
        <v>991</v>
      </c>
      <c r="F2861" s="157" t="s">
        <v>1264</v>
      </c>
      <c r="G2861" s="157" t="s">
        <v>1278</v>
      </c>
      <c r="H2861" s="157" t="s">
        <v>1378</v>
      </c>
      <c r="I2861" s="157" t="s">
        <v>1379</v>
      </c>
      <c r="J2861" s="157" t="s">
        <v>1380</v>
      </c>
      <c r="K2861" s="157" t="s">
        <v>1281</v>
      </c>
      <c r="L2861" s="157" t="s">
        <v>9640</v>
      </c>
      <c r="M2861" s="157" t="str">
        <f t="shared" si="59"/>
        <v>User Selector Potentiometer - Cockpit Left Air Diffuser - Air Flow Deflection</v>
      </c>
      <c r="N2861" s="157"/>
      <c r="O2861" s="157"/>
      <c r="P2861" s="159" t="s">
        <v>7179</v>
      </c>
      <c r="Q2861" s="157"/>
      <c r="R2861" s="157"/>
      <c r="S2861" s="157"/>
      <c r="T2861" s="157"/>
      <c r="U2861" s="159" t="s">
        <v>2129</v>
      </c>
      <c r="V2861" s="159" t="s">
        <v>2138</v>
      </c>
      <c r="W2861" s="159" t="s">
        <v>2129</v>
      </c>
      <c r="X2861" s="160">
        <v>0</v>
      </c>
      <c r="Y2861" s="160">
        <v>0</v>
      </c>
      <c r="Z2861" s="160">
        <v>1</v>
      </c>
      <c r="AA2861" s="160">
        <v>1</v>
      </c>
    </row>
    <row r="2862" spans="1:27" ht="18" customHeight="1" x14ac:dyDescent="0.25">
      <c r="A2862" s="159">
        <v>10055</v>
      </c>
      <c r="B2862" s="157" t="s">
        <v>57</v>
      </c>
      <c r="C2862" s="157" t="s">
        <v>58</v>
      </c>
      <c r="D2862" s="159" t="s">
        <v>995</v>
      </c>
      <c r="E2862" s="157" t="s">
        <v>993</v>
      </c>
      <c r="F2862" s="157" t="s">
        <v>1264</v>
      </c>
      <c r="G2862" s="157" t="s">
        <v>1278</v>
      </c>
      <c r="H2862" s="157" t="s">
        <v>1378</v>
      </c>
      <c r="I2862" s="157" t="s">
        <v>2012</v>
      </c>
      <c r="J2862" s="157" t="s">
        <v>9644</v>
      </c>
      <c r="K2862" s="157" t="s">
        <v>1269</v>
      </c>
      <c r="L2862" s="157" t="s">
        <v>9645</v>
      </c>
      <c r="M2862" s="157" t="str">
        <f t="shared" si="59"/>
        <v>Valve - Refrigerant Shut-off Before Reservoir - Heat Pump System Operation</v>
      </c>
      <c r="N2862" s="157"/>
      <c r="O2862" s="157"/>
      <c r="P2862" s="159" t="s">
        <v>2403</v>
      </c>
      <c r="Q2862" s="157"/>
      <c r="R2862" s="157"/>
      <c r="S2862" s="157"/>
      <c r="T2862" s="157"/>
      <c r="U2862" s="159" t="s">
        <v>2129</v>
      </c>
      <c r="V2862" s="159" t="s">
        <v>2129</v>
      </c>
      <c r="W2862" s="159" t="s">
        <v>2138</v>
      </c>
      <c r="X2862" s="160">
        <v>0.5</v>
      </c>
      <c r="Y2862" s="160">
        <v>0.5</v>
      </c>
      <c r="Z2862" s="160">
        <v>0.5</v>
      </c>
      <c r="AA2862" s="160">
        <v>0.5</v>
      </c>
    </row>
    <row r="2863" spans="1:27" ht="18" customHeight="1" x14ac:dyDescent="0.25">
      <c r="A2863" s="159">
        <v>10055</v>
      </c>
      <c r="B2863" s="157" t="s">
        <v>57</v>
      </c>
      <c r="C2863" s="157" t="s">
        <v>349</v>
      </c>
      <c r="D2863" s="159" t="s">
        <v>995</v>
      </c>
      <c r="E2863" s="157" t="s">
        <v>993</v>
      </c>
      <c r="F2863" s="157" t="s">
        <v>1264</v>
      </c>
      <c r="G2863" s="157" t="s">
        <v>1278</v>
      </c>
      <c r="H2863" s="157" t="s">
        <v>1378</v>
      </c>
      <c r="I2863" s="157" t="s">
        <v>2012</v>
      </c>
      <c r="J2863" s="157" t="s">
        <v>9644</v>
      </c>
      <c r="K2863" s="157" t="s">
        <v>1269</v>
      </c>
      <c r="L2863" s="157" t="s">
        <v>9645</v>
      </c>
      <c r="M2863" s="157" t="str">
        <f t="shared" si="59"/>
        <v>Valve - Refrigerant Shut-off Before Reservoir - Heat Pump System Operation</v>
      </c>
      <c r="N2863" s="157"/>
      <c r="O2863" s="157"/>
      <c r="P2863" s="159" t="s">
        <v>2403</v>
      </c>
      <c r="Q2863" s="157"/>
      <c r="R2863" s="157"/>
      <c r="S2863" s="157"/>
      <c r="T2863" s="157"/>
      <c r="U2863" s="159" t="s">
        <v>2129</v>
      </c>
      <c r="V2863" s="159" t="s">
        <v>2129</v>
      </c>
      <c r="W2863" s="159" t="s">
        <v>2138</v>
      </c>
      <c r="X2863" s="160">
        <v>0.5</v>
      </c>
      <c r="Y2863" s="160">
        <v>0.5</v>
      </c>
      <c r="Z2863" s="160">
        <v>0.5</v>
      </c>
      <c r="AA2863" s="160">
        <v>0.5</v>
      </c>
    </row>
    <row r="2864" spans="1:27" ht="18" customHeight="1" x14ac:dyDescent="0.25">
      <c r="A2864" s="159">
        <v>10056</v>
      </c>
      <c r="B2864" s="157" t="s">
        <v>57</v>
      </c>
      <c r="C2864" s="157" t="s">
        <v>58</v>
      </c>
      <c r="D2864" s="159" t="s">
        <v>995</v>
      </c>
      <c r="E2864" s="157" t="s">
        <v>993</v>
      </c>
      <c r="F2864" s="157" t="s">
        <v>1264</v>
      </c>
      <c r="G2864" s="157" t="s">
        <v>1278</v>
      </c>
      <c r="H2864" s="157" t="s">
        <v>1378</v>
      </c>
      <c r="I2864" s="157" t="s">
        <v>2012</v>
      </c>
      <c r="J2864" s="157" t="s">
        <v>9644</v>
      </c>
      <c r="K2864" s="157" t="s">
        <v>1312</v>
      </c>
      <c r="L2864" s="157" t="s">
        <v>9647</v>
      </c>
      <c r="M2864" s="157" t="str">
        <f t="shared" si="59"/>
        <v>Pressure and Temperature Sensor 2 before Compressor - Heat Pump System Operation</v>
      </c>
      <c r="N2864" s="157"/>
      <c r="O2864" s="157"/>
      <c r="P2864" s="159" t="s">
        <v>2285</v>
      </c>
      <c r="Q2864" s="157"/>
      <c r="R2864" s="157"/>
      <c r="S2864" s="157"/>
      <c r="T2864" s="157"/>
      <c r="U2864" s="159" t="s">
        <v>2129</v>
      </c>
      <c r="V2864" s="159" t="s">
        <v>2129</v>
      </c>
      <c r="W2864" s="159" t="s">
        <v>2138</v>
      </c>
      <c r="X2864" s="160">
        <v>1</v>
      </c>
      <c r="Y2864" s="160">
        <v>1</v>
      </c>
      <c r="Z2864" s="160">
        <v>1</v>
      </c>
      <c r="AA2864" s="160">
        <v>1</v>
      </c>
    </row>
    <row r="2865" spans="1:27" ht="18" customHeight="1" x14ac:dyDescent="0.25">
      <c r="A2865" s="159">
        <v>10060</v>
      </c>
      <c r="B2865" s="157" t="s">
        <v>266</v>
      </c>
      <c r="C2865" s="157" t="s">
        <v>276</v>
      </c>
      <c r="D2865" s="159" t="s">
        <v>1081</v>
      </c>
      <c r="E2865" s="157" t="s">
        <v>1155</v>
      </c>
      <c r="F2865" s="157"/>
      <c r="G2865" s="157" t="s">
        <v>1349</v>
      </c>
      <c r="H2865" s="157" t="s">
        <v>1350</v>
      </c>
      <c r="I2865" s="157" t="s">
        <v>2110</v>
      </c>
      <c r="J2865" s="157"/>
      <c r="K2865" s="157" t="s">
        <v>1312</v>
      </c>
      <c r="L2865" s="157" t="s">
        <v>2107</v>
      </c>
      <c r="M2865" s="157" t="str">
        <f t="shared" si="59"/>
        <v>Acoustic Sensor Front Left - Environment Recognition</v>
      </c>
      <c r="N2865" s="157"/>
      <c r="O2865" s="157" t="s">
        <v>1010</v>
      </c>
      <c r="P2865" s="159" t="s">
        <v>7188</v>
      </c>
      <c r="Q2865" s="157" t="s">
        <v>2115</v>
      </c>
      <c r="R2865" s="157" t="s">
        <v>8259</v>
      </c>
      <c r="S2865" s="157" t="s">
        <v>8614</v>
      </c>
      <c r="T2865" s="157"/>
      <c r="U2865" s="159" t="s">
        <v>2129</v>
      </c>
      <c r="V2865" s="159" t="s">
        <v>2129</v>
      </c>
      <c r="W2865" s="159" t="s">
        <v>2138</v>
      </c>
      <c r="X2865" s="160">
        <v>1</v>
      </c>
      <c r="Y2865" s="160">
        <v>1</v>
      </c>
      <c r="Z2865" s="160">
        <v>1</v>
      </c>
      <c r="AA2865" s="160">
        <v>1</v>
      </c>
    </row>
    <row r="2866" spans="1:27" ht="18" customHeight="1" x14ac:dyDescent="0.25">
      <c r="A2866" s="159">
        <v>10061</v>
      </c>
      <c r="B2866" s="157" t="s">
        <v>266</v>
      </c>
      <c r="C2866" s="157" t="s">
        <v>276</v>
      </c>
      <c r="D2866" s="159" t="s">
        <v>1081</v>
      </c>
      <c r="E2866" s="157" t="s">
        <v>1155</v>
      </c>
      <c r="F2866" s="157"/>
      <c r="G2866" s="157" t="s">
        <v>1349</v>
      </c>
      <c r="H2866" s="157" t="s">
        <v>1350</v>
      </c>
      <c r="I2866" s="157" t="s">
        <v>2110</v>
      </c>
      <c r="J2866" s="157"/>
      <c r="K2866" s="157" t="s">
        <v>1312</v>
      </c>
      <c r="L2866" s="157" t="s">
        <v>2106</v>
      </c>
      <c r="M2866" s="157" t="str">
        <f t="shared" si="59"/>
        <v>Acoustic Sensor Front Right - Environment Recognition</v>
      </c>
      <c r="N2866" s="157"/>
      <c r="O2866" s="157" t="s">
        <v>1010</v>
      </c>
      <c r="P2866" s="159" t="s">
        <v>4353</v>
      </c>
      <c r="Q2866" s="157" t="s">
        <v>2115</v>
      </c>
      <c r="R2866" s="157" t="s">
        <v>8259</v>
      </c>
      <c r="S2866" s="157" t="s">
        <v>8614</v>
      </c>
      <c r="T2866" s="157"/>
      <c r="U2866" s="159" t="s">
        <v>2129</v>
      </c>
      <c r="V2866" s="159" t="s">
        <v>2129</v>
      </c>
      <c r="W2866" s="159" t="s">
        <v>2138</v>
      </c>
      <c r="X2866" s="160">
        <v>1</v>
      </c>
      <c r="Y2866" s="160">
        <v>1</v>
      </c>
      <c r="Z2866" s="160">
        <v>1</v>
      </c>
      <c r="AA2866" s="160">
        <v>1</v>
      </c>
    </row>
    <row r="2867" spans="1:27" ht="18" customHeight="1" x14ac:dyDescent="0.25">
      <c r="A2867" s="159">
        <v>10064</v>
      </c>
      <c r="B2867" s="157" t="s">
        <v>266</v>
      </c>
      <c r="C2867" s="157" t="s">
        <v>276</v>
      </c>
      <c r="D2867" s="159" t="s">
        <v>1081</v>
      </c>
      <c r="E2867" s="157" t="s">
        <v>1155</v>
      </c>
      <c r="F2867" s="157"/>
      <c r="G2867" s="157" t="s">
        <v>1349</v>
      </c>
      <c r="H2867" s="157" t="s">
        <v>1350</v>
      </c>
      <c r="I2867" s="157" t="s">
        <v>2110</v>
      </c>
      <c r="J2867" s="157"/>
      <c r="K2867" s="157" t="s">
        <v>1312</v>
      </c>
      <c r="L2867" s="157" t="s">
        <v>2108</v>
      </c>
      <c r="M2867" s="157" t="str">
        <f t="shared" si="59"/>
        <v>Acoustic Sensor Rear Left - Environment Recognition</v>
      </c>
      <c r="N2867" s="157"/>
      <c r="O2867" s="157" t="s">
        <v>1010</v>
      </c>
      <c r="P2867" s="159" t="s">
        <v>7025</v>
      </c>
      <c r="Q2867" s="157" t="s">
        <v>2115</v>
      </c>
      <c r="R2867" s="157" t="s">
        <v>8259</v>
      </c>
      <c r="S2867" s="157" t="s">
        <v>8614</v>
      </c>
      <c r="T2867" s="157"/>
      <c r="U2867" s="159" t="s">
        <v>2129</v>
      </c>
      <c r="V2867" s="159" t="s">
        <v>2129</v>
      </c>
      <c r="W2867" s="159" t="s">
        <v>2138</v>
      </c>
      <c r="X2867" s="160">
        <v>1</v>
      </c>
      <c r="Y2867" s="160">
        <v>1</v>
      </c>
      <c r="Z2867" s="160">
        <v>1</v>
      </c>
      <c r="AA2867" s="160">
        <v>1</v>
      </c>
    </row>
    <row r="2868" spans="1:27" ht="18" customHeight="1" x14ac:dyDescent="0.25">
      <c r="A2868" s="159">
        <v>10065</v>
      </c>
      <c r="B2868" s="157" t="s">
        <v>266</v>
      </c>
      <c r="C2868" s="157" t="s">
        <v>276</v>
      </c>
      <c r="D2868" s="159" t="s">
        <v>1081</v>
      </c>
      <c r="E2868" s="157" t="s">
        <v>1155</v>
      </c>
      <c r="F2868" s="157"/>
      <c r="G2868" s="157" t="s">
        <v>1349</v>
      </c>
      <c r="H2868" s="157" t="s">
        <v>1350</v>
      </c>
      <c r="I2868" s="157" t="s">
        <v>2110</v>
      </c>
      <c r="J2868" s="157"/>
      <c r="K2868" s="157" t="s">
        <v>1312</v>
      </c>
      <c r="L2868" s="157" t="s">
        <v>2109</v>
      </c>
      <c r="M2868" s="157" t="str">
        <f t="shared" si="59"/>
        <v>Acoustic Sensor Rear Right - Environment Recognition</v>
      </c>
      <c r="N2868" s="157"/>
      <c r="O2868" s="157" t="s">
        <v>1010</v>
      </c>
      <c r="P2868" s="159" t="s">
        <v>4581</v>
      </c>
      <c r="Q2868" s="157" t="s">
        <v>2115</v>
      </c>
      <c r="R2868" s="157" t="s">
        <v>8259</v>
      </c>
      <c r="S2868" s="157" t="s">
        <v>8614</v>
      </c>
      <c r="T2868" s="157"/>
      <c r="U2868" s="159" t="s">
        <v>2129</v>
      </c>
      <c r="V2868" s="159" t="s">
        <v>2129</v>
      </c>
      <c r="W2868" s="159" t="s">
        <v>2138</v>
      </c>
      <c r="X2868" s="160">
        <v>1</v>
      </c>
      <c r="Y2868" s="160">
        <v>1</v>
      </c>
      <c r="Z2868" s="160">
        <v>1</v>
      </c>
      <c r="AA2868" s="160">
        <v>1</v>
      </c>
    </row>
    <row r="2869" spans="1:27" ht="18" customHeight="1" x14ac:dyDescent="0.25">
      <c r="A2869" s="159">
        <v>10100</v>
      </c>
      <c r="B2869" s="157" t="s">
        <v>57</v>
      </c>
      <c r="C2869" s="157" t="s">
        <v>349</v>
      </c>
      <c r="D2869" s="159" t="s">
        <v>590</v>
      </c>
      <c r="E2869" s="157" t="s">
        <v>588</v>
      </c>
      <c r="F2869" s="157" t="s">
        <v>1275</v>
      </c>
      <c r="G2869" s="157" t="s">
        <v>1321</v>
      </c>
      <c r="H2869" s="157" t="s">
        <v>2022</v>
      </c>
      <c r="I2869" s="157" t="s">
        <v>1323</v>
      </c>
      <c r="J2869" s="157"/>
      <c r="K2869" s="157" t="s">
        <v>1274</v>
      </c>
      <c r="L2869" s="157" t="s">
        <v>2040</v>
      </c>
      <c r="M2869" s="157" t="str">
        <f t="shared" si="59"/>
        <v>Thermal Management Control Unit - Computing</v>
      </c>
      <c r="N2869" s="157"/>
      <c r="O2869" s="157"/>
      <c r="P2869" s="159"/>
      <c r="Q2869" s="157"/>
      <c r="R2869" s="157"/>
      <c r="S2869" s="157"/>
      <c r="T2869" s="157"/>
      <c r="U2869" s="159"/>
      <c r="V2869" s="159"/>
      <c r="W2869" s="159"/>
      <c r="X2869" s="160"/>
      <c r="Y2869" s="160"/>
      <c r="Z2869" s="160"/>
      <c r="AA2869" s="160"/>
    </row>
    <row r="2870" spans="1:27" ht="18" customHeight="1" x14ac:dyDescent="0.25">
      <c r="A2870" s="159">
        <v>10100</v>
      </c>
      <c r="B2870" s="157" t="s">
        <v>57</v>
      </c>
      <c r="C2870" s="157" t="s">
        <v>349</v>
      </c>
      <c r="D2870" s="159" t="s">
        <v>642</v>
      </c>
      <c r="E2870" s="157" t="s">
        <v>640</v>
      </c>
      <c r="F2870" s="157" t="s">
        <v>1320</v>
      </c>
      <c r="G2870" s="157" t="s">
        <v>1321</v>
      </c>
      <c r="H2870" s="157" t="s">
        <v>2022</v>
      </c>
      <c r="I2870" s="157" t="s">
        <v>1323</v>
      </c>
      <c r="J2870" s="157"/>
      <c r="K2870" s="157" t="s">
        <v>1274</v>
      </c>
      <c r="L2870" s="157" t="s">
        <v>2040</v>
      </c>
      <c r="M2870" s="157" t="str">
        <f t="shared" si="59"/>
        <v>Thermal Management Control Unit - Computing</v>
      </c>
      <c r="N2870" s="157"/>
      <c r="O2870" s="157"/>
      <c r="P2870" s="159"/>
      <c r="Q2870" s="157"/>
      <c r="R2870" s="157"/>
      <c r="S2870" s="157"/>
      <c r="T2870" s="157"/>
      <c r="U2870" s="159"/>
      <c r="V2870" s="159"/>
      <c r="W2870" s="159"/>
      <c r="X2870" s="160"/>
      <c r="Y2870" s="160"/>
      <c r="Z2870" s="160"/>
      <c r="AA2870" s="160"/>
    </row>
    <row r="2871" spans="1:27" ht="18" customHeight="1" x14ac:dyDescent="0.25">
      <c r="A2871" s="159" t="s">
        <v>2087</v>
      </c>
      <c r="B2871" s="157" t="s">
        <v>256</v>
      </c>
      <c r="C2871" s="157" t="s">
        <v>532</v>
      </c>
      <c r="D2871" s="159" t="s">
        <v>535</v>
      </c>
      <c r="E2871" s="157" t="s">
        <v>533</v>
      </c>
      <c r="F2871" s="157" t="s">
        <v>1298</v>
      </c>
      <c r="G2871" s="157" t="s">
        <v>1299</v>
      </c>
      <c r="H2871" s="157" t="s">
        <v>1326</v>
      </c>
      <c r="I2871" s="157" t="s">
        <v>2088</v>
      </c>
      <c r="J2871" s="157" t="s">
        <v>1285</v>
      </c>
      <c r="K2871" s="157" t="s">
        <v>1269</v>
      </c>
      <c r="L2871" s="157" t="s">
        <v>2086</v>
      </c>
      <c r="M2871" s="157" t="str">
        <f t="shared" si="59"/>
        <v>ESP Unit Redundant - Brake Actuator</v>
      </c>
      <c r="N2871" s="157"/>
      <c r="O2871" s="157"/>
      <c r="P2871" s="159" t="s">
        <v>3070</v>
      </c>
      <c r="Q2871" s="157"/>
      <c r="R2871" s="157"/>
      <c r="S2871" s="157"/>
      <c r="T2871" s="157"/>
      <c r="U2871" s="159" t="s">
        <v>2129</v>
      </c>
      <c r="V2871" s="159" t="s">
        <v>2129</v>
      </c>
      <c r="W2871" s="159" t="s">
        <v>2138</v>
      </c>
      <c r="X2871" s="160">
        <v>0.1</v>
      </c>
      <c r="Y2871" s="160">
        <v>0.3</v>
      </c>
      <c r="Z2871" s="160">
        <v>0.3</v>
      </c>
      <c r="AA2871" s="160">
        <v>0.5</v>
      </c>
    </row>
    <row r="2872" spans="1:27" ht="18" customHeight="1" x14ac:dyDescent="0.25">
      <c r="A2872" s="159" t="s">
        <v>2041</v>
      </c>
      <c r="B2872" s="157" t="s">
        <v>280</v>
      </c>
      <c r="C2872" s="157" t="s">
        <v>354</v>
      </c>
      <c r="D2872" s="159" t="s">
        <v>601</v>
      </c>
      <c r="E2872" s="157" t="s">
        <v>599</v>
      </c>
      <c r="F2872" s="157" t="s">
        <v>1264</v>
      </c>
      <c r="G2872" s="157" t="s">
        <v>1265</v>
      </c>
      <c r="H2872" s="157" t="s">
        <v>1458</v>
      </c>
      <c r="I2872" s="157" t="s">
        <v>1670</v>
      </c>
      <c r="J2872" s="157" t="s">
        <v>1671</v>
      </c>
      <c r="K2872" s="157" t="s">
        <v>1480</v>
      </c>
      <c r="L2872" s="157" t="s">
        <v>1765</v>
      </c>
      <c r="M2872" s="157" t="str">
        <f t="shared" si="59"/>
        <v>Loudspeaker - Door Front Right - Full Range Speaker</v>
      </c>
      <c r="N2872" s="157"/>
      <c r="O2872" s="157"/>
      <c r="P2872" s="159" t="s">
        <v>3789</v>
      </c>
      <c r="Q2872" s="157" t="s">
        <v>2115</v>
      </c>
      <c r="R2872" s="157" t="s">
        <v>2121</v>
      </c>
      <c r="S2872" s="157" t="s">
        <v>8632</v>
      </c>
      <c r="T2872" s="157"/>
      <c r="U2872" s="159" t="s">
        <v>2138</v>
      </c>
      <c r="V2872" s="159" t="s">
        <v>2129</v>
      </c>
      <c r="W2872" s="159" t="s">
        <v>2129</v>
      </c>
      <c r="X2872" s="160">
        <v>0.25</v>
      </c>
      <c r="Y2872" s="160">
        <v>0.35</v>
      </c>
      <c r="Z2872" s="160">
        <v>0.4</v>
      </c>
      <c r="AA2872" s="160">
        <v>0.3</v>
      </c>
    </row>
    <row r="2873" spans="1:27" ht="18" customHeight="1" x14ac:dyDescent="0.25">
      <c r="A2873" s="159" t="s">
        <v>2042</v>
      </c>
      <c r="B2873" s="157" t="s">
        <v>280</v>
      </c>
      <c r="C2873" s="157" t="s">
        <v>354</v>
      </c>
      <c r="D2873" s="159" t="s">
        <v>606</v>
      </c>
      <c r="E2873" s="157" t="s">
        <v>604</v>
      </c>
      <c r="F2873" s="157" t="s">
        <v>1264</v>
      </c>
      <c r="G2873" s="157" t="s">
        <v>1265</v>
      </c>
      <c r="H2873" s="157" t="s">
        <v>1458</v>
      </c>
      <c r="I2873" s="157" t="s">
        <v>1670</v>
      </c>
      <c r="J2873" s="157" t="s">
        <v>1671</v>
      </c>
      <c r="K2873" s="157" t="s">
        <v>1480</v>
      </c>
      <c r="L2873" s="157" t="s">
        <v>8289</v>
      </c>
      <c r="M2873" s="157" t="str">
        <f t="shared" si="59"/>
        <v>Loudspeaker - Door Rear Right / Rear Seat Right Trim - Full Range Speaker</v>
      </c>
      <c r="N2873" s="157"/>
      <c r="O2873" s="157"/>
      <c r="P2873" s="159" t="s">
        <v>3718</v>
      </c>
      <c r="Q2873" s="157" t="s">
        <v>2115</v>
      </c>
      <c r="R2873" s="157" t="s">
        <v>2121</v>
      </c>
      <c r="S2873" s="157" t="s">
        <v>8632</v>
      </c>
      <c r="T2873" s="157"/>
      <c r="U2873" s="159" t="s">
        <v>2138</v>
      </c>
      <c r="V2873" s="159" t="s">
        <v>2129</v>
      </c>
      <c r="W2873" s="159" t="s">
        <v>2129</v>
      </c>
      <c r="X2873" s="160">
        <v>0.25</v>
      </c>
      <c r="Y2873" s="160">
        <v>0.35</v>
      </c>
      <c r="Z2873" s="160">
        <v>0.4</v>
      </c>
      <c r="AA2873" s="160">
        <v>0.3</v>
      </c>
    </row>
    <row r="2874" spans="1:27" ht="18" customHeight="1" x14ac:dyDescent="0.25">
      <c r="A2874" s="159" t="s">
        <v>2048</v>
      </c>
      <c r="B2874" s="157" t="s">
        <v>280</v>
      </c>
      <c r="C2874" s="157" t="s">
        <v>354</v>
      </c>
      <c r="D2874" s="159" t="s">
        <v>1054</v>
      </c>
      <c r="E2874" s="157" t="s">
        <v>1052</v>
      </c>
      <c r="F2874" s="157" t="s">
        <v>1010</v>
      </c>
      <c r="G2874" s="157" t="s">
        <v>1265</v>
      </c>
      <c r="H2874" s="157" t="s">
        <v>1458</v>
      </c>
      <c r="I2874" s="157" t="s">
        <v>1670</v>
      </c>
      <c r="J2874" s="157" t="s">
        <v>1713</v>
      </c>
      <c r="K2874" s="157" t="s">
        <v>1480</v>
      </c>
      <c r="L2874" s="157" t="s">
        <v>2049</v>
      </c>
      <c r="M2874" s="157" t="str">
        <f t="shared" si="59"/>
        <v>Loudspeaker - Surround Left - Full Range Speaker</v>
      </c>
      <c r="N2874" s="157"/>
      <c r="O2874" s="157"/>
      <c r="P2874" s="159" t="s">
        <v>7361</v>
      </c>
      <c r="Q2874" s="157" t="s">
        <v>2115</v>
      </c>
      <c r="R2874" s="157" t="s">
        <v>2121</v>
      </c>
      <c r="S2874" s="157" t="s">
        <v>8632</v>
      </c>
      <c r="T2874" s="157"/>
      <c r="U2874" s="159" t="s">
        <v>2129</v>
      </c>
      <c r="V2874" s="159" t="s">
        <v>2129</v>
      </c>
      <c r="W2874" s="159" t="s">
        <v>2138</v>
      </c>
      <c r="X2874" s="160">
        <v>0.25</v>
      </c>
      <c r="Y2874" s="160">
        <v>0.35</v>
      </c>
      <c r="Z2874" s="160">
        <v>0.4</v>
      </c>
      <c r="AA2874" s="160">
        <v>0.3</v>
      </c>
    </row>
    <row r="2875" spans="1:27" ht="18" customHeight="1" x14ac:dyDescent="0.25">
      <c r="A2875" s="159" t="s">
        <v>2050</v>
      </c>
      <c r="B2875" s="157" t="s">
        <v>280</v>
      </c>
      <c r="C2875" s="157" t="s">
        <v>354</v>
      </c>
      <c r="D2875" s="159" t="s">
        <v>1054</v>
      </c>
      <c r="E2875" s="157" t="s">
        <v>1052</v>
      </c>
      <c r="F2875" s="157" t="s">
        <v>1010</v>
      </c>
      <c r="G2875" s="157" t="s">
        <v>1265</v>
      </c>
      <c r="H2875" s="157" t="s">
        <v>1458</v>
      </c>
      <c r="I2875" s="157" t="s">
        <v>1670</v>
      </c>
      <c r="J2875" s="157" t="s">
        <v>1713</v>
      </c>
      <c r="K2875" s="157" t="s">
        <v>1480</v>
      </c>
      <c r="L2875" s="157" t="s">
        <v>2051</v>
      </c>
      <c r="M2875" s="157" t="str">
        <f t="shared" si="59"/>
        <v>Loudspeaker - Surround Right - Full Range Speaker</v>
      </c>
      <c r="N2875" s="157"/>
      <c r="O2875" s="157"/>
      <c r="P2875" s="159" t="s">
        <v>4304</v>
      </c>
      <c r="Q2875" s="157" t="s">
        <v>2115</v>
      </c>
      <c r="R2875" s="157" t="s">
        <v>2121</v>
      </c>
      <c r="S2875" s="157" t="s">
        <v>8632</v>
      </c>
      <c r="T2875" s="157"/>
      <c r="U2875" s="159" t="s">
        <v>2129</v>
      </c>
      <c r="V2875" s="159" t="s">
        <v>2129</v>
      </c>
      <c r="W2875" s="159" t="s">
        <v>2138</v>
      </c>
      <c r="X2875" s="160">
        <v>0.25</v>
      </c>
      <c r="Y2875" s="160">
        <v>0.35</v>
      </c>
      <c r="Z2875" s="160">
        <v>0.4</v>
      </c>
      <c r="AA2875" s="160">
        <v>0.3</v>
      </c>
    </row>
    <row r="2876" spans="1:27" ht="18" customHeight="1" x14ac:dyDescent="0.25">
      <c r="A2876" s="159" t="s">
        <v>2052</v>
      </c>
      <c r="B2876" s="157" t="s">
        <v>280</v>
      </c>
      <c r="C2876" s="157" t="s">
        <v>354</v>
      </c>
      <c r="D2876" s="159" t="s">
        <v>1036</v>
      </c>
      <c r="E2876" s="157" t="s">
        <v>1034</v>
      </c>
      <c r="F2876" s="157" t="s">
        <v>1010</v>
      </c>
      <c r="G2876" s="157" t="s">
        <v>1265</v>
      </c>
      <c r="H2876" s="157" t="s">
        <v>1458</v>
      </c>
      <c r="I2876" s="157" t="s">
        <v>1806</v>
      </c>
      <c r="J2876" s="157" t="s">
        <v>1711</v>
      </c>
      <c r="K2876" s="157" t="s">
        <v>1480</v>
      </c>
      <c r="L2876" s="157" t="s">
        <v>1765</v>
      </c>
      <c r="M2876" s="157" t="str">
        <f t="shared" si="59"/>
        <v>Loudspeaker - Door Front Right - Mid Range and Woofer Speaker</v>
      </c>
      <c r="N2876" s="157"/>
      <c r="O2876" s="157"/>
      <c r="P2876" s="159" t="s">
        <v>3789</v>
      </c>
      <c r="Q2876" s="157" t="s">
        <v>2115</v>
      </c>
      <c r="R2876" s="157" t="s">
        <v>2121</v>
      </c>
      <c r="S2876" s="157" t="s">
        <v>8632</v>
      </c>
      <c r="T2876" s="157"/>
      <c r="U2876" s="159" t="s">
        <v>2129</v>
      </c>
      <c r="V2876" s="159" t="s">
        <v>2138</v>
      </c>
      <c r="W2876" s="159" t="s">
        <v>2129</v>
      </c>
      <c r="X2876" s="160">
        <v>0.25</v>
      </c>
      <c r="Y2876" s="160">
        <v>0.35</v>
      </c>
      <c r="Z2876" s="160">
        <v>0.4</v>
      </c>
      <c r="AA2876" s="160">
        <v>0.3</v>
      </c>
    </row>
    <row r="2877" spans="1:27" ht="18" customHeight="1" x14ac:dyDescent="0.25">
      <c r="A2877" s="159" t="s">
        <v>2053</v>
      </c>
      <c r="B2877" s="157" t="s">
        <v>280</v>
      </c>
      <c r="C2877" s="157" t="s">
        <v>354</v>
      </c>
      <c r="D2877" s="159" t="s">
        <v>1039</v>
      </c>
      <c r="E2877" s="157" t="s">
        <v>1037</v>
      </c>
      <c r="F2877" s="157" t="s">
        <v>1010</v>
      </c>
      <c r="G2877" s="157" t="s">
        <v>1265</v>
      </c>
      <c r="H2877" s="157" t="s">
        <v>1458</v>
      </c>
      <c r="I2877" s="157" t="s">
        <v>1806</v>
      </c>
      <c r="J2877" s="157" t="s">
        <v>1711</v>
      </c>
      <c r="K2877" s="157" t="s">
        <v>1480</v>
      </c>
      <c r="L2877" s="157" t="s">
        <v>1675</v>
      </c>
      <c r="M2877" s="157" t="str">
        <f t="shared" si="59"/>
        <v>Loudspeaker - Door Rear Left / Rear Seat Left Trim - Mid Range and Woofer Speaker</v>
      </c>
      <c r="N2877" s="157"/>
      <c r="O2877" s="157"/>
      <c r="P2877" s="159" t="s">
        <v>8076</v>
      </c>
      <c r="Q2877" s="157" t="s">
        <v>2115</v>
      </c>
      <c r="R2877" s="157" t="s">
        <v>2121</v>
      </c>
      <c r="S2877" s="157" t="s">
        <v>8632</v>
      </c>
      <c r="T2877" s="157"/>
      <c r="U2877" s="159" t="s">
        <v>2129</v>
      </c>
      <c r="V2877" s="159" t="s">
        <v>2138</v>
      </c>
      <c r="W2877" s="159" t="s">
        <v>2129</v>
      </c>
      <c r="X2877" s="160">
        <v>0.25</v>
      </c>
      <c r="Y2877" s="160">
        <v>0.35</v>
      </c>
      <c r="Z2877" s="160">
        <v>0.4</v>
      </c>
      <c r="AA2877" s="160">
        <v>0.3</v>
      </c>
    </row>
    <row r="2878" spans="1:27" ht="18" customHeight="1" x14ac:dyDescent="0.25">
      <c r="A2878" s="159" t="s">
        <v>2054</v>
      </c>
      <c r="B2878" s="157" t="s">
        <v>280</v>
      </c>
      <c r="C2878" s="157" t="s">
        <v>354</v>
      </c>
      <c r="D2878" s="159" t="s">
        <v>1039</v>
      </c>
      <c r="E2878" s="157" t="s">
        <v>1037</v>
      </c>
      <c r="F2878" s="157" t="s">
        <v>1010</v>
      </c>
      <c r="G2878" s="157" t="s">
        <v>1265</v>
      </c>
      <c r="H2878" s="157" t="s">
        <v>1458</v>
      </c>
      <c r="I2878" s="157" t="s">
        <v>1806</v>
      </c>
      <c r="J2878" s="157" t="s">
        <v>1711</v>
      </c>
      <c r="K2878" s="157" t="s">
        <v>1480</v>
      </c>
      <c r="L2878" s="157" t="s">
        <v>8289</v>
      </c>
      <c r="M2878" s="157" t="str">
        <f t="shared" si="59"/>
        <v>Loudspeaker - Door Rear Right / Rear Seat Right Trim - Mid Range and Woofer Speaker</v>
      </c>
      <c r="N2878" s="157"/>
      <c r="O2878" s="157"/>
      <c r="P2878" s="159" t="s">
        <v>3718</v>
      </c>
      <c r="Q2878" s="157" t="s">
        <v>2115</v>
      </c>
      <c r="R2878" s="157" t="s">
        <v>2121</v>
      </c>
      <c r="S2878" s="157" t="s">
        <v>8632</v>
      </c>
      <c r="T2878" s="157"/>
      <c r="U2878" s="159" t="s">
        <v>2129</v>
      </c>
      <c r="V2878" s="159" t="s">
        <v>2138</v>
      </c>
      <c r="W2878" s="159" t="s">
        <v>2129</v>
      </c>
      <c r="X2878" s="160">
        <v>0.25</v>
      </c>
      <c r="Y2878" s="160">
        <v>0.35</v>
      </c>
      <c r="Z2878" s="160">
        <v>0.4</v>
      </c>
      <c r="AA2878" s="160">
        <v>0.3</v>
      </c>
    </row>
    <row r="2879" spans="1:27" ht="18" customHeight="1" x14ac:dyDescent="0.25">
      <c r="A2879" s="159" t="s">
        <v>2098</v>
      </c>
      <c r="B2879" s="157" t="s">
        <v>29</v>
      </c>
      <c r="C2879" s="157" t="s">
        <v>30</v>
      </c>
      <c r="D2879" s="159" t="s">
        <v>233</v>
      </c>
      <c r="E2879" s="157" t="s">
        <v>231</v>
      </c>
      <c r="F2879" s="157" t="s">
        <v>1264</v>
      </c>
      <c r="G2879" s="157" t="s">
        <v>1536</v>
      </c>
      <c r="H2879" s="157" t="s">
        <v>1287</v>
      </c>
      <c r="I2879" s="157" t="s">
        <v>1971</v>
      </c>
      <c r="J2879" s="157" t="s">
        <v>1578</v>
      </c>
      <c r="K2879" s="157" t="s">
        <v>1269</v>
      </c>
      <c r="L2879" s="157" t="s">
        <v>8496</v>
      </c>
      <c r="M2879" s="157" t="str">
        <f t="shared" si="59"/>
        <v>Taillamp Assy' - Center - Rear Lamps - Central</v>
      </c>
      <c r="N2879" s="157"/>
      <c r="O2879" s="157"/>
      <c r="P2879" s="159" t="s">
        <v>5818</v>
      </c>
      <c r="Q2879" s="157" t="s">
        <v>2115</v>
      </c>
      <c r="R2879" s="157" t="s">
        <v>2141</v>
      </c>
      <c r="S2879" s="157" t="s">
        <v>8608</v>
      </c>
      <c r="T2879" s="157" t="s">
        <v>2129</v>
      </c>
      <c r="U2879" s="159" t="s">
        <v>2129</v>
      </c>
      <c r="V2879" s="159" t="s">
        <v>2129</v>
      </c>
      <c r="W2879" s="159" t="s">
        <v>2129</v>
      </c>
      <c r="X2879" s="160">
        <v>0</v>
      </c>
      <c r="Y2879" s="160">
        <v>0</v>
      </c>
      <c r="Z2879" s="160">
        <v>1</v>
      </c>
      <c r="AA2879" s="160">
        <v>1</v>
      </c>
    </row>
    <row r="2880" spans="1:27" ht="18" customHeight="1" x14ac:dyDescent="0.25">
      <c r="A2880" s="159" t="s">
        <v>2098</v>
      </c>
      <c r="B2880" s="157" t="s">
        <v>29</v>
      </c>
      <c r="C2880" s="157" t="s">
        <v>30</v>
      </c>
      <c r="D2880" s="159" t="s">
        <v>377</v>
      </c>
      <c r="E2880" s="157" t="s">
        <v>375</v>
      </c>
      <c r="F2880" s="157" t="s">
        <v>1264</v>
      </c>
      <c r="G2880" s="157" t="s">
        <v>1536</v>
      </c>
      <c r="H2880" s="157" t="s">
        <v>1287</v>
      </c>
      <c r="I2880" s="157" t="s">
        <v>1971</v>
      </c>
      <c r="J2880" s="157" t="s">
        <v>1578</v>
      </c>
      <c r="K2880" s="157" t="s">
        <v>1269</v>
      </c>
      <c r="L2880" s="157" t="s">
        <v>8496</v>
      </c>
      <c r="M2880" s="157" t="str">
        <f t="shared" si="59"/>
        <v>Taillamp Assy' - Center - Rear Lamps - Central</v>
      </c>
      <c r="N2880" s="157"/>
      <c r="O2880" s="157"/>
      <c r="P2880" s="159" t="s">
        <v>5818</v>
      </c>
      <c r="Q2880" s="157" t="s">
        <v>2115</v>
      </c>
      <c r="R2880" s="157" t="s">
        <v>2141</v>
      </c>
      <c r="S2880" s="157" t="s">
        <v>8608</v>
      </c>
      <c r="T2880" s="157" t="s">
        <v>2129</v>
      </c>
      <c r="U2880" s="159" t="s">
        <v>2129</v>
      </c>
      <c r="V2880" s="159" t="s">
        <v>2129</v>
      </c>
      <c r="W2880" s="159" t="s">
        <v>2129</v>
      </c>
      <c r="X2880" s="160">
        <v>0</v>
      </c>
      <c r="Y2880" s="160">
        <v>0</v>
      </c>
      <c r="Z2880" s="160">
        <v>1</v>
      </c>
      <c r="AA2880" s="160">
        <v>1</v>
      </c>
    </row>
    <row r="2881" spans="1:27" ht="18" customHeight="1" x14ac:dyDescent="0.25">
      <c r="A2881" s="159" t="s">
        <v>2098</v>
      </c>
      <c r="B2881" s="157" t="s">
        <v>29</v>
      </c>
      <c r="C2881" s="157" t="s">
        <v>30</v>
      </c>
      <c r="D2881" s="159" t="s">
        <v>380</v>
      </c>
      <c r="E2881" s="157" t="s">
        <v>378</v>
      </c>
      <c r="F2881" s="157" t="s">
        <v>1264</v>
      </c>
      <c r="G2881" s="157" t="s">
        <v>1536</v>
      </c>
      <c r="H2881" s="157" t="s">
        <v>1287</v>
      </c>
      <c r="I2881" s="157" t="s">
        <v>1971</v>
      </c>
      <c r="J2881" s="157" t="s">
        <v>1578</v>
      </c>
      <c r="K2881" s="157" t="s">
        <v>1269</v>
      </c>
      <c r="L2881" s="157" t="s">
        <v>8496</v>
      </c>
      <c r="M2881" s="157" t="str">
        <f t="shared" si="59"/>
        <v>Taillamp Assy' - Center - Rear Lamps - Central</v>
      </c>
      <c r="N2881" s="157"/>
      <c r="O2881" s="157"/>
      <c r="P2881" s="159" t="s">
        <v>5818</v>
      </c>
      <c r="Q2881" s="157" t="s">
        <v>2115</v>
      </c>
      <c r="R2881" s="157" t="s">
        <v>2141</v>
      </c>
      <c r="S2881" s="157" t="s">
        <v>8608</v>
      </c>
      <c r="T2881" s="157" t="s">
        <v>2129</v>
      </c>
      <c r="U2881" s="159" t="s">
        <v>2129</v>
      </c>
      <c r="V2881" s="159" t="s">
        <v>2129</v>
      </c>
      <c r="W2881" s="159" t="s">
        <v>2129</v>
      </c>
      <c r="X2881" s="160">
        <v>0</v>
      </c>
      <c r="Y2881" s="160">
        <v>0</v>
      </c>
      <c r="Z2881" s="160">
        <v>1</v>
      </c>
      <c r="AA2881" s="160">
        <v>1</v>
      </c>
    </row>
    <row r="2882" spans="1:27" ht="18" customHeight="1" x14ac:dyDescent="0.25">
      <c r="A2882" s="159" t="s">
        <v>2098</v>
      </c>
      <c r="B2882" s="157" t="s">
        <v>29</v>
      </c>
      <c r="C2882" s="157" t="s">
        <v>30</v>
      </c>
      <c r="D2882" s="159" t="s">
        <v>398</v>
      </c>
      <c r="E2882" s="157" t="s">
        <v>396</v>
      </c>
      <c r="F2882" s="157" t="s">
        <v>1264</v>
      </c>
      <c r="G2882" s="157" t="s">
        <v>1536</v>
      </c>
      <c r="H2882" s="157" t="s">
        <v>1287</v>
      </c>
      <c r="I2882" s="157" t="s">
        <v>1971</v>
      </c>
      <c r="J2882" s="157" t="s">
        <v>1578</v>
      </c>
      <c r="K2882" s="157" t="s">
        <v>1269</v>
      </c>
      <c r="L2882" s="157" t="s">
        <v>8496</v>
      </c>
      <c r="M2882" s="157" t="str">
        <f t="shared" si="59"/>
        <v>Taillamp Assy' - Center - Rear Lamps - Central</v>
      </c>
      <c r="N2882" s="157"/>
      <c r="O2882" s="157"/>
      <c r="P2882" s="159" t="s">
        <v>5818</v>
      </c>
      <c r="Q2882" s="157" t="s">
        <v>2115</v>
      </c>
      <c r="R2882" s="157" t="s">
        <v>2141</v>
      </c>
      <c r="S2882" s="157" t="s">
        <v>8608</v>
      </c>
      <c r="T2882" s="157" t="s">
        <v>2129</v>
      </c>
      <c r="U2882" s="159" t="s">
        <v>2129</v>
      </c>
      <c r="V2882" s="159" t="s">
        <v>2129</v>
      </c>
      <c r="W2882" s="159" t="s">
        <v>2129</v>
      </c>
      <c r="X2882" s="160">
        <v>0</v>
      </c>
      <c r="Y2882" s="160">
        <v>0</v>
      </c>
      <c r="Z2882" s="160">
        <v>1</v>
      </c>
      <c r="AA2882" s="160">
        <v>1</v>
      </c>
    </row>
    <row r="2883" spans="1:27" ht="18" customHeight="1" x14ac:dyDescent="0.25">
      <c r="A2883" s="159" t="s">
        <v>2098</v>
      </c>
      <c r="B2883" s="157" t="s">
        <v>29</v>
      </c>
      <c r="C2883" s="157" t="s">
        <v>30</v>
      </c>
      <c r="D2883" s="159" t="s">
        <v>408</v>
      </c>
      <c r="E2883" s="157" t="s">
        <v>406</v>
      </c>
      <c r="F2883" s="157" t="s">
        <v>1264</v>
      </c>
      <c r="G2883" s="157" t="s">
        <v>1536</v>
      </c>
      <c r="H2883" s="157" t="s">
        <v>1287</v>
      </c>
      <c r="I2883" s="157" t="s">
        <v>1971</v>
      </c>
      <c r="J2883" s="157" t="s">
        <v>1578</v>
      </c>
      <c r="K2883" s="157" t="s">
        <v>1269</v>
      </c>
      <c r="L2883" s="157" t="s">
        <v>8496</v>
      </c>
      <c r="M2883" s="157" t="str">
        <f t="shared" si="59"/>
        <v>Taillamp Assy' - Center - Rear Lamps - Central</v>
      </c>
      <c r="N2883" s="157"/>
      <c r="O2883" s="157"/>
      <c r="P2883" s="159" t="s">
        <v>5818</v>
      </c>
      <c r="Q2883" s="157" t="s">
        <v>2115</v>
      </c>
      <c r="R2883" s="157" t="s">
        <v>2141</v>
      </c>
      <c r="S2883" s="157" t="s">
        <v>8608</v>
      </c>
      <c r="T2883" s="157" t="s">
        <v>2129</v>
      </c>
      <c r="U2883" s="159" t="s">
        <v>2129</v>
      </c>
      <c r="V2883" s="159" t="s">
        <v>2129</v>
      </c>
      <c r="W2883" s="159" t="s">
        <v>2129</v>
      </c>
      <c r="X2883" s="160">
        <v>0</v>
      </c>
      <c r="Y2883" s="160">
        <v>0</v>
      </c>
      <c r="Z2883" s="160">
        <v>1</v>
      </c>
      <c r="AA2883" s="160">
        <v>1</v>
      </c>
    </row>
    <row r="2884" spans="1:27" ht="18" customHeight="1" x14ac:dyDescent="0.25">
      <c r="A2884" s="159" t="s">
        <v>8561</v>
      </c>
      <c r="B2884" s="157" t="s">
        <v>29</v>
      </c>
      <c r="C2884" s="157" t="s">
        <v>69</v>
      </c>
      <c r="D2884" s="159" t="s">
        <v>945</v>
      </c>
      <c r="E2884" s="157" t="s">
        <v>943</v>
      </c>
      <c r="F2884" s="157"/>
      <c r="G2884" s="157" t="s">
        <v>1321</v>
      </c>
      <c r="H2884" s="157" t="s">
        <v>1322</v>
      </c>
      <c r="I2884" s="157" t="s">
        <v>8562</v>
      </c>
      <c r="J2884" s="157" t="s">
        <v>1324</v>
      </c>
      <c r="K2884" s="157" t="s">
        <v>1269</v>
      </c>
      <c r="L2884" s="157" t="s">
        <v>8560</v>
      </c>
      <c r="M2884" s="157" t="str">
        <f t="shared" si="59"/>
        <v>Charge Port Flap - Charging Access</v>
      </c>
      <c r="N2884" s="157"/>
      <c r="O2884" s="157"/>
      <c r="P2884" s="159" t="s">
        <v>7617</v>
      </c>
      <c r="Q2884" s="157" t="s">
        <v>2115</v>
      </c>
      <c r="R2884" s="157" t="s">
        <v>8563</v>
      </c>
      <c r="S2884" s="157" t="s">
        <v>8565</v>
      </c>
      <c r="T2884" s="157"/>
      <c r="U2884" s="159" t="s">
        <v>2129</v>
      </c>
      <c r="V2884" s="159" t="s">
        <v>2129</v>
      </c>
      <c r="W2884" s="159" t="s">
        <v>2138</v>
      </c>
      <c r="X2884" s="160">
        <v>0</v>
      </c>
      <c r="Y2884" s="160">
        <v>0</v>
      </c>
      <c r="Z2884" s="160">
        <v>0</v>
      </c>
      <c r="AA2884" s="160">
        <v>0</v>
      </c>
    </row>
    <row r="2885" spans="1:27" ht="18" customHeight="1" x14ac:dyDescent="0.25">
      <c r="A2885" s="159" t="s">
        <v>8561</v>
      </c>
      <c r="B2885" s="157" t="s">
        <v>199</v>
      </c>
      <c r="C2885" s="157" t="s">
        <v>485</v>
      </c>
      <c r="D2885" s="159" t="s">
        <v>488</v>
      </c>
      <c r="E2885" s="157" t="s">
        <v>1319</v>
      </c>
      <c r="F2885" s="157" t="s">
        <v>1320</v>
      </c>
      <c r="G2885" s="157" t="s">
        <v>1321</v>
      </c>
      <c r="H2885" s="157" t="s">
        <v>1322</v>
      </c>
      <c r="I2885" s="157" t="s">
        <v>8562</v>
      </c>
      <c r="J2885" s="157" t="s">
        <v>1324</v>
      </c>
      <c r="K2885" s="157" t="s">
        <v>1269</v>
      </c>
      <c r="L2885" s="157" t="s">
        <v>8560</v>
      </c>
      <c r="M2885" s="157" t="str">
        <f t="shared" si="59"/>
        <v>Charge Port Flap - Charging Access</v>
      </c>
      <c r="N2885" s="157"/>
      <c r="O2885" s="157"/>
      <c r="P2885" s="159" t="s">
        <v>7617</v>
      </c>
      <c r="Q2885" s="157" t="s">
        <v>2115</v>
      </c>
      <c r="R2885" s="157" t="s">
        <v>8563</v>
      </c>
      <c r="S2885" s="157" t="s">
        <v>8565</v>
      </c>
      <c r="T2885" s="157"/>
      <c r="U2885" s="159" t="s">
        <v>2129</v>
      </c>
      <c r="V2885" s="159" t="s">
        <v>2129</v>
      </c>
      <c r="W2885" s="159" t="s">
        <v>2138</v>
      </c>
      <c r="X2885" s="160">
        <v>0</v>
      </c>
      <c r="Y2885" s="160">
        <v>0</v>
      </c>
      <c r="Z2885" s="160">
        <v>0</v>
      </c>
      <c r="AA2885" s="160">
        <v>0</v>
      </c>
    </row>
    <row r="2886" spans="1:27" ht="18" customHeight="1" x14ac:dyDescent="0.25">
      <c r="A2886" s="159" t="s">
        <v>8561</v>
      </c>
      <c r="B2886" s="157" t="s">
        <v>199</v>
      </c>
      <c r="C2886" s="157" t="s">
        <v>485</v>
      </c>
      <c r="D2886" s="159" t="s">
        <v>630</v>
      </c>
      <c r="E2886" s="157" t="s">
        <v>628</v>
      </c>
      <c r="F2886" s="157"/>
      <c r="G2886" s="157" t="s">
        <v>1321</v>
      </c>
      <c r="H2886" s="157" t="s">
        <v>1322</v>
      </c>
      <c r="I2886" s="157" t="s">
        <v>8562</v>
      </c>
      <c r="J2886" s="157" t="s">
        <v>1324</v>
      </c>
      <c r="K2886" s="157" t="s">
        <v>1269</v>
      </c>
      <c r="L2886" s="157" t="s">
        <v>8560</v>
      </c>
      <c r="M2886" s="157" t="str">
        <f t="shared" si="59"/>
        <v>Charge Port Flap - Charging Access</v>
      </c>
      <c r="N2886" s="157"/>
      <c r="O2886" s="157"/>
      <c r="P2886" s="159" t="s">
        <v>7617</v>
      </c>
      <c r="Q2886" s="157" t="s">
        <v>2115</v>
      </c>
      <c r="R2886" s="157" t="s">
        <v>8563</v>
      </c>
      <c r="S2886" s="157" t="s">
        <v>8565</v>
      </c>
      <c r="T2886" s="157"/>
      <c r="U2886" s="159" t="s">
        <v>2129</v>
      </c>
      <c r="V2886" s="159" t="s">
        <v>2129</v>
      </c>
      <c r="W2886" s="159" t="s">
        <v>2138</v>
      </c>
      <c r="X2886" s="160">
        <v>0</v>
      </c>
      <c r="Y2886" s="160">
        <v>0</v>
      </c>
      <c r="Z2886" s="160">
        <v>0</v>
      </c>
      <c r="AA2886" s="160">
        <v>0</v>
      </c>
    </row>
    <row r="2887" spans="1:27" ht="18" customHeight="1" x14ac:dyDescent="0.25">
      <c r="A2887" s="159" t="s">
        <v>8561</v>
      </c>
      <c r="B2887" s="157" t="s">
        <v>199</v>
      </c>
      <c r="C2887" s="157" t="s">
        <v>485</v>
      </c>
      <c r="D2887" s="159" t="s">
        <v>633</v>
      </c>
      <c r="E2887" s="157" t="s">
        <v>1325</v>
      </c>
      <c r="F2887" s="157"/>
      <c r="G2887" s="157" t="s">
        <v>1321</v>
      </c>
      <c r="H2887" s="157" t="s">
        <v>1322</v>
      </c>
      <c r="I2887" s="157" t="s">
        <v>8562</v>
      </c>
      <c r="J2887" s="157" t="s">
        <v>1324</v>
      </c>
      <c r="K2887" s="157" t="s">
        <v>1269</v>
      </c>
      <c r="L2887" s="157" t="s">
        <v>8560</v>
      </c>
      <c r="M2887" s="157" t="str">
        <f t="shared" si="59"/>
        <v>Charge Port Flap - Charging Access</v>
      </c>
      <c r="N2887" s="157"/>
      <c r="O2887" s="157"/>
      <c r="P2887" s="159" t="s">
        <v>7617</v>
      </c>
      <c r="Q2887" s="157" t="s">
        <v>2115</v>
      </c>
      <c r="R2887" s="157" t="s">
        <v>8563</v>
      </c>
      <c r="S2887" s="157" t="s">
        <v>8565</v>
      </c>
      <c r="T2887" s="157"/>
      <c r="U2887" s="159" t="s">
        <v>2129</v>
      </c>
      <c r="V2887" s="159" t="s">
        <v>2129</v>
      </c>
      <c r="W2887" s="159" t="s">
        <v>2138</v>
      </c>
      <c r="X2887" s="160">
        <v>0</v>
      </c>
      <c r="Y2887" s="160">
        <v>0</v>
      </c>
      <c r="Z2887" s="160">
        <v>0</v>
      </c>
      <c r="AA2887" s="160">
        <v>0</v>
      </c>
    </row>
    <row r="2888" spans="1:27" ht="18" customHeight="1" x14ac:dyDescent="0.25">
      <c r="A2888" s="159" t="s">
        <v>8561</v>
      </c>
      <c r="B2888" s="157" t="s">
        <v>199</v>
      </c>
      <c r="C2888" s="157" t="s">
        <v>485</v>
      </c>
      <c r="D2888" s="159" t="s">
        <v>814</v>
      </c>
      <c r="E2888" s="157" t="s">
        <v>812</v>
      </c>
      <c r="F2888" s="157"/>
      <c r="G2888" s="157" t="s">
        <v>1321</v>
      </c>
      <c r="H2888" s="157" t="s">
        <v>1322</v>
      </c>
      <c r="I2888" s="157" t="s">
        <v>8562</v>
      </c>
      <c r="J2888" s="157" t="s">
        <v>1324</v>
      </c>
      <c r="K2888" s="157" t="s">
        <v>1269</v>
      </c>
      <c r="L2888" s="157" t="s">
        <v>8560</v>
      </c>
      <c r="M2888" s="157" t="str">
        <f t="shared" si="59"/>
        <v>Charge Port Flap - Charging Access</v>
      </c>
      <c r="N2888" s="157"/>
      <c r="O2888" s="157"/>
      <c r="P2888" s="159" t="s">
        <v>7617</v>
      </c>
      <c r="Q2888" s="157" t="s">
        <v>2115</v>
      </c>
      <c r="R2888" s="157" t="s">
        <v>8563</v>
      </c>
      <c r="S2888" s="157" t="s">
        <v>8565</v>
      </c>
      <c r="T2888" s="157"/>
      <c r="U2888" s="159" t="s">
        <v>2129</v>
      </c>
      <c r="V2888" s="159" t="s">
        <v>2129</v>
      </c>
      <c r="W2888" s="159" t="s">
        <v>2138</v>
      </c>
      <c r="X2888" s="160">
        <v>0</v>
      </c>
      <c r="Y2888" s="160">
        <v>0</v>
      </c>
      <c r="Z2888" s="160">
        <v>0</v>
      </c>
      <c r="AA2888" s="160">
        <v>0</v>
      </c>
    </row>
    <row r="2889" spans="1:27" ht="18" customHeight="1" x14ac:dyDescent="0.25">
      <c r="A2889" s="159" t="s">
        <v>8561</v>
      </c>
      <c r="B2889" s="157" t="s">
        <v>199</v>
      </c>
      <c r="C2889" s="157" t="s">
        <v>485</v>
      </c>
      <c r="D2889" s="159" t="s">
        <v>817</v>
      </c>
      <c r="E2889" s="157" t="s">
        <v>815</v>
      </c>
      <c r="F2889" s="157"/>
      <c r="G2889" s="157" t="s">
        <v>1321</v>
      </c>
      <c r="H2889" s="157" t="s">
        <v>1322</v>
      </c>
      <c r="I2889" s="157" t="s">
        <v>8562</v>
      </c>
      <c r="J2889" s="157" t="s">
        <v>1324</v>
      </c>
      <c r="K2889" s="157" t="s">
        <v>1269</v>
      </c>
      <c r="L2889" s="157" t="s">
        <v>8560</v>
      </c>
      <c r="M2889" s="157" t="str">
        <f t="shared" si="59"/>
        <v>Charge Port Flap - Charging Access</v>
      </c>
      <c r="N2889" s="157"/>
      <c r="O2889" s="157"/>
      <c r="P2889" s="159" t="s">
        <v>7617</v>
      </c>
      <c r="Q2889" s="157" t="s">
        <v>2115</v>
      </c>
      <c r="R2889" s="157" t="s">
        <v>8563</v>
      </c>
      <c r="S2889" s="157" t="s">
        <v>8565</v>
      </c>
      <c r="T2889" s="157"/>
      <c r="U2889" s="159" t="s">
        <v>2129</v>
      </c>
      <c r="V2889" s="159" t="s">
        <v>2129</v>
      </c>
      <c r="W2889" s="159" t="s">
        <v>2138</v>
      </c>
      <c r="X2889" s="160">
        <v>0</v>
      </c>
      <c r="Y2889" s="160">
        <v>0</v>
      </c>
      <c r="Z2889" s="160">
        <v>0</v>
      </c>
      <c r="AA2889" s="160">
        <v>0</v>
      </c>
    </row>
    <row r="2890" spans="1:27" ht="18" customHeight="1" x14ac:dyDescent="0.25">
      <c r="A2890" s="159" t="s">
        <v>8561</v>
      </c>
      <c r="B2890" s="157" t="s">
        <v>199</v>
      </c>
      <c r="C2890" s="157" t="s">
        <v>485</v>
      </c>
      <c r="D2890" s="159" t="s">
        <v>967</v>
      </c>
      <c r="E2890" s="157" t="s">
        <v>965</v>
      </c>
      <c r="F2890" s="157"/>
      <c r="G2890" s="157" t="s">
        <v>1321</v>
      </c>
      <c r="H2890" s="157" t="s">
        <v>1322</v>
      </c>
      <c r="I2890" s="157" t="s">
        <v>8562</v>
      </c>
      <c r="J2890" s="157" t="s">
        <v>1324</v>
      </c>
      <c r="K2890" s="157" t="s">
        <v>1269</v>
      </c>
      <c r="L2890" s="157" t="s">
        <v>8560</v>
      </c>
      <c r="M2890" s="157" t="str">
        <f t="shared" ref="M2890:M2953" si="60">CONCATENATE(L2890," - ",I2890)</f>
        <v>Charge Port Flap - Charging Access</v>
      </c>
      <c r="N2890" s="157"/>
      <c r="O2890" s="157"/>
      <c r="P2890" s="159" t="s">
        <v>7617</v>
      </c>
      <c r="Q2890" s="157" t="s">
        <v>2115</v>
      </c>
      <c r="R2890" s="157" t="s">
        <v>8563</v>
      </c>
      <c r="S2890" s="157" t="s">
        <v>8565</v>
      </c>
      <c r="T2890" s="157"/>
      <c r="U2890" s="159" t="s">
        <v>2129</v>
      </c>
      <c r="V2890" s="159" t="s">
        <v>2129</v>
      </c>
      <c r="W2890" s="159" t="s">
        <v>2138</v>
      </c>
      <c r="X2890" s="160">
        <v>0</v>
      </c>
      <c r="Y2890" s="160">
        <v>0</v>
      </c>
      <c r="Z2890" s="160">
        <v>0</v>
      </c>
      <c r="AA2890" s="160">
        <v>0</v>
      </c>
    </row>
  </sheetData>
  <autoFilter ref="A9:AA2890" xr:uid="{00000000-0009-0000-0000-000002000000}"/>
  <sortState xmlns:xlrd2="http://schemas.microsoft.com/office/spreadsheetml/2017/richdata2" ref="A10:AA2890">
    <sortCondition ref="A10:A2890"/>
    <sortCondition ref="B10:B2890"/>
    <sortCondition ref="C10:C2890"/>
    <sortCondition ref="D10:D2890"/>
    <sortCondition ref="E10:E2890"/>
    <sortCondition ref="L10:L2890"/>
  </sortState>
  <mergeCells count="7">
    <mergeCell ref="A2:B2"/>
    <mergeCell ref="X6:AA6"/>
    <mergeCell ref="U7:W7"/>
    <mergeCell ref="G6:H6"/>
    <mergeCell ref="Q7:T7"/>
    <mergeCell ref="U6:W6"/>
    <mergeCell ref="I6:T6"/>
  </mergeCells>
  <phoneticPr fontId="19" type="noConversion"/>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74"/>
  <sheetViews>
    <sheetView workbookViewId="0"/>
  </sheetViews>
  <sheetFormatPr baseColWidth="10" defaultRowHeight="13.8" x14ac:dyDescent="0.25"/>
  <cols>
    <col min="1" max="1" width="23" bestFit="1" customWidth="1"/>
    <col min="2" max="2" width="17.19921875" bestFit="1" customWidth="1"/>
    <col min="3" max="3" width="17.5" bestFit="1" customWidth="1"/>
    <col min="4" max="4" width="7.09765625" bestFit="1" customWidth="1"/>
    <col min="5" max="5" width="16.3984375" bestFit="1" customWidth="1"/>
  </cols>
  <sheetData>
    <row r="1" spans="1:2" x14ac:dyDescent="0.25">
      <c r="A1" s="152" t="s">
        <v>8556</v>
      </c>
      <c r="B1" t="s">
        <v>9531</v>
      </c>
    </row>
    <row r="2" spans="1:2" x14ac:dyDescent="0.25">
      <c r="A2" s="153">
        <v>1</v>
      </c>
      <c r="B2" s="184">
        <v>5</v>
      </c>
    </row>
    <row r="3" spans="1:2" x14ac:dyDescent="0.25">
      <c r="A3" s="153">
        <v>8</v>
      </c>
      <c r="B3" s="184">
        <v>1</v>
      </c>
    </row>
    <row r="4" spans="1:2" x14ac:dyDescent="0.25">
      <c r="A4" s="153">
        <v>9</v>
      </c>
      <c r="B4" s="184">
        <v>1</v>
      </c>
    </row>
    <row r="5" spans="1:2" x14ac:dyDescent="0.25">
      <c r="A5" s="153">
        <v>30</v>
      </c>
      <c r="B5" s="184">
        <v>2</v>
      </c>
    </row>
    <row r="6" spans="1:2" x14ac:dyDescent="0.25">
      <c r="A6" s="153">
        <v>33</v>
      </c>
      <c r="B6" s="184">
        <v>1</v>
      </c>
    </row>
    <row r="7" spans="1:2" x14ac:dyDescent="0.25">
      <c r="A7" s="153">
        <v>34</v>
      </c>
      <c r="B7" s="184">
        <v>1</v>
      </c>
    </row>
    <row r="8" spans="1:2" x14ac:dyDescent="0.25">
      <c r="A8" s="153">
        <v>35</v>
      </c>
      <c r="B8" s="184">
        <v>2</v>
      </c>
    </row>
    <row r="9" spans="1:2" x14ac:dyDescent="0.25">
      <c r="A9" s="153">
        <v>36</v>
      </c>
      <c r="B9" s="184">
        <v>10</v>
      </c>
    </row>
    <row r="10" spans="1:2" x14ac:dyDescent="0.25">
      <c r="A10" s="153">
        <v>37</v>
      </c>
      <c r="B10" s="184">
        <v>3</v>
      </c>
    </row>
    <row r="11" spans="1:2" x14ac:dyDescent="0.25">
      <c r="A11" s="153">
        <v>38</v>
      </c>
      <c r="B11" s="184">
        <v>1</v>
      </c>
    </row>
    <row r="12" spans="1:2" x14ac:dyDescent="0.25">
      <c r="A12" s="153">
        <v>39</v>
      </c>
      <c r="B12" s="184">
        <v>1</v>
      </c>
    </row>
    <row r="13" spans="1:2" x14ac:dyDescent="0.25">
      <c r="A13" s="153">
        <v>40</v>
      </c>
      <c r="B13" s="184">
        <v>1</v>
      </c>
    </row>
    <row r="14" spans="1:2" x14ac:dyDescent="0.25">
      <c r="A14" s="153">
        <v>42</v>
      </c>
      <c r="B14" s="184">
        <v>1</v>
      </c>
    </row>
    <row r="15" spans="1:2" x14ac:dyDescent="0.25">
      <c r="A15" s="153">
        <v>45</v>
      </c>
      <c r="B15" s="184">
        <v>1</v>
      </c>
    </row>
    <row r="16" spans="1:2" x14ac:dyDescent="0.25">
      <c r="A16" s="153">
        <v>48</v>
      </c>
      <c r="B16" s="184">
        <v>1</v>
      </c>
    </row>
    <row r="17" spans="1:2" x14ac:dyDescent="0.25">
      <c r="A17" s="153">
        <v>49</v>
      </c>
      <c r="B17" s="184">
        <v>1</v>
      </c>
    </row>
    <row r="18" spans="1:2" x14ac:dyDescent="0.25">
      <c r="A18" s="153">
        <v>52</v>
      </c>
      <c r="B18" s="184">
        <v>1</v>
      </c>
    </row>
    <row r="19" spans="1:2" x14ac:dyDescent="0.25">
      <c r="A19" s="153">
        <v>53</v>
      </c>
      <c r="B19" s="184">
        <v>1</v>
      </c>
    </row>
    <row r="20" spans="1:2" x14ac:dyDescent="0.25">
      <c r="A20" s="153">
        <v>65</v>
      </c>
      <c r="B20" s="184">
        <v>1</v>
      </c>
    </row>
    <row r="21" spans="1:2" x14ac:dyDescent="0.25">
      <c r="A21" s="153">
        <v>66</v>
      </c>
      <c r="B21" s="184">
        <v>1</v>
      </c>
    </row>
    <row r="22" spans="1:2" x14ac:dyDescent="0.25">
      <c r="A22" s="153">
        <v>80</v>
      </c>
      <c r="B22" s="184">
        <v>7</v>
      </c>
    </row>
    <row r="23" spans="1:2" x14ac:dyDescent="0.25">
      <c r="A23" s="153">
        <v>81</v>
      </c>
      <c r="B23" s="184">
        <v>1</v>
      </c>
    </row>
    <row r="24" spans="1:2" x14ac:dyDescent="0.25">
      <c r="A24" s="153">
        <v>83</v>
      </c>
      <c r="B24" s="184">
        <v>3</v>
      </c>
    </row>
    <row r="25" spans="1:2" x14ac:dyDescent="0.25">
      <c r="A25" s="153">
        <v>88</v>
      </c>
      <c r="B25" s="184">
        <v>1</v>
      </c>
    </row>
    <row r="26" spans="1:2" x14ac:dyDescent="0.25">
      <c r="A26" s="153">
        <v>89</v>
      </c>
      <c r="B26" s="184">
        <v>1</v>
      </c>
    </row>
    <row r="27" spans="1:2" x14ac:dyDescent="0.25">
      <c r="A27" s="153">
        <v>90</v>
      </c>
      <c r="B27" s="184">
        <v>1</v>
      </c>
    </row>
    <row r="28" spans="1:2" x14ac:dyDescent="0.25">
      <c r="A28" s="153">
        <v>92</v>
      </c>
      <c r="B28" s="184">
        <v>11</v>
      </c>
    </row>
    <row r="29" spans="1:2" x14ac:dyDescent="0.25">
      <c r="A29" s="153">
        <v>93</v>
      </c>
      <c r="B29" s="184">
        <v>1</v>
      </c>
    </row>
    <row r="30" spans="1:2" x14ac:dyDescent="0.25">
      <c r="A30" s="153">
        <v>94</v>
      </c>
      <c r="B30" s="184">
        <v>2</v>
      </c>
    </row>
    <row r="31" spans="1:2" x14ac:dyDescent="0.25">
      <c r="A31" s="153">
        <v>95</v>
      </c>
      <c r="B31" s="184">
        <v>7</v>
      </c>
    </row>
    <row r="32" spans="1:2" x14ac:dyDescent="0.25">
      <c r="A32" s="153">
        <v>96</v>
      </c>
      <c r="B32" s="184">
        <v>1</v>
      </c>
    </row>
    <row r="33" spans="1:2" x14ac:dyDescent="0.25">
      <c r="A33" s="153">
        <v>97</v>
      </c>
      <c r="B33" s="184">
        <v>1</v>
      </c>
    </row>
    <row r="34" spans="1:2" x14ac:dyDescent="0.25">
      <c r="A34" s="153">
        <v>98</v>
      </c>
      <c r="B34" s="184">
        <v>1</v>
      </c>
    </row>
    <row r="35" spans="1:2" x14ac:dyDescent="0.25">
      <c r="A35" s="153">
        <v>99</v>
      </c>
      <c r="B35" s="184">
        <v>1</v>
      </c>
    </row>
    <row r="36" spans="1:2" x14ac:dyDescent="0.25">
      <c r="A36" s="153">
        <v>101</v>
      </c>
      <c r="B36" s="184">
        <v>16</v>
      </c>
    </row>
    <row r="37" spans="1:2" x14ac:dyDescent="0.25">
      <c r="A37" s="153">
        <v>110</v>
      </c>
      <c r="B37" s="184">
        <v>1</v>
      </c>
    </row>
    <row r="38" spans="1:2" x14ac:dyDescent="0.25">
      <c r="A38" s="153">
        <v>111</v>
      </c>
      <c r="B38" s="184">
        <v>2</v>
      </c>
    </row>
    <row r="39" spans="1:2" x14ac:dyDescent="0.25">
      <c r="A39" s="153">
        <v>120</v>
      </c>
      <c r="B39" s="184">
        <v>1</v>
      </c>
    </row>
    <row r="40" spans="1:2" x14ac:dyDescent="0.25">
      <c r="A40" s="153">
        <v>124</v>
      </c>
      <c r="B40" s="184">
        <v>1</v>
      </c>
    </row>
    <row r="41" spans="1:2" x14ac:dyDescent="0.25">
      <c r="A41" s="153">
        <v>125</v>
      </c>
      <c r="B41" s="184">
        <v>1</v>
      </c>
    </row>
    <row r="42" spans="1:2" x14ac:dyDescent="0.25">
      <c r="A42" s="153">
        <v>126</v>
      </c>
      <c r="B42" s="184">
        <v>1</v>
      </c>
    </row>
    <row r="43" spans="1:2" x14ac:dyDescent="0.25">
      <c r="A43" s="153">
        <v>127</v>
      </c>
      <c r="B43" s="184">
        <v>1</v>
      </c>
    </row>
    <row r="44" spans="1:2" x14ac:dyDescent="0.25">
      <c r="A44" s="153">
        <v>154</v>
      </c>
      <c r="B44" s="184">
        <v>1</v>
      </c>
    </row>
    <row r="45" spans="1:2" x14ac:dyDescent="0.25">
      <c r="A45" s="153">
        <v>155</v>
      </c>
      <c r="B45" s="184">
        <v>1</v>
      </c>
    </row>
    <row r="46" spans="1:2" x14ac:dyDescent="0.25">
      <c r="A46" s="153">
        <v>156</v>
      </c>
      <c r="B46" s="184">
        <v>1</v>
      </c>
    </row>
    <row r="47" spans="1:2" x14ac:dyDescent="0.25">
      <c r="A47" s="153">
        <v>157</v>
      </c>
      <c r="B47" s="184">
        <v>1</v>
      </c>
    </row>
    <row r="48" spans="1:2" x14ac:dyDescent="0.25">
      <c r="A48" s="153">
        <v>160</v>
      </c>
      <c r="B48" s="184">
        <v>1</v>
      </c>
    </row>
    <row r="49" spans="1:2" x14ac:dyDescent="0.25">
      <c r="A49" s="153">
        <v>161</v>
      </c>
      <c r="B49" s="184">
        <v>1</v>
      </c>
    </row>
    <row r="50" spans="1:2" x14ac:dyDescent="0.25">
      <c r="A50" s="153">
        <v>162</v>
      </c>
      <c r="B50" s="184">
        <v>1</v>
      </c>
    </row>
    <row r="51" spans="1:2" x14ac:dyDescent="0.25">
      <c r="A51" s="153">
        <v>175</v>
      </c>
      <c r="B51" s="184">
        <v>7</v>
      </c>
    </row>
    <row r="52" spans="1:2" x14ac:dyDescent="0.25">
      <c r="A52" s="153">
        <v>209</v>
      </c>
      <c r="B52" s="184">
        <v>19</v>
      </c>
    </row>
    <row r="53" spans="1:2" x14ac:dyDescent="0.25">
      <c r="A53" s="153">
        <v>210</v>
      </c>
      <c r="B53" s="184">
        <v>2</v>
      </c>
    </row>
    <row r="54" spans="1:2" x14ac:dyDescent="0.25">
      <c r="A54" s="153">
        <v>214</v>
      </c>
      <c r="B54" s="184">
        <v>7</v>
      </c>
    </row>
    <row r="55" spans="1:2" x14ac:dyDescent="0.25">
      <c r="A55" s="153">
        <v>215</v>
      </c>
      <c r="B55" s="184">
        <v>7</v>
      </c>
    </row>
    <row r="56" spans="1:2" x14ac:dyDescent="0.25">
      <c r="A56" s="153">
        <v>216</v>
      </c>
      <c r="B56" s="184">
        <v>13</v>
      </c>
    </row>
    <row r="57" spans="1:2" x14ac:dyDescent="0.25">
      <c r="A57" s="153">
        <v>217</v>
      </c>
      <c r="B57" s="184">
        <v>1</v>
      </c>
    </row>
    <row r="58" spans="1:2" x14ac:dyDescent="0.25">
      <c r="A58" s="153">
        <v>218</v>
      </c>
      <c r="B58" s="184">
        <v>27</v>
      </c>
    </row>
    <row r="59" spans="1:2" x14ac:dyDescent="0.25">
      <c r="A59" s="153">
        <v>220</v>
      </c>
      <c r="B59" s="184">
        <v>7</v>
      </c>
    </row>
    <row r="60" spans="1:2" x14ac:dyDescent="0.25">
      <c r="A60" s="153">
        <v>222</v>
      </c>
      <c r="B60" s="184">
        <v>7</v>
      </c>
    </row>
    <row r="61" spans="1:2" x14ac:dyDescent="0.25">
      <c r="A61" s="153">
        <v>224</v>
      </c>
      <c r="B61" s="184">
        <v>15</v>
      </c>
    </row>
    <row r="62" spans="1:2" x14ac:dyDescent="0.25">
      <c r="A62" s="153">
        <v>225</v>
      </c>
      <c r="B62" s="184">
        <v>24</v>
      </c>
    </row>
    <row r="63" spans="1:2" x14ac:dyDescent="0.25">
      <c r="A63" s="153">
        <v>242</v>
      </c>
      <c r="B63" s="184">
        <v>35</v>
      </c>
    </row>
    <row r="64" spans="1:2" x14ac:dyDescent="0.25">
      <c r="A64" s="153">
        <v>243</v>
      </c>
      <c r="B64" s="184">
        <v>1</v>
      </c>
    </row>
    <row r="65" spans="1:2" x14ac:dyDescent="0.25">
      <c r="A65" s="153">
        <v>249</v>
      </c>
      <c r="B65" s="184">
        <v>1</v>
      </c>
    </row>
    <row r="66" spans="1:2" x14ac:dyDescent="0.25">
      <c r="A66" s="153">
        <v>250</v>
      </c>
      <c r="B66" s="184">
        <v>1</v>
      </c>
    </row>
    <row r="67" spans="1:2" x14ac:dyDescent="0.25">
      <c r="A67" s="153">
        <v>251</v>
      </c>
      <c r="B67" s="184">
        <v>1</v>
      </c>
    </row>
    <row r="68" spans="1:2" x14ac:dyDescent="0.25">
      <c r="A68" s="153">
        <v>253</v>
      </c>
      <c r="B68" s="184">
        <v>11</v>
      </c>
    </row>
    <row r="69" spans="1:2" x14ac:dyDescent="0.25">
      <c r="A69" s="153">
        <v>259</v>
      </c>
      <c r="B69" s="184">
        <v>4</v>
      </c>
    </row>
    <row r="70" spans="1:2" x14ac:dyDescent="0.25">
      <c r="A70" s="153">
        <v>262</v>
      </c>
      <c r="B70" s="184">
        <v>16</v>
      </c>
    </row>
    <row r="71" spans="1:2" x14ac:dyDescent="0.25">
      <c r="A71" s="153">
        <v>265</v>
      </c>
      <c r="B71" s="184">
        <v>2</v>
      </c>
    </row>
    <row r="72" spans="1:2" x14ac:dyDescent="0.25">
      <c r="A72" s="153">
        <v>268</v>
      </c>
      <c r="B72" s="184">
        <v>12</v>
      </c>
    </row>
    <row r="73" spans="1:2" x14ac:dyDescent="0.25">
      <c r="A73" s="153">
        <v>275</v>
      </c>
      <c r="B73" s="184">
        <v>20</v>
      </c>
    </row>
    <row r="74" spans="1:2" x14ac:dyDescent="0.25">
      <c r="A74" s="153">
        <v>341</v>
      </c>
      <c r="B74" s="184">
        <v>2</v>
      </c>
    </row>
    <row r="75" spans="1:2" x14ac:dyDescent="0.25">
      <c r="A75" s="153">
        <v>342</v>
      </c>
      <c r="B75" s="184">
        <v>2</v>
      </c>
    </row>
    <row r="76" spans="1:2" x14ac:dyDescent="0.25">
      <c r="A76" s="153">
        <v>352</v>
      </c>
      <c r="B76" s="184">
        <v>1</v>
      </c>
    </row>
    <row r="77" spans="1:2" x14ac:dyDescent="0.25">
      <c r="A77" s="153">
        <v>353</v>
      </c>
      <c r="B77" s="184">
        <v>1</v>
      </c>
    </row>
    <row r="78" spans="1:2" x14ac:dyDescent="0.25">
      <c r="A78" s="153">
        <v>356</v>
      </c>
      <c r="B78" s="184">
        <v>1</v>
      </c>
    </row>
    <row r="79" spans="1:2" x14ac:dyDescent="0.25">
      <c r="A79" s="153">
        <v>369</v>
      </c>
      <c r="B79" s="184">
        <v>1</v>
      </c>
    </row>
    <row r="80" spans="1:2" x14ac:dyDescent="0.25">
      <c r="A80" s="153">
        <v>371</v>
      </c>
      <c r="B80" s="184">
        <v>1</v>
      </c>
    </row>
    <row r="81" spans="1:2" x14ac:dyDescent="0.25">
      <c r="A81" s="153">
        <v>384</v>
      </c>
      <c r="B81" s="184">
        <v>1</v>
      </c>
    </row>
    <row r="82" spans="1:2" x14ac:dyDescent="0.25">
      <c r="A82" s="153">
        <v>385</v>
      </c>
      <c r="B82" s="184">
        <v>1</v>
      </c>
    </row>
    <row r="83" spans="1:2" x14ac:dyDescent="0.25">
      <c r="A83" s="153">
        <v>387</v>
      </c>
      <c r="B83" s="184">
        <v>2</v>
      </c>
    </row>
    <row r="84" spans="1:2" x14ac:dyDescent="0.25">
      <c r="A84" s="153">
        <v>389</v>
      </c>
      <c r="B84" s="184">
        <v>3</v>
      </c>
    </row>
    <row r="85" spans="1:2" x14ac:dyDescent="0.25">
      <c r="A85" s="153">
        <v>392</v>
      </c>
      <c r="B85" s="184">
        <v>1</v>
      </c>
    </row>
    <row r="86" spans="1:2" x14ac:dyDescent="0.25">
      <c r="A86" s="153">
        <v>393</v>
      </c>
      <c r="B86" s="184">
        <v>1</v>
      </c>
    </row>
    <row r="87" spans="1:2" x14ac:dyDescent="0.25">
      <c r="A87" s="153">
        <v>395</v>
      </c>
      <c r="B87" s="184">
        <v>3</v>
      </c>
    </row>
    <row r="88" spans="1:2" x14ac:dyDescent="0.25">
      <c r="A88" s="153">
        <v>396</v>
      </c>
      <c r="B88" s="184">
        <v>2</v>
      </c>
    </row>
    <row r="89" spans="1:2" x14ac:dyDescent="0.25">
      <c r="A89" s="153">
        <v>397</v>
      </c>
      <c r="B89" s="184">
        <v>2</v>
      </c>
    </row>
    <row r="90" spans="1:2" x14ac:dyDescent="0.25">
      <c r="A90" s="153">
        <v>398</v>
      </c>
      <c r="B90" s="184">
        <v>1</v>
      </c>
    </row>
    <row r="91" spans="1:2" x14ac:dyDescent="0.25">
      <c r="A91" s="153">
        <v>402</v>
      </c>
      <c r="B91" s="184">
        <v>1</v>
      </c>
    </row>
    <row r="92" spans="1:2" x14ac:dyDescent="0.25">
      <c r="A92" s="153">
        <v>403</v>
      </c>
      <c r="B92" s="184">
        <v>1</v>
      </c>
    </row>
    <row r="93" spans="1:2" x14ac:dyDescent="0.25">
      <c r="A93" s="153">
        <v>405</v>
      </c>
      <c r="B93" s="184">
        <v>3</v>
      </c>
    </row>
    <row r="94" spans="1:2" x14ac:dyDescent="0.25">
      <c r="A94" s="153">
        <v>406</v>
      </c>
      <c r="B94" s="184">
        <v>2</v>
      </c>
    </row>
    <row r="95" spans="1:2" x14ac:dyDescent="0.25">
      <c r="A95" s="153">
        <v>407</v>
      </c>
      <c r="B95" s="184">
        <v>2</v>
      </c>
    </row>
    <row r="96" spans="1:2" x14ac:dyDescent="0.25">
      <c r="A96" s="153">
        <v>408</v>
      </c>
      <c r="B96" s="184">
        <v>1</v>
      </c>
    </row>
    <row r="97" spans="1:2" x14ac:dyDescent="0.25">
      <c r="A97" s="153">
        <v>415</v>
      </c>
      <c r="B97" s="184">
        <v>11</v>
      </c>
    </row>
    <row r="98" spans="1:2" x14ac:dyDescent="0.25">
      <c r="A98" s="153">
        <v>416</v>
      </c>
      <c r="B98" s="184">
        <v>11</v>
      </c>
    </row>
    <row r="99" spans="1:2" x14ac:dyDescent="0.25">
      <c r="A99" s="153">
        <v>417</v>
      </c>
      <c r="B99" s="184">
        <v>1</v>
      </c>
    </row>
    <row r="100" spans="1:2" x14ac:dyDescent="0.25">
      <c r="A100" s="153">
        <v>418</v>
      </c>
      <c r="B100" s="184">
        <v>2</v>
      </c>
    </row>
    <row r="101" spans="1:2" x14ac:dyDescent="0.25">
      <c r="A101" s="153">
        <v>419</v>
      </c>
      <c r="B101" s="184">
        <v>2</v>
      </c>
    </row>
    <row r="102" spans="1:2" x14ac:dyDescent="0.25">
      <c r="A102" s="153">
        <v>420</v>
      </c>
      <c r="B102" s="184">
        <v>1</v>
      </c>
    </row>
    <row r="103" spans="1:2" x14ac:dyDescent="0.25">
      <c r="A103" s="153">
        <v>422</v>
      </c>
      <c r="B103" s="184">
        <v>1</v>
      </c>
    </row>
    <row r="104" spans="1:2" x14ac:dyDescent="0.25">
      <c r="A104" s="153">
        <v>424</v>
      </c>
      <c r="B104" s="184">
        <v>1</v>
      </c>
    </row>
    <row r="105" spans="1:2" x14ac:dyDescent="0.25">
      <c r="A105" s="153">
        <v>489</v>
      </c>
      <c r="B105" s="184">
        <v>1</v>
      </c>
    </row>
    <row r="106" spans="1:2" x14ac:dyDescent="0.25">
      <c r="A106" s="153">
        <v>490</v>
      </c>
      <c r="B106" s="184">
        <v>1</v>
      </c>
    </row>
    <row r="107" spans="1:2" x14ac:dyDescent="0.25">
      <c r="A107" s="153">
        <v>491</v>
      </c>
      <c r="B107" s="184">
        <v>1</v>
      </c>
    </row>
    <row r="108" spans="1:2" x14ac:dyDescent="0.25">
      <c r="A108" s="153">
        <v>508</v>
      </c>
      <c r="B108" s="184">
        <v>6</v>
      </c>
    </row>
    <row r="109" spans="1:2" x14ac:dyDescent="0.25">
      <c r="A109" s="153">
        <v>509</v>
      </c>
      <c r="B109" s="184">
        <v>6</v>
      </c>
    </row>
    <row r="110" spans="1:2" x14ac:dyDescent="0.25">
      <c r="A110" s="153">
        <v>517</v>
      </c>
      <c r="B110" s="184">
        <v>6</v>
      </c>
    </row>
    <row r="111" spans="1:2" x14ac:dyDescent="0.25">
      <c r="A111" s="153">
        <v>518</v>
      </c>
      <c r="B111" s="184">
        <v>6</v>
      </c>
    </row>
    <row r="112" spans="1:2" x14ac:dyDescent="0.25">
      <c r="A112" s="153">
        <v>519</v>
      </c>
      <c r="B112" s="184">
        <v>6</v>
      </c>
    </row>
    <row r="113" spans="1:2" x14ac:dyDescent="0.25">
      <c r="A113" s="153">
        <v>523</v>
      </c>
      <c r="B113" s="184">
        <v>4</v>
      </c>
    </row>
    <row r="114" spans="1:2" x14ac:dyDescent="0.25">
      <c r="A114" s="153">
        <v>525</v>
      </c>
      <c r="B114" s="184">
        <v>3</v>
      </c>
    </row>
    <row r="115" spans="1:2" x14ac:dyDescent="0.25">
      <c r="A115" s="153">
        <v>526</v>
      </c>
      <c r="B115" s="184">
        <v>3</v>
      </c>
    </row>
    <row r="116" spans="1:2" x14ac:dyDescent="0.25">
      <c r="A116" s="153">
        <v>527</v>
      </c>
      <c r="B116" s="184">
        <v>1</v>
      </c>
    </row>
    <row r="117" spans="1:2" x14ac:dyDescent="0.25">
      <c r="A117" s="153">
        <v>528</v>
      </c>
      <c r="B117" s="184">
        <v>1</v>
      </c>
    </row>
    <row r="118" spans="1:2" x14ac:dyDescent="0.25">
      <c r="A118" s="153">
        <v>530</v>
      </c>
      <c r="B118" s="184">
        <v>1</v>
      </c>
    </row>
    <row r="119" spans="1:2" x14ac:dyDescent="0.25">
      <c r="A119" s="153">
        <v>531</v>
      </c>
      <c r="B119" s="184">
        <v>1</v>
      </c>
    </row>
    <row r="120" spans="1:2" x14ac:dyDescent="0.25">
      <c r="A120" s="153">
        <v>535</v>
      </c>
      <c r="B120" s="184">
        <v>1</v>
      </c>
    </row>
    <row r="121" spans="1:2" x14ac:dyDescent="0.25">
      <c r="A121" s="153">
        <v>537</v>
      </c>
      <c r="B121" s="184">
        <v>13</v>
      </c>
    </row>
    <row r="122" spans="1:2" x14ac:dyDescent="0.25">
      <c r="A122" s="153">
        <v>538</v>
      </c>
      <c r="B122" s="184">
        <v>13</v>
      </c>
    </row>
    <row r="123" spans="1:2" x14ac:dyDescent="0.25">
      <c r="A123" s="153">
        <v>550</v>
      </c>
      <c r="B123" s="184">
        <v>5</v>
      </c>
    </row>
    <row r="124" spans="1:2" x14ac:dyDescent="0.25">
      <c r="A124" s="153">
        <v>703</v>
      </c>
      <c r="B124" s="184">
        <v>1</v>
      </c>
    </row>
    <row r="125" spans="1:2" x14ac:dyDescent="0.25">
      <c r="A125" s="153">
        <v>712</v>
      </c>
      <c r="B125" s="184">
        <v>1</v>
      </c>
    </row>
    <row r="126" spans="1:2" x14ac:dyDescent="0.25">
      <c r="A126" s="153">
        <v>724</v>
      </c>
      <c r="B126" s="184">
        <v>1</v>
      </c>
    </row>
    <row r="127" spans="1:2" x14ac:dyDescent="0.25">
      <c r="A127" s="153">
        <v>728</v>
      </c>
      <c r="B127" s="184">
        <v>1</v>
      </c>
    </row>
    <row r="128" spans="1:2" x14ac:dyDescent="0.25">
      <c r="A128" s="153">
        <v>729</v>
      </c>
      <c r="B128" s="184">
        <v>1</v>
      </c>
    </row>
    <row r="129" spans="1:2" x14ac:dyDescent="0.25">
      <c r="A129" s="153">
        <v>732</v>
      </c>
      <c r="B129" s="184">
        <v>1</v>
      </c>
    </row>
    <row r="130" spans="1:2" x14ac:dyDescent="0.25">
      <c r="A130" s="153">
        <v>735</v>
      </c>
      <c r="B130" s="184">
        <v>1</v>
      </c>
    </row>
    <row r="131" spans="1:2" x14ac:dyDescent="0.25">
      <c r="A131" s="153">
        <v>736</v>
      </c>
      <c r="B131" s="184">
        <v>1</v>
      </c>
    </row>
    <row r="132" spans="1:2" x14ac:dyDescent="0.25">
      <c r="A132" s="153">
        <v>737</v>
      </c>
      <c r="B132" s="184">
        <v>1</v>
      </c>
    </row>
    <row r="133" spans="1:2" x14ac:dyDescent="0.25">
      <c r="A133" s="153">
        <v>738</v>
      </c>
      <c r="B133" s="184">
        <v>1</v>
      </c>
    </row>
    <row r="134" spans="1:2" x14ac:dyDescent="0.25">
      <c r="A134" s="153">
        <v>739</v>
      </c>
      <c r="B134" s="184">
        <v>1</v>
      </c>
    </row>
    <row r="135" spans="1:2" x14ac:dyDescent="0.25">
      <c r="A135" s="153">
        <v>740</v>
      </c>
      <c r="B135" s="184">
        <v>1</v>
      </c>
    </row>
    <row r="136" spans="1:2" x14ac:dyDescent="0.25">
      <c r="A136" s="153">
        <v>742</v>
      </c>
      <c r="B136" s="184">
        <v>1</v>
      </c>
    </row>
    <row r="137" spans="1:2" x14ac:dyDescent="0.25">
      <c r="A137" s="153">
        <v>743</v>
      </c>
      <c r="B137" s="184">
        <v>1</v>
      </c>
    </row>
    <row r="138" spans="1:2" x14ac:dyDescent="0.25">
      <c r="A138" s="153">
        <v>746</v>
      </c>
      <c r="B138" s="184">
        <v>1</v>
      </c>
    </row>
    <row r="139" spans="1:2" x14ac:dyDescent="0.25">
      <c r="A139" s="153">
        <v>747</v>
      </c>
      <c r="B139" s="184">
        <v>1</v>
      </c>
    </row>
    <row r="140" spans="1:2" x14ac:dyDescent="0.25">
      <c r="A140" s="153">
        <v>748</v>
      </c>
      <c r="B140" s="184">
        <v>2</v>
      </c>
    </row>
    <row r="141" spans="1:2" x14ac:dyDescent="0.25">
      <c r="A141" s="153">
        <v>749</v>
      </c>
      <c r="B141" s="184">
        <v>1</v>
      </c>
    </row>
    <row r="142" spans="1:2" x14ac:dyDescent="0.25">
      <c r="A142" s="153">
        <v>750</v>
      </c>
      <c r="B142" s="184">
        <v>1</v>
      </c>
    </row>
    <row r="143" spans="1:2" x14ac:dyDescent="0.25">
      <c r="A143" s="153">
        <v>756</v>
      </c>
      <c r="B143" s="184">
        <v>1</v>
      </c>
    </row>
    <row r="144" spans="1:2" x14ac:dyDescent="0.25">
      <c r="A144" s="153">
        <v>757</v>
      </c>
      <c r="B144" s="184">
        <v>1</v>
      </c>
    </row>
    <row r="145" spans="1:2" x14ac:dyDescent="0.25">
      <c r="A145" s="153">
        <v>764</v>
      </c>
      <c r="B145" s="184">
        <v>1</v>
      </c>
    </row>
    <row r="146" spans="1:2" x14ac:dyDescent="0.25">
      <c r="A146" s="153">
        <v>765</v>
      </c>
      <c r="B146" s="184">
        <v>1</v>
      </c>
    </row>
    <row r="147" spans="1:2" x14ac:dyDescent="0.25">
      <c r="A147" s="153">
        <v>769</v>
      </c>
      <c r="B147" s="184">
        <v>1</v>
      </c>
    </row>
    <row r="148" spans="1:2" x14ac:dyDescent="0.25">
      <c r="A148" s="153">
        <v>780</v>
      </c>
      <c r="B148" s="184">
        <v>8</v>
      </c>
    </row>
    <row r="149" spans="1:2" x14ac:dyDescent="0.25">
      <c r="A149" s="153">
        <v>782</v>
      </c>
      <c r="B149" s="184">
        <v>9</v>
      </c>
    </row>
    <row r="150" spans="1:2" x14ac:dyDescent="0.25">
      <c r="A150" s="153">
        <v>785</v>
      </c>
      <c r="B150" s="184">
        <v>8</v>
      </c>
    </row>
    <row r="151" spans="1:2" x14ac:dyDescent="0.25">
      <c r="A151" s="153">
        <v>786</v>
      </c>
      <c r="B151" s="184">
        <v>3</v>
      </c>
    </row>
    <row r="152" spans="1:2" x14ac:dyDescent="0.25">
      <c r="A152" s="153">
        <v>788</v>
      </c>
      <c r="B152" s="184">
        <v>9</v>
      </c>
    </row>
    <row r="153" spans="1:2" x14ac:dyDescent="0.25">
      <c r="A153" s="153">
        <v>789</v>
      </c>
      <c r="B153" s="184">
        <v>9</v>
      </c>
    </row>
    <row r="154" spans="1:2" x14ac:dyDescent="0.25">
      <c r="A154" s="153">
        <v>791</v>
      </c>
      <c r="B154" s="184">
        <v>1</v>
      </c>
    </row>
    <row r="155" spans="1:2" x14ac:dyDescent="0.25">
      <c r="A155" s="153">
        <v>792</v>
      </c>
      <c r="B155" s="184">
        <v>1</v>
      </c>
    </row>
    <row r="156" spans="1:2" x14ac:dyDescent="0.25">
      <c r="A156" s="153">
        <v>793</v>
      </c>
      <c r="B156" s="184">
        <v>2</v>
      </c>
    </row>
    <row r="157" spans="1:2" x14ac:dyDescent="0.25">
      <c r="A157" s="153">
        <v>794</v>
      </c>
      <c r="B157" s="184">
        <v>1</v>
      </c>
    </row>
    <row r="158" spans="1:2" x14ac:dyDescent="0.25">
      <c r="A158" s="153">
        <v>795</v>
      </c>
      <c r="B158" s="184">
        <v>2</v>
      </c>
    </row>
    <row r="159" spans="1:2" x14ac:dyDescent="0.25">
      <c r="A159" s="153">
        <v>796</v>
      </c>
      <c r="B159" s="184">
        <v>1</v>
      </c>
    </row>
    <row r="160" spans="1:2" x14ac:dyDescent="0.25">
      <c r="A160" s="153">
        <v>797</v>
      </c>
      <c r="B160" s="184">
        <v>2</v>
      </c>
    </row>
    <row r="161" spans="1:2" x14ac:dyDescent="0.25">
      <c r="A161" s="153">
        <v>820</v>
      </c>
      <c r="B161" s="184">
        <v>7</v>
      </c>
    </row>
    <row r="162" spans="1:2" x14ac:dyDescent="0.25">
      <c r="A162" s="153">
        <v>822</v>
      </c>
      <c r="B162" s="184">
        <v>2</v>
      </c>
    </row>
    <row r="163" spans="1:2" x14ac:dyDescent="0.25">
      <c r="A163" s="153">
        <v>827</v>
      </c>
      <c r="B163" s="184">
        <v>1</v>
      </c>
    </row>
    <row r="164" spans="1:2" x14ac:dyDescent="0.25">
      <c r="A164" s="153">
        <v>828</v>
      </c>
      <c r="B164" s="184">
        <v>1</v>
      </c>
    </row>
    <row r="165" spans="1:2" x14ac:dyDescent="0.25">
      <c r="A165" s="153">
        <v>829</v>
      </c>
      <c r="B165" s="184">
        <v>1</v>
      </c>
    </row>
    <row r="166" spans="1:2" x14ac:dyDescent="0.25">
      <c r="A166" s="153">
        <v>831</v>
      </c>
      <c r="B166" s="184">
        <v>1</v>
      </c>
    </row>
    <row r="167" spans="1:2" x14ac:dyDescent="0.25">
      <c r="A167" s="153">
        <v>832</v>
      </c>
      <c r="B167" s="184">
        <v>6</v>
      </c>
    </row>
    <row r="168" spans="1:2" x14ac:dyDescent="0.25">
      <c r="A168" s="153">
        <v>833</v>
      </c>
      <c r="B168" s="184">
        <v>6</v>
      </c>
    </row>
    <row r="169" spans="1:2" x14ac:dyDescent="0.25">
      <c r="A169" s="153">
        <v>845</v>
      </c>
      <c r="B169" s="184">
        <v>1</v>
      </c>
    </row>
    <row r="170" spans="1:2" x14ac:dyDescent="0.25">
      <c r="A170" s="153">
        <v>846</v>
      </c>
      <c r="B170" s="184">
        <v>1</v>
      </c>
    </row>
    <row r="171" spans="1:2" x14ac:dyDescent="0.25">
      <c r="A171" s="153">
        <v>1006</v>
      </c>
      <c r="B171" s="184">
        <v>2</v>
      </c>
    </row>
    <row r="172" spans="1:2" x14ac:dyDescent="0.25">
      <c r="A172" s="153">
        <v>1011</v>
      </c>
      <c r="B172" s="184">
        <v>6</v>
      </c>
    </row>
    <row r="173" spans="1:2" x14ac:dyDescent="0.25">
      <c r="A173" s="153">
        <v>1041</v>
      </c>
      <c r="B173" s="184">
        <v>1</v>
      </c>
    </row>
    <row r="174" spans="1:2" x14ac:dyDescent="0.25">
      <c r="A174" s="153">
        <v>1042</v>
      </c>
      <c r="B174" s="184">
        <v>1</v>
      </c>
    </row>
    <row r="175" spans="1:2" x14ac:dyDescent="0.25">
      <c r="A175" s="153">
        <v>1061</v>
      </c>
      <c r="B175" s="184">
        <v>10</v>
      </c>
    </row>
    <row r="176" spans="1:2" x14ac:dyDescent="0.25">
      <c r="A176" s="153">
        <v>1068</v>
      </c>
      <c r="B176" s="184">
        <v>2</v>
      </c>
    </row>
    <row r="177" spans="1:2" x14ac:dyDescent="0.25">
      <c r="A177" s="153">
        <v>1072</v>
      </c>
      <c r="B177" s="184">
        <v>1</v>
      </c>
    </row>
    <row r="178" spans="1:2" x14ac:dyDescent="0.25">
      <c r="A178" s="153">
        <v>1073</v>
      </c>
      <c r="B178" s="184">
        <v>1</v>
      </c>
    </row>
    <row r="179" spans="1:2" x14ac:dyDescent="0.25">
      <c r="A179" s="153">
        <v>1082</v>
      </c>
      <c r="B179" s="184">
        <v>3</v>
      </c>
    </row>
    <row r="180" spans="1:2" x14ac:dyDescent="0.25">
      <c r="A180" s="153">
        <v>1083</v>
      </c>
      <c r="B180" s="184">
        <v>1</v>
      </c>
    </row>
    <row r="181" spans="1:2" x14ac:dyDescent="0.25">
      <c r="A181" s="153">
        <v>1084</v>
      </c>
      <c r="B181" s="184">
        <v>1</v>
      </c>
    </row>
    <row r="182" spans="1:2" x14ac:dyDescent="0.25">
      <c r="A182" s="153">
        <v>1085</v>
      </c>
      <c r="B182" s="184">
        <v>8</v>
      </c>
    </row>
    <row r="183" spans="1:2" x14ac:dyDescent="0.25">
      <c r="A183" s="153">
        <v>1090</v>
      </c>
      <c r="B183" s="184">
        <v>2</v>
      </c>
    </row>
    <row r="184" spans="1:2" x14ac:dyDescent="0.25">
      <c r="A184" s="153">
        <v>1091</v>
      </c>
      <c r="B184" s="184">
        <v>2</v>
      </c>
    </row>
    <row r="185" spans="1:2" x14ac:dyDescent="0.25">
      <c r="A185" s="153">
        <v>1135</v>
      </c>
      <c r="B185" s="184">
        <v>4</v>
      </c>
    </row>
    <row r="186" spans="1:2" x14ac:dyDescent="0.25">
      <c r="A186" s="153">
        <v>1137</v>
      </c>
      <c r="B186" s="184">
        <v>1</v>
      </c>
    </row>
    <row r="187" spans="1:2" x14ac:dyDescent="0.25">
      <c r="A187" s="153">
        <v>1138</v>
      </c>
      <c r="B187" s="184">
        <v>1</v>
      </c>
    </row>
    <row r="188" spans="1:2" x14ac:dyDescent="0.25">
      <c r="A188" s="153">
        <v>1139</v>
      </c>
      <c r="B188" s="184">
        <v>1</v>
      </c>
    </row>
    <row r="189" spans="1:2" x14ac:dyDescent="0.25">
      <c r="A189" s="153">
        <v>1157</v>
      </c>
      <c r="B189" s="184">
        <v>1</v>
      </c>
    </row>
    <row r="190" spans="1:2" x14ac:dyDescent="0.25">
      <c r="A190" s="153">
        <v>1158</v>
      </c>
      <c r="B190" s="184">
        <v>1</v>
      </c>
    </row>
    <row r="191" spans="1:2" x14ac:dyDescent="0.25">
      <c r="A191" s="153">
        <v>1166</v>
      </c>
      <c r="B191" s="184">
        <v>1</v>
      </c>
    </row>
    <row r="192" spans="1:2" x14ac:dyDescent="0.25">
      <c r="A192" s="153">
        <v>1173</v>
      </c>
      <c r="B192" s="184">
        <v>1</v>
      </c>
    </row>
    <row r="193" spans="1:2" x14ac:dyDescent="0.25">
      <c r="A193" s="153">
        <v>1175</v>
      </c>
      <c r="B193" s="184">
        <v>2</v>
      </c>
    </row>
    <row r="194" spans="1:2" x14ac:dyDescent="0.25">
      <c r="A194" s="153">
        <v>1185</v>
      </c>
      <c r="B194" s="184">
        <v>20</v>
      </c>
    </row>
    <row r="195" spans="1:2" x14ac:dyDescent="0.25">
      <c r="A195" s="153">
        <v>1196</v>
      </c>
      <c r="B195" s="184">
        <v>20</v>
      </c>
    </row>
    <row r="196" spans="1:2" x14ac:dyDescent="0.25">
      <c r="A196" s="153">
        <v>1207</v>
      </c>
      <c r="B196" s="184">
        <v>6</v>
      </c>
    </row>
    <row r="197" spans="1:2" x14ac:dyDescent="0.25">
      <c r="A197" s="153">
        <v>1213</v>
      </c>
      <c r="B197" s="184">
        <v>9</v>
      </c>
    </row>
    <row r="198" spans="1:2" x14ac:dyDescent="0.25">
      <c r="A198" s="153">
        <v>1222</v>
      </c>
      <c r="B198" s="184">
        <v>1</v>
      </c>
    </row>
    <row r="199" spans="1:2" x14ac:dyDescent="0.25">
      <c r="A199" s="153">
        <v>1223</v>
      </c>
      <c r="B199" s="184">
        <v>1</v>
      </c>
    </row>
    <row r="200" spans="1:2" x14ac:dyDescent="0.25">
      <c r="A200" s="153">
        <v>1224</v>
      </c>
      <c r="B200" s="184">
        <v>1</v>
      </c>
    </row>
    <row r="201" spans="1:2" x14ac:dyDescent="0.25">
      <c r="A201" s="153">
        <v>1229</v>
      </c>
      <c r="B201" s="184">
        <v>1</v>
      </c>
    </row>
    <row r="202" spans="1:2" x14ac:dyDescent="0.25">
      <c r="A202" s="153">
        <v>1230</v>
      </c>
      <c r="B202" s="184">
        <v>1</v>
      </c>
    </row>
    <row r="203" spans="1:2" x14ac:dyDescent="0.25">
      <c r="A203" s="153">
        <v>1232</v>
      </c>
      <c r="B203" s="184">
        <v>1</v>
      </c>
    </row>
    <row r="204" spans="1:2" x14ac:dyDescent="0.25">
      <c r="A204" s="153">
        <v>1234</v>
      </c>
      <c r="B204" s="184">
        <v>1</v>
      </c>
    </row>
    <row r="205" spans="1:2" x14ac:dyDescent="0.25">
      <c r="A205" s="153">
        <v>1240</v>
      </c>
      <c r="B205" s="184">
        <v>7</v>
      </c>
    </row>
    <row r="206" spans="1:2" x14ac:dyDescent="0.25">
      <c r="A206" s="153">
        <v>1242</v>
      </c>
      <c r="B206" s="184">
        <v>8</v>
      </c>
    </row>
    <row r="207" spans="1:2" x14ac:dyDescent="0.25">
      <c r="A207" s="153">
        <v>2000</v>
      </c>
      <c r="B207" s="184">
        <v>4</v>
      </c>
    </row>
    <row r="208" spans="1:2" x14ac:dyDescent="0.25">
      <c r="A208" s="153">
        <v>2001</v>
      </c>
      <c r="B208" s="184">
        <v>4</v>
      </c>
    </row>
    <row r="209" spans="1:2" x14ac:dyDescent="0.25">
      <c r="A209" s="153">
        <v>2002</v>
      </c>
      <c r="B209" s="184">
        <v>4</v>
      </c>
    </row>
    <row r="210" spans="1:2" x14ac:dyDescent="0.25">
      <c r="A210" s="153">
        <v>2004</v>
      </c>
      <c r="B210" s="184">
        <v>2</v>
      </c>
    </row>
    <row r="211" spans="1:2" x14ac:dyDescent="0.25">
      <c r="A211" s="153">
        <v>2005</v>
      </c>
      <c r="B211" s="184">
        <v>2</v>
      </c>
    </row>
    <row r="212" spans="1:2" x14ac:dyDescent="0.25">
      <c r="A212" s="153">
        <v>2007</v>
      </c>
      <c r="B212" s="184">
        <v>4</v>
      </c>
    </row>
    <row r="213" spans="1:2" x14ac:dyDescent="0.25">
      <c r="A213" s="153">
        <v>2008</v>
      </c>
      <c r="B213" s="184">
        <v>12</v>
      </c>
    </row>
    <row r="214" spans="1:2" x14ac:dyDescent="0.25">
      <c r="A214" s="153">
        <v>2011</v>
      </c>
      <c r="B214" s="184">
        <v>2</v>
      </c>
    </row>
    <row r="215" spans="1:2" x14ac:dyDescent="0.25">
      <c r="A215" s="153">
        <v>2012</v>
      </c>
      <c r="B215" s="184">
        <v>1</v>
      </c>
    </row>
    <row r="216" spans="1:2" x14ac:dyDescent="0.25">
      <c r="A216" s="153">
        <v>2013</v>
      </c>
      <c r="B216" s="184">
        <v>1</v>
      </c>
    </row>
    <row r="217" spans="1:2" x14ac:dyDescent="0.25">
      <c r="A217" s="153">
        <v>2014</v>
      </c>
      <c r="B217" s="184">
        <v>1</v>
      </c>
    </row>
    <row r="218" spans="1:2" x14ac:dyDescent="0.25">
      <c r="A218" s="153">
        <v>2015</v>
      </c>
      <c r="B218" s="184">
        <v>1</v>
      </c>
    </row>
    <row r="219" spans="1:2" x14ac:dyDescent="0.25">
      <c r="A219" s="153">
        <v>2016</v>
      </c>
      <c r="B219" s="184">
        <v>2</v>
      </c>
    </row>
    <row r="220" spans="1:2" x14ac:dyDescent="0.25">
      <c r="A220" s="153">
        <v>2017</v>
      </c>
      <c r="B220" s="184">
        <v>2</v>
      </c>
    </row>
    <row r="221" spans="1:2" x14ac:dyDescent="0.25">
      <c r="A221" s="153">
        <v>2018</v>
      </c>
      <c r="B221" s="184">
        <v>3</v>
      </c>
    </row>
    <row r="222" spans="1:2" x14ac:dyDescent="0.25">
      <c r="A222" s="153">
        <v>2019</v>
      </c>
      <c r="B222" s="184">
        <v>3</v>
      </c>
    </row>
    <row r="223" spans="1:2" x14ac:dyDescent="0.25">
      <c r="A223" s="153">
        <v>2020</v>
      </c>
      <c r="B223" s="184">
        <v>3</v>
      </c>
    </row>
    <row r="224" spans="1:2" x14ac:dyDescent="0.25">
      <c r="A224" s="153">
        <v>2021</v>
      </c>
      <c r="B224" s="184">
        <v>2</v>
      </c>
    </row>
    <row r="225" spans="1:2" x14ac:dyDescent="0.25">
      <c r="A225" s="153">
        <v>2022</v>
      </c>
      <c r="B225" s="184">
        <v>2</v>
      </c>
    </row>
    <row r="226" spans="1:2" x14ac:dyDescent="0.25">
      <c r="A226" s="153">
        <v>2023</v>
      </c>
      <c r="B226" s="184">
        <v>1</v>
      </c>
    </row>
    <row r="227" spans="1:2" x14ac:dyDescent="0.25">
      <c r="A227" s="153">
        <v>2024</v>
      </c>
      <c r="B227" s="184">
        <v>1</v>
      </c>
    </row>
    <row r="228" spans="1:2" x14ac:dyDescent="0.25">
      <c r="A228" s="153">
        <v>2025</v>
      </c>
      <c r="B228" s="184">
        <v>1</v>
      </c>
    </row>
    <row r="229" spans="1:2" x14ac:dyDescent="0.25">
      <c r="A229" s="153">
        <v>2026</v>
      </c>
      <c r="B229" s="184">
        <v>1</v>
      </c>
    </row>
    <row r="230" spans="1:2" x14ac:dyDescent="0.25">
      <c r="A230" s="153">
        <v>2027</v>
      </c>
      <c r="B230" s="184">
        <v>1</v>
      </c>
    </row>
    <row r="231" spans="1:2" x14ac:dyDescent="0.25">
      <c r="A231" s="153">
        <v>2028</v>
      </c>
      <c r="B231" s="184">
        <v>1</v>
      </c>
    </row>
    <row r="232" spans="1:2" x14ac:dyDescent="0.25">
      <c r="A232" s="153">
        <v>2029</v>
      </c>
      <c r="B232" s="184">
        <v>1</v>
      </c>
    </row>
    <row r="233" spans="1:2" x14ac:dyDescent="0.25">
      <c r="A233" s="153">
        <v>2030</v>
      </c>
      <c r="B233" s="184">
        <v>1</v>
      </c>
    </row>
    <row r="234" spans="1:2" x14ac:dyDescent="0.25">
      <c r="A234" s="153">
        <v>2031</v>
      </c>
      <c r="B234" s="184">
        <v>1</v>
      </c>
    </row>
    <row r="235" spans="1:2" x14ac:dyDescent="0.25">
      <c r="A235" s="153">
        <v>2032</v>
      </c>
      <c r="B235" s="184">
        <v>1</v>
      </c>
    </row>
    <row r="236" spans="1:2" x14ac:dyDescent="0.25">
      <c r="A236" s="153">
        <v>2033</v>
      </c>
      <c r="B236" s="184">
        <v>3</v>
      </c>
    </row>
    <row r="237" spans="1:2" x14ac:dyDescent="0.25">
      <c r="A237" s="153">
        <v>2100</v>
      </c>
      <c r="B237" s="184">
        <v>2</v>
      </c>
    </row>
    <row r="238" spans="1:2" x14ac:dyDescent="0.25">
      <c r="A238" s="153">
        <v>3121</v>
      </c>
      <c r="B238" s="184">
        <v>4</v>
      </c>
    </row>
    <row r="239" spans="1:2" x14ac:dyDescent="0.25">
      <c r="A239" s="153">
        <v>3143</v>
      </c>
      <c r="B239" s="184">
        <v>2</v>
      </c>
    </row>
    <row r="240" spans="1:2" x14ac:dyDescent="0.25">
      <c r="A240" s="153">
        <v>3186</v>
      </c>
      <c r="B240" s="184">
        <v>7</v>
      </c>
    </row>
    <row r="241" spans="1:2" x14ac:dyDescent="0.25">
      <c r="A241" s="153">
        <v>3191</v>
      </c>
      <c r="B241" s="184">
        <v>33</v>
      </c>
    </row>
    <row r="242" spans="1:2" x14ac:dyDescent="0.25">
      <c r="A242" s="153">
        <v>3210</v>
      </c>
      <c r="B242" s="184">
        <v>29</v>
      </c>
    </row>
    <row r="243" spans="1:2" x14ac:dyDescent="0.25">
      <c r="A243" s="153">
        <v>3211</v>
      </c>
      <c r="B243" s="184">
        <v>16</v>
      </c>
    </row>
    <row r="244" spans="1:2" x14ac:dyDescent="0.25">
      <c r="A244" s="153">
        <v>3212</v>
      </c>
      <c r="B244" s="184">
        <v>16</v>
      </c>
    </row>
    <row r="245" spans="1:2" x14ac:dyDescent="0.25">
      <c r="A245" s="153">
        <v>3213</v>
      </c>
      <c r="B245" s="184">
        <v>16</v>
      </c>
    </row>
    <row r="246" spans="1:2" x14ac:dyDescent="0.25">
      <c r="A246" s="153">
        <v>3214</v>
      </c>
      <c r="B246" s="184">
        <v>29</v>
      </c>
    </row>
    <row r="247" spans="1:2" x14ac:dyDescent="0.25">
      <c r="A247" s="153">
        <v>3215</v>
      </c>
      <c r="B247" s="184">
        <v>29</v>
      </c>
    </row>
    <row r="248" spans="1:2" x14ac:dyDescent="0.25">
      <c r="A248" s="153">
        <v>3216</v>
      </c>
      <c r="B248" s="184">
        <v>18</v>
      </c>
    </row>
    <row r="249" spans="1:2" x14ac:dyDescent="0.25">
      <c r="A249" s="153">
        <v>3217</v>
      </c>
      <c r="B249" s="184">
        <v>29</v>
      </c>
    </row>
    <row r="250" spans="1:2" x14ac:dyDescent="0.25">
      <c r="A250" s="153">
        <v>3218</v>
      </c>
      <c r="B250" s="184">
        <v>16</v>
      </c>
    </row>
    <row r="251" spans="1:2" x14ac:dyDescent="0.25">
      <c r="A251" s="153">
        <v>3219</v>
      </c>
      <c r="B251" s="184">
        <v>15</v>
      </c>
    </row>
    <row r="252" spans="1:2" x14ac:dyDescent="0.25">
      <c r="A252" s="153">
        <v>3220</v>
      </c>
      <c r="B252" s="184">
        <v>15</v>
      </c>
    </row>
    <row r="253" spans="1:2" x14ac:dyDescent="0.25">
      <c r="A253" s="153">
        <v>3221</v>
      </c>
      <c r="B253" s="184">
        <v>15</v>
      </c>
    </row>
    <row r="254" spans="1:2" x14ac:dyDescent="0.25">
      <c r="A254" s="153">
        <v>3222</v>
      </c>
      <c r="B254" s="184">
        <v>16</v>
      </c>
    </row>
    <row r="255" spans="1:2" x14ac:dyDescent="0.25">
      <c r="A255" s="153">
        <v>3223</v>
      </c>
      <c r="B255" s="184">
        <v>17</v>
      </c>
    </row>
    <row r="256" spans="1:2" x14ac:dyDescent="0.25">
      <c r="A256" s="153">
        <v>3224</v>
      </c>
      <c r="B256" s="184">
        <v>17</v>
      </c>
    </row>
    <row r="257" spans="1:2" x14ac:dyDescent="0.25">
      <c r="A257" s="153">
        <v>3225</v>
      </c>
      <c r="B257" s="184">
        <v>17</v>
      </c>
    </row>
    <row r="258" spans="1:2" x14ac:dyDescent="0.25">
      <c r="A258" s="153">
        <v>3226</v>
      </c>
      <c r="B258" s="184">
        <v>16</v>
      </c>
    </row>
    <row r="259" spans="1:2" x14ac:dyDescent="0.25">
      <c r="A259" s="153">
        <v>3227</v>
      </c>
      <c r="B259" s="184">
        <v>25</v>
      </c>
    </row>
    <row r="260" spans="1:2" x14ac:dyDescent="0.25">
      <c r="A260" s="153">
        <v>3228</v>
      </c>
      <c r="B260" s="184">
        <v>25</v>
      </c>
    </row>
    <row r="261" spans="1:2" x14ac:dyDescent="0.25">
      <c r="A261" s="153">
        <v>3229</v>
      </c>
      <c r="B261" s="184">
        <v>25</v>
      </c>
    </row>
    <row r="262" spans="1:2" x14ac:dyDescent="0.25">
      <c r="A262" s="153">
        <v>3230</v>
      </c>
      <c r="B262" s="184">
        <v>17</v>
      </c>
    </row>
    <row r="263" spans="1:2" x14ac:dyDescent="0.25">
      <c r="A263" s="153">
        <v>3231</v>
      </c>
      <c r="B263" s="184">
        <v>17</v>
      </c>
    </row>
    <row r="264" spans="1:2" x14ac:dyDescent="0.25">
      <c r="A264" s="153">
        <v>3232</v>
      </c>
      <c r="B264" s="184">
        <v>17</v>
      </c>
    </row>
    <row r="265" spans="1:2" x14ac:dyDescent="0.25">
      <c r="A265" s="153">
        <v>3233</v>
      </c>
      <c r="B265" s="184">
        <v>17</v>
      </c>
    </row>
    <row r="266" spans="1:2" x14ac:dyDescent="0.25">
      <c r="A266" s="153">
        <v>3234</v>
      </c>
      <c r="B266" s="184">
        <v>25</v>
      </c>
    </row>
    <row r="267" spans="1:2" x14ac:dyDescent="0.25">
      <c r="A267" s="153">
        <v>3235</v>
      </c>
      <c r="B267" s="184">
        <v>25</v>
      </c>
    </row>
    <row r="268" spans="1:2" x14ac:dyDescent="0.25">
      <c r="A268" s="153">
        <v>3236</v>
      </c>
      <c r="B268" s="184">
        <v>25</v>
      </c>
    </row>
    <row r="269" spans="1:2" x14ac:dyDescent="0.25">
      <c r="A269" s="153">
        <v>3237</v>
      </c>
      <c r="B269" s="184">
        <v>16</v>
      </c>
    </row>
    <row r="270" spans="1:2" x14ac:dyDescent="0.25">
      <c r="A270" s="153">
        <v>3238</v>
      </c>
      <c r="B270" s="184">
        <v>16</v>
      </c>
    </row>
    <row r="271" spans="1:2" x14ac:dyDescent="0.25">
      <c r="A271" s="153">
        <v>3240</v>
      </c>
      <c r="B271" s="184">
        <v>26</v>
      </c>
    </row>
    <row r="272" spans="1:2" x14ac:dyDescent="0.25">
      <c r="A272" s="153">
        <v>3241</v>
      </c>
      <c r="B272" s="184">
        <v>26</v>
      </c>
    </row>
    <row r="273" spans="1:2" x14ac:dyDescent="0.25">
      <c r="A273" s="153">
        <v>3350</v>
      </c>
      <c r="B273" s="184">
        <v>2</v>
      </c>
    </row>
    <row r="274" spans="1:2" x14ac:dyDescent="0.25">
      <c r="A274" s="153">
        <v>4007</v>
      </c>
      <c r="B274" s="184">
        <v>1</v>
      </c>
    </row>
    <row r="275" spans="1:2" x14ac:dyDescent="0.25">
      <c r="A275" s="153">
        <v>4008</v>
      </c>
      <c r="B275" s="184">
        <v>1</v>
      </c>
    </row>
    <row r="276" spans="1:2" x14ac:dyDescent="0.25">
      <c r="A276" s="153">
        <v>4009</v>
      </c>
      <c r="B276" s="184">
        <v>1</v>
      </c>
    </row>
    <row r="277" spans="1:2" x14ac:dyDescent="0.25">
      <c r="A277" s="153">
        <v>4011</v>
      </c>
      <c r="B277" s="184">
        <v>1</v>
      </c>
    </row>
    <row r="278" spans="1:2" x14ac:dyDescent="0.25">
      <c r="A278" s="153">
        <v>4016</v>
      </c>
      <c r="B278" s="184">
        <v>1</v>
      </c>
    </row>
    <row r="279" spans="1:2" x14ac:dyDescent="0.25">
      <c r="A279" s="153">
        <v>4019</v>
      </c>
      <c r="B279" s="184">
        <v>1</v>
      </c>
    </row>
    <row r="280" spans="1:2" x14ac:dyDescent="0.25">
      <c r="A280" s="153">
        <v>4020</v>
      </c>
      <c r="B280" s="184">
        <v>5</v>
      </c>
    </row>
    <row r="281" spans="1:2" x14ac:dyDescent="0.25">
      <c r="A281" s="153">
        <v>4021</v>
      </c>
      <c r="B281" s="184">
        <v>2</v>
      </c>
    </row>
    <row r="282" spans="1:2" x14ac:dyDescent="0.25">
      <c r="A282" s="153">
        <v>4022</v>
      </c>
      <c r="B282" s="184">
        <v>1</v>
      </c>
    </row>
    <row r="283" spans="1:2" x14ac:dyDescent="0.25">
      <c r="A283" s="153">
        <v>4023</v>
      </c>
      <c r="B283" s="184">
        <v>1</v>
      </c>
    </row>
    <row r="284" spans="1:2" x14ac:dyDescent="0.25">
      <c r="A284" s="153">
        <v>4024</v>
      </c>
      <c r="B284" s="184">
        <v>1</v>
      </c>
    </row>
    <row r="285" spans="1:2" x14ac:dyDescent="0.25">
      <c r="A285" s="153">
        <v>4025</v>
      </c>
      <c r="B285" s="184">
        <v>1</v>
      </c>
    </row>
    <row r="286" spans="1:2" x14ac:dyDescent="0.25">
      <c r="A286" s="153">
        <v>4026</v>
      </c>
      <c r="B286" s="184">
        <v>1</v>
      </c>
    </row>
    <row r="287" spans="1:2" x14ac:dyDescent="0.25">
      <c r="A287" s="153">
        <v>4027</v>
      </c>
      <c r="B287" s="184">
        <v>1</v>
      </c>
    </row>
    <row r="288" spans="1:2" x14ac:dyDescent="0.25">
      <c r="A288" s="153">
        <v>4030</v>
      </c>
      <c r="B288" s="184">
        <v>1</v>
      </c>
    </row>
    <row r="289" spans="1:2" x14ac:dyDescent="0.25">
      <c r="A289" s="153">
        <v>4031</v>
      </c>
      <c r="B289" s="184">
        <v>1</v>
      </c>
    </row>
    <row r="290" spans="1:2" x14ac:dyDescent="0.25">
      <c r="A290" s="153">
        <v>4032</v>
      </c>
      <c r="B290" s="184">
        <v>1</v>
      </c>
    </row>
    <row r="291" spans="1:2" x14ac:dyDescent="0.25">
      <c r="A291" s="153">
        <v>4033</v>
      </c>
      <c r="B291" s="184">
        <v>1</v>
      </c>
    </row>
    <row r="292" spans="1:2" x14ac:dyDescent="0.25">
      <c r="A292" s="153">
        <v>4034</v>
      </c>
      <c r="B292" s="184">
        <v>10</v>
      </c>
    </row>
    <row r="293" spans="1:2" x14ac:dyDescent="0.25">
      <c r="A293" s="153">
        <v>4036</v>
      </c>
      <c r="B293" s="184">
        <v>1</v>
      </c>
    </row>
    <row r="294" spans="1:2" x14ac:dyDescent="0.25">
      <c r="A294" s="153">
        <v>4037</v>
      </c>
      <c r="B294" s="184">
        <v>1</v>
      </c>
    </row>
    <row r="295" spans="1:2" x14ac:dyDescent="0.25">
      <c r="A295" s="153">
        <v>4039</v>
      </c>
      <c r="B295" s="184">
        <v>4</v>
      </c>
    </row>
    <row r="296" spans="1:2" x14ac:dyDescent="0.25">
      <c r="A296" s="153">
        <v>4051</v>
      </c>
      <c r="B296" s="184">
        <v>3</v>
      </c>
    </row>
    <row r="297" spans="1:2" x14ac:dyDescent="0.25">
      <c r="A297" s="153">
        <v>4052</v>
      </c>
      <c r="B297" s="184">
        <v>3</v>
      </c>
    </row>
    <row r="298" spans="1:2" x14ac:dyDescent="0.25">
      <c r="A298" s="153">
        <v>4053</v>
      </c>
      <c r="B298" s="184">
        <v>1</v>
      </c>
    </row>
    <row r="299" spans="1:2" x14ac:dyDescent="0.25">
      <c r="A299" s="153">
        <v>4054</v>
      </c>
      <c r="B299" s="184">
        <v>1</v>
      </c>
    </row>
    <row r="300" spans="1:2" x14ac:dyDescent="0.25">
      <c r="A300" s="153">
        <v>4055</v>
      </c>
      <c r="B300" s="184">
        <v>1</v>
      </c>
    </row>
    <row r="301" spans="1:2" x14ac:dyDescent="0.25">
      <c r="A301" s="153">
        <v>4056</v>
      </c>
      <c r="B301" s="184">
        <v>1</v>
      </c>
    </row>
    <row r="302" spans="1:2" x14ac:dyDescent="0.25">
      <c r="A302" s="153">
        <v>4057</v>
      </c>
      <c r="B302" s="184">
        <v>4</v>
      </c>
    </row>
    <row r="303" spans="1:2" x14ac:dyDescent="0.25">
      <c r="A303" s="153">
        <v>4058</v>
      </c>
      <c r="B303" s="184">
        <v>5</v>
      </c>
    </row>
    <row r="304" spans="1:2" x14ac:dyDescent="0.25">
      <c r="A304" s="153">
        <v>4059</v>
      </c>
      <c r="B304" s="184">
        <v>1</v>
      </c>
    </row>
    <row r="305" spans="1:2" x14ac:dyDescent="0.25">
      <c r="A305" s="153">
        <v>4060</v>
      </c>
      <c r="B305" s="184">
        <v>1</v>
      </c>
    </row>
    <row r="306" spans="1:2" x14ac:dyDescent="0.25">
      <c r="A306" s="153">
        <v>4064</v>
      </c>
      <c r="B306" s="184">
        <v>1</v>
      </c>
    </row>
    <row r="307" spans="1:2" x14ac:dyDescent="0.25">
      <c r="A307" s="153">
        <v>4067</v>
      </c>
      <c r="B307" s="184">
        <v>1</v>
      </c>
    </row>
    <row r="308" spans="1:2" x14ac:dyDescent="0.25">
      <c r="A308" s="153">
        <v>4069</v>
      </c>
      <c r="B308" s="184">
        <v>1</v>
      </c>
    </row>
    <row r="309" spans="1:2" x14ac:dyDescent="0.25">
      <c r="A309" s="153">
        <v>4070</v>
      </c>
      <c r="B309" s="184">
        <v>1</v>
      </c>
    </row>
    <row r="310" spans="1:2" x14ac:dyDescent="0.25">
      <c r="A310" s="153">
        <v>4071</v>
      </c>
      <c r="B310" s="184">
        <v>1</v>
      </c>
    </row>
    <row r="311" spans="1:2" x14ac:dyDescent="0.25">
      <c r="A311" s="153">
        <v>4072</v>
      </c>
      <c r="B311" s="184">
        <v>1</v>
      </c>
    </row>
    <row r="312" spans="1:2" x14ac:dyDescent="0.25">
      <c r="A312" s="153">
        <v>4075</v>
      </c>
      <c r="B312" s="184">
        <v>1</v>
      </c>
    </row>
    <row r="313" spans="1:2" x14ac:dyDescent="0.25">
      <c r="A313" s="153">
        <v>4076</v>
      </c>
      <c r="B313" s="184">
        <v>1</v>
      </c>
    </row>
    <row r="314" spans="1:2" x14ac:dyDescent="0.25">
      <c r="A314" s="153">
        <v>4077</v>
      </c>
      <c r="B314" s="184">
        <v>1</v>
      </c>
    </row>
    <row r="315" spans="1:2" x14ac:dyDescent="0.25">
      <c r="A315" s="153">
        <v>4079</v>
      </c>
      <c r="B315" s="184">
        <v>1</v>
      </c>
    </row>
    <row r="316" spans="1:2" x14ac:dyDescent="0.25">
      <c r="A316" s="153">
        <v>4080</v>
      </c>
      <c r="B316" s="184">
        <v>1</v>
      </c>
    </row>
    <row r="317" spans="1:2" x14ac:dyDescent="0.25">
      <c r="A317" s="153">
        <v>4081</v>
      </c>
      <c r="B317" s="184">
        <v>1</v>
      </c>
    </row>
    <row r="318" spans="1:2" x14ac:dyDescent="0.25">
      <c r="A318" s="153">
        <v>4084</v>
      </c>
      <c r="B318" s="184">
        <v>1</v>
      </c>
    </row>
    <row r="319" spans="1:2" x14ac:dyDescent="0.25">
      <c r="A319" s="153">
        <v>4085</v>
      </c>
      <c r="B319" s="184">
        <v>1</v>
      </c>
    </row>
    <row r="320" spans="1:2" x14ac:dyDescent="0.25">
      <c r="A320" s="153">
        <v>4086</v>
      </c>
      <c r="B320" s="184">
        <v>7</v>
      </c>
    </row>
    <row r="321" spans="1:2" x14ac:dyDescent="0.25">
      <c r="A321" s="153">
        <v>4087</v>
      </c>
      <c r="B321" s="184">
        <v>2</v>
      </c>
    </row>
    <row r="322" spans="1:2" x14ac:dyDescent="0.25">
      <c r="A322" s="153">
        <v>4088</v>
      </c>
      <c r="B322" s="184">
        <v>1</v>
      </c>
    </row>
    <row r="323" spans="1:2" x14ac:dyDescent="0.25">
      <c r="A323" s="153">
        <v>4089</v>
      </c>
      <c r="B323" s="184">
        <v>1</v>
      </c>
    </row>
    <row r="324" spans="1:2" x14ac:dyDescent="0.25">
      <c r="A324" s="153">
        <v>4090</v>
      </c>
      <c r="B324" s="184">
        <v>1</v>
      </c>
    </row>
    <row r="325" spans="1:2" x14ac:dyDescent="0.25">
      <c r="A325" s="153">
        <v>4091</v>
      </c>
      <c r="B325" s="184">
        <v>1</v>
      </c>
    </row>
    <row r="326" spans="1:2" x14ac:dyDescent="0.25">
      <c r="A326" s="153">
        <v>4092</v>
      </c>
      <c r="B326" s="184">
        <v>1</v>
      </c>
    </row>
    <row r="327" spans="1:2" x14ac:dyDescent="0.25">
      <c r="A327" s="153">
        <v>4094</v>
      </c>
      <c r="B327" s="184">
        <v>1</v>
      </c>
    </row>
    <row r="328" spans="1:2" x14ac:dyDescent="0.25">
      <c r="A328" s="153">
        <v>4097</v>
      </c>
      <c r="B328" s="184">
        <v>1</v>
      </c>
    </row>
    <row r="329" spans="1:2" x14ac:dyDescent="0.25">
      <c r="A329" s="153">
        <v>4099</v>
      </c>
      <c r="B329" s="184">
        <v>1</v>
      </c>
    </row>
    <row r="330" spans="1:2" x14ac:dyDescent="0.25">
      <c r="A330" s="153">
        <v>4102</v>
      </c>
      <c r="B330" s="184">
        <v>1</v>
      </c>
    </row>
    <row r="331" spans="1:2" x14ac:dyDescent="0.25">
      <c r="A331" s="153">
        <v>4103</v>
      </c>
      <c r="B331" s="184">
        <v>1</v>
      </c>
    </row>
    <row r="332" spans="1:2" x14ac:dyDescent="0.25">
      <c r="A332" s="153">
        <v>4104</v>
      </c>
      <c r="B332" s="184">
        <v>1</v>
      </c>
    </row>
    <row r="333" spans="1:2" x14ac:dyDescent="0.25">
      <c r="A333" s="153">
        <v>4105</v>
      </c>
      <c r="B333" s="184">
        <v>1</v>
      </c>
    </row>
    <row r="334" spans="1:2" x14ac:dyDescent="0.25">
      <c r="A334" s="153">
        <v>4109</v>
      </c>
      <c r="B334" s="184">
        <v>1</v>
      </c>
    </row>
    <row r="335" spans="1:2" x14ac:dyDescent="0.25">
      <c r="A335" s="153">
        <v>4118</v>
      </c>
      <c r="B335" s="184">
        <v>1</v>
      </c>
    </row>
    <row r="336" spans="1:2" x14ac:dyDescent="0.25">
      <c r="A336" s="153">
        <v>4119</v>
      </c>
      <c r="B336" s="184">
        <v>1</v>
      </c>
    </row>
    <row r="337" spans="1:2" x14ac:dyDescent="0.25">
      <c r="A337" s="153">
        <v>4120</v>
      </c>
      <c r="B337" s="184">
        <v>1</v>
      </c>
    </row>
    <row r="338" spans="1:2" x14ac:dyDescent="0.25">
      <c r="A338" s="153">
        <v>4121</v>
      </c>
      <c r="B338" s="184">
        <v>1</v>
      </c>
    </row>
    <row r="339" spans="1:2" x14ac:dyDescent="0.25">
      <c r="A339" s="153">
        <v>4126</v>
      </c>
      <c r="B339" s="184">
        <v>1</v>
      </c>
    </row>
    <row r="340" spans="1:2" x14ac:dyDescent="0.25">
      <c r="A340" s="153">
        <v>4129</v>
      </c>
      <c r="B340" s="184">
        <v>1</v>
      </c>
    </row>
    <row r="341" spans="1:2" x14ac:dyDescent="0.25">
      <c r="A341" s="153">
        <v>4130</v>
      </c>
      <c r="B341" s="184">
        <v>1</v>
      </c>
    </row>
    <row r="342" spans="1:2" x14ac:dyDescent="0.25">
      <c r="A342" s="153">
        <v>4131</v>
      </c>
      <c r="B342" s="184">
        <v>1</v>
      </c>
    </row>
    <row r="343" spans="1:2" x14ac:dyDescent="0.25">
      <c r="A343" s="153">
        <v>4132</v>
      </c>
      <c r="B343" s="184">
        <v>1</v>
      </c>
    </row>
    <row r="344" spans="1:2" x14ac:dyDescent="0.25">
      <c r="A344" s="153">
        <v>4133</v>
      </c>
      <c r="B344" s="184">
        <v>1</v>
      </c>
    </row>
    <row r="345" spans="1:2" x14ac:dyDescent="0.25">
      <c r="A345" s="153">
        <v>4135</v>
      </c>
      <c r="B345" s="184">
        <v>1</v>
      </c>
    </row>
    <row r="346" spans="1:2" x14ac:dyDescent="0.25">
      <c r="A346" s="153">
        <v>4139</v>
      </c>
      <c r="B346" s="184">
        <v>2</v>
      </c>
    </row>
    <row r="347" spans="1:2" x14ac:dyDescent="0.25">
      <c r="A347" s="153">
        <v>4141</v>
      </c>
      <c r="B347" s="184">
        <v>13</v>
      </c>
    </row>
    <row r="348" spans="1:2" x14ac:dyDescent="0.25">
      <c r="A348" s="153">
        <v>4142</v>
      </c>
      <c r="B348" s="184">
        <v>13</v>
      </c>
    </row>
    <row r="349" spans="1:2" x14ac:dyDescent="0.25">
      <c r="A349" s="153">
        <v>4143</v>
      </c>
      <c r="B349" s="184">
        <v>12</v>
      </c>
    </row>
    <row r="350" spans="1:2" x14ac:dyDescent="0.25">
      <c r="A350" s="153">
        <v>4144</v>
      </c>
      <c r="B350" s="184">
        <v>12</v>
      </c>
    </row>
    <row r="351" spans="1:2" x14ac:dyDescent="0.25">
      <c r="A351" s="153">
        <v>4147</v>
      </c>
      <c r="B351" s="184">
        <v>1</v>
      </c>
    </row>
    <row r="352" spans="1:2" x14ac:dyDescent="0.25">
      <c r="A352" s="153">
        <v>4150</v>
      </c>
      <c r="B352" s="184">
        <v>4</v>
      </c>
    </row>
    <row r="353" spans="1:2" x14ac:dyDescent="0.25">
      <c r="A353" s="153">
        <v>4152</v>
      </c>
      <c r="B353" s="184">
        <v>2</v>
      </c>
    </row>
    <row r="354" spans="1:2" x14ac:dyDescent="0.25">
      <c r="A354" s="153">
        <v>4155</v>
      </c>
      <c r="B354" s="184">
        <v>2</v>
      </c>
    </row>
    <row r="355" spans="1:2" x14ac:dyDescent="0.25">
      <c r="A355" s="153">
        <v>4158</v>
      </c>
      <c r="B355" s="184">
        <v>2</v>
      </c>
    </row>
    <row r="356" spans="1:2" x14ac:dyDescent="0.25">
      <c r="A356" s="153">
        <v>4159</v>
      </c>
      <c r="B356" s="184">
        <v>1</v>
      </c>
    </row>
    <row r="357" spans="1:2" x14ac:dyDescent="0.25">
      <c r="A357" s="153">
        <v>4160</v>
      </c>
      <c r="B357" s="184">
        <v>1</v>
      </c>
    </row>
    <row r="358" spans="1:2" x14ac:dyDescent="0.25">
      <c r="A358" s="153">
        <v>4161</v>
      </c>
      <c r="B358" s="184">
        <v>6</v>
      </c>
    </row>
    <row r="359" spans="1:2" x14ac:dyDescent="0.25">
      <c r="A359" s="153">
        <v>4162</v>
      </c>
      <c r="B359" s="184">
        <v>1</v>
      </c>
    </row>
    <row r="360" spans="1:2" x14ac:dyDescent="0.25">
      <c r="A360" s="153">
        <v>4163</v>
      </c>
      <c r="B360" s="184">
        <v>2</v>
      </c>
    </row>
    <row r="361" spans="1:2" x14ac:dyDescent="0.25">
      <c r="A361" s="153">
        <v>4164</v>
      </c>
      <c r="B361" s="184">
        <v>1</v>
      </c>
    </row>
    <row r="362" spans="1:2" x14ac:dyDescent="0.25">
      <c r="A362" s="153">
        <v>4165</v>
      </c>
      <c r="B362" s="184">
        <v>1</v>
      </c>
    </row>
    <row r="363" spans="1:2" x14ac:dyDescent="0.25">
      <c r="A363" s="153">
        <v>4166</v>
      </c>
      <c r="B363" s="184">
        <v>1</v>
      </c>
    </row>
    <row r="364" spans="1:2" x14ac:dyDescent="0.25">
      <c r="A364" s="153">
        <v>4167</v>
      </c>
      <c r="B364" s="184">
        <v>9</v>
      </c>
    </row>
    <row r="365" spans="1:2" x14ac:dyDescent="0.25">
      <c r="A365" s="153">
        <v>4168</v>
      </c>
      <c r="B365" s="184">
        <v>9</v>
      </c>
    </row>
    <row r="366" spans="1:2" x14ac:dyDescent="0.25">
      <c r="A366" s="153">
        <v>4169</v>
      </c>
      <c r="B366" s="184">
        <v>2</v>
      </c>
    </row>
    <row r="367" spans="1:2" x14ac:dyDescent="0.25">
      <c r="A367" s="153">
        <v>4171</v>
      </c>
      <c r="B367" s="184">
        <v>1</v>
      </c>
    </row>
    <row r="368" spans="1:2" x14ac:dyDescent="0.25">
      <c r="A368" s="153">
        <v>4172</v>
      </c>
      <c r="B368" s="184">
        <v>1</v>
      </c>
    </row>
    <row r="369" spans="1:2" x14ac:dyDescent="0.25">
      <c r="A369" s="153">
        <v>4173</v>
      </c>
      <c r="B369" s="184">
        <v>1</v>
      </c>
    </row>
    <row r="370" spans="1:2" x14ac:dyDescent="0.25">
      <c r="A370" s="153">
        <v>4174</v>
      </c>
      <c r="B370" s="184">
        <v>2</v>
      </c>
    </row>
    <row r="371" spans="1:2" x14ac:dyDescent="0.25">
      <c r="A371" s="153">
        <v>4187</v>
      </c>
      <c r="B371" s="184">
        <v>7</v>
      </c>
    </row>
    <row r="372" spans="1:2" x14ac:dyDescent="0.25">
      <c r="A372" s="153">
        <v>4188</v>
      </c>
      <c r="B372" s="184">
        <v>7</v>
      </c>
    </row>
    <row r="373" spans="1:2" x14ac:dyDescent="0.25">
      <c r="A373" s="153">
        <v>4189</v>
      </c>
      <c r="B373" s="184">
        <v>1</v>
      </c>
    </row>
    <row r="374" spans="1:2" x14ac:dyDescent="0.25">
      <c r="A374" s="153">
        <v>4191</v>
      </c>
      <c r="B374" s="184">
        <v>10</v>
      </c>
    </row>
    <row r="375" spans="1:2" x14ac:dyDescent="0.25">
      <c r="A375" s="153">
        <v>4194</v>
      </c>
      <c r="B375" s="184">
        <v>1</v>
      </c>
    </row>
    <row r="376" spans="1:2" x14ac:dyDescent="0.25">
      <c r="A376" s="153">
        <v>4196</v>
      </c>
      <c r="B376" s="184">
        <v>2</v>
      </c>
    </row>
    <row r="377" spans="1:2" x14ac:dyDescent="0.25">
      <c r="A377" s="153">
        <v>4197</v>
      </c>
      <c r="B377" s="184">
        <v>2</v>
      </c>
    </row>
    <row r="378" spans="1:2" x14ac:dyDescent="0.25">
      <c r="A378" s="153">
        <v>4198</v>
      </c>
      <c r="B378" s="184">
        <v>2</v>
      </c>
    </row>
    <row r="379" spans="1:2" x14ac:dyDescent="0.25">
      <c r="A379" s="153">
        <v>4212</v>
      </c>
      <c r="B379" s="184">
        <v>4</v>
      </c>
    </row>
    <row r="380" spans="1:2" x14ac:dyDescent="0.25">
      <c r="A380" s="153">
        <v>4213</v>
      </c>
      <c r="B380" s="184">
        <v>8</v>
      </c>
    </row>
    <row r="381" spans="1:2" x14ac:dyDescent="0.25">
      <c r="A381" s="153">
        <v>4233</v>
      </c>
      <c r="B381" s="184">
        <v>1</v>
      </c>
    </row>
    <row r="382" spans="1:2" x14ac:dyDescent="0.25">
      <c r="A382" s="153">
        <v>4238</v>
      </c>
      <c r="B382" s="184">
        <v>1</v>
      </c>
    </row>
    <row r="383" spans="1:2" x14ac:dyDescent="0.25">
      <c r="A383" s="153">
        <v>4239</v>
      </c>
      <c r="B383" s="184">
        <v>1</v>
      </c>
    </row>
    <row r="384" spans="1:2" x14ac:dyDescent="0.25">
      <c r="A384" s="153">
        <v>4243</v>
      </c>
      <c r="B384" s="184">
        <v>1</v>
      </c>
    </row>
    <row r="385" spans="1:2" x14ac:dyDescent="0.25">
      <c r="A385" s="153">
        <v>4244</v>
      </c>
      <c r="B385" s="184">
        <v>1</v>
      </c>
    </row>
    <row r="386" spans="1:2" x14ac:dyDescent="0.25">
      <c r="A386" s="153">
        <v>4245</v>
      </c>
      <c r="B386" s="184">
        <v>1</v>
      </c>
    </row>
    <row r="387" spans="1:2" x14ac:dyDescent="0.25">
      <c r="A387" s="153">
        <v>4247</v>
      </c>
      <c r="B387" s="184">
        <v>1</v>
      </c>
    </row>
    <row r="388" spans="1:2" x14ac:dyDescent="0.25">
      <c r="A388" s="153">
        <v>4249</v>
      </c>
      <c r="B388" s="184">
        <v>4</v>
      </c>
    </row>
    <row r="389" spans="1:2" x14ac:dyDescent="0.25">
      <c r="A389" s="153">
        <v>4254</v>
      </c>
      <c r="B389" s="184">
        <v>1</v>
      </c>
    </row>
    <row r="390" spans="1:2" x14ac:dyDescent="0.25">
      <c r="A390" s="153">
        <v>4267</v>
      </c>
      <c r="B390" s="184">
        <v>1</v>
      </c>
    </row>
    <row r="391" spans="1:2" x14ac:dyDescent="0.25">
      <c r="A391" s="153">
        <v>4268</v>
      </c>
      <c r="B391" s="184">
        <v>1</v>
      </c>
    </row>
    <row r="392" spans="1:2" x14ac:dyDescent="0.25">
      <c r="A392" s="153">
        <v>4272</v>
      </c>
      <c r="B392" s="184">
        <v>12</v>
      </c>
    </row>
    <row r="393" spans="1:2" x14ac:dyDescent="0.25">
      <c r="A393" s="153">
        <v>4273</v>
      </c>
      <c r="B393" s="184">
        <v>3</v>
      </c>
    </row>
    <row r="394" spans="1:2" x14ac:dyDescent="0.25">
      <c r="A394" s="153">
        <v>4275</v>
      </c>
      <c r="B394" s="184">
        <v>1</v>
      </c>
    </row>
    <row r="395" spans="1:2" x14ac:dyDescent="0.25">
      <c r="A395" s="153">
        <v>4276</v>
      </c>
      <c r="B395" s="184">
        <v>1</v>
      </c>
    </row>
    <row r="396" spans="1:2" x14ac:dyDescent="0.25">
      <c r="A396" s="153">
        <v>4277</v>
      </c>
      <c r="B396" s="184">
        <v>1</v>
      </c>
    </row>
    <row r="397" spans="1:2" x14ac:dyDescent="0.25">
      <c r="A397" s="153">
        <v>4278</v>
      </c>
      <c r="B397" s="184">
        <v>1</v>
      </c>
    </row>
    <row r="398" spans="1:2" x14ac:dyDescent="0.25">
      <c r="A398" s="153">
        <v>4279</v>
      </c>
      <c r="B398" s="184">
        <v>1</v>
      </c>
    </row>
    <row r="399" spans="1:2" x14ac:dyDescent="0.25">
      <c r="A399" s="153">
        <v>4280</v>
      </c>
      <c r="B399" s="184">
        <v>1</v>
      </c>
    </row>
    <row r="400" spans="1:2" x14ac:dyDescent="0.25">
      <c r="A400" s="153">
        <v>4281</v>
      </c>
      <c r="B400" s="184">
        <v>1</v>
      </c>
    </row>
    <row r="401" spans="1:2" x14ac:dyDescent="0.25">
      <c r="A401" s="153">
        <v>4282</v>
      </c>
      <c r="B401" s="184">
        <v>1</v>
      </c>
    </row>
    <row r="402" spans="1:2" x14ac:dyDescent="0.25">
      <c r="A402" s="153">
        <v>4284</v>
      </c>
      <c r="B402" s="184">
        <v>1</v>
      </c>
    </row>
    <row r="403" spans="1:2" x14ac:dyDescent="0.25">
      <c r="A403" s="153">
        <v>4285</v>
      </c>
      <c r="B403" s="184">
        <v>3</v>
      </c>
    </row>
    <row r="404" spans="1:2" x14ac:dyDescent="0.25">
      <c r="A404" s="153">
        <v>4286</v>
      </c>
      <c r="B404" s="184">
        <v>2</v>
      </c>
    </row>
    <row r="405" spans="1:2" x14ac:dyDescent="0.25">
      <c r="A405" s="153">
        <v>4288</v>
      </c>
      <c r="B405" s="184">
        <v>4</v>
      </c>
    </row>
    <row r="406" spans="1:2" x14ac:dyDescent="0.25">
      <c r="A406" s="153">
        <v>4289</v>
      </c>
      <c r="B406" s="184">
        <v>1</v>
      </c>
    </row>
    <row r="407" spans="1:2" x14ac:dyDescent="0.25">
      <c r="A407" s="153">
        <v>4290</v>
      </c>
      <c r="B407" s="184">
        <v>1</v>
      </c>
    </row>
    <row r="408" spans="1:2" x14ac:dyDescent="0.25">
      <c r="A408" s="153">
        <v>4292</v>
      </c>
      <c r="B408" s="184">
        <v>1</v>
      </c>
    </row>
    <row r="409" spans="1:2" x14ac:dyDescent="0.25">
      <c r="A409" s="153">
        <v>4293</v>
      </c>
      <c r="B409" s="184">
        <v>3</v>
      </c>
    </row>
    <row r="410" spans="1:2" x14ac:dyDescent="0.25">
      <c r="A410" s="153">
        <v>4294</v>
      </c>
      <c r="B410" s="184">
        <v>2</v>
      </c>
    </row>
    <row r="411" spans="1:2" x14ac:dyDescent="0.25">
      <c r="A411" s="153">
        <v>4295</v>
      </c>
      <c r="B411" s="184">
        <v>2</v>
      </c>
    </row>
    <row r="412" spans="1:2" x14ac:dyDescent="0.25">
      <c r="A412" s="153">
        <v>4296</v>
      </c>
      <c r="B412" s="184">
        <v>1</v>
      </c>
    </row>
    <row r="413" spans="1:2" x14ac:dyDescent="0.25">
      <c r="A413" s="153">
        <v>4297</v>
      </c>
      <c r="B413" s="184">
        <v>1</v>
      </c>
    </row>
    <row r="414" spans="1:2" x14ac:dyDescent="0.25">
      <c r="A414" s="153">
        <v>4299</v>
      </c>
      <c r="B414" s="184">
        <v>8</v>
      </c>
    </row>
    <row r="415" spans="1:2" x14ac:dyDescent="0.25">
      <c r="A415" s="153">
        <v>4304</v>
      </c>
      <c r="B415" s="184">
        <v>1</v>
      </c>
    </row>
    <row r="416" spans="1:2" x14ac:dyDescent="0.25">
      <c r="A416" s="153">
        <v>4305</v>
      </c>
      <c r="B416" s="184">
        <v>3</v>
      </c>
    </row>
    <row r="417" spans="1:2" x14ac:dyDescent="0.25">
      <c r="A417" s="153">
        <v>4306</v>
      </c>
      <c r="B417" s="184">
        <v>3</v>
      </c>
    </row>
    <row r="418" spans="1:2" x14ac:dyDescent="0.25">
      <c r="A418" s="153">
        <v>4307</v>
      </c>
      <c r="B418" s="184">
        <v>1</v>
      </c>
    </row>
    <row r="419" spans="1:2" x14ac:dyDescent="0.25">
      <c r="A419" s="153">
        <v>4308</v>
      </c>
      <c r="B419" s="184">
        <v>1</v>
      </c>
    </row>
    <row r="420" spans="1:2" x14ac:dyDescent="0.25">
      <c r="A420" s="153">
        <v>4309</v>
      </c>
      <c r="B420" s="184">
        <v>1</v>
      </c>
    </row>
    <row r="421" spans="1:2" x14ac:dyDescent="0.25">
      <c r="A421" s="153">
        <v>4311</v>
      </c>
      <c r="B421" s="184">
        <v>2</v>
      </c>
    </row>
    <row r="422" spans="1:2" x14ac:dyDescent="0.25">
      <c r="A422" s="153">
        <v>4312</v>
      </c>
      <c r="B422" s="184">
        <v>1</v>
      </c>
    </row>
    <row r="423" spans="1:2" x14ac:dyDescent="0.25">
      <c r="A423" s="153">
        <v>4313</v>
      </c>
      <c r="B423" s="184">
        <v>1</v>
      </c>
    </row>
    <row r="424" spans="1:2" x14ac:dyDescent="0.25">
      <c r="A424" s="153">
        <v>4316</v>
      </c>
      <c r="B424" s="184">
        <v>1</v>
      </c>
    </row>
    <row r="425" spans="1:2" x14ac:dyDescent="0.25">
      <c r="A425" s="153">
        <v>4317</v>
      </c>
      <c r="B425" s="184">
        <v>1</v>
      </c>
    </row>
    <row r="426" spans="1:2" x14ac:dyDescent="0.25">
      <c r="A426" s="153">
        <v>4318</v>
      </c>
      <c r="B426" s="184">
        <v>1</v>
      </c>
    </row>
    <row r="427" spans="1:2" x14ac:dyDescent="0.25">
      <c r="A427" s="153">
        <v>4319</v>
      </c>
      <c r="B427" s="184">
        <v>1</v>
      </c>
    </row>
    <row r="428" spans="1:2" x14ac:dyDescent="0.25">
      <c r="A428" s="153">
        <v>4320</v>
      </c>
      <c r="B428" s="184">
        <v>1</v>
      </c>
    </row>
    <row r="429" spans="1:2" x14ac:dyDescent="0.25">
      <c r="A429" s="153">
        <v>4322</v>
      </c>
      <c r="B429" s="184">
        <v>2</v>
      </c>
    </row>
    <row r="430" spans="1:2" x14ac:dyDescent="0.25">
      <c r="A430" s="153">
        <v>4323</v>
      </c>
      <c r="B430" s="184">
        <v>1</v>
      </c>
    </row>
    <row r="431" spans="1:2" x14ac:dyDescent="0.25">
      <c r="A431" s="153">
        <v>4324</v>
      </c>
      <c r="B431" s="184">
        <v>1</v>
      </c>
    </row>
    <row r="432" spans="1:2" x14ac:dyDescent="0.25">
      <c r="A432" s="153">
        <v>4325</v>
      </c>
      <c r="B432" s="184">
        <v>1</v>
      </c>
    </row>
    <row r="433" spans="1:2" x14ac:dyDescent="0.25">
      <c r="A433" s="153">
        <v>4326</v>
      </c>
      <c r="B433" s="184">
        <v>1</v>
      </c>
    </row>
    <row r="434" spans="1:2" x14ac:dyDescent="0.25">
      <c r="A434" s="153">
        <v>4327</v>
      </c>
      <c r="B434" s="184">
        <v>1</v>
      </c>
    </row>
    <row r="435" spans="1:2" x14ac:dyDescent="0.25">
      <c r="A435" s="153">
        <v>4328</v>
      </c>
      <c r="B435" s="184">
        <v>1</v>
      </c>
    </row>
    <row r="436" spans="1:2" x14ac:dyDescent="0.25">
      <c r="A436" s="153">
        <v>4346</v>
      </c>
      <c r="B436" s="184">
        <v>1</v>
      </c>
    </row>
    <row r="437" spans="1:2" x14ac:dyDescent="0.25">
      <c r="A437" s="153">
        <v>4347</v>
      </c>
      <c r="B437" s="184">
        <v>1</v>
      </c>
    </row>
    <row r="438" spans="1:2" x14ac:dyDescent="0.25">
      <c r="A438" s="153">
        <v>4348</v>
      </c>
      <c r="B438" s="184">
        <v>1</v>
      </c>
    </row>
    <row r="439" spans="1:2" x14ac:dyDescent="0.25">
      <c r="A439" s="153">
        <v>4354</v>
      </c>
      <c r="B439" s="184">
        <v>4</v>
      </c>
    </row>
    <row r="440" spans="1:2" x14ac:dyDescent="0.25">
      <c r="A440" s="153">
        <v>4355</v>
      </c>
      <c r="B440" s="184">
        <v>1</v>
      </c>
    </row>
    <row r="441" spans="1:2" x14ac:dyDescent="0.25">
      <c r="A441" s="153">
        <v>4356</v>
      </c>
      <c r="B441" s="184">
        <v>1</v>
      </c>
    </row>
    <row r="442" spans="1:2" x14ac:dyDescent="0.25">
      <c r="A442" s="153">
        <v>4358</v>
      </c>
      <c r="B442" s="184">
        <v>1</v>
      </c>
    </row>
    <row r="443" spans="1:2" x14ac:dyDescent="0.25">
      <c r="A443" s="153">
        <v>4359</v>
      </c>
      <c r="B443" s="184">
        <v>1</v>
      </c>
    </row>
    <row r="444" spans="1:2" x14ac:dyDescent="0.25">
      <c r="A444" s="153">
        <v>4360</v>
      </c>
      <c r="B444" s="184">
        <v>1</v>
      </c>
    </row>
    <row r="445" spans="1:2" x14ac:dyDescent="0.25">
      <c r="A445" s="153">
        <v>4361</v>
      </c>
      <c r="B445" s="184">
        <v>2</v>
      </c>
    </row>
    <row r="446" spans="1:2" x14ac:dyDescent="0.25">
      <c r="A446" s="153">
        <v>4373</v>
      </c>
      <c r="B446" s="184">
        <v>1</v>
      </c>
    </row>
    <row r="447" spans="1:2" x14ac:dyDescent="0.25">
      <c r="A447" s="153">
        <v>4395</v>
      </c>
      <c r="B447" s="184">
        <v>1</v>
      </c>
    </row>
    <row r="448" spans="1:2" x14ac:dyDescent="0.25">
      <c r="A448" s="153">
        <v>4402</v>
      </c>
      <c r="B448" s="184">
        <v>1</v>
      </c>
    </row>
    <row r="449" spans="1:2" x14ac:dyDescent="0.25">
      <c r="A449" s="153">
        <v>4488</v>
      </c>
      <c r="B449" s="184">
        <v>1</v>
      </c>
    </row>
    <row r="450" spans="1:2" x14ac:dyDescent="0.25">
      <c r="A450" s="153">
        <v>4489</v>
      </c>
      <c r="B450" s="184">
        <v>27</v>
      </c>
    </row>
    <row r="451" spans="1:2" x14ac:dyDescent="0.25">
      <c r="A451" s="153">
        <v>4490</v>
      </c>
      <c r="B451" s="184">
        <v>1</v>
      </c>
    </row>
    <row r="452" spans="1:2" x14ac:dyDescent="0.25">
      <c r="A452" s="153">
        <v>4491</v>
      </c>
      <c r="B452" s="184">
        <v>1</v>
      </c>
    </row>
    <row r="453" spans="1:2" x14ac:dyDescent="0.25">
      <c r="A453" s="153">
        <v>4492</v>
      </c>
      <c r="B453" s="184">
        <v>1</v>
      </c>
    </row>
    <row r="454" spans="1:2" x14ac:dyDescent="0.25">
      <c r="A454" s="153">
        <v>4493</v>
      </c>
      <c r="B454" s="184">
        <v>1</v>
      </c>
    </row>
    <row r="455" spans="1:2" x14ac:dyDescent="0.25">
      <c r="A455" s="153">
        <v>4494</v>
      </c>
      <c r="B455" s="184">
        <v>5</v>
      </c>
    </row>
    <row r="456" spans="1:2" x14ac:dyDescent="0.25">
      <c r="A456" s="153">
        <v>4495</v>
      </c>
      <c r="B456" s="184">
        <v>1</v>
      </c>
    </row>
    <row r="457" spans="1:2" x14ac:dyDescent="0.25">
      <c r="A457" s="153">
        <v>4496</v>
      </c>
      <c r="B457" s="184">
        <v>1</v>
      </c>
    </row>
    <row r="458" spans="1:2" x14ac:dyDescent="0.25">
      <c r="A458" s="153">
        <v>4497</v>
      </c>
      <c r="B458" s="184">
        <v>2</v>
      </c>
    </row>
    <row r="459" spans="1:2" x14ac:dyDescent="0.25">
      <c r="A459" s="153">
        <v>4498</v>
      </c>
      <c r="B459" s="184">
        <v>2</v>
      </c>
    </row>
    <row r="460" spans="1:2" x14ac:dyDescent="0.25">
      <c r="A460" s="153">
        <v>4500</v>
      </c>
      <c r="B460" s="184">
        <v>1</v>
      </c>
    </row>
    <row r="461" spans="1:2" x14ac:dyDescent="0.25">
      <c r="A461" s="153">
        <v>4501</v>
      </c>
      <c r="B461" s="184">
        <v>13</v>
      </c>
    </row>
    <row r="462" spans="1:2" x14ac:dyDescent="0.25">
      <c r="A462" s="153">
        <v>4502</v>
      </c>
      <c r="B462" s="184">
        <v>13</v>
      </c>
    </row>
    <row r="463" spans="1:2" x14ac:dyDescent="0.25">
      <c r="A463" s="153">
        <v>4503</v>
      </c>
      <c r="B463" s="184">
        <v>2</v>
      </c>
    </row>
    <row r="464" spans="1:2" x14ac:dyDescent="0.25">
      <c r="A464" s="153">
        <v>4505</v>
      </c>
      <c r="B464" s="184">
        <v>1</v>
      </c>
    </row>
    <row r="465" spans="1:2" x14ac:dyDescent="0.25">
      <c r="A465" s="153">
        <v>4506</v>
      </c>
      <c r="B465" s="184">
        <v>1</v>
      </c>
    </row>
    <row r="466" spans="1:2" x14ac:dyDescent="0.25">
      <c r="A466" s="153">
        <v>4507</v>
      </c>
      <c r="B466" s="184">
        <v>1</v>
      </c>
    </row>
    <row r="467" spans="1:2" x14ac:dyDescent="0.25">
      <c r="A467" s="153">
        <v>4509</v>
      </c>
      <c r="B467" s="184">
        <v>11</v>
      </c>
    </row>
    <row r="468" spans="1:2" x14ac:dyDescent="0.25">
      <c r="A468" s="153">
        <v>4510</v>
      </c>
      <c r="B468" s="184">
        <v>1</v>
      </c>
    </row>
    <row r="469" spans="1:2" x14ac:dyDescent="0.25">
      <c r="A469" s="153">
        <v>4511</v>
      </c>
      <c r="B469" s="184">
        <v>1</v>
      </c>
    </row>
    <row r="470" spans="1:2" x14ac:dyDescent="0.25">
      <c r="A470" s="153">
        <v>4512</v>
      </c>
      <c r="B470" s="184">
        <v>1</v>
      </c>
    </row>
    <row r="471" spans="1:2" x14ac:dyDescent="0.25">
      <c r="A471" s="153">
        <v>4513</v>
      </c>
      <c r="B471" s="184">
        <v>1</v>
      </c>
    </row>
    <row r="472" spans="1:2" x14ac:dyDescent="0.25">
      <c r="A472" s="153">
        <v>4514</v>
      </c>
      <c r="B472" s="184">
        <v>1</v>
      </c>
    </row>
    <row r="473" spans="1:2" x14ac:dyDescent="0.25">
      <c r="A473" s="153">
        <v>4515</v>
      </c>
      <c r="B473" s="184">
        <v>2</v>
      </c>
    </row>
    <row r="474" spans="1:2" x14ac:dyDescent="0.25">
      <c r="A474" s="153">
        <v>4516</v>
      </c>
      <c r="B474" s="184">
        <v>4</v>
      </c>
    </row>
    <row r="475" spans="1:2" x14ac:dyDescent="0.25">
      <c r="A475" s="153">
        <v>4517</v>
      </c>
      <c r="B475" s="184">
        <v>4</v>
      </c>
    </row>
    <row r="476" spans="1:2" x14ac:dyDescent="0.25">
      <c r="A476" s="153">
        <v>4527</v>
      </c>
      <c r="B476" s="184">
        <v>1</v>
      </c>
    </row>
    <row r="477" spans="1:2" x14ac:dyDescent="0.25">
      <c r="A477" s="153">
        <v>4528</v>
      </c>
      <c r="B477" s="184">
        <v>1</v>
      </c>
    </row>
    <row r="478" spans="1:2" x14ac:dyDescent="0.25">
      <c r="A478" s="153">
        <v>4529</v>
      </c>
      <c r="B478" s="184">
        <v>1</v>
      </c>
    </row>
    <row r="479" spans="1:2" x14ac:dyDescent="0.25">
      <c r="A479" s="153">
        <v>4532</v>
      </c>
      <c r="B479" s="184">
        <v>1</v>
      </c>
    </row>
    <row r="480" spans="1:2" x14ac:dyDescent="0.25">
      <c r="A480" s="153">
        <v>4533</v>
      </c>
      <c r="B480" s="184">
        <v>2</v>
      </c>
    </row>
    <row r="481" spans="1:2" x14ac:dyDescent="0.25">
      <c r="A481" s="153">
        <v>4535</v>
      </c>
      <c r="B481" s="184">
        <v>1</v>
      </c>
    </row>
    <row r="482" spans="1:2" x14ac:dyDescent="0.25">
      <c r="A482" s="153">
        <v>4537</v>
      </c>
      <c r="B482" s="184">
        <v>2</v>
      </c>
    </row>
    <row r="483" spans="1:2" x14ac:dyDescent="0.25">
      <c r="A483" s="153">
        <v>4538</v>
      </c>
      <c r="B483" s="184">
        <v>2</v>
      </c>
    </row>
    <row r="484" spans="1:2" x14ac:dyDescent="0.25">
      <c r="A484" s="153">
        <v>4542</v>
      </c>
      <c r="B484" s="184">
        <v>1</v>
      </c>
    </row>
    <row r="485" spans="1:2" x14ac:dyDescent="0.25">
      <c r="A485" s="153">
        <v>4543</v>
      </c>
      <c r="B485" s="184">
        <v>1</v>
      </c>
    </row>
    <row r="486" spans="1:2" x14ac:dyDescent="0.25">
      <c r="A486" s="153">
        <v>4546</v>
      </c>
      <c r="B486" s="184">
        <v>1</v>
      </c>
    </row>
    <row r="487" spans="1:2" x14ac:dyDescent="0.25">
      <c r="A487" s="153">
        <v>4547</v>
      </c>
      <c r="B487" s="184">
        <v>1</v>
      </c>
    </row>
    <row r="488" spans="1:2" x14ac:dyDescent="0.25">
      <c r="A488" s="153">
        <v>4549</v>
      </c>
      <c r="B488" s="184">
        <v>2</v>
      </c>
    </row>
    <row r="489" spans="1:2" x14ac:dyDescent="0.25">
      <c r="A489" s="153">
        <v>4550</v>
      </c>
      <c r="B489" s="184">
        <v>2</v>
      </c>
    </row>
    <row r="490" spans="1:2" x14ac:dyDescent="0.25">
      <c r="A490" s="153">
        <v>4553</v>
      </c>
      <c r="B490" s="184">
        <v>5</v>
      </c>
    </row>
    <row r="491" spans="1:2" x14ac:dyDescent="0.25">
      <c r="A491" s="153">
        <v>4555</v>
      </c>
      <c r="B491" s="184">
        <v>1</v>
      </c>
    </row>
    <row r="492" spans="1:2" x14ac:dyDescent="0.25">
      <c r="A492" s="153">
        <v>4557</v>
      </c>
      <c r="B492" s="184">
        <v>1</v>
      </c>
    </row>
    <row r="493" spans="1:2" x14ac:dyDescent="0.25">
      <c r="A493" s="153">
        <v>4558</v>
      </c>
      <c r="B493" s="184">
        <v>3</v>
      </c>
    </row>
    <row r="494" spans="1:2" x14ac:dyDescent="0.25">
      <c r="A494" s="153">
        <v>4559</v>
      </c>
      <c r="B494" s="184">
        <v>1</v>
      </c>
    </row>
    <row r="495" spans="1:2" x14ac:dyDescent="0.25">
      <c r="A495" s="153">
        <v>4563</v>
      </c>
      <c r="B495" s="184">
        <v>1</v>
      </c>
    </row>
    <row r="496" spans="1:2" x14ac:dyDescent="0.25">
      <c r="A496" s="153">
        <v>4566</v>
      </c>
      <c r="B496" s="184">
        <v>1</v>
      </c>
    </row>
    <row r="497" spans="1:2" x14ac:dyDescent="0.25">
      <c r="A497" s="153">
        <v>4601</v>
      </c>
      <c r="B497" s="184">
        <v>13</v>
      </c>
    </row>
    <row r="498" spans="1:2" x14ac:dyDescent="0.25">
      <c r="A498" s="153">
        <v>4602</v>
      </c>
      <c r="B498" s="184">
        <v>13</v>
      </c>
    </row>
    <row r="499" spans="1:2" x14ac:dyDescent="0.25">
      <c r="A499" s="153">
        <v>4603</v>
      </c>
      <c r="B499" s="184">
        <v>13</v>
      </c>
    </row>
    <row r="500" spans="1:2" x14ac:dyDescent="0.25">
      <c r="A500" s="153">
        <v>4604</v>
      </c>
      <c r="B500" s="184">
        <v>8</v>
      </c>
    </row>
    <row r="501" spans="1:2" x14ac:dyDescent="0.25">
      <c r="A501" s="153">
        <v>4605</v>
      </c>
      <c r="B501" s="184">
        <v>13</v>
      </c>
    </row>
    <row r="502" spans="1:2" x14ac:dyDescent="0.25">
      <c r="A502" s="153">
        <v>4606</v>
      </c>
      <c r="B502" s="184">
        <v>13</v>
      </c>
    </row>
    <row r="503" spans="1:2" x14ac:dyDescent="0.25">
      <c r="A503" s="153">
        <v>4607</v>
      </c>
      <c r="B503" s="184">
        <v>13</v>
      </c>
    </row>
    <row r="504" spans="1:2" x14ac:dyDescent="0.25">
      <c r="A504" s="153">
        <v>4608</v>
      </c>
      <c r="B504" s="184">
        <v>8</v>
      </c>
    </row>
    <row r="505" spans="1:2" x14ac:dyDescent="0.25">
      <c r="A505" s="153">
        <v>5018</v>
      </c>
      <c r="B505" s="184">
        <v>1</v>
      </c>
    </row>
    <row r="506" spans="1:2" x14ac:dyDescent="0.25">
      <c r="A506" s="153">
        <v>5019</v>
      </c>
      <c r="B506" s="184">
        <v>1</v>
      </c>
    </row>
    <row r="507" spans="1:2" x14ac:dyDescent="0.25">
      <c r="A507" s="153">
        <v>5042</v>
      </c>
      <c r="B507" s="184">
        <v>1</v>
      </c>
    </row>
    <row r="508" spans="1:2" x14ac:dyDescent="0.25">
      <c r="A508" s="153">
        <v>5116</v>
      </c>
      <c r="B508" s="184">
        <v>1</v>
      </c>
    </row>
    <row r="509" spans="1:2" x14ac:dyDescent="0.25">
      <c r="A509" s="153">
        <v>5117</v>
      </c>
      <c r="B509" s="184">
        <v>2</v>
      </c>
    </row>
    <row r="510" spans="1:2" x14ac:dyDescent="0.25">
      <c r="A510" s="153">
        <v>5120</v>
      </c>
      <c r="B510" s="184">
        <v>1</v>
      </c>
    </row>
    <row r="511" spans="1:2" x14ac:dyDescent="0.25">
      <c r="A511" s="153">
        <v>5132</v>
      </c>
      <c r="B511" s="184">
        <v>2</v>
      </c>
    </row>
    <row r="512" spans="1:2" x14ac:dyDescent="0.25">
      <c r="A512" s="153">
        <v>5133</v>
      </c>
      <c r="B512" s="184">
        <v>2</v>
      </c>
    </row>
    <row r="513" spans="1:2" x14ac:dyDescent="0.25">
      <c r="A513" s="153">
        <v>5141</v>
      </c>
      <c r="B513" s="184">
        <v>8</v>
      </c>
    </row>
    <row r="514" spans="1:2" x14ac:dyDescent="0.25">
      <c r="A514" s="153">
        <v>5145</v>
      </c>
      <c r="B514" s="184">
        <v>10</v>
      </c>
    </row>
    <row r="515" spans="1:2" x14ac:dyDescent="0.25">
      <c r="A515" s="153">
        <v>5206</v>
      </c>
      <c r="B515" s="184">
        <v>1</v>
      </c>
    </row>
    <row r="516" spans="1:2" x14ac:dyDescent="0.25">
      <c r="A516" s="153">
        <v>5208</v>
      </c>
      <c r="B516" s="184">
        <v>6</v>
      </c>
    </row>
    <row r="517" spans="1:2" x14ac:dyDescent="0.25">
      <c r="A517" s="153">
        <v>5210</v>
      </c>
      <c r="B517" s="184">
        <v>6</v>
      </c>
    </row>
    <row r="518" spans="1:2" x14ac:dyDescent="0.25">
      <c r="A518" s="153">
        <v>5285</v>
      </c>
      <c r="B518" s="184">
        <v>2</v>
      </c>
    </row>
    <row r="519" spans="1:2" x14ac:dyDescent="0.25">
      <c r="A519" s="153">
        <v>5355</v>
      </c>
      <c r="B519" s="184">
        <v>2</v>
      </c>
    </row>
    <row r="520" spans="1:2" x14ac:dyDescent="0.25">
      <c r="A520" s="153">
        <v>5377</v>
      </c>
      <c r="B520" s="184">
        <v>2</v>
      </c>
    </row>
    <row r="521" spans="1:2" x14ac:dyDescent="0.25">
      <c r="A521" s="153">
        <v>5389</v>
      </c>
      <c r="B521" s="184">
        <v>1</v>
      </c>
    </row>
    <row r="522" spans="1:2" x14ac:dyDescent="0.25">
      <c r="A522" s="153">
        <v>5409</v>
      </c>
      <c r="B522" s="184">
        <v>22</v>
      </c>
    </row>
    <row r="523" spans="1:2" x14ac:dyDescent="0.25">
      <c r="A523" s="153">
        <v>6000</v>
      </c>
      <c r="B523" s="184">
        <v>3</v>
      </c>
    </row>
    <row r="524" spans="1:2" x14ac:dyDescent="0.25">
      <c r="A524" s="153">
        <v>6011</v>
      </c>
      <c r="B524" s="184">
        <v>1</v>
      </c>
    </row>
    <row r="525" spans="1:2" x14ac:dyDescent="0.25">
      <c r="A525" s="153">
        <v>6013</v>
      </c>
      <c r="B525" s="184">
        <v>1</v>
      </c>
    </row>
    <row r="526" spans="1:2" x14ac:dyDescent="0.25">
      <c r="A526" s="153">
        <v>6030</v>
      </c>
      <c r="B526" s="184">
        <v>1</v>
      </c>
    </row>
    <row r="527" spans="1:2" x14ac:dyDescent="0.25">
      <c r="A527" s="153">
        <v>6031</v>
      </c>
      <c r="B527" s="184">
        <v>1</v>
      </c>
    </row>
    <row r="528" spans="1:2" x14ac:dyDescent="0.25">
      <c r="A528" s="153">
        <v>6036</v>
      </c>
      <c r="B528" s="184">
        <v>1</v>
      </c>
    </row>
    <row r="529" spans="1:2" x14ac:dyDescent="0.25">
      <c r="A529" s="153">
        <v>6037</v>
      </c>
      <c r="B529" s="184">
        <v>1</v>
      </c>
    </row>
    <row r="530" spans="1:2" x14ac:dyDescent="0.25">
      <c r="A530" s="153">
        <v>6038</v>
      </c>
      <c r="B530" s="184">
        <v>1</v>
      </c>
    </row>
    <row r="531" spans="1:2" x14ac:dyDescent="0.25">
      <c r="A531" s="153">
        <v>6039</v>
      </c>
      <c r="B531" s="184">
        <v>1</v>
      </c>
    </row>
    <row r="532" spans="1:2" x14ac:dyDescent="0.25">
      <c r="A532" s="153">
        <v>6040</v>
      </c>
      <c r="B532" s="184">
        <v>1</v>
      </c>
    </row>
    <row r="533" spans="1:2" x14ac:dyDescent="0.25">
      <c r="A533" s="153">
        <v>6041</v>
      </c>
      <c r="B533" s="184">
        <v>1</v>
      </c>
    </row>
    <row r="534" spans="1:2" x14ac:dyDescent="0.25">
      <c r="A534" s="153">
        <v>6042</v>
      </c>
      <c r="B534" s="184">
        <v>1</v>
      </c>
    </row>
    <row r="535" spans="1:2" x14ac:dyDescent="0.25">
      <c r="A535" s="153">
        <v>6043</v>
      </c>
      <c r="B535" s="184">
        <v>1</v>
      </c>
    </row>
    <row r="536" spans="1:2" x14ac:dyDescent="0.25">
      <c r="A536" s="153">
        <v>6044</v>
      </c>
      <c r="B536" s="184">
        <v>1</v>
      </c>
    </row>
    <row r="537" spans="1:2" x14ac:dyDescent="0.25">
      <c r="A537" s="153">
        <v>6045</v>
      </c>
      <c r="B537" s="184">
        <v>1</v>
      </c>
    </row>
    <row r="538" spans="1:2" x14ac:dyDescent="0.25">
      <c r="A538" s="153">
        <v>6046</v>
      </c>
      <c r="B538" s="184">
        <v>1</v>
      </c>
    </row>
    <row r="539" spans="1:2" x14ac:dyDescent="0.25">
      <c r="A539" s="153">
        <v>6047</v>
      </c>
      <c r="B539" s="184">
        <v>1</v>
      </c>
    </row>
    <row r="540" spans="1:2" x14ac:dyDescent="0.25">
      <c r="A540" s="153">
        <v>6048</v>
      </c>
      <c r="B540" s="184">
        <v>1</v>
      </c>
    </row>
    <row r="541" spans="1:2" x14ac:dyDescent="0.25">
      <c r="A541" s="153">
        <v>6049</v>
      </c>
      <c r="B541" s="184">
        <v>1</v>
      </c>
    </row>
    <row r="542" spans="1:2" x14ac:dyDescent="0.25">
      <c r="A542" s="153">
        <v>6050</v>
      </c>
      <c r="B542" s="184">
        <v>1</v>
      </c>
    </row>
    <row r="543" spans="1:2" x14ac:dyDescent="0.25">
      <c r="A543" s="153">
        <v>6051</v>
      </c>
      <c r="B543" s="184">
        <v>1</v>
      </c>
    </row>
    <row r="544" spans="1:2" x14ac:dyDescent="0.25">
      <c r="A544" s="153">
        <v>6052</v>
      </c>
      <c r="B544" s="184">
        <v>1</v>
      </c>
    </row>
    <row r="545" spans="1:2" x14ac:dyDescent="0.25">
      <c r="A545" s="153">
        <v>6053</v>
      </c>
      <c r="B545" s="184">
        <v>1</v>
      </c>
    </row>
    <row r="546" spans="1:2" x14ac:dyDescent="0.25">
      <c r="A546" s="153">
        <v>6054</v>
      </c>
      <c r="B546" s="184">
        <v>1</v>
      </c>
    </row>
    <row r="547" spans="1:2" x14ac:dyDescent="0.25">
      <c r="A547" s="153">
        <v>6055</v>
      </c>
      <c r="B547" s="184">
        <v>1</v>
      </c>
    </row>
    <row r="548" spans="1:2" x14ac:dyDescent="0.25">
      <c r="A548" s="153">
        <v>6056</v>
      </c>
      <c r="B548" s="184">
        <v>1</v>
      </c>
    </row>
    <row r="549" spans="1:2" x14ac:dyDescent="0.25">
      <c r="A549" s="153">
        <v>6057</v>
      </c>
      <c r="B549" s="184">
        <v>1</v>
      </c>
    </row>
    <row r="550" spans="1:2" x14ac:dyDescent="0.25">
      <c r="A550" s="153">
        <v>6058</v>
      </c>
      <c r="B550" s="184">
        <v>1</v>
      </c>
    </row>
    <row r="551" spans="1:2" x14ac:dyDescent="0.25">
      <c r="A551" s="153">
        <v>6059</v>
      </c>
      <c r="B551" s="184">
        <v>1</v>
      </c>
    </row>
    <row r="552" spans="1:2" x14ac:dyDescent="0.25">
      <c r="A552" s="153">
        <v>6060</v>
      </c>
      <c r="B552" s="184">
        <v>1</v>
      </c>
    </row>
    <row r="553" spans="1:2" x14ac:dyDescent="0.25">
      <c r="A553" s="153">
        <v>6061</v>
      </c>
      <c r="B553" s="184">
        <v>1</v>
      </c>
    </row>
    <row r="554" spans="1:2" x14ac:dyDescent="0.25">
      <c r="A554" s="153">
        <v>6062</v>
      </c>
      <c r="B554" s="184">
        <v>1</v>
      </c>
    </row>
    <row r="555" spans="1:2" x14ac:dyDescent="0.25">
      <c r="A555" s="153">
        <v>6063</v>
      </c>
      <c r="B555" s="184">
        <v>1</v>
      </c>
    </row>
    <row r="556" spans="1:2" x14ac:dyDescent="0.25">
      <c r="A556" s="153">
        <v>6064</v>
      </c>
      <c r="B556" s="184">
        <v>1</v>
      </c>
    </row>
    <row r="557" spans="1:2" x14ac:dyDescent="0.25">
      <c r="A557" s="153">
        <v>6065</v>
      </c>
      <c r="B557" s="184">
        <v>1</v>
      </c>
    </row>
    <row r="558" spans="1:2" x14ac:dyDescent="0.25">
      <c r="A558" s="153">
        <v>6067</v>
      </c>
      <c r="B558" s="184">
        <v>1</v>
      </c>
    </row>
    <row r="559" spans="1:2" x14ac:dyDescent="0.25">
      <c r="A559" s="153">
        <v>6068</v>
      </c>
      <c r="B559" s="184">
        <v>1</v>
      </c>
    </row>
    <row r="560" spans="1:2" x14ac:dyDescent="0.25">
      <c r="A560" s="153">
        <v>6069</v>
      </c>
      <c r="B560" s="184">
        <v>1</v>
      </c>
    </row>
    <row r="561" spans="1:2" x14ac:dyDescent="0.25">
      <c r="A561" s="153">
        <v>6070</v>
      </c>
      <c r="B561" s="184">
        <v>1</v>
      </c>
    </row>
    <row r="562" spans="1:2" x14ac:dyDescent="0.25">
      <c r="A562" s="153">
        <v>6071</v>
      </c>
      <c r="B562" s="184">
        <v>1</v>
      </c>
    </row>
    <row r="563" spans="1:2" x14ac:dyDescent="0.25">
      <c r="A563" s="153">
        <v>6072</v>
      </c>
      <c r="B563" s="184">
        <v>1</v>
      </c>
    </row>
    <row r="564" spans="1:2" x14ac:dyDescent="0.25">
      <c r="A564" s="153">
        <v>6080</v>
      </c>
      <c r="B564" s="184">
        <v>1</v>
      </c>
    </row>
    <row r="565" spans="1:2" x14ac:dyDescent="0.25">
      <c r="A565" s="153">
        <v>6081</v>
      </c>
      <c r="B565" s="184">
        <v>1</v>
      </c>
    </row>
    <row r="566" spans="1:2" x14ac:dyDescent="0.25">
      <c r="A566" s="153">
        <v>6082</v>
      </c>
      <c r="B566" s="184">
        <v>1</v>
      </c>
    </row>
    <row r="567" spans="1:2" x14ac:dyDescent="0.25">
      <c r="A567" s="153">
        <v>6083</v>
      </c>
      <c r="B567" s="184">
        <v>1</v>
      </c>
    </row>
    <row r="568" spans="1:2" x14ac:dyDescent="0.25">
      <c r="A568" s="153">
        <v>6090</v>
      </c>
      <c r="B568" s="184">
        <v>3</v>
      </c>
    </row>
    <row r="569" spans="1:2" x14ac:dyDescent="0.25">
      <c r="A569" s="153">
        <v>6091</v>
      </c>
      <c r="B569" s="184">
        <v>1</v>
      </c>
    </row>
    <row r="570" spans="1:2" x14ac:dyDescent="0.25">
      <c r="A570" s="153">
        <v>6092</v>
      </c>
      <c r="B570" s="184">
        <v>1</v>
      </c>
    </row>
    <row r="571" spans="1:2" x14ac:dyDescent="0.25">
      <c r="A571" s="153">
        <v>6093</v>
      </c>
      <c r="B571" s="184">
        <v>1</v>
      </c>
    </row>
    <row r="572" spans="1:2" x14ac:dyDescent="0.25">
      <c r="A572" s="153">
        <v>6094</v>
      </c>
      <c r="B572" s="184">
        <v>1</v>
      </c>
    </row>
    <row r="573" spans="1:2" x14ac:dyDescent="0.25">
      <c r="A573" s="153">
        <v>6095</v>
      </c>
      <c r="B573" s="184">
        <v>1</v>
      </c>
    </row>
    <row r="574" spans="1:2" x14ac:dyDescent="0.25">
      <c r="A574" s="153">
        <v>6096</v>
      </c>
      <c r="B574" s="184">
        <v>1</v>
      </c>
    </row>
    <row r="575" spans="1:2" x14ac:dyDescent="0.25">
      <c r="A575" s="153">
        <v>6097</v>
      </c>
      <c r="B575" s="184">
        <v>1</v>
      </c>
    </row>
    <row r="576" spans="1:2" x14ac:dyDescent="0.25">
      <c r="A576" s="153">
        <v>6100</v>
      </c>
      <c r="B576" s="184">
        <v>4</v>
      </c>
    </row>
    <row r="577" spans="1:2" x14ac:dyDescent="0.25">
      <c r="A577" s="153">
        <v>6103</v>
      </c>
      <c r="B577" s="184">
        <v>4</v>
      </c>
    </row>
    <row r="578" spans="1:2" x14ac:dyDescent="0.25">
      <c r="A578" s="153">
        <v>6106</v>
      </c>
      <c r="B578" s="184">
        <v>4</v>
      </c>
    </row>
    <row r="579" spans="1:2" x14ac:dyDescent="0.25">
      <c r="A579" s="153">
        <v>6109</v>
      </c>
      <c r="B579" s="184">
        <v>4</v>
      </c>
    </row>
    <row r="580" spans="1:2" x14ac:dyDescent="0.25">
      <c r="A580" s="153">
        <v>6112</v>
      </c>
      <c r="B580" s="184">
        <v>4</v>
      </c>
    </row>
    <row r="581" spans="1:2" x14ac:dyDescent="0.25">
      <c r="A581" s="153">
        <v>6115</v>
      </c>
      <c r="B581" s="184">
        <v>1</v>
      </c>
    </row>
    <row r="582" spans="1:2" x14ac:dyDescent="0.25">
      <c r="A582" s="153">
        <v>6116</v>
      </c>
      <c r="B582" s="184">
        <v>1</v>
      </c>
    </row>
    <row r="583" spans="1:2" x14ac:dyDescent="0.25">
      <c r="A583" s="153">
        <v>6117</v>
      </c>
      <c r="B583" s="184">
        <v>1</v>
      </c>
    </row>
    <row r="584" spans="1:2" x14ac:dyDescent="0.25">
      <c r="A584" s="153">
        <v>6118</v>
      </c>
      <c r="B584" s="184">
        <v>1</v>
      </c>
    </row>
    <row r="585" spans="1:2" x14ac:dyDescent="0.25">
      <c r="A585" s="153">
        <v>6129</v>
      </c>
      <c r="B585" s="184">
        <v>1</v>
      </c>
    </row>
    <row r="586" spans="1:2" x14ac:dyDescent="0.25">
      <c r="A586" s="153">
        <v>6130</v>
      </c>
      <c r="B586" s="184">
        <v>1</v>
      </c>
    </row>
    <row r="587" spans="1:2" x14ac:dyDescent="0.25">
      <c r="A587" s="153">
        <v>6131</v>
      </c>
      <c r="B587" s="184">
        <v>1</v>
      </c>
    </row>
    <row r="588" spans="1:2" x14ac:dyDescent="0.25">
      <c r="A588" s="153">
        <v>6132</v>
      </c>
      <c r="B588" s="184">
        <v>1</v>
      </c>
    </row>
    <row r="589" spans="1:2" x14ac:dyDescent="0.25">
      <c r="A589" s="153">
        <v>6133</v>
      </c>
      <c r="B589" s="184">
        <v>1</v>
      </c>
    </row>
    <row r="590" spans="1:2" x14ac:dyDescent="0.25">
      <c r="A590" s="153">
        <v>6134</v>
      </c>
      <c r="B590" s="184">
        <v>1</v>
      </c>
    </row>
    <row r="591" spans="1:2" x14ac:dyDescent="0.25">
      <c r="A591" s="153">
        <v>6135</v>
      </c>
      <c r="B591" s="184">
        <v>1</v>
      </c>
    </row>
    <row r="592" spans="1:2" x14ac:dyDescent="0.25">
      <c r="A592" s="153">
        <v>6136</v>
      </c>
      <c r="B592" s="184">
        <v>1</v>
      </c>
    </row>
    <row r="593" spans="1:2" x14ac:dyDescent="0.25">
      <c r="A593" s="153">
        <v>6137</v>
      </c>
      <c r="B593" s="184">
        <v>1</v>
      </c>
    </row>
    <row r="594" spans="1:2" x14ac:dyDescent="0.25">
      <c r="A594" s="153">
        <v>6138</v>
      </c>
      <c r="B594" s="184">
        <v>1</v>
      </c>
    </row>
    <row r="595" spans="1:2" x14ac:dyDescent="0.25">
      <c r="A595" s="153">
        <v>6139</v>
      </c>
      <c r="B595" s="184">
        <v>1</v>
      </c>
    </row>
    <row r="596" spans="1:2" x14ac:dyDescent="0.25">
      <c r="A596" s="153">
        <v>6140</v>
      </c>
      <c r="B596" s="184">
        <v>1</v>
      </c>
    </row>
    <row r="597" spans="1:2" x14ac:dyDescent="0.25">
      <c r="A597" s="153">
        <v>6141</v>
      </c>
      <c r="B597" s="184">
        <v>2</v>
      </c>
    </row>
    <row r="598" spans="1:2" x14ac:dyDescent="0.25">
      <c r="A598" s="153">
        <v>6142</v>
      </c>
      <c r="B598" s="184">
        <v>2</v>
      </c>
    </row>
    <row r="599" spans="1:2" x14ac:dyDescent="0.25">
      <c r="A599" s="153">
        <v>6143</v>
      </c>
      <c r="B599" s="184">
        <v>1</v>
      </c>
    </row>
    <row r="600" spans="1:2" x14ac:dyDescent="0.25">
      <c r="A600" s="153">
        <v>6144</v>
      </c>
      <c r="B600" s="184">
        <v>2</v>
      </c>
    </row>
    <row r="601" spans="1:2" x14ac:dyDescent="0.25">
      <c r="A601" s="153">
        <v>6145</v>
      </c>
      <c r="B601" s="184">
        <v>2</v>
      </c>
    </row>
    <row r="602" spans="1:2" x14ac:dyDescent="0.25">
      <c r="A602" s="153">
        <v>6146</v>
      </c>
      <c r="B602" s="184">
        <v>2</v>
      </c>
    </row>
    <row r="603" spans="1:2" x14ac:dyDescent="0.25">
      <c r="A603" s="153">
        <v>6147</v>
      </c>
      <c r="B603" s="184">
        <v>1</v>
      </c>
    </row>
    <row r="604" spans="1:2" x14ac:dyDescent="0.25">
      <c r="A604" s="153">
        <v>6148</v>
      </c>
      <c r="B604" s="184">
        <v>2</v>
      </c>
    </row>
    <row r="605" spans="1:2" x14ac:dyDescent="0.25">
      <c r="A605" s="153">
        <v>6160</v>
      </c>
      <c r="B605" s="184">
        <v>4</v>
      </c>
    </row>
    <row r="606" spans="1:2" x14ac:dyDescent="0.25">
      <c r="A606" s="153">
        <v>6161</v>
      </c>
      <c r="B606" s="184">
        <v>4</v>
      </c>
    </row>
    <row r="607" spans="1:2" x14ac:dyDescent="0.25">
      <c r="A607" s="153">
        <v>6162</v>
      </c>
      <c r="B607" s="184">
        <v>4</v>
      </c>
    </row>
    <row r="608" spans="1:2" x14ac:dyDescent="0.25">
      <c r="A608" s="153">
        <v>6163</v>
      </c>
      <c r="B608" s="184">
        <v>4</v>
      </c>
    </row>
    <row r="609" spans="1:2" x14ac:dyDescent="0.25">
      <c r="A609" s="153">
        <v>6200</v>
      </c>
      <c r="B609" s="184">
        <v>1</v>
      </c>
    </row>
    <row r="610" spans="1:2" x14ac:dyDescent="0.25">
      <c r="A610" s="153">
        <v>6201</v>
      </c>
      <c r="B610" s="184">
        <v>1</v>
      </c>
    </row>
    <row r="611" spans="1:2" x14ac:dyDescent="0.25">
      <c r="A611" s="153">
        <v>6202</v>
      </c>
      <c r="B611" s="184">
        <v>1</v>
      </c>
    </row>
    <row r="612" spans="1:2" x14ac:dyDescent="0.25">
      <c r="A612" s="153">
        <v>6203</v>
      </c>
      <c r="B612" s="184">
        <v>1</v>
      </c>
    </row>
    <row r="613" spans="1:2" x14ac:dyDescent="0.25">
      <c r="A613" s="153">
        <v>6204</v>
      </c>
      <c r="B613" s="184">
        <v>1</v>
      </c>
    </row>
    <row r="614" spans="1:2" x14ac:dyDescent="0.25">
      <c r="A614" s="153">
        <v>6205</v>
      </c>
      <c r="B614" s="184">
        <v>1</v>
      </c>
    </row>
    <row r="615" spans="1:2" x14ac:dyDescent="0.25">
      <c r="A615" s="153">
        <v>6206</v>
      </c>
      <c r="B615" s="184">
        <v>1</v>
      </c>
    </row>
    <row r="616" spans="1:2" x14ac:dyDescent="0.25">
      <c r="A616" s="153">
        <v>6207</v>
      </c>
      <c r="B616" s="184">
        <v>1</v>
      </c>
    </row>
    <row r="617" spans="1:2" x14ac:dyDescent="0.25">
      <c r="A617" s="153">
        <v>6208</v>
      </c>
      <c r="B617" s="184">
        <v>1</v>
      </c>
    </row>
    <row r="618" spans="1:2" x14ac:dyDescent="0.25">
      <c r="A618" s="153">
        <v>6209</v>
      </c>
      <c r="B618" s="184">
        <v>1</v>
      </c>
    </row>
    <row r="619" spans="1:2" x14ac:dyDescent="0.25">
      <c r="A619" s="153">
        <v>6210</v>
      </c>
      <c r="B619" s="184">
        <v>1</v>
      </c>
    </row>
    <row r="620" spans="1:2" x14ac:dyDescent="0.25">
      <c r="A620" s="153">
        <v>6211</v>
      </c>
      <c r="B620" s="184">
        <v>1</v>
      </c>
    </row>
    <row r="621" spans="1:2" x14ac:dyDescent="0.25">
      <c r="A621" s="153">
        <v>6212</v>
      </c>
      <c r="B621" s="184">
        <v>1</v>
      </c>
    </row>
    <row r="622" spans="1:2" x14ac:dyDescent="0.25">
      <c r="A622" s="153">
        <v>6220</v>
      </c>
      <c r="B622" s="184">
        <v>2</v>
      </c>
    </row>
    <row r="623" spans="1:2" x14ac:dyDescent="0.25">
      <c r="A623" s="153">
        <v>6221</v>
      </c>
      <c r="B623" s="184">
        <v>1</v>
      </c>
    </row>
    <row r="624" spans="1:2" x14ac:dyDescent="0.25">
      <c r="A624" s="153">
        <v>6222</v>
      </c>
      <c r="B624" s="184">
        <v>2</v>
      </c>
    </row>
    <row r="625" spans="1:2" x14ac:dyDescent="0.25">
      <c r="A625" s="153">
        <v>6537</v>
      </c>
      <c r="B625" s="184">
        <v>1</v>
      </c>
    </row>
    <row r="626" spans="1:2" x14ac:dyDescent="0.25">
      <c r="A626" s="153">
        <v>6538</v>
      </c>
      <c r="B626" s="184">
        <v>1</v>
      </c>
    </row>
    <row r="627" spans="1:2" x14ac:dyDescent="0.25">
      <c r="A627" s="153">
        <v>7000</v>
      </c>
      <c r="B627" s="184">
        <v>1</v>
      </c>
    </row>
    <row r="628" spans="1:2" x14ac:dyDescent="0.25">
      <c r="A628" s="153">
        <v>7001</v>
      </c>
      <c r="B628" s="184">
        <v>1</v>
      </c>
    </row>
    <row r="629" spans="1:2" x14ac:dyDescent="0.25">
      <c r="A629" s="153">
        <v>7002</v>
      </c>
      <c r="B629" s="184">
        <v>1</v>
      </c>
    </row>
    <row r="630" spans="1:2" x14ac:dyDescent="0.25">
      <c r="A630" s="153">
        <v>7005</v>
      </c>
      <c r="B630" s="184">
        <v>1</v>
      </c>
    </row>
    <row r="631" spans="1:2" x14ac:dyDescent="0.25">
      <c r="A631" s="153">
        <v>7006</v>
      </c>
      <c r="B631" s="184">
        <v>1</v>
      </c>
    </row>
    <row r="632" spans="1:2" x14ac:dyDescent="0.25">
      <c r="A632" s="153">
        <v>7008</v>
      </c>
      <c r="B632" s="184">
        <v>1</v>
      </c>
    </row>
    <row r="633" spans="1:2" x14ac:dyDescent="0.25">
      <c r="A633" s="153">
        <v>7012</v>
      </c>
      <c r="B633" s="184">
        <v>1</v>
      </c>
    </row>
    <row r="634" spans="1:2" x14ac:dyDescent="0.25">
      <c r="A634" s="153">
        <v>7013</v>
      </c>
      <c r="B634" s="184">
        <v>1</v>
      </c>
    </row>
    <row r="635" spans="1:2" x14ac:dyDescent="0.25">
      <c r="A635" s="153">
        <v>7014</v>
      </c>
      <c r="B635" s="184">
        <v>1</v>
      </c>
    </row>
    <row r="636" spans="1:2" x14ac:dyDescent="0.25">
      <c r="A636" s="153">
        <v>7015</v>
      </c>
      <c r="B636" s="184">
        <v>1</v>
      </c>
    </row>
    <row r="637" spans="1:2" x14ac:dyDescent="0.25">
      <c r="A637" s="153">
        <v>7016</v>
      </c>
      <c r="B637" s="184">
        <v>1</v>
      </c>
    </row>
    <row r="638" spans="1:2" x14ac:dyDescent="0.25">
      <c r="A638" s="153">
        <v>7017</v>
      </c>
      <c r="B638" s="184">
        <v>1</v>
      </c>
    </row>
    <row r="639" spans="1:2" x14ac:dyDescent="0.25">
      <c r="A639" s="153">
        <v>7020</v>
      </c>
      <c r="B639" s="184">
        <v>1</v>
      </c>
    </row>
    <row r="640" spans="1:2" x14ac:dyDescent="0.25">
      <c r="A640" s="153">
        <v>7022</v>
      </c>
      <c r="B640" s="184">
        <v>1</v>
      </c>
    </row>
    <row r="641" spans="1:2" x14ac:dyDescent="0.25">
      <c r="A641" s="153">
        <v>7023</v>
      </c>
      <c r="B641" s="184">
        <v>1</v>
      </c>
    </row>
    <row r="642" spans="1:2" x14ac:dyDescent="0.25">
      <c r="A642" s="153">
        <v>7024</v>
      </c>
      <c r="B642" s="184">
        <v>1</v>
      </c>
    </row>
    <row r="643" spans="1:2" x14ac:dyDescent="0.25">
      <c r="A643" s="153">
        <v>7025</v>
      </c>
      <c r="B643" s="184">
        <v>1</v>
      </c>
    </row>
    <row r="644" spans="1:2" x14ac:dyDescent="0.25">
      <c r="A644" s="153">
        <v>7026</v>
      </c>
      <c r="B644" s="184">
        <v>1</v>
      </c>
    </row>
    <row r="645" spans="1:2" x14ac:dyDescent="0.25">
      <c r="A645" s="153">
        <v>7027</v>
      </c>
      <c r="B645" s="184">
        <v>1</v>
      </c>
    </row>
    <row r="646" spans="1:2" x14ac:dyDescent="0.25">
      <c r="A646" s="153">
        <v>7028</v>
      </c>
      <c r="B646" s="184">
        <v>1</v>
      </c>
    </row>
    <row r="647" spans="1:2" x14ac:dyDescent="0.25">
      <c r="A647" s="153">
        <v>7029</v>
      </c>
      <c r="B647" s="184">
        <v>1</v>
      </c>
    </row>
    <row r="648" spans="1:2" x14ac:dyDescent="0.25">
      <c r="A648" s="153">
        <v>7030</v>
      </c>
      <c r="B648" s="184">
        <v>1</v>
      </c>
    </row>
    <row r="649" spans="1:2" x14ac:dyDescent="0.25">
      <c r="A649" s="153">
        <v>7031</v>
      </c>
      <c r="B649" s="184">
        <v>1</v>
      </c>
    </row>
    <row r="650" spans="1:2" x14ac:dyDescent="0.25">
      <c r="A650" s="153">
        <v>7032</v>
      </c>
      <c r="B650" s="184">
        <v>1</v>
      </c>
    </row>
    <row r="651" spans="1:2" x14ac:dyDescent="0.25">
      <c r="A651" s="153">
        <v>7033</v>
      </c>
      <c r="B651" s="184">
        <v>1</v>
      </c>
    </row>
    <row r="652" spans="1:2" x14ac:dyDescent="0.25">
      <c r="A652" s="153">
        <v>7035</v>
      </c>
      <c r="B652" s="184">
        <v>6</v>
      </c>
    </row>
    <row r="653" spans="1:2" x14ac:dyDescent="0.25">
      <c r="A653" s="153">
        <v>7036</v>
      </c>
      <c r="B653" s="184">
        <v>6</v>
      </c>
    </row>
    <row r="654" spans="1:2" x14ac:dyDescent="0.25">
      <c r="A654" s="153">
        <v>7037</v>
      </c>
      <c r="B654" s="184">
        <v>6</v>
      </c>
    </row>
    <row r="655" spans="1:2" x14ac:dyDescent="0.25">
      <c r="A655" s="153">
        <v>7038</v>
      </c>
      <c r="B655" s="184">
        <v>6</v>
      </c>
    </row>
    <row r="656" spans="1:2" x14ac:dyDescent="0.25">
      <c r="A656" s="153">
        <v>7045</v>
      </c>
      <c r="B656" s="184">
        <v>15</v>
      </c>
    </row>
    <row r="657" spans="1:2" x14ac:dyDescent="0.25">
      <c r="A657" s="153">
        <v>7046</v>
      </c>
      <c r="B657" s="184">
        <v>16</v>
      </c>
    </row>
    <row r="658" spans="1:2" x14ac:dyDescent="0.25">
      <c r="A658" s="153">
        <v>7047</v>
      </c>
      <c r="B658" s="184">
        <v>15</v>
      </c>
    </row>
    <row r="659" spans="1:2" x14ac:dyDescent="0.25">
      <c r="A659" s="153">
        <v>7048</v>
      </c>
      <c r="B659" s="184">
        <v>16</v>
      </c>
    </row>
    <row r="660" spans="1:2" x14ac:dyDescent="0.25">
      <c r="A660" s="153">
        <v>7050</v>
      </c>
      <c r="B660" s="184">
        <v>1</v>
      </c>
    </row>
    <row r="661" spans="1:2" x14ac:dyDescent="0.25">
      <c r="A661" s="153">
        <v>7051</v>
      </c>
      <c r="B661" s="184">
        <v>1</v>
      </c>
    </row>
    <row r="662" spans="1:2" x14ac:dyDescent="0.25">
      <c r="A662" s="153">
        <v>7052</v>
      </c>
      <c r="B662" s="184">
        <v>1</v>
      </c>
    </row>
    <row r="663" spans="1:2" x14ac:dyDescent="0.25">
      <c r="A663" s="153">
        <v>7053</v>
      </c>
      <c r="B663" s="184">
        <v>1</v>
      </c>
    </row>
    <row r="664" spans="1:2" x14ac:dyDescent="0.25">
      <c r="A664" s="153">
        <v>7054</v>
      </c>
      <c r="B664" s="184">
        <v>1</v>
      </c>
    </row>
    <row r="665" spans="1:2" x14ac:dyDescent="0.25">
      <c r="A665" s="153">
        <v>7055</v>
      </c>
      <c r="B665" s="184">
        <v>1</v>
      </c>
    </row>
    <row r="666" spans="1:2" x14ac:dyDescent="0.25">
      <c r="A666" s="153">
        <v>7056</v>
      </c>
      <c r="B666" s="184">
        <v>2</v>
      </c>
    </row>
    <row r="667" spans="1:2" x14ac:dyDescent="0.25">
      <c r="A667" s="153">
        <v>7057</v>
      </c>
      <c r="B667" s="184">
        <v>2</v>
      </c>
    </row>
    <row r="668" spans="1:2" x14ac:dyDescent="0.25">
      <c r="A668" s="153">
        <v>7058</v>
      </c>
      <c r="B668" s="184">
        <v>2</v>
      </c>
    </row>
    <row r="669" spans="1:2" x14ac:dyDescent="0.25">
      <c r="A669" s="153">
        <v>7059</v>
      </c>
      <c r="B669" s="184">
        <v>1</v>
      </c>
    </row>
    <row r="670" spans="1:2" x14ac:dyDescent="0.25">
      <c r="A670" s="153">
        <v>7060</v>
      </c>
      <c r="B670" s="184">
        <v>1</v>
      </c>
    </row>
    <row r="671" spans="1:2" x14ac:dyDescent="0.25">
      <c r="A671" s="153">
        <v>7061</v>
      </c>
      <c r="B671" s="184">
        <v>1</v>
      </c>
    </row>
    <row r="672" spans="1:2" x14ac:dyDescent="0.25">
      <c r="A672" s="153">
        <v>7062</v>
      </c>
      <c r="B672" s="184">
        <v>2</v>
      </c>
    </row>
    <row r="673" spans="1:2" x14ac:dyDescent="0.25">
      <c r="A673" s="153">
        <v>7064</v>
      </c>
      <c r="B673" s="184">
        <v>1</v>
      </c>
    </row>
    <row r="674" spans="1:2" x14ac:dyDescent="0.25">
      <c r="A674" s="153">
        <v>7065</v>
      </c>
      <c r="B674" s="184">
        <v>1</v>
      </c>
    </row>
    <row r="675" spans="1:2" x14ac:dyDescent="0.25">
      <c r="A675" s="153">
        <v>7066</v>
      </c>
      <c r="B675" s="184">
        <v>2</v>
      </c>
    </row>
    <row r="676" spans="1:2" x14ac:dyDescent="0.25">
      <c r="A676" s="153">
        <v>7067</v>
      </c>
      <c r="B676" s="184">
        <v>2</v>
      </c>
    </row>
    <row r="677" spans="1:2" x14ac:dyDescent="0.25">
      <c r="A677" s="153">
        <v>8000</v>
      </c>
      <c r="B677" s="184">
        <v>6</v>
      </c>
    </row>
    <row r="678" spans="1:2" x14ac:dyDescent="0.25">
      <c r="A678" s="153">
        <v>8001</v>
      </c>
      <c r="B678" s="184">
        <v>6</v>
      </c>
    </row>
    <row r="679" spans="1:2" x14ac:dyDescent="0.25">
      <c r="A679" s="153">
        <v>8002</v>
      </c>
      <c r="B679" s="184">
        <v>6</v>
      </c>
    </row>
    <row r="680" spans="1:2" x14ac:dyDescent="0.25">
      <c r="A680" s="153">
        <v>8003</v>
      </c>
      <c r="B680" s="184">
        <v>6</v>
      </c>
    </row>
    <row r="681" spans="1:2" x14ac:dyDescent="0.25">
      <c r="A681" s="153">
        <v>8004</v>
      </c>
      <c r="B681" s="184">
        <v>6</v>
      </c>
    </row>
    <row r="682" spans="1:2" x14ac:dyDescent="0.25">
      <c r="A682" s="153">
        <v>9001</v>
      </c>
      <c r="B682" s="184">
        <v>1</v>
      </c>
    </row>
    <row r="683" spans="1:2" x14ac:dyDescent="0.25">
      <c r="A683" s="153">
        <v>9002</v>
      </c>
      <c r="B683" s="184">
        <v>1</v>
      </c>
    </row>
    <row r="684" spans="1:2" x14ac:dyDescent="0.25">
      <c r="A684" s="153">
        <v>9006</v>
      </c>
      <c r="B684" s="184">
        <v>1</v>
      </c>
    </row>
    <row r="685" spans="1:2" x14ac:dyDescent="0.25">
      <c r="A685" s="153">
        <v>9007</v>
      </c>
      <c r="B685" s="184">
        <v>2</v>
      </c>
    </row>
    <row r="686" spans="1:2" x14ac:dyDescent="0.25">
      <c r="A686" s="153">
        <v>9011</v>
      </c>
      <c r="B686" s="184">
        <v>1</v>
      </c>
    </row>
    <row r="687" spans="1:2" x14ac:dyDescent="0.25">
      <c r="A687" s="153">
        <v>9015</v>
      </c>
      <c r="B687" s="184">
        <v>1</v>
      </c>
    </row>
    <row r="688" spans="1:2" x14ac:dyDescent="0.25">
      <c r="A688" s="153">
        <v>9016</v>
      </c>
      <c r="B688" s="184">
        <v>1</v>
      </c>
    </row>
    <row r="689" spans="1:2" x14ac:dyDescent="0.25">
      <c r="A689" s="153">
        <v>9017</v>
      </c>
      <c r="B689" s="184">
        <v>1</v>
      </c>
    </row>
    <row r="690" spans="1:2" x14ac:dyDescent="0.25">
      <c r="A690" s="153">
        <v>9018</v>
      </c>
      <c r="B690" s="184">
        <v>1</v>
      </c>
    </row>
    <row r="691" spans="1:2" x14ac:dyDescent="0.25">
      <c r="A691" s="153">
        <v>9031</v>
      </c>
      <c r="B691" s="184">
        <v>1</v>
      </c>
    </row>
    <row r="692" spans="1:2" x14ac:dyDescent="0.25">
      <c r="A692" s="153">
        <v>9032</v>
      </c>
      <c r="B692" s="184">
        <v>1</v>
      </c>
    </row>
    <row r="693" spans="1:2" x14ac:dyDescent="0.25">
      <c r="A693" s="153">
        <v>9033</v>
      </c>
      <c r="B693" s="184">
        <v>1</v>
      </c>
    </row>
    <row r="694" spans="1:2" x14ac:dyDescent="0.25">
      <c r="A694" s="153">
        <v>9034</v>
      </c>
      <c r="B694" s="184">
        <v>9</v>
      </c>
    </row>
    <row r="695" spans="1:2" x14ac:dyDescent="0.25">
      <c r="A695" s="153">
        <v>9037</v>
      </c>
      <c r="B695" s="184">
        <v>1</v>
      </c>
    </row>
    <row r="696" spans="1:2" x14ac:dyDescent="0.25">
      <c r="A696" s="153">
        <v>9043</v>
      </c>
      <c r="B696" s="184">
        <v>1</v>
      </c>
    </row>
    <row r="697" spans="1:2" x14ac:dyDescent="0.25">
      <c r="A697" s="153">
        <v>9045</v>
      </c>
      <c r="B697" s="184">
        <v>1</v>
      </c>
    </row>
    <row r="698" spans="1:2" x14ac:dyDescent="0.25">
      <c r="A698" s="153">
        <v>9047</v>
      </c>
      <c r="B698" s="184">
        <v>1</v>
      </c>
    </row>
    <row r="699" spans="1:2" x14ac:dyDescent="0.25">
      <c r="A699" s="153">
        <v>9048</v>
      </c>
      <c r="B699" s="184">
        <v>2</v>
      </c>
    </row>
    <row r="700" spans="1:2" x14ac:dyDescent="0.25">
      <c r="A700" s="153">
        <v>9052</v>
      </c>
      <c r="B700" s="184">
        <v>1</v>
      </c>
    </row>
    <row r="701" spans="1:2" x14ac:dyDescent="0.25">
      <c r="A701" s="153">
        <v>9058</v>
      </c>
      <c r="B701" s="184">
        <v>1</v>
      </c>
    </row>
    <row r="702" spans="1:2" x14ac:dyDescent="0.25">
      <c r="A702" s="153">
        <v>9059</v>
      </c>
      <c r="B702" s="184">
        <v>1</v>
      </c>
    </row>
    <row r="703" spans="1:2" x14ac:dyDescent="0.25">
      <c r="A703" s="153">
        <v>9065</v>
      </c>
      <c r="B703" s="184">
        <v>1</v>
      </c>
    </row>
    <row r="704" spans="1:2" x14ac:dyDescent="0.25">
      <c r="A704" s="153">
        <v>9066</v>
      </c>
      <c r="B704" s="184">
        <v>1</v>
      </c>
    </row>
    <row r="705" spans="1:2" x14ac:dyDescent="0.25">
      <c r="A705" s="153">
        <v>9067</v>
      </c>
      <c r="B705" s="184">
        <v>1</v>
      </c>
    </row>
    <row r="706" spans="1:2" x14ac:dyDescent="0.25">
      <c r="A706" s="153">
        <v>9068</v>
      </c>
      <c r="B706" s="184">
        <v>1</v>
      </c>
    </row>
    <row r="707" spans="1:2" x14ac:dyDescent="0.25">
      <c r="A707" s="153">
        <v>9069</v>
      </c>
      <c r="B707" s="184">
        <v>1</v>
      </c>
    </row>
    <row r="708" spans="1:2" x14ac:dyDescent="0.25">
      <c r="A708" s="153">
        <v>9070</v>
      </c>
      <c r="B708" s="184">
        <v>1</v>
      </c>
    </row>
    <row r="709" spans="1:2" x14ac:dyDescent="0.25">
      <c r="A709" s="153">
        <v>9075</v>
      </c>
      <c r="B709" s="184">
        <v>2</v>
      </c>
    </row>
    <row r="710" spans="1:2" x14ac:dyDescent="0.25">
      <c r="A710" s="153">
        <v>9079</v>
      </c>
      <c r="B710" s="184">
        <v>2</v>
      </c>
    </row>
    <row r="711" spans="1:2" x14ac:dyDescent="0.25">
      <c r="A711" s="153">
        <v>9080</v>
      </c>
      <c r="B711" s="184">
        <v>2</v>
      </c>
    </row>
    <row r="712" spans="1:2" x14ac:dyDescent="0.25">
      <c r="A712" s="153">
        <v>9108</v>
      </c>
      <c r="B712" s="184">
        <v>1</v>
      </c>
    </row>
    <row r="713" spans="1:2" x14ac:dyDescent="0.25">
      <c r="A713" s="153">
        <v>9109</v>
      </c>
      <c r="B713" s="184">
        <v>1</v>
      </c>
    </row>
    <row r="714" spans="1:2" x14ac:dyDescent="0.25">
      <c r="A714" s="153">
        <v>9121</v>
      </c>
      <c r="B714" s="184">
        <v>1</v>
      </c>
    </row>
    <row r="715" spans="1:2" x14ac:dyDescent="0.25">
      <c r="A715" s="153">
        <v>9122</v>
      </c>
      <c r="B715" s="184">
        <v>1</v>
      </c>
    </row>
    <row r="716" spans="1:2" x14ac:dyDescent="0.25">
      <c r="A716" s="153">
        <v>9123</v>
      </c>
      <c r="B716" s="184">
        <v>1</v>
      </c>
    </row>
    <row r="717" spans="1:2" x14ac:dyDescent="0.25">
      <c r="A717" s="153">
        <v>9124</v>
      </c>
      <c r="B717" s="184">
        <v>1</v>
      </c>
    </row>
    <row r="718" spans="1:2" x14ac:dyDescent="0.25">
      <c r="A718" s="153">
        <v>9125</v>
      </c>
      <c r="B718" s="184">
        <v>1</v>
      </c>
    </row>
    <row r="719" spans="1:2" x14ac:dyDescent="0.25">
      <c r="A719" s="153">
        <v>9126</v>
      </c>
      <c r="B719" s="184">
        <v>1</v>
      </c>
    </row>
    <row r="720" spans="1:2" x14ac:dyDescent="0.25">
      <c r="A720" s="153">
        <v>9133</v>
      </c>
      <c r="B720" s="184">
        <v>5</v>
      </c>
    </row>
    <row r="721" spans="1:2" x14ac:dyDescent="0.25">
      <c r="A721" s="153">
        <v>9135</v>
      </c>
      <c r="B721" s="184">
        <v>1</v>
      </c>
    </row>
    <row r="722" spans="1:2" x14ac:dyDescent="0.25">
      <c r="A722" s="153">
        <v>9136</v>
      </c>
      <c r="B722" s="184">
        <v>1</v>
      </c>
    </row>
    <row r="723" spans="1:2" x14ac:dyDescent="0.25">
      <c r="A723" s="153">
        <v>9160</v>
      </c>
      <c r="B723" s="184">
        <v>1</v>
      </c>
    </row>
    <row r="724" spans="1:2" x14ac:dyDescent="0.25">
      <c r="A724" s="153">
        <v>9161</v>
      </c>
      <c r="B724" s="184">
        <v>1</v>
      </c>
    </row>
    <row r="725" spans="1:2" x14ac:dyDescent="0.25">
      <c r="A725" s="153">
        <v>9162</v>
      </c>
      <c r="B725" s="184">
        <v>1</v>
      </c>
    </row>
    <row r="726" spans="1:2" x14ac:dyDescent="0.25">
      <c r="A726" s="153">
        <v>9163</v>
      </c>
      <c r="B726" s="184">
        <v>1</v>
      </c>
    </row>
    <row r="727" spans="1:2" x14ac:dyDescent="0.25">
      <c r="A727" s="153">
        <v>9164</v>
      </c>
      <c r="B727" s="184">
        <v>1</v>
      </c>
    </row>
    <row r="728" spans="1:2" x14ac:dyDescent="0.25">
      <c r="A728" s="153">
        <v>9165</v>
      </c>
      <c r="B728" s="184">
        <v>1</v>
      </c>
    </row>
    <row r="729" spans="1:2" x14ac:dyDescent="0.25">
      <c r="A729" s="153">
        <v>9167</v>
      </c>
      <c r="B729" s="184">
        <v>1</v>
      </c>
    </row>
    <row r="730" spans="1:2" x14ac:dyDescent="0.25">
      <c r="A730" s="153">
        <v>9169</v>
      </c>
      <c r="B730" s="184">
        <v>14</v>
      </c>
    </row>
    <row r="731" spans="1:2" x14ac:dyDescent="0.25">
      <c r="A731" s="153">
        <v>9177</v>
      </c>
      <c r="B731" s="184">
        <v>1</v>
      </c>
    </row>
    <row r="732" spans="1:2" x14ac:dyDescent="0.25">
      <c r="A732" s="153">
        <v>9178</v>
      </c>
      <c r="B732" s="184">
        <v>1</v>
      </c>
    </row>
    <row r="733" spans="1:2" x14ac:dyDescent="0.25">
      <c r="A733" s="153">
        <v>9181</v>
      </c>
      <c r="B733" s="184">
        <v>1</v>
      </c>
    </row>
    <row r="734" spans="1:2" x14ac:dyDescent="0.25">
      <c r="A734" s="153">
        <v>9182</v>
      </c>
      <c r="B734" s="184">
        <v>1</v>
      </c>
    </row>
    <row r="735" spans="1:2" x14ac:dyDescent="0.25">
      <c r="A735" s="153">
        <v>9183</v>
      </c>
      <c r="B735" s="184">
        <v>1</v>
      </c>
    </row>
    <row r="736" spans="1:2" x14ac:dyDescent="0.25">
      <c r="A736" s="153">
        <v>9185</v>
      </c>
      <c r="B736" s="184">
        <v>15</v>
      </c>
    </row>
    <row r="737" spans="1:2" x14ac:dyDescent="0.25">
      <c r="A737" s="153">
        <v>9187</v>
      </c>
      <c r="B737" s="184">
        <v>1</v>
      </c>
    </row>
    <row r="738" spans="1:2" x14ac:dyDescent="0.25">
      <c r="A738" s="153">
        <v>9188</v>
      </c>
      <c r="B738" s="184">
        <v>14</v>
      </c>
    </row>
    <row r="739" spans="1:2" x14ac:dyDescent="0.25">
      <c r="A739" s="153">
        <v>9189</v>
      </c>
      <c r="B739" s="184">
        <v>1</v>
      </c>
    </row>
    <row r="740" spans="1:2" x14ac:dyDescent="0.25">
      <c r="A740" s="153">
        <v>9195</v>
      </c>
      <c r="B740" s="184">
        <v>2</v>
      </c>
    </row>
    <row r="741" spans="1:2" x14ac:dyDescent="0.25">
      <c r="A741" s="153">
        <v>9196</v>
      </c>
      <c r="B741" s="184">
        <v>2</v>
      </c>
    </row>
    <row r="742" spans="1:2" x14ac:dyDescent="0.25">
      <c r="A742" s="153">
        <v>9197</v>
      </c>
      <c r="B742" s="184">
        <v>1</v>
      </c>
    </row>
    <row r="743" spans="1:2" x14ac:dyDescent="0.25">
      <c r="A743" s="153">
        <v>9201</v>
      </c>
      <c r="B743" s="184">
        <v>1</v>
      </c>
    </row>
    <row r="744" spans="1:2" x14ac:dyDescent="0.25">
      <c r="A744" s="153">
        <v>9202</v>
      </c>
      <c r="B744" s="184">
        <v>1</v>
      </c>
    </row>
    <row r="745" spans="1:2" x14ac:dyDescent="0.25">
      <c r="A745" s="153">
        <v>9203</v>
      </c>
      <c r="B745" s="184">
        <v>1</v>
      </c>
    </row>
    <row r="746" spans="1:2" x14ac:dyDescent="0.25">
      <c r="A746" s="153">
        <v>9204</v>
      </c>
      <c r="B746" s="184">
        <v>1</v>
      </c>
    </row>
    <row r="747" spans="1:2" x14ac:dyDescent="0.25">
      <c r="A747" s="153">
        <v>9205</v>
      </c>
      <c r="B747" s="184">
        <v>1</v>
      </c>
    </row>
    <row r="748" spans="1:2" x14ac:dyDescent="0.25">
      <c r="A748" s="153">
        <v>9206</v>
      </c>
      <c r="B748" s="184">
        <v>1</v>
      </c>
    </row>
    <row r="749" spans="1:2" x14ac:dyDescent="0.25">
      <c r="A749" s="153">
        <v>9207</v>
      </c>
      <c r="B749" s="184">
        <v>1</v>
      </c>
    </row>
    <row r="750" spans="1:2" x14ac:dyDescent="0.25">
      <c r="A750" s="153">
        <v>9208</v>
      </c>
      <c r="B750" s="184">
        <v>1</v>
      </c>
    </row>
    <row r="751" spans="1:2" x14ac:dyDescent="0.25">
      <c r="A751" s="153">
        <v>9210</v>
      </c>
      <c r="B751" s="184">
        <v>1</v>
      </c>
    </row>
    <row r="752" spans="1:2" x14ac:dyDescent="0.25">
      <c r="A752" s="153">
        <v>9211</v>
      </c>
      <c r="B752" s="184">
        <v>1</v>
      </c>
    </row>
    <row r="753" spans="1:2" x14ac:dyDescent="0.25">
      <c r="A753" s="153">
        <v>9212</v>
      </c>
      <c r="B753" s="184">
        <v>1</v>
      </c>
    </row>
    <row r="754" spans="1:2" x14ac:dyDescent="0.25">
      <c r="A754" s="153">
        <v>9213</v>
      </c>
      <c r="B754" s="184">
        <v>1</v>
      </c>
    </row>
    <row r="755" spans="1:2" x14ac:dyDescent="0.25">
      <c r="A755" s="153">
        <v>9214</v>
      </c>
      <c r="B755" s="184">
        <v>1</v>
      </c>
    </row>
    <row r="756" spans="1:2" x14ac:dyDescent="0.25">
      <c r="A756" s="153">
        <v>9215</v>
      </c>
      <c r="B756" s="184">
        <v>1</v>
      </c>
    </row>
    <row r="757" spans="1:2" x14ac:dyDescent="0.25">
      <c r="A757" s="153">
        <v>9217</v>
      </c>
      <c r="B757" s="184">
        <v>1</v>
      </c>
    </row>
    <row r="758" spans="1:2" x14ac:dyDescent="0.25">
      <c r="A758" s="153">
        <v>9218</v>
      </c>
      <c r="B758" s="184">
        <v>1</v>
      </c>
    </row>
    <row r="759" spans="1:2" x14ac:dyDescent="0.25">
      <c r="A759" s="153">
        <v>9250</v>
      </c>
      <c r="B759" s="184">
        <v>1</v>
      </c>
    </row>
    <row r="760" spans="1:2" x14ac:dyDescent="0.25">
      <c r="A760" s="153">
        <v>9251</v>
      </c>
      <c r="B760" s="184">
        <v>1</v>
      </c>
    </row>
    <row r="761" spans="1:2" x14ac:dyDescent="0.25">
      <c r="A761" s="153">
        <v>9253</v>
      </c>
      <c r="B761" s="184">
        <v>1</v>
      </c>
    </row>
    <row r="762" spans="1:2" x14ac:dyDescent="0.25">
      <c r="A762" s="153">
        <v>9254</v>
      </c>
      <c r="B762" s="184">
        <v>1</v>
      </c>
    </row>
    <row r="763" spans="1:2" x14ac:dyDescent="0.25">
      <c r="A763" s="153">
        <v>9255</v>
      </c>
      <c r="B763" s="184">
        <v>1</v>
      </c>
    </row>
    <row r="764" spans="1:2" x14ac:dyDescent="0.25">
      <c r="A764" s="153">
        <v>9256</v>
      </c>
      <c r="B764" s="184">
        <v>1</v>
      </c>
    </row>
    <row r="765" spans="1:2" x14ac:dyDescent="0.25">
      <c r="A765" s="153">
        <v>9260</v>
      </c>
      <c r="B765" s="184">
        <v>1</v>
      </c>
    </row>
    <row r="766" spans="1:2" x14ac:dyDescent="0.25">
      <c r="A766" s="153">
        <v>10003</v>
      </c>
      <c r="B766" s="184">
        <v>1</v>
      </c>
    </row>
    <row r="767" spans="1:2" x14ac:dyDescent="0.25">
      <c r="A767" s="153">
        <v>10004</v>
      </c>
      <c r="B767" s="184">
        <v>1</v>
      </c>
    </row>
    <row r="768" spans="1:2" x14ac:dyDescent="0.25">
      <c r="A768" s="153">
        <v>10005</v>
      </c>
      <c r="B768" s="184">
        <v>1</v>
      </c>
    </row>
    <row r="769" spans="1:2" x14ac:dyDescent="0.25">
      <c r="A769" s="153">
        <v>10006</v>
      </c>
      <c r="B769" s="184">
        <v>4</v>
      </c>
    </row>
    <row r="770" spans="1:2" x14ac:dyDescent="0.25">
      <c r="A770" s="153">
        <v>10007</v>
      </c>
      <c r="B770" s="184">
        <v>4</v>
      </c>
    </row>
    <row r="771" spans="1:2" x14ac:dyDescent="0.25">
      <c r="A771" s="153">
        <v>10008</v>
      </c>
      <c r="B771" s="184">
        <v>1</v>
      </c>
    </row>
    <row r="772" spans="1:2" x14ac:dyDescent="0.25">
      <c r="A772" s="153">
        <v>10009</v>
      </c>
      <c r="B772" s="184">
        <v>1</v>
      </c>
    </row>
    <row r="773" spans="1:2" x14ac:dyDescent="0.25">
      <c r="A773" s="153">
        <v>10010</v>
      </c>
      <c r="B773" s="184">
        <v>1</v>
      </c>
    </row>
    <row r="774" spans="1:2" x14ac:dyDescent="0.25">
      <c r="A774" s="153">
        <v>10011</v>
      </c>
      <c r="B774" s="184">
        <v>1</v>
      </c>
    </row>
    <row r="775" spans="1:2" x14ac:dyDescent="0.25">
      <c r="A775" s="153">
        <v>10012</v>
      </c>
      <c r="B775" s="184">
        <v>1</v>
      </c>
    </row>
    <row r="776" spans="1:2" x14ac:dyDescent="0.25">
      <c r="A776" s="153">
        <v>10013</v>
      </c>
      <c r="B776" s="184">
        <v>1</v>
      </c>
    </row>
    <row r="777" spans="1:2" x14ac:dyDescent="0.25">
      <c r="A777" s="153">
        <v>10014</v>
      </c>
      <c r="B777" s="184">
        <v>1</v>
      </c>
    </row>
    <row r="778" spans="1:2" x14ac:dyDescent="0.25">
      <c r="A778" s="153">
        <v>10015</v>
      </c>
      <c r="B778" s="184">
        <v>2</v>
      </c>
    </row>
    <row r="779" spans="1:2" x14ac:dyDescent="0.25">
      <c r="A779" s="153">
        <v>10016</v>
      </c>
      <c r="B779" s="184">
        <v>2</v>
      </c>
    </row>
    <row r="780" spans="1:2" x14ac:dyDescent="0.25">
      <c r="A780" s="153">
        <v>10017</v>
      </c>
      <c r="B780" s="184">
        <v>7</v>
      </c>
    </row>
    <row r="781" spans="1:2" x14ac:dyDescent="0.25">
      <c r="A781" s="153">
        <v>10018</v>
      </c>
      <c r="B781" s="184">
        <v>7</v>
      </c>
    </row>
    <row r="782" spans="1:2" x14ac:dyDescent="0.25">
      <c r="A782" s="153">
        <v>10020</v>
      </c>
      <c r="B782" s="184">
        <v>3</v>
      </c>
    </row>
    <row r="783" spans="1:2" x14ac:dyDescent="0.25">
      <c r="A783" s="153">
        <v>10021</v>
      </c>
      <c r="B783" s="184">
        <v>3</v>
      </c>
    </row>
    <row r="784" spans="1:2" x14ac:dyDescent="0.25">
      <c r="A784" s="153">
        <v>10022</v>
      </c>
      <c r="B784" s="184">
        <v>3</v>
      </c>
    </row>
    <row r="785" spans="1:2" x14ac:dyDescent="0.25">
      <c r="A785" s="153">
        <v>10023</v>
      </c>
      <c r="B785" s="184">
        <v>3</v>
      </c>
    </row>
    <row r="786" spans="1:2" x14ac:dyDescent="0.25">
      <c r="A786" s="153">
        <v>10024</v>
      </c>
      <c r="B786" s="184">
        <v>3</v>
      </c>
    </row>
    <row r="787" spans="1:2" x14ac:dyDescent="0.25">
      <c r="A787" s="153">
        <v>10025</v>
      </c>
      <c r="B787" s="184">
        <v>3</v>
      </c>
    </row>
    <row r="788" spans="1:2" x14ac:dyDescent="0.25">
      <c r="A788" s="153">
        <v>10026</v>
      </c>
      <c r="B788" s="184">
        <v>3</v>
      </c>
    </row>
    <row r="789" spans="1:2" x14ac:dyDescent="0.25">
      <c r="A789" s="153">
        <v>10027</v>
      </c>
      <c r="B789" s="184">
        <v>1</v>
      </c>
    </row>
    <row r="790" spans="1:2" x14ac:dyDescent="0.25">
      <c r="A790" s="153">
        <v>10028</v>
      </c>
      <c r="B790" s="184">
        <v>4</v>
      </c>
    </row>
    <row r="791" spans="1:2" x14ac:dyDescent="0.25">
      <c r="A791" s="153">
        <v>10029</v>
      </c>
      <c r="B791" s="184">
        <v>1</v>
      </c>
    </row>
    <row r="792" spans="1:2" x14ac:dyDescent="0.25">
      <c r="A792" s="153">
        <v>10030</v>
      </c>
      <c r="B792" s="184">
        <v>1</v>
      </c>
    </row>
    <row r="793" spans="1:2" x14ac:dyDescent="0.25">
      <c r="A793" s="153">
        <v>10031</v>
      </c>
      <c r="B793" s="184">
        <v>3</v>
      </c>
    </row>
    <row r="794" spans="1:2" x14ac:dyDescent="0.25">
      <c r="A794" s="153">
        <v>10032</v>
      </c>
      <c r="B794" s="184">
        <v>3</v>
      </c>
    </row>
    <row r="795" spans="1:2" x14ac:dyDescent="0.25">
      <c r="A795" s="153">
        <v>10033</v>
      </c>
      <c r="B795" s="184">
        <v>3</v>
      </c>
    </row>
    <row r="796" spans="1:2" x14ac:dyDescent="0.25">
      <c r="A796" s="153">
        <v>10034</v>
      </c>
      <c r="B796" s="184">
        <v>3</v>
      </c>
    </row>
    <row r="797" spans="1:2" x14ac:dyDescent="0.25">
      <c r="A797" s="153">
        <v>10035</v>
      </c>
      <c r="B797" s="184">
        <v>3</v>
      </c>
    </row>
    <row r="798" spans="1:2" x14ac:dyDescent="0.25">
      <c r="A798" s="153">
        <v>10036</v>
      </c>
      <c r="B798" s="184">
        <v>7</v>
      </c>
    </row>
    <row r="799" spans="1:2" x14ac:dyDescent="0.25">
      <c r="A799" s="153">
        <v>10037</v>
      </c>
      <c r="B799" s="184">
        <v>7</v>
      </c>
    </row>
    <row r="800" spans="1:2" x14ac:dyDescent="0.25">
      <c r="A800" s="153">
        <v>10038</v>
      </c>
      <c r="B800" s="184">
        <v>7</v>
      </c>
    </row>
    <row r="801" spans="1:2" x14ac:dyDescent="0.25">
      <c r="A801" s="153">
        <v>10039</v>
      </c>
      <c r="B801" s="184">
        <v>7</v>
      </c>
    </row>
    <row r="802" spans="1:2" x14ac:dyDescent="0.25">
      <c r="A802" s="153">
        <v>10040</v>
      </c>
      <c r="B802" s="184">
        <v>7</v>
      </c>
    </row>
    <row r="803" spans="1:2" x14ac:dyDescent="0.25">
      <c r="A803" s="153">
        <v>10041</v>
      </c>
      <c r="B803" s="184">
        <v>7</v>
      </c>
    </row>
    <row r="804" spans="1:2" x14ac:dyDescent="0.25">
      <c r="A804" s="153">
        <v>10042</v>
      </c>
      <c r="B804" s="184">
        <v>7</v>
      </c>
    </row>
    <row r="805" spans="1:2" x14ac:dyDescent="0.25">
      <c r="A805" s="153">
        <v>10044</v>
      </c>
      <c r="B805" s="184">
        <v>3</v>
      </c>
    </row>
    <row r="806" spans="1:2" x14ac:dyDescent="0.25">
      <c r="A806" s="153">
        <v>10045</v>
      </c>
      <c r="B806" s="184">
        <v>3</v>
      </c>
    </row>
    <row r="807" spans="1:2" x14ac:dyDescent="0.25">
      <c r="A807" s="153">
        <v>10046</v>
      </c>
      <c r="B807" s="184">
        <v>1</v>
      </c>
    </row>
    <row r="808" spans="1:2" x14ac:dyDescent="0.25">
      <c r="A808" s="153">
        <v>10047</v>
      </c>
      <c r="B808" s="184">
        <v>1</v>
      </c>
    </row>
    <row r="809" spans="1:2" x14ac:dyDescent="0.25">
      <c r="A809" s="153">
        <v>10048</v>
      </c>
      <c r="B809" s="184">
        <v>1</v>
      </c>
    </row>
    <row r="810" spans="1:2" x14ac:dyDescent="0.25">
      <c r="A810" s="153">
        <v>10049</v>
      </c>
      <c r="B810" s="184">
        <v>1</v>
      </c>
    </row>
    <row r="811" spans="1:2" x14ac:dyDescent="0.25">
      <c r="A811" s="153">
        <v>10050</v>
      </c>
      <c r="B811" s="184">
        <v>5</v>
      </c>
    </row>
    <row r="812" spans="1:2" x14ac:dyDescent="0.25">
      <c r="A812" s="153">
        <v>10051</v>
      </c>
      <c r="B812" s="184">
        <v>1</v>
      </c>
    </row>
    <row r="813" spans="1:2" x14ac:dyDescent="0.25">
      <c r="A813" s="153">
        <v>10053</v>
      </c>
      <c r="B813" s="184">
        <v>1</v>
      </c>
    </row>
    <row r="814" spans="1:2" x14ac:dyDescent="0.25">
      <c r="A814" s="153">
        <v>10060</v>
      </c>
      <c r="B814" s="184">
        <v>1</v>
      </c>
    </row>
    <row r="815" spans="1:2" x14ac:dyDescent="0.25">
      <c r="A815" s="153">
        <v>10061</v>
      </c>
      <c r="B815" s="184">
        <v>1</v>
      </c>
    </row>
    <row r="816" spans="1:2" x14ac:dyDescent="0.25">
      <c r="A816" s="153">
        <v>10064</v>
      </c>
      <c r="B816" s="184">
        <v>1</v>
      </c>
    </row>
    <row r="817" spans="1:2" x14ac:dyDescent="0.25">
      <c r="A817" s="153">
        <v>10065</v>
      </c>
      <c r="B817" s="184">
        <v>1</v>
      </c>
    </row>
    <row r="818" spans="1:2" x14ac:dyDescent="0.25">
      <c r="A818" s="153">
        <v>10100</v>
      </c>
      <c r="B818" s="184">
        <v>2</v>
      </c>
    </row>
    <row r="819" spans="1:2" x14ac:dyDescent="0.25">
      <c r="A819" s="153" t="s">
        <v>2087</v>
      </c>
      <c r="B819" s="184">
        <v>1</v>
      </c>
    </row>
    <row r="820" spans="1:2" x14ac:dyDescent="0.25">
      <c r="A820" s="153" t="s">
        <v>2041</v>
      </c>
      <c r="B820" s="184">
        <v>1</v>
      </c>
    </row>
    <row r="821" spans="1:2" x14ac:dyDescent="0.25">
      <c r="A821" s="153" t="s">
        <v>2042</v>
      </c>
      <c r="B821" s="184">
        <v>1</v>
      </c>
    </row>
    <row r="822" spans="1:2" x14ac:dyDescent="0.25">
      <c r="A822" s="153" t="s">
        <v>2048</v>
      </c>
      <c r="B822" s="184">
        <v>1</v>
      </c>
    </row>
    <row r="823" spans="1:2" x14ac:dyDescent="0.25">
      <c r="A823" s="153" t="s">
        <v>2050</v>
      </c>
      <c r="B823" s="184">
        <v>1</v>
      </c>
    </row>
    <row r="824" spans="1:2" x14ac:dyDescent="0.25">
      <c r="A824" s="153" t="s">
        <v>2052</v>
      </c>
      <c r="B824" s="184">
        <v>1</v>
      </c>
    </row>
    <row r="825" spans="1:2" x14ac:dyDescent="0.25">
      <c r="A825" s="153" t="s">
        <v>2053</v>
      </c>
      <c r="B825" s="184">
        <v>1</v>
      </c>
    </row>
    <row r="826" spans="1:2" x14ac:dyDescent="0.25">
      <c r="A826" s="153" t="s">
        <v>2054</v>
      </c>
      <c r="B826" s="184">
        <v>1</v>
      </c>
    </row>
    <row r="827" spans="1:2" x14ac:dyDescent="0.25">
      <c r="A827" s="153">
        <v>1165</v>
      </c>
      <c r="B827" s="184">
        <v>1</v>
      </c>
    </row>
    <row r="828" spans="1:2" x14ac:dyDescent="0.25">
      <c r="A828" s="153">
        <v>4040</v>
      </c>
      <c r="B828" s="184">
        <v>1</v>
      </c>
    </row>
    <row r="829" spans="1:2" x14ac:dyDescent="0.25">
      <c r="A829" s="153">
        <v>4041</v>
      </c>
      <c r="B829" s="184">
        <v>2</v>
      </c>
    </row>
    <row r="830" spans="1:2" x14ac:dyDescent="0.25">
      <c r="A830" s="153">
        <v>10019</v>
      </c>
      <c r="B830" s="184">
        <v>3</v>
      </c>
    </row>
    <row r="831" spans="1:2" x14ac:dyDescent="0.25">
      <c r="A831" s="153">
        <v>10056</v>
      </c>
      <c r="B831" s="184">
        <v>1</v>
      </c>
    </row>
    <row r="832" spans="1:2" x14ac:dyDescent="0.25">
      <c r="A832" s="153">
        <v>10055</v>
      </c>
      <c r="B832" s="184">
        <v>2</v>
      </c>
    </row>
    <row r="833" spans="1:2" x14ac:dyDescent="0.25">
      <c r="A833" s="153">
        <v>10054</v>
      </c>
      <c r="B833" s="184">
        <v>3</v>
      </c>
    </row>
    <row r="834" spans="1:2" x14ac:dyDescent="0.25">
      <c r="A834" s="153">
        <v>153</v>
      </c>
      <c r="B834" s="184">
        <v>1</v>
      </c>
    </row>
    <row r="835" spans="1:2" x14ac:dyDescent="0.25">
      <c r="A835" s="153">
        <v>4005</v>
      </c>
      <c r="B835" s="184">
        <v>33</v>
      </c>
    </row>
    <row r="836" spans="1:2" x14ac:dyDescent="0.25">
      <c r="A836" s="153">
        <v>4570</v>
      </c>
      <c r="B836" s="184">
        <v>2</v>
      </c>
    </row>
    <row r="837" spans="1:2" x14ac:dyDescent="0.25">
      <c r="A837" s="153">
        <v>4571</v>
      </c>
      <c r="B837" s="184">
        <v>2</v>
      </c>
    </row>
    <row r="838" spans="1:2" x14ac:dyDescent="0.25">
      <c r="A838" s="153">
        <v>4572</v>
      </c>
      <c r="B838" s="184">
        <v>2</v>
      </c>
    </row>
    <row r="839" spans="1:2" x14ac:dyDescent="0.25">
      <c r="A839" s="153">
        <v>4573</v>
      </c>
      <c r="B839" s="184">
        <v>1</v>
      </c>
    </row>
    <row r="840" spans="1:2" x14ac:dyDescent="0.25">
      <c r="A840" s="153">
        <v>4574</v>
      </c>
      <c r="B840" s="184">
        <v>2</v>
      </c>
    </row>
    <row r="841" spans="1:2" x14ac:dyDescent="0.25">
      <c r="A841" s="153">
        <v>4575</v>
      </c>
      <c r="B841" s="184">
        <v>2</v>
      </c>
    </row>
    <row r="842" spans="1:2" x14ac:dyDescent="0.25">
      <c r="A842" s="153">
        <v>4576</v>
      </c>
      <c r="B842" s="184">
        <v>2</v>
      </c>
    </row>
    <row r="843" spans="1:2" x14ac:dyDescent="0.25">
      <c r="A843" s="153">
        <v>4577</v>
      </c>
      <c r="B843" s="184">
        <v>1</v>
      </c>
    </row>
    <row r="844" spans="1:2" x14ac:dyDescent="0.25">
      <c r="A844" s="153">
        <v>4578</v>
      </c>
      <c r="B844" s="184">
        <v>2</v>
      </c>
    </row>
    <row r="845" spans="1:2" x14ac:dyDescent="0.25">
      <c r="A845" s="153">
        <v>4579</v>
      </c>
      <c r="B845" s="184">
        <v>2</v>
      </c>
    </row>
    <row r="846" spans="1:2" x14ac:dyDescent="0.25">
      <c r="A846" s="153">
        <v>4580</v>
      </c>
      <c r="B846" s="184">
        <v>1</v>
      </c>
    </row>
    <row r="847" spans="1:2" x14ac:dyDescent="0.25">
      <c r="A847" s="153">
        <v>4581</v>
      </c>
      <c r="B847" s="184">
        <v>1</v>
      </c>
    </row>
    <row r="848" spans="1:2" x14ac:dyDescent="0.25">
      <c r="A848" s="153">
        <v>4582</v>
      </c>
      <c r="B848" s="184">
        <v>2</v>
      </c>
    </row>
    <row r="849" spans="1:2" x14ac:dyDescent="0.25">
      <c r="A849" s="153">
        <v>4583</v>
      </c>
      <c r="B849" s="184">
        <v>1</v>
      </c>
    </row>
    <row r="850" spans="1:2" x14ac:dyDescent="0.25">
      <c r="A850" s="153">
        <v>4584</v>
      </c>
      <c r="B850" s="184">
        <v>2</v>
      </c>
    </row>
    <row r="851" spans="1:2" x14ac:dyDescent="0.25">
      <c r="A851" s="153">
        <v>4585</v>
      </c>
      <c r="B851" s="184">
        <v>2</v>
      </c>
    </row>
    <row r="852" spans="1:2" x14ac:dyDescent="0.25">
      <c r="A852" s="153">
        <v>4586</v>
      </c>
      <c r="B852" s="184">
        <v>2</v>
      </c>
    </row>
    <row r="853" spans="1:2" x14ac:dyDescent="0.25">
      <c r="A853" s="153">
        <v>4246</v>
      </c>
      <c r="B853" s="184">
        <v>5</v>
      </c>
    </row>
    <row r="854" spans="1:2" x14ac:dyDescent="0.25">
      <c r="A854" s="153">
        <v>4248</v>
      </c>
      <c r="B854" s="184">
        <v>5</v>
      </c>
    </row>
    <row r="855" spans="1:2" x14ac:dyDescent="0.25">
      <c r="A855" s="153">
        <v>4250</v>
      </c>
      <c r="B855" s="184">
        <v>5</v>
      </c>
    </row>
    <row r="856" spans="1:2" x14ac:dyDescent="0.25">
      <c r="A856" s="153">
        <v>4548</v>
      </c>
      <c r="B856" s="184">
        <v>2</v>
      </c>
    </row>
    <row r="857" spans="1:2" x14ac:dyDescent="0.25">
      <c r="A857" s="153">
        <v>4551</v>
      </c>
      <c r="B857" s="184">
        <v>1</v>
      </c>
    </row>
    <row r="858" spans="1:2" x14ac:dyDescent="0.25">
      <c r="A858" s="153">
        <v>4587</v>
      </c>
      <c r="B858" s="184">
        <v>1</v>
      </c>
    </row>
    <row r="859" spans="1:2" x14ac:dyDescent="0.25">
      <c r="A859" s="153">
        <v>4588</v>
      </c>
      <c r="B859" s="184">
        <v>2</v>
      </c>
    </row>
    <row r="860" spans="1:2" x14ac:dyDescent="0.25">
      <c r="A860" s="153">
        <v>4589</v>
      </c>
      <c r="B860" s="184">
        <v>1</v>
      </c>
    </row>
    <row r="861" spans="1:2" x14ac:dyDescent="0.25">
      <c r="A861" s="153">
        <v>4590</v>
      </c>
      <c r="B861" s="184">
        <v>2</v>
      </c>
    </row>
    <row r="862" spans="1:2" x14ac:dyDescent="0.25">
      <c r="A862" s="153">
        <v>4591</v>
      </c>
      <c r="B862" s="184">
        <v>2</v>
      </c>
    </row>
    <row r="863" spans="1:2" x14ac:dyDescent="0.25">
      <c r="A863" s="153">
        <v>4592</v>
      </c>
      <c r="B863" s="184">
        <v>2</v>
      </c>
    </row>
    <row r="864" spans="1:2" x14ac:dyDescent="0.25">
      <c r="A864" s="153">
        <v>4593</v>
      </c>
      <c r="B864" s="184">
        <v>2</v>
      </c>
    </row>
    <row r="865" spans="1:2" x14ac:dyDescent="0.25">
      <c r="A865" s="153">
        <v>4594</v>
      </c>
      <c r="B865" s="184">
        <v>2</v>
      </c>
    </row>
    <row r="866" spans="1:2" x14ac:dyDescent="0.25">
      <c r="A866" s="153">
        <v>4595</v>
      </c>
      <c r="B866" s="184">
        <v>2</v>
      </c>
    </row>
    <row r="867" spans="1:2" x14ac:dyDescent="0.25">
      <c r="A867" s="153">
        <v>4596</v>
      </c>
      <c r="B867" s="184">
        <v>2</v>
      </c>
    </row>
    <row r="868" spans="1:2" x14ac:dyDescent="0.25">
      <c r="A868" s="153">
        <v>4597</v>
      </c>
      <c r="B868" s="184">
        <v>1</v>
      </c>
    </row>
    <row r="869" spans="1:2" x14ac:dyDescent="0.25">
      <c r="A869" s="153">
        <v>4598</v>
      </c>
      <c r="B869" s="184">
        <v>2</v>
      </c>
    </row>
    <row r="870" spans="1:2" x14ac:dyDescent="0.25">
      <c r="A870" s="153">
        <v>4599</v>
      </c>
      <c r="B870" s="184">
        <v>1</v>
      </c>
    </row>
    <row r="871" spans="1:2" x14ac:dyDescent="0.25">
      <c r="A871" s="153">
        <v>4556</v>
      </c>
      <c r="B871" s="184">
        <v>1</v>
      </c>
    </row>
    <row r="872" spans="1:2" x14ac:dyDescent="0.25">
      <c r="A872" s="153">
        <v>751</v>
      </c>
      <c r="B872" s="184">
        <v>2</v>
      </c>
    </row>
    <row r="873" spans="1:2" x14ac:dyDescent="0.25">
      <c r="A873" s="153">
        <v>752</v>
      </c>
      <c r="B873" s="184">
        <v>2</v>
      </c>
    </row>
    <row r="874" spans="1:2" x14ac:dyDescent="0.25">
      <c r="A874" s="153" t="s">
        <v>8555</v>
      </c>
      <c r="B874" s="184">
        <v>2869</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94"/>
  <sheetViews>
    <sheetView zoomScale="85" zoomScaleNormal="85" workbookViewId="0">
      <pane ySplit="2" topLeftCell="A876" activePane="bottomLeft" state="frozen"/>
      <selection pane="bottomLeft" activeCell="D828" sqref="D828"/>
    </sheetView>
  </sheetViews>
  <sheetFormatPr baseColWidth="10" defaultColWidth="11" defaultRowHeight="15.9" customHeight="1" x14ac:dyDescent="0.25"/>
  <cols>
    <col min="1" max="1" width="26.19921875" style="3" bestFit="1" customWidth="1"/>
    <col min="2" max="2" width="32" style="142" bestFit="1" customWidth="1"/>
    <col min="3" max="3" width="64.59765625" style="154" customWidth="1"/>
    <col min="4" max="7" width="30.59765625" style="3" customWidth="1"/>
    <col min="8" max="16384" width="11" style="3"/>
  </cols>
  <sheetData>
    <row r="1" spans="1:8" ht="15.9" customHeight="1" x14ac:dyDescent="0.25">
      <c r="A1" s="148" t="s">
        <v>8547</v>
      </c>
      <c r="B1" s="151"/>
      <c r="C1" s="155"/>
    </row>
    <row r="2" spans="1:8" ht="15.9" customHeight="1" x14ac:dyDescent="0.25">
      <c r="A2" s="4" t="s">
        <v>1255</v>
      </c>
      <c r="B2" s="150" t="s">
        <v>9437</v>
      </c>
      <c r="C2" s="150" t="s">
        <v>1257</v>
      </c>
      <c r="D2" s="6" t="s">
        <v>9479</v>
      </c>
      <c r="E2" s="6" t="s">
        <v>9480</v>
      </c>
      <c r="F2" s="6" t="s">
        <v>9481</v>
      </c>
      <c r="G2" s="6" t="s">
        <v>9482</v>
      </c>
    </row>
    <row r="3" spans="1:8" ht="15.9" customHeight="1" x14ac:dyDescent="0.25">
      <c r="A3" s="3" t="s">
        <v>1776</v>
      </c>
      <c r="B3" s="156" t="s">
        <v>9483</v>
      </c>
      <c r="C3" s="154" t="s">
        <v>9086</v>
      </c>
      <c r="D3" s="149" t="s">
        <v>8729</v>
      </c>
      <c r="E3" s="149" t="s">
        <v>8732</v>
      </c>
      <c r="F3" s="149" t="s">
        <v>8733</v>
      </c>
      <c r="G3" s="3" t="s">
        <v>8727</v>
      </c>
      <c r="H3" s="3" t="s">
        <v>1251</v>
      </c>
    </row>
    <row r="4" spans="1:8" ht="15.9" customHeight="1" x14ac:dyDescent="0.25">
      <c r="A4" s="3" t="s">
        <v>1958</v>
      </c>
      <c r="B4" s="156">
        <v>9069</v>
      </c>
      <c r="C4" s="154" t="s">
        <v>9369</v>
      </c>
      <c r="D4" s="149" t="s">
        <v>8546</v>
      </c>
      <c r="E4" s="3" t="s">
        <v>1251</v>
      </c>
    </row>
    <row r="5" spans="1:8" ht="15.9" customHeight="1" x14ac:dyDescent="0.25">
      <c r="A5" s="3" t="s">
        <v>1958</v>
      </c>
      <c r="B5" s="156">
        <v>9178</v>
      </c>
      <c r="C5" s="154" t="s">
        <v>9392</v>
      </c>
      <c r="D5" s="149" t="s">
        <v>8572</v>
      </c>
      <c r="E5" s="3" t="s">
        <v>1251</v>
      </c>
    </row>
    <row r="6" spans="1:8" ht="15.9" customHeight="1" x14ac:dyDescent="0.25">
      <c r="A6" s="3" t="s">
        <v>1958</v>
      </c>
      <c r="B6" s="156">
        <v>9250</v>
      </c>
      <c r="C6" s="154" t="s">
        <v>9422</v>
      </c>
    </row>
    <row r="7" spans="1:8" ht="15.9" customHeight="1" x14ac:dyDescent="0.25">
      <c r="A7" s="3" t="s">
        <v>1958</v>
      </c>
      <c r="B7" s="156">
        <v>9251</v>
      </c>
      <c r="C7" s="154" t="s">
        <v>9423</v>
      </c>
    </row>
    <row r="8" spans="1:8" ht="15.9" customHeight="1" x14ac:dyDescent="0.25">
      <c r="A8" s="3" t="s">
        <v>1300</v>
      </c>
      <c r="B8" s="156">
        <v>42</v>
      </c>
      <c r="C8" s="154" t="s">
        <v>9020</v>
      </c>
      <c r="D8" s="149" t="s">
        <v>9438</v>
      </c>
      <c r="E8" s="3" t="s">
        <v>1251</v>
      </c>
    </row>
    <row r="9" spans="1:8" ht="15.9" customHeight="1" x14ac:dyDescent="0.25">
      <c r="A9" s="3" t="s">
        <v>1300</v>
      </c>
      <c r="B9" s="156">
        <v>52</v>
      </c>
      <c r="C9" s="154" t="s">
        <v>8986</v>
      </c>
    </row>
    <row r="10" spans="1:8" ht="15.9" customHeight="1" x14ac:dyDescent="0.25">
      <c r="A10" s="3" t="s">
        <v>1300</v>
      </c>
      <c r="B10" s="156">
        <v>53</v>
      </c>
      <c r="C10" s="154" t="s">
        <v>9163</v>
      </c>
    </row>
    <row r="11" spans="1:8" ht="15.9" customHeight="1" x14ac:dyDescent="0.25">
      <c r="A11" s="3" t="s">
        <v>1300</v>
      </c>
      <c r="B11" s="156" t="s">
        <v>9485</v>
      </c>
      <c r="C11" s="154" t="s">
        <v>9484</v>
      </c>
      <c r="D11" s="149" t="s">
        <v>9465</v>
      </c>
      <c r="E11" s="3" t="s">
        <v>1251</v>
      </c>
    </row>
    <row r="12" spans="1:8" ht="15.9" customHeight="1" x14ac:dyDescent="0.25">
      <c r="A12" s="3" t="s">
        <v>1300</v>
      </c>
      <c r="B12" s="156">
        <v>88</v>
      </c>
      <c r="C12" s="154" t="s">
        <v>9340</v>
      </c>
    </row>
    <row r="13" spans="1:8" ht="15.9" customHeight="1" x14ac:dyDescent="0.25">
      <c r="A13" s="3" t="s">
        <v>1300</v>
      </c>
      <c r="B13" s="156">
        <v>89</v>
      </c>
      <c r="C13" s="154" t="s">
        <v>9341</v>
      </c>
    </row>
    <row r="14" spans="1:8" ht="15.9" customHeight="1" x14ac:dyDescent="0.25">
      <c r="A14" s="3" t="s">
        <v>1300</v>
      </c>
      <c r="B14" s="156">
        <v>90</v>
      </c>
      <c r="C14" s="154" t="s">
        <v>9343</v>
      </c>
    </row>
    <row r="15" spans="1:8" ht="15.9" customHeight="1" x14ac:dyDescent="0.25">
      <c r="A15" s="3" t="s">
        <v>1300</v>
      </c>
      <c r="B15" s="156">
        <v>91</v>
      </c>
      <c r="C15" s="154" t="s">
        <v>9373</v>
      </c>
    </row>
    <row r="16" spans="1:8" ht="15.9" customHeight="1" x14ac:dyDescent="0.25">
      <c r="A16" s="3" t="s">
        <v>1300</v>
      </c>
      <c r="B16" s="156">
        <v>160</v>
      </c>
      <c r="C16" s="154" t="s">
        <v>8823</v>
      </c>
    </row>
    <row r="17" spans="1:3" ht="15.9" customHeight="1" x14ac:dyDescent="0.25">
      <c r="A17" s="3" t="s">
        <v>1300</v>
      </c>
      <c r="B17" s="156">
        <v>217</v>
      </c>
      <c r="C17" s="154" t="s">
        <v>8866</v>
      </c>
    </row>
    <row r="18" spans="1:3" ht="15.9" customHeight="1" x14ac:dyDescent="0.25">
      <c r="A18" s="3" t="s">
        <v>1300</v>
      </c>
      <c r="B18" s="156">
        <v>249</v>
      </c>
      <c r="C18" s="154" t="s">
        <v>8874</v>
      </c>
    </row>
    <row r="19" spans="1:3" ht="15.9" customHeight="1" x14ac:dyDescent="0.25">
      <c r="A19" s="3" t="s">
        <v>1300</v>
      </c>
      <c r="B19" s="156">
        <v>250</v>
      </c>
      <c r="C19" s="154" t="s">
        <v>8875</v>
      </c>
    </row>
    <row r="20" spans="1:3" ht="15.9" customHeight="1" x14ac:dyDescent="0.25">
      <c r="A20" s="3" t="s">
        <v>1300</v>
      </c>
      <c r="B20" s="156">
        <v>251</v>
      </c>
      <c r="C20" s="154" t="s">
        <v>8876</v>
      </c>
    </row>
    <row r="21" spans="1:3" ht="15.9" customHeight="1" x14ac:dyDescent="0.25">
      <c r="A21" s="3" t="s">
        <v>1300</v>
      </c>
      <c r="B21" s="156">
        <v>252</v>
      </c>
      <c r="C21" s="154" t="s">
        <v>8877</v>
      </c>
    </row>
    <row r="22" spans="1:3" ht="15.9" customHeight="1" x14ac:dyDescent="0.25">
      <c r="A22" s="3" t="s">
        <v>1300</v>
      </c>
      <c r="B22" s="156">
        <v>392</v>
      </c>
      <c r="C22" s="154" t="s">
        <v>8917</v>
      </c>
    </row>
    <row r="23" spans="1:3" ht="15.9" customHeight="1" x14ac:dyDescent="0.25">
      <c r="A23" s="3" t="s">
        <v>1300</v>
      </c>
      <c r="B23" s="156">
        <v>402</v>
      </c>
      <c r="C23" s="154" t="s">
        <v>8931</v>
      </c>
    </row>
    <row r="24" spans="1:3" ht="15.9" customHeight="1" x14ac:dyDescent="0.25">
      <c r="A24" s="3" t="s">
        <v>1300</v>
      </c>
      <c r="B24" s="156">
        <v>703</v>
      </c>
      <c r="C24" s="154" t="s">
        <v>8987</v>
      </c>
    </row>
    <row r="25" spans="1:3" ht="15.9" customHeight="1" x14ac:dyDescent="0.25">
      <c r="A25" s="3" t="s">
        <v>1300</v>
      </c>
      <c r="B25" s="156">
        <v>729</v>
      </c>
      <c r="C25" s="154" t="s">
        <v>8986</v>
      </c>
    </row>
    <row r="26" spans="1:3" ht="15.9" customHeight="1" x14ac:dyDescent="0.25">
      <c r="A26" s="3" t="s">
        <v>1300</v>
      </c>
      <c r="B26" s="156">
        <v>739</v>
      </c>
      <c r="C26" s="154" t="s">
        <v>9308</v>
      </c>
    </row>
    <row r="27" spans="1:3" ht="15.9" customHeight="1" x14ac:dyDescent="0.25">
      <c r="A27" s="3" t="s">
        <v>1300</v>
      </c>
      <c r="B27" s="156">
        <v>740</v>
      </c>
      <c r="C27" s="154" t="s">
        <v>9309</v>
      </c>
    </row>
    <row r="28" spans="1:3" ht="15.9" customHeight="1" x14ac:dyDescent="0.25">
      <c r="A28" s="3" t="s">
        <v>1300</v>
      </c>
      <c r="B28" s="156">
        <v>748</v>
      </c>
      <c r="C28" s="154" t="s">
        <v>9312</v>
      </c>
    </row>
    <row r="29" spans="1:3" ht="15.9" customHeight="1" x14ac:dyDescent="0.25">
      <c r="A29" s="3" t="s">
        <v>1300</v>
      </c>
      <c r="B29" s="156">
        <v>756</v>
      </c>
      <c r="C29" s="154" t="s">
        <v>9313</v>
      </c>
    </row>
    <row r="30" spans="1:3" ht="15.9" customHeight="1" x14ac:dyDescent="0.25">
      <c r="A30" s="3" t="s">
        <v>1300</v>
      </c>
      <c r="B30" s="156">
        <v>757</v>
      </c>
      <c r="C30" s="154" t="s">
        <v>9314</v>
      </c>
    </row>
    <row r="31" spans="1:3" ht="15.9" customHeight="1" x14ac:dyDescent="0.25">
      <c r="A31" s="3" t="s">
        <v>1300</v>
      </c>
      <c r="B31" s="156">
        <v>769</v>
      </c>
      <c r="C31" s="154" t="s">
        <v>9316</v>
      </c>
    </row>
    <row r="32" spans="1:3" ht="15.9" customHeight="1" x14ac:dyDescent="0.25">
      <c r="A32" s="3" t="s">
        <v>1300</v>
      </c>
      <c r="B32" s="156">
        <v>791</v>
      </c>
      <c r="C32" s="154" t="s">
        <v>9325</v>
      </c>
    </row>
    <row r="33" spans="1:3" ht="15.9" customHeight="1" x14ac:dyDescent="0.25">
      <c r="A33" s="3" t="s">
        <v>1300</v>
      </c>
      <c r="B33" s="156">
        <v>792</v>
      </c>
      <c r="C33" s="154" t="s">
        <v>9326</v>
      </c>
    </row>
    <row r="34" spans="1:3" ht="15.9" customHeight="1" x14ac:dyDescent="0.25">
      <c r="A34" s="3" t="s">
        <v>1300</v>
      </c>
      <c r="B34" s="156">
        <v>845</v>
      </c>
      <c r="C34" s="154" t="s">
        <v>9339</v>
      </c>
    </row>
    <row r="35" spans="1:3" ht="15.9" customHeight="1" x14ac:dyDescent="0.25">
      <c r="A35" s="3" t="s">
        <v>1300</v>
      </c>
      <c r="B35" s="156">
        <v>846</v>
      </c>
      <c r="C35" s="154" t="s">
        <v>8987</v>
      </c>
    </row>
    <row r="36" spans="1:3" ht="15.9" customHeight="1" x14ac:dyDescent="0.25">
      <c r="A36" s="3" t="s">
        <v>1300</v>
      </c>
      <c r="B36" s="156">
        <v>1222</v>
      </c>
      <c r="C36" s="154" t="s">
        <v>8805</v>
      </c>
    </row>
    <row r="37" spans="1:3" ht="15.9" customHeight="1" x14ac:dyDescent="0.25">
      <c r="A37" s="3" t="s">
        <v>1300</v>
      </c>
      <c r="B37" s="156">
        <v>1223</v>
      </c>
      <c r="C37" s="154" t="s">
        <v>8806</v>
      </c>
    </row>
    <row r="38" spans="1:3" ht="15.9" customHeight="1" x14ac:dyDescent="0.25">
      <c r="A38" s="3" t="s">
        <v>1300</v>
      </c>
      <c r="B38" s="156">
        <v>1224</v>
      </c>
      <c r="C38" s="154" t="s">
        <v>8807</v>
      </c>
    </row>
    <row r="39" spans="1:3" ht="15.9" customHeight="1" x14ac:dyDescent="0.25">
      <c r="A39" s="3" t="s">
        <v>1300</v>
      </c>
      <c r="B39" s="156">
        <v>1229</v>
      </c>
      <c r="C39" s="154" t="s">
        <v>8808</v>
      </c>
    </row>
    <row r="40" spans="1:3" ht="15.9" customHeight="1" x14ac:dyDescent="0.25">
      <c r="A40" s="3" t="s">
        <v>1300</v>
      </c>
      <c r="B40" s="156">
        <v>1230</v>
      </c>
      <c r="C40" s="154" t="s">
        <v>8809</v>
      </c>
    </row>
    <row r="41" spans="1:3" ht="15.9" customHeight="1" x14ac:dyDescent="0.25">
      <c r="A41" s="3" t="s">
        <v>1300</v>
      </c>
      <c r="B41" s="156">
        <v>1232</v>
      </c>
      <c r="C41" s="154" t="s">
        <v>8810</v>
      </c>
    </row>
    <row r="42" spans="1:3" ht="15.9" customHeight="1" x14ac:dyDescent="0.25">
      <c r="A42" s="3" t="s">
        <v>1300</v>
      </c>
      <c r="B42" s="156">
        <v>1234</v>
      </c>
      <c r="C42" s="154" t="s">
        <v>8811</v>
      </c>
    </row>
    <row r="43" spans="1:3" ht="15.9" customHeight="1" x14ac:dyDescent="0.25">
      <c r="A43" s="3" t="s">
        <v>1300</v>
      </c>
      <c r="B43" s="156">
        <v>1240</v>
      </c>
      <c r="C43" s="154" t="s">
        <v>8813</v>
      </c>
    </row>
    <row r="44" spans="1:3" ht="15.9" customHeight="1" x14ac:dyDescent="0.25">
      <c r="A44" s="3" t="s">
        <v>1300</v>
      </c>
      <c r="B44" s="156">
        <v>1242</v>
      </c>
      <c r="C44" s="154" t="s">
        <v>8814</v>
      </c>
    </row>
    <row r="45" spans="1:3" ht="15.9" customHeight="1" x14ac:dyDescent="0.25">
      <c r="A45" s="3" t="s">
        <v>1300</v>
      </c>
      <c r="B45" s="156">
        <v>4036</v>
      </c>
      <c r="C45" s="154" t="s">
        <v>8940</v>
      </c>
    </row>
    <row r="46" spans="1:3" ht="15.9" customHeight="1" x14ac:dyDescent="0.25">
      <c r="A46" s="3" t="s">
        <v>1300</v>
      </c>
      <c r="B46" s="156">
        <v>4037</v>
      </c>
      <c r="C46" s="154" t="s">
        <v>8941</v>
      </c>
    </row>
    <row r="47" spans="1:3" ht="15.9" customHeight="1" x14ac:dyDescent="0.25">
      <c r="A47" s="3" t="s">
        <v>1300</v>
      </c>
      <c r="B47" s="156">
        <v>4059</v>
      </c>
      <c r="C47" s="154" t="s">
        <v>8952</v>
      </c>
    </row>
    <row r="48" spans="1:3" ht="15.9" customHeight="1" x14ac:dyDescent="0.25">
      <c r="A48" s="3" t="s">
        <v>1300</v>
      </c>
      <c r="B48" s="156">
        <v>4060</v>
      </c>
      <c r="C48" s="154" t="s">
        <v>8954</v>
      </c>
    </row>
    <row r="49" spans="1:3" ht="15.9" customHeight="1" x14ac:dyDescent="0.25">
      <c r="A49" s="3" t="s">
        <v>1300</v>
      </c>
      <c r="B49" s="156">
        <v>4080</v>
      </c>
      <c r="C49" s="154" t="s">
        <v>8966</v>
      </c>
    </row>
    <row r="50" spans="1:3" ht="15.9" customHeight="1" x14ac:dyDescent="0.25">
      <c r="A50" s="3" t="s">
        <v>1300</v>
      </c>
      <c r="B50" s="156">
        <v>4081</v>
      </c>
      <c r="C50" s="154" t="s">
        <v>8967</v>
      </c>
    </row>
    <row r="51" spans="1:3" ht="15.9" customHeight="1" x14ac:dyDescent="0.25">
      <c r="A51" s="3" t="s">
        <v>1300</v>
      </c>
      <c r="B51" s="156">
        <v>4084</v>
      </c>
      <c r="C51" s="154" t="s">
        <v>8968</v>
      </c>
    </row>
    <row r="52" spans="1:3" ht="15.9" customHeight="1" x14ac:dyDescent="0.25">
      <c r="A52" s="3" t="s">
        <v>1300</v>
      </c>
      <c r="B52" s="156">
        <v>4085</v>
      </c>
      <c r="C52" s="154" t="s">
        <v>8969</v>
      </c>
    </row>
    <row r="53" spans="1:3" ht="15.9" customHeight="1" x14ac:dyDescent="0.25">
      <c r="A53" s="3" t="s">
        <v>1300</v>
      </c>
      <c r="B53" s="156">
        <v>4087</v>
      </c>
      <c r="C53" s="154" t="s">
        <v>8971</v>
      </c>
    </row>
    <row r="54" spans="1:3" ht="15.9" customHeight="1" x14ac:dyDescent="0.25">
      <c r="A54" s="3" t="s">
        <v>1300</v>
      </c>
      <c r="B54" s="156">
        <v>4131</v>
      </c>
      <c r="C54" s="154" t="s">
        <v>8986</v>
      </c>
    </row>
    <row r="55" spans="1:3" ht="15.9" customHeight="1" x14ac:dyDescent="0.25">
      <c r="A55" s="3" t="s">
        <v>1300</v>
      </c>
      <c r="B55" s="156">
        <v>4132</v>
      </c>
      <c r="C55" s="154" t="s">
        <v>8987</v>
      </c>
    </row>
    <row r="56" spans="1:3" ht="15.9" customHeight="1" x14ac:dyDescent="0.25">
      <c r="A56" s="3" t="s">
        <v>1300</v>
      </c>
      <c r="B56" s="156">
        <v>4133</v>
      </c>
      <c r="C56" s="154" t="s">
        <v>8988</v>
      </c>
    </row>
    <row r="57" spans="1:3" ht="15.9" customHeight="1" x14ac:dyDescent="0.25">
      <c r="A57" s="3" t="s">
        <v>1300</v>
      </c>
      <c r="B57" s="156">
        <v>4135</v>
      </c>
      <c r="C57" s="154" t="s">
        <v>8989</v>
      </c>
    </row>
    <row r="58" spans="1:3" ht="15.9" customHeight="1" x14ac:dyDescent="0.25">
      <c r="A58" s="3" t="s">
        <v>1300</v>
      </c>
      <c r="B58" s="156">
        <v>4289</v>
      </c>
      <c r="C58" s="154" t="s">
        <v>9050</v>
      </c>
    </row>
    <row r="59" spans="1:3" ht="15.9" customHeight="1" x14ac:dyDescent="0.25">
      <c r="A59" s="3" t="s">
        <v>1300</v>
      </c>
      <c r="B59" s="156">
        <v>4290</v>
      </c>
      <c r="C59" s="154" t="s">
        <v>9051</v>
      </c>
    </row>
    <row r="60" spans="1:3" ht="15.9" customHeight="1" x14ac:dyDescent="0.25">
      <c r="A60" s="3" t="s">
        <v>1300</v>
      </c>
      <c r="B60" s="156">
        <v>4347</v>
      </c>
      <c r="C60" s="154" t="s">
        <v>9081</v>
      </c>
    </row>
    <row r="61" spans="1:3" ht="15.9" customHeight="1" x14ac:dyDescent="0.25">
      <c r="A61" s="3" t="s">
        <v>1300</v>
      </c>
      <c r="B61" s="156">
        <v>4348</v>
      </c>
      <c r="C61" s="154" t="s">
        <v>9082</v>
      </c>
    </row>
    <row r="62" spans="1:3" ht="15.9" customHeight="1" x14ac:dyDescent="0.25">
      <c r="A62" s="3" t="s">
        <v>1300</v>
      </c>
      <c r="B62" s="156">
        <v>4542</v>
      </c>
      <c r="C62" s="154" t="s">
        <v>8522</v>
      </c>
    </row>
    <row r="63" spans="1:3" ht="15.9" customHeight="1" x14ac:dyDescent="0.25">
      <c r="A63" s="3" t="s">
        <v>1300</v>
      </c>
      <c r="B63" s="156">
        <v>4543</v>
      </c>
      <c r="C63" s="154" t="s">
        <v>8523</v>
      </c>
    </row>
    <row r="64" spans="1:3" ht="15.9" customHeight="1" x14ac:dyDescent="0.25">
      <c r="A64" s="3" t="s">
        <v>1300</v>
      </c>
      <c r="B64" s="156">
        <v>4546</v>
      </c>
      <c r="C64" s="154" t="s">
        <v>9125</v>
      </c>
    </row>
    <row r="65" spans="1:6" ht="15.9" customHeight="1" x14ac:dyDescent="0.25">
      <c r="A65" s="3" t="s">
        <v>1300</v>
      </c>
      <c r="B65" s="156">
        <v>4547</v>
      </c>
      <c r="C65" s="154" t="s">
        <v>9126</v>
      </c>
    </row>
    <row r="66" spans="1:6" ht="15.9" customHeight="1" x14ac:dyDescent="0.25">
      <c r="A66" s="3" t="s">
        <v>1300</v>
      </c>
      <c r="B66" s="156">
        <v>4561</v>
      </c>
      <c r="C66" s="154" t="s">
        <v>8528</v>
      </c>
    </row>
    <row r="67" spans="1:6" ht="15.9" customHeight="1" x14ac:dyDescent="0.25">
      <c r="A67" s="3" t="s">
        <v>1300</v>
      </c>
      <c r="B67" s="156">
        <v>9212</v>
      </c>
      <c r="C67" s="154" t="s">
        <v>9416</v>
      </c>
    </row>
    <row r="68" spans="1:6" ht="15.9" customHeight="1" x14ac:dyDescent="0.25">
      <c r="A68" s="3" t="s">
        <v>1300</v>
      </c>
      <c r="B68" s="156">
        <v>9213</v>
      </c>
      <c r="C68" s="154" t="s">
        <v>9417</v>
      </c>
    </row>
    <row r="69" spans="1:6" ht="15.9" customHeight="1" x14ac:dyDescent="0.25">
      <c r="A69" s="3" t="s">
        <v>1300</v>
      </c>
      <c r="B69" s="156">
        <v>9214</v>
      </c>
      <c r="C69" s="154" t="s">
        <v>9418</v>
      </c>
    </row>
    <row r="70" spans="1:6" ht="15.9" customHeight="1" x14ac:dyDescent="0.25">
      <c r="A70" s="3" t="s">
        <v>1300</v>
      </c>
      <c r="B70" s="156">
        <v>9215</v>
      </c>
      <c r="C70" s="154" t="s">
        <v>9419</v>
      </c>
    </row>
    <row r="71" spans="1:6" ht="15.9" customHeight="1" x14ac:dyDescent="0.25">
      <c r="A71" s="3" t="s">
        <v>1300</v>
      </c>
      <c r="B71" s="156">
        <v>9218</v>
      </c>
      <c r="C71" s="154" t="s">
        <v>9421</v>
      </c>
    </row>
    <row r="72" spans="1:6" ht="15.9" customHeight="1" x14ac:dyDescent="0.25">
      <c r="A72" s="3" t="s">
        <v>1300</v>
      </c>
      <c r="B72" s="156"/>
      <c r="C72" s="154" t="s">
        <v>9441</v>
      </c>
      <c r="D72" s="149" t="s">
        <v>9440</v>
      </c>
      <c r="E72" s="149" t="s">
        <v>9442</v>
      </c>
      <c r="F72" s="149" t="s">
        <v>9443</v>
      </c>
    </row>
    <row r="73" spans="1:6" ht="15.9" customHeight="1" x14ac:dyDescent="0.25">
      <c r="A73" s="3" t="s">
        <v>1514</v>
      </c>
      <c r="B73" s="156">
        <v>796</v>
      </c>
      <c r="C73" s="154" t="s">
        <v>9330</v>
      </c>
    </row>
    <row r="74" spans="1:6" ht="15.9" customHeight="1" x14ac:dyDescent="0.25">
      <c r="A74" s="3" t="s">
        <v>1514</v>
      </c>
      <c r="B74" s="156">
        <v>4162</v>
      </c>
      <c r="C74" s="154" t="s">
        <v>9003</v>
      </c>
    </row>
    <row r="75" spans="1:6" ht="15.9" customHeight="1" x14ac:dyDescent="0.25">
      <c r="A75" s="3" t="s">
        <v>1514</v>
      </c>
      <c r="B75" s="156">
        <v>4294</v>
      </c>
      <c r="C75" s="154" t="s">
        <v>9053</v>
      </c>
    </row>
    <row r="76" spans="1:6" ht="15.9" customHeight="1" x14ac:dyDescent="0.25">
      <c r="A76" s="3" t="s">
        <v>1514</v>
      </c>
      <c r="B76" s="156">
        <v>4295</v>
      </c>
      <c r="C76" s="154" t="s">
        <v>9054</v>
      </c>
    </row>
    <row r="77" spans="1:6" ht="15.9" customHeight="1" x14ac:dyDescent="0.25">
      <c r="A77" s="3" t="s">
        <v>1514</v>
      </c>
      <c r="B77" s="156">
        <v>4532</v>
      </c>
      <c r="C77" s="154" t="s">
        <v>9119</v>
      </c>
    </row>
    <row r="78" spans="1:6" ht="15.9" customHeight="1" x14ac:dyDescent="0.25">
      <c r="A78" s="3" t="s">
        <v>1458</v>
      </c>
      <c r="B78" s="156">
        <v>424</v>
      </c>
      <c r="C78" s="154" t="s">
        <v>9026</v>
      </c>
      <c r="D78" s="149" t="s">
        <v>9500</v>
      </c>
    </row>
    <row r="79" spans="1:6" ht="15.9" customHeight="1" x14ac:dyDescent="0.25">
      <c r="A79" s="3" t="s">
        <v>1458</v>
      </c>
      <c r="B79" s="156">
        <v>4067</v>
      </c>
      <c r="C79" s="154" t="s">
        <v>8956</v>
      </c>
    </row>
    <row r="80" spans="1:6" ht="15.9" customHeight="1" x14ac:dyDescent="0.25">
      <c r="A80" s="3" t="s">
        <v>1458</v>
      </c>
      <c r="B80" s="156">
        <v>4071</v>
      </c>
      <c r="C80" s="154" t="s">
        <v>8960</v>
      </c>
    </row>
    <row r="81" spans="1:4" ht="15.9" customHeight="1" x14ac:dyDescent="0.25">
      <c r="A81" s="3" t="s">
        <v>1458</v>
      </c>
      <c r="B81" s="156">
        <v>4152</v>
      </c>
      <c r="C81" s="154" t="s">
        <v>8997</v>
      </c>
    </row>
    <row r="82" spans="1:4" ht="15.9" customHeight="1" x14ac:dyDescent="0.25">
      <c r="A82" s="3" t="s">
        <v>1458</v>
      </c>
      <c r="B82" s="156">
        <v>4155</v>
      </c>
      <c r="C82" s="154" t="s">
        <v>8998</v>
      </c>
    </row>
    <row r="83" spans="1:4" ht="15.9" customHeight="1" x14ac:dyDescent="0.25">
      <c r="A83" s="3" t="s">
        <v>1458</v>
      </c>
      <c r="B83" s="156">
        <v>4163</v>
      </c>
      <c r="C83" s="154" t="s">
        <v>9004</v>
      </c>
    </row>
    <row r="84" spans="1:4" ht="15.9" customHeight="1" x14ac:dyDescent="0.25">
      <c r="A84" s="3" t="s">
        <v>1458</v>
      </c>
      <c r="B84" s="156">
        <v>4296</v>
      </c>
      <c r="C84" s="154" t="s">
        <v>8321</v>
      </c>
      <c r="D84" s="149" t="s">
        <v>9466</v>
      </c>
    </row>
    <row r="85" spans="1:4" ht="15.9" customHeight="1" x14ac:dyDescent="0.25">
      <c r="A85" s="3" t="s">
        <v>1458</v>
      </c>
      <c r="B85" s="156">
        <v>4297</v>
      </c>
      <c r="C85" s="154" t="s">
        <v>9055</v>
      </c>
    </row>
    <row r="86" spans="1:4" ht="15.9" customHeight="1" x14ac:dyDescent="0.25">
      <c r="A86" s="3" t="s">
        <v>1458</v>
      </c>
      <c r="B86" s="156">
        <v>4299</v>
      </c>
      <c r="C86" s="154" t="s">
        <v>9056</v>
      </c>
    </row>
    <row r="87" spans="1:4" ht="15.9" customHeight="1" x14ac:dyDescent="0.25">
      <c r="A87" s="3" t="s">
        <v>1458</v>
      </c>
      <c r="B87" s="156">
        <v>4311</v>
      </c>
      <c r="C87" s="154" t="s">
        <v>9060</v>
      </c>
    </row>
    <row r="88" spans="1:4" ht="15.9" customHeight="1" x14ac:dyDescent="0.25">
      <c r="A88" s="3" t="s">
        <v>1458</v>
      </c>
      <c r="B88" s="156">
        <v>4497</v>
      </c>
      <c r="C88" s="154" t="s">
        <v>9098</v>
      </c>
    </row>
    <row r="89" spans="1:4" ht="15.9" customHeight="1" x14ac:dyDescent="0.25">
      <c r="A89" s="3" t="s">
        <v>1458</v>
      </c>
      <c r="B89" s="156">
        <v>4498</v>
      </c>
      <c r="C89" s="154" t="s">
        <v>9102</v>
      </c>
    </row>
    <row r="90" spans="1:4" ht="15.9" customHeight="1" x14ac:dyDescent="0.25">
      <c r="A90" s="3" t="s">
        <v>1458</v>
      </c>
      <c r="B90" s="156">
        <v>4499</v>
      </c>
      <c r="C90" s="154" t="s">
        <v>8515</v>
      </c>
    </row>
    <row r="91" spans="1:4" ht="15.9" customHeight="1" x14ac:dyDescent="0.25">
      <c r="A91" s="3" t="s">
        <v>1458</v>
      </c>
      <c r="B91" s="156">
        <v>4535</v>
      </c>
      <c r="C91" s="154" t="s">
        <v>9121</v>
      </c>
    </row>
    <row r="92" spans="1:4" ht="15.9" customHeight="1" x14ac:dyDescent="0.25">
      <c r="A92" s="3" t="s">
        <v>1458</v>
      </c>
      <c r="B92" s="156">
        <v>4537</v>
      </c>
      <c r="C92" s="154" t="s">
        <v>8521</v>
      </c>
    </row>
    <row r="93" spans="1:4" ht="15.9" customHeight="1" x14ac:dyDescent="0.25">
      <c r="A93" s="3" t="s">
        <v>1458</v>
      </c>
      <c r="B93" s="156">
        <v>4538</v>
      </c>
      <c r="C93" s="154" t="s">
        <v>8521</v>
      </c>
    </row>
    <row r="94" spans="1:4" ht="15.9" customHeight="1" x14ac:dyDescent="0.25">
      <c r="A94" s="3" t="s">
        <v>1458</v>
      </c>
      <c r="B94" s="156">
        <v>4553</v>
      </c>
      <c r="C94" s="154" t="s">
        <v>9127</v>
      </c>
    </row>
    <row r="95" spans="1:4" ht="15.9" customHeight="1" x14ac:dyDescent="0.25">
      <c r="A95" s="3" t="s">
        <v>1458</v>
      </c>
      <c r="B95" s="156">
        <v>4555</v>
      </c>
      <c r="C95" s="154" t="s">
        <v>9128</v>
      </c>
      <c r="D95" s="149" t="s">
        <v>9457</v>
      </c>
    </row>
    <row r="96" spans="1:4" ht="15.9" customHeight="1" x14ac:dyDescent="0.25">
      <c r="A96" s="3" t="s">
        <v>1458</v>
      </c>
      <c r="B96" s="156">
        <v>5116</v>
      </c>
      <c r="C96" s="154" t="s">
        <v>9146</v>
      </c>
      <c r="D96" s="149" t="s">
        <v>9500</v>
      </c>
    </row>
    <row r="97" spans="1:4" ht="15.9" customHeight="1" x14ac:dyDescent="0.25">
      <c r="A97" s="3" t="s">
        <v>1458</v>
      </c>
      <c r="B97" s="156">
        <v>5132</v>
      </c>
      <c r="C97" s="154" t="s">
        <v>9148</v>
      </c>
    </row>
    <row r="98" spans="1:4" ht="15.9" customHeight="1" x14ac:dyDescent="0.25">
      <c r="A98" s="3" t="s">
        <v>1458</v>
      </c>
      <c r="B98" s="156">
        <v>5133</v>
      </c>
      <c r="C98" s="154" t="s">
        <v>9149</v>
      </c>
    </row>
    <row r="99" spans="1:4" ht="15.9" customHeight="1" x14ac:dyDescent="0.25">
      <c r="A99" s="3" t="s">
        <v>1458</v>
      </c>
      <c r="B99" s="156">
        <v>5389</v>
      </c>
      <c r="C99" s="154" t="s">
        <v>9170</v>
      </c>
    </row>
    <row r="100" spans="1:4" ht="15.9" customHeight="1" x14ac:dyDescent="0.25">
      <c r="A100" s="3" t="s">
        <v>1458</v>
      </c>
      <c r="B100" s="156">
        <v>9195</v>
      </c>
      <c r="C100" s="154" t="s">
        <v>9402</v>
      </c>
    </row>
    <row r="101" spans="1:4" ht="15.9" customHeight="1" x14ac:dyDescent="0.25">
      <c r="A101" s="3" t="s">
        <v>1458</v>
      </c>
      <c r="B101" s="156">
        <v>9196</v>
      </c>
      <c r="C101" s="154" t="s">
        <v>9403</v>
      </c>
    </row>
    <row r="102" spans="1:4" ht="15.9" customHeight="1" x14ac:dyDescent="0.25">
      <c r="A102" s="3" t="s">
        <v>1458</v>
      </c>
      <c r="B102" s="156">
        <v>9206</v>
      </c>
      <c r="C102" s="154" t="s">
        <v>9411</v>
      </c>
    </row>
    <row r="103" spans="1:4" ht="15.9" customHeight="1" x14ac:dyDescent="0.25">
      <c r="A103" s="3" t="s">
        <v>1458</v>
      </c>
      <c r="B103" s="156">
        <v>9207</v>
      </c>
      <c r="C103" s="154" t="s">
        <v>9412</v>
      </c>
      <c r="D103" s="149" t="s">
        <v>9466</v>
      </c>
    </row>
    <row r="104" spans="1:4" ht="15.9" customHeight="1" x14ac:dyDescent="0.25">
      <c r="A104" s="3" t="s">
        <v>1458</v>
      </c>
      <c r="B104" s="156" t="s">
        <v>2041</v>
      </c>
      <c r="C104" s="154" t="s">
        <v>8957</v>
      </c>
    </row>
    <row r="105" spans="1:4" ht="15.9" customHeight="1" x14ac:dyDescent="0.25">
      <c r="A105" s="3" t="s">
        <v>1458</v>
      </c>
      <c r="B105" s="156" t="s">
        <v>2042</v>
      </c>
      <c r="C105" s="154" t="s">
        <v>8961</v>
      </c>
    </row>
    <row r="106" spans="1:4" ht="15.9" customHeight="1" x14ac:dyDescent="0.25">
      <c r="A106" s="3" t="s">
        <v>1458</v>
      </c>
      <c r="B106" s="156" t="s">
        <v>2043</v>
      </c>
      <c r="C106" s="154" t="s">
        <v>9005</v>
      </c>
    </row>
    <row r="107" spans="1:4" ht="15.9" customHeight="1" x14ac:dyDescent="0.25">
      <c r="A107" s="3" t="s">
        <v>1458</v>
      </c>
      <c r="B107" s="156" t="s">
        <v>2044</v>
      </c>
      <c r="C107" s="154" t="s">
        <v>9061</v>
      </c>
    </row>
    <row r="108" spans="1:4" ht="15.9" customHeight="1" x14ac:dyDescent="0.25">
      <c r="A108" s="3" t="s">
        <v>1458</v>
      </c>
      <c r="B108" s="156" t="s">
        <v>2045</v>
      </c>
      <c r="C108" s="154" t="s">
        <v>9099</v>
      </c>
    </row>
    <row r="109" spans="1:4" ht="15.9" customHeight="1" x14ac:dyDescent="0.25">
      <c r="A109" s="3" t="s">
        <v>1458</v>
      </c>
      <c r="B109" s="156" t="s">
        <v>2046</v>
      </c>
      <c r="C109" s="154" t="s">
        <v>9100</v>
      </c>
    </row>
    <row r="110" spans="1:4" ht="15.9" customHeight="1" x14ac:dyDescent="0.25">
      <c r="A110" s="3" t="s">
        <v>1458</v>
      </c>
      <c r="B110" s="156" t="s">
        <v>2047</v>
      </c>
      <c r="C110" s="154" t="s">
        <v>9101</v>
      </c>
    </row>
    <row r="111" spans="1:4" ht="15.9" customHeight="1" x14ac:dyDescent="0.25">
      <c r="A111" s="3" t="s">
        <v>1458</v>
      </c>
      <c r="B111" s="156" t="s">
        <v>2048</v>
      </c>
      <c r="C111" s="154" t="s">
        <v>9103</v>
      </c>
    </row>
    <row r="112" spans="1:4" ht="15.9" customHeight="1" x14ac:dyDescent="0.25">
      <c r="A112" s="3" t="s">
        <v>1458</v>
      </c>
      <c r="B112" s="156" t="s">
        <v>2050</v>
      </c>
      <c r="C112" s="154" t="s">
        <v>9104</v>
      </c>
    </row>
    <row r="113" spans="1:4" ht="15.9" customHeight="1" x14ac:dyDescent="0.25">
      <c r="A113" s="3" t="s">
        <v>1458</v>
      </c>
      <c r="B113" s="156" t="s">
        <v>2052</v>
      </c>
      <c r="C113" s="154" t="s">
        <v>9122</v>
      </c>
    </row>
    <row r="114" spans="1:4" ht="15.9" customHeight="1" x14ac:dyDescent="0.25">
      <c r="A114" s="3" t="s">
        <v>1458</v>
      </c>
      <c r="B114" s="156" t="s">
        <v>2053</v>
      </c>
      <c r="C114" s="154" t="s">
        <v>9123</v>
      </c>
    </row>
    <row r="115" spans="1:4" ht="15.9" customHeight="1" x14ac:dyDescent="0.25">
      <c r="A115" s="3" t="s">
        <v>1458</v>
      </c>
      <c r="B115" s="156" t="s">
        <v>2054</v>
      </c>
      <c r="C115" s="154" t="s">
        <v>9124</v>
      </c>
    </row>
    <row r="116" spans="1:4" ht="15.9" customHeight="1" x14ac:dyDescent="0.25">
      <c r="A116" s="3" t="s">
        <v>1350</v>
      </c>
      <c r="B116" s="156" t="s">
        <v>9507</v>
      </c>
      <c r="C116" s="154" t="s">
        <v>1352</v>
      </c>
      <c r="D116" s="149" t="s">
        <v>9506</v>
      </c>
    </row>
    <row r="117" spans="1:4" ht="15.9" customHeight="1" x14ac:dyDescent="0.25">
      <c r="A117" s="3" t="s">
        <v>1350</v>
      </c>
      <c r="B117" s="156">
        <v>537</v>
      </c>
      <c r="C117" s="154" t="s">
        <v>9167</v>
      </c>
    </row>
    <row r="118" spans="1:4" ht="15.9" customHeight="1" x14ac:dyDescent="0.25">
      <c r="A118" s="3" t="s">
        <v>1350</v>
      </c>
      <c r="B118" s="156">
        <v>538</v>
      </c>
      <c r="C118" s="154" t="s">
        <v>9169</v>
      </c>
    </row>
    <row r="119" spans="1:4" ht="15.9" customHeight="1" x14ac:dyDescent="0.25">
      <c r="A119" s="3" t="s">
        <v>1350</v>
      </c>
      <c r="B119" s="156" t="s">
        <v>9490</v>
      </c>
      <c r="C119" s="154" t="s">
        <v>9489</v>
      </c>
      <c r="D119" s="149" t="s">
        <v>9452</v>
      </c>
    </row>
    <row r="120" spans="1:4" ht="15.9" customHeight="1" x14ac:dyDescent="0.25">
      <c r="A120" s="3" t="s">
        <v>1350</v>
      </c>
      <c r="B120" s="156">
        <v>3219</v>
      </c>
      <c r="C120" s="154" t="s">
        <v>8892</v>
      </c>
    </row>
    <row r="121" spans="1:4" ht="15.9" customHeight="1" x14ac:dyDescent="0.25">
      <c r="A121" s="3" t="s">
        <v>1350</v>
      </c>
      <c r="B121" s="156">
        <v>3220</v>
      </c>
      <c r="C121" s="154" t="s">
        <v>8893</v>
      </c>
    </row>
    <row r="122" spans="1:4" ht="15.9" customHeight="1" x14ac:dyDescent="0.25">
      <c r="A122" s="3" t="s">
        <v>1350</v>
      </c>
      <c r="B122" s="156">
        <v>3221</v>
      </c>
      <c r="C122" s="154" t="s">
        <v>8894</v>
      </c>
    </row>
    <row r="123" spans="1:4" ht="15.9" customHeight="1" x14ac:dyDescent="0.25">
      <c r="A123" s="3" t="s">
        <v>1350</v>
      </c>
      <c r="B123" s="156" t="s">
        <v>9510</v>
      </c>
      <c r="C123" s="154" t="s">
        <v>9508</v>
      </c>
      <c r="D123" s="149" t="s">
        <v>9506</v>
      </c>
    </row>
    <row r="124" spans="1:4" ht="15.9" customHeight="1" x14ac:dyDescent="0.25">
      <c r="A124" s="3" t="s">
        <v>1350</v>
      </c>
      <c r="B124" s="156" t="s">
        <v>9509</v>
      </c>
      <c r="C124" s="154" t="s">
        <v>9511</v>
      </c>
      <c r="D124" s="149" t="s">
        <v>9506</v>
      </c>
    </row>
    <row r="125" spans="1:4" ht="15.9" customHeight="1" x14ac:dyDescent="0.25">
      <c r="A125" s="3" t="s">
        <v>1350</v>
      </c>
      <c r="B125" s="156">
        <v>3237</v>
      </c>
      <c r="C125" s="154" t="s">
        <v>8895</v>
      </c>
      <c r="D125" s="149" t="s">
        <v>9452</v>
      </c>
    </row>
    <row r="126" spans="1:4" ht="15.9" customHeight="1" x14ac:dyDescent="0.25">
      <c r="A126" s="3" t="s">
        <v>1350</v>
      </c>
      <c r="B126" s="156">
        <v>3238</v>
      </c>
      <c r="C126" s="154" t="s">
        <v>8896</v>
      </c>
      <c r="D126" s="149" t="s">
        <v>9452</v>
      </c>
    </row>
    <row r="127" spans="1:4" ht="15.9" customHeight="1" x14ac:dyDescent="0.25">
      <c r="A127" s="3" t="s">
        <v>1350</v>
      </c>
      <c r="B127" s="156">
        <v>7046</v>
      </c>
      <c r="C127" s="154" t="s">
        <v>9282</v>
      </c>
    </row>
    <row r="128" spans="1:4" ht="15.9" customHeight="1" x14ac:dyDescent="0.25">
      <c r="A128" s="3" t="s">
        <v>1350</v>
      </c>
      <c r="B128" s="156">
        <v>7047</v>
      </c>
      <c r="C128" s="154" t="s">
        <v>9283</v>
      </c>
    </row>
    <row r="129" spans="1:7" ht="15.9" customHeight="1" x14ac:dyDescent="0.25">
      <c r="A129" s="3" t="s">
        <v>1350</v>
      </c>
      <c r="B129" s="156">
        <v>7048</v>
      </c>
      <c r="C129" s="154" t="s">
        <v>9284</v>
      </c>
    </row>
    <row r="130" spans="1:7" ht="15.9" customHeight="1" x14ac:dyDescent="0.25">
      <c r="A130" s="3" t="s">
        <v>1350</v>
      </c>
      <c r="B130" s="156">
        <v>9181</v>
      </c>
      <c r="C130" s="154" t="s">
        <v>9394</v>
      </c>
      <c r="D130" s="149"/>
    </row>
    <row r="131" spans="1:7" ht="15.9" customHeight="1" x14ac:dyDescent="0.25">
      <c r="A131" s="3" t="s">
        <v>1350</v>
      </c>
      <c r="B131" s="156">
        <v>10060</v>
      </c>
      <c r="C131" s="154" t="s">
        <v>8770</v>
      </c>
    </row>
    <row r="132" spans="1:7" ht="15.9" customHeight="1" x14ac:dyDescent="0.25">
      <c r="A132" s="3" t="s">
        <v>1350</v>
      </c>
      <c r="B132" s="156">
        <v>10061</v>
      </c>
      <c r="C132" s="154" t="s">
        <v>8771</v>
      </c>
    </row>
    <row r="133" spans="1:7" ht="15.9" customHeight="1" x14ac:dyDescent="0.25">
      <c r="A133" s="3" t="s">
        <v>1350</v>
      </c>
      <c r="B133" s="156">
        <v>10064</v>
      </c>
      <c r="C133" s="154" t="s">
        <v>8772</v>
      </c>
    </row>
    <row r="134" spans="1:7" ht="15.9" customHeight="1" x14ac:dyDescent="0.25">
      <c r="A134" s="3" t="s">
        <v>1350</v>
      </c>
      <c r="B134" s="156">
        <v>10065</v>
      </c>
      <c r="C134" s="154" t="s">
        <v>8773</v>
      </c>
    </row>
    <row r="135" spans="1:7" ht="15.9" customHeight="1" x14ac:dyDescent="0.25">
      <c r="A135" s="3" t="s">
        <v>2073</v>
      </c>
      <c r="B135" s="156">
        <v>9176</v>
      </c>
      <c r="C135" s="154" t="s">
        <v>8313</v>
      </c>
    </row>
    <row r="136" spans="1:7" ht="15.9" customHeight="1" x14ac:dyDescent="0.25">
      <c r="A136" s="3" t="s">
        <v>2073</v>
      </c>
      <c r="B136" s="156"/>
    </row>
    <row r="137" spans="1:7" ht="15.9" customHeight="1" x14ac:dyDescent="0.25">
      <c r="A137" s="3" t="s">
        <v>1326</v>
      </c>
      <c r="B137" s="156">
        <v>81</v>
      </c>
      <c r="C137" s="154" t="s">
        <v>9333</v>
      </c>
    </row>
    <row r="138" spans="1:7" ht="15.9" customHeight="1" x14ac:dyDescent="0.25">
      <c r="A138" s="3" t="s">
        <v>1326</v>
      </c>
      <c r="B138" s="156">
        <v>243</v>
      </c>
      <c r="C138" s="154" t="s">
        <v>8873</v>
      </c>
    </row>
    <row r="139" spans="1:7" ht="15.9" customHeight="1" x14ac:dyDescent="0.25">
      <c r="A139" s="3" t="s">
        <v>1326</v>
      </c>
      <c r="B139" s="156" t="s">
        <v>9477</v>
      </c>
      <c r="C139" s="154" t="s">
        <v>9476</v>
      </c>
      <c r="D139" s="149" t="s">
        <v>9474</v>
      </c>
      <c r="E139" s="149" t="s">
        <v>9475</v>
      </c>
      <c r="F139" s="149" t="s">
        <v>9478</v>
      </c>
      <c r="G139" s="3" t="s">
        <v>9503</v>
      </c>
    </row>
    <row r="140" spans="1:7" ht="15.9" customHeight="1" x14ac:dyDescent="0.25">
      <c r="A140" s="3" t="s">
        <v>1326</v>
      </c>
      <c r="B140" s="156">
        <v>2029</v>
      </c>
      <c r="C140" s="154" t="s">
        <v>8855</v>
      </c>
    </row>
    <row r="141" spans="1:7" ht="15.9" customHeight="1" x14ac:dyDescent="0.25">
      <c r="A141" s="3" t="s">
        <v>1326</v>
      </c>
      <c r="B141" s="156">
        <v>3121</v>
      </c>
      <c r="C141" s="154" t="s">
        <v>8886</v>
      </c>
    </row>
    <row r="142" spans="1:7" ht="15.9" customHeight="1" x14ac:dyDescent="0.25">
      <c r="A142" s="3" t="s">
        <v>1326</v>
      </c>
      <c r="B142" s="156">
        <v>4011</v>
      </c>
      <c r="C142" s="154" t="s">
        <v>8927</v>
      </c>
    </row>
    <row r="143" spans="1:7" ht="15.9" customHeight="1" x14ac:dyDescent="0.25">
      <c r="A143" s="3" t="s">
        <v>1326</v>
      </c>
      <c r="B143" s="156">
        <v>4051</v>
      </c>
      <c r="C143" s="154" t="s">
        <v>8944</v>
      </c>
    </row>
    <row r="144" spans="1:7" ht="15.9" customHeight="1" x14ac:dyDescent="0.25">
      <c r="A144" s="3" t="s">
        <v>1326</v>
      </c>
      <c r="B144" s="156">
        <v>4051</v>
      </c>
      <c r="D144" s="149" t="s">
        <v>8548</v>
      </c>
    </row>
    <row r="145" spans="1:5" ht="15.9" customHeight="1" x14ac:dyDescent="0.25">
      <c r="A145" s="3" t="s">
        <v>1326</v>
      </c>
      <c r="B145" s="156">
        <v>4052</v>
      </c>
      <c r="C145" s="154" t="s">
        <v>8945</v>
      </c>
    </row>
    <row r="146" spans="1:5" ht="15.9" customHeight="1" x14ac:dyDescent="0.25">
      <c r="A146" s="3" t="s">
        <v>1326</v>
      </c>
      <c r="B146" s="156">
        <v>4057</v>
      </c>
      <c r="C146" s="154" t="s">
        <v>8950</v>
      </c>
    </row>
    <row r="147" spans="1:5" ht="15.9" customHeight="1" x14ac:dyDescent="0.25">
      <c r="A147" s="3" t="s">
        <v>1326</v>
      </c>
      <c r="B147" s="156">
        <v>4099</v>
      </c>
      <c r="C147" s="154" t="s">
        <v>8975</v>
      </c>
    </row>
    <row r="148" spans="1:5" ht="15.9" customHeight="1" x14ac:dyDescent="0.25">
      <c r="A148" s="3" t="s">
        <v>1326</v>
      </c>
      <c r="B148" s="156">
        <v>4395</v>
      </c>
      <c r="C148" s="154" t="s">
        <v>9090</v>
      </c>
    </row>
    <row r="149" spans="1:5" ht="15.9" customHeight="1" x14ac:dyDescent="0.25">
      <c r="A149" s="3" t="s">
        <v>1326</v>
      </c>
      <c r="B149" s="156">
        <v>4402</v>
      </c>
      <c r="C149" s="154" t="s">
        <v>9091</v>
      </c>
    </row>
    <row r="150" spans="1:5" ht="15.9" customHeight="1" x14ac:dyDescent="0.25">
      <c r="A150" s="3" t="s">
        <v>1326</v>
      </c>
      <c r="B150" s="156">
        <v>6221</v>
      </c>
      <c r="C150" s="154" t="s">
        <v>9259</v>
      </c>
    </row>
    <row r="151" spans="1:5" ht="15.9" customHeight="1" x14ac:dyDescent="0.25">
      <c r="A151" s="3" t="s">
        <v>1326</v>
      </c>
      <c r="B151" s="156">
        <v>9177</v>
      </c>
      <c r="C151" s="154" t="s">
        <v>9391</v>
      </c>
      <c r="D151" s="149" t="s">
        <v>9519</v>
      </c>
      <c r="E151" s="149" t="s">
        <v>9520</v>
      </c>
    </row>
    <row r="152" spans="1:5" ht="15.9" customHeight="1" x14ac:dyDescent="0.25">
      <c r="A152" s="3" t="s">
        <v>1326</v>
      </c>
      <c r="B152" s="156" t="s">
        <v>2087</v>
      </c>
      <c r="C152" s="154" t="s">
        <v>8887</v>
      </c>
    </row>
    <row r="153" spans="1:5" ht="15.9" customHeight="1" x14ac:dyDescent="0.25">
      <c r="A153" s="3" t="s">
        <v>1326</v>
      </c>
      <c r="B153" s="156"/>
    </row>
    <row r="154" spans="1:5" ht="15.9" customHeight="1" x14ac:dyDescent="0.25">
      <c r="A154" s="3" t="s">
        <v>1531</v>
      </c>
      <c r="B154" s="156">
        <v>1041</v>
      </c>
      <c r="C154" s="154" t="s">
        <v>8780</v>
      </c>
      <c r="D154" s="149" t="s">
        <v>9494</v>
      </c>
    </row>
    <row r="155" spans="1:5" ht="15.9" customHeight="1" x14ac:dyDescent="0.25">
      <c r="A155" s="3" t="s">
        <v>1531</v>
      </c>
      <c r="B155" s="156"/>
    </row>
    <row r="156" spans="1:5" ht="15.9" customHeight="1" x14ac:dyDescent="0.25">
      <c r="A156" s="3" t="s">
        <v>1375</v>
      </c>
      <c r="B156" s="156">
        <v>175</v>
      </c>
      <c r="C156" s="154" t="s">
        <v>8826</v>
      </c>
    </row>
    <row r="157" spans="1:5" ht="15.9" customHeight="1" x14ac:dyDescent="0.25">
      <c r="A157" s="3" t="s">
        <v>1375</v>
      </c>
      <c r="B157" s="156"/>
    </row>
    <row r="158" spans="1:5" ht="15.9" customHeight="1" x14ac:dyDescent="0.25">
      <c r="A158" s="3" t="s">
        <v>1294</v>
      </c>
      <c r="B158" s="156">
        <v>37</v>
      </c>
      <c r="C158" s="154" t="s">
        <v>8909</v>
      </c>
    </row>
    <row r="159" spans="1:5" ht="15.9" customHeight="1" x14ac:dyDescent="0.25">
      <c r="A159" s="3" t="s">
        <v>1294</v>
      </c>
      <c r="B159" s="156">
        <v>93</v>
      </c>
      <c r="C159" s="154" t="s">
        <v>9428</v>
      </c>
    </row>
    <row r="160" spans="1:5" ht="15.9" customHeight="1" x14ac:dyDescent="0.25">
      <c r="A160" s="3" t="s">
        <v>1294</v>
      </c>
      <c r="B160" s="156">
        <v>94</v>
      </c>
      <c r="C160" s="154" t="s">
        <v>9428</v>
      </c>
    </row>
    <row r="161" spans="1:4" ht="15.9" customHeight="1" x14ac:dyDescent="0.25">
      <c r="A161" s="3" t="s">
        <v>1294</v>
      </c>
      <c r="B161" s="156">
        <v>96</v>
      </c>
      <c r="C161" s="154" t="s">
        <v>9431</v>
      </c>
      <c r="D161" s="149" t="s">
        <v>9467</v>
      </c>
    </row>
    <row r="162" spans="1:4" ht="15.9" customHeight="1" x14ac:dyDescent="0.25">
      <c r="A162" s="3" t="s">
        <v>1294</v>
      </c>
      <c r="B162" s="156">
        <v>98</v>
      </c>
      <c r="C162" s="154" t="s">
        <v>9433</v>
      </c>
      <c r="D162" s="149" t="s">
        <v>9467</v>
      </c>
    </row>
    <row r="163" spans="1:4" ht="15.9" customHeight="1" x14ac:dyDescent="0.25">
      <c r="A163" s="3" t="s">
        <v>1294</v>
      </c>
      <c r="B163" s="156">
        <v>110</v>
      </c>
      <c r="C163" s="154" t="s">
        <v>8789</v>
      </c>
    </row>
    <row r="164" spans="1:4" ht="15.9" customHeight="1" x14ac:dyDescent="0.25">
      <c r="A164" s="3" t="s">
        <v>1294</v>
      </c>
      <c r="B164" s="156">
        <v>111</v>
      </c>
      <c r="C164" s="154" t="s">
        <v>8790</v>
      </c>
    </row>
    <row r="165" spans="1:4" ht="15.9" customHeight="1" x14ac:dyDescent="0.25">
      <c r="A165" s="3" t="s">
        <v>1294</v>
      </c>
      <c r="B165" s="156">
        <v>155</v>
      </c>
      <c r="C165" s="154" t="s">
        <v>8820</v>
      </c>
    </row>
    <row r="166" spans="1:4" ht="15.9" customHeight="1" x14ac:dyDescent="0.25">
      <c r="A166" s="3" t="s">
        <v>1294</v>
      </c>
      <c r="B166" s="156">
        <v>389</v>
      </c>
      <c r="C166" s="154" t="s">
        <v>8915</v>
      </c>
    </row>
    <row r="167" spans="1:4" ht="15.9" customHeight="1" x14ac:dyDescent="0.25">
      <c r="A167" s="3" t="s">
        <v>1294</v>
      </c>
      <c r="B167" s="156">
        <v>393</v>
      </c>
      <c r="C167" s="154" t="s">
        <v>8918</v>
      </c>
      <c r="D167" s="149" t="s">
        <v>9464</v>
      </c>
    </row>
    <row r="168" spans="1:4" ht="15.9" customHeight="1" x14ac:dyDescent="0.25">
      <c r="A168" s="3" t="s">
        <v>1294</v>
      </c>
      <c r="B168" s="156">
        <v>395</v>
      </c>
      <c r="C168" s="154" t="s">
        <v>8919</v>
      </c>
    </row>
    <row r="169" spans="1:4" ht="15.9" customHeight="1" x14ac:dyDescent="0.25">
      <c r="A169" s="3" t="s">
        <v>1294</v>
      </c>
      <c r="B169" s="156">
        <v>403</v>
      </c>
      <c r="C169" s="154" t="s">
        <v>8934</v>
      </c>
      <c r="D169" s="149" t="s">
        <v>9464</v>
      </c>
    </row>
    <row r="170" spans="1:4" ht="15.9" customHeight="1" x14ac:dyDescent="0.25">
      <c r="A170" s="3" t="s">
        <v>1294</v>
      </c>
      <c r="B170" s="156">
        <v>405</v>
      </c>
      <c r="C170" s="154" t="s">
        <v>8943</v>
      </c>
    </row>
    <row r="171" spans="1:4" ht="15.9" customHeight="1" x14ac:dyDescent="0.25">
      <c r="A171" s="3" t="s">
        <v>1294</v>
      </c>
      <c r="B171" s="156">
        <v>417</v>
      </c>
      <c r="C171" s="154" t="s">
        <v>9011</v>
      </c>
    </row>
    <row r="172" spans="1:4" ht="15.9" customHeight="1" x14ac:dyDescent="0.25">
      <c r="A172" s="3" t="s">
        <v>1294</v>
      </c>
      <c r="B172" s="156">
        <v>422</v>
      </c>
      <c r="C172" s="154" t="s">
        <v>9022</v>
      </c>
      <c r="D172" s="149" t="s">
        <v>9460</v>
      </c>
    </row>
    <row r="173" spans="1:4" ht="15.9" customHeight="1" x14ac:dyDescent="0.25">
      <c r="A173" s="3" t="s">
        <v>1294</v>
      </c>
      <c r="B173" s="156">
        <v>793</v>
      </c>
      <c r="C173" s="154" t="s">
        <v>9327</v>
      </c>
    </row>
    <row r="174" spans="1:4" ht="15.9" customHeight="1" x14ac:dyDescent="0.25">
      <c r="A174" s="3" t="s">
        <v>1294</v>
      </c>
      <c r="B174" s="156">
        <v>794</v>
      </c>
      <c r="C174" s="154" t="s">
        <v>9328</v>
      </c>
    </row>
    <row r="175" spans="1:4" ht="15.9" customHeight="1" x14ac:dyDescent="0.25">
      <c r="A175" s="3" t="s">
        <v>1294</v>
      </c>
      <c r="B175" s="156">
        <v>795</v>
      </c>
      <c r="C175" s="154" t="s">
        <v>9329</v>
      </c>
    </row>
    <row r="176" spans="1:4" ht="15.9" customHeight="1" x14ac:dyDescent="0.25">
      <c r="A176" s="3" t="s">
        <v>1294</v>
      </c>
      <c r="B176" s="156">
        <v>1068</v>
      </c>
      <c r="C176" s="154" t="s">
        <v>8784</v>
      </c>
    </row>
    <row r="177" spans="1:4" ht="15.9" customHeight="1" x14ac:dyDescent="0.25">
      <c r="A177" s="3" t="s">
        <v>1294</v>
      </c>
      <c r="B177" s="156">
        <v>1157</v>
      </c>
      <c r="C177" s="154" t="s">
        <v>8795</v>
      </c>
      <c r="D177" s="149" t="s">
        <v>9464</v>
      </c>
    </row>
    <row r="178" spans="1:4" ht="15.9" customHeight="1" x14ac:dyDescent="0.25">
      <c r="A178" s="3" t="s">
        <v>1294</v>
      </c>
      <c r="B178" s="156">
        <v>1158</v>
      </c>
      <c r="C178" s="154" t="s">
        <v>8796</v>
      </c>
      <c r="D178" s="149" t="s">
        <v>9464</v>
      </c>
    </row>
    <row r="179" spans="1:4" ht="15.9" customHeight="1" x14ac:dyDescent="0.25">
      <c r="A179" s="3" t="s">
        <v>1294</v>
      </c>
      <c r="B179" s="156">
        <v>4129</v>
      </c>
      <c r="C179" s="154" t="s">
        <v>8309</v>
      </c>
    </row>
    <row r="180" spans="1:4" ht="15.9" customHeight="1" x14ac:dyDescent="0.25">
      <c r="A180" s="3" t="s">
        <v>1294</v>
      </c>
      <c r="B180" s="156">
        <v>4147</v>
      </c>
      <c r="C180" s="154" t="s">
        <v>8311</v>
      </c>
    </row>
    <row r="181" spans="1:4" ht="15.9" customHeight="1" x14ac:dyDescent="0.25">
      <c r="A181" s="3" t="s">
        <v>1294</v>
      </c>
      <c r="B181" s="156">
        <v>4488</v>
      </c>
      <c r="C181" s="154" t="s">
        <v>9092</v>
      </c>
    </row>
    <row r="182" spans="1:4" ht="15.9" customHeight="1" x14ac:dyDescent="0.25">
      <c r="A182" s="3" t="s">
        <v>1294</v>
      </c>
      <c r="B182" s="156">
        <v>4500</v>
      </c>
      <c r="C182" s="154" t="s">
        <v>9106</v>
      </c>
    </row>
    <row r="183" spans="1:4" ht="15.9" customHeight="1" x14ac:dyDescent="0.25">
      <c r="A183" s="3" t="s">
        <v>1294</v>
      </c>
      <c r="B183" s="156">
        <v>4510</v>
      </c>
      <c r="C183" s="154" t="s">
        <v>9111</v>
      </c>
    </row>
    <row r="184" spans="1:4" ht="15.9" customHeight="1" x14ac:dyDescent="0.25">
      <c r="A184" s="3" t="s">
        <v>1294</v>
      </c>
      <c r="B184" s="156">
        <v>4511</v>
      </c>
      <c r="C184" s="154" t="s">
        <v>9112</v>
      </c>
    </row>
    <row r="185" spans="1:4" ht="15.9" customHeight="1" x14ac:dyDescent="0.25">
      <c r="A185" s="3" t="s">
        <v>1294</v>
      </c>
      <c r="B185" s="156">
        <v>4512</v>
      </c>
      <c r="C185" s="154" t="s">
        <v>9113</v>
      </c>
    </row>
    <row r="186" spans="1:4" ht="15.9" customHeight="1" x14ac:dyDescent="0.25">
      <c r="A186" s="3" t="s">
        <v>1294</v>
      </c>
      <c r="B186" s="156">
        <v>4528</v>
      </c>
      <c r="C186" s="154" t="s">
        <v>9117</v>
      </c>
    </row>
    <row r="187" spans="1:4" ht="15.9" customHeight="1" x14ac:dyDescent="0.25">
      <c r="A187" s="3" t="s">
        <v>1294</v>
      </c>
      <c r="B187" s="156">
        <v>4529</v>
      </c>
      <c r="C187" s="154" t="s">
        <v>9118</v>
      </c>
    </row>
    <row r="188" spans="1:4" ht="15.9" customHeight="1" x14ac:dyDescent="0.25">
      <c r="A188" s="3" t="s">
        <v>1294</v>
      </c>
      <c r="B188" s="156">
        <v>4533</v>
      </c>
      <c r="C188" s="154" t="s">
        <v>9120</v>
      </c>
    </row>
    <row r="189" spans="1:4" ht="15.9" customHeight="1" x14ac:dyDescent="0.25">
      <c r="A189" s="3" t="s">
        <v>1294</v>
      </c>
      <c r="B189" s="156">
        <v>4566</v>
      </c>
      <c r="C189" s="154" t="s">
        <v>9131</v>
      </c>
    </row>
    <row r="190" spans="1:4" ht="15.9" customHeight="1" x14ac:dyDescent="0.25">
      <c r="A190" s="3" t="s">
        <v>1294</v>
      </c>
      <c r="B190" s="156">
        <v>5355</v>
      </c>
      <c r="C190" s="154" t="s">
        <v>9166</v>
      </c>
    </row>
    <row r="191" spans="1:4" ht="15.9" customHeight="1" x14ac:dyDescent="0.25">
      <c r="A191" s="3" t="s">
        <v>1294</v>
      </c>
      <c r="B191" s="156">
        <v>6000</v>
      </c>
      <c r="C191" s="154" t="s">
        <v>9174</v>
      </c>
    </row>
    <row r="192" spans="1:4" ht="15.9" customHeight="1" x14ac:dyDescent="0.25">
      <c r="A192" s="3" t="s">
        <v>1294</v>
      </c>
      <c r="B192" s="156">
        <v>6011</v>
      </c>
      <c r="C192" s="154" t="s">
        <v>9175</v>
      </c>
    </row>
    <row r="193" spans="1:3" ht="15.9" customHeight="1" x14ac:dyDescent="0.25">
      <c r="A193" s="3" t="s">
        <v>1294</v>
      </c>
      <c r="B193" s="156">
        <v>6013</v>
      </c>
      <c r="C193" s="154" t="s">
        <v>9176</v>
      </c>
    </row>
    <row r="194" spans="1:3" ht="15.9" customHeight="1" x14ac:dyDescent="0.25">
      <c r="A194" s="3" t="s">
        <v>1294</v>
      </c>
      <c r="B194" s="156">
        <v>6160</v>
      </c>
      <c r="C194" s="154" t="s">
        <v>9242</v>
      </c>
    </row>
    <row r="195" spans="1:3" ht="15.9" customHeight="1" x14ac:dyDescent="0.25">
      <c r="A195" s="3" t="s">
        <v>1294</v>
      </c>
      <c r="B195" s="156">
        <v>6161</v>
      </c>
      <c r="C195" s="154" t="s">
        <v>9243</v>
      </c>
    </row>
    <row r="196" spans="1:3" ht="15.9" customHeight="1" x14ac:dyDescent="0.25">
      <c r="A196" s="3" t="s">
        <v>1294</v>
      </c>
      <c r="B196" s="156">
        <v>6162</v>
      </c>
      <c r="C196" s="154" t="s">
        <v>9244</v>
      </c>
    </row>
    <row r="197" spans="1:3" ht="15.9" customHeight="1" x14ac:dyDescent="0.25">
      <c r="A197" s="3" t="s">
        <v>1294</v>
      </c>
      <c r="B197" s="156">
        <v>6163</v>
      </c>
      <c r="C197" s="154" t="s">
        <v>9245</v>
      </c>
    </row>
    <row r="198" spans="1:3" ht="15.9" customHeight="1" x14ac:dyDescent="0.25">
      <c r="A198" s="3" t="s">
        <v>1294</v>
      </c>
      <c r="B198" s="156">
        <v>7065</v>
      </c>
      <c r="C198" s="154" t="s">
        <v>9299</v>
      </c>
    </row>
    <row r="199" spans="1:3" ht="15.9" customHeight="1" x14ac:dyDescent="0.25">
      <c r="A199" s="3" t="s">
        <v>1294</v>
      </c>
      <c r="B199" s="156">
        <v>9164</v>
      </c>
      <c r="C199" s="154" t="s">
        <v>8314</v>
      </c>
    </row>
    <row r="200" spans="1:3" ht="15.9" customHeight="1" x14ac:dyDescent="0.25">
      <c r="A200" s="3" t="s">
        <v>1294</v>
      </c>
      <c r="B200" s="156">
        <v>9165</v>
      </c>
      <c r="C200" s="154" t="s">
        <v>9387</v>
      </c>
    </row>
    <row r="201" spans="1:3" ht="15.9" customHeight="1" x14ac:dyDescent="0.25">
      <c r="A201" s="3" t="s">
        <v>1294</v>
      </c>
      <c r="B201" s="156">
        <v>9197</v>
      </c>
      <c r="C201" s="154" t="s">
        <v>9404</v>
      </c>
    </row>
    <row r="202" spans="1:3" ht="15.9" customHeight="1" x14ac:dyDescent="0.25">
      <c r="A202" s="3" t="s">
        <v>1294</v>
      </c>
      <c r="B202" s="156"/>
    </row>
    <row r="203" spans="1:3" ht="15.9" customHeight="1" x14ac:dyDescent="0.25">
      <c r="A203" s="3" t="s">
        <v>1322</v>
      </c>
      <c r="B203" s="156">
        <v>80</v>
      </c>
      <c r="C203" s="154" t="s">
        <v>9332</v>
      </c>
    </row>
    <row r="204" spans="1:3" ht="15.9" customHeight="1" x14ac:dyDescent="0.25">
      <c r="A204" s="3" t="s">
        <v>1322</v>
      </c>
      <c r="B204" s="156">
        <v>95</v>
      </c>
      <c r="C204" s="154" t="s">
        <v>9430</v>
      </c>
    </row>
    <row r="205" spans="1:3" ht="15.9" customHeight="1" x14ac:dyDescent="0.25">
      <c r="A205" s="3" t="s">
        <v>1322</v>
      </c>
      <c r="B205" s="156">
        <v>224</v>
      </c>
      <c r="C205" s="154" t="s">
        <v>8870</v>
      </c>
    </row>
    <row r="206" spans="1:3" ht="15.9" customHeight="1" x14ac:dyDescent="0.25">
      <c r="A206" s="3" t="s">
        <v>1322</v>
      </c>
      <c r="B206" s="156">
        <v>1011</v>
      </c>
      <c r="C206" s="154" t="s">
        <v>8775</v>
      </c>
    </row>
    <row r="207" spans="1:3" ht="15.9" customHeight="1" x14ac:dyDescent="0.25">
      <c r="A207" s="3" t="s">
        <v>1322</v>
      </c>
      <c r="B207" s="156" t="s">
        <v>8561</v>
      </c>
      <c r="C207" s="154" t="s">
        <v>9429</v>
      </c>
    </row>
    <row r="208" spans="1:3" ht="15.9" customHeight="1" x14ac:dyDescent="0.25">
      <c r="A208" s="3" t="s">
        <v>1322</v>
      </c>
      <c r="B208" s="156"/>
    </row>
    <row r="209" spans="1:4" ht="15.9" customHeight="1" x14ac:dyDescent="0.25">
      <c r="A209" s="3" t="s">
        <v>1378</v>
      </c>
      <c r="B209" s="156">
        <v>198</v>
      </c>
      <c r="C209" s="154" t="s">
        <v>8827</v>
      </c>
    </row>
    <row r="210" spans="1:4" ht="15.9" customHeight="1" x14ac:dyDescent="0.25">
      <c r="A210" s="3" t="s">
        <v>1378</v>
      </c>
      <c r="B210" s="156">
        <v>199</v>
      </c>
      <c r="C210" s="154" t="s">
        <v>8828</v>
      </c>
    </row>
    <row r="211" spans="1:4" ht="15.9" customHeight="1" x14ac:dyDescent="0.25">
      <c r="A211" s="3" t="s">
        <v>1378</v>
      </c>
      <c r="B211" s="156">
        <v>517</v>
      </c>
      <c r="C211" s="154" t="s">
        <v>9153</v>
      </c>
      <c r="D211" s="149" t="s">
        <v>9468</v>
      </c>
    </row>
    <row r="212" spans="1:4" ht="15.9" customHeight="1" x14ac:dyDescent="0.25">
      <c r="A212" s="3" t="s">
        <v>1378</v>
      </c>
      <c r="B212" s="156">
        <v>518</v>
      </c>
      <c r="C212" s="154" t="s">
        <v>9154</v>
      </c>
      <c r="D212" s="149" t="s">
        <v>9468</v>
      </c>
    </row>
    <row r="213" spans="1:4" ht="15.9" customHeight="1" x14ac:dyDescent="0.25">
      <c r="A213" s="3" t="s">
        <v>1378</v>
      </c>
      <c r="B213" s="156">
        <v>782</v>
      </c>
      <c r="C213" s="154" t="s">
        <v>9319</v>
      </c>
    </row>
    <row r="214" spans="1:4" ht="15.9" customHeight="1" x14ac:dyDescent="0.25">
      <c r="A214" s="3" t="s">
        <v>1378</v>
      </c>
      <c r="B214" s="156">
        <v>783</v>
      </c>
      <c r="C214" s="154" t="s">
        <v>9320</v>
      </c>
    </row>
    <row r="215" spans="1:4" ht="15.9" customHeight="1" x14ac:dyDescent="0.25">
      <c r="A215" s="3" t="s">
        <v>1378</v>
      </c>
      <c r="B215" s="156">
        <v>788</v>
      </c>
      <c r="C215" s="154" t="s">
        <v>9323</v>
      </c>
    </row>
    <row r="216" spans="1:4" ht="15.9" customHeight="1" x14ac:dyDescent="0.25">
      <c r="A216" s="3" t="s">
        <v>1378</v>
      </c>
      <c r="B216" s="156">
        <v>789</v>
      </c>
      <c r="C216" s="154" t="s">
        <v>9324</v>
      </c>
    </row>
    <row r="217" spans="1:4" ht="15.9" customHeight="1" x14ac:dyDescent="0.25">
      <c r="A217" s="3" t="s">
        <v>1378</v>
      </c>
      <c r="B217" s="156">
        <v>1020</v>
      </c>
      <c r="C217" s="154" t="s">
        <v>8778</v>
      </c>
    </row>
    <row r="218" spans="1:4" ht="15.9" customHeight="1" x14ac:dyDescent="0.25">
      <c r="A218" s="3" t="s">
        <v>1378</v>
      </c>
      <c r="B218" s="156">
        <v>4034</v>
      </c>
      <c r="C218" s="154" t="s">
        <v>8939</v>
      </c>
      <c r="D218" s="149" t="s">
        <v>9472</v>
      </c>
    </row>
    <row r="219" spans="1:4" ht="15.9" customHeight="1" x14ac:dyDescent="0.25">
      <c r="A219" s="3" t="s">
        <v>1378</v>
      </c>
      <c r="B219" s="156">
        <v>4086</v>
      </c>
      <c r="C219" s="154" t="s">
        <v>8970</v>
      </c>
    </row>
    <row r="220" spans="1:4" ht="15.9" customHeight="1" x14ac:dyDescent="0.25">
      <c r="A220" s="3" t="s">
        <v>1378</v>
      </c>
      <c r="B220" s="156">
        <v>4161</v>
      </c>
      <c r="C220" s="154" t="s">
        <v>9002</v>
      </c>
    </row>
    <row r="221" spans="1:4" ht="15.9" customHeight="1" x14ac:dyDescent="0.25">
      <c r="A221" s="3" t="s">
        <v>1378</v>
      </c>
      <c r="B221" s="156">
        <v>4169</v>
      </c>
      <c r="C221" s="154" t="s">
        <v>9010</v>
      </c>
    </row>
    <row r="222" spans="1:4" ht="15.9" customHeight="1" x14ac:dyDescent="0.25">
      <c r="A222" s="3" t="s">
        <v>1378</v>
      </c>
      <c r="B222" s="156">
        <v>4188</v>
      </c>
      <c r="C222" s="154" t="s">
        <v>9016</v>
      </c>
    </row>
    <row r="223" spans="1:4" ht="15.9" customHeight="1" x14ac:dyDescent="0.25">
      <c r="A223" s="3" t="s">
        <v>1378</v>
      </c>
      <c r="B223" s="156">
        <v>4189</v>
      </c>
      <c r="C223" s="154" t="s">
        <v>9017</v>
      </c>
    </row>
    <row r="224" spans="1:4" ht="15.9" customHeight="1" x14ac:dyDescent="0.25">
      <c r="A224" s="3" t="s">
        <v>1378</v>
      </c>
      <c r="B224" s="156">
        <v>4190</v>
      </c>
      <c r="C224" s="154" t="s">
        <v>9017</v>
      </c>
    </row>
    <row r="225" spans="1:4" ht="15.9" customHeight="1" x14ac:dyDescent="0.25">
      <c r="A225" s="3" t="s">
        <v>1378</v>
      </c>
      <c r="B225" s="156">
        <v>4191</v>
      </c>
      <c r="C225" s="154" t="s">
        <v>9019</v>
      </c>
    </row>
    <row r="226" spans="1:4" ht="15.9" customHeight="1" x14ac:dyDescent="0.25">
      <c r="A226" s="3" t="s">
        <v>1378</v>
      </c>
      <c r="B226" s="156">
        <v>4273</v>
      </c>
      <c r="C226" s="154" t="s">
        <v>9036</v>
      </c>
      <c r="D226" s="149" t="s">
        <v>9471</v>
      </c>
    </row>
    <row r="227" spans="1:4" ht="15.9" customHeight="1" x14ac:dyDescent="0.25">
      <c r="A227" s="3" t="s">
        <v>1378</v>
      </c>
      <c r="B227" s="156">
        <v>4293</v>
      </c>
      <c r="C227" s="154" t="s">
        <v>9052</v>
      </c>
    </row>
    <row r="228" spans="1:4" ht="15.9" customHeight="1" x14ac:dyDescent="0.25">
      <c r="A228" s="3" t="s">
        <v>1378</v>
      </c>
      <c r="B228" s="156">
        <v>4515</v>
      </c>
      <c r="C228" s="154" t="s">
        <v>9470</v>
      </c>
      <c r="D228" s="149" t="s">
        <v>9469</v>
      </c>
    </row>
    <row r="229" spans="1:4" ht="15.9" customHeight="1" x14ac:dyDescent="0.25">
      <c r="A229" s="3" t="s">
        <v>1378</v>
      </c>
      <c r="B229" s="156">
        <v>4516</v>
      </c>
      <c r="C229" s="154" t="s">
        <v>9116</v>
      </c>
      <c r="D229" s="149" t="s">
        <v>9468</v>
      </c>
    </row>
    <row r="230" spans="1:4" ht="15.9" customHeight="1" x14ac:dyDescent="0.25">
      <c r="A230" s="3" t="s">
        <v>1378</v>
      </c>
      <c r="B230" s="156">
        <v>10002</v>
      </c>
      <c r="C230" s="154" t="s">
        <v>8735</v>
      </c>
      <c r="D230" s="149" t="s">
        <v>9473</v>
      </c>
    </row>
    <row r="231" spans="1:4" ht="15.9" customHeight="1" x14ac:dyDescent="0.25">
      <c r="A231" s="3" t="s">
        <v>1378</v>
      </c>
      <c r="B231" s="156">
        <v>10003</v>
      </c>
      <c r="C231" s="154" t="s">
        <v>8736</v>
      </c>
    </row>
    <row r="232" spans="1:4" ht="15.9" customHeight="1" x14ac:dyDescent="0.25">
      <c r="A232" s="3" t="s">
        <v>1378</v>
      </c>
      <c r="B232" s="156">
        <v>10008</v>
      </c>
      <c r="C232" s="154" t="s">
        <v>8741</v>
      </c>
    </row>
    <row r="233" spans="1:4" ht="15.9" customHeight="1" x14ac:dyDescent="0.25">
      <c r="A233" s="3" t="s">
        <v>1378</v>
      </c>
      <c r="B233" s="156">
        <v>10009</v>
      </c>
      <c r="C233" s="154" t="s">
        <v>8742</v>
      </c>
    </row>
    <row r="234" spans="1:4" ht="15.9" customHeight="1" x14ac:dyDescent="0.25">
      <c r="A234" s="3" t="s">
        <v>1378</v>
      </c>
      <c r="B234" s="156">
        <v>10010</v>
      </c>
      <c r="C234" s="154" t="s">
        <v>8743</v>
      </c>
    </row>
    <row r="235" spans="1:4" ht="15.9" customHeight="1" x14ac:dyDescent="0.25">
      <c r="A235" s="3" t="s">
        <v>1378</v>
      </c>
      <c r="B235" s="156">
        <v>10011</v>
      </c>
      <c r="C235" s="154" t="s">
        <v>8744</v>
      </c>
    </row>
    <row r="236" spans="1:4" ht="15.9" customHeight="1" x14ac:dyDescent="0.25">
      <c r="A236" s="3" t="s">
        <v>1378</v>
      </c>
      <c r="B236" s="156">
        <v>10012</v>
      </c>
      <c r="C236" s="154" t="s">
        <v>8745</v>
      </c>
    </row>
    <row r="237" spans="1:4" ht="15.9" customHeight="1" x14ac:dyDescent="0.25">
      <c r="A237" s="3" t="s">
        <v>1378</v>
      </c>
      <c r="B237" s="156">
        <v>10013</v>
      </c>
      <c r="C237" s="154" t="s">
        <v>8746</v>
      </c>
    </row>
    <row r="238" spans="1:4" ht="15.9" customHeight="1" x14ac:dyDescent="0.25">
      <c r="A238" s="3" t="s">
        <v>1378</v>
      </c>
      <c r="B238" s="156">
        <v>10014</v>
      </c>
      <c r="C238" s="154" t="s">
        <v>8747</v>
      </c>
    </row>
    <row r="239" spans="1:4" ht="15.9" customHeight="1" x14ac:dyDescent="0.25">
      <c r="A239" s="3" t="s">
        <v>1378</v>
      </c>
      <c r="B239" s="156">
        <v>10015</v>
      </c>
      <c r="C239" s="154" t="s">
        <v>8748</v>
      </c>
    </row>
    <row r="240" spans="1:4" ht="15.9" customHeight="1" x14ac:dyDescent="0.25">
      <c r="A240" s="3" t="s">
        <v>1378</v>
      </c>
      <c r="B240" s="156">
        <v>10016</v>
      </c>
      <c r="C240" s="154" t="s">
        <v>8749</v>
      </c>
    </row>
    <row r="241" spans="1:4" ht="15.9" customHeight="1" x14ac:dyDescent="0.25">
      <c r="A241" s="3" t="s">
        <v>1378</v>
      </c>
      <c r="B241" s="156">
        <v>10017</v>
      </c>
      <c r="C241" s="154" t="s">
        <v>8750</v>
      </c>
      <c r="D241" s="149" t="s">
        <v>9469</v>
      </c>
    </row>
    <row r="242" spans="1:4" ht="15.9" customHeight="1" x14ac:dyDescent="0.25">
      <c r="A242" s="3" t="s">
        <v>1378</v>
      </c>
      <c r="B242" s="156">
        <v>10018</v>
      </c>
      <c r="C242" s="154" t="s">
        <v>8751</v>
      </c>
      <c r="D242" s="149" t="s">
        <v>9469</v>
      </c>
    </row>
    <row r="243" spans="1:4" ht="15.9" customHeight="1" x14ac:dyDescent="0.25">
      <c r="A243" s="3" t="s">
        <v>1378</v>
      </c>
      <c r="B243" s="156">
        <v>10019</v>
      </c>
      <c r="C243" s="154" t="s">
        <v>8752</v>
      </c>
      <c r="D243" s="149" t="s">
        <v>9469</v>
      </c>
    </row>
    <row r="244" spans="1:4" ht="15.9" customHeight="1" x14ac:dyDescent="0.25">
      <c r="A244" s="3" t="s">
        <v>1378</v>
      </c>
      <c r="B244" s="156">
        <v>10020</v>
      </c>
      <c r="C244" s="154" t="s">
        <v>8753</v>
      </c>
    </row>
    <row r="245" spans="1:4" ht="15.9" customHeight="1" x14ac:dyDescent="0.25">
      <c r="A245" s="3" t="s">
        <v>1378</v>
      </c>
      <c r="B245" s="156">
        <v>10021</v>
      </c>
      <c r="C245" s="154" t="s">
        <v>8753</v>
      </c>
    </row>
    <row r="246" spans="1:4" ht="15.9" customHeight="1" x14ac:dyDescent="0.25">
      <c r="A246" s="3" t="s">
        <v>1378</v>
      </c>
      <c r="B246" s="156">
        <v>10022</v>
      </c>
      <c r="C246" s="154" t="s">
        <v>8753</v>
      </c>
    </row>
    <row r="247" spans="1:4" ht="15.9" customHeight="1" x14ac:dyDescent="0.25">
      <c r="A247" s="3" t="s">
        <v>1378</v>
      </c>
      <c r="B247" s="156">
        <v>10023</v>
      </c>
      <c r="C247" s="154" t="s">
        <v>8753</v>
      </c>
    </row>
    <row r="248" spans="1:4" ht="15.9" customHeight="1" x14ac:dyDescent="0.25">
      <c r="A248" s="3" t="s">
        <v>1378</v>
      </c>
      <c r="B248" s="156">
        <v>10024</v>
      </c>
      <c r="C248" s="154" t="s">
        <v>8753</v>
      </c>
    </row>
    <row r="249" spans="1:4" ht="15.9" customHeight="1" x14ac:dyDescent="0.25">
      <c r="A249" s="3" t="s">
        <v>1378</v>
      </c>
      <c r="B249" s="156">
        <v>10025</v>
      </c>
      <c r="C249" s="154" t="s">
        <v>8753</v>
      </c>
    </row>
    <row r="250" spans="1:4" ht="15.9" customHeight="1" x14ac:dyDescent="0.25">
      <c r="A250" s="3" t="s">
        <v>1378</v>
      </c>
      <c r="B250" s="156">
        <v>10026</v>
      </c>
      <c r="C250" s="154" t="s">
        <v>8753</v>
      </c>
    </row>
    <row r="251" spans="1:4" ht="15.9" customHeight="1" x14ac:dyDescent="0.25">
      <c r="A251" s="3" t="s">
        <v>1378</v>
      </c>
      <c r="B251" s="156">
        <v>10027</v>
      </c>
      <c r="C251" s="154" t="s">
        <v>8754</v>
      </c>
    </row>
    <row r="252" spans="1:4" ht="15.9" customHeight="1" x14ac:dyDescent="0.25">
      <c r="A252" s="3" t="s">
        <v>1378</v>
      </c>
      <c r="B252" s="156">
        <v>10029</v>
      </c>
      <c r="C252" s="154" t="s">
        <v>8756</v>
      </c>
    </row>
    <row r="253" spans="1:4" ht="15.9" customHeight="1" x14ac:dyDescent="0.25">
      <c r="A253" s="3" t="s">
        <v>1378</v>
      </c>
      <c r="B253" s="156">
        <v>10030</v>
      </c>
      <c r="C253" s="154" t="s">
        <v>8757</v>
      </c>
    </row>
    <row r="254" spans="1:4" ht="15.9" customHeight="1" x14ac:dyDescent="0.25">
      <c r="A254" s="3" t="s">
        <v>1378</v>
      </c>
      <c r="B254" s="156">
        <v>10031</v>
      </c>
      <c r="C254" s="154" t="s">
        <v>8758</v>
      </c>
    </row>
    <row r="255" spans="1:4" ht="15.9" customHeight="1" x14ac:dyDescent="0.25">
      <c r="A255" s="3" t="s">
        <v>1378</v>
      </c>
      <c r="B255" s="156">
        <v>10032</v>
      </c>
      <c r="C255" s="154" t="s">
        <v>8759</v>
      </c>
    </row>
    <row r="256" spans="1:4" ht="15.9" customHeight="1" x14ac:dyDescent="0.25">
      <c r="A256" s="3" t="s">
        <v>1378</v>
      </c>
      <c r="B256" s="156">
        <v>10033</v>
      </c>
      <c r="C256" s="154" t="s">
        <v>8759</v>
      </c>
    </row>
    <row r="257" spans="1:3" ht="15.9" customHeight="1" x14ac:dyDescent="0.25">
      <c r="A257" s="3" t="s">
        <v>1378</v>
      </c>
      <c r="B257" s="156">
        <v>10034</v>
      </c>
      <c r="C257" s="154" t="s">
        <v>8759</v>
      </c>
    </row>
    <row r="258" spans="1:3" ht="15.9" customHeight="1" x14ac:dyDescent="0.25">
      <c r="A258" s="3" t="s">
        <v>1378</v>
      </c>
      <c r="B258" s="156">
        <v>10035</v>
      </c>
      <c r="C258" s="154" t="s">
        <v>8759</v>
      </c>
    </row>
    <row r="259" spans="1:3" ht="15.9" customHeight="1" x14ac:dyDescent="0.25">
      <c r="A259" s="3" t="s">
        <v>1378</v>
      </c>
      <c r="B259" s="156">
        <v>10036</v>
      </c>
      <c r="C259" s="154" t="s">
        <v>8753</v>
      </c>
    </row>
    <row r="260" spans="1:3" ht="15.9" customHeight="1" x14ac:dyDescent="0.25">
      <c r="A260" s="3" t="s">
        <v>1378</v>
      </c>
      <c r="B260" s="156">
        <v>10037</v>
      </c>
      <c r="C260" s="154" t="s">
        <v>8753</v>
      </c>
    </row>
    <row r="261" spans="1:3" ht="15.9" customHeight="1" x14ac:dyDescent="0.25">
      <c r="A261" s="3" t="s">
        <v>1378</v>
      </c>
      <c r="B261" s="156">
        <v>10038</v>
      </c>
      <c r="C261" s="154" t="s">
        <v>8753</v>
      </c>
    </row>
    <row r="262" spans="1:3" ht="15.9" customHeight="1" x14ac:dyDescent="0.25">
      <c r="A262" s="3" t="s">
        <v>1378</v>
      </c>
      <c r="B262" s="156">
        <v>10039</v>
      </c>
      <c r="C262" s="154" t="s">
        <v>8753</v>
      </c>
    </row>
    <row r="263" spans="1:3" ht="15.9" customHeight="1" x14ac:dyDescent="0.25">
      <c r="A263" s="3" t="s">
        <v>1378</v>
      </c>
      <c r="B263" s="156">
        <v>10040</v>
      </c>
      <c r="C263" s="154" t="s">
        <v>8753</v>
      </c>
    </row>
    <row r="264" spans="1:3" ht="15.9" customHeight="1" x14ac:dyDescent="0.25">
      <c r="A264" s="3" t="s">
        <v>1378</v>
      </c>
      <c r="B264" s="156">
        <v>10041</v>
      </c>
      <c r="C264" s="154" t="s">
        <v>8753</v>
      </c>
    </row>
    <row r="265" spans="1:3" ht="15.9" customHeight="1" x14ac:dyDescent="0.25">
      <c r="A265" s="3" t="s">
        <v>1378</v>
      </c>
      <c r="B265" s="156">
        <v>10042</v>
      </c>
      <c r="C265" s="154" t="s">
        <v>8753</v>
      </c>
    </row>
    <row r="266" spans="1:3" ht="15.9" customHeight="1" x14ac:dyDescent="0.25">
      <c r="A266" s="3" t="s">
        <v>1378</v>
      </c>
      <c r="B266" s="156">
        <v>10043</v>
      </c>
      <c r="C266" s="154" t="s">
        <v>8753</v>
      </c>
    </row>
    <row r="267" spans="1:3" ht="15.9" customHeight="1" x14ac:dyDescent="0.25">
      <c r="A267" s="3" t="s">
        <v>1378</v>
      </c>
      <c r="B267" s="156">
        <v>10044</v>
      </c>
      <c r="C267" s="154" t="s">
        <v>8760</v>
      </c>
    </row>
    <row r="268" spans="1:3" ht="15.9" customHeight="1" x14ac:dyDescent="0.25">
      <c r="A268" s="3" t="s">
        <v>1378</v>
      </c>
      <c r="B268" s="156">
        <v>10045</v>
      </c>
      <c r="C268" s="154" t="s">
        <v>8761</v>
      </c>
    </row>
    <row r="269" spans="1:3" ht="15.9" customHeight="1" x14ac:dyDescent="0.25">
      <c r="A269" s="3" t="s">
        <v>1378</v>
      </c>
      <c r="B269" s="156">
        <v>10046</v>
      </c>
      <c r="C269" s="154" t="s">
        <v>8762</v>
      </c>
    </row>
    <row r="270" spans="1:3" ht="15.9" customHeight="1" x14ac:dyDescent="0.25">
      <c r="A270" s="3" t="s">
        <v>1378</v>
      </c>
      <c r="B270" s="156">
        <v>10047</v>
      </c>
      <c r="C270" s="154" t="s">
        <v>8763</v>
      </c>
    </row>
    <row r="271" spans="1:3" ht="15.9" customHeight="1" x14ac:dyDescent="0.25">
      <c r="A271" s="3" t="s">
        <v>1378</v>
      </c>
      <c r="B271" s="156">
        <v>10048</v>
      </c>
      <c r="C271" s="154" t="s">
        <v>8764</v>
      </c>
    </row>
    <row r="272" spans="1:3" ht="15.9" customHeight="1" x14ac:dyDescent="0.25">
      <c r="A272" s="3" t="s">
        <v>1378</v>
      </c>
      <c r="B272" s="156">
        <v>10049</v>
      </c>
      <c r="C272" s="154" t="s">
        <v>8765</v>
      </c>
    </row>
    <row r="273" spans="1:4" ht="15.9" customHeight="1" x14ac:dyDescent="0.25">
      <c r="A273" s="3" t="s">
        <v>1378</v>
      </c>
      <c r="B273" s="156">
        <v>10050</v>
      </c>
      <c r="C273" s="154" t="s">
        <v>8766</v>
      </c>
    </row>
    <row r="274" spans="1:4" ht="15.9" customHeight="1" x14ac:dyDescent="0.25">
      <c r="A274" s="3" t="s">
        <v>1378</v>
      </c>
      <c r="B274" s="156">
        <v>10051</v>
      </c>
      <c r="C274" s="154" t="s">
        <v>8767</v>
      </c>
    </row>
    <row r="275" spans="1:4" ht="15.9" customHeight="1" x14ac:dyDescent="0.25">
      <c r="A275" s="3" t="s">
        <v>1378</v>
      </c>
      <c r="B275" s="156">
        <v>10053</v>
      </c>
      <c r="C275" s="154" t="s">
        <v>8768</v>
      </c>
    </row>
    <row r="276" spans="1:4" ht="15.9" customHeight="1" x14ac:dyDescent="0.25">
      <c r="A276" s="3" t="s">
        <v>1378</v>
      </c>
      <c r="B276" s="156"/>
    </row>
    <row r="277" spans="1:4" ht="15.9" customHeight="1" x14ac:dyDescent="0.25">
      <c r="A277" s="3" t="s">
        <v>1271</v>
      </c>
      <c r="B277" s="156">
        <v>8</v>
      </c>
      <c r="C277" s="154" t="s">
        <v>9331</v>
      </c>
    </row>
    <row r="278" spans="1:4" ht="15.9" customHeight="1" x14ac:dyDescent="0.25">
      <c r="A278" s="3" t="s">
        <v>1271</v>
      </c>
      <c r="B278" s="156">
        <v>9</v>
      </c>
      <c r="C278" s="154" t="s">
        <v>9342</v>
      </c>
    </row>
    <row r="279" spans="1:4" ht="15.9" customHeight="1" x14ac:dyDescent="0.25">
      <c r="A279" s="3" t="s">
        <v>1271</v>
      </c>
      <c r="B279" s="156">
        <v>259</v>
      </c>
      <c r="C279" s="154" t="s">
        <v>8879</v>
      </c>
      <c r="D279" s="149" t="s">
        <v>9500</v>
      </c>
    </row>
    <row r="280" spans="1:4" ht="15.9" customHeight="1" x14ac:dyDescent="0.25">
      <c r="A280" s="3" t="s">
        <v>1271</v>
      </c>
      <c r="B280" s="156">
        <v>260</v>
      </c>
      <c r="C280" s="154" t="s">
        <v>8880</v>
      </c>
    </row>
    <row r="281" spans="1:4" ht="15.9" customHeight="1" x14ac:dyDescent="0.25">
      <c r="A281" s="3" t="s">
        <v>1271</v>
      </c>
      <c r="B281" s="156">
        <v>261</v>
      </c>
      <c r="C281" s="154" t="s">
        <v>8881</v>
      </c>
    </row>
    <row r="282" spans="1:4" ht="15.9" customHeight="1" x14ac:dyDescent="0.25">
      <c r="A282" s="3" t="s">
        <v>1271</v>
      </c>
      <c r="B282" s="156">
        <v>265</v>
      </c>
      <c r="C282" s="154" t="s">
        <v>8882</v>
      </c>
      <c r="D282" s="149" t="s">
        <v>9500</v>
      </c>
    </row>
    <row r="283" spans="1:4" ht="15.9" customHeight="1" x14ac:dyDescent="0.25">
      <c r="A283" s="3" t="s">
        <v>1271</v>
      </c>
      <c r="B283" s="156">
        <v>420</v>
      </c>
      <c r="C283" s="154" t="s">
        <v>9021</v>
      </c>
    </row>
    <row r="284" spans="1:4" ht="15.9" customHeight="1" x14ac:dyDescent="0.25">
      <c r="A284" s="3" t="s">
        <v>1271</v>
      </c>
      <c r="B284" s="156">
        <v>3186</v>
      </c>
      <c r="C284" s="154" t="s">
        <v>8889</v>
      </c>
    </row>
    <row r="285" spans="1:4" ht="15.9" customHeight="1" x14ac:dyDescent="0.25">
      <c r="A285" s="3" t="s">
        <v>1271</v>
      </c>
      <c r="B285" s="156">
        <v>4021</v>
      </c>
      <c r="C285" s="154" t="s">
        <v>8932</v>
      </c>
      <c r="D285" s="149" t="s">
        <v>9500</v>
      </c>
    </row>
    <row r="286" spans="1:4" ht="15.9" customHeight="1" x14ac:dyDescent="0.25">
      <c r="A286" s="3" t="s">
        <v>1271</v>
      </c>
      <c r="B286" s="156">
        <v>4064</v>
      </c>
      <c r="C286" s="154" t="s">
        <v>8955</v>
      </c>
    </row>
    <row r="287" spans="1:4" ht="15.9" customHeight="1" x14ac:dyDescent="0.25">
      <c r="A287" s="3" t="s">
        <v>1271</v>
      </c>
      <c r="B287" s="156">
        <v>4284</v>
      </c>
      <c r="C287" s="154" t="s">
        <v>9045</v>
      </c>
    </row>
    <row r="288" spans="1:4" ht="15.9" customHeight="1" x14ac:dyDescent="0.25">
      <c r="A288" s="3" t="s">
        <v>1271</v>
      </c>
      <c r="B288" s="156">
        <v>4305</v>
      </c>
      <c r="C288" s="154" t="s">
        <v>9057</v>
      </c>
    </row>
    <row r="289" spans="1:4" ht="15.9" customHeight="1" x14ac:dyDescent="0.25">
      <c r="A289" s="3" t="s">
        <v>1271</v>
      </c>
      <c r="B289" s="156">
        <v>4306</v>
      </c>
      <c r="C289" s="154" t="s">
        <v>9058</v>
      </c>
    </row>
    <row r="290" spans="1:4" ht="15.9" customHeight="1" x14ac:dyDescent="0.25">
      <c r="A290" s="3" t="s">
        <v>1271</v>
      </c>
      <c r="B290" s="156">
        <v>5018</v>
      </c>
      <c r="C290" s="154" t="s">
        <v>9144</v>
      </c>
      <c r="D290" s="149" t="s">
        <v>9500</v>
      </c>
    </row>
    <row r="291" spans="1:4" ht="15.9" customHeight="1" x14ac:dyDescent="0.25">
      <c r="A291" s="3" t="s">
        <v>1271</v>
      </c>
      <c r="B291" s="156">
        <v>5135</v>
      </c>
      <c r="C291" s="154" t="s">
        <v>9150</v>
      </c>
      <c r="D291" s="149"/>
    </row>
    <row r="292" spans="1:4" ht="15.9" customHeight="1" x14ac:dyDescent="0.25">
      <c r="A292" s="3" t="s">
        <v>1271</v>
      </c>
      <c r="B292" s="156">
        <v>5377</v>
      </c>
      <c r="C292" s="154" t="s">
        <v>9168</v>
      </c>
      <c r="D292" s="149"/>
    </row>
    <row r="293" spans="1:4" ht="15.9" customHeight="1" x14ac:dyDescent="0.25">
      <c r="A293" s="3" t="s">
        <v>1271</v>
      </c>
      <c r="B293" s="156">
        <v>9007</v>
      </c>
      <c r="C293" s="154" t="s">
        <v>9347</v>
      </c>
      <c r="D293" s="149"/>
    </row>
    <row r="294" spans="1:4" ht="15.9" customHeight="1" x14ac:dyDescent="0.25">
      <c r="A294" s="3" t="s">
        <v>1271</v>
      </c>
      <c r="B294" s="156">
        <v>9009</v>
      </c>
      <c r="C294" s="154" t="s">
        <v>9348</v>
      </c>
      <c r="D294" s="149"/>
    </row>
    <row r="295" spans="1:4" ht="15.9" customHeight="1" x14ac:dyDescent="0.25">
      <c r="A295" s="3" t="s">
        <v>1271</v>
      </c>
      <c r="B295" s="156">
        <v>9011</v>
      </c>
      <c r="C295" s="154" t="s">
        <v>9349</v>
      </c>
      <c r="D295" s="149" t="s">
        <v>9500</v>
      </c>
    </row>
    <row r="296" spans="1:4" ht="15.9" customHeight="1" x14ac:dyDescent="0.25">
      <c r="A296" s="3" t="s">
        <v>1271</v>
      </c>
      <c r="B296" s="156">
        <v>9208</v>
      </c>
      <c r="C296" s="154" t="s">
        <v>9413</v>
      </c>
    </row>
    <row r="297" spans="1:4" ht="15.9" customHeight="1" x14ac:dyDescent="0.25">
      <c r="A297" s="3" t="s">
        <v>1271</v>
      </c>
      <c r="B297" s="156">
        <v>9210</v>
      </c>
      <c r="C297" s="154" t="s">
        <v>9414</v>
      </c>
    </row>
    <row r="298" spans="1:4" ht="15.9" customHeight="1" x14ac:dyDescent="0.25">
      <c r="A298" s="3" t="s">
        <v>1271</v>
      </c>
      <c r="B298" s="156">
        <v>9217</v>
      </c>
      <c r="C298" s="154" t="s">
        <v>9420</v>
      </c>
    </row>
    <row r="299" spans="1:4" ht="15.9" customHeight="1" x14ac:dyDescent="0.25">
      <c r="A299" s="3" t="s">
        <v>1271</v>
      </c>
      <c r="B299" s="156"/>
    </row>
    <row r="300" spans="1:4" ht="15.9" customHeight="1" x14ac:dyDescent="0.25">
      <c r="A300" s="3" t="s">
        <v>1950</v>
      </c>
      <c r="B300" s="156">
        <v>9058</v>
      </c>
      <c r="C300" s="154" t="s">
        <v>9363</v>
      </c>
    </row>
    <row r="301" spans="1:4" ht="15.9" customHeight="1" x14ac:dyDescent="0.25">
      <c r="A301" s="3" t="s">
        <v>1950</v>
      </c>
      <c r="B301" s="156">
        <v>9109</v>
      </c>
      <c r="C301" s="154" t="s">
        <v>9375</v>
      </c>
    </row>
    <row r="302" spans="1:4" ht="15.9" customHeight="1" x14ac:dyDescent="0.25">
      <c r="A302" s="3" t="s">
        <v>1950</v>
      </c>
      <c r="B302" s="156">
        <v>9123</v>
      </c>
      <c r="C302" s="154" t="s">
        <v>9378</v>
      </c>
    </row>
    <row r="303" spans="1:4" ht="15.9" customHeight="1" x14ac:dyDescent="0.25">
      <c r="A303" s="3" t="s">
        <v>1950</v>
      </c>
      <c r="B303" s="156">
        <v>9205</v>
      </c>
      <c r="C303" s="154" t="s">
        <v>9410</v>
      </c>
    </row>
    <row r="304" spans="1:4" ht="15.9" customHeight="1" x14ac:dyDescent="0.25">
      <c r="A304" s="3" t="s">
        <v>1950</v>
      </c>
      <c r="B304" s="156">
        <v>9253</v>
      </c>
      <c r="C304" s="154" t="s">
        <v>9424</v>
      </c>
    </row>
    <row r="305" spans="1:5" ht="15.9" customHeight="1" x14ac:dyDescent="0.25">
      <c r="A305" s="3" t="s">
        <v>1386</v>
      </c>
      <c r="B305" s="156">
        <v>214</v>
      </c>
      <c r="C305" s="154" t="s">
        <v>8863</v>
      </c>
    </row>
    <row r="306" spans="1:5" ht="15.9" customHeight="1" x14ac:dyDescent="0.25">
      <c r="A306" s="3" t="s">
        <v>1386</v>
      </c>
      <c r="B306" s="156">
        <v>215</v>
      </c>
      <c r="C306" s="154" t="s">
        <v>8864</v>
      </c>
    </row>
    <row r="307" spans="1:5" ht="15.9" customHeight="1" x14ac:dyDescent="0.25">
      <c r="A307" s="3" t="s">
        <v>1386</v>
      </c>
      <c r="B307" s="156">
        <v>779</v>
      </c>
      <c r="C307" s="154" t="s">
        <v>9317</v>
      </c>
    </row>
    <row r="308" spans="1:5" ht="15.9" customHeight="1" x14ac:dyDescent="0.25">
      <c r="A308" s="3" t="s">
        <v>1386</v>
      </c>
      <c r="B308" s="156">
        <v>780</v>
      </c>
      <c r="C308" s="154" t="s">
        <v>9318</v>
      </c>
    </row>
    <row r="309" spans="1:5" ht="15.9" customHeight="1" x14ac:dyDescent="0.25">
      <c r="A309" s="3" t="s">
        <v>1386</v>
      </c>
      <c r="B309" s="156">
        <v>785</v>
      </c>
      <c r="C309" s="154" t="s">
        <v>9321</v>
      </c>
    </row>
    <row r="310" spans="1:5" ht="15.9" customHeight="1" x14ac:dyDescent="0.25">
      <c r="A310" s="3" t="s">
        <v>1386</v>
      </c>
      <c r="B310" s="156">
        <v>786</v>
      </c>
      <c r="C310" s="154" t="s">
        <v>9322</v>
      </c>
    </row>
    <row r="311" spans="1:5" ht="15.9" customHeight="1" x14ac:dyDescent="0.25">
      <c r="A311" s="3" t="s">
        <v>1386</v>
      </c>
      <c r="B311" s="156">
        <v>797</v>
      </c>
      <c r="C311" s="154" t="s">
        <v>9029</v>
      </c>
    </row>
    <row r="312" spans="1:5" ht="15.9" customHeight="1" x14ac:dyDescent="0.25">
      <c r="A312" s="3" t="s">
        <v>1386</v>
      </c>
      <c r="B312" s="156">
        <v>1006</v>
      </c>
      <c r="C312" s="154" t="s">
        <v>8769</v>
      </c>
    </row>
    <row r="313" spans="1:5" ht="15.9" customHeight="1" x14ac:dyDescent="0.25">
      <c r="A313" s="3" t="s">
        <v>1386</v>
      </c>
      <c r="B313" s="156">
        <v>1017</v>
      </c>
      <c r="C313" s="154" t="s">
        <v>8777</v>
      </c>
    </row>
    <row r="314" spans="1:5" ht="15.9" customHeight="1" x14ac:dyDescent="0.25">
      <c r="A314" s="3" t="s">
        <v>1386</v>
      </c>
      <c r="B314" s="156">
        <v>4076</v>
      </c>
      <c r="C314" s="154" t="s">
        <v>8769</v>
      </c>
    </row>
    <row r="315" spans="1:5" ht="15.9" customHeight="1" x14ac:dyDescent="0.25">
      <c r="A315" s="3" t="s">
        <v>1386</v>
      </c>
      <c r="B315" s="156">
        <v>4077</v>
      </c>
      <c r="C315" s="154" t="s">
        <v>8739</v>
      </c>
    </row>
    <row r="316" spans="1:5" ht="15.9" customHeight="1" x14ac:dyDescent="0.25">
      <c r="A316" s="3" t="s">
        <v>1386</v>
      </c>
      <c r="B316" s="156">
        <v>4245</v>
      </c>
      <c r="C316" s="154" t="s">
        <v>9029</v>
      </c>
    </row>
    <row r="317" spans="1:5" ht="15.9" customHeight="1" x14ac:dyDescent="0.25">
      <c r="A317" s="3" t="s">
        <v>1386</v>
      </c>
      <c r="B317" s="156">
        <v>4268</v>
      </c>
      <c r="C317" s="154" t="s">
        <v>9034</v>
      </c>
    </row>
    <row r="318" spans="1:5" ht="15.9" customHeight="1" x14ac:dyDescent="0.25">
      <c r="A318" s="3" t="s">
        <v>1386</v>
      </c>
      <c r="B318" s="156">
        <v>4309</v>
      </c>
      <c r="C318" s="154" t="s">
        <v>9059</v>
      </c>
    </row>
    <row r="319" spans="1:5" ht="15.9" customHeight="1" x14ac:dyDescent="0.25">
      <c r="A319" s="3" t="s">
        <v>1386</v>
      </c>
      <c r="B319" s="156" t="s">
        <v>9488</v>
      </c>
      <c r="C319" s="154" t="s">
        <v>8517</v>
      </c>
      <c r="D319" s="149" t="s">
        <v>9487</v>
      </c>
      <c r="E319" s="3" t="s">
        <v>1251</v>
      </c>
    </row>
    <row r="320" spans="1:5" ht="15.9" customHeight="1" x14ac:dyDescent="0.25">
      <c r="A320" s="3" t="s">
        <v>1386</v>
      </c>
      <c r="B320" s="156">
        <v>4558</v>
      </c>
      <c r="C320" s="154" t="s">
        <v>9129</v>
      </c>
    </row>
    <row r="321" spans="1:3" ht="15.9" customHeight="1" x14ac:dyDescent="0.25">
      <c r="A321" s="3" t="s">
        <v>1386</v>
      </c>
      <c r="B321" s="156">
        <v>9034</v>
      </c>
      <c r="C321" s="154" t="s">
        <v>1682</v>
      </c>
    </row>
    <row r="322" spans="1:3" ht="15.9" customHeight="1" x14ac:dyDescent="0.25">
      <c r="A322" s="3" t="s">
        <v>1386</v>
      </c>
      <c r="B322" s="156">
        <v>9064</v>
      </c>
      <c r="C322" s="154" t="s">
        <v>8517</v>
      </c>
    </row>
    <row r="323" spans="1:3" ht="15.9" customHeight="1" x14ac:dyDescent="0.25">
      <c r="A323" s="3" t="s">
        <v>1386</v>
      </c>
      <c r="B323" s="156">
        <v>10004</v>
      </c>
      <c r="C323" s="154" t="s">
        <v>8737</v>
      </c>
    </row>
    <row r="324" spans="1:3" ht="15.9" customHeight="1" x14ac:dyDescent="0.25">
      <c r="A324" s="3" t="s">
        <v>1386</v>
      </c>
      <c r="B324" s="156">
        <v>10005</v>
      </c>
      <c r="C324" s="154" t="s">
        <v>8738</v>
      </c>
    </row>
    <row r="325" spans="1:3" ht="15.9" customHeight="1" x14ac:dyDescent="0.25">
      <c r="A325" s="3" t="s">
        <v>1386</v>
      </c>
      <c r="B325" s="156">
        <v>10006</v>
      </c>
      <c r="C325" s="154" t="s">
        <v>8739</v>
      </c>
    </row>
    <row r="326" spans="1:3" ht="15.9" customHeight="1" x14ac:dyDescent="0.25">
      <c r="A326" s="3" t="s">
        <v>1386</v>
      </c>
      <c r="B326" s="156">
        <v>10007</v>
      </c>
      <c r="C326" s="154" t="s">
        <v>8740</v>
      </c>
    </row>
    <row r="327" spans="1:3" ht="15.9" customHeight="1" x14ac:dyDescent="0.25">
      <c r="A327" s="3" t="s">
        <v>1386</v>
      </c>
      <c r="B327" s="156">
        <v>10100</v>
      </c>
      <c r="C327" s="154" t="s">
        <v>8774</v>
      </c>
    </row>
    <row r="328" spans="1:3" ht="15.9" customHeight="1" x14ac:dyDescent="0.25">
      <c r="A328" s="3" t="s">
        <v>1386</v>
      </c>
      <c r="B328" s="156"/>
    </row>
    <row r="329" spans="1:3" ht="15.9" customHeight="1" x14ac:dyDescent="0.25">
      <c r="A329" s="3" t="s">
        <v>2022</v>
      </c>
      <c r="B329" s="156">
        <v>10028</v>
      </c>
      <c r="C329" s="154" t="s">
        <v>8755</v>
      </c>
    </row>
    <row r="330" spans="1:3" ht="15.9" customHeight="1" x14ac:dyDescent="0.25">
      <c r="A330" s="3" t="s">
        <v>2022</v>
      </c>
      <c r="B330" s="156"/>
    </row>
    <row r="331" spans="1:3" ht="15.9" customHeight="1" x14ac:dyDescent="0.25">
      <c r="A331" s="3" t="s">
        <v>1354</v>
      </c>
      <c r="B331" s="156">
        <v>152</v>
      </c>
      <c r="C331" s="154" t="s">
        <v>8818</v>
      </c>
    </row>
    <row r="332" spans="1:3" ht="15.9" customHeight="1" x14ac:dyDescent="0.25">
      <c r="A332" s="3" t="s">
        <v>1354</v>
      </c>
      <c r="B332" s="156">
        <v>4126</v>
      </c>
      <c r="C332" s="154" t="s">
        <v>8984</v>
      </c>
    </row>
    <row r="333" spans="1:3" ht="15.9" customHeight="1" x14ac:dyDescent="0.25">
      <c r="A333" s="3" t="s">
        <v>1354</v>
      </c>
      <c r="B333" s="156">
        <v>4194</v>
      </c>
      <c r="C333" s="154" t="s">
        <v>8315</v>
      </c>
    </row>
    <row r="334" spans="1:3" ht="15.9" customHeight="1" x14ac:dyDescent="0.25">
      <c r="A334" s="3" t="s">
        <v>1354</v>
      </c>
      <c r="B334" s="156">
        <v>4489</v>
      </c>
      <c r="C334" s="154" t="s">
        <v>9093</v>
      </c>
    </row>
    <row r="335" spans="1:3" ht="15.9" customHeight="1" x14ac:dyDescent="0.25">
      <c r="A335" s="3" t="s">
        <v>1354</v>
      </c>
      <c r="B335" s="156">
        <v>5120</v>
      </c>
      <c r="C335" s="154" t="s">
        <v>9147</v>
      </c>
    </row>
    <row r="336" spans="1:3" ht="15.9" customHeight="1" x14ac:dyDescent="0.25">
      <c r="A336" s="3" t="s">
        <v>1354</v>
      </c>
      <c r="B336" s="156">
        <v>5409</v>
      </c>
      <c r="C336" s="154" t="s">
        <v>9171</v>
      </c>
    </row>
    <row r="337" spans="1:5" ht="15.9" customHeight="1" x14ac:dyDescent="0.25">
      <c r="A337" s="3" t="s">
        <v>1354</v>
      </c>
      <c r="B337" s="156">
        <v>7059</v>
      </c>
      <c r="C337" s="154" t="s">
        <v>9294</v>
      </c>
    </row>
    <row r="338" spans="1:5" ht="15.9" customHeight="1" x14ac:dyDescent="0.25">
      <c r="A338" s="3" t="s">
        <v>1354</v>
      </c>
      <c r="B338" s="156"/>
    </row>
    <row r="339" spans="1:5" ht="15.9" customHeight="1" x14ac:dyDescent="0.25">
      <c r="A339" s="3" t="s">
        <v>1418</v>
      </c>
      <c r="B339" s="156">
        <v>275</v>
      </c>
      <c r="C339" s="154" t="s">
        <v>8884</v>
      </c>
    </row>
    <row r="340" spans="1:5" ht="15.9" customHeight="1" x14ac:dyDescent="0.25">
      <c r="A340" s="3" t="s">
        <v>1418</v>
      </c>
      <c r="B340" s="156">
        <v>822</v>
      </c>
      <c r="C340" s="154" t="s">
        <v>9335</v>
      </c>
      <c r="D340" s="149" t="s">
        <v>9451</v>
      </c>
    </row>
    <row r="341" spans="1:5" ht="15.9" customHeight="1" x14ac:dyDescent="0.25">
      <c r="A341" s="3" t="s">
        <v>1418</v>
      </c>
      <c r="B341" s="156">
        <v>1185</v>
      </c>
      <c r="C341" s="154" t="s">
        <v>8800</v>
      </c>
      <c r="D341" s="149" t="s">
        <v>9502</v>
      </c>
    </row>
    <row r="342" spans="1:5" ht="15.9" customHeight="1" x14ac:dyDescent="0.25">
      <c r="A342" s="3" t="s">
        <v>1418</v>
      </c>
      <c r="B342" s="156">
        <v>1196</v>
      </c>
      <c r="C342" s="154" t="s">
        <v>8801</v>
      </c>
    </row>
    <row r="343" spans="1:5" ht="15.9" customHeight="1" x14ac:dyDescent="0.25">
      <c r="A343" s="3" t="s">
        <v>1418</v>
      </c>
      <c r="B343" s="156">
        <v>1207</v>
      </c>
      <c r="C343" s="154" t="s">
        <v>8803</v>
      </c>
    </row>
    <row r="344" spans="1:5" ht="15.9" customHeight="1" x14ac:dyDescent="0.25">
      <c r="A344" s="3" t="s">
        <v>1418</v>
      </c>
      <c r="B344" s="156">
        <v>1213</v>
      </c>
      <c r="C344" s="154" t="s">
        <v>8804</v>
      </c>
    </row>
    <row r="345" spans="1:5" ht="15.9" customHeight="1" x14ac:dyDescent="0.25">
      <c r="A345" s="3" t="s">
        <v>1418</v>
      </c>
      <c r="B345" s="156">
        <v>3216</v>
      </c>
      <c r="C345" s="154" t="s">
        <v>8891</v>
      </c>
      <c r="D345" s="149" t="s">
        <v>9450</v>
      </c>
      <c r="E345" s="149" t="s">
        <v>9501</v>
      </c>
    </row>
    <row r="346" spans="1:5" ht="15.9" customHeight="1" x14ac:dyDescent="0.25">
      <c r="A346" s="3" t="s">
        <v>1418</v>
      </c>
      <c r="B346" s="156">
        <v>3240</v>
      </c>
      <c r="C346" s="154" t="s">
        <v>8897</v>
      </c>
      <c r="D346" s="149" t="s">
        <v>9452</v>
      </c>
      <c r="E346" s="149" t="s">
        <v>9501</v>
      </c>
    </row>
    <row r="347" spans="1:5" ht="15.9" customHeight="1" x14ac:dyDescent="0.25">
      <c r="A347" s="3" t="s">
        <v>1418</v>
      </c>
      <c r="B347" s="156">
        <v>3241</v>
      </c>
      <c r="C347" s="154" t="s">
        <v>8898</v>
      </c>
      <c r="D347" s="149" t="s">
        <v>9452</v>
      </c>
      <c r="E347" s="149" t="s">
        <v>9501</v>
      </c>
    </row>
    <row r="348" spans="1:5" ht="15.9" customHeight="1" x14ac:dyDescent="0.25">
      <c r="A348" s="3" t="s">
        <v>1418</v>
      </c>
      <c r="B348" s="156">
        <v>4167</v>
      </c>
      <c r="C348" s="154" t="s">
        <v>9008</v>
      </c>
    </row>
    <row r="349" spans="1:5" ht="15.9" customHeight="1" x14ac:dyDescent="0.25">
      <c r="A349" s="3" t="s">
        <v>1418</v>
      </c>
      <c r="B349" s="156">
        <v>4168</v>
      </c>
      <c r="C349" s="154" t="s">
        <v>9009</v>
      </c>
    </row>
    <row r="350" spans="1:5" ht="15.9" customHeight="1" x14ac:dyDescent="0.25">
      <c r="A350" s="3" t="s">
        <v>1418</v>
      </c>
      <c r="B350" s="156">
        <v>4285</v>
      </c>
      <c r="C350" s="154" t="s">
        <v>9046</v>
      </c>
    </row>
    <row r="351" spans="1:5" ht="15.9" customHeight="1" x14ac:dyDescent="0.25">
      <c r="A351" s="3" t="s">
        <v>1418</v>
      </c>
      <c r="B351" s="156">
        <v>5141</v>
      </c>
      <c r="C351" s="154" t="s">
        <v>9151</v>
      </c>
      <c r="D351" s="149" t="s">
        <v>9449</v>
      </c>
    </row>
    <row r="352" spans="1:5" ht="15.9" customHeight="1" x14ac:dyDescent="0.25">
      <c r="A352" s="3" t="s">
        <v>1418</v>
      </c>
      <c r="B352" s="156">
        <v>5145</v>
      </c>
      <c r="C352" s="154" t="s">
        <v>9152</v>
      </c>
      <c r="D352" s="149" t="s">
        <v>9448</v>
      </c>
    </row>
    <row r="353" spans="1:3" ht="15.9" customHeight="1" x14ac:dyDescent="0.25">
      <c r="A353" s="3" t="s">
        <v>1418</v>
      </c>
      <c r="B353" s="156">
        <v>5208</v>
      </c>
      <c r="C353" s="154" t="s">
        <v>8803</v>
      </c>
    </row>
    <row r="354" spans="1:3" ht="15.9" customHeight="1" x14ac:dyDescent="0.25">
      <c r="A354" s="3" t="s">
        <v>1418</v>
      </c>
      <c r="B354" s="156">
        <v>5210</v>
      </c>
      <c r="C354" s="154" t="s">
        <v>8803</v>
      </c>
    </row>
    <row r="355" spans="1:3" ht="15.9" customHeight="1" x14ac:dyDescent="0.25">
      <c r="A355" s="3" t="s">
        <v>1418</v>
      </c>
      <c r="B355" s="156">
        <v>7001</v>
      </c>
      <c r="C355" s="154" t="s">
        <v>9263</v>
      </c>
    </row>
    <row r="356" spans="1:3" ht="15.9" customHeight="1" x14ac:dyDescent="0.25">
      <c r="A356" s="3" t="s">
        <v>1418</v>
      </c>
      <c r="B356" s="156">
        <v>7035</v>
      </c>
      <c r="C356" s="154" t="s">
        <v>8803</v>
      </c>
    </row>
    <row r="357" spans="1:3" ht="15.9" customHeight="1" x14ac:dyDescent="0.25">
      <c r="A357" s="3" t="s">
        <v>1418</v>
      </c>
      <c r="B357" s="156">
        <v>7036</v>
      </c>
      <c r="C357" s="154" t="s">
        <v>8803</v>
      </c>
    </row>
    <row r="358" spans="1:3" ht="15.9" customHeight="1" x14ac:dyDescent="0.25">
      <c r="A358" s="3" t="s">
        <v>1418</v>
      </c>
      <c r="B358" s="156">
        <v>7037</v>
      </c>
      <c r="C358" s="154" t="s">
        <v>8803</v>
      </c>
    </row>
    <row r="359" spans="1:3" ht="15.9" customHeight="1" x14ac:dyDescent="0.25">
      <c r="A359" s="3" t="s">
        <v>1418</v>
      </c>
      <c r="B359" s="156">
        <v>7038</v>
      </c>
      <c r="C359" s="154" t="s">
        <v>8803</v>
      </c>
    </row>
    <row r="360" spans="1:3" ht="15.9" customHeight="1" x14ac:dyDescent="0.25">
      <c r="A360" s="3" t="s">
        <v>1418</v>
      </c>
      <c r="B360" s="156">
        <v>7045</v>
      </c>
      <c r="C360" s="154" t="s">
        <v>9281</v>
      </c>
    </row>
    <row r="361" spans="1:3" ht="15.9" customHeight="1" x14ac:dyDescent="0.25">
      <c r="A361" s="3" t="s">
        <v>1418</v>
      </c>
      <c r="B361" s="156">
        <v>7050</v>
      </c>
      <c r="C361" s="154" t="s">
        <v>9285</v>
      </c>
    </row>
    <row r="362" spans="1:3" ht="15.9" customHeight="1" x14ac:dyDescent="0.25">
      <c r="A362" s="3" t="s">
        <v>1418</v>
      </c>
      <c r="B362" s="156">
        <v>7051</v>
      </c>
      <c r="C362" s="154" t="s">
        <v>9286</v>
      </c>
    </row>
    <row r="363" spans="1:3" ht="15.9" customHeight="1" x14ac:dyDescent="0.25">
      <c r="A363" s="3" t="s">
        <v>1418</v>
      </c>
      <c r="B363" s="156">
        <v>7052</v>
      </c>
      <c r="C363" s="154" t="s">
        <v>9287</v>
      </c>
    </row>
    <row r="364" spans="1:3" ht="15.9" customHeight="1" x14ac:dyDescent="0.25">
      <c r="A364" s="3" t="s">
        <v>1418</v>
      </c>
      <c r="B364" s="156">
        <v>7053</v>
      </c>
      <c r="C364" s="154" t="s">
        <v>9288</v>
      </c>
    </row>
    <row r="365" spans="1:3" ht="15.9" customHeight="1" x14ac:dyDescent="0.25">
      <c r="A365" s="3" t="s">
        <v>1418</v>
      </c>
      <c r="B365" s="156">
        <v>7054</v>
      </c>
      <c r="C365" s="154" t="s">
        <v>9289</v>
      </c>
    </row>
    <row r="366" spans="1:3" ht="15.9" customHeight="1" x14ac:dyDescent="0.25">
      <c r="A366" s="3" t="s">
        <v>1418</v>
      </c>
      <c r="B366" s="156">
        <v>7055</v>
      </c>
      <c r="C366" s="154" t="s">
        <v>9290</v>
      </c>
    </row>
    <row r="367" spans="1:3" ht="15.9" customHeight="1" x14ac:dyDescent="0.25">
      <c r="A367" s="3" t="s">
        <v>1418</v>
      </c>
      <c r="B367" s="156">
        <v>8000</v>
      </c>
      <c r="C367" s="154" t="s">
        <v>8803</v>
      </c>
    </row>
    <row r="368" spans="1:3" ht="15.9" customHeight="1" x14ac:dyDescent="0.25">
      <c r="A368" s="3" t="s">
        <v>1418</v>
      </c>
      <c r="B368" s="156">
        <v>8001</v>
      </c>
      <c r="C368" s="154" t="s">
        <v>8803</v>
      </c>
    </row>
    <row r="369" spans="1:5" ht="15.9" customHeight="1" x14ac:dyDescent="0.25">
      <c r="A369" s="3" t="s">
        <v>1418</v>
      </c>
      <c r="B369" s="156">
        <v>8002</v>
      </c>
      <c r="C369" s="154" t="s">
        <v>8803</v>
      </c>
    </row>
    <row r="370" spans="1:5" ht="15.9" customHeight="1" x14ac:dyDescent="0.25">
      <c r="A370" s="3" t="s">
        <v>1418</v>
      </c>
      <c r="B370" s="156">
        <v>8003</v>
      </c>
      <c r="C370" s="154" t="s">
        <v>8803</v>
      </c>
    </row>
    <row r="371" spans="1:5" ht="15.9" customHeight="1" x14ac:dyDescent="0.25">
      <c r="A371" s="3" t="s">
        <v>1418</v>
      </c>
      <c r="B371" s="156">
        <v>8004</v>
      </c>
      <c r="C371" s="154" t="s">
        <v>8803</v>
      </c>
    </row>
    <row r="372" spans="1:5" ht="15.9" customHeight="1" x14ac:dyDescent="0.25">
      <c r="A372" s="3" t="s">
        <v>1418</v>
      </c>
      <c r="B372" s="156">
        <v>9126</v>
      </c>
      <c r="C372" s="154" t="s">
        <v>9381</v>
      </c>
    </row>
    <row r="373" spans="1:5" ht="15.9" customHeight="1" x14ac:dyDescent="0.25">
      <c r="A373" s="3" t="s">
        <v>1418</v>
      </c>
      <c r="B373" s="156">
        <v>9169</v>
      </c>
      <c r="C373" s="154" t="s">
        <v>9390</v>
      </c>
      <c r="D373" s="149" t="s">
        <v>9453</v>
      </c>
      <c r="E373" s="149" t="s">
        <v>9501</v>
      </c>
    </row>
    <row r="374" spans="1:5" ht="15.9" customHeight="1" x14ac:dyDescent="0.25">
      <c r="A374" s="3" t="s">
        <v>1418</v>
      </c>
      <c r="B374" s="156">
        <v>9180</v>
      </c>
      <c r="C374" s="154" t="s">
        <v>9393</v>
      </c>
      <c r="E374" s="149" t="s">
        <v>9501</v>
      </c>
    </row>
    <row r="375" spans="1:5" ht="15.9" customHeight="1" x14ac:dyDescent="0.25">
      <c r="A375" s="3" t="s">
        <v>1418</v>
      </c>
      <c r="B375" s="156">
        <v>9185</v>
      </c>
      <c r="C375" s="154" t="s">
        <v>9398</v>
      </c>
    </row>
    <row r="376" spans="1:5" ht="15.9" customHeight="1" x14ac:dyDescent="0.25">
      <c r="A376" s="3" t="s">
        <v>1418</v>
      </c>
      <c r="B376" s="156">
        <v>9188</v>
      </c>
      <c r="C376" s="154" t="s">
        <v>9400</v>
      </c>
      <c r="D376" s="149" t="s">
        <v>9453</v>
      </c>
      <c r="E376" s="149" t="s">
        <v>9501</v>
      </c>
    </row>
    <row r="377" spans="1:5" ht="15.9" customHeight="1" x14ac:dyDescent="0.25">
      <c r="A377" s="3" t="s">
        <v>1418</v>
      </c>
      <c r="B377" s="156">
        <v>9211</v>
      </c>
      <c r="C377" s="154" t="s">
        <v>9415</v>
      </c>
    </row>
    <row r="378" spans="1:5" ht="15.9" customHeight="1" x14ac:dyDescent="0.25">
      <c r="A378" s="3" t="s">
        <v>1418</v>
      </c>
      <c r="B378" s="156"/>
    </row>
    <row r="379" spans="1:5" ht="15.9" customHeight="1" x14ac:dyDescent="0.25">
      <c r="A379" s="3" t="s">
        <v>1638</v>
      </c>
      <c r="B379" s="156">
        <v>4007</v>
      </c>
      <c r="C379" s="154" t="s">
        <v>8924</v>
      </c>
    </row>
    <row r="380" spans="1:5" ht="15.9" customHeight="1" x14ac:dyDescent="0.25">
      <c r="A380" s="3" t="s">
        <v>1638</v>
      </c>
      <c r="B380" s="156">
        <v>4008</v>
      </c>
      <c r="C380" s="154" t="s">
        <v>8925</v>
      </c>
    </row>
    <row r="381" spans="1:5" ht="15.9" customHeight="1" x14ac:dyDescent="0.25">
      <c r="A381" s="3" t="s">
        <v>1638</v>
      </c>
      <c r="B381" s="156">
        <v>4009</v>
      </c>
      <c r="C381" s="154" t="s">
        <v>8926</v>
      </c>
    </row>
    <row r="382" spans="1:5" ht="15.9" customHeight="1" x14ac:dyDescent="0.25">
      <c r="A382" s="3" t="s">
        <v>1638</v>
      </c>
      <c r="B382" s="156"/>
    </row>
    <row r="383" spans="1:5" ht="15.9" customHeight="1" x14ac:dyDescent="0.25">
      <c r="A383" s="3" t="s">
        <v>1465</v>
      </c>
      <c r="B383" s="156">
        <v>4097</v>
      </c>
      <c r="C383" s="154" t="s">
        <v>8974</v>
      </c>
    </row>
    <row r="384" spans="1:5" ht="15.9" customHeight="1" x14ac:dyDescent="0.25">
      <c r="A384" s="3" t="s">
        <v>1465</v>
      </c>
      <c r="B384" s="156">
        <v>4212</v>
      </c>
      <c r="C384" s="154" t="s">
        <v>8581</v>
      </c>
    </row>
    <row r="385" spans="1:5" ht="15.9" customHeight="1" x14ac:dyDescent="0.25">
      <c r="A385" s="3" t="s">
        <v>1465</v>
      </c>
      <c r="B385" s="156">
        <v>4213</v>
      </c>
      <c r="C385" s="154" t="s">
        <v>8581</v>
      </c>
    </row>
    <row r="386" spans="1:5" ht="15.9" customHeight="1" x14ac:dyDescent="0.25">
      <c r="A386" s="3" t="s">
        <v>1465</v>
      </c>
      <c r="B386" s="156">
        <v>6090</v>
      </c>
      <c r="C386" s="154" t="s">
        <v>9219</v>
      </c>
    </row>
    <row r="387" spans="1:5" ht="15.9" customHeight="1" x14ac:dyDescent="0.25">
      <c r="A387" s="3" t="s">
        <v>1465</v>
      </c>
      <c r="B387" s="156">
        <v>9070</v>
      </c>
      <c r="C387" s="154" t="s">
        <v>8581</v>
      </c>
    </row>
    <row r="388" spans="1:5" ht="15.9" customHeight="1" x14ac:dyDescent="0.25">
      <c r="A388" s="3" t="s">
        <v>1465</v>
      </c>
      <c r="B388" s="156">
        <v>9167</v>
      </c>
      <c r="C388" s="154" t="s">
        <v>9388</v>
      </c>
    </row>
    <row r="389" spans="1:5" ht="15.9" customHeight="1" x14ac:dyDescent="0.25">
      <c r="A389" s="3" t="s">
        <v>1465</v>
      </c>
      <c r="B389" s="156">
        <v>9183</v>
      </c>
      <c r="C389" s="154" t="s">
        <v>9396</v>
      </c>
    </row>
    <row r="390" spans="1:5" ht="15.9" customHeight="1" x14ac:dyDescent="0.25">
      <c r="A390" s="3" t="s">
        <v>1465</v>
      </c>
      <c r="B390" s="156"/>
    </row>
    <row r="391" spans="1:5" ht="15.9" customHeight="1" x14ac:dyDescent="0.25">
      <c r="A391" s="3" t="s">
        <v>8730</v>
      </c>
      <c r="B391" s="156"/>
      <c r="D391" s="3" t="s">
        <v>8731</v>
      </c>
    </row>
    <row r="392" spans="1:5" ht="15.9" customHeight="1" x14ac:dyDescent="0.25">
      <c r="A392" s="3" t="s">
        <v>1648</v>
      </c>
      <c r="B392" s="156">
        <v>4017</v>
      </c>
      <c r="C392" s="154" t="s">
        <v>8929</v>
      </c>
    </row>
    <row r="393" spans="1:5" ht="15.9" customHeight="1" x14ac:dyDescent="0.25">
      <c r="A393" s="3" t="s">
        <v>1648</v>
      </c>
      <c r="B393" s="156">
        <v>4018</v>
      </c>
      <c r="C393" s="154" t="s">
        <v>8929</v>
      </c>
    </row>
    <row r="394" spans="1:5" ht="15.9" customHeight="1" x14ac:dyDescent="0.25">
      <c r="A394" s="3" t="s">
        <v>1648</v>
      </c>
      <c r="B394" s="156">
        <v>4072</v>
      </c>
      <c r="C394" s="154" t="s">
        <v>8962</v>
      </c>
      <c r="D394" s="149" t="s">
        <v>9486</v>
      </c>
      <c r="E394" s="3" t="s">
        <v>1251</v>
      </c>
    </row>
    <row r="395" spans="1:5" ht="15.9" customHeight="1" x14ac:dyDescent="0.25">
      <c r="A395" s="3" t="s">
        <v>1648</v>
      </c>
      <c r="B395" s="156">
        <v>4120</v>
      </c>
      <c r="C395" s="154" t="s">
        <v>8982</v>
      </c>
    </row>
    <row r="396" spans="1:5" ht="15.9" customHeight="1" x14ac:dyDescent="0.25">
      <c r="A396" s="3" t="s">
        <v>1648</v>
      </c>
      <c r="B396" s="156">
        <v>4171</v>
      </c>
      <c r="C396" s="154" t="s">
        <v>9012</v>
      </c>
    </row>
    <row r="397" spans="1:5" ht="15.9" customHeight="1" x14ac:dyDescent="0.25">
      <c r="A397" s="3" t="s">
        <v>1648</v>
      </c>
      <c r="B397" s="156">
        <v>4172</v>
      </c>
      <c r="C397" s="154" t="s">
        <v>9013</v>
      </c>
    </row>
    <row r="398" spans="1:5" ht="15.9" customHeight="1" x14ac:dyDescent="0.25">
      <c r="A398" s="3" t="s">
        <v>1648</v>
      </c>
      <c r="B398" s="156">
        <v>4247</v>
      </c>
      <c r="C398" s="154" t="s">
        <v>9030</v>
      </c>
    </row>
    <row r="399" spans="1:5" ht="15.9" customHeight="1" x14ac:dyDescent="0.25">
      <c r="A399" s="3" t="s">
        <v>1648</v>
      </c>
      <c r="B399" s="156">
        <v>4254</v>
      </c>
      <c r="C399" s="154" t="s">
        <v>9032</v>
      </c>
    </row>
    <row r="400" spans="1:5" ht="15.9" customHeight="1" x14ac:dyDescent="0.25">
      <c r="A400" s="3" t="s">
        <v>1648</v>
      </c>
      <c r="B400" s="156">
        <v>4275</v>
      </c>
      <c r="C400" s="154" t="s">
        <v>9038</v>
      </c>
    </row>
    <row r="401" spans="1:3" ht="15.9" customHeight="1" x14ac:dyDescent="0.25">
      <c r="A401" s="3" t="s">
        <v>1648</v>
      </c>
      <c r="B401" s="156">
        <v>4276</v>
      </c>
      <c r="C401" s="154" t="s">
        <v>9038</v>
      </c>
    </row>
    <row r="402" spans="1:3" ht="15.9" customHeight="1" x14ac:dyDescent="0.25">
      <c r="A402" s="3" t="s">
        <v>1648</v>
      </c>
      <c r="B402" s="156">
        <v>4287</v>
      </c>
      <c r="C402" s="154" t="s">
        <v>9048</v>
      </c>
    </row>
    <row r="403" spans="1:3" ht="15.9" customHeight="1" x14ac:dyDescent="0.25">
      <c r="A403" s="3" t="s">
        <v>1648</v>
      </c>
      <c r="B403" s="156">
        <v>4291</v>
      </c>
      <c r="C403" s="154" t="s">
        <v>9048</v>
      </c>
    </row>
    <row r="404" spans="1:3" ht="15.9" customHeight="1" x14ac:dyDescent="0.25">
      <c r="A404" s="3" t="s">
        <v>1648</v>
      </c>
      <c r="B404" s="156">
        <v>4321</v>
      </c>
      <c r="C404" s="154" t="s">
        <v>9069</v>
      </c>
    </row>
    <row r="405" spans="1:3" ht="15.9" customHeight="1" x14ac:dyDescent="0.25">
      <c r="A405" s="3" t="s">
        <v>1648</v>
      </c>
      <c r="B405" s="156">
        <v>4330</v>
      </c>
      <c r="C405" s="154" t="s">
        <v>9077</v>
      </c>
    </row>
    <row r="406" spans="1:3" ht="15.9" customHeight="1" x14ac:dyDescent="0.25">
      <c r="A406" s="3" t="s">
        <v>1648</v>
      </c>
      <c r="B406" s="156">
        <v>4346</v>
      </c>
      <c r="C406" s="154" t="s">
        <v>9080</v>
      </c>
    </row>
    <row r="407" spans="1:3" ht="15.9" customHeight="1" x14ac:dyDescent="0.25">
      <c r="A407" s="3" t="s">
        <v>1648</v>
      </c>
      <c r="B407" s="156">
        <v>5206</v>
      </c>
      <c r="C407" s="154" t="s">
        <v>9155</v>
      </c>
    </row>
    <row r="408" spans="1:3" ht="15.9" customHeight="1" x14ac:dyDescent="0.25">
      <c r="A408" s="3" t="s">
        <v>1648</v>
      </c>
      <c r="B408" s="156">
        <v>9001</v>
      </c>
      <c r="C408" s="154" t="s">
        <v>9344</v>
      </c>
    </row>
    <row r="409" spans="1:3" ht="15.9" customHeight="1" x14ac:dyDescent="0.25">
      <c r="A409" s="3" t="s">
        <v>1648</v>
      </c>
      <c r="B409" s="156">
        <v>9002</v>
      </c>
      <c r="C409" s="154" t="s">
        <v>9345</v>
      </c>
    </row>
    <row r="410" spans="1:3" ht="15.9" customHeight="1" x14ac:dyDescent="0.25">
      <c r="A410" s="3" t="s">
        <v>1648</v>
      </c>
      <c r="B410" s="156">
        <v>9031</v>
      </c>
      <c r="C410" s="154" t="s">
        <v>9354</v>
      </c>
    </row>
    <row r="411" spans="1:3" ht="15.9" customHeight="1" x14ac:dyDescent="0.25">
      <c r="A411" s="3" t="s">
        <v>1648</v>
      </c>
      <c r="B411" s="156">
        <v>9032</v>
      </c>
      <c r="C411" s="154" t="s">
        <v>9355</v>
      </c>
    </row>
    <row r="412" spans="1:3" ht="15.9" customHeight="1" x14ac:dyDescent="0.25">
      <c r="A412" s="3" t="s">
        <v>1648</v>
      </c>
      <c r="B412" s="156">
        <v>9033</v>
      </c>
      <c r="C412" s="154" t="s">
        <v>9356</v>
      </c>
    </row>
    <row r="413" spans="1:3" ht="15.9" customHeight="1" x14ac:dyDescent="0.25">
      <c r="A413" s="3" t="s">
        <v>1648</v>
      </c>
      <c r="B413" s="156">
        <v>9052</v>
      </c>
      <c r="C413" s="154" t="s">
        <v>9362</v>
      </c>
    </row>
    <row r="414" spans="1:3" ht="15.9" customHeight="1" x14ac:dyDescent="0.25">
      <c r="A414" s="3" t="s">
        <v>1648</v>
      </c>
      <c r="B414" s="156">
        <v>9075</v>
      </c>
      <c r="C414" s="154" t="s">
        <v>9370</v>
      </c>
    </row>
    <row r="415" spans="1:3" ht="15.9" customHeight="1" x14ac:dyDescent="0.25">
      <c r="A415" s="3" t="s">
        <v>1648</v>
      </c>
      <c r="B415" s="156">
        <v>9079</v>
      </c>
      <c r="C415" s="154" t="s">
        <v>9371</v>
      </c>
    </row>
    <row r="416" spans="1:3" ht="15.9" customHeight="1" x14ac:dyDescent="0.25">
      <c r="A416" s="3" t="s">
        <v>1648</v>
      </c>
      <c r="B416" s="156">
        <v>9080</v>
      </c>
      <c r="C416" s="154" t="s">
        <v>9372</v>
      </c>
    </row>
    <row r="417" spans="1:4" ht="15.9" customHeight="1" x14ac:dyDescent="0.25">
      <c r="A417" s="3" t="s">
        <v>1648</v>
      </c>
      <c r="B417" s="156">
        <v>9162</v>
      </c>
      <c r="C417" s="154" t="s">
        <v>9386</v>
      </c>
    </row>
    <row r="418" spans="1:4" ht="15.9" customHeight="1" x14ac:dyDescent="0.25">
      <c r="A418" s="3" t="s">
        <v>1648</v>
      </c>
      <c r="B418" s="156">
        <v>9163</v>
      </c>
      <c r="C418" s="154" t="s">
        <v>9386</v>
      </c>
    </row>
    <row r="419" spans="1:4" ht="15.9" customHeight="1" x14ac:dyDescent="0.25">
      <c r="A419" s="3" t="s">
        <v>1648</v>
      </c>
      <c r="B419" s="156">
        <v>9184</v>
      </c>
      <c r="C419" s="154" t="s">
        <v>9397</v>
      </c>
    </row>
    <row r="420" spans="1:4" ht="15.9" customHeight="1" x14ac:dyDescent="0.25">
      <c r="A420" s="3" t="s">
        <v>8728</v>
      </c>
      <c r="B420" s="156"/>
      <c r="D420" s="149" t="s">
        <v>8557</v>
      </c>
    </row>
    <row r="421" spans="1:4" ht="15.9" customHeight="1" x14ac:dyDescent="0.25">
      <c r="A421" s="3" t="s">
        <v>8728</v>
      </c>
      <c r="B421" s="156"/>
      <c r="D421" s="149" t="s">
        <v>8568</v>
      </c>
    </row>
    <row r="422" spans="1:4" ht="15.9" customHeight="1" x14ac:dyDescent="0.25">
      <c r="A422" s="3" t="s">
        <v>1287</v>
      </c>
      <c r="B422" s="156">
        <v>34</v>
      </c>
      <c r="C422" s="154" t="s">
        <v>8901</v>
      </c>
    </row>
    <row r="423" spans="1:4" ht="15.9" customHeight="1" x14ac:dyDescent="0.25">
      <c r="A423" s="3" t="s">
        <v>1287</v>
      </c>
      <c r="B423" s="156">
        <v>38</v>
      </c>
      <c r="C423" s="154" t="s">
        <v>8911</v>
      </c>
    </row>
    <row r="424" spans="1:4" ht="15.9" customHeight="1" x14ac:dyDescent="0.25">
      <c r="A424" s="3" t="s">
        <v>1287</v>
      </c>
      <c r="B424" s="156">
        <v>39</v>
      </c>
      <c r="C424" s="154" t="s">
        <v>8916</v>
      </c>
    </row>
    <row r="425" spans="1:4" ht="15.9" customHeight="1" x14ac:dyDescent="0.25">
      <c r="A425" s="3" t="s">
        <v>1287</v>
      </c>
      <c r="B425" s="156">
        <v>40</v>
      </c>
      <c r="C425" s="154" t="s">
        <v>8923</v>
      </c>
    </row>
    <row r="426" spans="1:4" ht="15.9" customHeight="1" x14ac:dyDescent="0.25">
      <c r="A426" s="3" t="s">
        <v>1287</v>
      </c>
      <c r="B426" s="156">
        <v>92</v>
      </c>
      <c r="C426" s="154" t="s">
        <v>9405</v>
      </c>
      <c r="D426" s="149" t="s">
        <v>9447</v>
      </c>
    </row>
    <row r="427" spans="1:4" ht="15.9" customHeight="1" x14ac:dyDescent="0.25">
      <c r="A427" s="3" t="s">
        <v>1287</v>
      </c>
      <c r="B427" s="156">
        <v>253</v>
      </c>
      <c r="C427" s="154" t="s">
        <v>8878</v>
      </c>
      <c r="D427" s="149" t="s">
        <v>9447</v>
      </c>
    </row>
    <row r="428" spans="1:4" ht="15.9" customHeight="1" x14ac:dyDescent="0.25">
      <c r="A428" s="3" t="s">
        <v>1287</v>
      </c>
      <c r="B428" s="156">
        <v>341</v>
      </c>
      <c r="C428" s="154" t="s">
        <v>8902</v>
      </c>
    </row>
    <row r="429" spans="1:4" ht="15.9" customHeight="1" x14ac:dyDescent="0.25">
      <c r="A429" s="3" t="s">
        <v>1287</v>
      </c>
      <c r="B429" s="156">
        <v>415</v>
      </c>
      <c r="C429" s="154" t="s">
        <v>8995</v>
      </c>
      <c r="D429" s="149" t="s">
        <v>9447</v>
      </c>
    </row>
    <row r="430" spans="1:4" ht="15.9" customHeight="1" x14ac:dyDescent="0.25">
      <c r="A430" s="3" t="s">
        <v>1287</v>
      </c>
      <c r="B430" s="156">
        <v>416</v>
      </c>
      <c r="C430" s="154" t="s">
        <v>9000</v>
      </c>
      <c r="D430" s="149" t="s">
        <v>9447</v>
      </c>
    </row>
    <row r="431" spans="1:4" ht="15.9" customHeight="1" x14ac:dyDescent="0.25">
      <c r="A431" s="3" t="s">
        <v>1287</v>
      </c>
      <c r="B431" s="156">
        <v>418</v>
      </c>
      <c r="C431" s="154" t="s">
        <v>9015</v>
      </c>
    </row>
    <row r="432" spans="1:4" ht="15.9" customHeight="1" x14ac:dyDescent="0.25">
      <c r="A432" s="3" t="s">
        <v>1287</v>
      </c>
      <c r="B432" s="156">
        <v>419</v>
      </c>
      <c r="C432" s="154" t="s">
        <v>9018</v>
      </c>
    </row>
    <row r="433" spans="1:4" ht="15.9" customHeight="1" x14ac:dyDescent="0.25">
      <c r="A433" s="3" t="s">
        <v>1287</v>
      </c>
      <c r="B433" s="156">
        <v>523</v>
      </c>
      <c r="C433" s="154" t="s">
        <v>9156</v>
      </c>
      <c r="D433" s="149" t="s">
        <v>9446</v>
      </c>
    </row>
    <row r="434" spans="1:4" ht="15.9" customHeight="1" x14ac:dyDescent="0.25">
      <c r="A434" s="3" t="s">
        <v>1287</v>
      </c>
      <c r="B434" s="156">
        <v>525</v>
      </c>
      <c r="C434" s="154" t="s">
        <v>9157</v>
      </c>
    </row>
    <row r="435" spans="1:4" ht="15.9" customHeight="1" x14ac:dyDescent="0.25">
      <c r="A435" s="3" t="s">
        <v>1287</v>
      </c>
      <c r="B435" s="156">
        <v>526</v>
      </c>
      <c r="C435" s="154" t="s">
        <v>9158</v>
      </c>
    </row>
    <row r="436" spans="1:4" ht="15.9" customHeight="1" x14ac:dyDescent="0.25">
      <c r="A436" s="3" t="s">
        <v>1287</v>
      </c>
      <c r="B436" s="156">
        <v>712</v>
      </c>
      <c r="C436" s="154" t="s">
        <v>9300</v>
      </c>
    </row>
    <row r="437" spans="1:4" ht="15.9" customHeight="1" x14ac:dyDescent="0.25">
      <c r="A437" s="3" t="s">
        <v>1287</v>
      </c>
      <c r="B437" s="156">
        <v>1135</v>
      </c>
      <c r="C437" s="154" t="s">
        <v>8791</v>
      </c>
    </row>
    <row r="438" spans="1:4" ht="15.9" customHeight="1" x14ac:dyDescent="0.25">
      <c r="A438" s="3" t="s">
        <v>1287</v>
      </c>
      <c r="B438" s="156">
        <v>1138</v>
      </c>
      <c r="C438" s="154" t="s">
        <v>8793</v>
      </c>
    </row>
    <row r="439" spans="1:4" ht="15.9" customHeight="1" x14ac:dyDescent="0.25">
      <c r="A439" s="3" t="s">
        <v>1287</v>
      </c>
      <c r="B439" s="156">
        <v>1139</v>
      </c>
      <c r="C439" s="154" t="s">
        <v>8794</v>
      </c>
    </row>
    <row r="440" spans="1:4" ht="15.9" customHeight="1" x14ac:dyDescent="0.25">
      <c r="A440" s="3" t="s">
        <v>1287</v>
      </c>
      <c r="B440" s="156">
        <v>1173</v>
      </c>
      <c r="C440" s="154" t="s">
        <v>8798</v>
      </c>
    </row>
    <row r="441" spans="1:4" ht="15.9" customHeight="1" x14ac:dyDescent="0.25">
      <c r="A441" s="3" t="s">
        <v>1287</v>
      </c>
      <c r="B441" s="156">
        <v>2000</v>
      </c>
      <c r="C441" s="154" t="s">
        <v>8829</v>
      </c>
    </row>
    <row r="442" spans="1:4" ht="15.9" customHeight="1" x14ac:dyDescent="0.25">
      <c r="A442" s="3" t="s">
        <v>1287</v>
      </c>
      <c r="B442" s="156">
        <v>2001</v>
      </c>
      <c r="C442" s="154" t="s">
        <v>8830</v>
      </c>
    </row>
    <row r="443" spans="1:4" ht="15.9" customHeight="1" x14ac:dyDescent="0.25">
      <c r="A443" s="3" t="s">
        <v>1287</v>
      </c>
      <c r="B443" s="156">
        <v>2002</v>
      </c>
      <c r="C443" s="154" t="s">
        <v>8831</v>
      </c>
    </row>
    <row r="444" spans="1:4" ht="15.9" customHeight="1" x14ac:dyDescent="0.25">
      <c r="A444" s="3" t="s">
        <v>1287</v>
      </c>
      <c r="B444" s="156">
        <v>2004</v>
      </c>
      <c r="C444" s="154" t="s">
        <v>8832</v>
      </c>
    </row>
    <row r="445" spans="1:4" ht="15.9" customHeight="1" x14ac:dyDescent="0.25">
      <c r="A445" s="3" t="s">
        <v>1287</v>
      </c>
      <c r="B445" s="156">
        <v>2005</v>
      </c>
      <c r="C445" s="154" t="s">
        <v>8833</v>
      </c>
    </row>
    <row r="446" spans="1:4" ht="15.9" customHeight="1" x14ac:dyDescent="0.25">
      <c r="A446" s="3" t="s">
        <v>1287</v>
      </c>
      <c r="B446" s="156">
        <v>2007</v>
      </c>
      <c r="C446" s="154" t="s">
        <v>8834</v>
      </c>
    </row>
    <row r="447" spans="1:4" ht="15.9" customHeight="1" x14ac:dyDescent="0.25">
      <c r="A447" s="3" t="s">
        <v>1287</v>
      </c>
      <c r="B447" s="156">
        <v>2008</v>
      </c>
      <c r="C447" s="154" t="s">
        <v>8835</v>
      </c>
    </row>
    <row r="448" spans="1:4" ht="15.9" customHeight="1" x14ac:dyDescent="0.25">
      <c r="A448" s="3" t="s">
        <v>1287</v>
      </c>
      <c r="B448" s="156">
        <v>2009</v>
      </c>
      <c r="C448" s="154" t="s">
        <v>8836</v>
      </c>
    </row>
    <row r="449" spans="1:3" ht="15.9" customHeight="1" x14ac:dyDescent="0.25">
      <c r="A449" s="3" t="s">
        <v>1287</v>
      </c>
      <c r="B449" s="156">
        <v>2010</v>
      </c>
      <c r="C449" s="154" t="s">
        <v>8837</v>
      </c>
    </row>
    <row r="450" spans="1:3" ht="15.9" customHeight="1" x14ac:dyDescent="0.25">
      <c r="A450" s="3" t="s">
        <v>1287</v>
      </c>
      <c r="B450" s="156">
        <v>2011</v>
      </c>
      <c r="C450" s="154" t="s">
        <v>8838</v>
      </c>
    </row>
    <row r="451" spans="1:3" ht="15.9" customHeight="1" x14ac:dyDescent="0.25">
      <c r="A451" s="3" t="s">
        <v>1287</v>
      </c>
      <c r="B451" s="156">
        <v>2012</v>
      </c>
      <c r="C451" s="154" t="s">
        <v>8839</v>
      </c>
    </row>
    <row r="452" spans="1:3" ht="15.9" customHeight="1" x14ac:dyDescent="0.25">
      <c r="A452" s="3" t="s">
        <v>1287</v>
      </c>
      <c r="B452" s="156">
        <v>2013</v>
      </c>
      <c r="C452" s="154" t="s">
        <v>8840</v>
      </c>
    </row>
    <row r="453" spans="1:3" ht="15.9" customHeight="1" x14ac:dyDescent="0.25">
      <c r="A453" s="3" t="s">
        <v>1287</v>
      </c>
      <c r="B453" s="156">
        <v>2014</v>
      </c>
      <c r="C453" s="154" t="s">
        <v>8841</v>
      </c>
    </row>
    <row r="454" spans="1:3" ht="15.9" customHeight="1" x14ac:dyDescent="0.25">
      <c r="A454" s="3" t="s">
        <v>1287</v>
      </c>
      <c r="B454" s="156">
        <v>2015</v>
      </c>
      <c r="C454" s="154" t="s">
        <v>8842</v>
      </c>
    </row>
    <row r="455" spans="1:3" ht="15.9" customHeight="1" x14ac:dyDescent="0.25">
      <c r="A455" s="3" t="s">
        <v>1287</v>
      </c>
      <c r="B455" s="156">
        <v>2016</v>
      </c>
      <c r="C455" s="154" t="s">
        <v>8843</v>
      </c>
    </row>
    <row r="456" spans="1:3" ht="15.9" customHeight="1" x14ac:dyDescent="0.25">
      <c r="A456" s="3" t="s">
        <v>1287</v>
      </c>
      <c r="B456" s="156">
        <v>2017</v>
      </c>
      <c r="C456" s="154" t="s">
        <v>8844</v>
      </c>
    </row>
    <row r="457" spans="1:3" ht="15.9" customHeight="1" x14ac:dyDescent="0.25">
      <c r="A457" s="3" t="s">
        <v>1287</v>
      </c>
      <c r="B457" s="156">
        <v>2018</v>
      </c>
      <c r="C457" s="154" t="s">
        <v>8845</v>
      </c>
    </row>
    <row r="458" spans="1:3" ht="15.9" customHeight="1" x14ac:dyDescent="0.25">
      <c r="A458" s="3" t="s">
        <v>1287</v>
      </c>
      <c r="B458" s="156">
        <v>2019</v>
      </c>
      <c r="C458" s="154" t="s">
        <v>8846</v>
      </c>
    </row>
    <row r="459" spans="1:3" ht="15.9" customHeight="1" x14ac:dyDescent="0.25">
      <c r="A459" s="3" t="s">
        <v>1287</v>
      </c>
      <c r="B459" s="156">
        <v>2020</v>
      </c>
      <c r="C459" s="154" t="s">
        <v>8847</v>
      </c>
    </row>
    <row r="460" spans="1:3" ht="15.9" customHeight="1" x14ac:dyDescent="0.25">
      <c r="A460" s="3" t="s">
        <v>1287</v>
      </c>
      <c r="B460" s="156">
        <v>2022</v>
      </c>
      <c r="C460" s="154" t="s">
        <v>8848</v>
      </c>
    </row>
    <row r="461" spans="1:3" ht="15.9" customHeight="1" x14ac:dyDescent="0.25">
      <c r="A461" s="3" t="s">
        <v>1287</v>
      </c>
      <c r="B461" s="156">
        <v>2023</v>
      </c>
      <c r="C461" s="154" t="s">
        <v>8849</v>
      </c>
    </row>
    <row r="462" spans="1:3" ht="15.9" customHeight="1" x14ac:dyDescent="0.25">
      <c r="A462" s="3" t="s">
        <v>1287</v>
      </c>
      <c r="B462" s="156">
        <v>2024</v>
      </c>
      <c r="C462" s="154" t="s">
        <v>8850</v>
      </c>
    </row>
    <row r="463" spans="1:3" ht="15.9" customHeight="1" x14ac:dyDescent="0.25">
      <c r="A463" s="3" t="s">
        <v>1287</v>
      </c>
      <c r="B463" s="156">
        <v>2025</v>
      </c>
      <c r="C463" s="154" t="s">
        <v>8851</v>
      </c>
    </row>
    <row r="464" spans="1:3" ht="15.9" customHeight="1" x14ac:dyDescent="0.25">
      <c r="A464" s="3" t="s">
        <v>1287</v>
      </c>
      <c r="B464" s="156">
        <v>2026</v>
      </c>
      <c r="C464" s="154" t="s">
        <v>8852</v>
      </c>
    </row>
    <row r="465" spans="1:4" ht="15.9" customHeight="1" x14ac:dyDescent="0.25">
      <c r="A465" s="3" t="s">
        <v>1287</v>
      </c>
      <c r="B465" s="156">
        <v>2027</v>
      </c>
      <c r="C465" s="154" t="s">
        <v>8853</v>
      </c>
    </row>
    <row r="466" spans="1:4" ht="15.9" customHeight="1" x14ac:dyDescent="0.25">
      <c r="A466" s="3" t="s">
        <v>1287</v>
      </c>
      <c r="B466" s="156">
        <v>2028</v>
      </c>
      <c r="C466" s="154" t="s">
        <v>8854</v>
      </c>
    </row>
    <row r="467" spans="1:4" ht="15.9" customHeight="1" x14ac:dyDescent="0.25">
      <c r="A467" s="3" t="s">
        <v>1287</v>
      </c>
      <c r="B467" s="156">
        <v>2030</v>
      </c>
      <c r="C467" s="154" t="s">
        <v>8856</v>
      </c>
    </row>
    <row r="468" spans="1:4" ht="15.9" customHeight="1" x14ac:dyDescent="0.25">
      <c r="A468" s="3" t="s">
        <v>1287</v>
      </c>
      <c r="B468" s="156">
        <v>2031</v>
      </c>
      <c r="C468" s="154" t="s">
        <v>8857</v>
      </c>
    </row>
    <row r="469" spans="1:4" ht="15.9" customHeight="1" x14ac:dyDescent="0.25">
      <c r="A469" s="3" t="s">
        <v>1287</v>
      </c>
      <c r="B469" s="156">
        <v>2032</v>
      </c>
      <c r="C469" s="154" t="s">
        <v>8858</v>
      </c>
    </row>
    <row r="470" spans="1:4" ht="15.9" customHeight="1" x14ac:dyDescent="0.25">
      <c r="A470" s="3" t="s">
        <v>1287</v>
      </c>
      <c r="B470" s="156">
        <v>4058</v>
      </c>
      <c r="C470" s="154" t="s">
        <v>8951</v>
      </c>
    </row>
    <row r="471" spans="1:4" ht="15.9" customHeight="1" x14ac:dyDescent="0.25">
      <c r="A471" s="3" t="s">
        <v>1287</v>
      </c>
      <c r="B471" s="156">
        <v>4141</v>
      </c>
      <c r="C471" s="154" t="s">
        <v>8991</v>
      </c>
      <c r="D471" s="149" t="s">
        <v>9459</v>
      </c>
    </row>
    <row r="472" spans="1:4" ht="15.9" customHeight="1" x14ac:dyDescent="0.25">
      <c r="A472" s="3" t="s">
        <v>1287</v>
      </c>
      <c r="B472" s="156">
        <v>4142</v>
      </c>
      <c r="C472" s="154" t="s">
        <v>8992</v>
      </c>
      <c r="D472" s="149" t="s">
        <v>9459</v>
      </c>
    </row>
    <row r="473" spans="1:4" ht="15.9" customHeight="1" x14ac:dyDescent="0.25">
      <c r="A473" s="3" t="s">
        <v>1287</v>
      </c>
      <c r="B473" s="156">
        <v>4143</v>
      </c>
      <c r="C473" s="154" t="s">
        <v>8993</v>
      </c>
      <c r="D473" s="149" t="s">
        <v>9447</v>
      </c>
    </row>
    <row r="474" spans="1:4" ht="15.9" customHeight="1" x14ac:dyDescent="0.25">
      <c r="A474" s="3" t="s">
        <v>1287</v>
      </c>
      <c r="B474" s="156">
        <v>4144</v>
      </c>
      <c r="C474" s="154" t="s">
        <v>8994</v>
      </c>
      <c r="D474" s="149" t="s">
        <v>9447</v>
      </c>
    </row>
    <row r="475" spans="1:4" ht="15.9" customHeight="1" x14ac:dyDescent="0.25">
      <c r="A475" s="3" t="s">
        <v>1287</v>
      </c>
      <c r="B475" s="156">
        <v>4150</v>
      </c>
      <c r="C475" s="154" t="s">
        <v>8996</v>
      </c>
      <c r="D475" s="149" t="s">
        <v>9444</v>
      </c>
    </row>
    <row r="476" spans="1:4" ht="15.9" customHeight="1" x14ac:dyDescent="0.25">
      <c r="A476" s="3" t="s">
        <v>1287</v>
      </c>
      <c r="B476" s="156">
        <v>4272</v>
      </c>
      <c r="C476" s="154" t="s">
        <v>9035</v>
      </c>
    </row>
    <row r="477" spans="1:4" ht="15.9" customHeight="1" x14ac:dyDescent="0.25">
      <c r="A477" s="3" t="s">
        <v>1287</v>
      </c>
      <c r="B477" s="156">
        <v>4501</v>
      </c>
      <c r="C477" s="154" t="s">
        <v>9107</v>
      </c>
      <c r="D477" s="149" t="s">
        <v>9459</v>
      </c>
    </row>
    <row r="478" spans="1:4" ht="15.9" customHeight="1" x14ac:dyDescent="0.25">
      <c r="A478" s="3" t="s">
        <v>1287</v>
      </c>
      <c r="B478" s="156">
        <v>4502</v>
      </c>
      <c r="C478" s="154" t="s">
        <v>9108</v>
      </c>
      <c r="D478" s="149" t="s">
        <v>9459</v>
      </c>
    </row>
    <row r="479" spans="1:4" ht="15.9" customHeight="1" x14ac:dyDescent="0.25">
      <c r="A479" s="3" t="s">
        <v>1287</v>
      </c>
      <c r="B479" s="156">
        <v>4549</v>
      </c>
      <c r="C479" s="154" t="s">
        <v>8524</v>
      </c>
    </row>
    <row r="480" spans="1:4" ht="15.9" customHeight="1" x14ac:dyDescent="0.25">
      <c r="A480" s="3" t="s">
        <v>1287</v>
      </c>
      <c r="B480" s="156">
        <v>4550</v>
      </c>
      <c r="C480" s="154" t="s">
        <v>8525</v>
      </c>
    </row>
    <row r="481" spans="1:4" ht="15.9" customHeight="1" x14ac:dyDescent="0.25">
      <c r="A481" s="3" t="s">
        <v>1287</v>
      </c>
      <c r="B481" s="156">
        <v>4601</v>
      </c>
      <c r="C481" s="154" t="s">
        <v>9132</v>
      </c>
      <c r="D481" s="149" t="s">
        <v>9447</v>
      </c>
    </row>
    <row r="482" spans="1:4" ht="15.9" customHeight="1" x14ac:dyDescent="0.25">
      <c r="A482" s="3" t="s">
        <v>1287</v>
      </c>
      <c r="B482" s="156">
        <v>4602</v>
      </c>
      <c r="C482" s="154" t="s">
        <v>9133</v>
      </c>
      <c r="D482" s="149" t="s">
        <v>9447</v>
      </c>
    </row>
    <row r="483" spans="1:4" ht="15.9" customHeight="1" x14ac:dyDescent="0.25">
      <c r="A483" s="3" t="s">
        <v>1287</v>
      </c>
      <c r="B483" s="156">
        <v>4603</v>
      </c>
      <c r="C483" s="154" t="s">
        <v>9134</v>
      </c>
      <c r="D483" s="149" t="s">
        <v>9459</v>
      </c>
    </row>
    <row r="484" spans="1:4" ht="15.9" customHeight="1" x14ac:dyDescent="0.25">
      <c r="A484" s="3" t="s">
        <v>1287</v>
      </c>
      <c r="B484" s="156">
        <v>4604</v>
      </c>
      <c r="C484" s="154" t="s">
        <v>9135</v>
      </c>
      <c r="D484" s="149" t="s">
        <v>9447</v>
      </c>
    </row>
    <row r="485" spans="1:4" ht="15.9" customHeight="1" x14ac:dyDescent="0.25">
      <c r="A485" s="3" t="s">
        <v>1287</v>
      </c>
      <c r="B485" s="156">
        <v>4605</v>
      </c>
      <c r="C485" s="154" t="s">
        <v>9136</v>
      </c>
      <c r="D485" s="149" t="s">
        <v>9447</v>
      </c>
    </row>
    <row r="486" spans="1:4" ht="15.9" customHeight="1" x14ac:dyDescent="0.25">
      <c r="A486" s="3" t="s">
        <v>1287</v>
      </c>
      <c r="B486" s="156">
        <v>4606</v>
      </c>
      <c r="C486" s="154" t="s">
        <v>9137</v>
      </c>
      <c r="D486" s="149" t="s">
        <v>9447</v>
      </c>
    </row>
    <row r="487" spans="1:4" ht="15.9" customHeight="1" x14ac:dyDescent="0.25">
      <c r="A487" s="3" t="s">
        <v>1287</v>
      </c>
      <c r="B487" s="156">
        <v>4607</v>
      </c>
      <c r="C487" s="154" t="s">
        <v>9138</v>
      </c>
      <c r="D487" s="149" t="s">
        <v>9459</v>
      </c>
    </row>
    <row r="488" spans="1:4" ht="15.9" customHeight="1" x14ac:dyDescent="0.25">
      <c r="A488" s="3" t="s">
        <v>1287</v>
      </c>
      <c r="B488" s="156">
        <v>4608</v>
      </c>
      <c r="C488" s="154" t="s">
        <v>9139</v>
      </c>
      <c r="D488" s="149" t="s">
        <v>9447</v>
      </c>
    </row>
    <row r="489" spans="1:4" ht="15.9" customHeight="1" x14ac:dyDescent="0.25">
      <c r="A489" s="3" t="s">
        <v>1287</v>
      </c>
      <c r="B489" s="156">
        <v>6091</v>
      </c>
      <c r="C489" s="154" t="s">
        <v>9220</v>
      </c>
    </row>
    <row r="490" spans="1:4" ht="15.9" customHeight="1" x14ac:dyDescent="0.25">
      <c r="A490" s="3" t="s">
        <v>1287</v>
      </c>
      <c r="B490" s="156">
        <v>6092</v>
      </c>
      <c r="C490" s="154" t="s">
        <v>9221</v>
      </c>
    </row>
    <row r="491" spans="1:4" ht="15.9" customHeight="1" x14ac:dyDescent="0.25">
      <c r="A491" s="3" t="s">
        <v>1287</v>
      </c>
      <c r="B491" s="156">
        <v>6093</v>
      </c>
      <c r="C491" s="154" t="s">
        <v>9222</v>
      </c>
    </row>
    <row r="492" spans="1:4" ht="15.9" customHeight="1" x14ac:dyDescent="0.25">
      <c r="A492" s="3" t="s">
        <v>1287</v>
      </c>
      <c r="B492" s="156">
        <v>6094</v>
      </c>
      <c r="C492" s="154" t="s">
        <v>9223</v>
      </c>
    </row>
    <row r="493" spans="1:4" ht="15.9" customHeight="1" x14ac:dyDescent="0.25">
      <c r="A493" s="3" t="s">
        <v>1287</v>
      </c>
      <c r="B493" s="156">
        <v>6095</v>
      </c>
      <c r="C493" s="154" t="s">
        <v>9224</v>
      </c>
    </row>
    <row r="494" spans="1:4" ht="15.9" customHeight="1" x14ac:dyDescent="0.25">
      <c r="A494" s="3" t="s">
        <v>1287</v>
      </c>
      <c r="B494" s="156">
        <v>6096</v>
      </c>
      <c r="C494" s="154" t="s">
        <v>9225</v>
      </c>
    </row>
    <row r="495" spans="1:4" ht="15.9" customHeight="1" x14ac:dyDescent="0.25">
      <c r="A495" s="3" t="s">
        <v>1287</v>
      </c>
      <c r="B495" s="156">
        <v>6097</v>
      </c>
      <c r="C495" s="154" t="s">
        <v>9225</v>
      </c>
    </row>
    <row r="496" spans="1:4" ht="15.9" customHeight="1" x14ac:dyDescent="0.25">
      <c r="A496" s="3" t="s">
        <v>1287</v>
      </c>
      <c r="B496" s="156">
        <v>6098</v>
      </c>
      <c r="C496" s="154" t="s">
        <v>9226</v>
      </c>
    </row>
    <row r="497" spans="1:4" ht="15.9" customHeight="1" x14ac:dyDescent="0.25">
      <c r="A497" s="3" t="s">
        <v>1287</v>
      </c>
      <c r="B497" s="156">
        <v>6099</v>
      </c>
      <c r="C497" s="154" t="s">
        <v>9227</v>
      </c>
    </row>
    <row r="498" spans="1:4" ht="15.9" customHeight="1" x14ac:dyDescent="0.25">
      <c r="A498" s="3" t="s">
        <v>1287</v>
      </c>
      <c r="B498" s="156">
        <v>6100</v>
      </c>
      <c r="C498" s="154" t="s">
        <v>9228</v>
      </c>
    </row>
    <row r="499" spans="1:4" ht="15.9" customHeight="1" x14ac:dyDescent="0.25">
      <c r="A499" s="3" t="s">
        <v>1287</v>
      </c>
      <c r="B499" s="156">
        <v>6103</v>
      </c>
      <c r="C499" s="154" t="s">
        <v>9229</v>
      </c>
      <c r="D499" s="149" t="s">
        <v>9445</v>
      </c>
    </row>
    <row r="500" spans="1:4" ht="15.9" customHeight="1" x14ac:dyDescent="0.25">
      <c r="A500" s="3" t="s">
        <v>1287</v>
      </c>
      <c r="B500" s="156">
        <v>6106</v>
      </c>
      <c r="C500" s="154" t="s">
        <v>9230</v>
      </c>
      <c r="D500" s="149" t="s">
        <v>9444</v>
      </c>
    </row>
    <row r="501" spans="1:4" ht="15.9" customHeight="1" x14ac:dyDescent="0.25">
      <c r="A501" s="3" t="s">
        <v>1287</v>
      </c>
      <c r="B501" s="156">
        <v>6109</v>
      </c>
      <c r="C501" s="154" t="s">
        <v>9231</v>
      </c>
    </row>
    <row r="502" spans="1:4" ht="15.9" customHeight="1" x14ac:dyDescent="0.25">
      <c r="A502" s="3" t="s">
        <v>1287</v>
      </c>
      <c r="B502" s="156">
        <v>6112</v>
      </c>
      <c r="C502" s="154" t="s">
        <v>9232</v>
      </c>
    </row>
    <row r="503" spans="1:4" ht="15.9" customHeight="1" x14ac:dyDescent="0.25">
      <c r="A503" s="3" t="s">
        <v>1287</v>
      </c>
      <c r="B503" s="156">
        <v>6115</v>
      </c>
      <c r="C503" s="154" t="s">
        <v>9233</v>
      </c>
    </row>
    <row r="504" spans="1:4" ht="15.9" customHeight="1" x14ac:dyDescent="0.25">
      <c r="A504" s="3" t="s">
        <v>1287</v>
      </c>
      <c r="B504" s="156">
        <v>6116</v>
      </c>
      <c r="C504" s="154" t="s">
        <v>9234</v>
      </c>
    </row>
    <row r="505" spans="1:4" ht="15.9" customHeight="1" x14ac:dyDescent="0.25">
      <c r="A505" s="3" t="s">
        <v>1287</v>
      </c>
      <c r="B505" s="156">
        <v>6117</v>
      </c>
      <c r="C505" s="154" t="s">
        <v>9235</v>
      </c>
    </row>
    <row r="506" spans="1:4" ht="15.9" customHeight="1" x14ac:dyDescent="0.25">
      <c r="A506" s="3" t="s">
        <v>1287</v>
      </c>
      <c r="B506" s="156">
        <v>6118</v>
      </c>
      <c r="C506" s="154" t="s">
        <v>9236</v>
      </c>
    </row>
    <row r="507" spans="1:4" ht="15.9" customHeight="1" x14ac:dyDescent="0.25">
      <c r="A507" s="3" t="s">
        <v>1287</v>
      </c>
      <c r="B507" s="156">
        <v>6129</v>
      </c>
      <c r="C507" s="154" t="s">
        <v>9237</v>
      </c>
    </row>
    <row r="508" spans="1:4" ht="15.9" customHeight="1" x14ac:dyDescent="0.25">
      <c r="A508" s="3" t="s">
        <v>1287</v>
      </c>
      <c r="B508" s="156">
        <v>6130</v>
      </c>
      <c r="C508" s="154" t="s">
        <v>9237</v>
      </c>
    </row>
    <row r="509" spans="1:4" ht="15.9" customHeight="1" x14ac:dyDescent="0.25">
      <c r="A509" s="3" t="s">
        <v>1287</v>
      </c>
      <c r="B509" s="156">
        <v>6131</v>
      </c>
      <c r="C509" s="154" t="s">
        <v>9237</v>
      </c>
    </row>
    <row r="510" spans="1:4" ht="15.9" customHeight="1" x14ac:dyDescent="0.25">
      <c r="A510" s="3" t="s">
        <v>1287</v>
      </c>
      <c r="B510" s="156">
        <v>6132</v>
      </c>
      <c r="C510" s="154" t="s">
        <v>9237</v>
      </c>
    </row>
    <row r="511" spans="1:4" ht="15.9" customHeight="1" x14ac:dyDescent="0.25">
      <c r="A511" s="3" t="s">
        <v>1287</v>
      </c>
      <c r="B511" s="156">
        <v>6133</v>
      </c>
      <c r="C511" s="154" t="s">
        <v>9238</v>
      </c>
    </row>
    <row r="512" spans="1:4" ht="15.9" customHeight="1" x14ac:dyDescent="0.25">
      <c r="A512" s="3" t="s">
        <v>1287</v>
      </c>
      <c r="B512" s="156">
        <v>6134</v>
      </c>
      <c r="C512" s="154" t="s">
        <v>9238</v>
      </c>
    </row>
    <row r="513" spans="1:3" ht="15.9" customHeight="1" x14ac:dyDescent="0.25">
      <c r="A513" s="3" t="s">
        <v>1287</v>
      </c>
      <c r="B513" s="156">
        <v>6135</v>
      </c>
      <c r="C513" s="154" t="s">
        <v>9238</v>
      </c>
    </row>
    <row r="514" spans="1:3" ht="15.9" customHeight="1" x14ac:dyDescent="0.25">
      <c r="A514" s="3" t="s">
        <v>1287</v>
      </c>
      <c r="B514" s="156">
        <v>6136</v>
      </c>
      <c r="C514" s="154" t="s">
        <v>9238</v>
      </c>
    </row>
    <row r="515" spans="1:3" ht="15.9" customHeight="1" x14ac:dyDescent="0.25">
      <c r="A515" s="3" t="s">
        <v>1287</v>
      </c>
      <c r="B515" s="156">
        <v>6137</v>
      </c>
      <c r="C515" s="154" t="s">
        <v>9239</v>
      </c>
    </row>
    <row r="516" spans="1:3" ht="15.9" customHeight="1" x14ac:dyDescent="0.25">
      <c r="A516" s="3" t="s">
        <v>1287</v>
      </c>
      <c r="B516" s="156">
        <v>6138</v>
      </c>
      <c r="C516" s="154" t="s">
        <v>9239</v>
      </c>
    </row>
    <row r="517" spans="1:3" ht="15.9" customHeight="1" x14ac:dyDescent="0.25">
      <c r="A517" s="3" t="s">
        <v>1287</v>
      </c>
      <c r="B517" s="156">
        <v>6139</v>
      </c>
      <c r="C517" s="154" t="s">
        <v>9239</v>
      </c>
    </row>
    <row r="518" spans="1:3" ht="15.9" customHeight="1" x14ac:dyDescent="0.25">
      <c r="A518" s="3" t="s">
        <v>1287</v>
      </c>
      <c r="B518" s="156">
        <v>6140</v>
      </c>
      <c r="C518" s="154" t="s">
        <v>9239</v>
      </c>
    </row>
    <row r="519" spans="1:3" ht="15.9" customHeight="1" x14ac:dyDescent="0.25">
      <c r="A519" s="3" t="s">
        <v>1287</v>
      </c>
      <c r="B519" s="156">
        <v>6141</v>
      </c>
      <c r="C519" s="154" t="s">
        <v>9240</v>
      </c>
    </row>
    <row r="520" spans="1:3" ht="15.9" customHeight="1" x14ac:dyDescent="0.25">
      <c r="A520" s="3" t="s">
        <v>1287</v>
      </c>
      <c r="B520" s="156">
        <v>6142</v>
      </c>
      <c r="C520" s="154" t="s">
        <v>9240</v>
      </c>
    </row>
    <row r="521" spans="1:3" ht="15.9" customHeight="1" x14ac:dyDescent="0.25">
      <c r="A521" s="3" t="s">
        <v>1287</v>
      </c>
      <c r="B521" s="156">
        <v>6143</v>
      </c>
      <c r="C521" s="154" t="s">
        <v>9240</v>
      </c>
    </row>
    <row r="522" spans="1:3" ht="15.9" customHeight="1" x14ac:dyDescent="0.25">
      <c r="A522" s="3" t="s">
        <v>1287</v>
      </c>
      <c r="B522" s="156">
        <v>6144</v>
      </c>
      <c r="C522" s="154" t="s">
        <v>9240</v>
      </c>
    </row>
    <row r="523" spans="1:3" ht="15.9" customHeight="1" x14ac:dyDescent="0.25">
      <c r="A523" s="3" t="s">
        <v>1287</v>
      </c>
      <c r="B523" s="156">
        <v>6145</v>
      </c>
      <c r="C523" s="154" t="s">
        <v>9241</v>
      </c>
    </row>
    <row r="524" spans="1:3" ht="15.9" customHeight="1" x14ac:dyDescent="0.25">
      <c r="A524" s="3" t="s">
        <v>1287</v>
      </c>
      <c r="B524" s="156">
        <v>6146</v>
      </c>
      <c r="C524" s="154" t="s">
        <v>9241</v>
      </c>
    </row>
    <row r="525" spans="1:3" ht="15.9" customHeight="1" x14ac:dyDescent="0.25">
      <c r="A525" s="3" t="s">
        <v>1287</v>
      </c>
      <c r="B525" s="156">
        <v>6147</v>
      </c>
      <c r="C525" s="154" t="s">
        <v>9241</v>
      </c>
    </row>
    <row r="526" spans="1:3" ht="15.9" customHeight="1" x14ac:dyDescent="0.25">
      <c r="A526" s="3" t="s">
        <v>1287</v>
      </c>
      <c r="B526" s="156">
        <v>6148</v>
      </c>
      <c r="C526" s="154" t="s">
        <v>9241</v>
      </c>
    </row>
    <row r="527" spans="1:3" ht="15.9" customHeight="1" x14ac:dyDescent="0.25">
      <c r="A527" s="3" t="s">
        <v>1287</v>
      </c>
      <c r="B527" s="156">
        <v>6154</v>
      </c>
      <c r="C527" s="154" t="s">
        <v>8835</v>
      </c>
    </row>
    <row r="528" spans="1:3" ht="15.9" customHeight="1" x14ac:dyDescent="0.25">
      <c r="A528" s="3" t="s">
        <v>1287</v>
      </c>
      <c r="B528" s="156">
        <v>7023</v>
      </c>
      <c r="C528" s="154" t="s">
        <v>9276</v>
      </c>
    </row>
    <row r="529" spans="1:4" ht="15.9" customHeight="1" x14ac:dyDescent="0.25">
      <c r="A529" s="3" t="s">
        <v>1287</v>
      </c>
      <c r="B529" s="156">
        <v>7024</v>
      </c>
      <c r="C529" s="154" t="s">
        <v>9276</v>
      </c>
    </row>
    <row r="530" spans="1:4" ht="15.9" customHeight="1" x14ac:dyDescent="0.25">
      <c r="A530" s="3" t="s">
        <v>1287</v>
      </c>
      <c r="B530" s="156">
        <v>7025</v>
      </c>
      <c r="C530" s="154" t="s">
        <v>9276</v>
      </c>
    </row>
    <row r="531" spans="1:4" ht="15.9" customHeight="1" x14ac:dyDescent="0.25">
      <c r="A531" s="3" t="s">
        <v>1287</v>
      </c>
      <c r="B531" s="156">
        <v>7026</v>
      </c>
      <c r="C531" s="154" t="s">
        <v>9276</v>
      </c>
    </row>
    <row r="532" spans="1:4" ht="15.9" customHeight="1" x14ac:dyDescent="0.25">
      <c r="A532" s="3" t="s">
        <v>1287</v>
      </c>
      <c r="B532" s="156">
        <v>7027</v>
      </c>
      <c r="C532" s="154" t="s">
        <v>9276</v>
      </c>
    </row>
    <row r="533" spans="1:4" ht="15.9" customHeight="1" x14ac:dyDescent="0.25">
      <c r="A533" s="3" t="s">
        <v>1287</v>
      </c>
      <c r="B533" s="156">
        <v>7028</v>
      </c>
      <c r="C533" s="154" t="s">
        <v>9276</v>
      </c>
    </row>
    <row r="534" spans="1:4" ht="15.9" customHeight="1" x14ac:dyDescent="0.25">
      <c r="A534" s="3" t="s">
        <v>1287</v>
      </c>
      <c r="B534" s="156">
        <v>7029</v>
      </c>
      <c r="C534" s="154" t="s">
        <v>9276</v>
      </c>
    </row>
    <row r="535" spans="1:4" ht="15.9" customHeight="1" x14ac:dyDescent="0.25">
      <c r="A535" s="3" t="s">
        <v>1287</v>
      </c>
      <c r="B535" s="156">
        <v>7030</v>
      </c>
      <c r="C535" s="154" t="s">
        <v>9276</v>
      </c>
    </row>
    <row r="536" spans="1:4" ht="15.9" customHeight="1" x14ac:dyDescent="0.25">
      <c r="A536" s="3" t="s">
        <v>1287</v>
      </c>
      <c r="B536" s="156">
        <v>7031</v>
      </c>
      <c r="C536" s="154" t="s">
        <v>9276</v>
      </c>
    </row>
    <row r="537" spans="1:4" ht="15.9" customHeight="1" x14ac:dyDescent="0.25">
      <c r="A537" s="3" t="s">
        <v>1287</v>
      </c>
      <c r="B537" s="156">
        <v>7056</v>
      </c>
      <c r="C537" s="154" t="s">
        <v>9291</v>
      </c>
    </row>
    <row r="538" spans="1:4" ht="15.9" customHeight="1" x14ac:dyDescent="0.25">
      <c r="A538" s="3" t="s">
        <v>1287</v>
      </c>
      <c r="B538" s="156">
        <v>7057</v>
      </c>
      <c r="C538" s="154" t="s">
        <v>9292</v>
      </c>
    </row>
    <row r="539" spans="1:4" ht="15.9" customHeight="1" x14ac:dyDescent="0.25">
      <c r="A539" s="3" t="s">
        <v>1287</v>
      </c>
      <c r="B539" s="156">
        <v>7058</v>
      </c>
      <c r="C539" s="154" t="s">
        <v>9293</v>
      </c>
    </row>
    <row r="540" spans="1:4" ht="15.9" customHeight="1" x14ac:dyDescent="0.25">
      <c r="A540" s="3" t="s">
        <v>1287</v>
      </c>
      <c r="B540" s="156">
        <v>9122</v>
      </c>
      <c r="C540" s="154" t="s">
        <v>9377</v>
      </c>
    </row>
    <row r="541" spans="1:4" ht="15.9" customHeight="1" x14ac:dyDescent="0.25">
      <c r="A541" s="3" t="s">
        <v>1287</v>
      </c>
      <c r="B541" s="156">
        <v>9133</v>
      </c>
      <c r="C541" s="154" t="s">
        <v>9382</v>
      </c>
      <c r="D541" s="149" t="s">
        <v>9447</v>
      </c>
    </row>
    <row r="542" spans="1:4" ht="15.9" customHeight="1" x14ac:dyDescent="0.25">
      <c r="A542" s="3" t="s">
        <v>1287</v>
      </c>
      <c r="B542" s="156" t="s">
        <v>2098</v>
      </c>
      <c r="C542" s="154" t="s">
        <v>9383</v>
      </c>
      <c r="D542" s="149" t="s">
        <v>9447</v>
      </c>
    </row>
    <row r="543" spans="1:4" ht="15.9" customHeight="1" x14ac:dyDescent="0.25">
      <c r="A543" s="3" t="s">
        <v>1287</v>
      </c>
      <c r="B543" s="156"/>
    </row>
    <row r="544" spans="1:4" ht="15.9" customHeight="1" x14ac:dyDescent="0.25">
      <c r="A544" s="3" t="s">
        <v>1292</v>
      </c>
      <c r="B544" s="156">
        <v>6537</v>
      </c>
      <c r="C544" s="154" t="s">
        <v>9260</v>
      </c>
    </row>
    <row r="545" spans="1:4" ht="15.9" customHeight="1" x14ac:dyDescent="0.25">
      <c r="A545" s="3" t="s">
        <v>1292</v>
      </c>
      <c r="B545" s="156">
        <v>6538</v>
      </c>
      <c r="C545" s="154" t="s">
        <v>9261</v>
      </c>
    </row>
    <row r="546" spans="1:4" ht="15.9" customHeight="1" x14ac:dyDescent="0.25">
      <c r="A546" s="3" t="s">
        <v>8250</v>
      </c>
      <c r="B546" s="156">
        <v>36</v>
      </c>
      <c r="C546" s="154" t="s">
        <v>8907</v>
      </c>
    </row>
    <row r="547" spans="1:4" ht="15.9" customHeight="1" x14ac:dyDescent="0.25">
      <c r="A547" s="3" t="s">
        <v>8251</v>
      </c>
      <c r="B547" s="156">
        <v>1061</v>
      </c>
      <c r="C547" s="154" t="s">
        <v>8783</v>
      </c>
    </row>
    <row r="548" spans="1:4" ht="15.9" customHeight="1" x14ac:dyDescent="0.25">
      <c r="A548" s="3" t="s">
        <v>1704</v>
      </c>
      <c r="B548" s="156">
        <v>4130</v>
      </c>
      <c r="C548" s="154" t="s">
        <v>8985</v>
      </c>
      <c r="D548" s="149" t="s">
        <v>9500</v>
      </c>
    </row>
    <row r="549" spans="1:4" ht="15.9" customHeight="1" x14ac:dyDescent="0.25">
      <c r="A549" s="3" t="s">
        <v>1704</v>
      </c>
      <c r="B549" s="156">
        <v>4360</v>
      </c>
      <c r="C549" s="154" t="s">
        <v>9087</v>
      </c>
    </row>
    <row r="550" spans="1:4" ht="15.9" customHeight="1" x14ac:dyDescent="0.25">
      <c r="A550" s="3" t="s">
        <v>1704</v>
      </c>
      <c r="B550" s="156">
        <v>9182</v>
      </c>
      <c r="C550" s="154" t="s">
        <v>9395</v>
      </c>
    </row>
    <row r="551" spans="1:4" ht="15.9" customHeight="1" x14ac:dyDescent="0.25">
      <c r="A551" s="3" t="s">
        <v>1541</v>
      </c>
      <c r="B551" s="156">
        <v>4274</v>
      </c>
      <c r="C551" s="154" t="s">
        <v>9037</v>
      </c>
    </row>
    <row r="552" spans="1:4" ht="15.9" customHeight="1" x14ac:dyDescent="0.25">
      <c r="A552" s="3" t="s">
        <v>1541</v>
      </c>
      <c r="B552" s="156">
        <v>4539</v>
      </c>
      <c r="C552" s="154" t="s">
        <v>1477</v>
      </c>
    </row>
    <row r="553" spans="1:4" ht="15.9" customHeight="1" x14ac:dyDescent="0.25">
      <c r="A553" s="3" t="s">
        <v>1360</v>
      </c>
      <c r="B553" s="156">
        <v>4118</v>
      </c>
      <c r="C553" s="154" t="s">
        <v>8981</v>
      </c>
    </row>
    <row r="554" spans="1:4" ht="15.9" customHeight="1" x14ac:dyDescent="0.25">
      <c r="A554" s="3" t="s">
        <v>1360</v>
      </c>
      <c r="B554" s="156">
        <v>4119</v>
      </c>
      <c r="C554" s="154" t="s">
        <v>8981</v>
      </c>
    </row>
    <row r="555" spans="1:4" ht="15.9" customHeight="1" x14ac:dyDescent="0.25">
      <c r="A555" s="3" t="s">
        <v>1360</v>
      </c>
      <c r="B555" s="156">
        <v>4121</v>
      </c>
      <c r="C555" s="154" t="s">
        <v>8983</v>
      </c>
    </row>
    <row r="556" spans="1:4" ht="15.9" customHeight="1" x14ac:dyDescent="0.25">
      <c r="A556" s="3" t="s">
        <v>1382</v>
      </c>
      <c r="B556" s="156">
        <v>209</v>
      </c>
      <c r="C556" s="154" t="s">
        <v>8860</v>
      </c>
    </row>
    <row r="557" spans="1:4" ht="15.9" customHeight="1" x14ac:dyDescent="0.25">
      <c r="A557" s="3" t="s">
        <v>1382</v>
      </c>
      <c r="B557" s="156">
        <v>216</v>
      </c>
      <c r="C557" s="154" t="s">
        <v>8865</v>
      </c>
    </row>
    <row r="558" spans="1:4" ht="15.9" customHeight="1" x14ac:dyDescent="0.25">
      <c r="A558" s="3" t="s">
        <v>1382</v>
      </c>
      <c r="B558" s="156">
        <v>218</v>
      </c>
      <c r="C558" s="154" t="s">
        <v>8867</v>
      </c>
    </row>
    <row r="559" spans="1:4" ht="15.9" customHeight="1" x14ac:dyDescent="0.25">
      <c r="A559" s="3" t="s">
        <v>1382</v>
      </c>
      <c r="B559" s="156">
        <v>220</v>
      </c>
      <c r="C559" s="154" t="s">
        <v>8868</v>
      </c>
    </row>
    <row r="560" spans="1:4" ht="15.9" customHeight="1" x14ac:dyDescent="0.25">
      <c r="A560" s="3" t="s">
        <v>1382</v>
      </c>
      <c r="B560" s="156">
        <v>222</v>
      </c>
      <c r="C560" s="154" t="s">
        <v>8869</v>
      </c>
    </row>
    <row r="561" spans="1:4" ht="15.9" customHeight="1" x14ac:dyDescent="0.25">
      <c r="A561" s="3" t="s">
        <v>1382</v>
      </c>
      <c r="B561" s="156">
        <v>225</v>
      </c>
      <c r="C561" s="154" t="s">
        <v>8871</v>
      </c>
    </row>
    <row r="562" spans="1:4" ht="15.9" customHeight="1" x14ac:dyDescent="0.25">
      <c r="A562" s="3" t="s">
        <v>1382</v>
      </c>
      <c r="B562" s="156">
        <v>242</v>
      </c>
      <c r="C562" s="154" t="s">
        <v>8872</v>
      </c>
    </row>
    <row r="563" spans="1:4" ht="15.9" customHeight="1" x14ac:dyDescent="0.25">
      <c r="A563" s="3" t="s">
        <v>1382</v>
      </c>
      <c r="B563" s="156">
        <v>550</v>
      </c>
      <c r="C563" s="154" t="s">
        <v>9172</v>
      </c>
    </row>
    <row r="564" spans="1:4" ht="15.9" customHeight="1" x14ac:dyDescent="0.25">
      <c r="A564" s="3" t="s">
        <v>1382</v>
      </c>
      <c r="B564" s="156">
        <v>1012</v>
      </c>
      <c r="C564" s="154" t="s">
        <v>8776</v>
      </c>
    </row>
    <row r="565" spans="1:4" ht="15.9" customHeight="1" x14ac:dyDescent="0.25">
      <c r="A565" s="3" t="s">
        <v>1382</v>
      </c>
      <c r="B565" s="156">
        <v>1027</v>
      </c>
      <c r="C565" s="154" t="s">
        <v>8779</v>
      </c>
    </row>
    <row r="566" spans="1:4" ht="15.9" customHeight="1" x14ac:dyDescent="0.25">
      <c r="A566" s="3" t="s">
        <v>1382</v>
      </c>
      <c r="B566" s="156">
        <v>1069</v>
      </c>
      <c r="C566" s="154" t="s">
        <v>8785</v>
      </c>
    </row>
    <row r="567" spans="1:4" ht="15.9" customHeight="1" x14ac:dyDescent="0.25">
      <c r="A567" s="3" t="s">
        <v>1382</v>
      </c>
      <c r="B567" s="156">
        <v>1082</v>
      </c>
      <c r="C567" s="154" t="s">
        <v>8788</v>
      </c>
    </row>
    <row r="568" spans="1:4" ht="15.9" customHeight="1" x14ac:dyDescent="0.25">
      <c r="A568" s="3" t="s">
        <v>1382</v>
      </c>
      <c r="B568" s="156">
        <v>1175</v>
      </c>
      <c r="C568" s="154" t="s">
        <v>8799</v>
      </c>
    </row>
    <row r="569" spans="1:4" ht="15.9" customHeight="1" x14ac:dyDescent="0.25">
      <c r="A569" s="3" t="s">
        <v>1815</v>
      </c>
      <c r="B569" s="156">
        <v>5042</v>
      </c>
      <c r="C569" s="154" t="s">
        <v>9145</v>
      </c>
      <c r="D569" s="149" t="s">
        <v>9500</v>
      </c>
    </row>
    <row r="570" spans="1:4" ht="15.9" customHeight="1" x14ac:dyDescent="0.25">
      <c r="A570" s="3" t="s">
        <v>1265</v>
      </c>
      <c r="B570" s="156">
        <v>4519</v>
      </c>
      <c r="C570" s="154" t="s">
        <v>8519</v>
      </c>
    </row>
    <row r="571" spans="1:4" ht="15.9" customHeight="1" x14ac:dyDescent="0.25">
      <c r="A571" s="3" t="s">
        <v>1265</v>
      </c>
      <c r="B571" s="156">
        <v>4520</v>
      </c>
      <c r="C571" s="154" t="s">
        <v>8519</v>
      </c>
    </row>
    <row r="572" spans="1:4" ht="15.9" customHeight="1" x14ac:dyDescent="0.25">
      <c r="A572" s="3" t="s">
        <v>1265</v>
      </c>
      <c r="B572" s="156">
        <v>4522</v>
      </c>
      <c r="C572" s="154" t="s">
        <v>8519</v>
      </c>
    </row>
    <row r="573" spans="1:4" ht="15.9" customHeight="1" x14ac:dyDescent="0.25">
      <c r="A573" s="3" t="s">
        <v>1265</v>
      </c>
      <c r="B573" s="156">
        <v>4524</v>
      </c>
      <c r="C573" s="154" t="s">
        <v>8519</v>
      </c>
    </row>
    <row r="574" spans="1:4" ht="15.9" customHeight="1" x14ac:dyDescent="0.25">
      <c r="A574" s="3" t="s">
        <v>1265</v>
      </c>
      <c r="B574" s="156">
        <v>4525</v>
      </c>
      <c r="C574" s="154" t="s">
        <v>8519</v>
      </c>
    </row>
    <row r="575" spans="1:4" ht="15.9" customHeight="1" x14ac:dyDescent="0.25">
      <c r="A575" s="3" t="s">
        <v>1265</v>
      </c>
      <c r="B575" s="156">
        <v>5017</v>
      </c>
      <c r="C575" s="154" t="s">
        <v>8530</v>
      </c>
      <c r="D575" s="149" t="s">
        <v>9500</v>
      </c>
    </row>
    <row r="576" spans="1:4" ht="15.9" customHeight="1" x14ac:dyDescent="0.25">
      <c r="A576" s="3" t="s">
        <v>1265</v>
      </c>
      <c r="B576" s="156">
        <v>5098</v>
      </c>
      <c r="C576" s="154" t="s">
        <v>8531</v>
      </c>
      <c r="D576" s="149" t="s">
        <v>9500</v>
      </c>
    </row>
    <row r="577" spans="1:4" ht="15.9" customHeight="1" x14ac:dyDescent="0.25">
      <c r="A577" s="3" t="s">
        <v>1265</v>
      </c>
      <c r="B577" s="156">
        <v>5111</v>
      </c>
      <c r="C577" s="154" t="s">
        <v>8532</v>
      </c>
    </row>
    <row r="578" spans="1:4" ht="15.9" customHeight="1" x14ac:dyDescent="0.25">
      <c r="A578" s="3" t="s">
        <v>1265</v>
      </c>
      <c r="B578" s="156">
        <v>5117</v>
      </c>
      <c r="C578" s="154" t="s">
        <v>8533</v>
      </c>
      <c r="D578" s="149" t="s">
        <v>9500</v>
      </c>
    </row>
    <row r="579" spans="1:4" ht="15.9" customHeight="1" x14ac:dyDescent="0.25">
      <c r="A579" s="3" t="s">
        <v>1265</v>
      </c>
      <c r="B579" s="156">
        <v>9189</v>
      </c>
      <c r="C579" s="154" t="s">
        <v>8312</v>
      </c>
    </row>
    <row r="580" spans="1:4" ht="15.9" customHeight="1" x14ac:dyDescent="0.25">
      <c r="A580" s="3" t="s">
        <v>1612</v>
      </c>
      <c r="B580" s="156">
        <v>3191</v>
      </c>
      <c r="C580" s="154" t="s">
        <v>8890</v>
      </c>
    </row>
    <row r="581" spans="1:4" ht="15.9" customHeight="1" x14ac:dyDescent="0.25">
      <c r="A581" s="3" t="s">
        <v>1612</v>
      </c>
      <c r="B581" s="156">
        <v>4160</v>
      </c>
      <c r="C581" s="154" t="s">
        <v>9001</v>
      </c>
    </row>
    <row r="582" spans="1:4" ht="15.9" customHeight="1" x14ac:dyDescent="0.25">
      <c r="A582" s="3" t="s">
        <v>1612</v>
      </c>
      <c r="B582" s="156">
        <v>4174</v>
      </c>
      <c r="C582" s="154" t="s">
        <v>8890</v>
      </c>
    </row>
    <row r="583" spans="1:4" ht="15.9" customHeight="1" x14ac:dyDescent="0.25">
      <c r="A583" s="3" t="s">
        <v>1612</v>
      </c>
      <c r="B583" s="156">
        <v>4562</v>
      </c>
      <c r="C583" s="154" t="s">
        <v>8529</v>
      </c>
      <c r="D583" s="149" t="s">
        <v>9439</v>
      </c>
    </row>
    <row r="584" spans="1:4" ht="15.9" customHeight="1" x14ac:dyDescent="0.25">
      <c r="A584" s="3" t="s">
        <v>1283</v>
      </c>
      <c r="B584" s="156">
        <v>33</v>
      </c>
      <c r="C584" s="154" t="s">
        <v>8899</v>
      </c>
    </row>
    <row r="585" spans="1:4" ht="15.9" customHeight="1" x14ac:dyDescent="0.25">
      <c r="A585" s="3" t="s">
        <v>1283</v>
      </c>
      <c r="B585" s="156">
        <v>156</v>
      </c>
      <c r="C585" s="154" t="s">
        <v>8821</v>
      </c>
    </row>
    <row r="586" spans="1:4" ht="15.9" customHeight="1" x14ac:dyDescent="0.25">
      <c r="A586" s="3" t="s">
        <v>1283</v>
      </c>
      <c r="B586" s="156">
        <v>157</v>
      </c>
      <c r="C586" s="154" t="s">
        <v>8822</v>
      </c>
    </row>
    <row r="587" spans="1:4" ht="15.9" customHeight="1" x14ac:dyDescent="0.25">
      <c r="A587" s="3" t="s">
        <v>1283</v>
      </c>
      <c r="B587" s="156">
        <v>161</v>
      </c>
      <c r="C587" s="154" t="s">
        <v>8824</v>
      </c>
    </row>
    <row r="588" spans="1:4" ht="15.9" customHeight="1" x14ac:dyDescent="0.25">
      <c r="A588" s="3" t="s">
        <v>1283</v>
      </c>
      <c r="B588" s="156">
        <v>162</v>
      </c>
      <c r="C588" s="154" t="s">
        <v>8825</v>
      </c>
    </row>
    <row r="589" spans="1:4" ht="15.9" customHeight="1" x14ac:dyDescent="0.25">
      <c r="A589" s="3" t="s">
        <v>1283</v>
      </c>
      <c r="B589" s="156">
        <v>352</v>
      </c>
      <c r="C589" s="154" t="s">
        <v>8904</v>
      </c>
    </row>
    <row r="590" spans="1:4" ht="15.9" customHeight="1" x14ac:dyDescent="0.25">
      <c r="A590" s="3" t="s">
        <v>1283</v>
      </c>
      <c r="B590" s="156">
        <v>353</v>
      </c>
      <c r="C590" s="154" t="s">
        <v>8905</v>
      </c>
    </row>
    <row r="591" spans="1:4" ht="15.9" customHeight="1" x14ac:dyDescent="0.25">
      <c r="A591" s="3" t="s">
        <v>1283</v>
      </c>
      <c r="B591" s="156">
        <v>356</v>
      </c>
      <c r="C591" s="154" t="s">
        <v>8906</v>
      </c>
    </row>
    <row r="592" spans="1:4" ht="15.9" customHeight="1" x14ac:dyDescent="0.25">
      <c r="A592" s="3" t="s">
        <v>1283</v>
      </c>
      <c r="B592" s="156">
        <v>385</v>
      </c>
      <c r="C592" s="154" t="s">
        <v>8913</v>
      </c>
    </row>
    <row r="593" spans="1:3" ht="15.9" customHeight="1" x14ac:dyDescent="0.25">
      <c r="A593" s="3" t="s">
        <v>1283</v>
      </c>
      <c r="B593" s="156">
        <v>398</v>
      </c>
      <c r="C593" s="154" t="s">
        <v>8922</v>
      </c>
    </row>
    <row r="594" spans="1:3" ht="15.9" customHeight="1" x14ac:dyDescent="0.25">
      <c r="A594" s="3" t="s">
        <v>1283</v>
      </c>
      <c r="B594" s="156">
        <v>408</v>
      </c>
      <c r="C594" s="154" t="s">
        <v>8965</v>
      </c>
    </row>
    <row r="595" spans="1:3" ht="15.9" customHeight="1" x14ac:dyDescent="0.25">
      <c r="A595" s="3" t="s">
        <v>1283</v>
      </c>
      <c r="B595" s="156">
        <v>4030</v>
      </c>
      <c r="C595" s="154" t="s">
        <v>8935</v>
      </c>
    </row>
    <row r="596" spans="1:3" ht="15.9" customHeight="1" x14ac:dyDescent="0.25">
      <c r="A596" s="3" t="s">
        <v>1283</v>
      </c>
      <c r="B596" s="156">
        <v>4031</v>
      </c>
      <c r="C596" s="154" t="s">
        <v>8936</v>
      </c>
    </row>
    <row r="597" spans="1:3" ht="15.9" customHeight="1" x14ac:dyDescent="0.25">
      <c r="A597" s="3" t="s">
        <v>1283</v>
      </c>
      <c r="B597" s="156">
        <v>4032</v>
      </c>
      <c r="C597" s="154" t="s">
        <v>8937</v>
      </c>
    </row>
    <row r="598" spans="1:3" ht="15.9" customHeight="1" x14ac:dyDescent="0.25">
      <c r="A598" s="3" t="s">
        <v>1283</v>
      </c>
      <c r="B598" s="156">
        <v>4033</v>
      </c>
      <c r="C598" s="154" t="s">
        <v>8938</v>
      </c>
    </row>
    <row r="599" spans="1:3" ht="15.9" customHeight="1" x14ac:dyDescent="0.25">
      <c r="A599" s="3" t="s">
        <v>1283</v>
      </c>
      <c r="B599" s="156">
        <v>4053</v>
      </c>
      <c r="C599" s="154" t="s">
        <v>8946</v>
      </c>
    </row>
    <row r="600" spans="1:3" ht="15.9" customHeight="1" x14ac:dyDescent="0.25">
      <c r="A600" s="3" t="s">
        <v>1283</v>
      </c>
      <c r="B600" s="156">
        <v>4054</v>
      </c>
      <c r="C600" s="154" t="s">
        <v>8947</v>
      </c>
    </row>
    <row r="601" spans="1:3" ht="15.9" customHeight="1" x14ac:dyDescent="0.25">
      <c r="A601" s="3" t="s">
        <v>1283</v>
      </c>
      <c r="B601" s="156">
        <v>4055</v>
      </c>
      <c r="C601" s="154" t="s">
        <v>8948</v>
      </c>
    </row>
    <row r="602" spans="1:3" ht="15.9" customHeight="1" x14ac:dyDescent="0.25">
      <c r="A602" s="3" t="s">
        <v>1283</v>
      </c>
      <c r="B602" s="156">
        <v>4056</v>
      </c>
      <c r="C602" s="154" t="s">
        <v>8949</v>
      </c>
    </row>
    <row r="603" spans="1:3" ht="15.9" customHeight="1" x14ac:dyDescent="0.25">
      <c r="A603" s="3" t="s">
        <v>1283</v>
      </c>
      <c r="B603" s="156">
        <v>4069</v>
      </c>
      <c r="C603" s="154" t="s">
        <v>8958</v>
      </c>
    </row>
    <row r="604" spans="1:3" ht="15.9" customHeight="1" x14ac:dyDescent="0.25">
      <c r="A604" s="3" t="s">
        <v>1283</v>
      </c>
      <c r="B604" s="156">
        <v>4070</v>
      </c>
      <c r="C604" s="154" t="s">
        <v>8958</v>
      </c>
    </row>
    <row r="605" spans="1:3" ht="15.9" customHeight="1" x14ac:dyDescent="0.25">
      <c r="A605" s="3" t="s">
        <v>1283</v>
      </c>
      <c r="B605" s="156">
        <v>4102</v>
      </c>
      <c r="C605" s="154" t="s">
        <v>8976</v>
      </c>
    </row>
    <row r="606" spans="1:3" ht="15.9" customHeight="1" x14ac:dyDescent="0.25">
      <c r="A606" s="3" t="s">
        <v>1283</v>
      </c>
      <c r="B606" s="156">
        <v>4103</v>
      </c>
      <c r="C606" s="154" t="s">
        <v>8977</v>
      </c>
    </row>
    <row r="607" spans="1:3" ht="15.9" customHeight="1" x14ac:dyDescent="0.25">
      <c r="A607" s="3" t="s">
        <v>1283</v>
      </c>
      <c r="B607" s="156">
        <v>4104</v>
      </c>
      <c r="C607" s="154" t="s">
        <v>8978</v>
      </c>
    </row>
    <row r="608" spans="1:3" ht="15.9" customHeight="1" x14ac:dyDescent="0.25">
      <c r="A608" s="3" t="s">
        <v>1283</v>
      </c>
      <c r="B608" s="156">
        <v>4105</v>
      </c>
      <c r="C608" s="154" t="s">
        <v>8979</v>
      </c>
    </row>
    <row r="609" spans="1:3" ht="15.9" customHeight="1" x14ac:dyDescent="0.25">
      <c r="A609" s="3" t="s">
        <v>1283</v>
      </c>
      <c r="B609" s="156">
        <v>4173</v>
      </c>
      <c r="C609" s="154" t="s">
        <v>9014</v>
      </c>
    </row>
    <row r="610" spans="1:3" ht="15.9" customHeight="1" x14ac:dyDescent="0.25">
      <c r="A610" s="3" t="s">
        <v>1283</v>
      </c>
      <c r="B610" s="156">
        <v>4277</v>
      </c>
      <c r="C610" s="154" t="s">
        <v>9039</v>
      </c>
    </row>
    <row r="611" spans="1:3" ht="15.9" customHeight="1" x14ac:dyDescent="0.25">
      <c r="A611" s="3" t="s">
        <v>1283</v>
      </c>
      <c r="B611" s="156">
        <v>4278</v>
      </c>
      <c r="C611" s="154" t="s">
        <v>9040</v>
      </c>
    </row>
    <row r="612" spans="1:3" ht="15.9" customHeight="1" x14ac:dyDescent="0.25">
      <c r="A612" s="3" t="s">
        <v>1283</v>
      </c>
      <c r="B612" s="156">
        <v>4279</v>
      </c>
      <c r="C612" s="154" t="s">
        <v>9041</v>
      </c>
    </row>
    <row r="613" spans="1:3" ht="15.9" customHeight="1" x14ac:dyDescent="0.25">
      <c r="A613" s="3" t="s">
        <v>1283</v>
      </c>
      <c r="B613" s="156">
        <v>4280</v>
      </c>
      <c r="C613" s="154" t="s">
        <v>9042</v>
      </c>
    </row>
    <row r="614" spans="1:3" ht="15.9" customHeight="1" x14ac:dyDescent="0.25">
      <c r="A614" s="3" t="s">
        <v>1283</v>
      </c>
      <c r="B614" s="156">
        <v>4281</v>
      </c>
      <c r="C614" s="154" t="s">
        <v>9043</v>
      </c>
    </row>
    <row r="615" spans="1:3" ht="15.9" customHeight="1" x14ac:dyDescent="0.25">
      <c r="A615" s="3" t="s">
        <v>1283</v>
      </c>
      <c r="B615" s="156">
        <v>4282</v>
      </c>
      <c r="C615" s="154" t="s">
        <v>9044</v>
      </c>
    </row>
    <row r="616" spans="1:3" ht="15.9" customHeight="1" x14ac:dyDescent="0.25">
      <c r="A616" s="3" t="s">
        <v>1283</v>
      </c>
      <c r="B616" s="156">
        <v>4312</v>
      </c>
      <c r="C616" s="154" t="s">
        <v>9062</v>
      </c>
    </row>
    <row r="617" spans="1:3" ht="15.9" customHeight="1" x14ac:dyDescent="0.25">
      <c r="A617" s="3" t="s">
        <v>1283</v>
      </c>
      <c r="B617" s="156">
        <v>4313</v>
      </c>
      <c r="C617" s="154" t="s">
        <v>9063</v>
      </c>
    </row>
    <row r="618" spans="1:3" ht="15.9" customHeight="1" x14ac:dyDescent="0.25">
      <c r="A618" s="3" t="s">
        <v>1283</v>
      </c>
      <c r="B618" s="156">
        <v>4351</v>
      </c>
      <c r="C618" s="154" t="s">
        <v>8513</v>
      </c>
    </row>
    <row r="619" spans="1:3" ht="15.9" customHeight="1" x14ac:dyDescent="0.25">
      <c r="A619" s="3" t="s">
        <v>1283</v>
      </c>
      <c r="B619" s="156">
        <v>4355</v>
      </c>
      <c r="C619" s="154" t="s">
        <v>9084</v>
      </c>
    </row>
    <row r="620" spans="1:3" ht="15.9" customHeight="1" x14ac:dyDescent="0.25">
      <c r="A620" s="3" t="s">
        <v>1283</v>
      </c>
      <c r="B620" s="156">
        <v>4356</v>
      </c>
      <c r="C620" s="154" t="s">
        <v>9085</v>
      </c>
    </row>
    <row r="621" spans="1:3" ht="15.9" customHeight="1" x14ac:dyDescent="0.25">
      <c r="A621" s="3" t="s">
        <v>1283</v>
      </c>
      <c r="B621" s="156">
        <v>4506</v>
      </c>
      <c r="C621" s="154" t="s">
        <v>9109</v>
      </c>
    </row>
    <row r="622" spans="1:3" ht="15.9" customHeight="1" x14ac:dyDescent="0.25">
      <c r="A622" s="3" t="s">
        <v>1283</v>
      </c>
      <c r="B622" s="156">
        <v>4507</v>
      </c>
      <c r="C622" s="154" t="s">
        <v>9110</v>
      </c>
    </row>
    <row r="623" spans="1:3" ht="15.9" customHeight="1" x14ac:dyDescent="0.25">
      <c r="A623" s="3" t="s">
        <v>1283</v>
      </c>
      <c r="B623" s="156">
        <v>4513</v>
      </c>
      <c r="C623" s="154" t="s">
        <v>9114</v>
      </c>
    </row>
    <row r="624" spans="1:3" ht="15.9" customHeight="1" x14ac:dyDescent="0.25">
      <c r="A624" s="3" t="s">
        <v>1283</v>
      </c>
      <c r="B624" s="156">
        <v>4514</v>
      </c>
      <c r="C624" s="154" t="s">
        <v>9115</v>
      </c>
    </row>
    <row r="625" spans="1:3" ht="15.9" customHeight="1" x14ac:dyDescent="0.25">
      <c r="A625" s="3" t="s">
        <v>1283</v>
      </c>
      <c r="B625" s="156">
        <v>6030</v>
      </c>
      <c r="C625" s="154" t="s">
        <v>9177</v>
      </c>
    </row>
    <row r="626" spans="1:3" ht="15.9" customHeight="1" x14ac:dyDescent="0.25">
      <c r="A626" s="3" t="s">
        <v>1283</v>
      </c>
      <c r="B626" s="156">
        <v>6031</v>
      </c>
      <c r="C626" s="154" t="s">
        <v>9178</v>
      </c>
    </row>
    <row r="627" spans="1:3" ht="15.9" customHeight="1" x14ac:dyDescent="0.25">
      <c r="A627" s="3" t="s">
        <v>1283</v>
      </c>
      <c r="B627" s="156">
        <v>7012</v>
      </c>
      <c r="C627" s="154" t="s">
        <v>9268</v>
      </c>
    </row>
    <row r="628" spans="1:3" ht="15.9" customHeight="1" x14ac:dyDescent="0.25">
      <c r="A628" s="3" t="s">
        <v>1283</v>
      </c>
      <c r="B628" s="156">
        <v>7013</v>
      </c>
      <c r="C628" s="154" t="s">
        <v>9269</v>
      </c>
    </row>
    <row r="629" spans="1:3" ht="15.9" customHeight="1" x14ac:dyDescent="0.25">
      <c r="A629" s="3" t="s">
        <v>1283</v>
      </c>
      <c r="B629" s="156">
        <v>7014</v>
      </c>
      <c r="C629" s="154" t="s">
        <v>9270</v>
      </c>
    </row>
    <row r="630" spans="1:3" ht="15.9" customHeight="1" x14ac:dyDescent="0.25">
      <c r="A630" s="3" t="s">
        <v>1283</v>
      </c>
      <c r="B630" s="156">
        <v>7015</v>
      </c>
      <c r="C630" s="154" t="s">
        <v>9271</v>
      </c>
    </row>
    <row r="631" spans="1:3" ht="15.9" customHeight="1" x14ac:dyDescent="0.25">
      <c r="A631" s="3" t="s">
        <v>1283</v>
      </c>
      <c r="B631" s="156">
        <v>7016</v>
      </c>
      <c r="C631" s="154" t="s">
        <v>9272</v>
      </c>
    </row>
    <row r="632" spans="1:3" ht="15.9" customHeight="1" x14ac:dyDescent="0.25">
      <c r="A632" s="3" t="s">
        <v>1283</v>
      </c>
      <c r="B632" s="156">
        <v>7017</v>
      </c>
      <c r="C632" s="154" t="s">
        <v>9273</v>
      </c>
    </row>
    <row r="633" spans="1:3" ht="15.9" customHeight="1" x14ac:dyDescent="0.25">
      <c r="A633" s="3" t="s">
        <v>1283</v>
      </c>
      <c r="B633" s="156">
        <v>9015</v>
      </c>
      <c r="C633" s="154" t="s">
        <v>9350</v>
      </c>
    </row>
    <row r="634" spans="1:3" ht="15.9" customHeight="1" x14ac:dyDescent="0.25">
      <c r="A634" s="3" t="s">
        <v>1283</v>
      </c>
      <c r="B634" s="156">
        <v>9016</v>
      </c>
      <c r="C634" s="154" t="s">
        <v>9351</v>
      </c>
    </row>
    <row r="635" spans="1:3" ht="15.9" customHeight="1" x14ac:dyDescent="0.25">
      <c r="A635" s="3" t="s">
        <v>1283</v>
      </c>
      <c r="B635" s="156">
        <v>9017</v>
      </c>
      <c r="C635" s="154" t="s">
        <v>9352</v>
      </c>
    </row>
    <row r="636" spans="1:3" ht="15.9" customHeight="1" x14ac:dyDescent="0.25">
      <c r="A636" s="3" t="s">
        <v>1283</v>
      </c>
      <c r="B636" s="156">
        <v>9018</v>
      </c>
      <c r="C636" s="154" t="s">
        <v>9353</v>
      </c>
    </row>
    <row r="637" spans="1:3" ht="15.9" customHeight="1" x14ac:dyDescent="0.25">
      <c r="A637" s="3" t="s">
        <v>1283</v>
      </c>
      <c r="B637" s="156">
        <v>9068</v>
      </c>
      <c r="C637" s="154" t="s">
        <v>9368</v>
      </c>
    </row>
    <row r="638" spans="1:3" ht="15.9" customHeight="1" x14ac:dyDescent="0.25">
      <c r="A638" s="3" t="s">
        <v>1283</v>
      </c>
      <c r="B638" s="156"/>
    </row>
    <row r="639" spans="1:3" ht="15.9" customHeight="1" x14ac:dyDescent="0.25">
      <c r="A639" s="3" t="s">
        <v>1518</v>
      </c>
      <c r="B639" s="156">
        <v>4094</v>
      </c>
      <c r="C639" s="154" t="s">
        <v>8973</v>
      </c>
    </row>
    <row r="640" spans="1:3" ht="15.9" customHeight="1" x14ac:dyDescent="0.25">
      <c r="A640" s="3" t="s">
        <v>1518</v>
      </c>
      <c r="B640" s="156">
        <v>7062</v>
      </c>
      <c r="C640" s="154" t="s">
        <v>9297</v>
      </c>
    </row>
    <row r="641" spans="1:4" ht="15.9" customHeight="1" x14ac:dyDescent="0.25">
      <c r="A641" s="3" t="s">
        <v>1518</v>
      </c>
      <c r="B641" s="156"/>
    </row>
    <row r="642" spans="1:4" ht="15.9" customHeight="1" x14ac:dyDescent="0.25">
      <c r="A642" s="3" t="s">
        <v>1693</v>
      </c>
      <c r="B642" s="156"/>
      <c r="D642" s="149" t="s">
        <v>8710</v>
      </c>
    </row>
    <row r="643" spans="1:4" ht="15.9" customHeight="1" x14ac:dyDescent="0.25">
      <c r="A643" s="3" t="s">
        <v>1693</v>
      </c>
      <c r="B643" s="156"/>
      <c r="D643" s="149" t="s">
        <v>8711</v>
      </c>
    </row>
    <row r="644" spans="1:4" ht="15.9" customHeight="1" x14ac:dyDescent="0.25">
      <c r="A644" s="3" t="s">
        <v>1344</v>
      </c>
      <c r="B644" s="156">
        <v>97</v>
      </c>
      <c r="C644" s="154" t="s">
        <v>9432</v>
      </c>
      <c r="D644" s="149" t="s">
        <v>9499</v>
      </c>
    </row>
    <row r="645" spans="1:4" ht="15.9" customHeight="1" x14ac:dyDescent="0.25">
      <c r="A645" s="3" t="s">
        <v>1344</v>
      </c>
      <c r="B645" s="156">
        <v>120</v>
      </c>
      <c r="C645" s="154" t="s">
        <v>8802</v>
      </c>
      <c r="D645" s="149" t="s">
        <v>9499</v>
      </c>
    </row>
    <row r="646" spans="1:4" ht="15.9" customHeight="1" x14ac:dyDescent="0.25">
      <c r="A646" s="3" t="s">
        <v>1344</v>
      </c>
      <c r="B646" s="156">
        <v>124</v>
      </c>
      <c r="C646" s="154" t="s">
        <v>8812</v>
      </c>
      <c r="D646" s="149" t="s">
        <v>9499</v>
      </c>
    </row>
    <row r="647" spans="1:4" ht="15.9" customHeight="1" x14ac:dyDescent="0.25">
      <c r="A647" s="3" t="s">
        <v>1344</v>
      </c>
      <c r="B647" s="156">
        <v>125</v>
      </c>
      <c r="C647" s="154" t="s">
        <v>8815</v>
      </c>
      <c r="D647" s="149" t="s">
        <v>9499</v>
      </c>
    </row>
    <row r="648" spans="1:4" ht="15.9" customHeight="1" x14ac:dyDescent="0.25">
      <c r="A648" s="3" t="s">
        <v>1344</v>
      </c>
      <c r="B648" s="156">
        <v>126</v>
      </c>
      <c r="C648" s="154" t="s">
        <v>8816</v>
      </c>
      <c r="D648" s="149" t="s">
        <v>9499</v>
      </c>
    </row>
    <row r="649" spans="1:4" ht="15.9" customHeight="1" x14ac:dyDescent="0.25">
      <c r="A649" s="3" t="s">
        <v>1344</v>
      </c>
      <c r="B649" s="156">
        <v>127</v>
      </c>
      <c r="C649" s="154" t="s">
        <v>8817</v>
      </c>
      <c r="D649" s="149" t="s">
        <v>9499</v>
      </c>
    </row>
    <row r="650" spans="1:4" ht="15.9" customHeight="1" x14ac:dyDescent="0.25">
      <c r="A650" s="3" t="s">
        <v>1344</v>
      </c>
      <c r="B650" s="156">
        <v>4159</v>
      </c>
      <c r="C650" s="154" t="s">
        <v>8999</v>
      </c>
      <c r="D650" s="149" t="s">
        <v>9499</v>
      </c>
    </row>
    <row r="651" spans="1:4" ht="15.9" customHeight="1" x14ac:dyDescent="0.25">
      <c r="A651" s="3" t="s">
        <v>1344</v>
      </c>
      <c r="B651" s="156">
        <v>4164</v>
      </c>
      <c r="C651" s="154" t="s">
        <v>9006</v>
      </c>
      <c r="D651" s="149" t="s">
        <v>9499</v>
      </c>
    </row>
    <row r="652" spans="1:4" ht="15.9" customHeight="1" x14ac:dyDescent="0.25">
      <c r="A652" s="3" t="s">
        <v>1344</v>
      </c>
      <c r="B652" s="156">
        <v>4165</v>
      </c>
      <c r="C652" s="154" t="s">
        <v>9007</v>
      </c>
      <c r="D652" s="149" t="s">
        <v>9499</v>
      </c>
    </row>
    <row r="653" spans="1:4" ht="15.9" customHeight="1" x14ac:dyDescent="0.25">
      <c r="A653" s="3" t="s">
        <v>1344</v>
      </c>
      <c r="B653" s="156">
        <v>4166</v>
      </c>
      <c r="C653" s="154" t="s">
        <v>8802</v>
      </c>
      <c r="D653" s="149" t="s">
        <v>9499</v>
      </c>
    </row>
    <row r="654" spans="1:4" ht="15.9" customHeight="1" x14ac:dyDescent="0.25">
      <c r="A654" s="3" t="s">
        <v>1344</v>
      </c>
      <c r="B654" s="156">
        <v>4316</v>
      </c>
      <c r="C654" s="154" t="s">
        <v>9064</v>
      </c>
      <c r="D654" s="149" t="s">
        <v>9499</v>
      </c>
    </row>
    <row r="655" spans="1:4" ht="15.9" customHeight="1" x14ac:dyDescent="0.25">
      <c r="A655" s="3" t="s">
        <v>1344</v>
      </c>
      <c r="B655" s="156">
        <v>4317</v>
      </c>
      <c r="C655" s="154" t="s">
        <v>9065</v>
      </c>
      <c r="D655" s="149" t="s">
        <v>9499</v>
      </c>
    </row>
    <row r="656" spans="1:4" ht="15.9" customHeight="1" x14ac:dyDescent="0.25">
      <c r="A656" s="3" t="s">
        <v>1344</v>
      </c>
      <c r="B656" s="156">
        <v>4318</v>
      </c>
      <c r="C656" s="154" t="s">
        <v>9066</v>
      </c>
      <c r="D656" s="149" t="s">
        <v>9499</v>
      </c>
    </row>
    <row r="657" spans="1:4" ht="15.9" customHeight="1" x14ac:dyDescent="0.25">
      <c r="A657" s="3" t="s">
        <v>1344</v>
      </c>
      <c r="B657" s="156">
        <v>4319</v>
      </c>
      <c r="C657" s="154" t="s">
        <v>9067</v>
      </c>
      <c r="D657" s="149" t="s">
        <v>9499</v>
      </c>
    </row>
    <row r="658" spans="1:4" ht="15.9" customHeight="1" x14ac:dyDescent="0.25">
      <c r="A658" s="3" t="s">
        <v>1344</v>
      </c>
      <c r="B658" s="156"/>
    </row>
    <row r="659" spans="1:4" ht="15.9" customHeight="1" x14ac:dyDescent="0.25">
      <c r="A659" s="3" t="s">
        <v>1602</v>
      </c>
      <c r="B659" s="156">
        <v>2033</v>
      </c>
      <c r="C659" s="154" t="s">
        <v>8859</v>
      </c>
    </row>
    <row r="660" spans="1:4" ht="15.9" customHeight="1" x14ac:dyDescent="0.25">
      <c r="A660" s="3" t="s">
        <v>1602</v>
      </c>
      <c r="B660" s="156">
        <v>4494</v>
      </c>
      <c r="C660" s="154" t="s">
        <v>8859</v>
      </c>
    </row>
    <row r="661" spans="1:4" ht="15.9" customHeight="1" x14ac:dyDescent="0.25">
      <c r="A661" s="3" t="s">
        <v>1602</v>
      </c>
      <c r="B661" s="156"/>
    </row>
    <row r="662" spans="1:4" ht="15.9" customHeight="1" x14ac:dyDescent="0.25">
      <c r="A662" s="3" t="s">
        <v>1361</v>
      </c>
      <c r="B662" s="156">
        <v>4075</v>
      </c>
      <c r="C662" s="154" t="s">
        <v>8963</v>
      </c>
    </row>
    <row r="663" spans="1:4" ht="15.9" customHeight="1" x14ac:dyDescent="0.25">
      <c r="A663" s="3" t="s">
        <v>1361</v>
      </c>
      <c r="B663" s="156"/>
    </row>
    <row r="664" spans="1:4" ht="15.9" customHeight="1" x14ac:dyDescent="0.25">
      <c r="A664" s="3" t="s">
        <v>1892</v>
      </c>
      <c r="B664" s="156">
        <v>7005</v>
      </c>
      <c r="C664" s="154" t="s">
        <v>9265</v>
      </c>
    </row>
    <row r="665" spans="1:4" ht="15.9" customHeight="1" x14ac:dyDescent="0.25">
      <c r="A665" s="3" t="s">
        <v>1892</v>
      </c>
      <c r="B665" s="156">
        <v>7006</v>
      </c>
      <c r="C665" s="154" t="s">
        <v>9266</v>
      </c>
    </row>
    <row r="666" spans="1:4" ht="15.9" customHeight="1" x14ac:dyDescent="0.25">
      <c r="A666" s="3" t="s">
        <v>1892</v>
      </c>
      <c r="B666" s="156"/>
    </row>
    <row r="667" spans="1:4" ht="15.9" customHeight="1" x14ac:dyDescent="0.25">
      <c r="A667" s="3" t="s">
        <v>1385</v>
      </c>
      <c r="B667" s="156">
        <v>1057</v>
      </c>
      <c r="C667" s="154" t="s">
        <v>8782</v>
      </c>
    </row>
    <row r="668" spans="1:4" ht="15.9" customHeight="1" x14ac:dyDescent="0.25">
      <c r="A668" s="3" t="s">
        <v>1385</v>
      </c>
      <c r="B668" s="156"/>
    </row>
    <row r="669" spans="1:4" ht="15.9" customHeight="1" x14ac:dyDescent="0.25">
      <c r="A669" s="3" t="s">
        <v>1330</v>
      </c>
      <c r="B669" s="156">
        <v>83</v>
      </c>
      <c r="C669" s="154" t="s">
        <v>8982</v>
      </c>
    </row>
    <row r="670" spans="1:4" ht="15.9" customHeight="1" x14ac:dyDescent="0.25">
      <c r="A670" s="3" t="s">
        <v>1330</v>
      </c>
      <c r="B670" s="156">
        <v>210</v>
      </c>
      <c r="C670" s="154" t="s">
        <v>8861</v>
      </c>
    </row>
    <row r="671" spans="1:4" ht="15.9" customHeight="1" x14ac:dyDescent="0.25">
      <c r="A671" s="3" t="s">
        <v>1330</v>
      </c>
      <c r="B671" s="156">
        <v>369</v>
      </c>
      <c r="C671" s="154" t="s">
        <v>8908</v>
      </c>
    </row>
    <row r="672" spans="1:4" ht="15.9" customHeight="1" x14ac:dyDescent="0.25">
      <c r="A672" s="3" t="s">
        <v>1330</v>
      </c>
      <c r="B672" s="156">
        <v>829</v>
      </c>
      <c r="C672" s="154" t="s">
        <v>9336</v>
      </c>
    </row>
    <row r="673" spans="1:4" ht="15.9" customHeight="1" x14ac:dyDescent="0.25">
      <c r="A673" s="3" t="s">
        <v>1330</v>
      </c>
      <c r="B673" s="156">
        <v>830</v>
      </c>
      <c r="C673" s="154" t="s">
        <v>9337</v>
      </c>
    </row>
    <row r="674" spans="1:4" ht="15.9" customHeight="1" x14ac:dyDescent="0.25">
      <c r="A674" s="3" t="s">
        <v>1330</v>
      </c>
      <c r="B674" s="156">
        <v>7032</v>
      </c>
      <c r="C674" s="154" t="s">
        <v>9277</v>
      </c>
    </row>
    <row r="675" spans="1:4" ht="15.9" customHeight="1" x14ac:dyDescent="0.25">
      <c r="A675" s="3" t="s">
        <v>1330</v>
      </c>
      <c r="B675" s="156">
        <v>7033</v>
      </c>
      <c r="C675" s="154" t="s">
        <v>9278</v>
      </c>
    </row>
    <row r="676" spans="1:4" ht="15.9" customHeight="1" x14ac:dyDescent="0.25">
      <c r="A676" s="3" t="s">
        <v>1330</v>
      </c>
      <c r="B676" s="156"/>
    </row>
    <row r="677" spans="1:4" ht="15.9" customHeight="1" x14ac:dyDescent="0.25">
      <c r="A677" s="3" t="s">
        <v>1978</v>
      </c>
      <c r="B677" s="156">
        <v>9168</v>
      </c>
      <c r="C677" s="154" t="s">
        <v>9389</v>
      </c>
    </row>
    <row r="678" spans="1:4" ht="15.9" customHeight="1" x14ac:dyDescent="0.25">
      <c r="A678" s="3" t="s">
        <v>1978</v>
      </c>
      <c r="B678" s="156"/>
    </row>
    <row r="679" spans="1:4" ht="15.9" customHeight="1" x14ac:dyDescent="0.25">
      <c r="A679" s="3" t="s">
        <v>1763</v>
      </c>
      <c r="B679" s="156">
        <v>4304</v>
      </c>
      <c r="C679" s="154" t="s">
        <v>9056</v>
      </c>
      <c r="D679" s="149" t="s">
        <v>9458</v>
      </c>
    </row>
    <row r="680" spans="1:4" ht="15.9" customHeight="1" x14ac:dyDescent="0.25">
      <c r="A680" s="3" t="s">
        <v>1763</v>
      </c>
      <c r="B680" s="156"/>
    </row>
    <row r="681" spans="1:4" ht="15.9" customHeight="1" x14ac:dyDescent="0.25">
      <c r="A681" s="3" t="s">
        <v>1415</v>
      </c>
      <c r="B681" s="156" t="s">
        <v>9505</v>
      </c>
      <c r="C681" s="154" t="s">
        <v>8883</v>
      </c>
      <c r="D681" s="149" t="s">
        <v>9504</v>
      </c>
    </row>
    <row r="682" spans="1:4" ht="15.9" customHeight="1" x14ac:dyDescent="0.25">
      <c r="A682" s="3" t="s">
        <v>1415</v>
      </c>
      <c r="B682" s="156"/>
    </row>
    <row r="683" spans="1:4" ht="15.9" customHeight="1" x14ac:dyDescent="0.25">
      <c r="A683" s="3" t="s">
        <v>1677</v>
      </c>
      <c r="B683" s="156">
        <v>4079</v>
      </c>
      <c r="C683" s="154" t="s">
        <v>8964</v>
      </c>
    </row>
    <row r="684" spans="1:4" ht="15.9" customHeight="1" x14ac:dyDescent="0.25">
      <c r="A684" s="3" t="s">
        <v>1677</v>
      </c>
      <c r="B684" s="156">
        <v>4109</v>
      </c>
      <c r="C684" s="154" t="s">
        <v>8980</v>
      </c>
    </row>
    <row r="685" spans="1:4" ht="15.9" customHeight="1" x14ac:dyDescent="0.25">
      <c r="A685" s="3" t="s">
        <v>1677</v>
      </c>
      <c r="B685" s="156">
        <v>4373</v>
      </c>
      <c r="C685" s="154" t="s">
        <v>9089</v>
      </c>
    </row>
    <row r="686" spans="1:4" ht="15.9" customHeight="1" x14ac:dyDescent="0.25">
      <c r="A686" s="3" t="s">
        <v>1677</v>
      </c>
      <c r="B686" s="156">
        <v>4495</v>
      </c>
      <c r="C686" s="154" t="s">
        <v>8514</v>
      </c>
    </row>
    <row r="687" spans="1:4" ht="15.9" customHeight="1" x14ac:dyDescent="0.25">
      <c r="A687" s="3" t="s">
        <v>1677</v>
      </c>
      <c r="B687" s="156">
        <v>4496</v>
      </c>
      <c r="C687" s="154" t="s">
        <v>8514</v>
      </c>
    </row>
    <row r="688" spans="1:4" ht="15.9" customHeight="1" x14ac:dyDescent="0.25">
      <c r="A688" s="3" t="s">
        <v>1677</v>
      </c>
      <c r="B688" s="156"/>
    </row>
    <row r="689" spans="1:4" ht="15.9" customHeight="1" x14ac:dyDescent="0.25">
      <c r="A689" s="3" t="s">
        <v>1459</v>
      </c>
      <c r="B689" s="156">
        <v>487</v>
      </c>
      <c r="C689" s="154" t="s">
        <v>9141</v>
      </c>
    </row>
    <row r="690" spans="1:4" ht="15.9" customHeight="1" x14ac:dyDescent="0.25">
      <c r="A690" s="3" t="s">
        <v>1459</v>
      </c>
      <c r="B690" s="156">
        <v>489</v>
      </c>
      <c r="C690" s="154" t="s">
        <v>9142</v>
      </c>
    </row>
    <row r="691" spans="1:4" ht="15.9" customHeight="1" x14ac:dyDescent="0.25">
      <c r="A691" s="3" t="s">
        <v>1459</v>
      </c>
      <c r="B691" s="156">
        <v>2100</v>
      </c>
      <c r="C691" s="154" t="s">
        <v>8862</v>
      </c>
    </row>
    <row r="692" spans="1:4" ht="15.9" customHeight="1" x14ac:dyDescent="0.25">
      <c r="A692" s="3" t="s">
        <v>1459</v>
      </c>
      <c r="B692" s="156">
        <v>3143</v>
      </c>
      <c r="C692" s="154" t="s">
        <v>8888</v>
      </c>
    </row>
    <row r="693" spans="1:4" ht="15.9" customHeight="1" x14ac:dyDescent="0.25">
      <c r="A693" s="3" t="s">
        <v>1459</v>
      </c>
      <c r="B693" s="156">
        <v>3350</v>
      </c>
      <c r="C693" s="154" t="s">
        <v>8900</v>
      </c>
    </row>
    <row r="694" spans="1:4" ht="15.9" customHeight="1" x14ac:dyDescent="0.25">
      <c r="A694" s="3" t="s">
        <v>1459</v>
      </c>
      <c r="B694" s="156">
        <v>4039</v>
      </c>
      <c r="C694" s="154" t="s">
        <v>8942</v>
      </c>
    </row>
    <row r="695" spans="1:4" ht="15.9" customHeight="1" x14ac:dyDescent="0.25">
      <c r="A695" s="3" t="s">
        <v>1459</v>
      </c>
      <c r="B695" s="156">
        <v>4249</v>
      </c>
      <c r="C695" s="154" t="s">
        <v>9031</v>
      </c>
    </row>
    <row r="696" spans="1:4" ht="15.9" customHeight="1" x14ac:dyDescent="0.25">
      <c r="A696" s="3" t="s">
        <v>1459</v>
      </c>
      <c r="B696" s="156">
        <v>4288</v>
      </c>
      <c r="C696" s="154" t="s">
        <v>9049</v>
      </c>
    </row>
    <row r="697" spans="1:4" ht="15.9" customHeight="1" x14ac:dyDescent="0.25">
      <c r="A697" s="3" t="s">
        <v>1459</v>
      </c>
      <c r="B697" s="156">
        <v>9006</v>
      </c>
      <c r="C697" s="154" t="s">
        <v>9346</v>
      </c>
    </row>
    <row r="698" spans="1:4" ht="15.9" customHeight="1" x14ac:dyDescent="0.25">
      <c r="A698" s="3" t="s">
        <v>1459</v>
      </c>
      <c r="B698" s="156">
        <v>9014</v>
      </c>
      <c r="C698" s="154" t="s">
        <v>8541</v>
      </c>
    </row>
    <row r="699" spans="1:4" ht="15.9" customHeight="1" x14ac:dyDescent="0.25">
      <c r="A699" s="3" t="s">
        <v>1459</v>
      </c>
      <c r="B699" s="156">
        <v>9121</v>
      </c>
      <c r="C699" s="154" t="s">
        <v>9376</v>
      </c>
    </row>
    <row r="700" spans="1:4" ht="15.9" customHeight="1" x14ac:dyDescent="0.25">
      <c r="A700" s="3" t="s">
        <v>1459</v>
      </c>
      <c r="B700" s="156"/>
    </row>
    <row r="701" spans="1:4" ht="15.9" customHeight="1" x14ac:dyDescent="0.25">
      <c r="A701" s="3" t="s">
        <v>1279</v>
      </c>
      <c r="B701" s="156">
        <v>30</v>
      </c>
      <c r="C701" s="154" t="s">
        <v>8885</v>
      </c>
      <c r="D701" s="149" t="s">
        <v>9462</v>
      </c>
    </row>
    <row r="702" spans="1:4" ht="15.9" customHeight="1" x14ac:dyDescent="0.25">
      <c r="A702" s="3" t="s">
        <v>1279</v>
      </c>
      <c r="B702" s="156">
        <v>35</v>
      </c>
      <c r="C702" s="154" t="s">
        <v>8903</v>
      </c>
      <c r="D702" s="149" t="s">
        <v>9462</v>
      </c>
    </row>
    <row r="703" spans="1:4" ht="15.9" customHeight="1" x14ac:dyDescent="0.25">
      <c r="A703" s="3" t="s">
        <v>1279</v>
      </c>
      <c r="B703" s="156">
        <v>384</v>
      </c>
      <c r="C703" s="154" t="s">
        <v>8912</v>
      </c>
      <c r="D703" s="149" t="s">
        <v>9462</v>
      </c>
    </row>
    <row r="704" spans="1:4" ht="15.9" customHeight="1" x14ac:dyDescent="0.25">
      <c r="A704" s="3" t="s">
        <v>1279</v>
      </c>
      <c r="B704" s="156">
        <v>387</v>
      </c>
      <c r="C704" s="154" t="s">
        <v>8914</v>
      </c>
      <c r="D704" s="149" t="s">
        <v>9462</v>
      </c>
    </row>
    <row r="705" spans="1:4" ht="15.9" customHeight="1" x14ac:dyDescent="0.25">
      <c r="A705" s="3" t="s">
        <v>1279</v>
      </c>
      <c r="B705" s="156">
        <v>396</v>
      </c>
      <c r="C705" s="154" t="s">
        <v>8920</v>
      </c>
      <c r="D705" s="149" t="s">
        <v>9462</v>
      </c>
    </row>
    <row r="706" spans="1:4" ht="15.9" customHeight="1" x14ac:dyDescent="0.25">
      <c r="A706" s="3" t="s">
        <v>1279</v>
      </c>
      <c r="B706" s="156">
        <v>397</v>
      </c>
      <c r="C706" s="154" t="s">
        <v>8921</v>
      </c>
      <c r="D706" s="149" t="s">
        <v>9462</v>
      </c>
    </row>
    <row r="707" spans="1:4" ht="15.9" customHeight="1" x14ac:dyDescent="0.25">
      <c r="A707" s="3" t="s">
        <v>1279</v>
      </c>
      <c r="B707" s="156">
        <v>406</v>
      </c>
      <c r="C707" s="154" t="s">
        <v>8953</v>
      </c>
      <c r="D707" s="149" t="s">
        <v>9462</v>
      </c>
    </row>
    <row r="708" spans="1:4" ht="15.9" customHeight="1" x14ac:dyDescent="0.25">
      <c r="A708" s="3" t="s">
        <v>1279</v>
      </c>
      <c r="B708" s="156">
        <v>407</v>
      </c>
      <c r="C708" s="154" t="s">
        <v>8959</v>
      </c>
      <c r="D708" s="149" t="s">
        <v>9462</v>
      </c>
    </row>
    <row r="709" spans="1:4" ht="15.9" customHeight="1" x14ac:dyDescent="0.25">
      <c r="A709" s="3" t="s">
        <v>1321</v>
      </c>
      <c r="B709" s="156">
        <v>4195</v>
      </c>
      <c r="C709" s="154" t="s">
        <v>1533</v>
      </c>
    </row>
    <row r="710" spans="1:4" ht="15.9" customHeight="1" x14ac:dyDescent="0.25">
      <c r="A710" s="3" t="s">
        <v>1321</v>
      </c>
      <c r="B710" s="156">
        <v>4196</v>
      </c>
      <c r="C710" s="154" t="s">
        <v>1533</v>
      </c>
    </row>
    <row r="711" spans="1:4" ht="15.9" customHeight="1" x14ac:dyDescent="0.25">
      <c r="A711" s="3" t="s">
        <v>1321</v>
      </c>
      <c r="B711" s="156">
        <v>4307</v>
      </c>
      <c r="C711" s="154" t="s">
        <v>8422</v>
      </c>
    </row>
    <row r="712" spans="1:4" ht="15.9" customHeight="1" x14ac:dyDescent="0.25">
      <c r="A712" s="3" t="s">
        <v>1321</v>
      </c>
      <c r="B712" s="156">
        <v>4308</v>
      </c>
      <c r="C712" s="154" t="s">
        <v>8423</v>
      </c>
    </row>
    <row r="713" spans="1:4" ht="15.9" customHeight="1" x14ac:dyDescent="0.25">
      <c r="A713" s="3" t="s">
        <v>1321</v>
      </c>
      <c r="B713" s="156">
        <v>4505</v>
      </c>
      <c r="C713" s="154" t="s">
        <v>8516</v>
      </c>
    </row>
    <row r="714" spans="1:4" ht="15.9" customHeight="1" x14ac:dyDescent="0.25">
      <c r="A714" s="3" t="s">
        <v>1648</v>
      </c>
      <c r="B714" s="156">
        <v>4527</v>
      </c>
      <c r="C714" s="154" t="s">
        <v>8520</v>
      </c>
    </row>
    <row r="715" spans="1:4" ht="15.9" customHeight="1" x14ac:dyDescent="0.25">
      <c r="A715" s="3" t="s">
        <v>1768</v>
      </c>
      <c r="B715" s="156">
        <v>4334</v>
      </c>
      <c r="C715" s="154" t="s">
        <v>9078</v>
      </c>
    </row>
    <row r="716" spans="1:4" ht="15.9" customHeight="1" x14ac:dyDescent="0.25">
      <c r="A716" s="3" t="s">
        <v>1768</v>
      </c>
      <c r="B716" s="156"/>
    </row>
    <row r="717" spans="1:4" ht="15.9" customHeight="1" x14ac:dyDescent="0.25">
      <c r="A717" s="3" t="s">
        <v>1546</v>
      </c>
      <c r="B717" s="156">
        <v>1166</v>
      </c>
      <c r="C717" s="154" t="s">
        <v>8797</v>
      </c>
    </row>
    <row r="718" spans="1:4" ht="15.9" customHeight="1" x14ac:dyDescent="0.25">
      <c r="A718" s="3" t="s">
        <v>1546</v>
      </c>
      <c r="B718" s="156"/>
    </row>
    <row r="719" spans="1:4" ht="15.9" customHeight="1" x14ac:dyDescent="0.25">
      <c r="A719" s="3" t="s">
        <v>1939</v>
      </c>
      <c r="B719" s="156">
        <v>9037</v>
      </c>
      <c r="C719" s="154" t="s">
        <v>9357</v>
      </c>
    </row>
    <row r="720" spans="1:4" ht="15.9" customHeight="1" x14ac:dyDescent="0.25">
      <c r="A720" s="3" t="s">
        <v>1939</v>
      </c>
      <c r="B720" s="156"/>
    </row>
    <row r="721" spans="1:4" ht="15.9" customHeight="1" x14ac:dyDescent="0.25">
      <c r="A721" s="3" t="s">
        <v>1347</v>
      </c>
      <c r="B721" s="156">
        <v>99</v>
      </c>
      <c r="C721" s="154" t="s">
        <v>9434</v>
      </c>
      <c r="D721" s="149" t="s">
        <v>9456</v>
      </c>
    </row>
    <row r="722" spans="1:4" ht="15.9" customHeight="1" x14ac:dyDescent="0.25">
      <c r="A722" s="3" t="s">
        <v>1347</v>
      </c>
      <c r="B722" s="156">
        <v>724</v>
      </c>
      <c r="C722" s="154" t="s">
        <v>9301</v>
      </c>
      <c r="D722" s="149" t="s">
        <v>9456</v>
      </c>
    </row>
    <row r="723" spans="1:4" ht="15.9" customHeight="1" x14ac:dyDescent="0.25">
      <c r="A723" s="3" t="s">
        <v>1347</v>
      </c>
      <c r="B723" s="156">
        <v>728</v>
      </c>
      <c r="C723" s="154" t="s">
        <v>9302</v>
      </c>
      <c r="D723" s="149" t="s">
        <v>9456</v>
      </c>
    </row>
    <row r="724" spans="1:4" ht="15.9" customHeight="1" x14ac:dyDescent="0.25">
      <c r="A724" s="3" t="s">
        <v>1347</v>
      </c>
      <c r="B724" s="156">
        <v>732</v>
      </c>
      <c r="C724" s="154" t="s">
        <v>9303</v>
      </c>
      <c r="D724" s="149" t="s">
        <v>9456</v>
      </c>
    </row>
    <row r="725" spans="1:4" ht="15.9" customHeight="1" x14ac:dyDescent="0.25">
      <c r="A725" s="3" t="s">
        <v>1347</v>
      </c>
      <c r="B725" s="156">
        <v>735</v>
      </c>
      <c r="C725" s="154" t="s">
        <v>9304</v>
      </c>
      <c r="D725" s="149" t="s">
        <v>9456</v>
      </c>
    </row>
    <row r="726" spans="1:4" ht="15.9" customHeight="1" x14ac:dyDescent="0.25">
      <c r="A726" s="3" t="s">
        <v>1347</v>
      </c>
      <c r="B726" s="156">
        <v>736</v>
      </c>
      <c r="C726" s="154" t="s">
        <v>9305</v>
      </c>
      <c r="D726" s="149" t="s">
        <v>9456</v>
      </c>
    </row>
    <row r="727" spans="1:4" ht="15.9" customHeight="1" x14ac:dyDescent="0.25">
      <c r="A727" s="3" t="s">
        <v>1347</v>
      </c>
      <c r="B727" s="156">
        <v>737</v>
      </c>
      <c r="C727" s="154" t="s">
        <v>9306</v>
      </c>
      <c r="D727" s="149" t="s">
        <v>9456</v>
      </c>
    </row>
    <row r="728" spans="1:4" ht="15.9" customHeight="1" x14ac:dyDescent="0.25">
      <c r="A728" s="3" t="s">
        <v>1347</v>
      </c>
      <c r="B728" s="156">
        <v>738</v>
      </c>
      <c r="C728" s="154" t="s">
        <v>9307</v>
      </c>
      <c r="D728" s="149" t="s">
        <v>9456</v>
      </c>
    </row>
    <row r="729" spans="1:4" ht="15.9" customHeight="1" x14ac:dyDescent="0.25">
      <c r="A729" s="3" t="s">
        <v>1347</v>
      </c>
      <c r="B729" s="156">
        <v>746</v>
      </c>
      <c r="C729" s="154" t="s">
        <v>9310</v>
      </c>
      <c r="D729" s="149" t="s">
        <v>9456</v>
      </c>
    </row>
    <row r="730" spans="1:4" ht="15.9" customHeight="1" x14ac:dyDescent="0.25">
      <c r="A730" s="3" t="s">
        <v>1347</v>
      </c>
      <c r="B730" s="156">
        <v>747</v>
      </c>
      <c r="C730" s="154" t="s">
        <v>9311</v>
      </c>
      <c r="D730" s="149" t="s">
        <v>9456</v>
      </c>
    </row>
    <row r="731" spans="1:4" ht="15.9" customHeight="1" x14ac:dyDescent="0.25">
      <c r="A731" s="3" t="s">
        <v>1347</v>
      </c>
      <c r="B731" s="156">
        <v>765</v>
      </c>
      <c r="C731" s="154" t="s">
        <v>9315</v>
      </c>
      <c r="D731" s="149" t="s">
        <v>9456</v>
      </c>
    </row>
    <row r="732" spans="1:4" ht="15.9" customHeight="1" x14ac:dyDescent="0.25">
      <c r="A732" s="3" t="s">
        <v>1347</v>
      </c>
      <c r="B732" s="156">
        <v>4493</v>
      </c>
      <c r="C732" s="154" t="s">
        <v>9097</v>
      </c>
      <c r="D732" s="149" t="s">
        <v>9456</v>
      </c>
    </row>
    <row r="733" spans="1:4" ht="15.9" customHeight="1" x14ac:dyDescent="0.25">
      <c r="A733" s="3" t="s">
        <v>1347</v>
      </c>
      <c r="B733" s="156">
        <v>6044</v>
      </c>
      <c r="C733" s="154" t="s">
        <v>9187</v>
      </c>
      <c r="D733" s="149" t="s">
        <v>9456</v>
      </c>
    </row>
    <row r="734" spans="1:4" ht="15.9" customHeight="1" x14ac:dyDescent="0.25">
      <c r="A734" s="3" t="s">
        <v>1347</v>
      </c>
      <c r="B734" s="156">
        <v>6045</v>
      </c>
      <c r="C734" s="154" t="s">
        <v>9188</v>
      </c>
      <c r="D734" s="149" t="s">
        <v>9456</v>
      </c>
    </row>
    <row r="735" spans="1:4" ht="15.9" customHeight="1" x14ac:dyDescent="0.25">
      <c r="A735" s="3" t="s">
        <v>1347</v>
      </c>
      <c r="B735" s="156">
        <v>6046</v>
      </c>
      <c r="C735" s="154" t="s">
        <v>9189</v>
      </c>
      <c r="D735" s="149" t="s">
        <v>9456</v>
      </c>
    </row>
    <row r="736" spans="1:4" ht="15.9" customHeight="1" x14ac:dyDescent="0.25">
      <c r="A736" s="3" t="s">
        <v>1347</v>
      </c>
      <c r="B736" s="156">
        <v>6047</v>
      </c>
      <c r="C736" s="154" t="s">
        <v>9190</v>
      </c>
      <c r="D736" s="149" t="s">
        <v>9456</v>
      </c>
    </row>
    <row r="737" spans="1:4" ht="15.9" customHeight="1" x14ac:dyDescent="0.25">
      <c r="A737" s="3" t="s">
        <v>1347</v>
      </c>
      <c r="B737" s="156">
        <v>6048</v>
      </c>
      <c r="C737" s="154" t="s">
        <v>9191</v>
      </c>
      <c r="D737" s="149" t="s">
        <v>9456</v>
      </c>
    </row>
    <row r="738" spans="1:4" ht="15.9" customHeight="1" x14ac:dyDescent="0.25">
      <c r="A738" s="3" t="s">
        <v>1347</v>
      </c>
      <c r="B738" s="156">
        <v>6049</v>
      </c>
      <c r="C738" s="154" t="s">
        <v>9192</v>
      </c>
      <c r="D738" s="149" t="s">
        <v>9456</v>
      </c>
    </row>
    <row r="739" spans="1:4" ht="15.9" customHeight="1" x14ac:dyDescent="0.25">
      <c r="A739" s="3" t="s">
        <v>1347</v>
      </c>
      <c r="B739" s="156">
        <v>6050</v>
      </c>
      <c r="C739" s="154" t="s">
        <v>9193</v>
      </c>
      <c r="D739" s="149" t="s">
        <v>9456</v>
      </c>
    </row>
    <row r="740" spans="1:4" ht="15.9" customHeight="1" x14ac:dyDescent="0.25">
      <c r="A740" s="3" t="s">
        <v>1347</v>
      </c>
      <c r="B740" s="156">
        <v>6051</v>
      </c>
      <c r="C740" s="154" t="s">
        <v>9194</v>
      </c>
      <c r="D740" s="149" t="s">
        <v>9456</v>
      </c>
    </row>
    <row r="741" spans="1:4" ht="15.9" customHeight="1" x14ac:dyDescent="0.25">
      <c r="A741" s="3" t="s">
        <v>1347</v>
      </c>
      <c r="B741" s="156">
        <v>6052</v>
      </c>
      <c r="C741" s="154" t="s">
        <v>9195</v>
      </c>
      <c r="D741" s="149" t="s">
        <v>9456</v>
      </c>
    </row>
    <row r="742" spans="1:4" ht="15.9" customHeight="1" x14ac:dyDescent="0.25">
      <c r="A742" s="3" t="s">
        <v>1347</v>
      </c>
      <c r="B742" s="156">
        <v>6053</v>
      </c>
      <c r="C742" s="154" t="s">
        <v>9196</v>
      </c>
      <c r="D742" s="149" t="s">
        <v>9456</v>
      </c>
    </row>
    <row r="743" spans="1:4" ht="15.9" customHeight="1" x14ac:dyDescent="0.25">
      <c r="A743" s="3" t="s">
        <v>1347</v>
      </c>
      <c r="B743" s="156">
        <v>6055</v>
      </c>
      <c r="C743" s="154" t="s">
        <v>9198</v>
      </c>
      <c r="D743" s="149" t="s">
        <v>9456</v>
      </c>
    </row>
    <row r="744" spans="1:4" ht="15.9" customHeight="1" x14ac:dyDescent="0.25">
      <c r="A744" s="3" t="s">
        <v>1347</v>
      </c>
      <c r="B744" s="156">
        <v>6056</v>
      </c>
      <c r="C744" s="154" t="s">
        <v>9199</v>
      </c>
      <c r="D744" s="149" t="s">
        <v>9456</v>
      </c>
    </row>
    <row r="745" spans="1:4" ht="15.9" customHeight="1" x14ac:dyDescent="0.25">
      <c r="A745" s="3" t="s">
        <v>1347</v>
      </c>
      <c r="B745" s="156">
        <v>6057</v>
      </c>
      <c r="C745" s="154" t="s">
        <v>9200</v>
      </c>
      <c r="D745" s="149" t="s">
        <v>9456</v>
      </c>
    </row>
    <row r="746" spans="1:4" ht="15.9" customHeight="1" x14ac:dyDescent="0.25">
      <c r="A746" s="3" t="s">
        <v>1347</v>
      </c>
      <c r="B746" s="156">
        <v>6058</v>
      </c>
      <c r="C746" s="154" t="s">
        <v>9201</v>
      </c>
      <c r="D746" s="149" t="s">
        <v>9456</v>
      </c>
    </row>
    <row r="747" spans="1:4" ht="15.9" customHeight="1" x14ac:dyDescent="0.25">
      <c r="A747" s="3" t="s">
        <v>1347</v>
      </c>
      <c r="B747" s="156">
        <v>6059</v>
      </c>
      <c r="C747" s="154" t="s">
        <v>9202</v>
      </c>
      <c r="D747" s="149" t="s">
        <v>9456</v>
      </c>
    </row>
    <row r="748" spans="1:4" ht="15.9" customHeight="1" x14ac:dyDescent="0.25">
      <c r="A748" s="3" t="s">
        <v>1347</v>
      </c>
      <c r="B748" s="156">
        <v>6060</v>
      </c>
      <c r="C748" s="154" t="s">
        <v>9203</v>
      </c>
      <c r="D748" s="149" t="s">
        <v>9456</v>
      </c>
    </row>
    <row r="749" spans="1:4" ht="15.9" customHeight="1" x14ac:dyDescent="0.25">
      <c r="A749" s="3" t="s">
        <v>1347</v>
      </c>
      <c r="B749" s="156">
        <v>6061</v>
      </c>
      <c r="C749" s="154" t="s">
        <v>9204</v>
      </c>
      <c r="D749" s="149" t="s">
        <v>9456</v>
      </c>
    </row>
    <row r="750" spans="1:4" ht="15.9" customHeight="1" x14ac:dyDescent="0.25">
      <c r="A750" s="3" t="s">
        <v>1347</v>
      </c>
      <c r="B750" s="156">
        <v>6062</v>
      </c>
      <c r="C750" s="154" t="s">
        <v>9205</v>
      </c>
      <c r="D750" s="149" t="s">
        <v>9456</v>
      </c>
    </row>
    <row r="751" spans="1:4" ht="15.9" customHeight="1" x14ac:dyDescent="0.25">
      <c r="A751" s="3" t="s">
        <v>1347</v>
      </c>
      <c r="B751" s="156">
        <v>6063</v>
      </c>
      <c r="C751" s="154" t="s">
        <v>9206</v>
      </c>
      <c r="D751" s="149" t="s">
        <v>9456</v>
      </c>
    </row>
    <row r="752" spans="1:4" ht="15.9" customHeight="1" x14ac:dyDescent="0.25">
      <c r="A752" s="3" t="s">
        <v>1347</v>
      </c>
      <c r="B752" s="156">
        <v>6064</v>
      </c>
      <c r="C752" s="154" t="s">
        <v>9207</v>
      </c>
      <c r="D752" s="149" t="s">
        <v>9456</v>
      </c>
    </row>
    <row r="753" spans="1:4" ht="15.9" customHeight="1" x14ac:dyDescent="0.25">
      <c r="A753" s="3" t="s">
        <v>1347</v>
      </c>
      <c r="B753" s="156">
        <v>6065</v>
      </c>
      <c r="C753" s="154" t="s">
        <v>9208</v>
      </c>
      <c r="D753" s="149" t="s">
        <v>9456</v>
      </c>
    </row>
    <row r="754" spans="1:4" ht="15.9" customHeight="1" x14ac:dyDescent="0.25">
      <c r="A754" s="3" t="s">
        <v>1347</v>
      </c>
      <c r="B754" s="156">
        <v>6068</v>
      </c>
      <c r="C754" s="154" t="s">
        <v>9210</v>
      </c>
      <c r="D754" s="149" t="s">
        <v>9456</v>
      </c>
    </row>
    <row r="755" spans="1:4" ht="15.9" customHeight="1" x14ac:dyDescent="0.25">
      <c r="A755" s="3" t="s">
        <v>1347</v>
      </c>
      <c r="B755" s="156">
        <v>6069</v>
      </c>
      <c r="C755" s="154" t="s">
        <v>9211</v>
      </c>
      <c r="D755" s="149" t="s">
        <v>9456</v>
      </c>
    </row>
    <row r="756" spans="1:4" ht="15.9" customHeight="1" x14ac:dyDescent="0.25">
      <c r="A756" s="3" t="s">
        <v>1347</v>
      </c>
      <c r="B756" s="156">
        <v>6070</v>
      </c>
      <c r="C756" s="154" t="s">
        <v>9212</v>
      </c>
      <c r="D756" s="149" t="s">
        <v>9456</v>
      </c>
    </row>
    <row r="757" spans="1:4" ht="15.9" customHeight="1" x14ac:dyDescent="0.25">
      <c r="A757" s="3" t="s">
        <v>1347</v>
      </c>
      <c r="B757" s="156">
        <v>6071</v>
      </c>
      <c r="C757" s="154" t="s">
        <v>9213</v>
      </c>
      <c r="D757" s="149" t="s">
        <v>9456</v>
      </c>
    </row>
    <row r="758" spans="1:4" ht="15.9" customHeight="1" x14ac:dyDescent="0.25">
      <c r="A758" s="3" t="s">
        <v>1347</v>
      </c>
      <c r="B758" s="156">
        <v>6072</v>
      </c>
      <c r="C758" s="154" t="s">
        <v>9214</v>
      </c>
      <c r="D758" s="149" t="s">
        <v>9456</v>
      </c>
    </row>
    <row r="759" spans="1:4" ht="15.9" customHeight="1" x14ac:dyDescent="0.25">
      <c r="A759" s="3" t="s">
        <v>1347</v>
      </c>
      <c r="B759" s="156">
        <v>6200</v>
      </c>
      <c r="C759" s="154" t="s">
        <v>9246</v>
      </c>
      <c r="D759" s="149" t="s">
        <v>9456</v>
      </c>
    </row>
    <row r="760" spans="1:4" ht="15.9" customHeight="1" x14ac:dyDescent="0.25">
      <c r="A760" s="3" t="s">
        <v>1347</v>
      </c>
      <c r="B760" s="156">
        <v>6201</v>
      </c>
      <c r="C760" s="154" t="s">
        <v>9247</v>
      </c>
      <c r="D760" s="149" t="s">
        <v>9456</v>
      </c>
    </row>
    <row r="761" spans="1:4" ht="15.9" customHeight="1" x14ac:dyDescent="0.25">
      <c r="A761" s="3" t="s">
        <v>1347</v>
      </c>
      <c r="B761" s="156">
        <v>6202</v>
      </c>
      <c r="C761" s="154" t="s">
        <v>9248</v>
      </c>
      <c r="D761" s="149" t="s">
        <v>9456</v>
      </c>
    </row>
    <row r="762" spans="1:4" ht="15.9" customHeight="1" x14ac:dyDescent="0.25">
      <c r="A762" s="3" t="s">
        <v>1347</v>
      </c>
      <c r="B762" s="156">
        <v>6203</v>
      </c>
      <c r="C762" s="154" t="s">
        <v>9249</v>
      </c>
      <c r="D762" s="149" t="s">
        <v>9456</v>
      </c>
    </row>
    <row r="763" spans="1:4" ht="15.9" customHeight="1" x14ac:dyDescent="0.25">
      <c r="A763" s="3" t="s">
        <v>1347</v>
      </c>
      <c r="B763" s="156">
        <v>6204</v>
      </c>
      <c r="C763" s="154" t="s">
        <v>9250</v>
      </c>
      <c r="D763" s="149" t="s">
        <v>9456</v>
      </c>
    </row>
    <row r="764" spans="1:4" ht="15.9" customHeight="1" x14ac:dyDescent="0.25">
      <c r="A764" s="3" t="s">
        <v>1347</v>
      </c>
      <c r="B764" s="156">
        <v>6205</v>
      </c>
      <c r="C764" s="154" t="s">
        <v>9251</v>
      </c>
      <c r="D764" s="149" t="s">
        <v>9456</v>
      </c>
    </row>
    <row r="765" spans="1:4" ht="15.9" customHeight="1" x14ac:dyDescent="0.25">
      <c r="A765" s="3" t="s">
        <v>1347</v>
      </c>
      <c r="B765" s="156">
        <v>6206</v>
      </c>
      <c r="C765" s="154" t="s">
        <v>9252</v>
      </c>
      <c r="D765" s="149" t="s">
        <v>9456</v>
      </c>
    </row>
    <row r="766" spans="1:4" ht="15.9" customHeight="1" x14ac:dyDescent="0.25">
      <c r="A766" s="3" t="s">
        <v>1347</v>
      </c>
      <c r="B766" s="156">
        <v>6207</v>
      </c>
      <c r="C766" s="154" t="s">
        <v>9253</v>
      </c>
      <c r="D766" s="149" t="s">
        <v>9456</v>
      </c>
    </row>
    <row r="767" spans="1:4" ht="15.9" customHeight="1" x14ac:dyDescent="0.25">
      <c r="A767" s="3" t="s">
        <v>1347</v>
      </c>
      <c r="B767" s="156">
        <v>6208</v>
      </c>
      <c r="C767" s="154" t="s">
        <v>9254</v>
      </c>
      <c r="D767" s="149" t="s">
        <v>9456</v>
      </c>
    </row>
    <row r="768" spans="1:4" ht="15.9" customHeight="1" x14ac:dyDescent="0.25">
      <c r="A768" s="3" t="s">
        <v>1347</v>
      </c>
      <c r="B768" s="156">
        <v>6209</v>
      </c>
      <c r="C768" s="154" t="s">
        <v>9255</v>
      </c>
      <c r="D768" s="149" t="s">
        <v>9456</v>
      </c>
    </row>
    <row r="769" spans="1:4" ht="15.9" customHeight="1" x14ac:dyDescent="0.25">
      <c r="A769" s="3" t="s">
        <v>1347</v>
      </c>
      <c r="B769" s="156">
        <v>6210</v>
      </c>
      <c r="C769" s="154" t="s">
        <v>9256</v>
      </c>
      <c r="D769" s="149" t="s">
        <v>9456</v>
      </c>
    </row>
    <row r="770" spans="1:4" ht="15.9" customHeight="1" x14ac:dyDescent="0.25">
      <c r="A770" s="3" t="s">
        <v>1347</v>
      </c>
      <c r="B770" s="156">
        <v>6211</v>
      </c>
      <c r="C770" s="154" t="s">
        <v>9257</v>
      </c>
      <c r="D770" s="149" t="s">
        <v>9456</v>
      </c>
    </row>
    <row r="771" spans="1:4" ht="15.9" customHeight="1" x14ac:dyDescent="0.25">
      <c r="A771" s="3" t="s">
        <v>1347</v>
      </c>
      <c r="B771" s="156">
        <v>6212</v>
      </c>
      <c r="C771" s="154" t="s">
        <v>9258</v>
      </c>
      <c r="D771" s="149" t="s">
        <v>9456</v>
      </c>
    </row>
    <row r="772" spans="1:4" ht="15.9" customHeight="1" x14ac:dyDescent="0.25">
      <c r="A772" s="3" t="s">
        <v>1304</v>
      </c>
      <c r="B772" s="156">
        <v>45</v>
      </c>
      <c r="C772" s="154" t="s">
        <v>9105</v>
      </c>
      <c r="D772" s="149" t="s">
        <v>9454</v>
      </c>
    </row>
    <row r="773" spans="1:4" ht="15.9" customHeight="1" x14ac:dyDescent="0.25">
      <c r="A773" s="3" t="s">
        <v>1304</v>
      </c>
      <c r="B773" s="156">
        <v>4233</v>
      </c>
      <c r="C773" s="154" t="s">
        <v>9023</v>
      </c>
      <c r="D773" s="149" t="s">
        <v>9454</v>
      </c>
    </row>
    <row r="774" spans="1:4" ht="15.9" customHeight="1" x14ac:dyDescent="0.25">
      <c r="A774" s="3" t="s">
        <v>1304</v>
      </c>
      <c r="B774" s="156">
        <v>4239</v>
      </c>
      <c r="C774" s="154" t="s">
        <v>9025</v>
      </c>
      <c r="D774" s="149" t="s">
        <v>9454</v>
      </c>
    </row>
    <row r="775" spans="1:4" ht="15.9" customHeight="1" x14ac:dyDescent="0.25">
      <c r="A775" s="3" t="s">
        <v>1304</v>
      </c>
      <c r="B775" s="156">
        <v>4244</v>
      </c>
      <c r="C775" s="154" t="s">
        <v>9028</v>
      </c>
      <c r="D775" s="149" t="s">
        <v>9454</v>
      </c>
    </row>
    <row r="776" spans="1:4" ht="15.9" customHeight="1" x14ac:dyDescent="0.25">
      <c r="A776" s="3" t="s">
        <v>1304</v>
      </c>
      <c r="B776" s="156">
        <v>6036</v>
      </c>
      <c r="C776" s="154" t="s">
        <v>9179</v>
      </c>
      <c r="D776" s="149" t="s">
        <v>9454</v>
      </c>
    </row>
    <row r="777" spans="1:4" ht="15.9" customHeight="1" x14ac:dyDescent="0.25">
      <c r="A777" s="3" t="s">
        <v>1304</v>
      </c>
      <c r="B777" s="156">
        <v>6037</v>
      </c>
      <c r="C777" s="154" t="s">
        <v>9180</v>
      </c>
      <c r="D777" s="149" t="s">
        <v>9454</v>
      </c>
    </row>
    <row r="778" spans="1:4" ht="15.9" customHeight="1" x14ac:dyDescent="0.25">
      <c r="A778" s="3" t="s">
        <v>1304</v>
      </c>
      <c r="B778" s="156">
        <v>6038</v>
      </c>
      <c r="C778" s="154" t="s">
        <v>9181</v>
      </c>
      <c r="D778" s="149" t="s">
        <v>9454</v>
      </c>
    </row>
    <row r="779" spans="1:4" ht="15.9" customHeight="1" x14ac:dyDescent="0.25">
      <c r="A779" s="3" t="s">
        <v>1304</v>
      </c>
      <c r="B779" s="156">
        <v>6039</v>
      </c>
      <c r="C779" s="154" t="s">
        <v>9182</v>
      </c>
      <c r="D779" s="149" t="s">
        <v>9454</v>
      </c>
    </row>
    <row r="780" spans="1:4" ht="15.9" customHeight="1" x14ac:dyDescent="0.25">
      <c r="A780" s="3" t="s">
        <v>1304</v>
      </c>
      <c r="B780" s="156">
        <v>6080</v>
      </c>
      <c r="C780" s="154" t="s">
        <v>9215</v>
      </c>
      <c r="D780" s="149" t="s">
        <v>9454</v>
      </c>
    </row>
    <row r="781" spans="1:4" ht="15.9" customHeight="1" x14ac:dyDescent="0.25">
      <c r="A781" s="3" t="s">
        <v>1304</v>
      </c>
      <c r="B781" s="156">
        <v>6081</v>
      </c>
      <c r="C781" s="154" t="s">
        <v>9216</v>
      </c>
      <c r="D781" s="149" t="s">
        <v>9454</v>
      </c>
    </row>
    <row r="782" spans="1:4" ht="15.9" customHeight="1" x14ac:dyDescent="0.25">
      <c r="A782" s="3" t="s">
        <v>1304</v>
      </c>
      <c r="B782" s="156">
        <v>6082</v>
      </c>
      <c r="C782" s="154" t="s">
        <v>9217</v>
      </c>
      <c r="D782" s="149" t="s">
        <v>9454</v>
      </c>
    </row>
    <row r="783" spans="1:4" ht="15.9" customHeight="1" x14ac:dyDescent="0.25">
      <c r="A783" s="3" t="s">
        <v>1304</v>
      </c>
      <c r="B783" s="156">
        <v>6083</v>
      </c>
      <c r="C783" s="154" t="s">
        <v>9218</v>
      </c>
      <c r="D783" s="149" t="s">
        <v>9454</v>
      </c>
    </row>
    <row r="784" spans="1:4" ht="15.9" customHeight="1" x14ac:dyDescent="0.25">
      <c r="A784" s="3" t="s">
        <v>1304</v>
      </c>
      <c r="B784" s="156"/>
    </row>
    <row r="785" spans="1:4" ht="15.9" customHeight="1" x14ac:dyDescent="0.25">
      <c r="A785" s="3" t="s">
        <v>1308</v>
      </c>
      <c r="B785" s="156">
        <v>48</v>
      </c>
      <c r="C785" s="154" t="s">
        <v>9140</v>
      </c>
      <c r="D785" s="149" t="s">
        <v>9455</v>
      </c>
    </row>
    <row r="786" spans="1:4" ht="15.9" customHeight="1" x14ac:dyDescent="0.25">
      <c r="A786" s="3" t="s">
        <v>1308</v>
      </c>
      <c r="B786" s="156">
        <v>49</v>
      </c>
      <c r="C786" s="154" t="s">
        <v>9143</v>
      </c>
      <c r="D786" s="149" t="s">
        <v>9455</v>
      </c>
    </row>
    <row r="787" spans="1:4" ht="15.9" customHeight="1" x14ac:dyDescent="0.25">
      <c r="A787" s="3" t="s">
        <v>1308</v>
      </c>
      <c r="B787" s="156">
        <v>6054</v>
      </c>
      <c r="C787" s="154" t="s">
        <v>9197</v>
      </c>
      <c r="D787" s="149" t="s">
        <v>9455</v>
      </c>
    </row>
    <row r="788" spans="1:4" ht="15.9" customHeight="1" x14ac:dyDescent="0.25">
      <c r="A788" s="3" t="s">
        <v>1308</v>
      </c>
      <c r="B788" s="156">
        <v>6067</v>
      </c>
      <c r="C788" s="154" t="s">
        <v>9209</v>
      </c>
      <c r="D788" s="149" t="s">
        <v>9455</v>
      </c>
    </row>
    <row r="789" spans="1:4" ht="15.9" customHeight="1" x14ac:dyDescent="0.25">
      <c r="A789" s="3" t="s">
        <v>1308</v>
      </c>
      <c r="B789" s="156">
        <v>7060</v>
      </c>
      <c r="C789" s="154" t="s">
        <v>9295</v>
      </c>
      <c r="D789" s="149" t="s">
        <v>9455</v>
      </c>
    </row>
    <row r="790" spans="1:4" ht="15.9" customHeight="1" x14ac:dyDescent="0.25">
      <c r="A790" s="3" t="s">
        <v>1308</v>
      </c>
      <c r="B790" s="156">
        <v>7061</v>
      </c>
      <c r="C790" s="154" t="s">
        <v>9296</v>
      </c>
      <c r="D790" s="149" t="s">
        <v>9455</v>
      </c>
    </row>
    <row r="791" spans="1:4" ht="15.9" customHeight="1" x14ac:dyDescent="0.25">
      <c r="A791" s="3" t="s">
        <v>1835</v>
      </c>
      <c r="B791" s="156">
        <v>6040</v>
      </c>
      <c r="C791" s="154" t="s">
        <v>9183</v>
      </c>
    </row>
    <row r="792" spans="1:4" ht="15.9" customHeight="1" x14ac:dyDescent="0.25">
      <c r="A792" s="3" t="s">
        <v>1835</v>
      </c>
      <c r="B792" s="156">
        <v>6041</v>
      </c>
      <c r="C792" s="154" t="s">
        <v>9184</v>
      </c>
    </row>
    <row r="793" spans="1:4" ht="15.9" customHeight="1" x14ac:dyDescent="0.25">
      <c r="A793" s="3" t="s">
        <v>1835</v>
      </c>
      <c r="B793" s="156">
        <v>6042</v>
      </c>
      <c r="C793" s="154" t="s">
        <v>9185</v>
      </c>
    </row>
    <row r="794" spans="1:4" ht="15.9" customHeight="1" x14ac:dyDescent="0.25">
      <c r="A794" s="3" t="s">
        <v>1835</v>
      </c>
      <c r="B794" s="156">
        <v>6043</v>
      </c>
      <c r="C794" s="154" t="s">
        <v>9186</v>
      </c>
    </row>
    <row r="795" spans="1:4" ht="15.9" customHeight="1" x14ac:dyDescent="0.25">
      <c r="A795" s="3" t="s">
        <v>1835</v>
      </c>
      <c r="B795" s="156"/>
    </row>
    <row r="796" spans="1:4" ht="15.9" customHeight="1" x14ac:dyDescent="0.25">
      <c r="A796" s="3" t="s">
        <v>1466</v>
      </c>
      <c r="B796" s="156">
        <v>4564</v>
      </c>
      <c r="C796" s="154" t="s">
        <v>9436</v>
      </c>
    </row>
    <row r="797" spans="1:4" ht="15.9" customHeight="1" x14ac:dyDescent="0.25">
      <c r="A797" s="3" t="s">
        <v>1364</v>
      </c>
      <c r="B797" s="156">
        <v>154</v>
      </c>
      <c r="C797" s="154" t="s">
        <v>8819</v>
      </c>
    </row>
    <row r="798" spans="1:4" ht="15.9" customHeight="1" x14ac:dyDescent="0.25">
      <c r="A798" s="3" t="s">
        <v>1364</v>
      </c>
      <c r="B798" s="156">
        <v>7064</v>
      </c>
      <c r="C798" s="154" t="s">
        <v>9298</v>
      </c>
    </row>
    <row r="799" spans="1:4" ht="15.9" customHeight="1" x14ac:dyDescent="0.25">
      <c r="A799" s="3" t="s">
        <v>1364</v>
      </c>
      <c r="B799" s="156"/>
    </row>
    <row r="800" spans="1:4" ht="15.9" customHeight="1" x14ac:dyDescent="0.25">
      <c r="A800" s="3" t="s">
        <v>1357</v>
      </c>
      <c r="B800" s="156">
        <v>7020</v>
      </c>
      <c r="C800" s="154" t="s">
        <v>9274</v>
      </c>
    </row>
    <row r="801" spans="1:4" ht="15.9" customHeight="1" x14ac:dyDescent="0.25">
      <c r="A801" s="3" t="s">
        <v>1357</v>
      </c>
      <c r="B801" s="156">
        <v>7022</v>
      </c>
      <c r="C801" s="154" t="s">
        <v>9275</v>
      </c>
    </row>
    <row r="802" spans="1:4" ht="15.9" customHeight="1" x14ac:dyDescent="0.25">
      <c r="A802" s="3" t="s">
        <v>1357</v>
      </c>
      <c r="B802" s="156"/>
    </row>
    <row r="803" spans="1:4" ht="15.9" customHeight="1" x14ac:dyDescent="0.25">
      <c r="A803" s="3" t="s">
        <v>1537</v>
      </c>
      <c r="B803" s="156">
        <v>1042</v>
      </c>
      <c r="C803" s="154" t="s">
        <v>8781</v>
      </c>
      <c r="D803" s="149" t="s">
        <v>9463</v>
      </c>
    </row>
    <row r="804" spans="1:4" ht="15.9" customHeight="1" x14ac:dyDescent="0.25">
      <c r="A804" s="3" t="s">
        <v>1537</v>
      </c>
      <c r="B804" s="156">
        <v>9254</v>
      </c>
      <c r="C804" s="154" t="s">
        <v>9425</v>
      </c>
      <c r="D804" s="149" t="s">
        <v>9463</v>
      </c>
    </row>
    <row r="805" spans="1:4" ht="15.9" customHeight="1" x14ac:dyDescent="0.25">
      <c r="A805" s="3" t="s">
        <v>1537</v>
      </c>
      <c r="B805" s="156">
        <v>9255</v>
      </c>
      <c r="C805" s="154" t="s">
        <v>9426</v>
      </c>
    </row>
    <row r="806" spans="1:4" ht="15.9" customHeight="1" x14ac:dyDescent="0.25">
      <c r="A806" s="3" t="s">
        <v>1537</v>
      </c>
      <c r="B806" s="156">
        <v>9256</v>
      </c>
      <c r="C806" s="154" t="s">
        <v>9427</v>
      </c>
    </row>
    <row r="807" spans="1:4" ht="15.9" customHeight="1" x14ac:dyDescent="0.25">
      <c r="A807" s="3" t="s">
        <v>1537</v>
      </c>
      <c r="B807" s="156"/>
    </row>
    <row r="808" spans="1:4" ht="15.9" customHeight="1" x14ac:dyDescent="0.25">
      <c r="A808" s="3" t="s">
        <v>1432</v>
      </c>
      <c r="B808" s="156">
        <v>4286</v>
      </c>
      <c r="C808" s="154" t="s">
        <v>9047</v>
      </c>
    </row>
    <row r="809" spans="1:4" ht="15.9" customHeight="1" x14ac:dyDescent="0.25">
      <c r="A809" s="3" t="s">
        <v>1432</v>
      </c>
      <c r="B809" s="156">
        <v>4320</v>
      </c>
      <c r="C809" s="154" t="s">
        <v>9068</v>
      </c>
    </row>
    <row r="810" spans="1:4" ht="15.9" customHeight="1" x14ac:dyDescent="0.25">
      <c r="A810" s="3" t="s">
        <v>1432</v>
      </c>
      <c r="B810" s="156">
        <v>4322</v>
      </c>
      <c r="C810" s="154" t="s">
        <v>9070</v>
      </c>
    </row>
    <row r="811" spans="1:4" ht="15.9" customHeight="1" x14ac:dyDescent="0.25">
      <c r="A811" s="3" t="s">
        <v>1432</v>
      </c>
      <c r="B811" s="156">
        <v>9043</v>
      </c>
      <c r="C811" s="154" t="s">
        <v>9358</v>
      </c>
    </row>
    <row r="812" spans="1:4" ht="15.9" customHeight="1" x14ac:dyDescent="0.25">
      <c r="A812" s="3" t="s">
        <v>1432</v>
      </c>
      <c r="B812" s="156">
        <v>9065</v>
      </c>
      <c r="C812" s="154" t="s">
        <v>9365</v>
      </c>
    </row>
    <row r="813" spans="1:4" ht="15.9" customHeight="1" x14ac:dyDescent="0.25">
      <c r="A813" s="3" t="s">
        <v>1432</v>
      </c>
      <c r="B813" s="156">
        <v>9066</v>
      </c>
      <c r="C813" s="154" t="s">
        <v>9366</v>
      </c>
    </row>
    <row r="814" spans="1:4" ht="15.9" customHeight="1" x14ac:dyDescent="0.25">
      <c r="A814" s="3" t="s">
        <v>1432</v>
      </c>
      <c r="B814" s="156">
        <v>9067</v>
      </c>
      <c r="C814" s="154" t="s">
        <v>9367</v>
      </c>
    </row>
    <row r="815" spans="1:4" ht="15.9" customHeight="1" x14ac:dyDescent="0.25">
      <c r="A815" s="3" t="s">
        <v>1432</v>
      </c>
      <c r="B815" s="156">
        <v>9108</v>
      </c>
      <c r="C815" s="154" t="s">
        <v>9374</v>
      </c>
    </row>
    <row r="816" spans="1:4" ht="15.9" customHeight="1" x14ac:dyDescent="0.25">
      <c r="A816" s="3" t="s">
        <v>1432</v>
      </c>
      <c r="B816" s="156">
        <v>9124</v>
      </c>
      <c r="C816" s="154" t="s">
        <v>9379</v>
      </c>
    </row>
    <row r="817" spans="1:4" ht="15.9" customHeight="1" x14ac:dyDescent="0.25">
      <c r="A817" s="3" t="s">
        <v>1432</v>
      </c>
      <c r="B817" s="156">
        <v>9125</v>
      </c>
      <c r="C817" s="154" t="s">
        <v>9380</v>
      </c>
    </row>
    <row r="818" spans="1:4" ht="15.9" customHeight="1" x14ac:dyDescent="0.25">
      <c r="A818" s="3" t="s">
        <v>1432</v>
      </c>
      <c r="B818" s="156">
        <v>9135</v>
      </c>
      <c r="C818" s="154" t="s">
        <v>9384</v>
      </c>
    </row>
    <row r="819" spans="1:4" ht="15.9" customHeight="1" x14ac:dyDescent="0.25">
      <c r="A819" s="3" t="s">
        <v>1432</v>
      </c>
      <c r="B819" s="156">
        <v>9136</v>
      </c>
      <c r="C819" s="154" t="s">
        <v>9385</v>
      </c>
    </row>
    <row r="820" spans="1:4" ht="15.9" customHeight="1" x14ac:dyDescent="0.25">
      <c r="A820" s="3" t="s">
        <v>1432</v>
      </c>
      <c r="B820" s="156">
        <v>9193</v>
      </c>
      <c r="C820" s="154" t="s">
        <v>9401</v>
      </c>
    </row>
    <row r="821" spans="1:4" ht="15.9" customHeight="1" x14ac:dyDescent="0.25">
      <c r="A821" s="3" t="s">
        <v>1432</v>
      </c>
      <c r="B821" s="156">
        <v>9201</v>
      </c>
      <c r="C821" s="154" t="s">
        <v>9406</v>
      </c>
    </row>
    <row r="822" spans="1:4" ht="15.9" customHeight="1" x14ac:dyDescent="0.25">
      <c r="A822" s="3" t="s">
        <v>1432</v>
      </c>
      <c r="B822" s="156">
        <v>9202</v>
      </c>
      <c r="C822" s="154" t="s">
        <v>9407</v>
      </c>
    </row>
    <row r="823" spans="1:4" ht="15.9" customHeight="1" x14ac:dyDescent="0.25">
      <c r="A823" s="3" t="s">
        <v>1432</v>
      </c>
      <c r="B823" s="156">
        <v>9203</v>
      </c>
      <c r="C823" s="154" t="s">
        <v>9408</v>
      </c>
    </row>
    <row r="824" spans="1:4" ht="15.9" customHeight="1" x14ac:dyDescent="0.25">
      <c r="A824" s="3" t="s">
        <v>1432</v>
      </c>
      <c r="B824" s="156">
        <v>9204</v>
      </c>
      <c r="C824" s="154" t="s">
        <v>9409</v>
      </c>
    </row>
    <row r="825" spans="1:4" ht="15.9" customHeight="1" x14ac:dyDescent="0.25">
      <c r="A825" s="3" t="s">
        <v>1432</v>
      </c>
      <c r="B825" s="156"/>
    </row>
    <row r="826" spans="1:4" ht="15.9" customHeight="1" x14ac:dyDescent="0.25">
      <c r="A826" s="3" t="s">
        <v>1316</v>
      </c>
      <c r="B826" s="156">
        <v>4016</v>
      </c>
      <c r="C826" s="154" t="s">
        <v>8928</v>
      </c>
    </row>
    <row r="827" spans="1:4" ht="15.9" customHeight="1" x14ac:dyDescent="0.25">
      <c r="A827" s="3" t="s">
        <v>1316</v>
      </c>
      <c r="B827" s="156">
        <v>4019</v>
      </c>
      <c r="C827" s="154" t="s">
        <v>8930</v>
      </c>
    </row>
    <row r="828" spans="1:4" ht="15.9" customHeight="1" x14ac:dyDescent="0.25">
      <c r="A828" s="3" t="s">
        <v>1316</v>
      </c>
      <c r="B828" s="156">
        <v>4024</v>
      </c>
      <c r="C828" s="154" t="s">
        <v>8933</v>
      </c>
      <c r="D828" s="3" t="s">
        <v>9789</v>
      </c>
    </row>
    <row r="829" spans="1:4" ht="15.9" customHeight="1" x14ac:dyDescent="0.25">
      <c r="A829" s="3" t="s">
        <v>1316</v>
      </c>
      <c r="B829" s="156">
        <v>4267</v>
      </c>
      <c r="C829" s="154" t="s">
        <v>9033</v>
      </c>
    </row>
    <row r="830" spans="1:4" ht="15.9" customHeight="1" x14ac:dyDescent="0.25">
      <c r="A830" s="3" t="s">
        <v>1316</v>
      </c>
      <c r="B830" s="156"/>
    </row>
    <row r="831" spans="1:4" ht="15.9" customHeight="1" x14ac:dyDescent="0.25">
      <c r="A831" s="3" t="s">
        <v>1436</v>
      </c>
      <c r="B831" s="156">
        <v>371</v>
      </c>
      <c r="C831" s="154" t="s">
        <v>8910</v>
      </c>
    </row>
    <row r="832" spans="1:4" ht="15.9" customHeight="1" x14ac:dyDescent="0.25">
      <c r="A832" s="3" t="s">
        <v>1436</v>
      </c>
      <c r="B832" s="156">
        <v>831</v>
      </c>
      <c r="C832" s="154" t="s">
        <v>9338</v>
      </c>
    </row>
    <row r="833" spans="1:3" ht="15.9" customHeight="1" x14ac:dyDescent="0.25">
      <c r="A833" s="3" t="s">
        <v>1436</v>
      </c>
      <c r="B833" s="156">
        <v>4323</v>
      </c>
      <c r="C833" s="154" t="s">
        <v>9071</v>
      </c>
    </row>
    <row r="834" spans="1:3" ht="15.9" customHeight="1" x14ac:dyDescent="0.25">
      <c r="A834" s="3" t="s">
        <v>1436</v>
      </c>
      <c r="B834" s="156">
        <v>4324</v>
      </c>
      <c r="C834" s="154" t="s">
        <v>9072</v>
      </c>
    </row>
    <row r="835" spans="1:3" ht="15.9" customHeight="1" x14ac:dyDescent="0.25">
      <c r="A835" s="3" t="s">
        <v>1436</v>
      </c>
      <c r="B835" s="156">
        <v>4325</v>
      </c>
      <c r="C835" s="154" t="s">
        <v>9073</v>
      </c>
    </row>
    <row r="836" spans="1:3" ht="15.9" customHeight="1" x14ac:dyDescent="0.25">
      <c r="A836" s="3" t="s">
        <v>1436</v>
      </c>
      <c r="B836" s="156">
        <v>4326</v>
      </c>
      <c r="C836" s="154" t="s">
        <v>9074</v>
      </c>
    </row>
    <row r="837" spans="1:3" ht="15.9" customHeight="1" x14ac:dyDescent="0.25">
      <c r="A837" s="3" t="s">
        <v>1436</v>
      </c>
      <c r="B837" s="156">
        <v>4327</v>
      </c>
      <c r="C837" s="154" t="s">
        <v>9075</v>
      </c>
    </row>
    <row r="838" spans="1:3" ht="15.9" customHeight="1" x14ac:dyDescent="0.25">
      <c r="A838" s="3" t="s">
        <v>1436</v>
      </c>
      <c r="B838" s="156">
        <v>4328</v>
      </c>
      <c r="C838" s="154" t="s">
        <v>9076</v>
      </c>
    </row>
    <row r="839" spans="1:3" ht="15.9" customHeight="1" x14ac:dyDescent="0.25">
      <c r="A839" s="3" t="s">
        <v>1436</v>
      </c>
      <c r="B839" s="156">
        <v>4354</v>
      </c>
      <c r="C839" s="154" t="s">
        <v>9083</v>
      </c>
    </row>
    <row r="840" spans="1:3" ht="15.9" customHeight="1" x14ac:dyDescent="0.25">
      <c r="A840" s="3" t="s">
        <v>1436</v>
      </c>
      <c r="B840" s="156">
        <v>4361</v>
      </c>
      <c r="C840" s="154" t="s">
        <v>9088</v>
      </c>
    </row>
    <row r="841" spans="1:3" ht="15.9" customHeight="1" x14ac:dyDescent="0.25">
      <c r="A841" s="3" t="s">
        <v>1436</v>
      </c>
      <c r="B841" s="156">
        <v>5285</v>
      </c>
      <c r="C841" s="154" t="s">
        <v>9161</v>
      </c>
    </row>
    <row r="842" spans="1:3" ht="15.9" customHeight="1" x14ac:dyDescent="0.25">
      <c r="A842" s="3" t="s">
        <v>1436</v>
      </c>
      <c r="B842" s="156">
        <v>6220</v>
      </c>
      <c r="C842" s="154" t="s">
        <v>9088</v>
      </c>
    </row>
    <row r="843" spans="1:3" ht="15.9" customHeight="1" x14ac:dyDescent="0.25">
      <c r="A843" s="3" t="s">
        <v>1436</v>
      </c>
      <c r="B843" s="156">
        <v>6222</v>
      </c>
      <c r="C843" s="154" t="s">
        <v>8461</v>
      </c>
    </row>
    <row r="844" spans="1:3" ht="15.9" customHeight="1" x14ac:dyDescent="0.25">
      <c r="A844" s="3" t="s">
        <v>1436</v>
      </c>
      <c r="B844" s="156">
        <v>9045</v>
      </c>
      <c r="C844" s="154" t="s">
        <v>9359</v>
      </c>
    </row>
    <row r="845" spans="1:3" ht="15.9" customHeight="1" x14ac:dyDescent="0.25">
      <c r="A845" s="3" t="s">
        <v>1436</v>
      </c>
      <c r="B845" s="156">
        <v>9047</v>
      </c>
      <c r="C845" s="154" t="s">
        <v>9360</v>
      </c>
    </row>
    <row r="846" spans="1:3" ht="15.9" customHeight="1" x14ac:dyDescent="0.25">
      <c r="A846" s="3" t="s">
        <v>1436</v>
      </c>
      <c r="B846" s="156">
        <v>9048</v>
      </c>
      <c r="C846" s="154" t="s">
        <v>9361</v>
      </c>
    </row>
    <row r="847" spans="1:3" ht="15.9" customHeight="1" x14ac:dyDescent="0.25">
      <c r="A847" s="3" t="s">
        <v>1436</v>
      </c>
      <c r="B847" s="156">
        <v>9059</v>
      </c>
      <c r="C847" s="154" t="s">
        <v>9364</v>
      </c>
    </row>
    <row r="848" spans="1:3" ht="15.9" customHeight="1" x14ac:dyDescent="0.25">
      <c r="A848" s="3" t="s">
        <v>1436</v>
      </c>
      <c r="B848" s="156"/>
    </row>
    <row r="849" spans="1:4" ht="15.9" customHeight="1" x14ac:dyDescent="0.25">
      <c r="A849" s="3" t="s">
        <v>1984</v>
      </c>
      <c r="B849" s="156">
        <v>9187</v>
      </c>
      <c r="C849" s="154" t="s">
        <v>9399</v>
      </c>
    </row>
    <row r="850" spans="1:4" ht="15.9" customHeight="1" x14ac:dyDescent="0.25">
      <c r="A850" s="3" t="s">
        <v>1984</v>
      </c>
      <c r="B850" s="156"/>
    </row>
    <row r="851" spans="1:4" ht="15.9" customHeight="1" x14ac:dyDescent="0.25">
      <c r="A851" s="3" t="s">
        <v>1266</v>
      </c>
      <c r="B851" s="156">
        <v>1</v>
      </c>
      <c r="C851" s="154" t="s">
        <v>8734</v>
      </c>
      <c r="D851" s="149" t="s">
        <v>8733</v>
      </c>
    </row>
    <row r="852" spans="1:4" ht="15.9" customHeight="1" x14ac:dyDescent="0.25">
      <c r="A852" s="3" t="s">
        <v>1266</v>
      </c>
      <c r="B852" s="156">
        <v>4020</v>
      </c>
      <c r="C852" s="154" t="s">
        <v>8734</v>
      </c>
    </row>
    <row r="853" spans="1:4" ht="15.9" customHeight="1" x14ac:dyDescent="0.25">
      <c r="A853" s="3" t="s">
        <v>1266</v>
      </c>
      <c r="B853" s="156">
        <v>4139</v>
      </c>
      <c r="C853" s="154" t="s">
        <v>8990</v>
      </c>
    </row>
    <row r="854" spans="1:4" ht="15.9" customHeight="1" x14ac:dyDescent="0.25">
      <c r="A854" s="3" t="s">
        <v>1266</v>
      </c>
      <c r="B854" s="156">
        <v>7034</v>
      </c>
      <c r="C854" s="154" t="s">
        <v>9279</v>
      </c>
    </row>
    <row r="855" spans="1:4" ht="15.9" customHeight="1" x14ac:dyDescent="0.25">
      <c r="A855" s="3" t="s">
        <v>1540</v>
      </c>
      <c r="B855" s="156">
        <v>1051</v>
      </c>
      <c r="C855" s="154" t="s">
        <v>8782</v>
      </c>
    </row>
    <row r="856" spans="1:4" ht="15.9" customHeight="1" x14ac:dyDescent="0.25">
      <c r="A856" s="3" t="s">
        <v>1540</v>
      </c>
      <c r="B856" s="156"/>
    </row>
    <row r="857" spans="1:4" ht="15.9" customHeight="1" x14ac:dyDescent="0.25">
      <c r="A857" s="3" t="s">
        <v>9435</v>
      </c>
      <c r="B857" s="156">
        <v>4517</v>
      </c>
      <c r="C857" s="154" t="s">
        <v>8518</v>
      </c>
      <c r="D857" s="149" t="s">
        <v>9468</v>
      </c>
    </row>
    <row r="858" spans="1:4" ht="15.9" customHeight="1" x14ac:dyDescent="0.25">
      <c r="A858" s="3" t="s">
        <v>9435</v>
      </c>
      <c r="B858" s="156">
        <v>4518</v>
      </c>
      <c r="C858" s="154" t="s">
        <v>8518</v>
      </c>
      <c r="D858" s="149" t="s">
        <v>9468</v>
      </c>
    </row>
    <row r="859" spans="1:4" ht="15.9" customHeight="1" x14ac:dyDescent="0.25">
      <c r="A859" s="3" t="s">
        <v>1687</v>
      </c>
      <c r="B859" s="156">
        <v>4088</v>
      </c>
      <c r="C859" s="154" t="s">
        <v>8972</v>
      </c>
    </row>
    <row r="860" spans="1:4" ht="15.9" customHeight="1" x14ac:dyDescent="0.25">
      <c r="A860" s="3" t="s">
        <v>1687</v>
      </c>
      <c r="B860" s="156">
        <v>4089</v>
      </c>
      <c r="C860" s="154" t="s">
        <v>8972</v>
      </c>
    </row>
    <row r="861" spans="1:4" ht="15.9" customHeight="1" x14ac:dyDescent="0.25">
      <c r="A861" s="3" t="s">
        <v>1687</v>
      </c>
      <c r="B861" s="156">
        <v>4238</v>
      </c>
      <c r="C861" s="154" t="s">
        <v>9024</v>
      </c>
    </row>
    <row r="862" spans="1:4" ht="15.9" customHeight="1" x14ac:dyDescent="0.25">
      <c r="A862" s="3" t="s">
        <v>1687</v>
      </c>
      <c r="B862" s="156">
        <v>4243</v>
      </c>
      <c r="C862" s="154" t="s">
        <v>9027</v>
      </c>
    </row>
    <row r="863" spans="1:4" ht="15.9" customHeight="1" x14ac:dyDescent="0.25">
      <c r="A863" s="3" t="s">
        <v>1687</v>
      </c>
      <c r="B863" s="156"/>
    </row>
    <row r="864" spans="1:4" ht="15.9" customHeight="1" x14ac:dyDescent="0.25">
      <c r="A864" s="3" t="s">
        <v>1478</v>
      </c>
      <c r="B864" s="156">
        <v>535</v>
      </c>
      <c r="C864" s="154" t="s">
        <v>9165</v>
      </c>
    </row>
    <row r="865" spans="1:4" ht="15.9" customHeight="1" x14ac:dyDescent="0.25">
      <c r="A865" s="3" t="s">
        <v>1478</v>
      </c>
      <c r="B865" s="156">
        <v>7044</v>
      </c>
      <c r="C865" s="154" t="s">
        <v>9280</v>
      </c>
    </row>
    <row r="866" spans="1:4" ht="15.9" customHeight="1" x14ac:dyDescent="0.25">
      <c r="A866" s="3" t="s">
        <v>1478</v>
      </c>
      <c r="B866" s="156"/>
    </row>
    <row r="867" spans="1:4" ht="15.9" customHeight="1" x14ac:dyDescent="0.25">
      <c r="A867" s="3" t="s">
        <v>1474</v>
      </c>
      <c r="B867" s="156">
        <v>530</v>
      </c>
      <c r="C867" s="154" t="s">
        <v>9164</v>
      </c>
    </row>
    <row r="868" spans="1:4" ht="15.9" customHeight="1" x14ac:dyDescent="0.25">
      <c r="A868" s="3" t="s">
        <v>1474</v>
      </c>
      <c r="B868" s="156">
        <v>4342</v>
      </c>
      <c r="C868" s="154" t="s">
        <v>9079</v>
      </c>
    </row>
    <row r="869" spans="1:4" ht="15.9" customHeight="1" x14ac:dyDescent="0.25">
      <c r="A869" s="3" t="s">
        <v>1474</v>
      </c>
      <c r="B869" s="156"/>
    </row>
    <row r="870" spans="1:4" ht="15.9" customHeight="1" x14ac:dyDescent="0.25">
      <c r="A870" s="3" t="s">
        <v>1431</v>
      </c>
      <c r="B870" s="156">
        <v>527</v>
      </c>
      <c r="C870" s="154" t="s">
        <v>9159</v>
      </c>
      <c r="D870" s="149" t="s">
        <v>9461</v>
      </c>
    </row>
    <row r="871" spans="1:4" ht="15.9" customHeight="1" x14ac:dyDescent="0.25">
      <c r="A871" s="3" t="s">
        <v>1431</v>
      </c>
      <c r="B871" s="156">
        <v>528</v>
      </c>
      <c r="C871" s="154" t="s">
        <v>9160</v>
      </c>
      <c r="D871" s="149" t="s">
        <v>9461</v>
      </c>
    </row>
    <row r="872" spans="1:4" ht="15.9" customHeight="1" x14ac:dyDescent="0.25">
      <c r="A872" s="3" t="s">
        <v>1431</v>
      </c>
      <c r="B872" s="156">
        <v>529</v>
      </c>
      <c r="C872" s="154" t="s">
        <v>9162</v>
      </c>
      <c r="D872" s="149" t="s">
        <v>9461</v>
      </c>
    </row>
    <row r="873" spans="1:4" ht="15.9" customHeight="1" x14ac:dyDescent="0.25">
      <c r="A873" s="3" t="s">
        <v>1431</v>
      </c>
      <c r="B873" s="156">
        <v>556</v>
      </c>
      <c r="C873" s="154" t="s">
        <v>9173</v>
      </c>
      <c r="D873" s="149" t="s">
        <v>9461</v>
      </c>
    </row>
    <row r="874" spans="1:4" ht="15.9" customHeight="1" x14ac:dyDescent="0.25">
      <c r="A874" s="3" t="s">
        <v>1431</v>
      </c>
      <c r="B874" s="156">
        <v>820</v>
      </c>
      <c r="C874" s="154" t="s">
        <v>9334</v>
      </c>
      <c r="D874" s="149" t="s">
        <v>9461</v>
      </c>
    </row>
    <row r="875" spans="1:4" ht="15.9" customHeight="1" x14ac:dyDescent="0.25">
      <c r="A875" s="3" t="s">
        <v>1431</v>
      </c>
      <c r="B875" s="156">
        <v>1072</v>
      </c>
      <c r="C875" s="154" t="s">
        <v>8786</v>
      </c>
      <c r="D875" s="149" t="s">
        <v>9461</v>
      </c>
    </row>
    <row r="876" spans="1:4" ht="15.9" customHeight="1" x14ac:dyDescent="0.25">
      <c r="A876" s="3" t="s">
        <v>1431</v>
      </c>
      <c r="B876" s="156">
        <v>1073</v>
      </c>
      <c r="C876" s="154" t="s">
        <v>8787</v>
      </c>
      <c r="D876" s="149" t="s">
        <v>9461</v>
      </c>
    </row>
    <row r="877" spans="1:4" ht="15.9" customHeight="1" x14ac:dyDescent="0.25">
      <c r="A877" s="3" t="s">
        <v>1431</v>
      </c>
      <c r="B877" s="156">
        <v>1137</v>
      </c>
      <c r="C877" s="154" t="s">
        <v>8792</v>
      </c>
      <c r="D877" s="149" t="s">
        <v>9461</v>
      </c>
    </row>
    <row r="878" spans="1:4" ht="15.9" customHeight="1" x14ac:dyDescent="0.25">
      <c r="A878" s="3" t="s">
        <v>1431</v>
      </c>
      <c r="B878" s="156">
        <v>4345</v>
      </c>
      <c r="C878" s="154" t="s">
        <v>8322</v>
      </c>
      <c r="D878" s="149" t="s">
        <v>9461</v>
      </c>
    </row>
    <row r="879" spans="1:4" ht="15.9" customHeight="1" x14ac:dyDescent="0.25">
      <c r="A879" s="3" t="s">
        <v>1431</v>
      </c>
      <c r="B879" s="156">
        <v>4490</v>
      </c>
      <c r="C879" s="154" t="s">
        <v>9094</v>
      </c>
      <c r="D879" s="149" t="s">
        <v>9461</v>
      </c>
    </row>
    <row r="880" spans="1:4" ht="15.9" customHeight="1" x14ac:dyDescent="0.25">
      <c r="A880" s="3" t="s">
        <v>1431</v>
      </c>
      <c r="B880" s="156">
        <v>4491</v>
      </c>
      <c r="C880" s="154" t="s">
        <v>9095</v>
      </c>
      <c r="D880" s="149" t="s">
        <v>9461</v>
      </c>
    </row>
    <row r="881" spans="1:5" ht="15.9" customHeight="1" x14ac:dyDescent="0.25">
      <c r="A881" s="3" t="s">
        <v>1431</v>
      </c>
      <c r="B881" s="156">
        <v>4492</v>
      </c>
      <c r="C881" s="154" t="s">
        <v>9096</v>
      </c>
      <c r="D881" s="149" t="s">
        <v>9461</v>
      </c>
    </row>
    <row r="882" spans="1:5" ht="15.9" customHeight="1" x14ac:dyDescent="0.25">
      <c r="A882" s="3" t="s">
        <v>1431</v>
      </c>
      <c r="B882" s="156">
        <v>4557</v>
      </c>
      <c r="C882" s="154" t="s">
        <v>8526</v>
      </c>
      <c r="D882" s="149" t="s">
        <v>9461</v>
      </c>
    </row>
    <row r="883" spans="1:5" ht="15.9" customHeight="1" x14ac:dyDescent="0.25">
      <c r="A883" s="3" t="s">
        <v>1431</v>
      </c>
      <c r="B883" s="156">
        <v>4559</v>
      </c>
      <c r="C883" s="154" t="s">
        <v>9130</v>
      </c>
      <c r="D883" s="149" t="s">
        <v>9461</v>
      </c>
    </row>
    <row r="884" spans="1:5" ht="15.9" customHeight="1" x14ac:dyDescent="0.25">
      <c r="A884" s="3" t="s">
        <v>1431</v>
      </c>
      <c r="B884" s="156">
        <v>4560</v>
      </c>
      <c r="C884" s="154" t="s">
        <v>8527</v>
      </c>
      <c r="D884" s="149" t="s">
        <v>9461</v>
      </c>
    </row>
    <row r="885" spans="1:5" ht="15.9" customHeight="1" x14ac:dyDescent="0.25">
      <c r="A885" s="3" t="s">
        <v>1431</v>
      </c>
      <c r="B885" s="156">
        <v>7000</v>
      </c>
      <c r="C885" s="154" t="s">
        <v>9262</v>
      </c>
      <c r="D885" s="149" t="s">
        <v>9461</v>
      </c>
    </row>
    <row r="886" spans="1:5" ht="15.9" customHeight="1" x14ac:dyDescent="0.25">
      <c r="A886" s="3" t="s">
        <v>1431</v>
      </c>
      <c r="B886" s="156">
        <v>7002</v>
      </c>
      <c r="C886" s="154" t="s">
        <v>9264</v>
      </c>
      <c r="D886" s="149" t="s">
        <v>9461</v>
      </c>
    </row>
    <row r="887" spans="1:5" ht="15.9" customHeight="1" x14ac:dyDescent="0.25">
      <c r="A887" s="3" t="s">
        <v>1431</v>
      </c>
      <c r="B887" s="156">
        <v>7008</v>
      </c>
      <c r="C887" s="154" t="s">
        <v>9267</v>
      </c>
      <c r="D887" s="149" t="s">
        <v>9461</v>
      </c>
    </row>
    <row r="888" spans="1:5" ht="15.9" customHeight="1" x14ac:dyDescent="0.25">
      <c r="A888" s="3" t="s">
        <v>9491</v>
      </c>
      <c r="C888" s="3" t="s">
        <v>9491</v>
      </c>
      <c r="D888" s="149" t="s">
        <v>9492</v>
      </c>
    </row>
    <row r="889" spans="1:5" ht="15.9" customHeight="1" x14ac:dyDescent="0.25">
      <c r="A889" s="3" t="s">
        <v>9491</v>
      </c>
      <c r="C889" s="3" t="s">
        <v>9491</v>
      </c>
      <c r="D889" s="149" t="s">
        <v>9493</v>
      </c>
    </row>
    <row r="890" spans="1:5" ht="15.9" customHeight="1" x14ac:dyDescent="0.25">
      <c r="A890" s="3" t="s">
        <v>1418</v>
      </c>
      <c r="C890" s="154" t="s">
        <v>8243</v>
      </c>
      <c r="D890" s="149" t="s">
        <v>9495</v>
      </c>
    </row>
    <row r="891" spans="1:5" ht="15.9" customHeight="1" x14ac:dyDescent="0.25">
      <c r="A891" s="3" t="s">
        <v>1265</v>
      </c>
      <c r="B891" s="156" t="s">
        <v>9514</v>
      </c>
      <c r="C891" s="154" t="s">
        <v>9512</v>
      </c>
      <c r="D891" s="149" t="s">
        <v>9513</v>
      </c>
    </row>
    <row r="892" spans="1:5" ht="15.9" customHeight="1" x14ac:dyDescent="0.25">
      <c r="A892" s="3" t="s">
        <v>1265</v>
      </c>
      <c r="B892" s="156" t="s">
        <v>9514</v>
      </c>
      <c r="C892" s="154" t="s">
        <v>1549</v>
      </c>
      <c r="D892" s="149" t="s">
        <v>9516</v>
      </c>
      <c r="E892" s="149" t="s">
        <v>9515</v>
      </c>
    </row>
    <row r="893" spans="1:5" ht="15.9" customHeight="1" x14ac:dyDescent="0.25">
      <c r="A893" s="3" t="s">
        <v>1265</v>
      </c>
      <c r="B893" s="156" t="s">
        <v>9514</v>
      </c>
      <c r="C893" s="154" t="s">
        <v>9517</v>
      </c>
      <c r="D893" s="149" t="s">
        <v>9516</v>
      </c>
    </row>
    <row r="894" spans="1:5" ht="15.9" customHeight="1" x14ac:dyDescent="0.25">
      <c r="A894" s="3" t="s">
        <v>1265</v>
      </c>
      <c r="B894" s="156" t="s">
        <v>9514</v>
      </c>
      <c r="C894" s="154" t="s">
        <v>9518</v>
      </c>
      <c r="D894" s="149" t="s">
        <v>9516</v>
      </c>
    </row>
  </sheetData>
  <autoFilter ref="A2:G894" xr:uid="{00000000-0009-0000-0000-000004000000}"/>
  <sortState xmlns:xlrd2="http://schemas.microsoft.com/office/spreadsheetml/2017/richdata2" ref="A3:D925">
    <sortCondition ref="A3:A925"/>
    <sortCondition ref="B3:B925"/>
    <sortCondition ref="C3:C925"/>
    <sortCondition ref="D3:D925"/>
  </sortState>
  <hyperlinks>
    <hyperlink ref="D4" r:id="rId1" xr:uid="{00000000-0004-0000-0400-000000000000}"/>
    <hyperlink ref="D144" r:id="rId2" xr:uid="{00000000-0004-0000-0400-000001000000}"/>
    <hyperlink ref="D420" display="https://auth.tesla.com/oauth2/v1/authorize?client_id=teslaservice-prd&amp;response_type=code&amp;redirect_uri=https://service.tesla.com/auth/callback&amp;scope=openid%20email%20profile%20employee%20offline_access&amp;state=27dff142-bb36-6e29-345b-67b1c74692ba&amp;locale=en-U" xr:uid="{00000000-0004-0000-0400-000002000000}"/>
    <hyperlink ref="D421" r:id="rId3" xr:uid="{00000000-0004-0000-0400-000003000000}"/>
    <hyperlink ref="D5" r:id="rId4" xr:uid="{00000000-0004-0000-0400-000004000000}"/>
    <hyperlink ref="D642" r:id="rId5" xr:uid="{00000000-0004-0000-0400-000005000000}"/>
    <hyperlink ref="D643" r:id="rId6" xr:uid="{00000000-0004-0000-0400-000006000000}"/>
    <hyperlink ref="D3" r:id="rId7" xr:uid="{00000000-0004-0000-0400-000007000000}"/>
    <hyperlink ref="E3" r:id="rId8" xr:uid="{00000000-0004-0000-0400-000008000000}"/>
    <hyperlink ref="F3" r:id="rId9" xr:uid="{00000000-0004-0000-0400-000009000000}"/>
    <hyperlink ref="D851" r:id="rId10" xr:uid="{00000000-0004-0000-0400-00000A000000}"/>
    <hyperlink ref="D8" r:id="rId11" xr:uid="{00000000-0004-0000-0400-00000B000000}"/>
    <hyperlink ref="D583" r:id="rId12" xr:uid="{00000000-0004-0000-0400-00000C000000}"/>
    <hyperlink ref="D72" r:id="rId13" xr:uid="{00000000-0004-0000-0400-00000D000000}"/>
    <hyperlink ref="E72" r:id="rId14" xr:uid="{00000000-0004-0000-0400-00000E000000}"/>
    <hyperlink ref="F72" r:id="rId15" xr:uid="{00000000-0004-0000-0400-00000F000000}"/>
    <hyperlink ref="D433" r:id="rId16" location="!designsupport" xr:uid="{00000000-0004-0000-0400-000010000000}"/>
    <hyperlink ref="D500" r:id="rId17" xr:uid="{00000000-0004-0000-0400-000011000000}"/>
    <hyperlink ref="D475" r:id="rId18" xr:uid="{00000000-0004-0000-0400-000012000000}"/>
    <hyperlink ref="D499" r:id="rId19" xr:uid="{00000000-0004-0000-0400-000013000000}"/>
    <hyperlink ref="D426" r:id="rId20" xr:uid="{00000000-0004-0000-0400-000014000000}"/>
    <hyperlink ref="D427" r:id="rId21" xr:uid="{00000000-0004-0000-0400-000015000000}"/>
    <hyperlink ref="D429:D430" r:id="rId22" display="https://www.ti.com/solution/automotive-rear-light" xr:uid="{00000000-0004-0000-0400-000016000000}"/>
    <hyperlink ref="D541:D542" r:id="rId23" display="https://www.ti.com/solution/automotive-rear-light" xr:uid="{00000000-0004-0000-0400-000017000000}"/>
    <hyperlink ref="D352" r:id="rId24" xr:uid="{00000000-0004-0000-0400-000018000000}"/>
    <hyperlink ref="D351" r:id="rId25" xr:uid="{00000000-0004-0000-0400-000019000000}"/>
    <hyperlink ref="D345" r:id="rId26" xr:uid="{00000000-0004-0000-0400-00001A000000}"/>
    <hyperlink ref="D340" r:id="rId27" xr:uid="{00000000-0004-0000-0400-00001B000000}"/>
    <hyperlink ref="D119" r:id="rId28" xr:uid="{00000000-0004-0000-0400-00001C000000}"/>
    <hyperlink ref="D125:D126" r:id="rId29" display="https://www.ti.com/solution/short-medium-range-radar-76-to-81ghz-with-rfcmos" xr:uid="{00000000-0004-0000-0400-00001D000000}"/>
    <hyperlink ref="D346:D347" r:id="rId30" display="https://www.ti.com/solution/short-medium-range-radar-76-to-81ghz-with-rfcmos" xr:uid="{00000000-0004-0000-0400-00001E000000}"/>
    <hyperlink ref="D373" r:id="rId31" xr:uid="{00000000-0004-0000-0400-00001F000000}"/>
    <hyperlink ref="D376" r:id="rId32" xr:uid="{00000000-0004-0000-0400-000020000000}"/>
    <hyperlink ref="D772" r:id="rId33" xr:uid="{00000000-0004-0000-0400-000021000000}"/>
    <hyperlink ref="D773:D783" r:id="rId34" display="https://www.ti.com/solution/seat-heating-module" xr:uid="{00000000-0004-0000-0400-000022000000}"/>
    <hyperlink ref="D785" r:id="rId35" xr:uid="{00000000-0004-0000-0400-000023000000}"/>
    <hyperlink ref="D786:D790" r:id="rId36" display="https://www.ti.com/solution/seat-lumbar-massage-module" xr:uid="{00000000-0004-0000-0400-000024000000}"/>
    <hyperlink ref="D721" r:id="rId37" xr:uid="{00000000-0004-0000-0400-000025000000}"/>
    <hyperlink ref="D722:D771" r:id="rId38" display="https://www.ti.com/solution/automotive-seat-position-comfort-module" xr:uid="{00000000-0004-0000-0400-000026000000}"/>
    <hyperlink ref="D95" r:id="rId39" xr:uid="{00000000-0004-0000-0400-000027000000}"/>
    <hyperlink ref="D679" r:id="rId40" xr:uid="{00000000-0004-0000-0400-000028000000}"/>
    <hyperlink ref="D471" r:id="rId41" xr:uid="{00000000-0004-0000-0400-000029000000}"/>
    <hyperlink ref="D472" r:id="rId42" xr:uid="{00000000-0004-0000-0400-00002A000000}"/>
    <hyperlink ref="D477" r:id="rId43" xr:uid="{00000000-0004-0000-0400-00002B000000}"/>
    <hyperlink ref="D478" r:id="rId44" xr:uid="{00000000-0004-0000-0400-00002C000000}"/>
    <hyperlink ref="D483" r:id="rId45" xr:uid="{00000000-0004-0000-0400-00002D000000}"/>
    <hyperlink ref="D487" r:id="rId46" xr:uid="{00000000-0004-0000-0400-00002E000000}"/>
    <hyperlink ref="D172" r:id="rId47" xr:uid="{00000000-0004-0000-0400-00002F000000}"/>
    <hyperlink ref="D870" r:id="rId48" xr:uid="{00000000-0004-0000-0400-000030000000}"/>
    <hyperlink ref="D871:D887" r:id="rId49" display="https://www.ti.com/solution/wiper-module" xr:uid="{00000000-0004-0000-0400-000031000000}"/>
    <hyperlink ref="D701" r:id="rId50" xr:uid="{00000000-0004-0000-0400-000032000000}"/>
    <hyperlink ref="D702:D708" r:id="rId51" display="https://www.ti.com/solution/automotive-window-module" xr:uid="{00000000-0004-0000-0400-000033000000}"/>
    <hyperlink ref="D803" r:id="rId52" xr:uid="{00000000-0004-0000-0400-000034000000}"/>
    <hyperlink ref="D804" r:id="rId53" xr:uid="{00000000-0004-0000-0400-000035000000}"/>
    <hyperlink ref="D167" r:id="rId54" xr:uid="{00000000-0004-0000-0400-000036000000}"/>
    <hyperlink ref="D169" r:id="rId55" xr:uid="{00000000-0004-0000-0400-000037000000}"/>
    <hyperlink ref="D177:D178" r:id="rId56" display="https://www.ti.com/solution/automotive-door-handle-module" xr:uid="{00000000-0004-0000-0400-000038000000}"/>
    <hyperlink ref="D84" r:id="rId57" xr:uid="{00000000-0004-0000-0400-000039000000}"/>
    <hyperlink ref="D103" r:id="rId58" xr:uid="{00000000-0004-0000-0400-00003A000000}"/>
    <hyperlink ref="D161" r:id="rId59" xr:uid="{00000000-0004-0000-0400-00003B000000}"/>
    <hyperlink ref="D162" r:id="rId60" xr:uid="{00000000-0004-0000-0400-00003C000000}"/>
    <hyperlink ref="D211" r:id="rId61" xr:uid="{00000000-0004-0000-0400-00003D000000}"/>
    <hyperlink ref="D212" r:id="rId62" xr:uid="{00000000-0004-0000-0400-00003E000000}"/>
    <hyperlink ref="D229" r:id="rId63" xr:uid="{00000000-0004-0000-0400-00003F000000}"/>
    <hyperlink ref="D857" r:id="rId64" xr:uid="{00000000-0004-0000-0400-000040000000}"/>
    <hyperlink ref="D858" r:id="rId65" xr:uid="{00000000-0004-0000-0400-000041000000}"/>
    <hyperlink ref="D228" r:id="rId66" xr:uid="{00000000-0004-0000-0400-000042000000}"/>
    <hyperlink ref="D241:D243" r:id="rId67" display="https://sensirion-automotive.com/products/cabin-air-temperature-sensor" xr:uid="{00000000-0004-0000-0400-000043000000}"/>
    <hyperlink ref="D226" r:id="rId68" xr:uid="{00000000-0004-0000-0400-000044000000}"/>
    <hyperlink ref="D218" r:id="rId69" xr:uid="{00000000-0004-0000-0400-000045000000}"/>
    <hyperlink ref="D230" r:id="rId70" xr:uid="{00000000-0004-0000-0400-000046000000}"/>
    <hyperlink ref="D139" r:id="rId71" xr:uid="{00000000-0004-0000-0400-000047000000}"/>
    <hyperlink ref="E139" r:id="rId72" xr:uid="{00000000-0004-0000-0400-000048000000}"/>
    <hyperlink ref="F139" r:id="rId73" xr:uid="{00000000-0004-0000-0400-000049000000}"/>
    <hyperlink ref="D394" r:id="rId74" xr:uid="{00000000-0004-0000-0400-00004A000000}"/>
    <hyperlink ref="D319" r:id="rId75" xr:uid="{00000000-0004-0000-0400-00004B000000}"/>
    <hyperlink ref="D888" display="https://www.google.de/url?sa=t&amp;rct=j&amp;q=&amp;esrc=s&amp;source=web&amp;cd=&amp;cad=rja&amp;uact=8&amp;ved=2ahUKEwiYzv2Uw9KLAxWZXvEDHa6gJvA4ChAWegQICxAB&amp;url=https%3A%2F%2Fcatalogs.coficab.com%2Fgeneralpurpose_specificaplications_tailormade.pdf&amp;usg=AOvVaw3WUEXEZ9sK2Nk71L3dG4IE&amp;opi=" xr:uid="{00000000-0004-0000-0400-00004C000000}"/>
    <hyperlink ref="D889" r:id="rId76" xr:uid="{00000000-0004-0000-0400-00004D000000}"/>
    <hyperlink ref="D154" r:id="rId77" xr:uid="{00000000-0004-0000-0400-00004E000000}"/>
    <hyperlink ref="D890" r:id="rId78" xr:uid="{00000000-0004-0000-0400-00004F000000}"/>
    <hyperlink ref="D644" r:id="rId79" xr:uid="{00000000-0004-0000-0400-000050000000}"/>
    <hyperlink ref="D645:D657" r:id="rId80" display="https://www.st.com/resource/en/datasheet/st25r3918.pdf" xr:uid="{00000000-0004-0000-0400-000051000000}"/>
    <hyperlink ref="D78" r:id="rId81" xr:uid="{00000000-0004-0000-0400-000052000000}"/>
    <hyperlink ref="D96" r:id="rId82" xr:uid="{00000000-0004-0000-0400-000053000000}"/>
    <hyperlink ref="D279" r:id="rId83" xr:uid="{00000000-0004-0000-0400-000054000000}"/>
    <hyperlink ref="D282" r:id="rId84" xr:uid="{00000000-0004-0000-0400-000055000000}"/>
    <hyperlink ref="D285" r:id="rId85" xr:uid="{00000000-0004-0000-0400-000056000000}"/>
    <hyperlink ref="D548" r:id="rId86" xr:uid="{00000000-0004-0000-0400-000057000000}"/>
    <hyperlink ref="D569" r:id="rId87" xr:uid="{00000000-0004-0000-0400-000058000000}"/>
    <hyperlink ref="D575:D576" r:id="rId88" display="https://fcc.report/FCC-ID/2AJW515891/7757407.pdf" xr:uid="{00000000-0004-0000-0400-000059000000}"/>
    <hyperlink ref="D578" r:id="rId89" xr:uid="{00000000-0004-0000-0400-00005A000000}"/>
    <hyperlink ref="E345" r:id="rId90" xr:uid="{00000000-0004-0000-0400-00005B000000}"/>
    <hyperlink ref="E346:E347" r:id="rId91" display="https://www.renesas.com/en/blogs/explore-cost-effective-way-support-mandatory-adas-systems?srsltid=AfmBOopJ0c_9b893Rwha6e5Nf19oZmnRW8k3fOj5QP0qXEmpKRuOkKT3" xr:uid="{00000000-0004-0000-0400-00005C000000}"/>
    <hyperlink ref="E373:E374" r:id="rId92" display="https://www.renesas.com/en/blogs/explore-cost-effective-way-support-mandatory-adas-systems?srsltid=AfmBOopJ0c_9b893Rwha6e5Nf19oZmnRW8k3fOj5QP0qXEmpKRuOkKT3" xr:uid="{00000000-0004-0000-0400-00005D000000}"/>
    <hyperlink ref="E376" r:id="rId93" xr:uid="{00000000-0004-0000-0400-00005E000000}"/>
    <hyperlink ref="D341" r:id="rId94" xr:uid="{00000000-0004-0000-0400-00005F000000}"/>
    <hyperlink ref="D681" r:id="rId95" xr:uid="{00000000-0004-0000-0400-000060000000}"/>
    <hyperlink ref="D116" r:id="rId96" xr:uid="{00000000-0004-0000-0400-000061000000}"/>
    <hyperlink ref="D123" r:id="rId97" xr:uid="{00000000-0004-0000-0400-000062000000}"/>
    <hyperlink ref="D124" r:id="rId98" xr:uid="{00000000-0004-0000-0400-000063000000}"/>
    <hyperlink ref="D891" r:id="rId99" xr:uid="{00000000-0004-0000-0400-000064000000}"/>
    <hyperlink ref="D893" r:id="rId100" xr:uid="{00000000-0004-0000-0400-000065000000}"/>
    <hyperlink ref="D894" r:id="rId101" xr:uid="{00000000-0004-0000-0400-000066000000}"/>
    <hyperlink ref="E892" r:id="rId102" xr:uid="{00000000-0004-0000-0400-000067000000}"/>
    <hyperlink ref="D892" r:id="rId103" xr:uid="{00000000-0004-0000-0400-000068000000}"/>
    <hyperlink ref="D151" r:id="rId104" xr:uid="{00000000-0004-0000-0400-000069000000}"/>
    <hyperlink ref="E151" r:id="rId105" xr:uid="{00000000-0004-0000-0400-00006A000000}"/>
  </hyperlinks>
  <pageMargins left="0.7" right="0.7" top="0.78740157499999996" bottom="0.78740157499999996" header="0.3" footer="0.3"/>
  <pageSetup paperSize="9" orientation="portrait" r:id="rId10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EH60"/>
  <sheetViews>
    <sheetView showGridLines="0" topLeftCell="A22" zoomScale="55" zoomScaleNormal="55" workbookViewId="0">
      <selection activeCell="DD23" sqref="DD23"/>
    </sheetView>
  </sheetViews>
  <sheetFormatPr baseColWidth="10" defaultColWidth="2.59765625" defaultRowHeight="20.100000000000001" customHeight="1" x14ac:dyDescent="0.25"/>
  <cols>
    <col min="1" max="6" width="2.59765625" style="76"/>
    <col min="7" max="12" width="3.09765625" style="76" bestFit="1" customWidth="1"/>
    <col min="13" max="22" width="2.69921875" style="76" bestFit="1" customWidth="1"/>
    <col min="23" max="16384" width="2.59765625" style="76"/>
  </cols>
  <sheetData>
    <row r="1" spans="3:138" ht="20.100000000000001" customHeight="1" x14ac:dyDescent="0.25">
      <c r="C1" s="77" t="s">
        <v>2146</v>
      </c>
    </row>
    <row r="2" spans="3:138" ht="20.100000000000001" customHeight="1" x14ac:dyDescent="0.25">
      <c r="C2" s="78" t="s">
        <v>2147</v>
      </c>
      <c r="G2" s="78" t="s">
        <v>2148</v>
      </c>
    </row>
    <row r="3" spans="3:138" ht="20.100000000000001" customHeight="1" x14ac:dyDescent="0.25">
      <c r="G3" s="78" t="s">
        <v>2149</v>
      </c>
    </row>
    <row r="4" spans="3:138" ht="20.100000000000001" customHeight="1" x14ac:dyDescent="0.25">
      <c r="G4" s="78" t="s">
        <v>8293</v>
      </c>
    </row>
    <row r="5" spans="3:138" ht="20.100000000000001" customHeight="1" x14ac:dyDescent="0.25">
      <c r="G5" s="78" t="s">
        <v>8294</v>
      </c>
    </row>
    <row r="6" spans="3:138" ht="20.100000000000001" customHeight="1" x14ac:dyDescent="0.25">
      <c r="G6" s="78"/>
    </row>
    <row r="8" spans="3:138" ht="20.100000000000001" customHeight="1" x14ac:dyDescent="0.25">
      <c r="C8" s="76">
        <v>25</v>
      </c>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t="s">
        <v>3579</v>
      </c>
      <c r="BC8" s="79" t="s">
        <v>3580</v>
      </c>
      <c r="BD8" s="79" t="s">
        <v>3581</v>
      </c>
      <c r="BE8" s="79" t="s">
        <v>3582</v>
      </c>
      <c r="BF8" s="79" t="s">
        <v>3583</v>
      </c>
      <c r="BG8" s="79" t="s">
        <v>3584</v>
      </c>
      <c r="BH8" s="79"/>
      <c r="BI8" s="79"/>
      <c r="BJ8" s="79"/>
      <c r="BK8" s="79"/>
      <c r="BL8" s="79"/>
      <c r="BM8" s="79"/>
      <c r="BN8" s="79"/>
      <c r="BO8" s="79"/>
      <c r="BP8" s="79"/>
      <c r="BQ8" s="79"/>
      <c r="BR8" s="79"/>
      <c r="BS8" s="79"/>
      <c r="BT8" s="79"/>
      <c r="BU8" s="79"/>
      <c r="BV8" s="79"/>
      <c r="BW8" s="79"/>
      <c r="BX8" s="79"/>
      <c r="BY8" s="79"/>
      <c r="BZ8" s="79"/>
      <c r="CA8" s="79"/>
      <c r="CB8" s="79"/>
      <c r="CC8" s="79"/>
      <c r="CD8" s="79"/>
      <c r="CE8" s="79"/>
      <c r="CF8" s="79"/>
      <c r="CG8" s="79"/>
      <c r="CH8" s="79"/>
      <c r="CI8" s="79"/>
      <c r="CJ8" s="79"/>
      <c r="CK8" s="79"/>
      <c r="CL8" s="79"/>
      <c r="CM8" s="79"/>
      <c r="CN8" s="79"/>
      <c r="CO8" s="79"/>
      <c r="CP8" s="79"/>
      <c r="CQ8" s="79"/>
      <c r="CR8" s="79"/>
      <c r="CS8" s="79"/>
      <c r="CT8" s="79"/>
      <c r="CU8" s="79"/>
      <c r="CV8" s="79"/>
      <c r="CW8" s="79"/>
      <c r="CX8" s="79"/>
      <c r="CY8" s="79"/>
      <c r="CZ8" s="79"/>
      <c r="DA8" s="79"/>
      <c r="DB8" s="79"/>
      <c r="DC8" s="79"/>
      <c r="DD8" s="79"/>
      <c r="DE8" s="79"/>
      <c r="DF8" s="79"/>
      <c r="DG8" s="79"/>
      <c r="DH8" s="79"/>
      <c r="DI8" s="79"/>
      <c r="DJ8" s="79"/>
      <c r="DK8" s="79"/>
      <c r="DL8" s="79"/>
      <c r="DM8" s="79"/>
      <c r="DN8" s="79"/>
      <c r="DO8" s="79"/>
      <c r="DP8" s="79"/>
      <c r="DQ8" s="79"/>
      <c r="DR8" s="79"/>
      <c r="DS8" s="79"/>
      <c r="DT8" s="79"/>
      <c r="DU8" s="79"/>
      <c r="DV8" s="79"/>
      <c r="DW8" s="79"/>
      <c r="DX8" s="79"/>
      <c r="DY8" s="79"/>
      <c r="DZ8" s="79"/>
      <c r="EA8" s="79"/>
      <c r="EB8" s="79"/>
      <c r="EC8" s="79"/>
      <c r="ED8" s="79"/>
      <c r="EE8" s="79"/>
      <c r="EF8" s="79"/>
      <c r="EG8" s="79"/>
      <c r="EH8" s="79"/>
    </row>
    <row r="9" spans="3:138" ht="20.100000000000001" customHeight="1" x14ac:dyDescent="0.25">
      <c r="C9" s="76">
        <v>24</v>
      </c>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c r="AW9" s="79"/>
      <c r="AX9" s="79"/>
      <c r="AY9" s="79"/>
      <c r="AZ9" s="79"/>
      <c r="BA9" s="79" t="s">
        <v>3585</v>
      </c>
      <c r="BB9" s="79" t="s">
        <v>3586</v>
      </c>
      <c r="BC9" s="79" t="s">
        <v>3587</v>
      </c>
      <c r="BD9" s="79" t="s">
        <v>3588</v>
      </c>
      <c r="BE9" s="79" t="s">
        <v>3589</v>
      </c>
      <c r="BF9" s="79" t="s">
        <v>3590</v>
      </c>
      <c r="BG9" s="79"/>
      <c r="BH9" s="79"/>
      <c r="BI9" s="79"/>
      <c r="BJ9" s="79"/>
      <c r="BK9" s="79"/>
      <c r="BL9" s="79"/>
      <c r="BM9" s="79"/>
      <c r="BN9" s="79"/>
      <c r="BO9" s="79"/>
      <c r="BP9" s="79"/>
      <c r="BQ9" s="79"/>
      <c r="BR9" s="79"/>
      <c r="BS9" s="79"/>
      <c r="BT9" s="79"/>
      <c r="BU9" s="79"/>
      <c r="BV9" s="79"/>
      <c r="BW9" s="79"/>
      <c r="BX9" s="79"/>
      <c r="BY9" s="79"/>
      <c r="BZ9" s="79"/>
      <c r="CA9" s="79"/>
      <c r="CB9" s="79"/>
      <c r="CC9" s="79"/>
      <c r="CD9" s="79"/>
      <c r="CE9" s="79"/>
      <c r="CF9" s="79"/>
      <c r="CG9" s="79"/>
      <c r="CH9" s="79"/>
      <c r="CI9" s="79"/>
      <c r="CJ9" s="79"/>
      <c r="CK9" s="79"/>
      <c r="CL9" s="79"/>
      <c r="CM9" s="79"/>
      <c r="CN9" s="79"/>
      <c r="CO9" s="79"/>
      <c r="CP9" s="79"/>
      <c r="CQ9" s="79"/>
      <c r="CR9" s="79"/>
      <c r="CS9" s="79"/>
      <c r="CT9" s="79"/>
      <c r="CU9" s="79"/>
      <c r="CV9" s="79"/>
      <c r="CW9" s="79"/>
      <c r="CX9" s="79"/>
      <c r="CY9" s="79"/>
      <c r="CZ9" s="79"/>
      <c r="DA9" s="79"/>
      <c r="DB9" s="79"/>
      <c r="DC9" s="79"/>
      <c r="DD9" s="79"/>
      <c r="DE9" s="79"/>
      <c r="DF9" s="79"/>
      <c r="DG9" s="79"/>
      <c r="DH9" s="79"/>
      <c r="DI9" s="79"/>
      <c r="DJ9" s="79"/>
      <c r="DK9" s="79"/>
      <c r="DL9" s="79"/>
      <c r="DM9" s="79"/>
      <c r="DN9" s="79"/>
      <c r="DO9" s="79"/>
      <c r="DP9" s="79"/>
      <c r="DQ9" s="79"/>
      <c r="DR9" s="79"/>
      <c r="DS9" s="79"/>
      <c r="DT9" s="79"/>
      <c r="DU9" s="79"/>
      <c r="DV9" s="79"/>
      <c r="DW9" s="79"/>
      <c r="DX9" s="79"/>
      <c r="DY9" s="79"/>
      <c r="DZ9" s="79"/>
      <c r="EA9" s="79"/>
      <c r="EB9" s="79"/>
      <c r="EC9" s="79"/>
      <c r="ED9" s="79"/>
      <c r="EE9" s="79"/>
      <c r="EF9" s="79"/>
      <c r="EG9" s="79"/>
      <c r="EH9" s="79"/>
    </row>
    <row r="10" spans="3:138" ht="20.100000000000001" customHeight="1" x14ac:dyDescent="0.25">
      <c r="C10" s="76">
        <v>23</v>
      </c>
      <c r="G10" s="79"/>
      <c r="H10" s="79"/>
      <c r="I10" s="79"/>
      <c r="J10" s="79"/>
      <c r="K10" s="79"/>
      <c r="L10" s="79"/>
      <c r="M10" s="79"/>
      <c r="N10" s="79"/>
      <c r="O10" s="79"/>
      <c r="P10" s="79" t="s">
        <v>3274</v>
      </c>
      <c r="Q10" s="79" t="s">
        <v>3235</v>
      </c>
      <c r="R10" s="79" t="s">
        <v>3196</v>
      </c>
      <c r="S10" s="79" t="s">
        <v>3157</v>
      </c>
      <c r="T10" s="79" t="s">
        <v>3118</v>
      </c>
      <c r="U10" s="79" t="s">
        <v>3079</v>
      </c>
      <c r="V10" s="79" t="s">
        <v>3040</v>
      </c>
      <c r="W10" s="79" t="s">
        <v>3001</v>
      </c>
      <c r="X10" s="144" t="s">
        <v>2962</v>
      </c>
      <c r="Y10" s="144" t="s">
        <v>2923</v>
      </c>
      <c r="Z10" s="144" t="s">
        <v>2884</v>
      </c>
      <c r="AA10" s="144" t="s">
        <v>2845</v>
      </c>
      <c r="AB10" s="144" t="s">
        <v>2806</v>
      </c>
      <c r="AC10" s="144" t="s">
        <v>2767</v>
      </c>
      <c r="AD10" s="144" t="s">
        <v>2728</v>
      </c>
      <c r="AE10" s="144" t="s">
        <v>2689</v>
      </c>
      <c r="AF10" s="144" t="s">
        <v>2650</v>
      </c>
      <c r="AG10" s="144" t="s">
        <v>2611</v>
      </c>
      <c r="AH10" s="144" t="s">
        <v>2572</v>
      </c>
      <c r="AI10" s="144" t="s">
        <v>2533</v>
      </c>
      <c r="AJ10" s="144" t="s">
        <v>2495</v>
      </c>
      <c r="AK10" s="144" t="s">
        <v>2457</v>
      </c>
      <c r="AL10" s="144" t="s">
        <v>2420</v>
      </c>
      <c r="AM10" s="144" t="s">
        <v>2383</v>
      </c>
      <c r="AN10" s="79" t="s">
        <v>2347</v>
      </c>
      <c r="AO10" s="79" t="s">
        <v>2311</v>
      </c>
      <c r="AP10" s="79" t="s">
        <v>2276</v>
      </c>
      <c r="AQ10" s="79" t="s">
        <v>2242</v>
      </c>
      <c r="AR10" s="79" t="s">
        <v>2210</v>
      </c>
      <c r="AS10" s="79" t="s">
        <v>2179</v>
      </c>
      <c r="AT10" s="79" t="s">
        <v>3591</v>
      </c>
      <c r="AU10" s="79" t="s">
        <v>3592</v>
      </c>
      <c r="AV10" s="79" t="s">
        <v>3593</v>
      </c>
      <c r="AW10" s="79" t="s">
        <v>3594</v>
      </c>
      <c r="AX10" s="79" t="s">
        <v>3595</v>
      </c>
      <c r="AY10" s="79" t="s">
        <v>3596</v>
      </c>
      <c r="AZ10" s="79" t="s">
        <v>3597</v>
      </c>
      <c r="BA10" s="79" t="s">
        <v>3598</v>
      </c>
      <c r="BB10" s="79" t="s">
        <v>3599</v>
      </c>
      <c r="BC10" s="79" t="s">
        <v>3600</v>
      </c>
      <c r="BD10" s="79" t="s">
        <v>3601</v>
      </c>
      <c r="BE10" s="79" t="s">
        <v>3602</v>
      </c>
      <c r="BF10" s="79" t="s">
        <v>3603</v>
      </c>
      <c r="BG10" s="79" t="s">
        <v>3604</v>
      </c>
      <c r="BH10" s="79" t="s">
        <v>3605</v>
      </c>
      <c r="BI10" s="79" t="s">
        <v>3606</v>
      </c>
      <c r="BJ10" s="79" t="s">
        <v>3607</v>
      </c>
      <c r="BK10" s="79" t="s">
        <v>3608</v>
      </c>
      <c r="BL10" s="79" t="s">
        <v>3609</v>
      </c>
      <c r="BM10" s="79" t="s">
        <v>3610</v>
      </c>
      <c r="BN10" s="79" t="s">
        <v>3611</v>
      </c>
      <c r="BO10" s="79" t="s">
        <v>3612</v>
      </c>
      <c r="BP10" s="79" t="s">
        <v>3613</v>
      </c>
      <c r="BQ10" s="79" t="s">
        <v>3614</v>
      </c>
      <c r="BR10" s="79" t="s">
        <v>3615</v>
      </c>
      <c r="BS10" s="79" t="s">
        <v>3616</v>
      </c>
      <c r="BT10" s="79" t="s">
        <v>3617</v>
      </c>
      <c r="BU10" s="79" t="s">
        <v>3618</v>
      </c>
      <c r="BV10" s="79" t="s">
        <v>3619</v>
      </c>
      <c r="BW10" s="79" t="s">
        <v>3620</v>
      </c>
      <c r="BX10" s="79" t="s">
        <v>3621</v>
      </c>
      <c r="BY10" s="79" t="s">
        <v>3622</v>
      </c>
      <c r="BZ10" s="144" t="s">
        <v>3623</v>
      </c>
      <c r="CA10" s="79" t="s">
        <v>3624</v>
      </c>
      <c r="CB10" s="79" t="s">
        <v>3625</v>
      </c>
      <c r="CC10" s="79" t="s">
        <v>3626</v>
      </c>
      <c r="CD10" s="79" t="s">
        <v>3627</v>
      </c>
      <c r="CE10" s="79" t="s">
        <v>3628</v>
      </c>
      <c r="CF10" s="79" t="s">
        <v>3629</v>
      </c>
      <c r="CG10" s="79" t="s">
        <v>3630</v>
      </c>
      <c r="CH10" s="79" t="s">
        <v>3631</v>
      </c>
      <c r="CI10" s="79" t="s">
        <v>3632</v>
      </c>
      <c r="CJ10" s="79" t="s">
        <v>3633</v>
      </c>
      <c r="CK10" s="79" t="s">
        <v>3634</v>
      </c>
      <c r="CL10" s="79" t="s">
        <v>3635</v>
      </c>
      <c r="CM10" s="79" t="s">
        <v>3636</v>
      </c>
      <c r="CN10" s="79" t="s">
        <v>3637</v>
      </c>
      <c r="CO10" s="79" t="s">
        <v>3638</v>
      </c>
      <c r="CP10" s="79" t="s">
        <v>3639</v>
      </c>
      <c r="CQ10" s="79" t="s">
        <v>3640</v>
      </c>
      <c r="CR10" s="79" t="s">
        <v>3641</v>
      </c>
      <c r="CS10" s="79" t="s">
        <v>3642</v>
      </c>
      <c r="CT10" s="79" t="s">
        <v>3643</v>
      </c>
      <c r="CU10" s="79" t="s">
        <v>3644</v>
      </c>
      <c r="CV10" s="79" t="s">
        <v>3645</v>
      </c>
      <c r="CW10" s="79" t="s">
        <v>3646</v>
      </c>
      <c r="CX10" s="79" t="s">
        <v>3647</v>
      </c>
      <c r="CY10" s="79" t="s">
        <v>3648</v>
      </c>
      <c r="CZ10" s="79" t="s">
        <v>3649</v>
      </c>
      <c r="DA10" s="144" t="s">
        <v>3650</v>
      </c>
      <c r="DB10" s="144" t="s">
        <v>3651</v>
      </c>
      <c r="DC10" s="144" t="s">
        <v>3652</v>
      </c>
      <c r="DD10" s="144" t="s">
        <v>3653</v>
      </c>
      <c r="DE10" s="144" t="s">
        <v>3654</v>
      </c>
      <c r="DF10" s="144" t="s">
        <v>3655</v>
      </c>
      <c r="DG10" s="144" t="s">
        <v>3656</v>
      </c>
      <c r="DH10" s="144" t="s">
        <v>3657</v>
      </c>
      <c r="DI10" s="144" t="s">
        <v>3658</v>
      </c>
      <c r="DJ10" s="144" t="s">
        <v>3659</v>
      </c>
      <c r="DK10" s="144" t="s">
        <v>3660</v>
      </c>
      <c r="DL10" s="144" t="s">
        <v>3661</v>
      </c>
      <c r="DM10" s="144" t="s">
        <v>3662</v>
      </c>
      <c r="DN10" s="144" t="s">
        <v>3663</v>
      </c>
      <c r="DO10" s="79" t="s">
        <v>3664</v>
      </c>
      <c r="DP10" s="79" t="s">
        <v>3665</v>
      </c>
      <c r="DQ10" s="79" t="s">
        <v>3666</v>
      </c>
      <c r="DR10" s="79" t="s">
        <v>3667</v>
      </c>
      <c r="DS10" s="79" t="s">
        <v>3668</v>
      </c>
      <c r="DT10" s="79" t="s">
        <v>3669</v>
      </c>
      <c r="DU10" s="79" t="s">
        <v>3670</v>
      </c>
      <c r="DV10" s="79" t="s">
        <v>3671</v>
      </c>
      <c r="DW10" s="79" t="s">
        <v>3672</v>
      </c>
      <c r="DX10" s="79" t="s">
        <v>3673</v>
      </c>
      <c r="DY10" s="79" t="s">
        <v>3674</v>
      </c>
      <c r="DZ10" s="79" t="s">
        <v>3675</v>
      </c>
      <c r="EA10" s="79" t="s">
        <v>3676</v>
      </c>
      <c r="EB10" s="79" t="s">
        <v>3677</v>
      </c>
      <c r="EC10" s="79" t="s">
        <v>3678</v>
      </c>
      <c r="ED10" s="79" t="s">
        <v>3679</v>
      </c>
      <c r="EE10" s="79" t="s">
        <v>3680</v>
      </c>
      <c r="EF10" s="79" t="s">
        <v>3681</v>
      </c>
      <c r="EG10" s="79" t="s">
        <v>3682</v>
      </c>
      <c r="EH10" s="79" t="s">
        <v>3683</v>
      </c>
    </row>
    <row r="11" spans="3:138" ht="20.100000000000001" customHeight="1" x14ac:dyDescent="0.25">
      <c r="C11" s="76">
        <v>22</v>
      </c>
      <c r="G11" s="79"/>
      <c r="H11" s="79"/>
      <c r="I11" s="79"/>
      <c r="J11" s="79"/>
      <c r="K11" s="79"/>
      <c r="L11" s="79"/>
      <c r="M11" s="79"/>
      <c r="N11" s="79" t="s">
        <v>3350</v>
      </c>
      <c r="O11" s="79" t="s">
        <v>3312</v>
      </c>
      <c r="P11" s="79" t="s">
        <v>3273</v>
      </c>
      <c r="Q11" s="79" t="s">
        <v>3234</v>
      </c>
      <c r="R11" s="79" t="s">
        <v>3195</v>
      </c>
      <c r="S11" s="79" t="s">
        <v>3156</v>
      </c>
      <c r="T11" s="79" t="s">
        <v>3117</v>
      </c>
      <c r="U11" s="79" t="s">
        <v>3078</v>
      </c>
      <c r="V11" s="79" t="s">
        <v>3039</v>
      </c>
      <c r="W11" s="79" t="s">
        <v>3000</v>
      </c>
      <c r="X11" s="144" t="s">
        <v>2961</v>
      </c>
      <c r="Y11" s="144" t="s">
        <v>2922</v>
      </c>
      <c r="Z11" s="144" t="s">
        <v>2883</v>
      </c>
      <c r="AA11" s="144" t="s">
        <v>2844</v>
      </c>
      <c r="AB11" s="144" t="s">
        <v>2805</v>
      </c>
      <c r="AC11" s="144" t="s">
        <v>2766</v>
      </c>
      <c r="AD11" s="144" t="s">
        <v>2727</v>
      </c>
      <c r="AE11" s="144" t="s">
        <v>2688</v>
      </c>
      <c r="AF11" s="144" t="s">
        <v>2649</v>
      </c>
      <c r="AG11" s="144" t="s">
        <v>2610</v>
      </c>
      <c r="AH11" s="144" t="s">
        <v>2571</v>
      </c>
      <c r="AI11" s="144" t="s">
        <v>2532</v>
      </c>
      <c r="AJ11" s="144" t="s">
        <v>2494</v>
      </c>
      <c r="AK11" s="144" t="s">
        <v>2456</v>
      </c>
      <c r="AL11" s="144" t="s">
        <v>2419</v>
      </c>
      <c r="AM11" s="144" t="s">
        <v>2382</v>
      </c>
      <c r="AN11" s="79" t="s">
        <v>2346</v>
      </c>
      <c r="AO11" s="79" t="s">
        <v>2310</v>
      </c>
      <c r="AP11" s="79" t="s">
        <v>2275</v>
      </c>
      <c r="AQ11" s="79" t="s">
        <v>2241</v>
      </c>
      <c r="AR11" s="79" t="s">
        <v>2209</v>
      </c>
      <c r="AS11" s="79" t="s">
        <v>2178</v>
      </c>
      <c r="AT11" s="79" t="s">
        <v>3684</v>
      </c>
      <c r="AU11" s="79" t="s">
        <v>3685</v>
      </c>
      <c r="AV11" s="79" t="s">
        <v>3686</v>
      </c>
      <c r="AW11" s="79" t="s">
        <v>3687</v>
      </c>
      <c r="AX11" s="79" t="s">
        <v>3688</v>
      </c>
      <c r="AY11" s="79" t="s">
        <v>3689</v>
      </c>
      <c r="AZ11" s="79" t="s">
        <v>3690</v>
      </c>
      <c r="BA11" s="79" t="s">
        <v>3691</v>
      </c>
      <c r="BB11" s="79" t="s">
        <v>3692</v>
      </c>
      <c r="BC11" s="79" t="s">
        <v>3693</v>
      </c>
      <c r="BD11" s="79" t="s">
        <v>3694</v>
      </c>
      <c r="BE11" s="79" t="s">
        <v>3695</v>
      </c>
      <c r="BF11" s="79" t="s">
        <v>3696</v>
      </c>
      <c r="BG11" s="79" t="s">
        <v>3697</v>
      </c>
      <c r="BH11" s="79" t="s">
        <v>3698</v>
      </c>
      <c r="BI11" s="79" t="s">
        <v>3699</v>
      </c>
      <c r="BJ11" s="79" t="s">
        <v>3700</v>
      </c>
      <c r="BK11" s="79" t="s">
        <v>3701</v>
      </c>
      <c r="BL11" s="79" t="s">
        <v>3702</v>
      </c>
      <c r="BM11" s="79" t="s">
        <v>3703</v>
      </c>
      <c r="BN11" s="79" t="s">
        <v>3704</v>
      </c>
      <c r="BO11" s="79" t="s">
        <v>3705</v>
      </c>
      <c r="BP11" s="79" t="s">
        <v>3706</v>
      </c>
      <c r="BQ11" s="79" t="s">
        <v>3707</v>
      </c>
      <c r="BR11" s="79" t="s">
        <v>3708</v>
      </c>
      <c r="BS11" s="79" t="s">
        <v>3709</v>
      </c>
      <c r="BT11" s="79" t="s">
        <v>3710</v>
      </c>
      <c r="BU11" s="79" t="s">
        <v>3711</v>
      </c>
      <c r="BV11" s="79" t="s">
        <v>3712</v>
      </c>
      <c r="BW11" s="79" t="s">
        <v>3713</v>
      </c>
      <c r="BX11" s="79" t="s">
        <v>3714</v>
      </c>
      <c r="BY11" s="79" t="s">
        <v>3715</v>
      </c>
      <c r="BZ11" s="144" t="s">
        <v>3716</v>
      </c>
      <c r="CA11" s="79" t="s">
        <v>3717</v>
      </c>
      <c r="CB11" s="79" t="s">
        <v>3718</v>
      </c>
      <c r="CC11" s="79" t="s">
        <v>3719</v>
      </c>
      <c r="CD11" s="79" t="s">
        <v>3720</v>
      </c>
      <c r="CE11" s="79" t="s">
        <v>3721</v>
      </c>
      <c r="CF11" s="79" t="s">
        <v>3722</v>
      </c>
      <c r="CG11" s="79" t="s">
        <v>3723</v>
      </c>
      <c r="CH11" s="79" t="s">
        <v>3724</v>
      </c>
      <c r="CI11" s="79" t="s">
        <v>3725</v>
      </c>
      <c r="CJ11" s="79" t="s">
        <v>3726</v>
      </c>
      <c r="CK11" s="79" t="s">
        <v>3727</v>
      </c>
      <c r="CL11" s="79" t="s">
        <v>3728</v>
      </c>
      <c r="CM11" s="79" t="s">
        <v>3729</v>
      </c>
      <c r="CN11" s="79" t="s">
        <v>3730</v>
      </c>
      <c r="CO11" s="79" t="s">
        <v>3731</v>
      </c>
      <c r="CP11" s="79" t="s">
        <v>3732</v>
      </c>
      <c r="CQ11" s="79" t="s">
        <v>3733</v>
      </c>
      <c r="CR11" s="79" t="s">
        <v>3734</v>
      </c>
      <c r="CS11" s="79" t="s">
        <v>3735</v>
      </c>
      <c r="CT11" s="79" t="s">
        <v>3736</v>
      </c>
      <c r="CU11" s="79" t="s">
        <v>3737</v>
      </c>
      <c r="CV11" s="79" t="s">
        <v>3738</v>
      </c>
      <c r="CW11" s="79" t="s">
        <v>3739</v>
      </c>
      <c r="CX11" s="79" t="s">
        <v>3740</v>
      </c>
      <c r="CY11" s="79" t="s">
        <v>3741</v>
      </c>
      <c r="CZ11" s="79" t="s">
        <v>3742</v>
      </c>
      <c r="DA11" s="144" t="s">
        <v>3743</v>
      </c>
      <c r="DB11" s="144" t="s">
        <v>3744</v>
      </c>
      <c r="DC11" s="144" t="s">
        <v>3745</v>
      </c>
      <c r="DD11" s="144" t="s">
        <v>3746</v>
      </c>
      <c r="DE11" s="144" t="s">
        <v>3747</v>
      </c>
      <c r="DF11" s="144" t="s">
        <v>3748</v>
      </c>
      <c r="DG11" s="144" t="s">
        <v>3749</v>
      </c>
      <c r="DH11" s="144" t="s">
        <v>3750</v>
      </c>
      <c r="DI11" s="144" t="s">
        <v>3751</v>
      </c>
      <c r="DJ11" s="144" t="s">
        <v>3752</v>
      </c>
      <c r="DK11" s="144" t="s">
        <v>3753</v>
      </c>
      <c r="DL11" s="144" t="s">
        <v>3754</v>
      </c>
      <c r="DM11" s="144" t="s">
        <v>3755</v>
      </c>
      <c r="DN11" s="144" t="s">
        <v>3756</v>
      </c>
      <c r="DO11" s="79" t="s">
        <v>3757</v>
      </c>
      <c r="DP11" s="79" t="s">
        <v>3758</v>
      </c>
      <c r="DQ11" s="79" t="s">
        <v>3759</v>
      </c>
      <c r="DR11" s="79" t="s">
        <v>3760</v>
      </c>
      <c r="DS11" s="79" t="s">
        <v>3761</v>
      </c>
      <c r="DT11" s="79" t="s">
        <v>3762</v>
      </c>
      <c r="DU11" s="79" t="s">
        <v>3763</v>
      </c>
      <c r="DV11" s="79" t="s">
        <v>3764</v>
      </c>
      <c r="DW11" s="79" t="s">
        <v>3765</v>
      </c>
      <c r="DX11" s="79" t="s">
        <v>3766</v>
      </c>
      <c r="DY11" s="79" t="s">
        <v>3767</v>
      </c>
      <c r="DZ11" s="79" t="s">
        <v>3768</v>
      </c>
      <c r="EA11" s="79" t="s">
        <v>3769</v>
      </c>
      <c r="EB11" s="79" t="s">
        <v>3770</v>
      </c>
      <c r="EC11" s="79" t="s">
        <v>3771</v>
      </c>
      <c r="ED11" s="79" t="s">
        <v>3772</v>
      </c>
      <c r="EE11" s="79" t="s">
        <v>3773</v>
      </c>
      <c r="EF11" s="79" t="s">
        <v>3774</v>
      </c>
      <c r="EG11" s="79" t="s">
        <v>3775</v>
      </c>
      <c r="EH11" s="79" t="s">
        <v>3776</v>
      </c>
    </row>
    <row r="12" spans="3:138" ht="20.100000000000001" customHeight="1" x14ac:dyDescent="0.25">
      <c r="C12" s="76">
        <v>21</v>
      </c>
      <c r="G12" s="79"/>
      <c r="H12" s="79"/>
      <c r="I12" s="79"/>
      <c r="J12" s="79"/>
      <c r="K12" s="79"/>
      <c r="L12" s="79"/>
      <c r="M12" s="79" t="s">
        <v>3387</v>
      </c>
      <c r="N12" s="79" t="s">
        <v>3349</v>
      </c>
      <c r="O12" s="79" t="s">
        <v>3311</v>
      </c>
      <c r="P12" s="79" t="s">
        <v>3272</v>
      </c>
      <c r="Q12" s="79" t="s">
        <v>3233</v>
      </c>
      <c r="R12" s="79" t="s">
        <v>3194</v>
      </c>
      <c r="S12" s="79" t="s">
        <v>3155</v>
      </c>
      <c r="T12" s="79" t="s">
        <v>3116</v>
      </c>
      <c r="U12" s="79" t="s">
        <v>3077</v>
      </c>
      <c r="V12" s="79" t="s">
        <v>3038</v>
      </c>
      <c r="W12" s="79" t="s">
        <v>2999</v>
      </c>
      <c r="X12" s="144" t="s">
        <v>2960</v>
      </c>
      <c r="Y12" s="144" t="s">
        <v>2921</v>
      </c>
      <c r="Z12" s="144" t="s">
        <v>2882</v>
      </c>
      <c r="AA12" s="144" t="s">
        <v>2843</v>
      </c>
      <c r="AB12" s="144" t="s">
        <v>2804</v>
      </c>
      <c r="AC12" s="144" t="s">
        <v>2765</v>
      </c>
      <c r="AD12" s="144" t="s">
        <v>2726</v>
      </c>
      <c r="AE12" s="144" t="s">
        <v>2687</v>
      </c>
      <c r="AF12" s="144" t="s">
        <v>2648</v>
      </c>
      <c r="AG12" s="144" t="s">
        <v>2609</v>
      </c>
      <c r="AH12" s="144" t="s">
        <v>2570</v>
      </c>
      <c r="AI12" s="144" t="s">
        <v>2531</v>
      </c>
      <c r="AJ12" s="144" t="s">
        <v>2493</v>
      </c>
      <c r="AK12" s="144" t="s">
        <v>2455</v>
      </c>
      <c r="AL12" s="144" t="s">
        <v>2418</v>
      </c>
      <c r="AM12" s="144" t="s">
        <v>2381</v>
      </c>
      <c r="AN12" s="79" t="s">
        <v>2345</v>
      </c>
      <c r="AO12" s="79" t="s">
        <v>2309</v>
      </c>
      <c r="AP12" s="79" t="s">
        <v>2274</v>
      </c>
      <c r="AQ12" s="79" t="s">
        <v>2240</v>
      </c>
      <c r="AR12" s="79" t="s">
        <v>2208</v>
      </c>
      <c r="AS12" s="79" t="s">
        <v>2177</v>
      </c>
      <c r="AT12" s="79" t="s">
        <v>3777</v>
      </c>
      <c r="AU12" s="79" t="s">
        <v>3778</v>
      </c>
      <c r="AV12" s="79" t="s">
        <v>3779</v>
      </c>
      <c r="AW12" s="79" t="s">
        <v>3780</v>
      </c>
      <c r="AX12" s="79" t="s">
        <v>3781</v>
      </c>
      <c r="AY12" s="79" t="s">
        <v>3782</v>
      </c>
      <c r="AZ12" s="79" t="s">
        <v>3783</v>
      </c>
      <c r="BA12" s="79" t="s">
        <v>3784</v>
      </c>
      <c r="BB12" s="79" t="s">
        <v>3785</v>
      </c>
      <c r="BC12" s="79" t="s">
        <v>3786</v>
      </c>
      <c r="BD12" s="79" t="s">
        <v>3787</v>
      </c>
      <c r="BE12" s="79" t="s">
        <v>3788</v>
      </c>
      <c r="BF12" s="79" t="s">
        <v>3789</v>
      </c>
      <c r="BG12" s="79" t="s">
        <v>3790</v>
      </c>
      <c r="BH12" s="79" t="s">
        <v>3791</v>
      </c>
      <c r="BI12" s="79" t="s">
        <v>3792</v>
      </c>
      <c r="BJ12" s="79" t="s">
        <v>3793</v>
      </c>
      <c r="BK12" s="79" t="s">
        <v>3794</v>
      </c>
      <c r="BL12" s="79" t="s">
        <v>3795</v>
      </c>
      <c r="BM12" s="79" t="s">
        <v>3796</v>
      </c>
      <c r="BN12" s="79" t="s">
        <v>3797</v>
      </c>
      <c r="BO12" s="79" t="s">
        <v>3798</v>
      </c>
      <c r="BP12" s="79" t="s">
        <v>3799</v>
      </c>
      <c r="BQ12" s="79" t="s">
        <v>3800</v>
      </c>
      <c r="BR12" s="79" t="s">
        <v>3801</v>
      </c>
      <c r="BS12" s="79" t="s">
        <v>3802</v>
      </c>
      <c r="BT12" s="79" t="s">
        <v>3803</v>
      </c>
      <c r="BU12" s="79" t="s">
        <v>3804</v>
      </c>
      <c r="BV12" s="79" t="s">
        <v>3805</v>
      </c>
      <c r="BW12" s="79" t="s">
        <v>3806</v>
      </c>
      <c r="BX12" s="79" t="s">
        <v>3807</v>
      </c>
      <c r="BY12" s="79" t="s">
        <v>3808</v>
      </c>
      <c r="BZ12" s="144" t="s">
        <v>3809</v>
      </c>
      <c r="CA12" s="79" t="s">
        <v>3810</v>
      </c>
      <c r="CB12" s="79" t="s">
        <v>3811</v>
      </c>
      <c r="CC12" s="79" t="s">
        <v>3812</v>
      </c>
      <c r="CD12" s="79" t="s">
        <v>3813</v>
      </c>
      <c r="CE12" s="79" t="s">
        <v>3814</v>
      </c>
      <c r="CF12" s="79" t="s">
        <v>3815</v>
      </c>
      <c r="CG12" s="79" t="s">
        <v>3816</v>
      </c>
      <c r="CH12" s="79" t="s">
        <v>3817</v>
      </c>
      <c r="CI12" s="79" t="s">
        <v>3818</v>
      </c>
      <c r="CJ12" s="79" t="s">
        <v>3819</v>
      </c>
      <c r="CK12" s="79" t="s">
        <v>3820</v>
      </c>
      <c r="CL12" s="79" t="s">
        <v>3821</v>
      </c>
      <c r="CM12" s="79" t="s">
        <v>3822</v>
      </c>
      <c r="CN12" s="79" t="s">
        <v>3823</v>
      </c>
      <c r="CO12" s="79" t="s">
        <v>3824</v>
      </c>
      <c r="CP12" s="79" t="s">
        <v>3825</v>
      </c>
      <c r="CQ12" s="79" t="s">
        <v>3826</v>
      </c>
      <c r="CR12" s="79" t="s">
        <v>3827</v>
      </c>
      <c r="CS12" s="79" t="s">
        <v>3828</v>
      </c>
      <c r="CT12" s="79" t="s">
        <v>3829</v>
      </c>
      <c r="CU12" s="79" t="s">
        <v>3830</v>
      </c>
      <c r="CV12" s="79" t="s">
        <v>3831</v>
      </c>
      <c r="CW12" s="79" t="s">
        <v>3832</v>
      </c>
      <c r="CX12" s="79" t="s">
        <v>3833</v>
      </c>
      <c r="CY12" s="79" t="s">
        <v>3834</v>
      </c>
      <c r="CZ12" s="79" t="s">
        <v>3835</v>
      </c>
      <c r="DA12" s="144" t="s">
        <v>3836</v>
      </c>
      <c r="DB12" s="144" t="s">
        <v>3837</v>
      </c>
      <c r="DC12" s="144" t="s">
        <v>3838</v>
      </c>
      <c r="DD12" s="144" t="s">
        <v>3839</v>
      </c>
      <c r="DE12" s="144" t="s">
        <v>3840</v>
      </c>
      <c r="DF12" s="144" t="s">
        <v>3841</v>
      </c>
      <c r="DG12" s="144" t="s">
        <v>3842</v>
      </c>
      <c r="DH12" s="144" t="s">
        <v>3843</v>
      </c>
      <c r="DI12" s="144" t="s">
        <v>3844</v>
      </c>
      <c r="DJ12" s="144" t="s">
        <v>3845</v>
      </c>
      <c r="DK12" s="144" t="s">
        <v>3846</v>
      </c>
      <c r="DL12" s="144" t="s">
        <v>3847</v>
      </c>
      <c r="DM12" s="144" t="s">
        <v>3848</v>
      </c>
      <c r="DN12" s="144" t="s">
        <v>3849</v>
      </c>
      <c r="DO12" s="79" t="s">
        <v>3850</v>
      </c>
      <c r="DP12" s="79" t="s">
        <v>3851</v>
      </c>
      <c r="DQ12" s="79" t="s">
        <v>3852</v>
      </c>
      <c r="DR12" s="79" t="s">
        <v>3853</v>
      </c>
      <c r="DS12" s="79" t="s">
        <v>3854</v>
      </c>
      <c r="DT12" s="79" t="s">
        <v>3855</v>
      </c>
      <c r="DU12" s="79" t="s">
        <v>3856</v>
      </c>
      <c r="DV12" s="79" t="s">
        <v>3857</v>
      </c>
      <c r="DW12" s="79" t="s">
        <v>3858</v>
      </c>
      <c r="DX12" s="79" t="s">
        <v>3859</v>
      </c>
      <c r="DY12" s="79" t="s">
        <v>3860</v>
      </c>
      <c r="DZ12" s="79" t="s">
        <v>3861</v>
      </c>
      <c r="EA12" s="79" t="s">
        <v>3862</v>
      </c>
      <c r="EB12" s="79" t="s">
        <v>3863</v>
      </c>
      <c r="EC12" s="79" t="s">
        <v>3864</v>
      </c>
      <c r="ED12" s="79" t="s">
        <v>3865</v>
      </c>
      <c r="EE12" s="79" t="s">
        <v>3866</v>
      </c>
      <c r="EF12" s="79" t="s">
        <v>3867</v>
      </c>
      <c r="EG12" s="79" t="s">
        <v>3868</v>
      </c>
      <c r="EH12" s="79" t="s">
        <v>3869</v>
      </c>
    </row>
    <row r="13" spans="3:138" ht="20.100000000000001" customHeight="1" x14ac:dyDescent="0.25">
      <c r="C13" s="76">
        <v>20</v>
      </c>
      <c r="G13" s="79"/>
      <c r="H13" s="79"/>
      <c r="I13" s="79"/>
      <c r="J13" s="79"/>
      <c r="K13" s="79"/>
      <c r="L13" s="79" t="s">
        <v>3423</v>
      </c>
      <c r="M13" s="79" t="s">
        <v>3386</v>
      </c>
      <c r="N13" s="79" t="s">
        <v>3348</v>
      </c>
      <c r="O13" s="79" t="s">
        <v>3310</v>
      </c>
      <c r="P13" s="79" t="s">
        <v>3271</v>
      </c>
      <c r="Q13" s="79" t="s">
        <v>3232</v>
      </c>
      <c r="R13" s="79" t="s">
        <v>3193</v>
      </c>
      <c r="S13" s="79" t="s">
        <v>3154</v>
      </c>
      <c r="T13" s="79" t="s">
        <v>3115</v>
      </c>
      <c r="U13" s="79" t="s">
        <v>3076</v>
      </c>
      <c r="V13" s="79" t="s">
        <v>3037</v>
      </c>
      <c r="W13" s="79" t="s">
        <v>2998</v>
      </c>
      <c r="X13" s="144" t="s">
        <v>2959</v>
      </c>
      <c r="Y13" s="144" t="s">
        <v>2920</v>
      </c>
      <c r="Z13" s="144" t="s">
        <v>2881</v>
      </c>
      <c r="AA13" s="144" t="s">
        <v>2842</v>
      </c>
      <c r="AB13" s="144" t="s">
        <v>2803</v>
      </c>
      <c r="AC13" s="144" t="s">
        <v>2764</v>
      </c>
      <c r="AD13" s="144" t="s">
        <v>2725</v>
      </c>
      <c r="AE13" s="144" t="s">
        <v>2686</v>
      </c>
      <c r="AF13" s="144" t="s">
        <v>2647</v>
      </c>
      <c r="AG13" s="144" t="s">
        <v>2608</v>
      </c>
      <c r="AH13" s="144" t="s">
        <v>2569</v>
      </c>
      <c r="AI13" s="144" t="s">
        <v>2530</v>
      </c>
      <c r="AJ13" s="144" t="s">
        <v>2492</v>
      </c>
      <c r="AK13" s="144" t="s">
        <v>2454</v>
      </c>
      <c r="AL13" s="144" t="s">
        <v>2417</v>
      </c>
      <c r="AM13" s="144" t="s">
        <v>2380</v>
      </c>
      <c r="AN13" s="79" t="s">
        <v>2344</v>
      </c>
      <c r="AO13" s="79" t="s">
        <v>2308</v>
      </c>
      <c r="AP13" s="79" t="s">
        <v>2273</v>
      </c>
      <c r="AQ13" s="79" t="s">
        <v>2239</v>
      </c>
      <c r="AR13" s="79" t="s">
        <v>2207</v>
      </c>
      <c r="AS13" s="79" t="s">
        <v>2176</v>
      </c>
      <c r="AT13" s="79" t="s">
        <v>3870</v>
      </c>
      <c r="AU13" s="79" t="s">
        <v>3871</v>
      </c>
      <c r="AV13" s="79" t="s">
        <v>3872</v>
      </c>
      <c r="AW13" s="79" t="s">
        <v>3873</v>
      </c>
      <c r="AX13" s="79" t="s">
        <v>3874</v>
      </c>
      <c r="AY13" s="79" t="s">
        <v>3875</v>
      </c>
      <c r="AZ13" s="144" t="s">
        <v>3876</v>
      </c>
      <c r="BA13" s="144" t="s">
        <v>3877</v>
      </c>
      <c r="BB13" s="144" t="s">
        <v>3878</v>
      </c>
      <c r="BC13" s="144" t="s">
        <v>3879</v>
      </c>
      <c r="BD13" s="144" t="s">
        <v>3880</v>
      </c>
      <c r="BE13" s="144" t="s">
        <v>3881</v>
      </c>
      <c r="BF13" s="144" t="s">
        <v>3882</v>
      </c>
      <c r="BG13" s="144" t="s">
        <v>3883</v>
      </c>
      <c r="BH13" s="144" t="s">
        <v>3884</v>
      </c>
      <c r="BI13" s="144" t="s">
        <v>3885</v>
      </c>
      <c r="BJ13" s="144" t="s">
        <v>3886</v>
      </c>
      <c r="BK13" s="144" t="s">
        <v>3887</v>
      </c>
      <c r="BL13" s="144" t="s">
        <v>3888</v>
      </c>
      <c r="BM13" s="144" t="s">
        <v>3889</v>
      </c>
      <c r="BN13" s="144" t="s">
        <v>3890</v>
      </c>
      <c r="BO13" s="144" t="s">
        <v>3891</v>
      </c>
      <c r="BP13" s="144" t="s">
        <v>3892</v>
      </c>
      <c r="BQ13" s="144" t="s">
        <v>3893</v>
      </c>
      <c r="BR13" s="144" t="s">
        <v>3894</v>
      </c>
      <c r="BS13" s="144" t="s">
        <v>3895</v>
      </c>
      <c r="BT13" s="144" t="s">
        <v>3896</v>
      </c>
      <c r="BU13" s="144" t="s">
        <v>3897</v>
      </c>
      <c r="BV13" s="144" t="s">
        <v>3898</v>
      </c>
      <c r="BW13" s="144" t="s">
        <v>3899</v>
      </c>
      <c r="BX13" s="144" t="s">
        <v>3900</v>
      </c>
      <c r="BY13" s="144" t="s">
        <v>3901</v>
      </c>
      <c r="BZ13" s="144" t="s">
        <v>3902</v>
      </c>
      <c r="CA13" s="79" t="s">
        <v>3903</v>
      </c>
      <c r="CB13" s="79" t="s">
        <v>3904</v>
      </c>
      <c r="CC13" s="144" t="s">
        <v>3905</v>
      </c>
      <c r="CD13" s="144" t="s">
        <v>3906</v>
      </c>
      <c r="CE13" s="144" t="s">
        <v>3907</v>
      </c>
      <c r="CF13" s="144" t="s">
        <v>3908</v>
      </c>
      <c r="CG13" s="144" t="s">
        <v>3909</v>
      </c>
      <c r="CH13" s="144" t="s">
        <v>3910</v>
      </c>
      <c r="CI13" s="144" t="s">
        <v>3911</v>
      </c>
      <c r="CJ13" s="144" t="s">
        <v>3912</v>
      </c>
      <c r="CK13" s="144" t="s">
        <v>3913</v>
      </c>
      <c r="CL13" s="144" t="s">
        <v>3914</v>
      </c>
      <c r="CM13" s="144" t="s">
        <v>3915</v>
      </c>
      <c r="CN13" s="144" t="s">
        <v>3916</v>
      </c>
      <c r="CO13" s="144" t="s">
        <v>3917</v>
      </c>
      <c r="CP13" s="144" t="s">
        <v>3918</v>
      </c>
      <c r="CQ13" s="144" t="s">
        <v>3919</v>
      </c>
      <c r="CR13" s="144" t="s">
        <v>3920</v>
      </c>
      <c r="CS13" s="144" t="s">
        <v>3921</v>
      </c>
      <c r="CT13" s="144" t="s">
        <v>3922</v>
      </c>
      <c r="CU13" s="144" t="s">
        <v>3923</v>
      </c>
      <c r="CV13" s="144" t="s">
        <v>3924</v>
      </c>
      <c r="CW13" s="144" t="s">
        <v>3925</v>
      </c>
      <c r="CX13" s="144" t="s">
        <v>3926</v>
      </c>
      <c r="CY13" s="144" t="s">
        <v>3927</v>
      </c>
      <c r="CZ13" s="144" t="s">
        <v>3928</v>
      </c>
      <c r="DA13" s="144" t="s">
        <v>3929</v>
      </c>
      <c r="DB13" s="144" t="s">
        <v>3930</v>
      </c>
      <c r="DC13" s="144" t="s">
        <v>3931</v>
      </c>
      <c r="DD13" s="144" t="s">
        <v>3932</v>
      </c>
      <c r="DE13" s="144" t="s">
        <v>3933</v>
      </c>
      <c r="DF13" s="144" t="s">
        <v>3934</v>
      </c>
      <c r="DG13" s="144" t="s">
        <v>3935</v>
      </c>
      <c r="DH13" s="144" t="s">
        <v>3936</v>
      </c>
      <c r="DI13" s="144" t="s">
        <v>3937</v>
      </c>
      <c r="DJ13" s="144" t="s">
        <v>3938</v>
      </c>
      <c r="DK13" s="144" t="s">
        <v>3939</v>
      </c>
      <c r="DL13" s="144" t="s">
        <v>3940</v>
      </c>
      <c r="DM13" s="144" t="s">
        <v>3941</v>
      </c>
      <c r="DN13" s="144" t="s">
        <v>3942</v>
      </c>
      <c r="DO13" s="79" t="s">
        <v>3943</v>
      </c>
      <c r="DP13" s="79" t="s">
        <v>3944</v>
      </c>
      <c r="DQ13" s="79" t="s">
        <v>3945</v>
      </c>
      <c r="DR13" s="79" t="s">
        <v>3946</v>
      </c>
      <c r="DS13" s="79" t="s">
        <v>3947</v>
      </c>
      <c r="DT13" s="79" t="s">
        <v>3948</v>
      </c>
      <c r="DU13" s="79" t="s">
        <v>3949</v>
      </c>
      <c r="DV13" s="79" t="s">
        <v>3950</v>
      </c>
      <c r="DW13" s="79" t="s">
        <v>3951</v>
      </c>
      <c r="DX13" s="79" t="s">
        <v>3952</v>
      </c>
      <c r="DY13" s="79" t="s">
        <v>3953</v>
      </c>
      <c r="DZ13" s="79" t="s">
        <v>3954</v>
      </c>
      <c r="EA13" s="79" t="s">
        <v>3955</v>
      </c>
      <c r="EB13" s="79" t="s">
        <v>3956</v>
      </c>
      <c r="EC13" s="79" t="s">
        <v>3957</v>
      </c>
      <c r="ED13" s="79" t="s">
        <v>3958</v>
      </c>
      <c r="EE13" s="79" t="s">
        <v>3959</v>
      </c>
      <c r="EF13" s="79" t="s">
        <v>3960</v>
      </c>
      <c r="EG13" s="79" t="s">
        <v>3961</v>
      </c>
      <c r="EH13" s="79" t="s">
        <v>3962</v>
      </c>
    </row>
    <row r="14" spans="3:138" ht="20.100000000000001" customHeight="1" x14ac:dyDescent="0.25">
      <c r="C14" s="76">
        <v>19</v>
      </c>
      <c r="G14" s="79"/>
      <c r="H14" s="79"/>
      <c r="I14" s="79"/>
      <c r="J14" s="79"/>
      <c r="K14" s="79" t="s">
        <v>3458</v>
      </c>
      <c r="L14" s="79" t="s">
        <v>3422</v>
      </c>
      <c r="M14" s="79" t="s">
        <v>3385</v>
      </c>
      <c r="N14" s="79" t="s">
        <v>3347</v>
      </c>
      <c r="O14" s="79" t="s">
        <v>3309</v>
      </c>
      <c r="P14" s="79" t="s">
        <v>3270</v>
      </c>
      <c r="Q14" s="79" t="s">
        <v>3231</v>
      </c>
      <c r="R14" s="79" t="s">
        <v>3192</v>
      </c>
      <c r="S14" s="79" t="s">
        <v>3153</v>
      </c>
      <c r="T14" s="79" t="s">
        <v>3114</v>
      </c>
      <c r="U14" s="79" t="s">
        <v>3075</v>
      </c>
      <c r="V14" s="79" t="s">
        <v>3036</v>
      </c>
      <c r="W14" s="79" t="s">
        <v>2997</v>
      </c>
      <c r="X14" s="144" t="s">
        <v>2958</v>
      </c>
      <c r="Y14" s="144" t="s">
        <v>2919</v>
      </c>
      <c r="Z14" s="144" t="s">
        <v>2880</v>
      </c>
      <c r="AA14" s="144" t="s">
        <v>2841</v>
      </c>
      <c r="AB14" s="144" t="s">
        <v>2802</v>
      </c>
      <c r="AC14" s="144" t="s">
        <v>2763</v>
      </c>
      <c r="AD14" s="144" t="s">
        <v>2724</v>
      </c>
      <c r="AE14" s="144" t="s">
        <v>2685</v>
      </c>
      <c r="AF14" s="144" t="s">
        <v>2646</v>
      </c>
      <c r="AG14" s="144" t="s">
        <v>2607</v>
      </c>
      <c r="AH14" s="144" t="s">
        <v>2568</v>
      </c>
      <c r="AI14" s="144" t="s">
        <v>2529</v>
      </c>
      <c r="AJ14" s="144" t="s">
        <v>2491</v>
      </c>
      <c r="AK14" s="144" t="s">
        <v>2453</v>
      </c>
      <c r="AL14" s="144" t="s">
        <v>2416</v>
      </c>
      <c r="AM14" s="144" t="s">
        <v>2379</v>
      </c>
      <c r="AN14" s="79" t="s">
        <v>2343</v>
      </c>
      <c r="AO14" s="79" t="s">
        <v>2307</v>
      </c>
      <c r="AP14" s="79" t="s">
        <v>2272</v>
      </c>
      <c r="AQ14" s="79" t="s">
        <v>2238</v>
      </c>
      <c r="AR14" s="79" t="s">
        <v>2206</v>
      </c>
      <c r="AS14" s="79" t="s">
        <v>2175</v>
      </c>
      <c r="AT14" s="79" t="s">
        <v>3963</v>
      </c>
      <c r="AU14" s="79" t="s">
        <v>3964</v>
      </c>
      <c r="AV14" s="79" t="s">
        <v>3965</v>
      </c>
      <c r="AW14" s="79" t="s">
        <v>3966</v>
      </c>
      <c r="AX14" s="79" t="s">
        <v>3967</v>
      </c>
      <c r="AY14" s="79" t="s">
        <v>3968</v>
      </c>
      <c r="AZ14" s="79" t="s">
        <v>3969</v>
      </c>
      <c r="BA14" s="79" t="s">
        <v>3970</v>
      </c>
      <c r="BB14" s="79" t="s">
        <v>3971</v>
      </c>
      <c r="BC14" s="79" t="s">
        <v>3972</v>
      </c>
      <c r="BD14" s="79" t="s">
        <v>3973</v>
      </c>
      <c r="BE14" s="79" t="s">
        <v>3974</v>
      </c>
      <c r="BF14" s="79" t="s">
        <v>3975</v>
      </c>
      <c r="BG14" s="79" t="s">
        <v>3976</v>
      </c>
      <c r="BH14" s="79" t="s">
        <v>3977</v>
      </c>
      <c r="BI14" s="79" t="s">
        <v>3978</v>
      </c>
      <c r="BJ14" s="79" t="s">
        <v>3979</v>
      </c>
      <c r="BK14" s="79" t="s">
        <v>3980</v>
      </c>
      <c r="BL14" s="79" t="s">
        <v>3981</v>
      </c>
      <c r="BM14" s="79" t="s">
        <v>3982</v>
      </c>
      <c r="BN14" s="79" t="s">
        <v>3983</v>
      </c>
      <c r="BO14" s="79" t="s">
        <v>3984</v>
      </c>
      <c r="BP14" s="79" t="s">
        <v>3985</v>
      </c>
      <c r="BQ14" s="79" t="s">
        <v>3986</v>
      </c>
      <c r="BR14" s="79" t="s">
        <v>3987</v>
      </c>
      <c r="BS14" s="79" t="s">
        <v>3988</v>
      </c>
      <c r="BT14" s="79" t="s">
        <v>3989</v>
      </c>
      <c r="BU14" s="79" t="s">
        <v>3990</v>
      </c>
      <c r="BV14" s="79" t="s">
        <v>3991</v>
      </c>
      <c r="BW14" s="79" t="s">
        <v>3992</v>
      </c>
      <c r="BX14" s="79" t="s">
        <v>3993</v>
      </c>
      <c r="BY14" s="79" t="s">
        <v>3994</v>
      </c>
      <c r="BZ14" s="79" t="s">
        <v>3995</v>
      </c>
      <c r="CA14" s="79" t="s">
        <v>3996</v>
      </c>
      <c r="CB14" s="79" t="s">
        <v>3997</v>
      </c>
      <c r="CC14" s="79" t="s">
        <v>3998</v>
      </c>
      <c r="CD14" s="79" t="s">
        <v>3999</v>
      </c>
      <c r="CE14" s="79" t="s">
        <v>4000</v>
      </c>
      <c r="CF14" s="79" t="s">
        <v>4001</v>
      </c>
      <c r="CG14" s="79" t="s">
        <v>4002</v>
      </c>
      <c r="CH14" s="79" t="s">
        <v>4003</v>
      </c>
      <c r="CI14" s="79" t="s">
        <v>4004</v>
      </c>
      <c r="CJ14" s="79" t="s">
        <v>4005</v>
      </c>
      <c r="CK14" s="79" t="s">
        <v>4006</v>
      </c>
      <c r="CL14" s="79" t="s">
        <v>4007</v>
      </c>
      <c r="CM14" s="79" t="s">
        <v>4008</v>
      </c>
      <c r="CN14" s="79" t="s">
        <v>4009</v>
      </c>
      <c r="CO14" s="79" t="s">
        <v>4010</v>
      </c>
      <c r="CP14" s="79" t="s">
        <v>4011</v>
      </c>
      <c r="CQ14" s="79" t="s">
        <v>4012</v>
      </c>
      <c r="CR14" s="79" t="s">
        <v>4013</v>
      </c>
      <c r="CS14" s="79" t="s">
        <v>4014</v>
      </c>
      <c r="CT14" s="79" t="s">
        <v>4015</v>
      </c>
      <c r="CU14" s="79" t="s">
        <v>4016</v>
      </c>
      <c r="CV14" s="79" t="s">
        <v>4017</v>
      </c>
      <c r="CW14" s="79" t="s">
        <v>4018</v>
      </c>
      <c r="CX14" s="79" t="s">
        <v>4019</v>
      </c>
      <c r="CY14" s="79" t="s">
        <v>4020</v>
      </c>
      <c r="CZ14" s="79" t="s">
        <v>4021</v>
      </c>
      <c r="DA14" s="144" t="s">
        <v>4022</v>
      </c>
      <c r="DB14" s="144" t="s">
        <v>4023</v>
      </c>
      <c r="DC14" s="144" t="s">
        <v>4024</v>
      </c>
      <c r="DD14" s="144" t="s">
        <v>4025</v>
      </c>
      <c r="DE14" s="144" t="s">
        <v>4026</v>
      </c>
      <c r="DF14" s="144" t="s">
        <v>4027</v>
      </c>
      <c r="DG14" s="144" t="s">
        <v>4028</v>
      </c>
      <c r="DH14" s="144" t="s">
        <v>4029</v>
      </c>
      <c r="DI14" s="144" t="s">
        <v>4030</v>
      </c>
      <c r="DJ14" s="144" t="s">
        <v>4031</v>
      </c>
      <c r="DK14" s="144" t="s">
        <v>4032</v>
      </c>
      <c r="DL14" s="144" t="s">
        <v>4033</v>
      </c>
      <c r="DM14" s="144" t="s">
        <v>4034</v>
      </c>
      <c r="DN14" s="144" t="s">
        <v>4035</v>
      </c>
      <c r="DO14" s="79" t="s">
        <v>4036</v>
      </c>
      <c r="DP14" s="79" t="s">
        <v>4037</v>
      </c>
      <c r="DQ14" s="79" t="s">
        <v>4038</v>
      </c>
      <c r="DR14" s="79" t="s">
        <v>4039</v>
      </c>
      <c r="DS14" s="79" t="s">
        <v>4040</v>
      </c>
      <c r="DT14" s="79" t="s">
        <v>4041</v>
      </c>
      <c r="DU14" s="79" t="s">
        <v>4042</v>
      </c>
      <c r="DV14" s="79" t="s">
        <v>4043</v>
      </c>
      <c r="DW14" s="79" t="s">
        <v>4044</v>
      </c>
      <c r="DX14" s="79" t="s">
        <v>4045</v>
      </c>
      <c r="DY14" s="79" t="s">
        <v>4046</v>
      </c>
      <c r="DZ14" s="79" t="s">
        <v>4047</v>
      </c>
      <c r="EA14" s="79" t="s">
        <v>4048</v>
      </c>
      <c r="EB14" s="79" t="s">
        <v>4049</v>
      </c>
      <c r="EC14" s="79" t="s">
        <v>4050</v>
      </c>
      <c r="ED14" s="79" t="s">
        <v>4051</v>
      </c>
      <c r="EE14" s="79" t="s">
        <v>4052</v>
      </c>
      <c r="EF14" s="79" t="s">
        <v>4053</v>
      </c>
      <c r="EG14" s="79" t="s">
        <v>4054</v>
      </c>
      <c r="EH14" s="79" t="s">
        <v>4055</v>
      </c>
    </row>
    <row r="15" spans="3:138" ht="20.100000000000001" customHeight="1" x14ac:dyDescent="0.25">
      <c r="C15" s="76">
        <v>18</v>
      </c>
      <c r="G15" s="79"/>
      <c r="H15" s="79"/>
      <c r="I15" s="79"/>
      <c r="J15" s="79" t="s">
        <v>3492</v>
      </c>
      <c r="K15" s="79" t="s">
        <v>3457</v>
      </c>
      <c r="L15" s="79" t="s">
        <v>3421</v>
      </c>
      <c r="M15" s="79" t="s">
        <v>3384</v>
      </c>
      <c r="N15" s="79" t="s">
        <v>3346</v>
      </c>
      <c r="O15" s="79" t="s">
        <v>3308</v>
      </c>
      <c r="P15" s="79" t="s">
        <v>3269</v>
      </c>
      <c r="Q15" s="79" t="s">
        <v>3230</v>
      </c>
      <c r="R15" s="79" t="s">
        <v>3191</v>
      </c>
      <c r="S15" s="79" t="s">
        <v>3152</v>
      </c>
      <c r="T15" s="79" t="s">
        <v>3113</v>
      </c>
      <c r="U15" s="79" t="s">
        <v>3074</v>
      </c>
      <c r="V15" s="79" t="s">
        <v>3035</v>
      </c>
      <c r="W15" s="79" t="s">
        <v>2996</v>
      </c>
      <c r="X15" s="79" t="s">
        <v>2957</v>
      </c>
      <c r="Y15" s="79" t="s">
        <v>2918</v>
      </c>
      <c r="Z15" s="79" t="s">
        <v>2879</v>
      </c>
      <c r="AA15" s="79" t="s">
        <v>2840</v>
      </c>
      <c r="AB15" s="79" t="s">
        <v>2801</v>
      </c>
      <c r="AC15" s="79" t="s">
        <v>2762</v>
      </c>
      <c r="AD15" s="79" t="s">
        <v>2723</v>
      </c>
      <c r="AE15" s="79" t="s">
        <v>2684</v>
      </c>
      <c r="AF15" s="79" t="s">
        <v>2645</v>
      </c>
      <c r="AG15" s="79" t="s">
        <v>2606</v>
      </c>
      <c r="AH15" s="79" t="s">
        <v>2567</v>
      </c>
      <c r="AI15" s="79" t="s">
        <v>2528</v>
      </c>
      <c r="AJ15" s="79" t="s">
        <v>2490</v>
      </c>
      <c r="AK15" s="79" t="s">
        <v>2452</v>
      </c>
      <c r="AL15" s="79" t="s">
        <v>2415</v>
      </c>
      <c r="AM15" s="79" t="s">
        <v>2378</v>
      </c>
      <c r="AN15" s="79" t="s">
        <v>2342</v>
      </c>
      <c r="AO15" s="79" t="s">
        <v>2306</v>
      </c>
      <c r="AP15" s="79" t="s">
        <v>2271</v>
      </c>
      <c r="AQ15" s="79" t="s">
        <v>2237</v>
      </c>
      <c r="AR15" s="79" t="s">
        <v>2205</v>
      </c>
      <c r="AS15" s="79" t="s">
        <v>2174</v>
      </c>
      <c r="AT15" s="79" t="s">
        <v>4056</v>
      </c>
      <c r="AU15" s="79" t="s">
        <v>4057</v>
      </c>
      <c r="AV15" s="79" t="s">
        <v>4058</v>
      </c>
      <c r="AW15" s="79" t="s">
        <v>4059</v>
      </c>
      <c r="AX15" s="79" t="s">
        <v>4060</v>
      </c>
      <c r="AY15" s="79" t="s">
        <v>4061</v>
      </c>
      <c r="AZ15" s="79" t="s">
        <v>4062</v>
      </c>
      <c r="BA15" s="79" t="s">
        <v>4063</v>
      </c>
      <c r="BB15" s="79" t="s">
        <v>4064</v>
      </c>
      <c r="BC15" s="79" t="s">
        <v>4065</v>
      </c>
      <c r="BD15" s="79" t="s">
        <v>4066</v>
      </c>
      <c r="BE15" s="79" t="s">
        <v>4067</v>
      </c>
      <c r="BF15" s="79" t="s">
        <v>4068</v>
      </c>
      <c r="BG15" s="79" t="s">
        <v>4069</v>
      </c>
      <c r="BH15" s="79" t="s">
        <v>4070</v>
      </c>
      <c r="BI15" s="79" t="s">
        <v>4071</v>
      </c>
      <c r="BJ15" s="79" t="s">
        <v>4072</v>
      </c>
      <c r="BK15" s="79" t="s">
        <v>4073</v>
      </c>
      <c r="BL15" s="79" t="s">
        <v>4074</v>
      </c>
      <c r="BM15" s="79" t="s">
        <v>4075</v>
      </c>
      <c r="BN15" s="79" t="s">
        <v>4076</v>
      </c>
      <c r="BO15" s="79" t="s">
        <v>4077</v>
      </c>
      <c r="BP15" s="79" t="s">
        <v>4078</v>
      </c>
      <c r="BQ15" s="79" t="s">
        <v>4079</v>
      </c>
      <c r="BR15" s="79" t="s">
        <v>4080</v>
      </c>
      <c r="BS15" s="79" t="s">
        <v>4081</v>
      </c>
      <c r="BT15" s="79" t="s">
        <v>4082</v>
      </c>
      <c r="BU15" s="79" t="s">
        <v>4083</v>
      </c>
      <c r="BV15" s="79" t="s">
        <v>4084</v>
      </c>
      <c r="BW15" s="79" t="s">
        <v>4085</v>
      </c>
      <c r="BX15" s="79" t="s">
        <v>4086</v>
      </c>
      <c r="BY15" s="79" t="s">
        <v>4087</v>
      </c>
      <c r="BZ15" s="79" t="s">
        <v>4088</v>
      </c>
      <c r="CA15" s="79" t="s">
        <v>4089</v>
      </c>
      <c r="CB15" s="79" t="s">
        <v>4090</v>
      </c>
      <c r="CC15" s="79" t="s">
        <v>4091</v>
      </c>
      <c r="CD15" s="79" t="s">
        <v>4092</v>
      </c>
      <c r="CE15" s="79" t="s">
        <v>4093</v>
      </c>
      <c r="CF15" s="79" t="s">
        <v>4094</v>
      </c>
      <c r="CG15" s="79" t="s">
        <v>4095</v>
      </c>
      <c r="CH15" s="79" t="s">
        <v>4096</v>
      </c>
      <c r="CI15" s="79" t="s">
        <v>4097</v>
      </c>
      <c r="CJ15" s="79" t="s">
        <v>4098</v>
      </c>
      <c r="CK15" s="79" t="s">
        <v>4099</v>
      </c>
      <c r="CL15" s="79" t="s">
        <v>4100</v>
      </c>
      <c r="CM15" s="79" t="s">
        <v>4101</v>
      </c>
      <c r="CN15" s="79" t="s">
        <v>4102</v>
      </c>
      <c r="CO15" s="79" t="s">
        <v>4103</v>
      </c>
      <c r="CP15" s="79" t="s">
        <v>4104</v>
      </c>
      <c r="CQ15" s="79" t="s">
        <v>4105</v>
      </c>
      <c r="CR15" s="79" t="s">
        <v>4106</v>
      </c>
      <c r="CS15" s="79" t="s">
        <v>4107</v>
      </c>
      <c r="CT15" s="79" t="s">
        <v>4108</v>
      </c>
      <c r="CU15" s="79" t="s">
        <v>4109</v>
      </c>
      <c r="CV15" s="79" t="s">
        <v>4110</v>
      </c>
      <c r="CW15" s="79" t="s">
        <v>4111</v>
      </c>
      <c r="CX15" s="79" t="s">
        <v>4112</v>
      </c>
      <c r="CY15" s="79" t="s">
        <v>4113</v>
      </c>
      <c r="CZ15" s="79" t="s">
        <v>4114</v>
      </c>
      <c r="DA15" s="79" t="s">
        <v>4115</v>
      </c>
      <c r="DB15" s="79" t="s">
        <v>4116</v>
      </c>
      <c r="DC15" s="79" t="s">
        <v>4117</v>
      </c>
      <c r="DD15" s="79" t="s">
        <v>4118</v>
      </c>
      <c r="DE15" s="79" t="s">
        <v>4119</v>
      </c>
      <c r="DF15" s="79" t="s">
        <v>4120</v>
      </c>
      <c r="DG15" s="79" t="s">
        <v>4121</v>
      </c>
      <c r="DH15" s="79" t="s">
        <v>4122</v>
      </c>
      <c r="DI15" s="79" t="s">
        <v>4123</v>
      </c>
      <c r="DJ15" s="79" t="s">
        <v>4124</v>
      </c>
      <c r="DK15" s="79" t="s">
        <v>4125</v>
      </c>
      <c r="DL15" s="79" t="s">
        <v>4126</v>
      </c>
      <c r="DM15" s="79" t="s">
        <v>4127</v>
      </c>
      <c r="DN15" s="79" t="s">
        <v>4128</v>
      </c>
      <c r="DO15" s="79" t="s">
        <v>4129</v>
      </c>
      <c r="DP15" s="79" t="s">
        <v>4130</v>
      </c>
      <c r="DQ15" s="79" t="s">
        <v>4131</v>
      </c>
      <c r="DR15" s="79" t="s">
        <v>4132</v>
      </c>
      <c r="DS15" s="79" t="s">
        <v>4133</v>
      </c>
      <c r="DT15" s="79" t="s">
        <v>4134</v>
      </c>
      <c r="DU15" s="79" t="s">
        <v>4135</v>
      </c>
      <c r="DV15" s="79" t="s">
        <v>4136</v>
      </c>
      <c r="DW15" s="79" t="s">
        <v>4137</v>
      </c>
      <c r="DX15" s="79" t="s">
        <v>4138</v>
      </c>
      <c r="DY15" s="79" t="s">
        <v>4139</v>
      </c>
      <c r="DZ15" s="79" t="s">
        <v>4140</v>
      </c>
      <c r="EA15" s="79" t="s">
        <v>4141</v>
      </c>
      <c r="EB15" s="79" t="s">
        <v>4142</v>
      </c>
      <c r="EC15" s="79" t="s">
        <v>4143</v>
      </c>
      <c r="ED15" s="79" t="s">
        <v>4144</v>
      </c>
      <c r="EE15" s="79" t="s">
        <v>4145</v>
      </c>
      <c r="EF15" s="79" t="s">
        <v>4146</v>
      </c>
      <c r="EG15" s="79" t="s">
        <v>4147</v>
      </c>
      <c r="EH15" s="79" t="s">
        <v>4148</v>
      </c>
    </row>
    <row r="16" spans="3:138" ht="20.100000000000001" customHeight="1" x14ac:dyDescent="0.25">
      <c r="C16" s="76">
        <v>17</v>
      </c>
      <c r="G16" s="79"/>
      <c r="H16" s="79"/>
      <c r="I16" s="79" t="s">
        <v>3524</v>
      </c>
      <c r="J16" s="79" t="s">
        <v>3491</v>
      </c>
      <c r="K16" s="79" t="s">
        <v>3456</v>
      </c>
      <c r="L16" s="79" t="s">
        <v>3420</v>
      </c>
      <c r="M16" s="79" t="s">
        <v>3383</v>
      </c>
      <c r="N16" s="79" t="s">
        <v>3345</v>
      </c>
      <c r="O16" s="79" t="s">
        <v>3307</v>
      </c>
      <c r="P16" s="79" t="s">
        <v>3268</v>
      </c>
      <c r="Q16" s="79" t="s">
        <v>3229</v>
      </c>
      <c r="R16" s="79" t="s">
        <v>3190</v>
      </c>
      <c r="S16" s="79" t="s">
        <v>3151</v>
      </c>
      <c r="T16" s="79" t="s">
        <v>3112</v>
      </c>
      <c r="U16" s="79" t="s">
        <v>3073</v>
      </c>
      <c r="V16" s="79" t="s">
        <v>3034</v>
      </c>
      <c r="W16" s="79" t="s">
        <v>2995</v>
      </c>
      <c r="X16" s="79" t="s">
        <v>2956</v>
      </c>
      <c r="Y16" s="79" t="s">
        <v>2917</v>
      </c>
      <c r="Z16" s="79" t="s">
        <v>2878</v>
      </c>
      <c r="AA16" s="79" t="s">
        <v>2839</v>
      </c>
      <c r="AB16" s="79" t="s">
        <v>2800</v>
      </c>
      <c r="AC16" s="79" t="s">
        <v>2761</v>
      </c>
      <c r="AD16" s="79" t="s">
        <v>2722</v>
      </c>
      <c r="AE16" s="79" t="s">
        <v>2683</v>
      </c>
      <c r="AF16" s="79" t="s">
        <v>2644</v>
      </c>
      <c r="AG16" s="79" t="s">
        <v>2605</v>
      </c>
      <c r="AH16" s="79" t="s">
        <v>2566</v>
      </c>
      <c r="AI16" s="79" t="s">
        <v>2527</v>
      </c>
      <c r="AJ16" s="79" t="s">
        <v>2489</v>
      </c>
      <c r="AK16" s="79" t="s">
        <v>2451</v>
      </c>
      <c r="AL16" s="79" t="s">
        <v>2414</v>
      </c>
      <c r="AM16" s="79" t="s">
        <v>2377</v>
      </c>
      <c r="AN16" s="79" t="s">
        <v>2341</v>
      </c>
      <c r="AO16" s="79" t="s">
        <v>2305</v>
      </c>
      <c r="AP16" s="79" t="s">
        <v>2270</v>
      </c>
      <c r="AQ16" s="79" t="s">
        <v>2236</v>
      </c>
      <c r="AR16" s="79" t="s">
        <v>2204</v>
      </c>
      <c r="AS16" s="79" t="s">
        <v>2173</v>
      </c>
      <c r="AT16" s="144" t="s">
        <v>4149</v>
      </c>
      <c r="AU16" s="79" t="s">
        <v>4150</v>
      </c>
      <c r="AV16" s="79" t="s">
        <v>4151</v>
      </c>
      <c r="AW16" s="79" t="s">
        <v>4152</v>
      </c>
      <c r="AX16" s="79" t="s">
        <v>4153</v>
      </c>
      <c r="AY16" s="79" t="s">
        <v>4154</v>
      </c>
      <c r="AZ16" s="79" t="s">
        <v>4155</v>
      </c>
      <c r="BA16" s="79" t="s">
        <v>4156</v>
      </c>
      <c r="BB16" s="79" t="s">
        <v>4157</v>
      </c>
      <c r="BC16" s="79" t="s">
        <v>4158</v>
      </c>
      <c r="BD16" s="79" t="s">
        <v>4159</v>
      </c>
      <c r="BE16" s="79" t="s">
        <v>4160</v>
      </c>
      <c r="BF16" s="79" t="s">
        <v>4161</v>
      </c>
      <c r="BG16" s="79" t="s">
        <v>4162</v>
      </c>
      <c r="BH16" s="79" t="s">
        <v>4163</v>
      </c>
      <c r="BI16" s="79" t="s">
        <v>4164</v>
      </c>
      <c r="BJ16" s="79" t="s">
        <v>4165</v>
      </c>
      <c r="BK16" s="79" t="s">
        <v>4166</v>
      </c>
      <c r="BL16" s="79" t="s">
        <v>4167</v>
      </c>
      <c r="BM16" s="79" t="s">
        <v>4168</v>
      </c>
      <c r="BN16" s="144" t="s">
        <v>4169</v>
      </c>
      <c r="BO16" s="144" t="s">
        <v>4170</v>
      </c>
      <c r="BP16" s="144" t="s">
        <v>4171</v>
      </c>
      <c r="BQ16" s="144" t="s">
        <v>4172</v>
      </c>
      <c r="BR16" s="144" t="s">
        <v>4173</v>
      </c>
      <c r="BS16" s="144" t="s">
        <v>4174</v>
      </c>
      <c r="BT16" s="144" t="s">
        <v>4175</v>
      </c>
      <c r="BU16" s="144" t="s">
        <v>4176</v>
      </c>
      <c r="BV16" s="144" t="s">
        <v>4177</v>
      </c>
      <c r="BW16" s="144" t="s">
        <v>4178</v>
      </c>
      <c r="BX16" s="144" t="s">
        <v>4179</v>
      </c>
      <c r="BY16" s="144" t="s">
        <v>4180</v>
      </c>
      <c r="BZ16" s="144" t="s">
        <v>4181</v>
      </c>
      <c r="CA16" s="144" t="s">
        <v>4182</v>
      </c>
      <c r="CB16" s="144" t="s">
        <v>4183</v>
      </c>
      <c r="CC16" s="144" t="s">
        <v>4184</v>
      </c>
      <c r="CD16" s="144" t="s">
        <v>4185</v>
      </c>
      <c r="CE16" s="79" t="s">
        <v>4186</v>
      </c>
      <c r="CF16" s="79" t="s">
        <v>4187</v>
      </c>
      <c r="CG16" s="79" t="s">
        <v>4188</v>
      </c>
      <c r="CH16" s="144" t="s">
        <v>4189</v>
      </c>
      <c r="CI16" s="144" t="s">
        <v>4190</v>
      </c>
      <c r="CJ16" s="144" t="s">
        <v>4191</v>
      </c>
      <c r="CK16" s="144" t="s">
        <v>4192</v>
      </c>
      <c r="CL16" s="144" t="s">
        <v>4193</v>
      </c>
      <c r="CM16" s="144" t="s">
        <v>4194</v>
      </c>
      <c r="CN16" s="144" t="s">
        <v>4195</v>
      </c>
      <c r="CO16" s="144" t="s">
        <v>4196</v>
      </c>
      <c r="CP16" s="144" t="s">
        <v>4197</v>
      </c>
      <c r="CQ16" s="144" t="s">
        <v>4198</v>
      </c>
      <c r="CR16" s="144" t="s">
        <v>4199</v>
      </c>
      <c r="CS16" s="144" t="s">
        <v>4200</v>
      </c>
      <c r="CT16" s="144" t="s">
        <v>4201</v>
      </c>
      <c r="CU16" s="144" t="s">
        <v>4202</v>
      </c>
      <c r="CV16" s="144" t="s">
        <v>4203</v>
      </c>
      <c r="CW16" s="144" t="s">
        <v>4204</v>
      </c>
      <c r="CX16" s="79" t="s">
        <v>4205</v>
      </c>
      <c r="CY16" s="79" t="s">
        <v>4206</v>
      </c>
      <c r="CZ16" s="79" t="s">
        <v>4207</v>
      </c>
      <c r="DA16" s="79" t="s">
        <v>4208</v>
      </c>
      <c r="DB16" s="79" t="s">
        <v>4209</v>
      </c>
      <c r="DC16" s="79" t="s">
        <v>4210</v>
      </c>
      <c r="DD16" s="79" t="s">
        <v>4211</v>
      </c>
      <c r="DE16" s="79" t="s">
        <v>4212</v>
      </c>
      <c r="DF16" s="79" t="s">
        <v>4213</v>
      </c>
      <c r="DG16" s="79" t="s">
        <v>4214</v>
      </c>
      <c r="DH16" s="79" t="s">
        <v>4215</v>
      </c>
      <c r="DI16" s="79" t="s">
        <v>4216</v>
      </c>
      <c r="DJ16" s="79" t="s">
        <v>4217</v>
      </c>
      <c r="DK16" s="79" t="s">
        <v>4218</v>
      </c>
      <c r="DL16" s="79" t="s">
        <v>4219</v>
      </c>
      <c r="DM16" s="79" t="s">
        <v>4220</v>
      </c>
      <c r="DN16" s="79" t="s">
        <v>4221</v>
      </c>
      <c r="DO16" s="79" t="s">
        <v>4222</v>
      </c>
      <c r="DP16" s="79" t="s">
        <v>4223</v>
      </c>
      <c r="DQ16" s="79" t="s">
        <v>4224</v>
      </c>
      <c r="DR16" s="79" t="s">
        <v>4225</v>
      </c>
      <c r="DS16" s="79" t="s">
        <v>4226</v>
      </c>
      <c r="DT16" s="79" t="s">
        <v>4227</v>
      </c>
      <c r="DU16" s="79" t="s">
        <v>4228</v>
      </c>
      <c r="DV16" s="79" t="s">
        <v>4229</v>
      </c>
      <c r="DW16" s="79" t="s">
        <v>4230</v>
      </c>
      <c r="DX16" s="79" t="s">
        <v>4231</v>
      </c>
      <c r="DY16" s="79" t="s">
        <v>4232</v>
      </c>
      <c r="DZ16" s="79" t="s">
        <v>4233</v>
      </c>
      <c r="EA16" s="79" t="s">
        <v>4234</v>
      </c>
      <c r="EB16" s="79" t="s">
        <v>4235</v>
      </c>
      <c r="EC16" s="79" t="s">
        <v>4236</v>
      </c>
      <c r="ED16" s="79" t="s">
        <v>4237</v>
      </c>
      <c r="EE16" s="79" t="s">
        <v>4238</v>
      </c>
      <c r="EF16" s="79" t="s">
        <v>4239</v>
      </c>
      <c r="EG16" s="79" t="s">
        <v>4240</v>
      </c>
      <c r="EH16" s="79" t="s">
        <v>4241</v>
      </c>
    </row>
    <row r="17" spans="3:138" ht="20.100000000000001" customHeight="1" x14ac:dyDescent="0.25">
      <c r="C17" s="76">
        <v>16</v>
      </c>
      <c r="G17" s="79"/>
      <c r="H17" s="79"/>
      <c r="I17" s="79" t="s">
        <v>3523</v>
      </c>
      <c r="J17" s="79" t="s">
        <v>3490</v>
      </c>
      <c r="K17" s="79" t="s">
        <v>3455</v>
      </c>
      <c r="L17" s="79" t="s">
        <v>3419</v>
      </c>
      <c r="M17" s="79" t="s">
        <v>3382</v>
      </c>
      <c r="N17" s="79" t="s">
        <v>3344</v>
      </c>
      <c r="O17" s="79" t="s">
        <v>3306</v>
      </c>
      <c r="P17" s="79" t="s">
        <v>3267</v>
      </c>
      <c r="Q17" s="79" t="s">
        <v>3228</v>
      </c>
      <c r="R17" s="79" t="s">
        <v>3189</v>
      </c>
      <c r="S17" s="79" t="s">
        <v>3150</v>
      </c>
      <c r="T17" s="79" t="s">
        <v>3111</v>
      </c>
      <c r="U17" s="79" t="s">
        <v>3072</v>
      </c>
      <c r="V17" s="79" t="s">
        <v>3033</v>
      </c>
      <c r="W17" s="79" t="s">
        <v>2994</v>
      </c>
      <c r="X17" s="79" t="s">
        <v>2955</v>
      </c>
      <c r="Y17" s="79" t="s">
        <v>2916</v>
      </c>
      <c r="Z17" s="79" t="s">
        <v>2877</v>
      </c>
      <c r="AA17" s="79" t="s">
        <v>2838</v>
      </c>
      <c r="AB17" s="79" t="s">
        <v>2799</v>
      </c>
      <c r="AC17" s="79" t="s">
        <v>2760</v>
      </c>
      <c r="AD17" s="79" t="s">
        <v>2721</v>
      </c>
      <c r="AE17" s="79" t="s">
        <v>2682</v>
      </c>
      <c r="AF17" s="79" t="s">
        <v>2643</v>
      </c>
      <c r="AG17" s="79" t="s">
        <v>2604</v>
      </c>
      <c r="AH17" s="79" t="s">
        <v>2565</v>
      </c>
      <c r="AI17" s="79" t="s">
        <v>2526</v>
      </c>
      <c r="AJ17" s="79" t="s">
        <v>2488</v>
      </c>
      <c r="AK17" s="79" t="s">
        <v>2450</v>
      </c>
      <c r="AL17" s="79" t="s">
        <v>2413</v>
      </c>
      <c r="AM17" s="79" t="s">
        <v>2376</v>
      </c>
      <c r="AN17" s="79" t="s">
        <v>2340</v>
      </c>
      <c r="AO17" s="79" t="s">
        <v>2304</v>
      </c>
      <c r="AP17" s="79" t="s">
        <v>2269</v>
      </c>
      <c r="AQ17" s="79" t="s">
        <v>2235</v>
      </c>
      <c r="AR17" s="79" t="s">
        <v>2203</v>
      </c>
      <c r="AS17" s="79" t="s">
        <v>2172</v>
      </c>
      <c r="AT17" s="144" t="s">
        <v>4242</v>
      </c>
      <c r="AU17" s="79" t="s">
        <v>4243</v>
      </c>
      <c r="AV17" s="79" t="s">
        <v>4244</v>
      </c>
      <c r="AW17" s="79" t="s">
        <v>4245</v>
      </c>
      <c r="AX17" s="79" t="s">
        <v>4246</v>
      </c>
      <c r="AY17" s="79" t="s">
        <v>4247</v>
      </c>
      <c r="AZ17" s="79" t="s">
        <v>4248</v>
      </c>
      <c r="BA17" s="79" t="s">
        <v>4249</v>
      </c>
      <c r="BB17" s="79" t="s">
        <v>4250</v>
      </c>
      <c r="BC17" s="79" t="s">
        <v>4251</v>
      </c>
      <c r="BD17" s="79" t="s">
        <v>4252</v>
      </c>
      <c r="BE17" s="79" t="s">
        <v>4253</v>
      </c>
      <c r="BF17" s="79" t="s">
        <v>4254</v>
      </c>
      <c r="BG17" s="79" t="s">
        <v>4255</v>
      </c>
      <c r="BH17" s="79" t="s">
        <v>4256</v>
      </c>
      <c r="BI17" s="79" t="s">
        <v>4257</v>
      </c>
      <c r="BJ17" s="79" t="s">
        <v>4258</v>
      </c>
      <c r="BK17" s="79" t="s">
        <v>4259</v>
      </c>
      <c r="BL17" s="79" t="s">
        <v>4260</v>
      </c>
      <c r="BM17" s="79" t="s">
        <v>4261</v>
      </c>
      <c r="BN17" s="144" t="s">
        <v>4262</v>
      </c>
      <c r="BO17" s="144" t="s">
        <v>4263</v>
      </c>
      <c r="BP17" s="144" t="s">
        <v>4264</v>
      </c>
      <c r="BQ17" s="144" t="s">
        <v>4265</v>
      </c>
      <c r="BR17" s="144" t="s">
        <v>4266</v>
      </c>
      <c r="BS17" s="144" t="s">
        <v>4267</v>
      </c>
      <c r="BT17" s="144" t="s">
        <v>4268</v>
      </c>
      <c r="BU17" s="144" t="s">
        <v>4269</v>
      </c>
      <c r="BV17" s="144" t="s">
        <v>4270</v>
      </c>
      <c r="BW17" s="144" t="s">
        <v>4271</v>
      </c>
      <c r="BX17" s="144" t="s">
        <v>4272</v>
      </c>
      <c r="BY17" s="144" t="s">
        <v>4273</v>
      </c>
      <c r="BZ17" s="144" t="s">
        <v>4274</v>
      </c>
      <c r="CA17" s="144" t="s">
        <v>4275</v>
      </c>
      <c r="CB17" s="144" t="s">
        <v>4276</v>
      </c>
      <c r="CC17" s="144" t="s">
        <v>4277</v>
      </c>
      <c r="CD17" s="144" t="s">
        <v>4278</v>
      </c>
      <c r="CE17" s="79" t="s">
        <v>4279</v>
      </c>
      <c r="CF17" s="79" t="s">
        <v>4280</v>
      </c>
      <c r="CG17" s="79" t="s">
        <v>4281</v>
      </c>
      <c r="CH17" s="144" t="s">
        <v>4282</v>
      </c>
      <c r="CI17" s="144" t="s">
        <v>4283</v>
      </c>
      <c r="CJ17" s="144" t="s">
        <v>4284</v>
      </c>
      <c r="CK17" s="144" t="s">
        <v>4285</v>
      </c>
      <c r="CL17" s="144" t="s">
        <v>4286</v>
      </c>
      <c r="CM17" s="144" t="s">
        <v>4287</v>
      </c>
      <c r="CN17" s="144" t="s">
        <v>4288</v>
      </c>
      <c r="CO17" s="144" t="s">
        <v>4289</v>
      </c>
      <c r="CP17" s="144" t="s">
        <v>4290</v>
      </c>
      <c r="CQ17" s="144" t="s">
        <v>4291</v>
      </c>
      <c r="CR17" s="144" t="s">
        <v>4292</v>
      </c>
      <c r="CS17" s="144" t="s">
        <v>4293</v>
      </c>
      <c r="CT17" s="144" t="s">
        <v>4294</v>
      </c>
      <c r="CU17" s="144" t="s">
        <v>4295</v>
      </c>
      <c r="CV17" s="144" t="s">
        <v>4296</v>
      </c>
      <c r="CW17" s="144" t="s">
        <v>4297</v>
      </c>
      <c r="CX17" s="79" t="s">
        <v>4298</v>
      </c>
      <c r="CY17" s="79" t="s">
        <v>4299</v>
      </c>
      <c r="CZ17" s="79" t="s">
        <v>4300</v>
      </c>
      <c r="DA17" s="79" t="s">
        <v>4301</v>
      </c>
      <c r="DB17" s="79" t="s">
        <v>4302</v>
      </c>
      <c r="DC17" s="79" t="s">
        <v>4303</v>
      </c>
      <c r="DD17" s="79" t="s">
        <v>4304</v>
      </c>
      <c r="DE17" s="79" t="s">
        <v>4305</v>
      </c>
      <c r="DF17" s="79" t="s">
        <v>4306</v>
      </c>
      <c r="DG17" s="79" t="s">
        <v>4307</v>
      </c>
      <c r="DH17" s="79" t="s">
        <v>4308</v>
      </c>
      <c r="DI17" s="79" t="s">
        <v>4309</v>
      </c>
      <c r="DJ17" s="79" t="s">
        <v>4310</v>
      </c>
      <c r="DK17" s="79" t="s">
        <v>4311</v>
      </c>
      <c r="DL17" s="79" t="s">
        <v>4312</v>
      </c>
      <c r="DM17" s="79" t="s">
        <v>4313</v>
      </c>
      <c r="DN17" s="79" t="s">
        <v>4314</v>
      </c>
      <c r="DO17" s="79" t="s">
        <v>4315</v>
      </c>
      <c r="DP17" s="144" t="s">
        <v>4316</v>
      </c>
      <c r="DQ17" s="79" t="s">
        <v>4317</v>
      </c>
      <c r="DR17" s="144" t="s">
        <v>4318</v>
      </c>
      <c r="DS17" s="144" t="s">
        <v>4319</v>
      </c>
      <c r="DT17" s="144" t="s">
        <v>4320</v>
      </c>
      <c r="DU17" s="144" t="s">
        <v>4321</v>
      </c>
      <c r="DV17" s="144" t="s">
        <v>4322</v>
      </c>
      <c r="DW17" s="144" t="s">
        <v>4323</v>
      </c>
      <c r="DX17" s="144" t="s">
        <v>4324</v>
      </c>
      <c r="DY17" s="144" t="s">
        <v>4325</v>
      </c>
      <c r="DZ17" s="144" t="s">
        <v>4326</v>
      </c>
      <c r="EA17" s="144" t="s">
        <v>4327</v>
      </c>
      <c r="EB17" s="144" t="s">
        <v>4328</v>
      </c>
      <c r="EC17" s="144" t="s">
        <v>4329</v>
      </c>
      <c r="ED17" s="79" t="s">
        <v>4330</v>
      </c>
      <c r="EE17" s="79" t="s">
        <v>4331</v>
      </c>
      <c r="EF17" s="79" t="s">
        <v>4332</v>
      </c>
      <c r="EG17" s="79" t="s">
        <v>4333</v>
      </c>
      <c r="EH17" s="79" t="s">
        <v>4334</v>
      </c>
    </row>
    <row r="18" spans="3:138" ht="20.100000000000001" customHeight="1" x14ac:dyDescent="0.25">
      <c r="C18" s="76">
        <v>15</v>
      </c>
      <c r="G18" s="79"/>
      <c r="H18" s="79" t="s">
        <v>3554</v>
      </c>
      <c r="I18" s="79" t="s">
        <v>3522</v>
      </c>
      <c r="J18" s="79" t="s">
        <v>3489</v>
      </c>
      <c r="K18" s="79" t="s">
        <v>3454</v>
      </c>
      <c r="L18" s="79" t="s">
        <v>3418</v>
      </c>
      <c r="M18" s="79" t="s">
        <v>3381</v>
      </c>
      <c r="N18" s="79" t="s">
        <v>3343</v>
      </c>
      <c r="O18" s="79" t="s">
        <v>3305</v>
      </c>
      <c r="P18" s="79" t="s">
        <v>3266</v>
      </c>
      <c r="Q18" s="79" t="s">
        <v>3227</v>
      </c>
      <c r="R18" s="79" t="s">
        <v>3188</v>
      </c>
      <c r="S18" s="79" t="s">
        <v>3149</v>
      </c>
      <c r="T18" s="79" t="s">
        <v>3110</v>
      </c>
      <c r="U18" s="79" t="s">
        <v>3071</v>
      </c>
      <c r="V18" s="79" t="s">
        <v>3032</v>
      </c>
      <c r="W18" s="79" t="s">
        <v>2993</v>
      </c>
      <c r="X18" s="79" t="s">
        <v>2954</v>
      </c>
      <c r="Y18" s="79" t="s">
        <v>2915</v>
      </c>
      <c r="Z18" s="79" t="s">
        <v>2876</v>
      </c>
      <c r="AA18" s="79" t="s">
        <v>2837</v>
      </c>
      <c r="AB18" s="79" t="s">
        <v>2798</v>
      </c>
      <c r="AC18" s="79" t="s">
        <v>2759</v>
      </c>
      <c r="AD18" s="79" t="s">
        <v>2720</v>
      </c>
      <c r="AE18" s="79" t="s">
        <v>2681</v>
      </c>
      <c r="AF18" s="79" t="s">
        <v>2642</v>
      </c>
      <c r="AG18" s="79" t="s">
        <v>2603</v>
      </c>
      <c r="AH18" s="79" t="s">
        <v>2564</v>
      </c>
      <c r="AI18" s="79" t="s">
        <v>2525</v>
      </c>
      <c r="AJ18" s="79" t="s">
        <v>2487</v>
      </c>
      <c r="AK18" s="79" t="s">
        <v>2449</v>
      </c>
      <c r="AL18" s="79" t="s">
        <v>2412</v>
      </c>
      <c r="AM18" s="79" t="s">
        <v>2375</v>
      </c>
      <c r="AN18" s="79" t="s">
        <v>2339</v>
      </c>
      <c r="AO18" s="79" t="s">
        <v>2303</v>
      </c>
      <c r="AP18" s="79" t="s">
        <v>2268</v>
      </c>
      <c r="AQ18" s="79" t="s">
        <v>2234</v>
      </c>
      <c r="AR18" s="79" t="s">
        <v>2202</v>
      </c>
      <c r="AS18" s="79" t="s">
        <v>2171</v>
      </c>
      <c r="AT18" s="144" t="s">
        <v>4335</v>
      </c>
      <c r="AU18" s="79" t="s">
        <v>4336</v>
      </c>
      <c r="AV18" s="79" t="s">
        <v>4337</v>
      </c>
      <c r="AW18" s="79" t="s">
        <v>4338</v>
      </c>
      <c r="AX18" s="79" t="s">
        <v>4339</v>
      </c>
      <c r="AY18" s="79" t="s">
        <v>4340</v>
      </c>
      <c r="AZ18" s="79" t="s">
        <v>4341</v>
      </c>
      <c r="BA18" s="79" t="s">
        <v>4342</v>
      </c>
      <c r="BB18" s="79" t="s">
        <v>4343</v>
      </c>
      <c r="BC18" s="79" t="s">
        <v>4344</v>
      </c>
      <c r="BD18" s="79" t="s">
        <v>4345</v>
      </c>
      <c r="BE18" s="79" t="s">
        <v>4346</v>
      </c>
      <c r="BF18" s="79" t="s">
        <v>4347</v>
      </c>
      <c r="BG18" s="79" t="s">
        <v>4348</v>
      </c>
      <c r="BH18" s="79" t="s">
        <v>4349</v>
      </c>
      <c r="BI18" s="79" t="s">
        <v>4350</v>
      </c>
      <c r="BJ18" s="79" t="s">
        <v>4351</v>
      </c>
      <c r="BK18" s="79" t="s">
        <v>4352</v>
      </c>
      <c r="BL18" s="79" t="s">
        <v>4353</v>
      </c>
      <c r="BM18" s="79" t="s">
        <v>4354</v>
      </c>
      <c r="BN18" s="144" t="s">
        <v>4355</v>
      </c>
      <c r="BO18" s="144" t="s">
        <v>4356</v>
      </c>
      <c r="BP18" s="144" t="s">
        <v>4357</v>
      </c>
      <c r="BQ18" s="144" t="s">
        <v>4358</v>
      </c>
      <c r="BR18" s="144" t="s">
        <v>4359</v>
      </c>
      <c r="BS18" s="144" t="s">
        <v>4360</v>
      </c>
      <c r="BT18" s="144" t="s">
        <v>4361</v>
      </c>
      <c r="BU18" s="144" t="s">
        <v>4362</v>
      </c>
      <c r="BV18" s="144" t="s">
        <v>4363</v>
      </c>
      <c r="BW18" s="144" t="s">
        <v>4364</v>
      </c>
      <c r="BX18" s="144" t="s">
        <v>4365</v>
      </c>
      <c r="BY18" s="144" t="s">
        <v>4366</v>
      </c>
      <c r="BZ18" s="144" t="s">
        <v>4367</v>
      </c>
      <c r="CA18" s="144" t="s">
        <v>4368</v>
      </c>
      <c r="CB18" s="144" t="s">
        <v>4369</v>
      </c>
      <c r="CC18" s="144" t="s">
        <v>4370</v>
      </c>
      <c r="CD18" s="144" t="s">
        <v>4371</v>
      </c>
      <c r="CE18" s="79" t="s">
        <v>4372</v>
      </c>
      <c r="CF18" s="79" t="s">
        <v>4373</v>
      </c>
      <c r="CG18" s="79" t="s">
        <v>4374</v>
      </c>
      <c r="CH18" s="144" t="s">
        <v>4375</v>
      </c>
      <c r="CI18" s="144" t="s">
        <v>4376</v>
      </c>
      <c r="CJ18" s="144" t="s">
        <v>4377</v>
      </c>
      <c r="CK18" s="144" t="s">
        <v>4378</v>
      </c>
      <c r="CL18" s="144" t="s">
        <v>4379</v>
      </c>
      <c r="CM18" s="144" t="s">
        <v>4380</v>
      </c>
      <c r="CN18" s="144" t="s">
        <v>4381</v>
      </c>
      <c r="CO18" s="144" t="s">
        <v>4382</v>
      </c>
      <c r="CP18" s="144" t="s">
        <v>4383</v>
      </c>
      <c r="CQ18" s="144" t="s">
        <v>4384</v>
      </c>
      <c r="CR18" s="144" t="s">
        <v>4385</v>
      </c>
      <c r="CS18" s="144" t="s">
        <v>4386</v>
      </c>
      <c r="CT18" s="144" t="s">
        <v>4387</v>
      </c>
      <c r="CU18" s="144" t="s">
        <v>4388</v>
      </c>
      <c r="CV18" s="144" t="s">
        <v>4389</v>
      </c>
      <c r="CW18" s="144" t="s">
        <v>4390</v>
      </c>
      <c r="CX18" s="79" t="s">
        <v>4391</v>
      </c>
      <c r="CY18" s="79" t="s">
        <v>4392</v>
      </c>
      <c r="CZ18" s="79" t="s">
        <v>4393</v>
      </c>
      <c r="DA18" s="79" t="s">
        <v>4394</v>
      </c>
      <c r="DB18" s="79" t="s">
        <v>4395</v>
      </c>
      <c r="DC18" s="79" t="s">
        <v>4396</v>
      </c>
      <c r="DD18" s="79" t="s">
        <v>4397</v>
      </c>
      <c r="DE18" s="79" t="s">
        <v>4398</v>
      </c>
      <c r="DF18" s="79" t="s">
        <v>4399</v>
      </c>
      <c r="DG18" s="79" t="s">
        <v>4400</v>
      </c>
      <c r="DH18" s="79" t="s">
        <v>4401</v>
      </c>
      <c r="DI18" s="79" t="s">
        <v>4402</v>
      </c>
      <c r="DJ18" s="79" t="s">
        <v>4403</v>
      </c>
      <c r="DK18" s="79" t="s">
        <v>4404</v>
      </c>
      <c r="DL18" s="79" t="s">
        <v>4405</v>
      </c>
      <c r="DM18" s="79" t="s">
        <v>4406</v>
      </c>
      <c r="DN18" s="79" t="s">
        <v>4407</v>
      </c>
      <c r="DO18" s="79" t="s">
        <v>4408</v>
      </c>
      <c r="DP18" s="144" t="s">
        <v>4409</v>
      </c>
      <c r="DQ18" s="79" t="s">
        <v>4410</v>
      </c>
      <c r="DR18" s="144" t="s">
        <v>4411</v>
      </c>
      <c r="DS18" s="144" t="s">
        <v>4412</v>
      </c>
      <c r="DT18" s="144" t="s">
        <v>4413</v>
      </c>
      <c r="DU18" s="144" t="s">
        <v>4414</v>
      </c>
      <c r="DV18" s="144" t="s">
        <v>4415</v>
      </c>
      <c r="DW18" s="144" t="s">
        <v>4416</v>
      </c>
      <c r="DX18" s="144" t="s">
        <v>4417</v>
      </c>
      <c r="DY18" s="144" t="s">
        <v>4418</v>
      </c>
      <c r="DZ18" s="144" t="s">
        <v>4419</v>
      </c>
      <c r="EA18" s="144" t="s">
        <v>4420</v>
      </c>
      <c r="EB18" s="144" t="s">
        <v>4421</v>
      </c>
      <c r="EC18" s="144" t="s">
        <v>4422</v>
      </c>
      <c r="ED18" s="79" t="s">
        <v>4423</v>
      </c>
      <c r="EE18" s="79" t="s">
        <v>4424</v>
      </c>
      <c r="EF18" s="79" t="s">
        <v>4425</v>
      </c>
      <c r="EG18" s="79" t="s">
        <v>4426</v>
      </c>
      <c r="EH18" s="79" t="s">
        <v>4427</v>
      </c>
    </row>
    <row r="19" spans="3:138" ht="20.100000000000001" customHeight="1" x14ac:dyDescent="0.25">
      <c r="C19" s="76">
        <v>14</v>
      </c>
      <c r="G19" s="79"/>
      <c r="H19" s="79" t="s">
        <v>3553</v>
      </c>
      <c r="I19" s="79" t="s">
        <v>3521</v>
      </c>
      <c r="J19" s="79" t="s">
        <v>3488</v>
      </c>
      <c r="K19" s="79" t="s">
        <v>3453</v>
      </c>
      <c r="L19" s="79" t="s">
        <v>3417</v>
      </c>
      <c r="M19" s="79" t="s">
        <v>3380</v>
      </c>
      <c r="N19" s="79" t="s">
        <v>3342</v>
      </c>
      <c r="O19" s="79" t="s">
        <v>3304</v>
      </c>
      <c r="P19" s="79" t="s">
        <v>3265</v>
      </c>
      <c r="Q19" s="79" t="s">
        <v>3226</v>
      </c>
      <c r="R19" s="79" t="s">
        <v>3187</v>
      </c>
      <c r="S19" s="79" t="s">
        <v>3148</v>
      </c>
      <c r="T19" s="79" t="s">
        <v>3109</v>
      </c>
      <c r="U19" s="79" t="s">
        <v>3070</v>
      </c>
      <c r="V19" s="79" t="s">
        <v>3031</v>
      </c>
      <c r="W19" s="79" t="s">
        <v>2992</v>
      </c>
      <c r="X19" s="79" t="s">
        <v>2953</v>
      </c>
      <c r="Y19" s="79" t="s">
        <v>2914</v>
      </c>
      <c r="Z19" s="79" t="s">
        <v>2875</v>
      </c>
      <c r="AA19" s="79" t="s">
        <v>2836</v>
      </c>
      <c r="AB19" s="79" t="s">
        <v>2797</v>
      </c>
      <c r="AC19" s="79" t="s">
        <v>2758</v>
      </c>
      <c r="AD19" s="79" t="s">
        <v>2719</v>
      </c>
      <c r="AE19" s="79" t="s">
        <v>2680</v>
      </c>
      <c r="AF19" s="79" t="s">
        <v>2641</v>
      </c>
      <c r="AG19" s="79" t="s">
        <v>2602</v>
      </c>
      <c r="AH19" s="79" t="s">
        <v>2563</v>
      </c>
      <c r="AI19" s="79" t="s">
        <v>2524</v>
      </c>
      <c r="AJ19" s="79" t="s">
        <v>2486</v>
      </c>
      <c r="AK19" s="79" t="s">
        <v>2448</v>
      </c>
      <c r="AL19" s="79" t="s">
        <v>2411</v>
      </c>
      <c r="AM19" s="79" t="s">
        <v>2374</v>
      </c>
      <c r="AN19" s="79" t="s">
        <v>2338</v>
      </c>
      <c r="AO19" s="79" t="s">
        <v>2302</v>
      </c>
      <c r="AP19" s="79" t="s">
        <v>2267</v>
      </c>
      <c r="AQ19" s="79" t="s">
        <v>2233</v>
      </c>
      <c r="AR19" s="79" t="s">
        <v>2201</v>
      </c>
      <c r="AS19" s="79" t="s">
        <v>2170</v>
      </c>
      <c r="AT19" s="144" t="s">
        <v>4428</v>
      </c>
      <c r="AU19" s="79" t="s">
        <v>4429</v>
      </c>
      <c r="AV19" s="79" t="s">
        <v>4430</v>
      </c>
      <c r="AW19" s="79" t="s">
        <v>4431</v>
      </c>
      <c r="AX19" s="79" t="s">
        <v>4432</v>
      </c>
      <c r="AY19" s="79" t="s">
        <v>4433</v>
      </c>
      <c r="AZ19" s="79" t="s">
        <v>4434</v>
      </c>
      <c r="BA19" s="79" t="s">
        <v>4435</v>
      </c>
      <c r="BB19" s="79" t="s">
        <v>4436</v>
      </c>
      <c r="BC19" s="79" t="s">
        <v>4437</v>
      </c>
      <c r="BD19" s="79" t="s">
        <v>4438</v>
      </c>
      <c r="BE19" s="79" t="s">
        <v>4439</v>
      </c>
      <c r="BF19" s="79" t="s">
        <v>4440</v>
      </c>
      <c r="BG19" s="79" t="s">
        <v>4441</v>
      </c>
      <c r="BH19" s="79" t="s">
        <v>4442</v>
      </c>
      <c r="BI19" s="79" t="s">
        <v>4443</v>
      </c>
      <c r="BJ19" s="79" t="s">
        <v>4444</v>
      </c>
      <c r="BK19" s="79" t="s">
        <v>4445</v>
      </c>
      <c r="BL19" s="79" t="s">
        <v>4446</v>
      </c>
      <c r="BM19" s="79" t="s">
        <v>4447</v>
      </c>
      <c r="BN19" s="144" t="s">
        <v>4448</v>
      </c>
      <c r="BO19" s="144" t="s">
        <v>4449</v>
      </c>
      <c r="BP19" s="144" t="s">
        <v>4450</v>
      </c>
      <c r="BQ19" s="144" t="s">
        <v>4451</v>
      </c>
      <c r="BR19" s="144" t="s">
        <v>4452</v>
      </c>
      <c r="BS19" s="144" t="s">
        <v>4453</v>
      </c>
      <c r="BT19" s="144" t="s">
        <v>4454</v>
      </c>
      <c r="BU19" s="144" t="s">
        <v>4455</v>
      </c>
      <c r="BV19" s="144" t="s">
        <v>4456</v>
      </c>
      <c r="BW19" s="144" t="s">
        <v>4457</v>
      </c>
      <c r="BX19" s="144" t="s">
        <v>4458</v>
      </c>
      <c r="BY19" s="144" t="s">
        <v>4459</v>
      </c>
      <c r="BZ19" s="144" t="s">
        <v>4460</v>
      </c>
      <c r="CA19" s="144" t="s">
        <v>4461</v>
      </c>
      <c r="CB19" s="144" t="s">
        <v>4462</v>
      </c>
      <c r="CC19" s="144" t="s">
        <v>4463</v>
      </c>
      <c r="CD19" s="144" t="s">
        <v>4464</v>
      </c>
      <c r="CE19" s="79" t="s">
        <v>4465</v>
      </c>
      <c r="CF19" s="79" t="s">
        <v>4466</v>
      </c>
      <c r="CG19" s="79" t="s">
        <v>4467</v>
      </c>
      <c r="CH19" s="144" t="s">
        <v>4468</v>
      </c>
      <c r="CI19" s="144" t="s">
        <v>4469</v>
      </c>
      <c r="CJ19" s="144" t="s">
        <v>4470</v>
      </c>
      <c r="CK19" s="144" t="s">
        <v>4471</v>
      </c>
      <c r="CL19" s="144" t="s">
        <v>4472</v>
      </c>
      <c r="CM19" s="144" t="s">
        <v>4473</v>
      </c>
      <c r="CN19" s="144" t="s">
        <v>4474</v>
      </c>
      <c r="CO19" s="144" t="s">
        <v>4475</v>
      </c>
      <c r="CP19" s="144" t="s">
        <v>4476</v>
      </c>
      <c r="CQ19" s="144" t="s">
        <v>4477</v>
      </c>
      <c r="CR19" s="144" t="s">
        <v>4478</v>
      </c>
      <c r="CS19" s="144" t="s">
        <v>4479</v>
      </c>
      <c r="CT19" s="144" t="s">
        <v>4480</v>
      </c>
      <c r="CU19" s="144" t="s">
        <v>4481</v>
      </c>
      <c r="CV19" s="144" t="s">
        <v>4482</v>
      </c>
      <c r="CW19" s="144" t="s">
        <v>4483</v>
      </c>
      <c r="CX19" s="79" t="s">
        <v>4484</v>
      </c>
      <c r="CY19" s="79" t="s">
        <v>4485</v>
      </c>
      <c r="CZ19" s="79" t="s">
        <v>4486</v>
      </c>
      <c r="DA19" s="79" t="s">
        <v>4487</v>
      </c>
      <c r="DB19" s="79" t="s">
        <v>4488</v>
      </c>
      <c r="DC19" s="79" t="s">
        <v>4489</v>
      </c>
      <c r="DD19" s="79" t="s">
        <v>4490</v>
      </c>
      <c r="DE19" s="79" t="s">
        <v>4491</v>
      </c>
      <c r="DF19" s="79" t="s">
        <v>4492</v>
      </c>
      <c r="DG19" s="79" t="s">
        <v>4493</v>
      </c>
      <c r="DH19" s="79" t="s">
        <v>4494</v>
      </c>
      <c r="DI19" s="79" t="s">
        <v>4495</v>
      </c>
      <c r="DJ19" s="79" t="s">
        <v>4496</v>
      </c>
      <c r="DK19" s="79" t="s">
        <v>4497</v>
      </c>
      <c r="DL19" s="79" t="s">
        <v>4498</v>
      </c>
      <c r="DM19" s="79" t="s">
        <v>4499</v>
      </c>
      <c r="DN19" s="79" t="s">
        <v>4500</v>
      </c>
      <c r="DO19" s="79" t="s">
        <v>4501</v>
      </c>
      <c r="DP19" s="144" t="s">
        <v>4502</v>
      </c>
      <c r="DQ19" s="79" t="s">
        <v>4503</v>
      </c>
      <c r="DR19" s="144" t="s">
        <v>4504</v>
      </c>
      <c r="DS19" s="144" t="s">
        <v>4505</v>
      </c>
      <c r="DT19" s="144" t="s">
        <v>4506</v>
      </c>
      <c r="DU19" s="144" t="s">
        <v>4507</v>
      </c>
      <c r="DV19" s="144" t="s">
        <v>4508</v>
      </c>
      <c r="DW19" s="144" t="s">
        <v>4509</v>
      </c>
      <c r="DX19" s="144" t="s">
        <v>4510</v>
      </c>
      <c r="DY19" s="144" t="s">
        <v>4511</v>
      </c>
      <c r="DZ19" s="144" t="s">
        <v>4512</v>
      </c>
      <c r="EA19" s="144" t="s">
        <v>4513</v>
      </c>
      <c r="EB19" s="144" t="s">
        <v>4514</v>
      </c>
      <c r="EC19" s="144" t="s">
        <v>4515</v>
      </c>
      <c r="ED19" s="79" t="s">
        <v>4516</v>
      </c>
      <c r="EE19" s="79" t="s">
        <v>4517</v>
      </c>
      <c r="EF19" s="79" t="s">
        <v>4518</v>
      </c>
      <c r="EG19" s="79" t="s">
        <v>4519</v>
      </c>
      <c r="EH19" s="79" t="s">
        <v>4520</v>
      </c>
    </row>
    <row r="20" spans="3:138" ht="20.100000000000001" customHeight="1" x14ac:dyDescent="0.25">
      <c r="C20" s="76">
        <v>13</v>
      </c>
      <c r="G20" s="79"/>
      <c r="H20" s="79" t="s">
        <v>3552</v>
      </c>
      <c r="I20" s="79" t="s">
        <v>3520</v>
      </c>
      <c r="J20" s="79" t="s">
        <v>3487</v>
      </c>
      <c r="K20" s="79" t="s">
        <v>3452</v>
      </c>
      <c r="L20" s="144" t="s">
        <v>3416</v>
      </c>
      <c r="M20" s="144" t="s">
        <v>3379</v>
      </c>
      <c r="N20" s="144" t="s">
        <v>3341</v>
      </c>
      <c r="O20" s="144" t="s">
        <v>3303</v>
      </c>
      <c r="P20" s="144" t="s">
        <v>3264</v>
      </c>
      <c r="Q20" s="144" t="s">
        <v>3225</v>
      </c>
      <c r="R20" s="144" t="s">
        <v>3186</v>
      </c>
      <c r="S20" s="144" t="s">
        <v>3147</v>
      </c>
      <c r="T20" s="144" t="s">
        <v>3108</v>
      </c>
      <c r="U20" s="144" t="s">
        <v>3069</v>
      </c>
      <c r="V20" s="144" t="s">
        <v>3030</v>
      </c>
      <c r="W20" s="144" t="s">
        <v>2991</v>
      </c>
      <c r="X20" s="144" t="s">
        <v>2952</v>
      </c>
      <c r="Y20" s="144" t="s">
        <v>2913</v>
      </c>
      <c r="Z20" s="144" t="s">
        <v>2874</v>
      </c>
      <c r="AA20" s="144" t="s">
        <v>2835</v>
      </c>
      <c r="AB20" s="144" t="s">
        <v>2796</v>
      </c>
      <c r="AC20" s="144" t="s">
        <v>2757</v>
      </c>
      <c r="AD20" s="144" t="s">
        <v>2718</v>
      </c>
      <c r="AE20" s="144" t="s">
        <v>2679</v>
      </c>
      <c r="AF20" s="144" t="s">
        <v>2640</v>
      </c>
      <c r="AG20" s="144" t="s">
        <v>2601</v>
      </c>
      <c r="AH20" s="144" t="s">
        <v>2562</v>
      </c>
      <c r="AI20" s="144" t="s">
        <v>2523</v>
      </c>
      <c r="AJ20" s="144" t="s">
        <v>2485</v>
      </c>
      <c r="AK20" s="144" t="s">
        <v>2447</v>
      </c>
      <c r="AL20" s="79" t="s">
        <v>2410</v>
      </c>
      <c r="AM20" s="79" t="s">
        <v>2373</v>
      </c>
      <c r="AN20" s="79" t="s">
        <v>2337</v>
      </c>
      <c r="AO20" s="79" t="s">
        <v>2301</v>
      </c>
      <c r="AP20" s="79" t="s">
        <v>2266</v>
      </c>
      <c r="AQ20" s="79" t="s">
        <v>2232</v>
      </c>
      <c r="AR20" s="79" t="s">
        <v>2200</v>
      </c>
      <c r="AS20" s="79" t="s">
        <v>2169</v>
      </c>
      <c r="AT20" s="144" t="s">
        <v>4521</v>
      </c>
      <c r="AU20" s="79" t="s">
        <v>4522</v>
      </c>
      <c r="AV20" s="79" t="s">
        <v>4523</v>
      </c>
      <c r="AW20" s="79" t="s">
        <v>4524</v>
      </c>
      <c r="AX20" s="79" t="s">
        <v>4525</v>
      </c>
      <c r="AY20" s="79" t="s">
        <v>4526</v>
      </c>
      <c r="AZ20" s="79" t="s">
        <v>4527</v>
      </c>
      <c r="BA20" s="79" t="s">
        <v>4528</v>
      </c>
      <c r="BB20" s="79" t="s">
        <v>4529</v>
      </c>
      <c r="BC20" s="79" t="s">
        <v>4530</v>
      </c>
      <c r="BD20" s="79" t="s">
        <v>4531</v>
      </c>
      <c r="BE20" s="79" t="s">
        <v>4532</v>
      </c>
      <c r="BF20" s="144" t="s">
        <v>4533</v>
      </c>
      <c r="BG20" s="144" t="s">
        <v>4534</v>
      </c>
      <c r="BH20" s="144" t="s">
        <v>4535</v>
      </c>
      <c r="BI20" s="144" t="s">
        <v>4536</v>
      </c>
      <c r="BJ20" s="144" t="s">
        <v>4537</v>
      </c>
      <c r="BK20" s="144" t="s">
        <v>4538</v>
      </c>
      <c r="BL20" s="144" t="s">
        <v>4539</v>
      </c>
      <c r="BM20" s="144" t="s">
        <v>4540</v>
      </c>
      <c r="BN20" s="144" t="s">
        <v>4541</v>
      </c>
      <c r="BO20" s="144" t="s">
        <v>4542</v>
      </c>
      <c r="BP20" s="144" t="s">
        <v>4543</v>
      </c>
      <c r="BQ20" s="144" t="s">
        <v>4544</v>
      </c>
      <c r="BR20" s="144" t="s">
        <v>4545</v>
      </c>
      <c r="BS20" s="144" t="s">
        <v>4546</v>
      </c>
      <c r="BT20" s="144" t="s">
        <v>4547</v>
      </c>
      <c r="BU20" s="144" t="s">
        <v>4548</v>
      </c>
      <c r="BV20" s="144" t="s">
        <v>4549</v>
      </c>
      <c r="BW20" s="144" t="s">
        <v>4550</v>
      </c>
      <c r="BX20" s="144" t="s">
        <v>4551</v>
      </c>
      <c r="BY20" s="144" t="s">
        <v>4552</v>
      </c>
      <c r="BZ20" s="144" t="s">
        <v>4553</v>
      </c>
      <c r="CA20" s="144" t="s">
        <v>4554</v>
      </c>
      <c r="CB20" s="144" t="s">
        <v>4555</v>
      </c>
      <c r="CC20" s="144" t="s">
        <v>4556</v>
      </c>
      <c r="CD20" s="144" t="s">
        <v>4557</v>
      </c>
      <c r="CE20" s="79" t="s">
        <v>4558</v>
      </c>
      <c r="CF20" s="79" t="s">
        <v>4559</v>
      </c>
      <c r="CG20" s="79" t="s">
        <v>4560</v>
      </c>
      <c r="CH20" s="144" t="s">
        <v>4561</v>
      </c>
      <c r="CI20" s="144" t="s">
        <v>4562</v>
      </c>
      <c r="CJ20" s="144" t="s">
        <v>4563</v>
      </c>
      <c r="CK20" s="144" t="s">
        <v>4564</v>
      </c>
      <c r="CL20" s="144" t="s">
        <v>4565</v>
      </c>
      <c r="CM20" s="144" t="s">
        <v>4566</v>
      </c>
      <c r="CN20" s="144" t="s">
        <v>4567</v>
      </c>
      <c r="CO20" s="144" t="s">
        <v>4568</v>
      </c>
      <c r="CP20" s="144" t="s">
        <v>4569</v>
      </c>
      <c r="CQ20" s="144" t="s">
        <v>4570</v>
      </c>
      <c r="CR20" s="144" t="s">
        <v>4571</v>
      </c>
      <c r="CS20" s="144" t="s">
        <v>4572</v>
      </c>
      <c r="CT20" s="144" t="s">
        <v>4573</v>
      </c>
      <c r="CU20" s="144" t="s">
        <v>4574</v>
      </c>
      <c r="CV20" s="144" t="s">
        <v>4575</v>
      </c>
      <c r="CW20" s="144" t="s">
        <v>4576</v>
      </c>
      <c r="CX20" s="79" t="s">
        <v>4577</v>
      </c>
      <c r="CY20" s="79" t="s">
        <v>4578</v>
      </c>
      <c r="CZ20" s="79" t="s">
        <v>4579</v>
      </c>
      <c r="DA20" s="79" t="s">
        <v>4580</v>
      </c>
      <c r="DB20" s="79" t="s">
        <v>4581</v>
      </c>
      <c r="DC20" s="79" t="s">
        <v>4582</v>
      </c>
      <c r="DD20" s="79" t="s">
        <v>4583</v>
      </c>
      <c r="DE20" s="79" t="s">
        <v>4584</v>
      </c>
      <c r="DF20" s="79" t="s">
        <v>4585</v>
      </c>
      <c r="DG20" s="144" t="s">
        <v>4586</v>
      </c>
      <c r="DH20" s="144" t="s">
        <v>4587</v>
      </c>
      <c r="DI20" s="144" t="s">
        <v>4588</v>
      </c>
      <c r="DJ20" s="144" t="s">
        <v>4589</v>
      </c>
      <c r="DK20" s="144" t="s">
        <v>4590</v>
      </c>
      <c r="DL20" s="144" t="s">
        <v>4591</v>
      </c>
      <c r="DM20" s="144" t="s">
        <v>4592</v>
      </c>
      <c r="DN20" s="144" t="s">
        <v>4593</v>
      </c>
      <c r="DO20" s="144" t="s">
        <v>4594</v>
      </c>
      <c r="DP20" s="144" t="s">
        <v>4595</v>
      </c>
      <c r="DQ20" s="79" t="s">
        <v>4596</v>
      </c>
      <c r="DR20" s="144" t="s">
        <v>4597</v>
      </c>
      <c r="DS20" s="144" t="s">
        <v>4598</v>
      </c>
      <c r="DT20" s="144" t="s">
        <v>4599</v>
      </c>
      <c r="DU20" s="144" t="s">
        <v>4600</v>
      </c>
      <c r="DV20" s="144" t="s">
        <v>4601</v>
      </c>
      <c r="DW20" s="144" t="s">
        <v>4602</v>
      </c>
      <c r="DX20" s="144" t="s">
        <v>4603</v>
      </c>
      <c r="DY20" s="144" t="s">
        <v>4604</v>
      </c>
      <c r="DZ20" s="144" t="s">
        <v>4605</v>
      </c>
      <c r="EA20" s="144" t="s">
        <v>4606</v>
      </c>
      <c r="EB20" s="144" t="s">
        <v>4607</v>
      </c>
      <c r="EC20" s="144" t="s">
        <v>4608</v>
      </c>
      <c r="ED20" s="79" t="s">
        <v>4609</v>
      </c>
      <c r="EE20" s="79" t="s">
        <v>4610</v>
      </c>
      <c r="EF20" s="79" t="s">
        <v>4611</v>
      </c>
      <c r="EG20" s="79" t="s">
        <v>4612</v>
      </c>
      <c r="EH20" s="79" t="s">
        <v>4613</v>
      </c>
    </row>
    <row r="21" spans="3:138" ht="20.100000000000001" customHeight="1" x14ac:dyDescent="0.25">
      <c r="C21" s="76">
        <v>12</v>
      </c>
      <c r="G21" s="79" t="s">
        <v>3578</v>
      </c>
      <c r="H21" s="79" t="s">
        <v>3551</v>
      </c>
      <c r="I21" s="79" t="s">
        <v>3519</v>
      </c>
      <c r="J21" s="79" t="s">
        <v>3486</v>
      </c>
      <c r="K21" s="79" t="s">
        <v>3451</v>
      </c>
      <c r="L21" s="144" t="s">
        <v>3415</v>
      </c>
      <c r="M21" s="144" t="s">
        <v>3378</v>
      </c>
      <c r="N21" s="144" t="s">
        <v>3340</v>
      </c>
      <c r="O21" s="144" t="s">
        <v>3302</v>
      </c>
      <c r="P21" s="144" t="s">
        <v>3263</v>
      </c>
      <c r="Q21" s="144" t="s">
        <v>3224</v>
      </c>
      <c r="R21" s="144" t="s">
        <v>3185</v>
      </c>
      <c r="S21" s="144" t="s">
        <v>3146</v>
      </c>
      <c r="T21" s="144" t="s">
        <v>3107</v>
      </c>
      <c r="U21" s="144" t="s">
        <v>3068</v>
      </c>
      <c r="V21" s="144" t="s">
        <v>3029</v>
      </c>
      <c r="W21" s="144" t="s">
        <v>2990</v>
      </c>
      <c r="X21" s="144" t="s">
        <v>2951</v>
      </c>
      <c r="Y21" s="144" t="s">
        <v>2912</v>
      </c>
      <c r="Z21" s="144" t="s">
        <v>2873</v>
      </c>
      <c r="AA21" s="144" t="s">
        <v>2834</v>
      </c>
      <c r="AB21" s="144" t="s">
        <v>2795</v>
      </c>
      <c r="AC21" s="144" t="s">
        <v>2756</v>
      </c>
      <c r="AD21" s="144" t="s">
        <v>2717</v>
      </c>
      <c r="AE21" s="144" t="s">
        <v>2678</v>
      </c>
      <c r="AF21" s="144" t="s">
        <v>2639</v>
      </c>
      <c r="AG21" s="144" t="s">
        <v>2600</v>
      </c>
      <c r="AH21" s="144" t="s">
        <v>2561</v>
      </c>
      <c r="AI21" s="144" t="s">
        <v>2522</v>
      </c>
      <c r="AJ21" s="144" t="s">
        <v>2484</v>
      </c>
      <c r="AK21" s="144" t="s">
        <v>2446</v>
      </c>
      <c r="AL21" s="79" t="s">
        <v>2409</v>
      </c>
      <c r="AM21" s="79" t="s">
        <v>2372</v>
      </c>
      <c r="AN21" s="79" t="s">
        <v>2336</v>
      </c>
      <c r="AO21" s="79" t="s">
        <v>2300</v>
      </c>
      <c r="AP21" s="79" t="s">
        <v>2265</v>
      </c>
      <c r="AQ21" s="79" t="s">
        <v>2231</v>
      </c>
      <c r="AR21" s="79" t="s">
        <v>2199</v>
      </c>
      <c r="AS21" s="79" t="s">
        <v>2168</v>
      </c>
      <c r="AT21" s="144" t="s">
        <v>4614</v>
      </c>
      <c r="AU21" s="79" t="s">
        <v>4615</v>
      </c>
      <c r="AV21" s="79" t="s">
        <v>4616</v>
      </c>
      <c r="AW21" s="79" t="s">
        <v>4617</v>
      </c>
      <c r="AX21" s="79" t="s">
        <v>4618</v>
      </c>
      <c r="AY21" s="79" t="s">
        <v>4619</v>
      </c>
      <c r="AZ21" s="79" t="s">
        <v>4620</v>
      </c>
      <c r="BA21" s="79" t="s">
        <v>4621</v>
      </c>
      <c r="BB21" s="79" t="s">
        <v>4622</v>
      </c>
      <c r="BC21" s="79" t="s">
        <v>4623</v>
      </c>
      <c r="BD21" s="79" t="s">
        <v>4624</v>
      </c>
      <c r="BE21" s="79" t="s">
        <v>4625</v>
      </c>
      <c r="BF21" s="144" t="s">
        <v>4626</v>
      </c>
      <c r="BG21" s="144" t="s">
        <v>4627</v>
      </c>
      <c r="BH21" s="144" t="s">
        <v>4628</v>
      </c>
      <c r="BI21" s="144" t="s">
        <v>4629</v>
      </c>
      <c r="BJ21" s="144" t="s">
        <v>4630</v>
      </c>
      <c r="BK21" s="144" t="s">
        <v>4631</v>
      </c>
      <c r="BL21" s="144" t="s">
        <v>4632</v>
      </c>
      <c r="BM21" s="144" t="s">
        <v>4633</v>
      </c>
      <c r="BN21" s="144" t="s">
        <v>4634</v>
      </c>
      <c r="BO21" s="144" t="s">
        <v>4635</v>
      </c>
      <c r="BP21" s="144" t="s">
        <v>4636</v>
      </c>
      <c r="BQ21" s="144" t="s">
        <v>4637</v>
      </c>
      <c r="BR21" s="144" t="s">
        <v>4638</v>
      </c>
      <c r="BS21" s="144" t="s">
        <v>4639</v>
      </c>
      <c r="BT21" s="144" t="s">
        <v>4640</v>
      </c>
      <c r="BU21" s="144" t="s">
        <v>4641</v>
      </c>
      <c r="BV21" s="144" t="s">
        <v>4642</v>
      </c>
      <c r="BW21" s="144" t="s">
        <v>4643</v>
      </c>
      <c r="BX21" s="144" t="s">
        <v>4644</v>
      </c>
      <c r="BY21" s="144" t="s">
        <v>4645</v>
      </c>
      <c r="BZ21" s="144" t="s">
        <v>4646</v>
      </c>
      <c r="CA21" s="144" t="s">
        <v>4647</v>
      </c>
      <c r="CB21" s="144" t="s">
        <v>4648</v>
      </c>
      <c r="CC21" s="144" t="s">
        <v>4649</v>
      </c>
      <c r="CD21" s="144" t="s">
        <v>4650</v>
      </c>
      <c r="CE21" s="79" t="s">
        <v>4651</v>
      </c>
      <c r="CF21" s="79" t="s">
        <v>4652</v>
      </c>
      <c r="CG21" s="79" t="s">
        <v>4653</v>
      </c>
      <c r="CH21" s="144" t="s">
        <v>4654</v>
      </c>
      <c r="CI21" s="144" t="s">
        <v>4655</v>
      </c>
      <c r="CJ21" s="144" t="s">
        <v>4656</v>
      </c>
      <c r="CK21" s="144" t="s">
        <v>4657</v>
      </c>
      <c r="CL21" s="144" t="s">
        <v>4658</v>
      </c>
      <c r="CM21" s="144" t="s">
        <v>4659</v>
      </c>
      <c r="CN21" s="144" t="s">
        <v>4660</v>
      </c>
      <c r="CO21" s="144" t="s">
        <v>4661</v>
      </c>
      <c r="CP21" s="144" t="s">
        <v>4662</v>
      </c>
      <c r="CQ21" s="144" t="s">
        <v>4663</v>
      </c>
      <c r="CR21" s="144" t="s">
        <v>4664</v>
      </c>
      <c r="CS21" s="144" t="s">
        <v>4665</v>
      </c>
      <c r="CT21" s="144" t="s">
        <v>4666</v>
      </c>
      <c r="CU21" s="144" t="s">
        <v>4667</v>
      </c>
      <c r="CV21" s="144" t="s">
        <v>4668</v>
      </c>
      <c r="CW21" s="144" t="s">
        <v>4669</v>
      </c>
      <c r="CX21" s="79" t="s">
        <v>4670</v>
      </c>
      <c r="CY21" s="79" t="s">
        <v>4671</v>
      </c>
      <c r="CZ21" s="79" t="s">
        <v>4672</v>
      </c>
      <c r="DA21" s="79" t="s">
        <v>4673</v>
      </c>
      <c r="DB21" s="79" t="s">
        <v>4674</v>
      </c>
      <c r="DC21" s="79" t="s">
        <v>4675</v>
      </c>
      <c r="DD21" s="79" t="s">
        <v>4676</v>
      </c>
      <c r="DE21" s="79" t="s">
        <v>4677</v>
      </c>
      <c r="DF21" s="79" t="s">
        <v>4678</v>
      </c>
      <c r="DG21" s="144" t="s">
        <v>4679</v>
      </c>
      <c r="DH21" s="144" t="s">
        <v>4680</v>
      </c>
      <c r="DI21" s="144" t="s">
        <v>4681</v>
      </c>
      <c r="DJ21" s="144" t="s">
        <v>4682</v>
      </c>
      <c r="DK21" s="144" t="s">
        <v>4683</v>
      </c>
      <c r="DL21" s="144" t="s">
        <v>4684</v>
      </c>
      <c r="DM21" s="144" t="s">
        <v>4685</v>
      </c>
      <c r="DN21" s="144" t="s">
        <v>4686</v>
      </c>
      <c r="DO21" s="144" t="s">
        <v>4687</v>
      </c>
      <c r="DP21" s="144" t="s">
        <v>4688</v>
      </c>
      <c r="DQ21" s="79" t="s">
        <v>4689</v>
      </c>
      <c r="DR21" s="144" t="s">
        <v>4690</v>
      </c>
      <c r="DS21" s="144" t="s">
        <v>4691</v>
      </c>
      <c r="DT21" s="144" t="s">
        <v>4692</v>
      </c>
      <c r="DU21" s="144" t="s">
        <v>4693</v>
      </c>
      <c r="DV21" s="144" t="s">
        <v>4694</v>
      </c>
      <c r="DW21" s="144" t="s">
        <v>4695</v>
      </c>
      <c r="DX21" s="144" t="s">
        <v>4696</v>
      </c>
      <c r="DY21" s="144" t="s">
        <v>4697</v>
      </c>
      <c r="DZ21" s="144" t="s">
        <v>4698</v>
      </c>
      <c r="EA21" s="144" t="s">
        <v>4699</v>
      </c>
      <c r="EB21" s="144" t="s">
        <v>4700</v>
      </c>
      <c r="EC21" s="144" t="s">
        <v>4701</v>
      </c>
      <c r="ED21" s="79" t="s">
        <v>4702</v>
      </c>
      <c r="EE21" s="79" t="s">
        <v>4703</v>
      </c>
      <c r="EF21" s="79" t="s">
        <v>4704</v>
      </c>
      <c r="EG21" s="79" t="s">
        <v>4705</v>
      </c>
      <c r="EH21" s="79" t="s">
        <v>4706</v>
      </c>
    </row>
    <row r="22" spans="3:138" ht="20.100000000000001" customHeight="1" x14ac:dyDescent="0.25">
      <c r="C22" s="76">
        <v>11</v>
      </c>
      <c r="G22" s="79" t="s">
        <v>3577</v>
      </c>
      <c r="H22" s="79" t="s">
        <v>3550</v>
      </c>
      <c r="I22" s="79" t="s">
        <v>3518</v>
      </c>
      <c r="J22" s="79" t="s">
        <v>3485</v>
      </c>
      <c r="K22" s="79" t="s">
        <v>3450</v>
      </c>
      <c r="L22" s="144" t="s">
        <v>3414</v>
      </c>
      <c r="M22" s="144" t="s">
        <v>3377</v>
      </c>
      <c r="N22" s="144" t="s">
        <v>3339</v>
      </c>
      <c r="O22" s="144" t="s">
        <v>3301</v>
      </c>
      <c r="P22" s="144" t="s">
        <v>3262</v>
      </c>
      <c r="Q22" s="144" t="s">
        <v>3223</v>
      </c>
      <c r="R22" s="144" t="s">
        <v>3184</v>
      </c>
      <c r="S22" s="144" t="s">
        <v>3145</v>
      </c>
      <c r="T22" s="144" t="s">
        <v>3106</v>
      </c>
      <c r="U22" s="144" t="s">
        <v>3067</v>
      </c>
      <c r="V22" s="144" t="s">
        <v>3028</v>
      </c>
      <c r="W22" s="144" t="s">
        <v>2989</v>
      </c>
      <c r="X22" s="144" t="s">
        <v>2950</v>
      </c>
      <c r="Y22" s="144" t="s">
        <v>2911</v>
      </c>
      <c r="Z22" s="144" t="s">
        <v>2872</v>
      </c>
      <c r="AA22" s="144" t="s">
        <v>2833</v>
      </c>
      <c r="AB22" s="144" t="s">
        <v>2794</v>
      </c>
      <c r="AC22" s="144" t="s">
        <v>2755</v>
      </c>
      <c r="AD22" s="144" t="s">
        <v>2716</v>
      </c>
      <c r="AE22" s="144" t="s">
        <v>2677</v>
      </c>
      <c r="AF22" s="144" t="s">
        <v>2638</v>
      </c>
      <c r="AG22" s="144" t="s">
        <v>2599</v>
      </c>
      <c r="AH22" s="144" t="s">
        <v>2560</v>
      </c>
      <c r="AI22" s="144" t="s">
        <v>2521</v>
      </c>
      <c r="AJ22" s="144" t="s">
        <v>2483</v>
      </c>
      <c r="AK22" s="144" t="s">
        <v>2445</v>
      </c>
      <c r="AL22" s="79" t="s">
        <v>2408</v>
      </c>
      <c r="AM22" s="79" t="s">
        <v>2371</v>
      </c>
      <c r="AN22" s="79" t="s">
        <v>2335</v>
      </c>
      <c r="AO22" s="79" t="s">
        <v>2299</v>
      </c>
      <c r="AP22" s="79" t="s">
        <v>2264</v>
      </c>
      <c r="AQ22" s="79" t="s">
        <v>2230</v>
      </c>
      <c r="AR22" s="79" t="s">
        <v>2198</v>
      </c>
      <c r="AS22" s="79" t="s">
        <v>2167</v>
      </c>
      <c r="AT22" s="144" t="s">
        <v>4707</v>
      </c>
      <c r="AU22" s="79" t="s">
        <v>4708</v>
      </c>
      <c r="AV22" s="79" t="s">
        <v>4709</v>
      </c>
      <c r="AW22" s="79" t="s">
        <v>4710</v>
      </c>
      <c r="AX22" s="79" t="s">
        <v>4711</v>
      </c>
      <c r="AY22" s="79" t="s">
        <v>4712</v>
      </c>
      <c r="AZ22" s="79" t="s">
        <v>4713</v>
      </c>
      <c r="BA22" s="79" t="s">
        <v>4714</v>
      </c>
      <c r="BB22" s="79" t="s">
        <v>4715</v>
      </c>
      <c r="BC22" s="79" t="s">
        <v>4716</v>
      </c>
      <c r="BD22" s="79" t="s">
        <v>4717</v>
      </c>
      <c r="BE22" s="79" t="s">
        <v>4718</v>
      </c>
      <c r="BF22" s="144" t="s">
        <v>4719</v>
      </c>
      <c r="BG22" s="144" t="s">
        <v>4720</v>
      </c>
      <c r="BH22" s="144" t="s">
        <v>4721</v>
      </c>
      <c r="BI22" s="144" t="s">
        <v>4722</v>
      </c>
      <c r="BJ22" s="144" t="s">
        <v>4723</v>
      </c>
      <c r="BK22" s="144" t="s">
        <v>4724</v>
      </c>
      <c r="BL22" s="144" t="s">
        <v>4725</v>
      </c>
      <c r="BM22" s="144" t="s">
        <v>4726</v>
      </c>
      <c r="BN22" s="144" t="s">
        <v>4727</v>
      </c>
      <c r="BO22" s="144" t="s">
        <v>4728</v>
      </c>
      <c r="BP22" s="144" t="s">
        <v>4729</v>
      </c>
      <c r="BQ22" s="144" t="s">
        <v>4730</v>
      </c>
      <c r="BR22" s="144" t="s">
        <v>4731</v>
      </c>
      <c r="BS22" s="144" t="s">
        <v>4732</v>
      </c>
      <c r="BT22" s="144" t="s">
        <v>4733</v>
      </c>
      <c r="BU22" s="144" t="s">
        <v>4734</v>
      </c>
      <c r="BV22" s="144" t="s">
        <v>4735</v>
      </c>
      <c r="BW22" s="144" t="s">
        <v>4736</v>
      </c>
      <c r="BX22" s="144" t="s">
        <v>4737</v>
      </c>
      <c r="BY22" s="144" t="s">
        <v>4738</v>
      </c>
      <c r="BZ22" s="144" t="s">
        <v>4739</v>
      </c>
      <c r="CA22" s="144" t="s">
        <v>4740</v>
      </c>
      <c r="CB22" s="144" t="s">
        <v>4741</v>
      </c>
      <c r="CC22" s="144" t="s">
        <v>4742</v>
      </c>
      <c r="CD22" s="144" t="s">
        <v>4743</v>
      </c>
      <c r="CE22" s="79" t="s">
        <v>4744</v>
      </c>
      <c r="CF22" s="79" t="s">
        <v>4745</v>
      </c>
      <c r="CG22" s="79" t="s">
        <v>4746</v>
      </c>
      <c r="CH22" s="144" t="s">
        <v>4747</v>
      </c>
      <c r="CI22" s="144" t="s">
        <v>4748</v>
      </c>
      <c r="CJ22" s="144" t="s">
        <v>4749</v>
      </c>
      <c r="CK22" s="144" t="s">
        <v>4750</v>
      </c>
      <c r="CL22" s="144" t="s">
        <v>4751</v>
      </c>
      <c r="CM22" s="144" t="s">
        <v>4752</v>
      </c>
      <c r="CN22" s="144" t="s">
        <v>4753</v>
      </c>
      <c r="CO22" s="144" t="s">
        <v>4754</v>
      </c>
      <c r="CP22" s="144" t="s">
        <v>4755</v>
      </c>
      <c r="CQ22" s="144" t="s">
        <v>4756</v>
      </c>
      <c r="CR22" s="144" t="s">
        <v>4757</v>
      </c>
      <c r="CS22" s="144" t="s">
        <v>4758</v>
      </c>
      <c r="CT22" s="144" t="s">
        <v>4759</v>
      </c>
      <c r="CU22" s="144" t="s">
        <v>4760</v>
      </c>
      <c r="CV22" s="144" t="s">
        <v>4761</v>
      </c>
      <c r="CW22" s="144" t="s">
        <v>4762</v>
      </c>
      <c r="CX22" s="79" t="s">
        <v>4763</v>
      </c>
      <c r="CY22" s="79" t="s">
        <v>4764</v>
      </c>
      <c r="CZ22" s="79" t="s">
        <v>4765</v>
      </c>
      <c r="DA22" s="79" t="s">
        <v>4766</v>
      </c>
      <c r="DB22" s="79" t="s">
        <v>4767</v>
      </c>
      <c r="DC22" s="79" t="s">
        <v>4768</v>
      </c>
      <c r="DD22" s="79" t="s">
        <v>4769</v>
      </c>
      <c r="DE22" s="79" t="s">
        <v>4770</v>
      </c>
      <c r="DF22" s="79" t="s">
        <v>4771</v>
      </c>
      <c r="DG22" s="144" t="s">
        <v>4772</v>
      </c>
      <c r="DH22" s="144" t="s">
        <v>4773</v>
      </c>
      <c r="DI22" s="144" t="s">
        <v>4774</v>
      </c>
      <c r="DJ22" s="144" t="s">
        <v>4775</v>
      </c>
      <c r="DK22" s="144" t="s">
        <v>4776</v>
      </c>
      <c r="DL22" s="144" t="s">
        <v>4777</v>
      </c>
      <c r="DM22" s="144" t="s">
        <v>4778</v>
      </c>
      <c r="DN22" s="144" t="s">
        <v>4779</v>
      </c>
      <c r="DO22" s="144" t="s">
        <v>4780</v>
      </c>
      <c r="DP22" s="144" t="s">
        <v>4781</v>
      </c>
      <c r="DQ22" s="79" t="s">
        <v>4782</v>
      </c>
      <c r="DR22" s="144" t="s">
        <v>4783</v>
      </c>
      <c r="DS22" s="144" t="s">
        <v>4784</v>
      </c>
      <c r="DT22" s="144" t="s">
        <v>4785</v>
      </c>
      <c r="DU22" s="144" t="s">
        <v>4786</v>
      </c>
      <c r="DV22" s="144" t="s">
        <v>4787</v>
      </c>
      <c r="DW22" s="144" t="s">
        <v>4788</v>
      </c>
      <c r="DX22" s="144" t="s">
        <v>4789</v>
      </c>
      <c r="DY22" s="144" t="s">
        <v>4790</v>
      </c>
      <c r="DZ22" s="144" t="s">
        <v>4791</v>
      </c>
      <c r="EA22" s="144" t="s">
        <v>4792</v>
      </c>
      <c r="EB22" s="144" t="s">
        <v>4793</v>
      </c>
      <c r="EC22" s="144" t="s">
        <v>4794</v>
      </c>
      <c r="ED22" s="79" t="s">
        <v>4795</v>
      </c>
      <c r="EE22" s="79" t="s">
        <v>4796</v>
      </c>
      <c r="EF22" s="79" t="s">
        <v>4797</v>
      </c>
      <c r="EG22" s="79" t="s">
        <v>4798</v>
      </c>
      <c r="EH22" s="79" t="s">
        <v>4799</v>
      </c>
    </row>
    <row r="23" spans="3:138" ht="20.100000000000001" customHeight="1" x14ac:dyDescent="0.25">
      <c r="C23" s="76">
        <v>10</v>
      </c>
      <c r="G23" s="79" t="s">
        <v>3576</v>
      </c>
      <c r="H23" s="79" t="s">
        <v>3549</v>
      </c>
      <c r="I23" s="79" t="s">
        <v>3517</v>
      </c>
      <c r="J23" s="79" t="s">
        <v>3484</v>
      </c>
      <c r="K23" s="79" t="s">
        <v>3449</v>
      </c>
      <c r="L23" s="144" t="s">
        <v>3413</v>
      </c>
      <c r="M23" s="144" t="s">
        <v>3376</v>
      </c>
      <c r="N23" s="144" t="s">
        <v>3338</v>
      </c>
      <c r="O23" s="144" t="s">
        <v>3300</v>
      </c>
      <c r="P23" s="144" t="s">
        <v>3261</v>
      </c>
      <c r="Q23" s="144" t="s">
        <v>3222</v>
      </c>
      <c r="R23" s="144" t="s">
        <v>3183</v>
      </c>
      <c r="S23" s="144" t="s">
        <v>3144</v>
      </c>
      <c r="T23" s="144" t="s">
        <v>3105</v>
      </c>
      <c r="U23" s="144" t="s">
        <v>3066</v>
      </c>
      <c r="V23" s="144" t="s">
        <v>3027</v>
      </c>
      <c r="W23" s="144" t="s">
        <v>2988</v>
      </c>
      <c r="X23" s="144" t="s">
        <v>2949</v>
      </c>
      <c r="Y23" s="144" t="s">
        <v>2910</v>
      </c>
      <c r="Z23" s="144" t="s">
        <v>2871</v>
      </c>
      <c r="AA23" s="144" t="s">
        <v>2832</v>
      </c>
      <c r="AB23" s="144" t="s">
        <v>2793</v>
      </c>
      <c r="AC23" s="144" t="s">
        <v>2754</v>
      </c>
      <c r="AD23" s="144" t="s">
        <v>2715</v>
      </c>
      <c r="AE23" s="144" t="s">
        <v>2676</v>
      </c>
      <c r="AF23" s="144" t="s">
        <v>2637</v>
      </c>
      <c r="AG23" s="144" t="s">
        <v>2598</v>
      </c>
      <c r="AH23" s="144" t="s">
        <v>2559</v>
      </c>
      <c r="AI23" s="144" t="s">
        <v>2520</v>
      </c>
      <c r="AJ23" s="144" t="s">
        <v>2482</v>
      </c>
      <c r="AK23" s="144" t="s">
        <v>2444</v>
      </c>
      <c r="AL23" s="79" t="s">
        <v>2407</v>
      </c>
      <c r="AM23" s="79" t="s">
        <v>2370</v>
      </c>
      <c r="AN23" s="79" t="s">
        <v>2334</v>
      </c>
      <c r="AO23" s="79" t="s">
        <v>2298</v>
      </c>
      <c r="AP23" s="79" t="s">
        <v>2263</v>
      </c>
      <c r="AQ23" s="79" t="s">
        <v>2229</v>
      </c>
      <c r="AR23" s="79" t="s">
        <v>2197</v>
      </c>
      <c r="AS23" s="79" t="s">
        <v>2166</v>
      </c>
      <c r="AT23" s="144" t="s">
        <v>4800</v>
      </c>
      <c r="AU23" s="79" t="s">
        <v>4801</v>
      </c>
      <c r="AV23" s="79" t="s">
        <v>4802</v>
      </c>
      <c r="AW23" s="79" t="s">
        <v>4803</v>
      </c>
      <c r="AX23" s="79" t="s">
        <v>4804</v>
      </c>
      <c r="AY23" s="79" t="s">
        <v>4805</v>
      </c>
      <c r="AZ23" s="79" t="s">
        <v>4806</v>
      </c>
      <c r="BA23" s="79" t="s">
        <v>4807</v>
      </c>
      <c r="BB23" s="79" t="s">
        <v>4808</v>
      </c>
      <c r="BC23" s="79" t="s">
        <v>4809</v>
      </c>
      <c r="BD23" s="79" t="s">
        <v>4810</v>
      </c>
      <c r="BE23" s="79" t="s">
        <v>4811</v>
      </c>
      <c r="BF23" s="144" t="s">
        <v>4812</v>
      </c>
      <c r="BG23" s="144" t="s">
        <v>4813</v>
      </c>
      <c r="BH23" s="144" t="s">
        <v>4814</v>
      </c>
      <c r="BI23" s="144" t="s">
        <v>4815</v>
      </c>
      <c r="BJ23" s="144" t="s">
        <v>4816</v>
      </c>
      <c r="BK23" s="144" t="s">
        <v>4817</v>
      </c>
      <c r="BL23" s="144" t="s">
        <v>4818</v>
      </c>
      <c r="BM23" s="144" t="s">
        <v>4819</v>
      </c>
      <c r="BN23" s="144" t="s">
        <v>4820</v>
      </c>
      <c r="BO23" s="144" t="s">
        <v>4821</v>
      </c>
      <c r="BP23" s="144" t="s">
        <v>4822</v>
      </c>
      <c r="BQ23" s="144" t="s">
        <v>4823</v>
      </c>
      <c r="BR23" s="144" t="s">
        <v>4824</v>
      </c>
      <c r="BS23" s="144" t="s">
        <v>4825</v>
      </c>
      <c r="BT23" s="144" t="s">
        <v>4826</v>
      </c>
      <c r="BU23" s="144" t="s">
        <v>4827</v>
      </c>
      <c r="BV23" s="144" t="s">
        <v>4828</v>
      </c>
      <c r="BW23" s="144" t="s">
        <v>4829</v>
      </c>
      <c r="BX23" s="144" t="s">
        <v>4830</v>
      </c>
      <c r="BY23" s="144" t="s">
        <v>4831</v>
      </c>
      <c r="BZ23" s="144" t="s">
        <v>4832</v>
      </c>
      <c r="CA23" s="144" t="s">
        <v>4833</v>
      </c>
      <c r="CB23" s="144" t="s">
        <v>4834</v>
      </c>
      <c r="CC23" s="144" t="s">
        <v>4835</v>
      </c>
      <c r="CD23" s="144" t="s">
        <v>4836</v>
      </c>
      <c r="CE23" s="79" t="s">
        <v>4837</v>
      </c>
      <c r="CF23" s="79" t="s">
        <v>4838</v>
      </c>
      <c r="CG23" s="79" t="s">
        <v>4839</v>
      </c>
      <c r="CH23" s="144" t="s">
        <v>4840</v>
      </c>
      <c r="CI23" s="144" t="s">
        <v>4841</v>
      </c>
      <c r="CJ23" s="144" t="s">
        <v>4842</v>
      </c>
      <c r="CK23" s="144" t="s">
        <v>4843</v>
      </c>
      <c r="CL23" s="144" t="s">
        <v>4844</v>
      </c>
      <c r="CM23" s="144" t="s">
        <v>4845</v>
      </c>
      <c r="CN23" s="144" t="s">
        <v>4846</v>
      </c>
      <c r="CO23" s="144" t="s">
        <v>4847</v>
      </c>
      <c r="CP23" s="144" t="s">
        <v>4848</v>
      </c>
      <c r="CQ23" s="144" t="s">
        <v>4849</v>
      </c>
      <c r="CR23" s="144" t="s">
        <v>4850</v>
      </c>
      <c r="CS23" s="144" t="s">
        <v>4851</v>
      </c>
      <c r="CT23" s="144" t="s">
        <v>4852</v>
      </c>
      <c r="CU23" s="144" t="s">
        <v>4853</v>
      </c>
      <c r="CV23" s="144" t="s">
        <v>4854</v>
      </c>
      <c r="CW23" s="144" t="s">
        <v>4855</v>
      </c>
      <c r="CX23" s="79" t="s">
        <v>4856</v>
      </c>
      <c r="CY23" s="79" t="s">
        <v>4857</v>
      </c>
      <c r="CZ23" s="79" t="s">
        <v>4858</v>
      </c>
      <c r="DA23" s="79" t="s">
        <v>4859</v>
      </c>
      <c r="DB23" s="79" t="s">
        <v>4860</v>
      </c>
      <c r="DC23" s="79" t="s">
        <v>4861</v>
      </c>
      <c r="DD23" s="79" t="s">
        <v>4862</v>
      </c>
      <c r="DE23" s="79" t="s">
        <v>4863</v>
      </c>
      <c r="DF23" s="79" t="s">
        <v>4864</v>
      </c>
      <c r="DG23" s="144" t="s">
        <v>4865</v>
      </c>
      <c r="DH23" s="144" t="s">
        <v>4866</v>
      </c>
      <c r="DI23" s="144" t="s">
        <v>4867</v>
      </c>
      <c r="DJ23" s="144" t="s">
        <v>4868</v>
      </c>
      <c r="DK23" s="144" t="s">
        <v>4869</v>
      </c>
      <c r="DL23" s="144" t="s">
        <v>4870</v>
      </c>
      <c r="DM23" s="144" t="s">
        <v>4871</v>
      </c>
      <c r="DN23" s="144" t="s">
        <v>4872</v>
      </c>
      <c r="DO23" s="144" t="s">
        <v>4873</v>
      </c>
      <c r="DP23" s="144" t="s">
        <v>4874</v>
      </c>
      <c r="DQ23" s="79" t="s">
        <v>4875</v>
      </c>
      <c r="DR23" s="144" t="s">
        <v>4876</v>
      </c>
      <c r="DS23" s="144" t="s">
        <v>4877</v>
      </c>
      <c r="DT23" s="144" t="s">
        <v>4878</v>
      </c>
      <c r="DU23" s="144" t="s">
        <v>4879</v>
      </c>
      <c r="DV23" s="144" t="s">
        <v>4880</v>
      </c>
      <c r="DW23" s="144" t="s">
        <v>4881</v>
      </c>
      <c r="DX23" s="144" t="s">
        <v>4882</v>
      </c>
      <c r="DY23" s="144" t="s">
        <v>4883</v>
      </c>
      <c r="DZ23" s="144" t="s">
        <v>4884</v>
      </c>
      <c r="EA23" s="144" t="s">
        <v>4885</v>
      </c>
      <c r="EB23" s="144" t="s">
        <v>4886</v>
      </c>
      <c r="EC23" s="144" t="s">
        <v>4887</v>
      </c>
      <c r="ED23" s="79" t="s">
        <v>4888</v>
      </c>
      <c r="EE23" s="79" t="s">
        <v>4889</v>
      </c>
      <c r="EF23" s="79" t="s">
        <v>4890</v>
      </c>
      <c r="EG23" s="79" t="s">
        <v>4891</v>
      </c>
      <c r="EH23" s="79" t="s">
        <v>4892</v>
      </c>
    </row>
    <row r="24" spans="3:138" ht="20.100000000000001" customHeight="1" x14ac:dyDescent="0.25">
      <c r="C24" s="76">
        <v>9</v>
      </c>
      <c r="G24" s="79" t="s">
        <v>3575</v>
      </c>
      <c r="H24" s="79" t="s">
        <v>3548</v>
      </c>
      <c r="I24" s="79" t="s">
        <v>3516</v>
      </c>
      <c r="J24" s="79" t="s">
        <v>3483</v>
      </c>
      <c r="K24" s="79" t="s">
        <v>3448</v>
      </c>
      <c r="L24" s="144" t="s">
        <v>3412</v>
      </c>
      <c r="M24" s="144" t="s">
        <v>3375</v>
      </c>
      <c r="N24" s="144" t="s">
        <v>3337</v>
      </c>
      <c r="O24" s="144" t="s">
        <v>3299</v>
      </c>
      <c r="P24" s="144" t="s">
        <v>3260</v>
      </c>
      <c r="Q24" s="144" t="s">
        <v>3221</v>
      </c>
      <c r="R24" s="144" t="s">
        <v>3182</v>
      </c>
      <c r="S24" s="144" t="s">
        <v>3143</v>
      </c>
      <c r="T24" s="144" t="s">
        <v>3104</v>
      </c>
      <c r="U24" s="144" t="s">
        <v>3065</v>
      </c>
      <c r="V24" s="144" t="s">
        <v>3026</v>
      </c>
      <c r="W24" s="144" t="s">
        <v>2987</v>
      </c>
      <c r="X24" s="144" t="s">
        <v>2948</v>
      </c>
      <c r="Y24" s="144" t="s">
        <v>2909</v>
      </c>
      <c r="Z24" s="144" t="s">
        <v>2870</v>
      </c>
      <c r="AA24" s="144" t="s">
        <v>2831</v>
      </c>
      <c r="AB24" s="144" t="s">
        <v>2792</v>
      </c>
      <c r="AC24" s="144" t="s">
        <v>2753</v>
      </c>
      <c r="AD24" s="144" t="s">
        <v>2714</v>
      </c>
      <c r="AE24" s="144" t="s">
        <v>2675</v>
      </c>
      <c r="AF24" s="144" t="s">
        <v>2636</v>
      </c>
      <c r="AG24" s="144" t="s">
        <v>2597</v>
      </c>
      <c r="AH24" s="144" t="s">
        <v>2558</v>
      </c>
      <c r="AI24" s="144" t="s">
        <v>2519</v>
      </c>
      <c r="AJ24" s="144" t="s">
        <v>2481</v>
      </c>
      <c r="AK24" s="144" t="s">
        <v>2443</v>
      </c>
      <c r="AL24" s="79" t="s">
        <v>2406</v>
      </c>
      <c r="AM24" s="79" t="s">
        <v>2369</v>
      </c>
      <c r="AN24" s="79" t="s">
        <v>2333</v>
      </c>
      <c r="AO24" s="79" t="s">
        <v>2297</v>
      </c>
      <c r="AP24" s="79" t="s">
        <v>2262</v>
      </c>
      <c r="AQ24" s="79" t="s">
        <v>2228</v>
      </c>
      <c r="AR24" s="79" t="s">
        <v>2196</v>
      </c>
      <c r="AS24" s="79" t="s">
        <v>2165</v>
      </c>
      <c r="AT24" s="144" t="s">
        <v>4893</v>
      </c>
      <c r="AU24" s="79" t="s">
        <v>4894</v>
      </c>
      <c r="AV24" s="79" t="s">
        <v>4895</v>
      </c>
      <c r="AW24" s="79" t="s">
        <v>4896</v>
      </c>
      <c r="AX24" s="79" t="s">
        <v>4897</v>
      </c>
      <c r="AY24" s="79" t="s">
        <v>4898</v>
      </c>
      <c r="AZ24" s="79" t="s">
        <v>4899</v>
      </c>
      <c r="BA24" s="79" t="s">
        <v>4900</v>
      </c>
      <c r="BB24" s="79" t="s">
        <v>4901</v>
      </c>
      <c r="BC24" s="79" t="s">
        <v>4902</v>
      </c>
      <c r="BD24" s="79" t="s">
        <v>4903</v>
      </c>
      <c r="BE24" s="79" t="s">
        <v>4904</v>
      </c>
      <c r="BF24" s="144" t="s">
        <v>4905</v>
      </c>
      <c r="BG24" s="144" t="s">
        <v>4906</v>
      </c>
      <c r="BH24" s="144" t="s">
        <v>4907</v>
      </c>
      <c r="BI24" s="144" t="s">
        <v>4908</v>
      </c>
      <c r="BJ24" s="144" t="s">
        <v>4909</v>
      </c>
      <c r="BK24" s="144" t="s">
        <v>4910</v>
      </c>
      <c r="BL24" s="144" t="s">
        <v>4911</v>
      </c>
      <c r="BM24" s="144" t="s">
        <v>4912</v>
      </c>
      <c r="BN24" s="144" t="s">
        <v>4913</v>
      </c>
      <c r="BO24" s="144" t="s">
        <v>4914</v>
      </c>
      <c r="BP24" s="144" t="s">
        <v>4915</v>
      </c>
      <c r="BQ24" s="144" t="s">
        <v>4916</v>
      </c>
      <c r="BR24" s="144" t="s">
        <v>4917</v>
      </c>
      <c r="BS24" s="144" t="s">
        <v>4918</v>
      </c>
      <c r="BT24" s="144" t="s">
        <v>4919</v>
      </c>
      <c r="BU24" s="144" t="s">
        <v>4920</v>
      </c>
      <c r="BV24" s="144" t="s">
        <v>4921</v>
      </c>
      <c r="BW24" s="144" t="s">
        <v>4922</v>
      </c>
      <c r="BX24" s="144" t="s">
        <v>4923</v>
      </c>
      <c r="BY24" s="144" t="s">
        <v>4924</v>
      </c>
      <c r="BZ24" s="144" t="s">
        <v>4925</v>
      </c>
      <c r="CA24" s="144" t="s">
        <v>4926</v>
      </c>
      <c r="CB24" s="144" t="s">
        <v>4927</v>
      </c>
      <c r="CC24" s="144" t="s">
        <v>4928</v>
      </c>
      <c r="CD24" s="144" t="s">
        <v>4929</v>
      </c>
      <c r="CE24" s="79" t="s">
        <v>4930</v>
      </c>
      <c r="CF24" s="79" t="s">
        <v>4931</v>
      </c>
      <c r="CG24" s="79" t="s">
        <v>4932</v>
      </c>
      <c r="CH24" s="144" t="s">
        <v>4933</v>
      </c>
      <c r="CI24" s="144" t="s">
        <v>4934</v>
      </c>
      <c r="CJ24" s="144" t="s">
        <v>4935</v>
      </c>
      <c r="CK24" s="144" t="s">
        <v>4936</v>
      </c>
      <c r="CL24" s="144" t="s">
        <v>4937</v>
      </c>
      <c r="CM24" s="144" t="s">
        <v>4938</v>
      </c>
      <c r="CN24" s="144" t="s">
        <v>4939</v>
      </c>
      <c r="CO24" s="144" t="s">
        <v>4940</v>
      </c>
      <c r="CP24" s="144" t="s">
        <v>4941</v>
      </c>
      <c r="CQ24" s="144" t="s">
        <v>4942</v>
      </c>
      <c r="CR24" s="144" t="s">
        <v>4943</v>
      </c>
      <c r="CS24" s="144" t="s">
        <v>4944</v>
      </c>
      <c r="CT24" s="144" t="s">
        <v>4945</v>
      </c>
      <c r="CU24" s="144" t="s">
        <v>4946</v>
      </c>
      <c r="CV24" s="144" t="s">
        <v>4947</v>
      </c>
      <c r="CW24" s="144" t="s">
        <v>4948</v>
      </c>
      <c r="CX24" s="79" t="s">
        <v>4949</v>
      </c>
      <c r="CY24" s="79" t="s">
        <v>4950</v>
      </c>
      <c r="CZ24" s="79" t="s">
        <v>4951</v>
      </c>
      <c r="DA24" s="79" t="s">
        <v>4952</v>
      </c>
      <c r="DB24" s="79" t="s">
        <v>4953</v>
      </c>
      <c r="DC24" s="79" t="s">
        <v>4954</v>
      </c>
      <c r="DD24" s="79" t="s">
        <v>4955</v>
      </c>
      <c r="DE24" s="79" t="s">
        <v>4956</v>
      </c>
      <c r="DF24" s="79" t="s">
        <v>4957</v>
      </c>
      <c r="DG24" s="144" t="s">
        <v>4958</v>
      </c>
      <c r="DH24" s="144" t="s">
        <v>4959</v>
      </c>
      <c r="DI24" s="144" t="s">
        <v>4960</v>
      </c>
      <c r="DJ24" s="144" t="s">
        <v>4961</v>
      </c>
      <c r="DK24" s="144" t="s">
        <v>4962</v>
      </c>
      <c r="DL24" s="144" t="s">
        <v>4963</v>
      </c>
      <c r="DM24" s="144" t="s">
        <v>4964</v>
      </c>
      <c r="DN24" s="144" t="s">
        <v>4965</v>
      </c>
      <c r="DO24" s="144" t="s">
        <v>4966</v>
      </c>
      <c r="DP24" s="144" t="s">
        <v>4967</v>
      </c>
      <c r="DQ24" s="79" t="s">
        <v>4968</v>
      </c>
      <c r="DR24" s="144" t="s">
        <v>4969</v>
      </c>
      <c r="DS24" s="144" t="s">
        <v>4970</v>
      </c>
      <c r="DT24" s="144" t="s">
        <v>4971</v>
      </c>
      <c r="DU24" s="144" t="s">
        <v>4972</v>
      </c>
      <c r="DV24" s="144" t="s">
        <v>4973</v>
      </c>
      <c r="DW24" s="144" t="s">
        <v>4974</v>
      </c>
      <c r="DX24" s="144" t="s">
        <v>4975</v>
      </c>
      <c r="DY24" s="144" t="s">
        <v>4976</v>
      </c>
      <c r="DZ24" s="144" t="s">
        <v>4977</v>
      </c>
      <c r="EA24" s="144" t="s">
        <v>4978</v>
      </c>
      <c r="EB24" s="144" t="s">
        <v>4979</v>
      </c>
      <c r="EC24" s="144" t="s">
        <v>4980</v>
      </c>
      <c r="ED24" s="79" t="s">
        <v>4981</v>
      </c>
      <c r="EE24" s="79" t="s">
        <v>4982</v>
      </c>
      <c r="EF24" s="79" t="s">
        <v>4983</v>
      </c>
      <c r="EG24" s="79" t="s">
        <v>4984</v>
      </c>
      <c r="EH24" s="79" t="s">
        <v>4985</v>
      </c>
    </row>
    <row r="25" spans="3:138" ht="20.100000000000001" customHeight="1" x14ac:dyDescent="0.25">
      <c r="C25" s="76">
        <v>8</v>
      </c>
      <c r="G25" s="79" t="s">
        <v>3574</v>
      </c>
      <c r="H25" s="79" t="s">
        <v>3547</v>
      </c>
      <c r="I25" s="79" t="s">
        <v>3515</v>
      </c>
      <c r="J25" s="79" t="s">
        <v>3482</v>
      </c>
      <c r="K25" s="79" t="s">
        <v>3447</v>
      </c>
      <c r="L25" s="144" t="s">
        <v>3411</v>
      </c>
      <c r="M25" s="144" t="s">
        <v>3374</v>
      </c>
      <c r="N25" s="144" t="s">
        <v>3336</v>
      </c>
      <c r="O25" s="144" t="s">
        <v>3298</v>
      </c>
      <c r="P25" s="144" t="s">
        <v>3259</v>
      </c>
      <c r="Q25" s="144" t="s">
        <v>3220</v>
      </c>
      <c r="R25" s="144" t="s">
        <v>3181</v>
      </c>
      <c r="S25" s="144" t="s">
        <v>3142</v>
      </c>
      <c r="T25" s="144" t="s">
        <v>3103</v>
      </c>
      <c r="U25" s="144" t="s">
        <v>3064</v>
      </c>
      <c r="V25" s="144" t="s">
        <v>3025</v>
      </c>
      <c r="W25" s="144" t="s">
        <v>2986</v>
      </c>
      <c r="X25" s="144" t="s">
        <v>2947</v>
      </c>
      <c r="Y25" s="144" t="s">
        <v>2908</v>
      </c>
      <c r="Z25" s="144" t="s">
        <v>2869</v>
      </c>
      <c r="AA25" s="144" t="s">
        <v>2830</v>
      </c>
      <c r="AB25" s="144" t="s">
        <v>2791</v>
      </c>
      <c r="AC25" s="144" t="s">
        <v>2752</v>
      </c>
      <c r="AD25" s="144" t="s">
        <v>2713</v>
      </c>
      <c r="AE25" s="144" t="s">
        <v>2674</v>
      </c>
      <c r="AF25" s="144" t="s">
        <v>2635</v>
      </c>
      <c r="AG25" s="144" t="s">
        <v>2596</v>
      </c>
      <c r="AH25" s="144" t="s">
        <v>2557</v>
      </c>
      <c r="AI25" s="144" t="s">
        <v>2518</v>
      </c>
      <c r="AJ25" s="144" t="s">
        <v>2480</v>
      </c>
      <c r="AK25" s="144" t="s">
        <v>2442</v>
      </c>
      <c r="AL25" s="79" t="s">
        <v>2405</v>
      </c>
      <c r="AM25" s="79" t="s">
        <v>2368</v>
      </c>
      <c r="AN25" s="79" t="s">
        <v>2332</v>
      </c>
      <c r="AO25" s="79" t="s">
        <v>2296</v>
      </c>
      <c r="AP25" s="79" t="s">
        <v>2261</v>
      </c>
      <c r="AQ25" s="79" t="s">
        <v>2227</v>
      </c>
      <c r="AR25" s="79" t="s">
        <v>2195</v>
      </c>
      <c r="AS25" s="79" t="s">
        <v>2164</v>
      </c>
      <c r="AT25" s="144" t="s">
        <v>4986</v>
      </c>
      <c r="AU25" s="79" t="s">
        <v>4987</v>
      </c>
      <c r="AV25" s="79" t="s">
        <v>4988</v>
      </c>
      <c r="AW25" s="79" t="s">
        <v>4989</v>
      </c>
      <c r="AX25" s="79" t="s">
        <v>4990</v>
      </c>
      <c r="AY25" s="79" t="s">
        <v>4991</v>
      </c>
      <c r="AZ25" s="79" t="s">
        <v>4992</v>
      </c>
      <c r="BA25" s="79" t="s">
        <v>4993</v>
      </c>
      <c r="BB25" s="79" t="s">
        <v>4994</v>
      </c>
      <c r="BC25" s="79" t="s">
        <v>4995</v>
      </c>
      <c r="BD25" s="79" t="s">
        <v>4996</v>
      </c>
      <c r="BE25" s="79" t="s">
        <v>4997</v>
      </c>
      <c r="BF25" s="144" t="s">
        <v>4998</v>
      </c>
      <c r="BG25" s="144" t="s">
        <v>4999</v>
      </c>
      <c r="BH25" s="144" t="s">
        <v>5000</v>
      </c>
      <c r="BI25" s="144" t="s">
        <v>5001</v>
      </c>
      <c r="BJ25" s="144" t="s">
        <v>5002</v>
      </c>
      <c r="BK25" s="144" t="s">
        <v>5003</v>
      </c>
      <c r="BL25" s="144" t="s">
        <v>5004</v>
      </c>
      <c r="BM25" s="144" t="s">
        <v>5005</v>
      </c>
      <c r="BN25" s="144" t="s">
        <v>5006</v>
      </c>
      <c r="BO25" s="144" t="s">
        <v>5007</v>
      </c>
      <c r="BP25" s="144" t="s">
        <v>5008</v>
      </c>
      <c r="BQ25" s="144" t="s">
        <v>5009</v>
      </c>
      <c r="BR25" s="144" t="s">
        <v>5010</v>
      </c>
      <c r="BS25" s="144" t="s">
        <v>5011</v>
      </c>
      <c r="BT25" s="144" t="s">
        <v>5012</v>
      </c>
      <c r="BU25" s="144" t="s">
        <v>5013</v>
      </c>
      <c r="BV25" s="144" t="s">
        <v>5014</v>
      </c>
      <c r="BW25" s="144" t="s">
        <v>5015</v>
      </c>
      <c r="BX25" s="144" t="s">
        <v>5016</v>
      </c>
      <c r="BY25" s="144" t="s">
        <v>5017</v>
      </c>
      <c r="BZ25" s="144" t="s">
        <v>5018</v>
      </c>
      <c r="CA25" s="144" t="s">
        <v>5019</v>
      </c>
      <c r="CB25" s="144" t="s">
        <v>5020</v>
      </c>
      <c r="CC25" s="144" t="s">
        <v>5021</v>
      </c>
      <c r="CD25" s="144" t="s">
        <v>5022</v>
      </c>
      <c r="CE25" s="79" t="s">
        <v>5023</v>
      </c>
      <c r="CF25" s="79" t="s">
        <v>5024</v>
      </c>
      <c r="CG25" s="79" t="s">
        <v>5025</v>
      </c>
      <c r="CH25" s="144" t="s">
        <v>5026</v>
      </c>
      <c r="CI25" s="144" t="s">
        <v>5027</v>
      </c>
      <c r="CJ25" s="144" t="s">
        <v>5028</v>
      </c>
      <c r="CK25" s="144" t="s">
        <v>5029</v>
      </c>
      <c r="CL25" s="144" t="s">
        <v>5030</v>
      </c>
      <c r="CM25" s="144" t="s">
        <v>5031</v>
      </c>
      <c r="CN25" s="144" t="s">
        <v>5032</v>
      </c>
      <c r="CO25" s="144" t="s">
        <v>5033</v>
      </c>
      <c r="CP25" s="144" t="s">
        <v>5034</v>
      </c>
      <c r="CQ25" s="144" t="s">
        <v>5035</v>
      </c>
      <c r="CR25" s="144" t="s">
        <v>5036</v>
      </c>
      <c r="CS25" s="144" t="s">
        <v>5037</v>
      </c>
      <c r="CT25" s="144" t="s">
        <v>5038</v>
      </c>
      <c r="CU25" s="144" t="s">
        <v>5039</v>
      </c>
      <c r="CV25" s="144" t="s">
        <v>5040</v>
      </c>
      <c r="CW25" s="144" t="s">
        <v>5041</v>
      </c>
      <c r="CX25" s="79" t="s">
        <v>5042</v>
      </c>
      <c r="CY25" s="79" t="s">
        <v>5043</v>
      </c>
      <c r="CZ25" s="79" t="s">
        <v>5044</v>
      </c>
      <c r="DA25" s="79" t="s">
        <v>5045</v>
      </c>
      <c r="DB25" s="79" t="s">
        <v>5046</v>
      </c>
      <c r="DC25" s="79" t="s">
        <v>5047</v>
      </c>
      <c r="DD25" s="79" t="s">
        <v>5048</v>
      </c>
      <c r="DE25" s="79" t="s">
        <v>5049</v>
      </c>
      <c r="DF25" s="79" t="s">
        <v>5050</v>
      </c>
      <c r="DG25" s="144" t="s">
        <v>5051</v>
      </c>
      <c r="DH25" s="144" t="s">
        <v>5052</v>
      </c>
      <c r="DI25" s="144" t="s">
        <v>5053</v>
      </c>
      <c r="DJ25" s="144" t="s">
        <v>5054</v>
      </c>
      <c r="DK25" s="144" t="s">
        <v>5055</v>
      </c>
      <c r="DL25" s="144" t="s">
        <v>5056</v>
      </c>
      <c r="DM25" s="144" t="s">
        <v>5057</v>
      </c>
      <c r="DN25" s="144" t="s">
        <v>5058</v>
      </c>
      <c r="DO25" s="144" t="s">
        <v>5059</v>
      </c>
      <c r="DP25" s="144" t="s">
        <v>5060</v>
      </c>
      <c r="DQ25" s="79" t="s">
        <v>5061</v>
      </c>
      <c r="DR25" s="144" t="s">
        <v>5062</v>
      </c>
      <c r="DS25" s="144" t="s">
        <v>5063</v>
      </c>
      <c r="DT25" s="144" t="s">
        <v>5064</v>
      </c>
      <c r="DU25" s="144" t="s">
        <v>5065</v>
      </c>
      <c r="DV25" s="144" t="s">
        <v>5066</v>
      </c>
      <c r="DW25" s="144" t="s">
        <v>5067</v>
      </c>
      <c r="DX25" s="144" t="s">
        <v>5068</v>
      </c>
      <c r="DY25" s="144" t="s">
        <v>5069</v>
      </c>
      <c r="DZ25" s="144" t="s">
        <v>5070</v>
      </c>
      <c r="EA25" s="144" t="s">
        <v>5071</v>
      </c>
      <c r="EB25" s="144" t="s">
        <v>5072</v>
      </c>
      <c r="EC25" s="144" t="s">
        <v>5073</v>
      </c>
      <c r="ED25" s="79" t="s">
        <v>5074</v>
      </c>
      <c r="EE25" s="79" t="s">
        <v>5075</v>
      </c>
      <c r="EF25" s="79" t="s">
        <v>5076</v>
      </c>
      <c r="EG25" s="79" t="s">
        <v>5077</v>
      </c>
      <c r="EH25" s="79" t="s">
        <v>5078</v>
      </c>
    </row>
    <row r="26" spans="3:138" ht="20.100000000000001" customHeight="1" x14ac:dyDescent="0.25">
      <c r="C26" s="76">
        <v>7</v>
      </c>
      <c r="G26" s="79" t="s">
        <v>3573</v>
      </c>
      <c r="H26" s="79" t="s">
        <v>3546</v>
      </c>
      <c r="I26" s="79" t="s">
        <v>3514</v>
      </c>
      <c r="J26" s="79" t="s">
        <v>3481</v>
      </c>
      <c r="K26" s="79" t="s">
        <v>3446</v>
      </c>
      <c r="L26" s="144" t="s">
        <v>3410</v>
      </c>
      <c r="M26" s="144" t="s">
        <v>3373</v>
      </c>
      <c r="N26" s="144" t="s">
        <v>3335</v>
      </c>
      <c r="O26" s="144" t="s">
        <v>3297</v>
      </c>
      <c r="P26" s="144" t="s">
        <v>3258</v>
      </c>
      <c r="Q26" s="144" t="s">
        <v>3219</v>
      </c>
      <c r="R26" s="144" t="s">
        <v>3180</v>
      </c>
      <c r="S26" s="144" t="s">
        <v>3141</v>
      </c>
      <c r="T26" s="144" t="s">
        <v>3102</v>
      </c>
      <c r="U26" s="144" t="s">
        <v>3063</v>
      </c>
      <c r="V26" s="144" t="s">
        <v>3024</v>
      </c>
      <c r="W26" s="144" t="s">
        <v>2985</v>
      </c>
      <c r="X26" s="144" t="s">
        <v>2946</v>
      </c>
      <c r="Y26" s="144" t="s">
        <v>2907</v>
      </c>
      <c r="Z26" s="144" t="s">
        <v>2868</v>
      </c>
      <c r="AA26" s="144" t="s">
        <v>2829</v>
      </c>
      <c r="AB26" s="144" t="s">
        <v>2790</v>
      </c>
      <c r="AC26" s="144" t="s">
        <v>2751</v>
      </c>
      <c r="AD26" s="144" t="s">
        <v>2712</v>
      </c>
      <c r="AE26" s="144" t="s">
        <v>2673</v>
      </c>
      <c r="AF26" s="144" t="s">
        <v>2634</v>
      </c>
      <c r="AG26" s="144" t="s">
        <v>2595</v>
      </c>
      <c r="AH26" s="144" t="s">
        <v>2556</v>
      </c>
      <c r="AI26" s="144" t="s">
        <v>2517</v>
      </c>
      <c r="AJ26" s="144" t="s">
        <v>2479</v>
      </c>
      <c r="AK26" s="144" t="s">
        <v>2441</v>
      </c>
      <c r="AL26" s="79" t="s">
        <v>2404</v>
      </c>
      <c r="AM26" s="79" t="s">
        <v>2367</v>
      </c>
      <c r="AN26" s="79" t="s">
        <v>2331</v>
      </c>
      <c r="AO26" s="79" t="s">
        <v>2295</v>
      </c>
      <c r="AP26" s="79" t="s">
        <v>2260</v>
      </c>
      <c r="AQ26" s="79" t="s">
        <v>2226</v>
      </c>
      <c r="AR26" s="79" t="s">
        <v>2194</v>
      </c>
      <c r="AS26" s="79" t="s">
        <v>2163</v>
      </c>
      <c r="AT26" s="144" t="s">
        <v>5079</v>
      </c>
      <c r="AU26" s="79" t="s">
        <v>5080</v>
      </c>
      <c r="AV26" s="79" t="s">
        <v>5081</v>
      </c>
      <c r="AW26" s="79" t="s">
        <v>5082</v>
      </c>
      <c r="AX26" s="79" t="s">
        <v>5083</v>
      </c>
      <c r="AY26" s="79" t="s">
        <v>5084</v>
      </c>
      <c r="AZ26" s="79" t="s">
        <v>5085</v>
      </c>
      <c r="BA26" s="79" t="s">
        <v>5086</v>
      </c>
      <c r="BB26" s="79" t="s">
        <v>5087</v>
      </c>
      <c r="BC26" s="79" t="s">
        <v>5088</v>
      </c>
      <c r="BD26" s="79" t="s">
        <v>5089</v>
      </c>
      <c r="BE26" s="79" t="s">
        <v>5090</v>
      </c>
      <c r="BF26" s="144" t="s">
        <v>5091</v>
      </c>
      <c r="BG26" s="144" t="s">
        <v>5092</v>
      </c>
      <c r="BH26" s="144" t="s">
        <v>5093</v>
      </c>
      <c r="BI26" s="144" t="s">
        <v>5094</v>
      </c>
      <c r="BJ26" s="144" t="s">
        <v>5095</v>
      </c>
      <c r="BK26" s="144" t="s">
        <v>5096</v>
      </c>
      <c r="BL26" s="144" t="s">
        <v>5097</v>
      </c>
      <c r="BM26" s="144" t="s">
        <v>5098</v>
      </c>
      <c r="BN26" s="144" t="s">
        <v>5099</v>
      </c>
      <c r="BO26" s="144" t="s">
        <v>5100</v>
      </c>
      <c r="BP26" s="144" t="s">
        <v>5101</v>
      </c>
      <c r="BQ26" s="144" t="s">
        <v>5102</v>
      </c>
      <c r="BR26" s="144" t="s">
        <v>5103</v>
      </c>
      <c r="BS26" s="144" t="s">
        <v>5104</v>
      </c>
      <c r="BT26" s="144" t="s">
        <v>5105</v>
      </c>
      <c r="BU26" s="144" t="s">
        <v>5106</v>
      </c>
      <c r="BV26" s="144" t="s">
        <v>5107</v>
      </c>
      <c r="BW26" s="144" t="s">
        <v>5108</v>
      </c>
      <c r="BX26" s="144" t="s">
        <v>5109</v>
      </c>
      <c r="BY26" s="144" t="s">
        <v>5110</v>
      </c>
      <c r="BZ26" s="144" t="s">
        <v>5111</v>
      </c>
      <c r="CA26" s="144" t="s">
        <v>5112</v>
      </c>
      <c r="CB26" s="144" t="s">
        <v>5113</v>
      </c>
      <c r="CC26" s="144" t="s">
        <v>5114</v>
      </c>
      <c r="CD26" s="144" t="s">
        <v>5115</v>
      </c>
      <c r="CE26" s="79" t="s">
        <v>5116</v>
      </c>
      <c r="CF26" s="79" t="s">
        <v>5117</v>
      </c>
      <c r="CG26" s="79" t="s">
        <v>5118</v>
      </c>
      <c r="CH26" s="144" t="s">
        <v>5119</v>
      </c>
      <c r="CI26" s="144" t="s">
        <v>5120</v>
      </c>
      <c r="CJ26" s="144" t="s">
        <v>5121</v>
      </c>
      <c r="CK26" s="144" t="s">
        <v>5122</v>
      </c>
      <c r="CL26" s="144" t="s">
        <v>5123</v>
      </c>
      <c r="CM26" s="144" t="s">
        <v>5124</v>
      </c>
      <c r="CN26" s="144" t="s">
        <v>5125</v>
      </c>
      <c r="CO26" s="144" t="s">
        <v>5126</v>
      </c>
      <c r="CP26" s="144" t="s">
        <v>5127</v>
      </c>
      <c r="CQ26" s="144" t="s">
        <v>5128</v>
      </c>
      <c r="CR26" s="144" t="s">
        <v>5129</v>
      </c>
      <c r="CS26" s="144" t="s">
        <v>5130</v>
      </c>
      <c r="CT26" s="144" t="s">
        <v>5131</v>
      </c>
      <c r="CU26" s="144" t="s">
        <v>5132</v>
      </c>
      <c r="CV26" s="144" t="s">
        <v>5133</v>
      </c>
      <c r="CW26" s="144" t="s">
        <v>5134</v>
      </c>
      <c r="CX26" s="79" t="s">
        <v>5135</v>
      </c>
      <c r="CY26" s="79" t="s">
        <v>5136</v>
      </c>
      <c r="CZ26" s="79" t="s">
        <v>5137</v>
      </c>
      <c r="DA26" s="79" t="s">
        <v>5138</v>
      </c>
      <c r="DB26" s="79" t="s">
        <v>5139</v>
      </c>
      <c r="DC26" s="79" t="s">
        <v>5140</v>
      </c>
      <c r="DD26" s="79" t="s">
        <v>5141</v>
      </c>
      <c r="DE26" s="79" t="s">
        <v>5142</v>
      </c>
      <c r="DF26" s="79" t="s">
        <v>5143</v>
      </c>
      <c r="DG26" s="144" t="s">
        <v>5144</v>
      </c>
      <c r="DH26" s="144" t="s">
        <v>5145</v>
      </c>
      <c r="DI26" s="144" t="s">
        <v>5146</v>
      </c>
      <c r="DJ26" s="144" t="s">
        <v>5147</v>
      </c>
      <c r="DK26" s="144" t="s">
        <v>5148</v>
      </c>
      <c r="DL26" s="144" t="s">
        <v>5149</v>
      </c>
      <c r="DM26" s="144" t="s">
        <v>5150</v>
      </c>
      <c r="DN26" s="144" t="s">
        <v>5151</v>
      </c>
      <c r="DO26" s="144" t="s">
        <v>5152</v>
      </c>
      <c r="DP26" s="144" t="s">
        <v>5153</v>
      </c>
      <c r="DQ26" s="79" t="s">
        <v>5154</v>
      </c>
      <c r="DR26" s="144" t="s">
        <v>5155</v>
      </c>
      <c r="DS26" s="144" t="s">
        <v>5156</v>
      </c>
      <c r="DT26" s="144" t="s">
        <v>5157</v>
      </c>
      <c r="DU26" s="144" t="s">
        <v>5158</v>
      </c>
      <c r="DV26" s="144" t="s">
        <v>5159</v>
      </c>
      <c r="DW26" s="144" t="s">
        <v>5160</v>
      </c>
      <c r="DX26" s="144" t="s">
        <v>5161</v>
      </c>
      <c r="DY26" s="144" t="s">
        <v>5162</v>
      </c>
      <c r="DZ26" s="144" t="s">
        <v>5163</v>
      </c>
      <c r="EA26" s="144" t="s">
        <v>5164</v>
      </c>
      <c r="EB26" s="144" t="s">
        <v>5165</v>
      </c>
      <c r="EC26" s="144" t="s">
        <v>5166</v>
      </c>
      <c r="ED26" s="79" t="s">
        <v>5167</v>
      </c>
      <c r="EE26" s="79" t="s">
        <v>5168</v>
      </c>
      <c r="EF26" s="79" t="s">
        <v>5169</v>
      </c>
      <c r="EG26" s="79" t="s">
        <v>5170</v>
      </c>
      <c r="EH26" s="79" t="s">
        <v>5171</v>
      </c>
    </row>
    <row r="27" spans="3:138" ht="20.100000000000001" customHeight="1" x14ac:dyDescent="0.25">
      <c r="C27" s="76">
        <v>6</v>
      </c>
      <c r="G27" s="79" t="s">
        <v>3572</v>
      </c>
      <c r="H27" s="79" t="s">
        <v>3545</v>
      </c>
      <c r="I27" s="79" t="s">
        <v>3513</v>
      </c>
      <c r="J27" s="79" t="s">
        <v>3480</v>
      </c>
      <c r="K27" s="79" t="s">
        <v>3445</v>
      </c>
      <c r="L27" s="144" t="s">
        <v>3409</v>
      </c>
      <c r="M27" s="144" t="s">
        <v>3372</v>
      </c>
      <c r="N27" s="144" t="s">
        <v>3334</v>
      </c>
      <c r="O27" s="144" t="s">
        <v>3296</v>
      </c>
      <c r="P27" s="144" t="s">
        <v>3257</v>
      </c>
      <c r="Q27" s="144" t="s">
        <v>3218</v>
      </c>
      <c r="R27" s="144" t="s">
        <v>3179</v>
      </c>
      <c r="S27" s="144" t="s">
        <v>3140</v>
      </c>
      <c r="T27" s="144" t="s">
        <v>3101</v>
      </c>
      <c r="U27" s="144" t="s">
        <v>3062</v>
      </c>
      <c r="V27" s="144" t="s">
        <v>3023</v>
      </c>
      <c r="W27" s="144" t="s">
        <v>2984</v>
      </c>
      <c r="X27" s="144" t="s">
        <v>2945</v>
      </c>
      <c r="Y27" s="144" t="s">
        <v>2906</v>
      </c>
      <c r="Z27" s="144" t="s">
        <v>2867</v>
      </c>
      <c r="AA27" s="144" t="s">
        <v>2828</v>
      </c>
      <c r="AB27" s="144" t="s">
        <v>2789</v>
      </c>
      <c r="AC27" s="144" t="s">
        <v>2750</v>
      </c>
      <c r="AD27" s="144" t="s">
        <v>2711</v>
      </c>
      <c r="AE27" s="144" t="s">
        <v>2672</v>
      </c>
      <c r="AF27" s="144" t="s">
        <v>2633</v>
      </c>
      <c r="AG27" s="144" t="s">
        <v>2594</v>
      </c>
      <c r="AH27" s="144" t="s">
        <v>2555</v>
      </c>
      <c r="AI27" s="144" t="s">
        <v>2516</v>
      </c>
      <c r="AJ27" s="144" t="s">
        <v>2478</v>
      </c>
      <c r="AK27" s="144" t="s">
        <v>2440</v>
      </c>
      <c r="AL27" s="79" t="s">
        <v>2403</v>
      </c>
      <c r="AM27" s="79" t="s">
        <v>2366</v>
      </c>
      <c r="AN27" s="79" t="s">
        <v>2330</v>
      </c>
      <c r="AO27" s="79" t="s">
        <v>2294</v>
      </c>
      <c r="AP27" s="79" t="s">
        <v>2259</v>
      </c>
      <c r="AQ27" s="79" t="s">
        <v>2225</v>
      </c>
      <c r="AR27" s="79" t="s">
        <v>2193</v>
      </c>
      <c r="AS27" s="79" t="s">
        <v>2162</v>
      </c>
      <c r="AT27" s="144" t="s">
        <v>5172</v>
      </c>
      <c r="AU27" s="79" t="s">
        <v>5173</v>
      </c>
      <c r="AV27" s="79" t="s">
        <v>5174</v>
      </c>
      <c r="AW27" s="79" t="s">
        <v>5175</v>
      </c>
      <c r="AX27" s="79" t="s">
        <v>5176</v>
      </c>
      <c r="AY27" s="79" t="s">
        <v>5177</v>
      </c>
      <c r="AZ27" s="79" t="s">
        <v>5178</v>
      </c>
      <c r="BA27" s="79" t="s">
        <v>5179</v>
      </c>
      <c r="BB27" s="79" t="s">
        <v>5180</v>
      </c>
      <c r="BC27" s="79" t="s">
        <v>5181</v>
      </c>
      <c r="BD27" s="79" t="s">
        <v>5182</v>
      </c>
      <c r="BE27" s="79" t="s">
        <v>5183</v>
      </c>
      <c r="BF27" s="144" t="s">
        <v>5184</v>
      </c>
      <c r="BG27" s="144" t="s">
        <v>5185</v>
      </c>
      <c r="BH27" s="144" t="s">
        <v>5186</v>
      </c>
      <c r="BI27" s="144" t="s">
        <v>5187</v>
      </c>
      <c r="BJ27" s="144" t="s">
        <v>5188</v>
      </c>
      <c r="BK27" s="144" t="s">
        <v>5189</v>
      </c>
      <c r="BL27" s="144" t="s">
        <v>5190</v>
      </c>
      <c r="BM27" s="144" t="s">
        <v>5191</v>
      </c>
      <c r="BN27" s="144" t="s">
        <v>5192</v>
      </c>
      <c r="BO27" s="144" t="s">
        <v>5193</v>
      </c>
      <c r="BP27" s="144" t="s">
        <v>5194</v>
      </c>
      <c r="BQ27" s="144" t="s">
        <v>5195</v>
      </c>
      <c r="BR27" s="144" t="s">
        <v>5196</v>
      </c>
      <c r="BS27" s="144" t="s">
        <v>5197</v>
      </c>
      <c r="BT27" s="144" t="s">
        <v>5198</v>
      </c>
      <c r="BU27" s="144" t="s">
        <v>5199</v>
      </c>
      <c r="BV27" s="144" t="s">
        <v>5200</v>
      </c>
      <c r="BW27" s="144" t="s">
        <v>5201</v>
      </c>
      <c r="BX27" s="144" t="s">
        <v>5202</v>
      </c>
      <c r="BY27" s="144" t="s">
        <v>5203</v>
      </c>
      <c r="BZ27" s="144" t="s">
        <v>5204</v>
      </c>
      <c r="CA27" s="144" t="s">
        <v>5205</v>
      </c>
      <c r="CB27" s="144" t="s">
        <v>5206</v>
      </c>
      <c r="CC27" s="144" t="s">
        <v>5207</v>
      </c>
      <c r="CD27" s="144" t="s">
        <v>5208</v>
      </c>
      <c r="CE27" s="79" t="s">
        <v>5209</v>
      </c>
      <c r="CF27" s="79" t="s">
        <v>5210</v>
      </c>
      <c r="CG27" s="79" t="s">
        <v>5211</v>
      </c>
      <c r="CH27" s="144" t="s">
        <v>5212</v>
      </c>
      <c r="CI27" s="144" t="s">
        <v>5213</v>
      </c>
      <c r="CJ27" s="144" t="s">
        <v>5214</v>
      </c>
      <c r="CK27" s="144" t="s">
        <v>5215</v>
      </c>
      <c r="CL27" s="144" t="s">
        <v>5216</v>
      </c>
      <c r="CM27" s="144" t="s">
        <v>5217</v>
      </c>
      <c r="CN27" s="144" t="s">
        <v>5218</v>
      </c>
      <c r="CO27" s="144" t="s">
        <v>5219</v>
      </c>
      <c r="CP27" s="144" t="s">
        <v>5220</v>
      </c>
      <c r="CQ27" s="144" t="s">
        <v>5221</v>
      </c>
      <c r="CR27" s="144" t="s">
        <v>5222</v>
      </c>
      <c r="CS27" s="144" t="s">
        <v>5223</v>
      </c>
      <c r="CT27" s="144" t="s">
        <v>5224</v>
      </c>
      <c r="CU27" s="144" t="s">
        <v>5225</v>
      </c>
      <c r="CV27" s="144" t="s">
        <v>5226</v>
      </c>
      <c r="CW27" s="144" t="s">
        <v>5227</v>
      </c>
      <c r="CX27" s="79" t="s">
        <v>5228</v>
      </c>
      <c r="CY27" s="79" t="s">
        <v>5229</v>
      </c>
      <c r="CZ27" s="79" t="s">
        <v>5230</v>
      </c>
      <c r="DA27" s="79" t="s">
        <v>5231</v>
      </c>
      <c r="DB27" s="79" t="s">
        <v>5232</v>
      </c>
      <c r="DC27" s="79" t="s">
        <v>5233</v>
      </c>
      <c r="DD27" s="79" t="s">
        <v>5234</v>
      </c>
      <c r="DE27" s="79" t="s">
        <v>5235</v>
      </c>
      <c r="DF27" s="79" t="s">
        <v>5236</v>
      </c>
      <c r="DG27" s="144" t="s">
        <v>5237</v>
      </c>
      <c r="DH27" s="144" t="s">
        <v>5238</v>
      </c>
      <c r="DI27" s="144" t="s">
        <v>5239</v>
      </c>
      <c r="DJ27" s="144" t="s">
        <v>5240</v>
      </c>
      <c r="DK27" s="144" t="s">
        <v>5241</v>
      </c>
      <c r="DL27" s="144" t="s">
        <v>5242</v>
      </c>
      <c r="DM27" s="144" t="s">
        <v>5243</v>
      </c>
      <c r="DN27" s="144" t="s">
        <v>5244</v>
      </c>
      <c r="DO27" s="144" t="s">
        <v>5245</v>
      </c>
      <c r="DP27" s="144" t="s">
        <v>5246</v>
      </c>
      <c r="DQ27" s="79" t="s">
        <v>5247</v>
      </c>
      <c r="DR27" s="144" t="s">
        <v>5248</v>
      </c>
      <c r="DS27" s="144" t="s">
        <v>5249</v>
      </c>
      <c r="DT27" s="144" t="s">
        <v>5250</v>
      </c>
      <c r="DU27" s="144" t="s">
        <v>5251</v>
      </c>
      <c r="DV27" s="144" t="s">
        <v>5252</v>
      </c>
      <c r="DW27" s="144" t="s">
        <v>5253</v>
      </c>
      <c r="DX27" s="144" t="s">
        <v>5254</v>
      </c>
      <c r="DY27" s="144" t="s">
        <v>5255</v>
      </c>
      <c r="DZ27" s="144" t="s">
        <v>5256</v>
      </c>
      <c r="EA27" s="144" t="s">
        <v>5257</v>
      </c>
      <c r="EB27" s="144" t="s">
        <v>5258</v>
      </c>
      <c r="EC27" s="144" t="s">
        <v>5259</v>
      </c>
      <c r="ED27" s="79" t="s">
        <v>5260</v>
      </c>
      <c r="EE27" s="79" t="s">
        <v>5261</v>
      </c>
      <c r="EF27" s="79" t="s">
        <v>5262</v>
      </c>
      <c r="EG27" s="79" t="s">
        <v>5263</v>
      </c>
      <c r="EH27" s="79" t="s">
        <v>5264</v>
      </c>
    </row>
    <row r="28" spans="3:138" ht="20.100000000000001" customHeight="1" x14ac:dyDescent="0.25">
      <c r="C28" s="76">
        <v>5</v>
      </c>
      <c r="G28" s="79" t="s">
        <v>3571</v>
      </c>
      <c r="H28" s="79" t="s">
        <v>3544</v>
      </c>
      <c r="I28" s="79" t="s">
        <v>3512</v>
      </c>
      <c r="J28" s="79" t="s">
        <v>3479</v>
      </c>
      <c r="K28" s="79" t="s">
        <v>3444</v>
      </c>
      <c r="L28" s="144" t="s">
        <v>3408</v>
      </c>
      <c r="M28" s="144" t="s">
        <v>3371</v>
      </c>
      <c r="N28" s="144" t="s">
        <v>3333</v>
      </c>
      <c r="O28" s="144" t="s">
        <v>3295</v>
      </c>
      <c r="P28" s="144" t="s">
        <v>3256</v>
      </c>
      <c r="Q28" s="144" t="s">
        <v>3217</v>
      </c>
      <c r="R28" s="144" t="s">
        <v>3178</v>
      </c>
      <c r="S28" s="144" t="s">
        <v>3139</v>
      </c>
      <c r="T28" s="144" t="s">
        <v>3100</v>
      </c>
      <c r="U28" s="144" t="s">
        <v>3061</v>
      </c>
      <c r="V28" s="144" t="s">
        <v>3022</v>
      </c>
      <c r="W28" s="144" t="s">
        <v>2983</v>
      </c>
      <c r="X28" s="144" t="s">
        <v>2944</v>
      </c>
      <c r="Y28" s="144" t="s">
        <v>2905</v>
      </c>
      <c r="Z28" s="144" t="s">
        <v>2866</v>
      </c>
      <c r="AA28" s="144" t="s">
        <v>2827</v>
      </c>
      <c r="AB28" s="144" t="s">
        <v>2788</v>
      </c>
      <c r="AC28" s="144" t="s">
        <v>2749</v>
      </c>
      <c r="AD28" s="144" t="s">
        <v>2710</v>
      </c>
      <c r="AE28" s="144" t="s">
        <v>2671</v>
      </c>
      <c r="AF28" s="144" t="s">
        <v>2632</v>
      </c>
      <c r="AG28" s="144" t="s">
        <v>2593</v>
      </c>
      <c r="AH28" s="144" t="s">
        <v>2554</v>
      </c>
      <c r="AI28" s="144" t="s">
        <v>2515</v>
      </c>
      <c r="AJ28" s="144" t="s">
        <v>2477</v>
      </c>
      <c r="AK28" s="144" t="s">
        <v>2439</v>
      </c>
      <c r="AL28" s="79" t="s">
        <v>2402</v>
      </c>
      <c r="AM28" s="79" t="s">
        <v>2365</v>
      </c>
      <c r="AN28" s="79" t="s">
        <v>2329</v>
      </c>
      <c r="AO28" s="79" t="s">
        <v>2293</v>
      </c>
      <c r="AP28" s="79" t="s">
        <v>2258</v>
      </c>
      <c r="AQ28" s="79" t="s">
        <v>2224</v>
      </c>
      <c r="AR28" s="79" t="s">
        <v>2192</v>
      </c>
      <c r="AS28" s="79" t="s">
        <v>2161</v>
      </c>
      <c r="AT28" s="144" t="s">
        <v>5265</v>
      </c>
      <c r="AU28" s="79" t="s">
        <v>5266</v>
      </c>
      <c r="AV28" s="79" t="s">
        <v>5267</v>
      </c>
      <c r="AW28" s="79" t="s">
        <v>5268</v>
      </c>
      <c r="AX28" s="79" t="s">
        <v>5269</v>
      </c>
      <c r="AY28" s="79" t="s">
        <v>5270</v>
      </c>
      <c r="AZ28" s="79" t="s">
        <v>5271</v>
      </c>
      <c r="BA28" s="79" t="s">
        <v>5272</v>
      </c>
      <c r="BB28" s="79" t="s">
        <v>5273</v>
      </c>
      <c r="BC28" s="79" t="s">
        <v>5274</v>
      </c>
      <c r="BD28" s="79" t="s">
        <v>5275</v>
      </c>
      <c r="BE28" s="79" t="s">
        <v>5276</v>
      </c>
      <c r="BF28" s="144" t="s">
        <v>5277</v>
      </c>
      <c r="BG28" s="144" t="s">
        <v>5278</v>
      </c>
      <c r="BH28" s="144" t="s">
        <v>5279</v>
      </c>
      <c r="BI28" s="144" t="s">
        <v>5280</v>
      </c>
      <c r="BJ28" s="144" t="s">
        <v>5281</v>
      </c>
      <c r="BK28" s="144" t="s">
        <v>5282</v>
      </c>
      <c r="BL28" s="144" t="s">
        <v>5283</v>
      </c>
      <c r="BM28" s="144" t="s">
        <v>5284</v>
      </c>
      <c r="BN28" s="144" t="s">
        <v>5285</v>
      </c>
      <c r="BO28" s="144" t="s">
        <v>5286</v>
      </c>
      <c r="BP28" s="144" t="s">
        <v>5287</v>
      </c>
      <c r="BQ28" s="144" t="s">
        <v>5288</v>
      </c>
      <c r="BR28" s="144" t="s">
        <v>5289</v>
      </c>
      <c r="BS28" s="144" t="s">
        <v>5290</v>
      </c>
      <c r="BT28" s="144" t="s">
        <v>5291</v>
      </c>
      <c r="BU28" s="144" t="s">
        <v>5292</v>
      </c>
      <c r="BV28" s="144" t="s">
        <v>5293</v>
      </c>
      <c r="BW28" s="144" t="s">
        <v>5294</v>
      </c>
      <c r="BX28" s="144" t="s">
        <v>5295</v>
      </c>
      <c r="BY28" s="144" t="s">
        <v>5296</v>
      </c>
      <c r="BZ28" s="144" t="s">
        <v>5297</v>
      </c>
      <c r="CA28" s="144" t="s">
        <v>5298</v>
      </c>
      <c r="CB28" s="144" t="s">
        <v>5299</v>
      </c>
      <c r="CC28" s="144" t="s">
        <v>5300</v>
      </c>
      <c r="CD28" s="144" t="s">
        <v>5301</v>
      </c>
      <c r="CE28" s="79" t="s">
        <v>5302</v>
      </c>
      <c r="CF28" s="79" t="s">
        <v>5303</v>
      </c>
      <c r="CG28" s="79" t="s">
        <v>5304</v>
      </c>
      <c r="CH28" s="144" t="s">
        <v>5305</v>
      </c>
      <c r="CI28" s="144" t="s">
        <v>5306</v>
      </c>
      <c r="CJ28" s="144" t="s">
        <v>5307</v>
      </c>
      <c r="CK28" s="144" t="s">
        <v>5308</v>
      </c>
      <c r="CL28" s="144" t="s">
        <v>5309</v>
      </c>
      <c r="CM28" s="144" t="s">
        <v>5310</v>
      </c>
      <c r="CN28" s="144" t="s">
        <v>5311</v>
      </c>
      <c r="CO28" s="144" t="s">
        <v>5312</v>
      </c>
      <c r="CP28" s="144" t="s">
        <v>5313</v>
      </c>
      <c r="CQ28" s="144" t="s">
        <v>5314</v>
      </c>
      <c r="CR28" s="144" t="s">
        <v>5315</v>
      </c>
      <c r="CS28" s="144" t="s">
        <v>5316</v>
      </c>
      <c r="CT28" s="144" t="s">
        <v>5317</v>
      </c>
      <c r="CU28" s="144" t="s">
        <v>5318</v>
      </c>
      <c r="CV28" s="144" t="s">
        <v>5319</v>
      </c>
      <c r="CW28" s="144" t="s">
        <v>5320</v>
      </c>
      <c r="CX28" s="79" t="s">
        <v>5321</v>
      </c>
      <c r="CY28" s="79" t="s">
        <v>5322</v>
      </c>
      <c r="CZ28" s="79" t="s">
        <v>5323</v>
      </c>
      <c r="DA28" s="79" t="s">
        <v>5324</v>
      </c>
      <c r="DB28" s="79" t="s">
        <v>5325</v>
      </c>
      <c r="DC28" s="79" t="s">
        <v>5326</v>
      </c>
      <c r="DD28" s="79" t="s">
        <v>5327</v>
      </c>
      <c r="DE28" s="79" t="s">
        <v>5328</v>
      </c>
      <c r="DF28" s="79" t="s">
        <v>5329</v>
      </c>
      <c r="DG28" s="144" t="s">
        <v>5330</v>
      </c>
      <c r="DH28" s="144" t="s">
        <v>5331</v>
      </c>
      <c r="DI28" s="144" t="s">
        <v>5332</v>
      </c>
      <c r="DJ28" s="144" t="s">
        <v>5333</v>
      </c>
      <c r="DK28" s="144" t="s">
        <v>5334</v>
      </c>
      <c r="DL28" s="144" t="s">
        <v>5335</v>
      </c>
      <c r="DM28" s="144" t="s">
        <v>5336</v>
      </c>
      <c r="DN28" s="144" t="s">
        <v>5337</v>
      </c>
      <c r="DO28" s="144" t="s">
        <v>5338</v>
      </c>
      <c r="DP28" s="144" t="s">
        <v>5339</v>
      </c>
      <c r="DQ28" s="79" t="s">
        <v>5340</v>
      </c>
      <c r="DR28" s="144" t="s">
        <v>5341</v>
      </c>
      <c r="DS28" s="144" t="s">
        <v>5342</v>
      </c>
      <c r="DT28" s="144" t="s">
        <v>5343</v>
      </c>
      <c r="DU28" s="144" t="s">
        <v>5344</v>
      </c>
      <c r="DV28" s="144" t="s">
        <v>5345</v>
      </c>
      <c r="DW28" s="144" t="s">
        <v>5346</v>
      </c>
      <c r="DX28" s="144" t="s">
        <v>5347</v>
      </c>
      <c r="DY28" s="144" t="s">
        <v>5348</v>
      </c>
      <c r="DZ28" s="144" t="s">
        <v>5349</v>
      </c>
      <c r="EA28" s="144" t="s">
        <v>5350</v>
      </c>
      <c r="EB28" s="144" t="s">
        <v>5351</v>
      </c>
      <c r="EC28" s="144" t="s">
        <v>5352</v>
      </c>
      <c r="ED28" s="79" t="s">
        <v>5353</v>
      </c>
      <c r="EE28" s="79" t="s">
        <v>5354</v>
      </c>
      <c r="EF28" s="79" t="s">
        <v>5355</v>
      </c>
      <c r="EG28" s="79" t="s">
        <v>5356</v>
      </c>
      <c r="EH28" s="79" t="s">
        <v>5357</v>
      </c>
    </row>
    <row r="29" spans="3:138" ht="20.100000000000001" customHeight="1" x14ac:dyDescent="0.25">
      <c r="C29" s="76">
        <v>4</v>
      </c>
      <c r="G29" s="79" t="s">
        <v>3570</v>
      </c>
      <c r="H29" s="79" t="s">
        <v>3543</v>
      </c>
      <c r="I29" s="79" t="s">
        <v>3511</v>
      </c>
      <c r="J29" s="79" t="s">
        <v>3478</v>
      </c>
      <c r="K29" s="79" t="s">
        <v>3443</v>
      </c>
      <c r="L29" s="144" t="s">
        <v>3407</v>
      </c>
      <c r="M29" s="144" t="s">
        <v>3370</v>
      </c>
      <c r="N29" s="144" t="s">
        <v>3332</v>
      </c>
      <c r="O29" s="144" t="s">
        <v>3294</v>
      </c>
      <c r="P29" s="144" t="s">
        <v>3255</v>
      </c>
      <c r="Q29" s="144" t="s">
        <v>3216</v>
      </c>
      <c r="R29" s="144" t="s">
        <v>3177</v>
      </c>
      <c r="S29" s="144" t="s">
        <v>3138</v>
      </c>
      <c r="T29" s="144" t="s">
        <v>3099</v>
      </c>
      <c r="U29" s="144" t="s">
        <v>3060</v>
      </c>
      <c r="V29" s="144" t="s">
        <v>3021</v>
      </c>
      <c r="W29" s="144" t="s">
        <v>2982</v>
      </c>
      <c r="X29" s="144" t="s">
        <v>2943</v>
      </c>
      <c r="Y29" s="144" t="s">
        <v>2904</v>
      </c>
      <c r="Z29" s="144" t="s">
        <v>2865</v>
      </c>
      <c r="AA29" s="144" t="s">
        <v>2826</v>
      </c>
      <c r="AB29" s="144" t="s">
        <v>2787</v>
      </c>
      <c r="AC29" s="144" t="s">
        <v>2748</v>
      </c>
      <c r="AD29" s="144" t="s">
        <v>2709</v>
      </c>
      <c r="AE29" s="144" t="s">
        <v>2670</v>
      </c>
      <c r="AF29" s="144" t="s">
        <v>2631</v>
      </c>
      <c r="AG29" s="144" t="s">
        <v>2592</v>
      </c>
      <c r="AH29" s="144" t="s">
        <v>2553</v>
      </c>
      <c r="AI29" s="144" t="s">
        <v>2514</v>
      </c>
      <c r="AJ29" s="144" t="s">
        <v>2476</v>
      </c>
      <c r="AK29" s="144" t="s">
        <v>2438</v>
      </c>
      <c r="AL29" s="79" t="s">
        <v>2401</v>
      </c>
      <c r="AM29" s="79" t="s">
        <v>2364</v>
      </c>
      <c r="AN29" s="79" t="s">
        <v>2328</v>
      </c>
      <c r="AO29" s="79" t="s">
        <v>2292</v>
      </c>
      <c r="AP29" s="79" t="s">
        <v>2257</v>
      </c>
      <c r="AQ29" s="79" t="s">
        <v>2223</v>
      </c>
      <c r="AR29" s="79" t="s">
        <v>2191</v>
      </c>
      <c r="AS29" s="79" t="s">
        <v>2160</v>
      </c>
      <c r="AT29" s="144" t="s">
        <v>5358</v>
      </c>
      <c r="AU29" s="79" t="s">
        <v>5359</v>
      </c>
      <c r="AV29" s="79" t="s">
        <v>5360</v>
      </c>
      <c r="AW29" s="79" t="s">
        <v>5361</v>
      </c>
      <c r="AX29" s="79" t="s">
        <v>5362</v>
      </c>
      <c r="AY29" s="79" t="s">
        <v>5363</v>
      </c>
      <c r="AZ29" s="79" t="s">
        <v>5364</v>
      </c>
      <c r="BA29" s="79" t="s">
        <v>5365</v>
      </c>
      <c r="BB29" s="79" t="s">
        <v>5366</v>
      </c>
      <c r="BC29" s="79" t="s">
        <v>5367</v>
      </c>
      <c r="BD29" s="79" t="s">
        <v>5368</v>
      </c>
      <c r="BE29" s="79" t="s">
        <v>5369</v>
      </c>
      <c r="BF29" s="144" t="s">
        <v>5370</v>
      </c>
      <c r="BG29" s="144" t="s">
        <v>5371</v>
      </c>
      <c r="BH29" s="144" t="s">
        <v>5372</v>
      </c>
      <c r="BI29" s="144" t="s">
        <v>5373</v>
      </c>
      <c r="BJ29" s="144" t="s">
        <v>5374</v>
      </c>
      <c r="BK29" s="144" t="s">
        <v>5375</v>
      </c>
      <c r="BL29" s="144" t="s">
        <v>5376</v>
      </c>
      <c r="BM29" s="144" t="s">
        <v>5377</v>
      </c>
      <c r="BN29" s="144" t="s">
        <v>5378</v>
      </c>
      <c r="BO29" s="144" t="s">
        <v>5379</v>
      </c>
      <c r="BP29" s="144" t="s">
        <v>5380</v>
      </c>
      <c r="BQ29" s="144" t="s">
        <v>5381</v>
      </c>
      <c r="BR29" s="144" t="s">
        <v>5382</v>
      </c>
      <c r="BS29" s="144" t="s">
        <v>5383</v>
      </c>
      <c r="BT29" s="144" t="s">
        <v>5384</v>
      </c>
      <c r="BU29" s="144" t="s">
        <v>5385</v>
      </c>
      <c r="BV29" s="144" t="s">
        <v>5386</v>
      </c>
      <c r="BW29" s="144" t="s">
        <v>5387</v>
      </c>
      <c r="BX29" s="144" t="s">
        <v>5388</v>
      </c>
      <c r="BY29" s="144" t="s">
        <v>5389</v>
      </c>
      <c r="BZ29" s="144" t="s">
        <v>5390</v>
      </c>
      <c r="CA29" s="144" t="s">
        <v>5391</v>
      </c>
      <c r="CB29" s="144" t="s">
        <v>5392</v>
      </c>
      <c r="CC29" s="144" t="s">
        <v>5393</v>
      </c>
      <c r="CD29" s="144" t="s">
        <v>5394</v>
      </c>
      <c r="CE29" s="79" t="s">
        <v>5395</v>
      </c>
      <c r="CF29" s="79" t="s">
        <v>5396</v>
      </c>
      <c r="CG29" s="79" t="s">
        <v>5397</v>
      </c>
      <c r="CH29" s="144" t="s">
        <v>5398</v>
      </c>
      <c r="CI29" s="144" t="s">
        <v>5399</v>
      </c>
      <c r="CJ29" s="144" t="s">
        <v>5400</v>
      </c>
      <c r="CK29" s="144" t="s">
        <v>5401</v>
      </c>
      <c r="CL29" s="144" t="s">
        <v>5402</v>
      </c>
      <c r="CM29" s="144" t="s">
        <v>5403</v>
      </c>
      <c r="CN29" s="144" t="s">
        <v>5404</v>
      </c>
      <c r="CO29" s="144" t="s">
        <v>5405</v>
      </c>
      <c r="CP29" s="144" t="s">
        <v>5406</v>
      </c>
      <c r="CQ29" s="144" t="s">
        <v>5407</v>
      </c>
      <c r="CR29" s="144" t="s">
        <v>5408</v>
      </c>
      <c r="CS29" s="144" t="s">
        <v>5409</v>
      </c>
      <c r="CT29" s="144" t="s">
        <v>5410</v>
      </c>
      <c r="CU29" s="144" t="s">
        <v>5411</v>
      </c>
      <c r="CV29" s="144" t="s">
        <v>5412</v>
      </c>
      <c r="CW29" s="144" t="s">
        <v>5413</v>
      </c>
      <c r="CX29" s="79" t="s">
        <v>5414</v>
      </c>
      <c r="CY29" s="79" t="s">
        <v>5415</v>
      </c>
      <c r="CZ29" s="79" t="s">
        <v>5416</v>
      </c>
      <c r="DA29" s="79" t="s">
        <v>5417</v>
      </c>
      <c r="DB29" s="79" t="s">
        <v>5418</v>
      </c>
      <c r="DC29" s="79" t="s">
        <v>5419</v>
      </c>
      <c r="DD29" s="79" t="s">
        <v>5420</v>
      </c>
      <c r="DE29" s="79" t="s">
        <v>5421</v>
      </c>
      <c r="DF29" s="79" t="s">
        <v>5422</v>
      </c>
      <c r="DG29" s="144" t="s">
        <v>5423</v>
      </c>
      <c r="DH29" s="144" t="s">
        <v>5424</v>
      </c>
      <c r="DI29" s="144" t="s">
        <v>5425</v>
      </c>
      <c r="DJ29" s="144" t="s">
        <v>5426</v>
      </c>
      <c r="DK29" s="144" t="s">
        <v>5427</v>
      </c>
      <c r="DL29" s="144" t="s">
        <v>5428</v>
      </c>
      <c r="DM29" s="144" t="s">
        <v>5429</v>
      </c>
      <c r="DN29" s="144" t="s">
        <v>5430</v>
      </c>
      <c r="DO29" s="144" t="s">
        <v>5431</v>
      </c>
      <c r="DP29" s="144" t="s">
        <v>5432</v>
      </c>
      <c r="DQ29" s="79" t="s">
        <v>5433</v>
      </c>
      <c r="DR29" s="144" t="s">
        <v>5434</v>
      </c>
      <c r="DS29" s="144" t="s">
        <v>5435</v>
      </c>
      <c r="DT29" s="144" t="s">
        <v>5436</v>
      </c>
      <c r="DU29" s="144" t="s">
        <v>5437</v>
      </c>
      <c r="DV29" s="144" t="s">
        <v>5438</v>
      </c>
      <c r="DW29" s="144" t="s">
        <v>5439</v>
      </c>
      <c r="DX29" s="144" t="s">
        <v>5440</v>
      </c>
      <c r="DY29" s="144" t="s">
        <v>5441</v>
      </c>
      <c r="DZ29" s="144" t="s">
        <v>5442</v>
      </c>
      <c r="EA29" s="144" t="s">
        <v>5443</v>
      </c>
      <c r="EB29" s="144" t="s">
        <v>5444</v>
      </c>
      <c r="EC29" s="144" t="s">
        <v>5445</v>
      </c>
      <c r="ED29" s="79" t="s">
        <v>5446</v>
      </c>
      <c r="EE29" s="79" t="s">
        <v>5447</v>
      </c>
      <c r="EF29" s="79" t="s">
        <v>5448</v>
      </c>
      <c r="EG29" s="79" t="s">
        <v>5449</v>
      </c>
      <c r="EH29" s="79" t="s">
        <v>5450</v>
      </c>
    </row>
    <row r="30" spans="3:138" ht="20.100000000000001" customHeight="1" x14ac:dyDescent="0.25">
      <c r="C30" s="76">
        <v>3</v>
      </c>
      <c r="G30" s="79" t="s">
        <v>3569</v>
      </c>
      <c r="H30" s="79" t="s">
        <v>3542</v>
      </c>
      <c r="I30" s="79" t="s">
        <v>3510</v>
      </c>
      <c r="J30" s="79" t="s">
        <v>3477</v>
      </c>
      <c r="K30" s="79" t="s">
        <v>3442</v>
      </c>
      <c r="L30" s="144" t="s">
        <v>3406</v>
      </c>
      <c r="M30" s="144" t="s">
        <v>3369</v>
      </c>
      <c r="N30" s="144" t="s">
        <v>3331</v>
      </c>
      <c r="O30" s="144" t="s">
        <v>3293</v>
      </c>
      <c r="P30" s="144" t="s">
        <v>3254</v>
      </c>
      <c r="Q30" s="144" t="s">
        <v>3215</v>
      </c>
      <c r="R30" s="144" t="s">
        <v>3176</v>
      </c>
      <c r="S30" s="144" t="s">
        <v>3137</v>
      </c>
      <c r="T30" s="144" t="s">
        <v>3098</v>
      </c>
      <c r="U30" s="144" t="s">
        <v>3059</v>
      </c>
      <c r="V30" s="144" t="s">
        <v>3020</v>
      </c>
      <c r="W30" s="144" t="s">
        <v>2981</v>
      </c>
      <c r="X30" s="144" t="s">
        <v>2942</v>
      </c>
      <c r="Y30" s="144" t="s">
        <v>2903</v>
      </c>
      <c r="Z30" s="144" t="s">
        <v>2864</v>
      </c>
      <c r="AA30" s="144" t="s">
        <v>2825</v>
      </c>
      <c r="AB30" s="144" t="s">
        <v>2786</v>
      </c>
      <c r="AC30" s="144" t="s">
        <v>2747</v>
      </c>
      <c r="AD30" s="144" t="s">
        <v>2708</v>
      </c>
      <c r="AE30" s="144" t="s">
        <v>2669</v>
      </c>
      <c r="AF30" s="144" t="s">
        <v>2630</v>
      </c>
      <c r="AG30" s="144" t="s">
        <v>2591</v>
      </c>
      <c r="AH30" s="144" t="s">
        <v>2552</v>
      </c>
      <c r="AI30" s="144" t="s">
        <v>2513</v>
      </c>
      <c r="AJ30" s="144" t="s">
        <v>2475</v>
      </c>
      <c r="AK30" s="144" t="s">
        <v>2437</v>
      </c>
      <c r="AL30" s="79" t="s">
        <v>2400</v>
      </c>
      <c r="AM30" s="79" t="s">
        <v>2363</v>
      </c>
      <c r="AN30" s="79" t="s">
        <v>2327</v>
      </c>
      <c r="AO30" s="79" t="s">
        <v>2291</v>
      </c>
      <c r="AP30" s="79" t="s">
        <v>2256</v>
      </c>
      <c r="AQ30" s="79" t="s">
        <v>2222</v>
      </c>
      <c r="AR30" s="79" t="s">
        <v>2190</v>
      </c>
      <c r="AS30" s="79" t="s">
        <v>2159</v>
      </c>
      <c r="AT30" s="144" t="s">
        <v>5451</v>
      </c>
      <c r="AU30" s="79" t="s">
        <v>5452</v>
      </c>
      <c r="AV30" s="79" t="s">
        <v>5453</v>
      </c>
      <c r="AW30" s="79" t="s">
        <v>5454</v>
      </c>
      <c r="AX30" s="79" t="s">
        <v>5455</v>
      </c>
      <c r="AY30" s="79" t="s">
        <v>5456</v>
      </c>
      <c r="AZ30" s="79" t="s">
        <v>5457</v>
      </c>
      <c r="BA30" s="79" t="s">
        <v>5458</v>
      </c>
      <c r="BB30" s="79" t="s">
        <v>5459</v>
      </c>
      <c r="BC30" s="79" t="s">
        <v>5460</v>
      </c>
      <c r="BD30" s="79" t="s">
        <v>5461</v>
      </c>
      <c r="BE30" s="79" t="s">
        <v>5462</v>
      </c>
      <c r="BF30" s="79" t="s">
        <v>5463</v>
      </c>
      <c r="BG30" s="79" t="s">
        <v>5464</v>
      </c>
      <c r="BH30" s="79" t="s">
        <v>5465</v>
      </c>
      <c r="BI30" s="79" t="s">
        <v>5466</v>
      </c>
      <c r="BJ30" s="79" t="s">
        <v>5467</v>
      </c>
      <c r="BK30" s="79" t="s">
        <v>5468</v>
      </c>
      <c r="BL30" s="79" t="s">
        <v>5469</v>
      </c>
      <c r="BM30" s="79" t="s">
        <v>5470</v>
      </c>
      <c r="BN30" s="79" t="s">
        <v>5471</v>
      </c>
      <c r="BO30" s="144" t="s">
        <v>5472</v>
      </c>
      <c r="BP30" s="144" t="s">
        <v>5473</v>
      </c>
      <c r="BQ30" s="144" t="s">
        <v>5474</v>
      </c>
      <c r="BR30" s="144" t="s">
        <v>5475</v>
      </c>
      <c r="BS30" s="144" t="s">
        <v>5476</v>
      </c>
      <c r="BT30" s="144" t="s">
        <v>5477</v>
      </c>
      <c r="BU30" s="144" t="s">
        <v>5478</v>
      </c>
      <c r="BV30" s="144" t="s">
        <v>5479</v>
      </c>
      <c r="BW30" s="144" t="s">
        <v>5480</v>
      </c>
      <c r="BX30" s="144" t="s">
        <v>5481</v>
      </c>
      <c r="BY30" s="144" t="s">
        <v>5482</v>
      </c>
      <c r="BZ30" s="144" t="s">
        <v>5483</v>
      </c>
      <c r="CA30" s="144" t="s">
        <v>5484</v>
      </c>
      <c r="CB30" s="144" t="s">
        <v>5485</v>
      </c>
      <c r="CC30" s="144" t="s">
        <v>5486</v>
      </c>
      <c r="CD30" s="144" t="s">
        <v>5487</v>
      </c>
      <c r="CE30" s="79" t="s">
        <v>5488</v>
      </c>
      <c r="CF30" s="79" t="s">
        <v>5489</v>
      </c>
      <c r="CG30" s="79" t="s">
        <v>5490</v>
      </c>
      <c r="CH30" s="144" t="s">
        <v>5491</v>
      </c>
      <c r="CI30" s="144" t="s">
        <v>5492</v>
      </c>
      <c r="CJ30" s="144" t="s">
        <v>5493</v>
      </c>
      <c r="CK30" s="144" t="s">
        <v>5494</v>
      </c>
      <c r="CL30" s="144" t="s">
        <v>5495</v>
      </c>
      <c r="CM30" s="144" t="s">
        <v>5496</v>
      </c>
      <c r="CN30" s="144" t="s">
        <v>5497</v>
      </c>
      <c r="CO30" s="144" t="s">
        <v>5498</v>
      </c>
      <c r="CP30" s="144" t="s">
        <v>5499</v>
      </c>
      <c r="CQ30" s="144" t="s">
        <v>5500</v>
      </c>
      <c r="CR30" s="144" t="s">
        <v>5501</v>
      </c>
      <c r="CS30" s="144" t="s">
        <v>5502</v>
      </c>
      <c r="CT30" s="144" t="s">
        <v>5503</v>
      </c>
      <c r="CU30" s="144" t="s">
        <v>5504</v>
      </c>
      <c r="CV30" s="144" t="s">
        <v>5505</v>
      </c>
      <c r="CW30" s="144" t="s">
        <v>5506</v>
      </c>
      <c r="CX30" s="79" t="s">
        <v>5507</v>
      </c>
      <c r="CY30" s="79" t="s">
        <v>5508</v>
      </c>
      <c r="CZ30" s="79" t="s">
        <v>5509</v>
      </c>
      <c r="DA30" s="79" t="s">
        <v>5510</v>
      </c>
      <c r="DB30" s="79" t="s">
        <v>5511</v>
      </c>
      <c r="DC30" s="79" t="s">
        <v>5512</v>
      </c>
      <c r="DD30" s="79" t="s">
        <v>5513</v>
      </c>
      <c r="DE30" s="79" t="s">
        <v>5514</v>
      </c>
      <c r="DF30" s="79" t="s">
        <v>5515</v>
      </c>
      <c r="DG30" s="144" t="s">
        <v>5516</v>
      </c>
      <c r="DH30" s="144" t="s">
        <v>5517</v>
      </c>
      <c r="DI30" s="144" t="s">
        <v>5518</v>
      </c>
      <c r="DJ30" s="144" t="s">
        <v>5519</v>
      </c>
      <c r="DK30" s="144" t="s">
        <v>5520</v>
      </c>
      <c r="DL30" s="144" t="s">
        <v>5521</v>
      </c>
      <c r="DM30" s="144" t="s">
        <v>5522</v>
      </c>
      <c r="DN30" s="144" t="s">
        <v>5523</v>
      </c>
      <c r="DO30" s="144" t="s">
        <v>5524</v>
      </c>
      <c r="DP30" s="144" t="s">
        <v>5525</v>
      </c>
      <c r="DQ30" s="79" t="s">
        <v>5526</v>
      </c>
      <c r="DR30" s="144" t="s">
        <v>5527</v>
      </c>
      <c r="DS30" s="144" t="s">
        <v>5528</v>
      </c>
      <c r="DT30" s="144" t="s">
        <v>5529</v>
      </c>
      <c r="DU30" s="144" t="s">
        <v>5530</v>
      </c>
      <c r="DV30" s="144" t="s">
        <v>5531</v>
      </c>
      <c r="DW30" s="144" t="s">
        <v>5532</v>
      </c>
      <c r="DX30" s="144" t="s">
        <v>5533</v>
      </c>
      <c r="DY30" s="144" t="s">
        <v>5534</v>
      </c>
      <c r="DZ30" s="144" t="s">
        <v>5535</v>
      </c>
      <c r="EA30" s="144" t="s">
        <v>5536</v>
      </c>
      <c r="EB30" s="144" t="s">
        <v>5537</v>
      </c>
      <c r="EC30" s="144" t="s">
        <v>5538</v>
      </c>
      <c r="ED30" s="79" t="s">
        <v>5539</v>
      </c>
      <c r="EE30" s="79" t="s">
        <v>5540</v>
      </c>
      <c r="EF30" s="79" t="s">
        <v>5541</v>
      </c>
      <c r="EG30" s="79" t="s">
        <v>5542</v>
      </c>
      <c r="EH30" s="79" t="s">
        <v>5543</v>
      </c>
    </row>
    <row r="31" spans="3:138" ht="20.100000000000001" customHeight="1" x14ac:dyDescent="0.25">
      <c r="C31" s="76">
        <v>2</v>
      </c>
      <c r="G31" s="79" t="s">
        <v>3568</v>
      </c>
      <c r="H31" s="79" t="s">
        <v>3541</v>
      </c>
      <c r="I31" s="79" t="s">
        <v>3509</v>
      </c>
      <c r="J31" s="79" t="s">
        <v>3476</v>
      </c>
      <c r="K31" s="79" t="s">
        <v>3441</v>
      </c>
      <c r="L31" s="144" t="s">
        <v>3405</v>
      </c>
      <c r="M31" s="144" t="s">
        <v>3368</v>
      </c>
      <c r="N31" s="144" t="s">
        <v>3330</v>
      </c>
      <c r="O31" s="144" t="s">
        <v>3292</v>
      </c>
      <c r="P31" s="144" t="s">
        <v>3253</v>
      </c>
      <c r="Q31" s="144" t="s">
        <v>3214</v>
      </c>
      <c r="R31" s="144" t="s">
        <v>3175</v>
      </c>
      <c r="S31" s="144" t="s">
        <v>3136</v>
      </c>
      <c r="T31" s="144" t="s">
        <v>3097</v>
      </c>
      <c r="U31" s="144" t="s">
        <v>3058</v>
      </c>
      <c r="V31" s="144" t="s">
        <v>3019</v>
      </c>
      <c r="W31" s="144" t="s">
        <v>2980</v>
      </c>
      <c r="X31" s="144" t="s">
        <v>2941</v>
      </c>
      <c r="Y31" s="144" t="s">
        <v>2902</v>
      </c>
      <c r="Z31" s="144" t="s">
        <v>2863</v>
      </c>
      <c r="AA31" s="144" t="s">
        <v>2824</v>
      </c>
      <c r="AB31" s="144" t="s">
        <v>2785</v>
      </c>
      <c r="AC31" s="144" t="s">
        <v>2746</v>
      </c>
      <c r="AD31" s="144" t="s">
        <v>2707</v>
      </c>
      <c r="AE31" s="144" t="s">
        <v>2668</v>
      </c>
      <c r="AF31" s="144" t="s">
        <v>2629</v>
      </c>
      <c r="AG31" s="144" t="s">
        <v>2590</v>
      </c>
      <c r="AH31" s="144" t="s">
        <v>2551</v>
      </c>
      <c r="AI31" s="144" t="s">
        <v>2512</v>
      </c>
      <c r="AJ31" s="144" t="s">
        <v>2474</v>
      </c>
      <c r="AK31" s="144" t="s">
        <v>2436</v>
      </c>
      <c r="AL31" s="79" t="s">
        <v>2399</v>
      </c>
      <c r="AM31" s="79" t="s">
        <v>2362</v>
      </c>
      <c r="AN31" s="79" t="s">
        <v>2326</v>
      </c>
      <c r="AO31" s="79" t="s">
        <v>2290</v>
      </c>
      <c r="AP31" s="79" t="s">
        <v>2255</v>
      </c>
      <c r="AQ31" s="79" t="s">
        <v>2221</v>
      </c>
      <c r="AR31" s="79" t="s">
        <v>2189</v>
      </c>
      <c r="AS31" s="79" t="s">
        <v>2158</v>
      </c>
      <c r="AT31" s="144" t="s">
        <v>5544</v>
      </c>
      <c r="AU31" s="79" t="s">
        <v>5545</v>
      </c>
      <c r="AV31" s="79" t="s">
        <v>5546</v>
      </c>
      <c r="AW31" s="79" t="s">
        <v>5547</v>
      </c>
      <c r="AX31" s="79" t="s">
        <v>5548</v>
      </c>
      <c r="AY31" s="79" t="s">
        <v>5549</v>
      </c>
      <c r="AZ31" s="79" t="s">
        <v>5550</v>
      </c>
      <c r="BA31" s="79" t="s">
        <v>5551</v>
      </c>
      <c r="BB31" s="79" t="s">
        <v>5552</v>
      </c>
      <c r="BC31" s="79" t="s">
        <v>5553</v>
      </c>
      <c r="BD31" s="79" t="s">
        <v>5554</v>
      </c>
      <c r="BE31" s="79" t="s">
        <v>5555</v>
      </c>
      <c r="BF31" s="79" t="s">
        <v>5556</v>
      </c>
      <c r="BG31" s="79" t="s">
        <v>5557</v>
      </c>
      <c r="BH31" s="79" t="s">
        <v>5558</v>
      </c>
      <c r="BI31" s="79" t="s">
        <v>5559</v>
      </c>
      <c r="BJ31" s="79" t="s">
        <v>5560</v>
      </c>
      <c r="BK31" s="79" t="s">
        <v>5561</v>
      </c>
      <c r="BL31" s="79" t="s">
        <v>5562</v>
      </c>
      <c r="BM31" s="79" t="s">
        <v>5563</v>
      </c>
      <c r="BN31" s="79" t="s">
        <v>5564</v>
      </c>
      <c r="BO31" s="144" t="s">
        <v>5565</v>
      </c>
      <c r="BP31" s="144" t="s">
        <v>5566</v>
      </c>
      <c r="BQ31" s="144" t="s">
        <v>5567</v>
      </c>
      <c r="BR31" s="144" t="s">
        <v>5568</v>
      </c>
      <c r="BS31" s="144" t="s">
        <v>5569</v>
      </c>
      <c r="BT31" s="144" t="s">
        <v>5570</v>
      </c>
      <c r="BU31" s="144" t="s">
        <v>5571</v>
      </c>
      <c r="BV31" s="144" t="s">
        <v>5572</v>
      </c>
      <c r="BW31" s="144" t="s">
        <v>5573</v>
      </c>
      <c r="BX31" s="144" t="s">
        <v>5574</v>
      </c>
      <c r="BY31" s="144" t="s">
        <v>5575</v>
      </c>
      <c r="BZ31" s="144" t="s">
        <v>5576</v>
      </c>
      <c r="CA31" s="144" t="s">
        <v>5577</v>
      </c>
      <c r="CB31" s="144" t="s">
        <v>5578</v>
      </c>
      <c r="CC31" s="144" t="s">
        <v>5579</v>
      </c>
      <c r="CD31" s="144" t="s">
        <v>5580</v>
      </c>
      <c r="CE31" s="79" t="s">
        <v>5581</v>
      </c>
      <c r="CF31" s="79" t="s">
        <v>5582</v>
      </c>
      <c r="CG31" s="79" t="s">
        <v>5583</v>
      </c>
      <c r="CH31" s="144" t="s">
        <v>5584</v>
      </c>
      <c r="CI31" s="144" t="s">
        <v>5585</v>
      </c>
      <c r="CJ31" s="144" t="s">
        <v>5586</v>
      </c>
      <c r="CK31" s="144" t="s">
        <v>5587</v>
      </c>
      <c r="CL31" s="144" t="s">
        <v>5588</v>
      </c>
      <c r="CM31" s="144" t="s">
        <v>5589</v>
      </c>
      <c r="CN31" s="144" t="s">
        <v>5590</v>
      </c>
      <c r="CO31" s="144" t="s">
        <v>5591</v>
      </c>
      <c r="CP31" s="144" t="s">
        <v>5592</v>
      </c>
      <c r="CQ31" s="144" t="s">
        <v>5593</v>
      </c>
      <c r="CR31" s="144" t="s">
        <v>5594</v>
      </c>
      <c r="CS31" s="144" t="s">
        <v>5595</v>
      </c>
      <c r="CT31" s="144" t="s">
        <v>5596</v>
      </c>
      <c r="CU31" s="144" t="s">
        <v>5597</v>
      </c>
      <c r="CV31" s="144" t="s">
        <v>5598</v>
      </c>
      <c r="CW31" s="144" t="s">
        <v>5599</v>
      </c>
      <c r="CX31" s="79" t="s">
        <v>5600</v>
      </c>
      <c r="CY31" s="79" t="s">
        <v>5601</v>
      </c>
      <c r="CZ31" s="79" t="s">
        <v>5602</v>
      </c>
      <c r="DA31" s="79" t="s">
        <v>5603</v>
      </c>
      <c r="DB31" s="79" t="s">
        <v>5604</v>
      </c>
      <c r="DC31" s="79" t="s">
        <v>5605</v>
      </c>
      <c r="DD31" s="79" t="s">
        <v>5606</v>
      </c>
      <c r="DE31" s="79" t="s">
        <v>5607</v>
      </c>
      <c r="DF31" s="79" t="s">
        <v>5608</v>
      </c>
      <c r="DG31" s="144" t="s">
        <v>5609</v>
      </c>
      <c r="DH31" s="144" t="s">
        <v>5610</v>
      </c>
      <c r="DI31" s="144" t="s">
        <v>5611</v>
      </c>
      <c r="DJ31" s="144" t="s">
        <v>5612</v>
      </c>
      <c r="DK31" s="144" t="s">
        <v>5613</v>
      </c>
      <c r="DL31" s="144" t="s">
        <v>5614</v>
      </c>
      <c r="DM31" s="144" t="s">
        <v>5615</v>
      </c>
      <c r="DN31" s="144" t="s">
        <v>5616</v>
      </c>
      <c r="DO31" s="144" t="s">
        <v>5617</v>
      </c>
      <c r="DP31" s="144" t="s">
        <v>5618</v>
      </c>
      <c r="DQ31" s="79" t="s">
        <v>5619</v>
      </c>
      <c r="DR31" s="144" t="s">
        <v>5620</v>
      </c>
      <c r="DS31" s="144" t="s">
        <v>5621</v>
      </c>
      <c r="DT31" s="144" t="s">
        <v>5622</v>
      </c>
      <c r="DU31" s="144" t="s">
        <v>5623</v>
      </c>
      <c r="DV31" s="144" t="s">
        <v>5624</v>
      </c>
      <c r="DW31" s="144" t="s">
        <v>5625</v>
      </c>
      <c r="DX31" s="144" t="s">
        <v>5626</v>
      </c>
      <c r="DY31" s="144" t="s">
        <v>5627</v>
      </c>
      <c r="DZ31" s="144" t="s">
        <v>5628</v>
      </c>
      <c r="EA31" s="144" t="s">
        <v>5629</v>
      </c>
      <c r="EB31" s="144" t="s">
        <v>5630</v>
      </c>
      <c r="EC31" s="144" t="s">
        <v>5631</v>
      </c>
      <c r="ED31" s="79" t="s">
        <v>5632</v>
      </c>
      <c r="EE31" s="79" t="s">
        <v>5633</v>
      </c>
      <c r="EF31" s="79" t="s">
        <v>5634</v>
      </c>
      <c r="EG31" s="79" t="s">
        <v>5635</v>
      </c>
      <c r="EH31" s="79" t="s">
        <v>5636</v>
      </c>
    </row>
    <row r="32" spans="3:138" ht="20.100000000000001" customHeight="1" x14ac:dyDescent="0.25">
      <c r="C32" s="76">
        <v>1</v>
      </c>
      <c r="G32" s="79" t="s">
        <v>3567</v>
      </c>
      <c r="H32" s="79" t="s">
        <v>3540</v>
      </c>
      <c r="I32" s="79" t="s">
        <v>3508</v>
      </c>
      <c r="J32" s="79" t="s">
        <v>3475</v>
      </c>
      <c r="K32" s="79" t="s">
        <v>3440</v>
      </c>
      <c r="L32" s="144" t="s">
        <v>3404</v>
      </c>
      <c r="M32" s="144" t="s">
        <v>3367</v>
      </c>
      <c r="N32" s="144" t="s">
        <v>3329</v>
      </c>
      <c r="O32" s="144" t="s">
        <v>3291</v>
      </c>
      <c r="P32" s="144" t="s">
        <v>3252</v>
      </c>
      <c r="Q32" s="144" t="s">
        <v>3213</v>
      </c>
      <c r="R32" s="144" t="s">
        <v>3174</v>
      </c>
      <c r="S32" s="144" t="s">
        <v>3135</v>
      </c>
      <c r="T32" s="144" t="s">
        <v>3096</v>
      </c>
      <c r="U32" s="144" t="s">
        <v>3057</v>
      </c>
      <c r="V32" s="144" t="s">
        <v>3018</v>
      </c>
      <c r="W32" s="144" t="s">
        <v>2979</v>
      </c>
      <c r="X32" s="144" t="s">
        <v>2940</v>
      </c>
      <c r="Y32" s="144" t="s">
        <v>2901</v>
      </c>
      <c r="Z32" s="144" t="s">
        <v>2862</v>
      </c>
      <c r="AA32" s="144" t="s">
        <v>2823</v>
      </c>
      <c r="AB32" s="144" t="s">
        <v>2784</v>
      </c>
      <c r="AC32" s="144" t="s">
        <v>2745</v>
      </c>
      <c r="AD32" s="144" t="s">
        <v>2706</v>
      </c>
      <c r="AE32" s="144" t="s">
        <v>2667</v>
      </c>
      <c r="AF32" s="144" t="s">
        <v>2628</v>
      </c>
      <c r="AG32" s="144" t="s">
        <v>2589</v>
      </c>
      <c r="AH32" s="144" t="s">
        <v>2550</v>
      </c>
      <c r="AI32" s="144" t="s">
        <v>2511</v>
      </c>
      <c r="AJ32" s="144" t="s">
        <v>2473</v>
      </c>
      <c r="AK32" s="144" t="s">
        <v>2435</v>
      </c>
      <c r="AL32" s="79" t="s">
        <v>2398</v>
      </c>
      <c r="AM32" s="79" t="s">
        <v>2361</v>
      </c>
      <c r="AN32" s="79" t="s">
        <v>2325</v>
      </c>
      <c r="AO32" s="79" t="s">
        <v>2289</v>
      </c>
      <c r="AP32" s="79" t="s">
        <v>2254</v>
      </c>
      <c r="AQ32" s="79" t="s">
        <v>2220</v>
      </c>
      <c r="AR32" s="79" t="s">
        <v>2188</v>
      </c>
      <c r="AS32" s="79" t="s">
        <v>2157</v>
      </c>
      <c r="AT32" s="144" t="s">
        <v>5637</v>
      </c>
      <c r="AU32" s="79" t="s">
        <v>5638</v>
      </c>
      <c r="AV32" s="79" t="s">
        <v>5639</v>
      </c>
      <c r="AW32" s="79" t="s">
        <v>5640</v>
      </c>
      <c r="AX32" s="79" t="s">
        <v>5641</v>
      </c>
      <c r="AY32" s="79" t="s">
        <v>5642</v>
      </c>
      <c r="AZ32" s="79" t="s">
        <v>5643</v>
      </c>
      <c r="BA32" s="79" t="s">
        <v>5644</v>
      </c>
      <c r="BB32" s="79" t="s">
        <v>5645</v>
      </c>
      <c r="BC32" s="79" t="s">
        <v>5646</v>
      </c>
      <c r="BD32" s="79" t="s">
        <v>5647</v>
      </c>
      <c r="BE32" s="79" t="s">
        <v>5648</v>
      </c>
      <c r="BF32" s="79" t="s">
        <v>5649</v>
      </c>
      <c r="BG32" s="79" t="s">
        <v>5650</v>
      </c>
      <c r="BH32" s="79" t="s">
        <v>5651</v>
      </c>
      <c r="BI32" s="79" t="s">
        <v>5652</v>
      </c>
      <c r="BJ32" s="79" t="s">
        <v>5653</v>
      </c>
      <c r="BK32" s="79" t="s">
        <v>5654</v>
      </c>
      <c r="BL32" s="79" t="s">
        <v>5655</v>
      </c>
      <c r="BM32" s="79" t="s">
        <v>5656</v>
      </c>
      <c r="BN32" s="79" t="s">
        <v>5657</v>
      </c>
      <c r="BO32" s="79" t="s">
        <v>5658</v>
      </c>
      <c r="BP32" s="79" t="s">
        <v>5659</v>
      </c>
      <c r="BQ32" s="79" t="s">
        <v>5660</v>
      </c>
      <c r="BR32" s="79" t="s">
        <v>5661</v>
      </c>
      <c r="BS32" s="79" t="s">
        <v>5662</v>
      </c>
      <c r="BT32" s="79" t="s">
        <v>5663</v>
      </c>
      <c r="BU32" s="79" t="s">
        <v>5664</v>
      </c>
      <c r="BV32" s="79" t="s">
        <v>5665</v>
      </c>
      <c r="BW32" s="79" t="s">
        <v>5666</v>
      </c>
      <c r="BX32" s="79" t="s">
        <v>5667</v>
      </c>
      <c r="BY32" s="79" t="s">
        <v>5668</v>
      </c>
      <c r="BZ32" s="79" t="s">
        <v>5669</v>
      </c>
      <c r="CA32" s="79" t="s">
        <v>5670</v>
      </c>
      <c r="CB32" s="79" t="s">
        <v>5671</v>
      </c>
      <c r="CC32" s="79" t="s">
        <v>5672</v>
      </c>
      <c r="CD32" s="79" t="s">
        <v>5673</v>
      </c>
      <c r="CE32" s="79" t="s">
        <v>5674</v>
      </c>
      <c r="CF32" s="79" t="s">
        <v>5675</v>
      </c>
      <c r="CG32" s="79" t="s">
        <v>5676</v>
      </c>
      <c r="CH32" s="144" t="s">
        <v>5677</v>
      </c>
      <c r="CI32" s="144" t="s">
        <v>5678</v>
      </c>
      <c r="CJ32" s="144" t="s">
        <v>5679</v>
      </c>
      <c r="CK32" s="144" t="s">
        <v>5680</v>
      </c>
      <c r="CL32" s="144" t="s">
        <v>5681</v>
      </c>
      <c r="CM32" s="144" t="s">
        <v>5682</v>
      </c>
      <c r="CN32" s="144" t="s">
        <v>5683</v>
      </c>
      <c r="CO32" s="144" t="s">
        <v>5684</v>
      </c>
      <c r="CP32" s="144" t="s">
        <v>5685</v>
      </c>
      <c r="CQ32" s="144" t="s">
        <v>5686</v>
      </c>
      <c r="CR32" s="144" t="s">
        <v>5687</v>
      </c>
      <c r="CS32" s="144" t="s">
        <v>5688</v>
      </c>
      <c r="CT32" s="144" t="s">
        <v>5689</v>
      </c>
      <c r="CU32" s="144" t="s">
        <v>5690</v>
      </c>
      <c r="CV32" s="144" t="s">
        <v>5691</v>
      </c>
      <c r="CW32" s="144" t="s">
        <v>5692</v>
      </c>
      <c r="CX32" s="79" t="s">
        <v>5693</v>
      </c>
      <c r="CY32" s="79" t="s">
        <v>5694</v>
      </c>
      <c r="CZ32" s="79" t="s">
        <v>5695</v>
      </c>
      <c r="DA32" s="79" t="s">
        <v>5696</v>
      </c>
      <c r="DB32" s="79" t="s">
        <v>5697</v>
      </c>
      <c r="DC32" s="79" t="s">
        <v>5698</v>
      </c>
      <c r="DD32" s="79" t="s">
        <v>5699</v>
      </c>
      <c r="DE32" s="79" t="s">
        <v>5700</v>
      </c>
      <c r="DF32" s="79" t="s">
        <v>5701</v>
      </c>
      <c r="DG32" s="144" t="s">
        <v>5702</v>
      </c>
      <c r="DH32" s="144" t="s">
        <v>5703</v>
      </c>
      <c r="DI32" s="144" t="s">
        <v>5704</v>
      </c>
      <c r="DJ32" s="144" t="s">
        <v>5705</v>
      </c>
      <c r="DK32" s="144" t="s">
        <v>5706</v>
      </c>
      <c r="DL32" s="144" t="s">
        <v>5707</v>
      </c>
      <c r="DM32" s="144" t="s">
        <v>5708</v>
      </c>
      <c r="DN32" s="144" t="s">
        <v>5709</v>
      </c>
      <c r="DO32" s="144" t="s">
        <v>5710</v>
      </c>
      <c r="DP32" s="144" t="s">
        <v>5711</v>
      </c>
      <c r="DQ32" s="79" t="s">
        <v>5712</v>
      </c>
      <c r="DR32" s="144" t="s">
        <v>5713</v>
      </c>
      <c r="DS32" s="144" t="s">
        <v>5714</v>
      </c>
      <c r="DT32" s="144" t="s">
        <v>5715</v>
      </c>
      <c r="DU32" s="144" t="s">
        <v>5716</v>
      </c>
      <c r="DV32" s="144" t="s">
        <v>5717</v>
      </c>
      <c r="DW32" s="144" t="s">
        <v>5718</v>
      </c>
      <c r="DX32" s="144" t="s">
        <v>5719</v>
      </c>
      <c r="DY32" s="144" t="s">
        <v>5720</v>
      </c>
      <c r="DZ32" s="144" t="s">
        <v>5721</v>
      </c>
      <c r="EA32" s="144" t="s">
        <v>5722</v>
      </c>
      <c r="EB32" s="144" t="s">
        <v>5723</v>
      </c>
      <c r="EC32" s="144" t="s">
        <v>5724</v>
      </c>
      <c r="ED32" s="79" t="s">
        <v>5725</v>
      </c>
      <c r="EE32" s="79" t="s">
        <v>5726</v>
      </c>
      <c r="EF32" s="79" t="s">
        <v>5727</v>
      </c>
      <c r="EG32" s="79" t="s">
        <v>5728</v>
      </c>
      <c r="EH32" s="79" t="s">
        <v>5729</v>
      </c>
    </row>
    <row r="33" spans="3:138" ht="20.100000000000001" customHeight="1" x14ac:dyDescent="0.25">
      <c r="C33" s="76">
        <v>0</v>
      </c>
      <c r="G33" s="79" t="s">
        <v>3566</v>
      </c>
      <c r="H33" s="79" t="s">
        <v>3539</v>
      </c>
      <c r="I33" s="79" t="s">
        <v>3507</v>
      </c>
      <c r="J33" s="79" t="s">
        <v>3474</v>
      </c>
      <c r="K33" s="79" t="s">
        <v>3439</v>
      </c>
      <c r="L33" s="144" t="s">
        <v>3403</v>
      </c>
      <c r="M33" s="144" t="s">
        <v>3366</v>
      </c>
      <c r="N33" s="144" t="s">
        <v>3328</v>
      </c>
      <c r="O33" s="144" t="s">
        <v>3290</v>
      </c>
      <c r="P33" s="144" t="s">
        <v>3251</v>
      </c>
      <c r="Q33" s="144" t="s">
        <v>3212</v>
      </c>
      <c r="R33" s="144" t="s">
        <v>3173</v>
      </c>
      <c r="S33" s="144" t="s">
        <v>3134</v>
      </c>
      <c r="T33" s="144" t="s">
        <v>3095</v>
      </c>
      <c r="U33" s="144" t="s">
        <v>3056</v>
      </c>
      <c r="V33" s="144" t="s">
        <v>3017</v>
      </c>
      <c r="W33" s="144" t="s">
        <v>2978</v>
      </c>
      <c r="X33" s="144" t="s">
        <v>2939</v>
      </c>
      <c r="Y33" s="144" t="s">
        <v>2900</v>
      </c>
      <c r="Z33" s="144" t="s">
        <v>2861</v>
      </c>
      <c r="AA33" s="144" t="s">
        <v>2822</v>
      </c>
      <c r="AB33" s="144" t="s">
        <v>2783</v>
      </c>
      <c r="AC33" s="144" t="s">
        <v>2744</v>
      </c>
      <c r="AD33" s="144" t="s">
        <v>2705</v>
      </c>
      <c r="AE33" s="144" t="s">
        <v>2666</v>
      </c>
      <c r="AF33" s="144" t="s">
        <v>2627</v>
      </c>
      <c r="AG33" s="144" t="s">
        <v>2588</v>
      </c>
      <c r="AH33" s="144" t="s">
        <v>2549</v>
      </c>
      <c r="AI33" s="144" t="s">
        <v>2510</v>
      </c>
      <c r="AJ33" s="144" t="s">
        <v>2472</v>
      </c>
      <c r="AK33" s="144" t="s">
        <v>2434</v>
      </c>
      <c r="AL33" s="79" t="s">
        <v>2397</v>
      </c>
      <c r="AM33" s="79" t="s">
        <v>2360</v>
      </c>
      <c r="AN33" s="79" t="s">
        <v>2324</v>
      </c>
      <c r="AO33" s="79" t="s">
        <v>2288</v>
      </c>
      <c r="AP33" s="79" t="s">
        <v>2253</v>
      </c>
      <c r="AQ33" s="79" t="s">
        <v>2219</v>
      </c>
      <c r="AR33" s="79" t="s">
        <v>2187</v>
      </c>
      <c r="AS33" s="79" t="s">
        <v>2156</v>
      </c>
      <c r="AT33" s="144" t="s">
        <v>5730</v>
      </c>
      <c r="AU33" s="79" t="s">
        <v>5731</v>
      </c>
      <c r="AV33" s="79" t="s">
        <v>5732</v>
      </c>
      <c r="AW33" s="79" t="s">
        <v>5733</v>
      </c>
      <c r="AX33" s="79" t="s">
        <v>5734</v>
      </c>
      <c r="AY33" s="79" t="s">
        <v>5735</v>
      </c>
      <c r="AZ33" s="79" t="s">
        <v>5736</v>
      </c>
      <c r="BA33" s="79" t="s">
        <v>5737</v>
      </c>
      <c r="BB33" s="79" t="s">
        <v>5738</v>
      </c>
      <c r="BC33" s="79" t="s">
        <v>5739</v>
      </c>
      <c r="BD33" s="79" t="s">
        <v>5740</v>
      </c>
      <c r="BE33" s="79" t="s">
        <v>5741</v>
      </c>
      <c r="BF33" s="79" t="s">
        <v>5742</v>
      </c>
      <c r="BG33" s="79" t="s">
        <v>5743</v>
      </c>
      <c r="BH33" s="79" t="s">
        <v>5744</v>
      </c>
      <c r="BI33" s="79" t="s">
        <v>5745</v>
      </c>
      <c r="BJ33" s="79" t="s">
        <v>5746</v>
      </c>
      <c r="BK33" s="79" t="s">
        <v>5747</v>
      </c>
      <c r="BL33" s="79" t="s">
        <v>5748</v>
      </c>
      <c r="BM33" s="79" t="s">
        <v>5749</v>
      </c>
      <c r="BN33" s="79" t="s">
        <v>5750</v>
      </c>
      <c r="BO33" s="79" t="s">
        <v>5751</v>
      </c>
      <c r="BP33" s="79" t="s">
        <v>5752</v>
      </c>
      <c r="BQ33" s="79" t="s">
        <v>5753</v>
      </c>
      <c r="BR33" s="79" t="s">
        <v>5754</v>
      </c>
      <c r="BS33" s="79" t="s">
        <v>5755</v>
      </c>
      <c r="BT33" s="79" t="s">
        <v>5756</v>
      </c>
      <c r="BU33" s="79" t="s">
        <v>5757</v>
      </c>
      <c r="BV33" s="79" t="s">
        <v>5758</v>
      </c>
      <c r="BW33" s="79" t="s">
        <v>5759</v>
      </c>
      <c r="BX33" s="79" t="s">
        <v>5760</v>
      </c>
      <c r="BY33" s="79" t="s">
        <v>5761</v>
      </c>
      <c r="BZ33" s="79" t="s">
        <v>5762</v>
      </c>
      <c r="CA33" s="79" t="s">
        <v>5763</v>
      </c>
      <c r="CB33" s="79" t="s">
        <v>5764</v>
      </c>
      <c r="CC33" s="79" t="s">
        <v>5765</v>
      </c>
      <c r="CD33" s="79" t="s">
        <v>5766</v>
      </c>
      <c r="CE33" s="79" t="s">
        <v>5767</v>
      </c>
      <c r="CF33" s="79" t="s">
        <v>5768</v>
      </c>
      <c r="CG33" s="79" t="s">
        <v>5769</v>
      </c>
      <c r="CH33" s="144" t="s">
        <v>5770</v>
      </c>
      <c r="CI33" s="144" t="s">
        <v>5771</v>
      </c>
      <c r="CJ33" s="144" t="s">
        <v>5772</v>
      </c>
      <c r="CK33" s="144" t="s">
        <v>5773</v>
      </c>
      <c r="CL33" s="144" t="s">
        <v>5774</v>
      </c>
      <c r="CM33" s="144" t="s">
        <v>5775</v>
      </c>
      <c r="CN33" s="144" t="s">
        <v>5776</v>
      </c>
      <c r="CO33" s="144" t="s">
        <v>5777</v>
      </c>
      <c r="CP33" s="144" t="s">
        <v>5778</v>
      </c>
      <c r="CQ33" s="144" t="s">
        <v>5779</v>
      </c>
      <c r="CR33" s="144" t="s">
        <v>5780</v>
      </c>
      <c r="CS33" s="144" t="s">
        <v>5781</v>
      </c>
      <c r="CT33" s="144" t="s">
        <v>5782</v>
      </c>
      <c r="CU33" s="144" t="s">
        <v>5783</v>
      </c>
      <c r="CV33" s="144" t="s">
        <v>5784</v>
      </c>
      <c r="CW33" s="144" t="s">
        <v>5785</v>
      </c>
      <c r="CX33" s="79" t="s">
        <v>5786</v>
      </c>
      <c r="CY33" s="79" t="s">
        <v>5787</v>
      </c>
      <c r="CZ33" s="79" t="s">
        <v>5788</v>
      </c>
      <c r="DA33" s="79" t="s">
        <v>5789</v>
      </c>
      <c r="DB33" s="79" t="s">
        <v>5790</v>
      </c>
      <c r="DC33" s="79" t="s">
        <v>5791</v>
      </c>
      <c r="DD33" s="79" t="s">
        <v>5792</v>
      </c>
      <c r="DE33" s="79" t="s">
        <v>5793</v>
      </c>
      <c r="DF33" s="79" t="s">
        <v>5794</v>
      </c>
      <c r="DG33" s="144" t="s">
        <v>5795</v>
      </c>
      <c r="DH33" s="144" t="s">
        <v>5796</v>
      </c>
      <c r="DI33" s="144" t="s">
        <v>5797</v>
      </c>
      <c r="DJ33" s="144" t="s">
        <v>5798</v>
      </c>
      <c r="DK33" s="144" t="s">
        <v>5799</v>
      </c>
      <c r="DL33" s="144" t="s">
        <v>5800</v>
      </c>
      <c r="DM33" s="144" t="s">
        <v>5801</v>
      </c>
      <c r="DN33" s="144" t="s">
        <v>5802</v>
      </c>
      <c r="DO33" s="144" t="s">
        <v>5803</v>
      </c>
      <c r="DP33" s="144" t="s">
        <v>5804</v>
      </c>
      <c r="DQ33" s="79" t="s">
        <v>5805</v>
      </c>
      <c r="DR33" s="144" t="s">
        <v>5806</v>
      </c>
      <c r="DS33" s="144" t="s">
        <v>5807</v>
      </c>
      <c r="DT33" s="144" t="s">
        <v>5808</v>
      </c>
      <c r="DU33" s="144" t="s">
        <v>5809</v>
      </c>
      <c r="DV33" s="144" t="s">
        <v>5810</v>
      </c>
      <c r="DW33" s="144" t="s">
        <v>5811</v>
      </c>
      <c r="DX33" s="144" t="s">
        <v>5812</v>
      </c>
      <c r="DY33" s="144" t="s">
        <v>5813</v>
      </c>
      <c r="DZ33" s="144" t="s">
        <v>5814</v>
      </c>
      <c r="EA33" s="144" t="s">
        <v>5815</v>
      </c>
      <c r="EB33" s="144" t="s">
        <v>5816</v>
      </c>
      <c r="EC33" s="144" t="s">
        <v>5817</v>
      </c>
      <c r="ED33" s="79" t="s">
        <v>5818</v>
      </c>
      <c r="EE33" s="79" t="s">
        <v>5819</v>
      </c>
      <c r="EF33" s="79" t="s">
        <v>5820</v>
      </c>
      <c r="EG33" s="79" t="s">
        <v>5821</v>
      </c>
      <c r="EH33" s="79" t="s">
        <v>5822</v>
      </c>
    </row>
    <row r="34" spans="3:138" ht="20.100000000000001" customHeight="1" x14ac:dyDescent="0.25">
      <c r="C34" s="76">
        <v>-1</v>
      </c>
      <c r="G34" s="79" t="s">
        <v>3565</v>
      </c>
      <c r="H34" s="79" t="s">
        <v>3538</v>
      </c>
      <c r="I34" s="79" t="s">
        <v>3506</v>
      </c>
      <c r="J34" s="79" t="s">
        <v>3473</v>
      </c>
      <c r="K34" s="79" t="s">
        <v>3438</v>
      </c>
      <c r="L34" s="144" t="s">
        <v>3402</v>
      </c>
      <c r="M34" s="144" t="s">
        <v>3365</v>
      </c>
      <c r="N34" s="144" t="s">
        <v>3327</v>
      </c>
      <c r="O34" s="144" t="s">
        <v>3289</v>
      </c>
      <c r="P34" s="144" t="s">
        <v>3250</v>
      </c>
      <c r="Q34" s="144" t="s">
        <v>3211</v>
      </c>
      <c r="R34" s="144" t="s">
        <v>3172</v>
      </c>
      <c r="S34" s="144" t="s">
        <v>3133</v>
      </c>
      <c r="T34" s="144" t="s">
        <v>3094</v>
      </c>
      <c r="U34" s="144" t="s">
        <v>3055</v>
      </c>
      <c r="V34" s="144" t="s">
        <v>3016</v>
      </c>
      <c r="W34" s="144" t="s">
        <v>2977</v>
      </c>
      <c r="X34" s="144" t="s">
        <v>2938</v>
      </c>
      <c r="Y34" s="144" t="s">
        <v>2899</v>
      </c>
      <c r="Z34" s="144" t="s">
        <v>2860</v>
      </c>
      <c r="AA34" s="144" t="s">
        <v>2821</v>
      </c>
      <c r="AB34" s="144" t="s">
        <v>2782</v>
      </c>
      <c r="AC34" s="144" t="s">
        <v>2743</v>
      </c>
      <c r="AD34" s="144" t="s">
        <v>2704</v>
      </c>
      <c r="AE34" s="144" t="s">
        <v>2665</v>
      </c>
      <c r="AF34" s="144" t="s">
        <v>2626</v>
      </c>
      <c r="AG34" s="144" t="s">
        <v>2587</v>
      </c>
      <c r="AH34" s="144" t="s">
        <v>2548</v>
      </c>
      <c r="AI34" s="144" t="s">
        <v>2509</v>
      </c>
      <c r="AJ34" s="144" t="s">
        <v>2471</v>
      </c>
      <c r="AK34" s="144" t="s">
        <v>2433</v>
      </c>
      <c r="AL34" s="79" t="s">
        <v>2396</v>
      </c>
      <c r="AM34" s="79" t="s">
        <v>2359</v>
      </c>
      <c r="AN34" s="79" t="s">
        <v>2323</v>
      </c>
      <c r="AO34" s="79" t="s">
        <v>2287</v>
      </c>
      <c r="AP34" s="79" t="s">
        <v>2252</v>
      </c>
      <c r="AQ34" s="79" t="s">
        <v>2218</v>
      </c>
      <c r="AR34" s="79" t="s">
        <v>2186</v>
      </c>
      <c r="AS34" s="79" t="s">
        <v>2155</v>
      </c>
      <c r="AT34" s="144" t="s">
        <v>5823</v>
      </c>
      <c r="AU34" s="79" t="s">
        <v>5824</v>
      </c>
      <c r="AV34" s="79" t="s">
        <v>5825</v>
      </c>
      <c r="AW34" s="79" t="s">
        <v>5826</v>
      </c>
      <c r="AX34" s="79" t="s">
        <v>5827</v>
      </c>
      <c r="AY34" s="79" t="s">
        <v>5828</v>
      </c>
      <c r="AZ34" s="79" t="s">
        <v>5829</v>
      </c>
      <c r="BA34" s="79" t="s">
        <v>5830</v>
      </c>
      <c r="BB34" s="79" t="s">
        <v>5831</v>
      </c>
      <c r="BC34" s="79" t="s">
        <v>5832</v>
      </c>
      <c r="BD34" s="79" t="s">
        <v>5833</v>
      </c>
      <c r="BE34" s="79" t="s">
        <v>5834</v>
      </c>
      <c r="BF34" s="79" t="s">
        <v>5835</v>
      </c>
      <c r="BG34" s="79" t="s">
        <v>5836</v>
      </c>
      <c r="BH34" s="79" t="s">
        <v>5837</v>
      </c>
      <c r="BI34" s="79" t="s">
        <v>5838</v>
      </c>
      <c r="BJ34" s="79" t="s">
        <v>5839</v>
      </c>
      <c r="BK34" s="79" t="s">
        <v>5840</v>
      </c>
      <c r="BL34" s="79" t="s">
        <v>5841</v>
      </c>
      <c r="BM34" s="79" t="s">
        <v>5842</v>
      </c>
      <c r="BN34" s="79" t="s">
        <v>5843</v>
      </c>
      <c r="BO34" s="79" t="s">
        <v>5844</v>
      </c>
      <c r="BP34" s="79" t="s">
        <v>5845</v>
      </c>
      <c r="BQ34" s="79" t="s">
        <v>5846</v>
      </c>
      <c r="BR34" s="79" t="s">
        <v>5847</v>
      </c>
      <c r="BS34" s="79" t="s">
        <v>5848</v>
      </c>
      <c r="BT34" s="79" t="s">
        <v>5849</v>
      </c>
      <c r="BU34" s="79" t="s">
        <v>5850</v>
      </c>
      <c r="BV34" s="79" t="s">
        <v>5851</v>
      </c>
      <c r="BW34" s="79" t="s">
        <v>5852</v>
      </c>
      <c r="BX34" s="79" t="s">
        <v>5853</v>
      </c>
      <c r="BY34" s="79" t="s">
        <v>5854</v>
      </c>
      <c r="BZ34" s="79" t="s">
        <v>5855</v>
      </c>
      <c r="CA34" s="79" t="s">
        <v>5856</v>
      </c>
      <c r="CB34" s="79" t="s">
        <v>5857</v>
      </c>
      <c r="CC34" s="79" t="s">
        <v>5858</v>
      </c>
      <c r="CD34" s="79" t="s">
        <v>5859</v>
      </c>
      <c r="CE34" s="79" t="s">
        <v>5860</v>
      </c>
      <c r="CF34" s="79" t="s">
        <v>5861</v>
      </c>
      <c r="CG34" s="79" t="s">
        <v>5862</v>
      </c>
      <c r="CH34" s="144" t="s">
        <v>5863</v>
      </c>
      <c r="CI34" s="144" t="s">
        <v>5864</v>
      </c>
      <c r="CJ34" s="144" t="s">
        <v>5865</v>
      </c>
      <c r="CK34" s="144" t="s">
        <v>5866</v>
      </c>
      <c r="CL34" s="144" t="s">
        <v>5867</v>
      </c>
      <c r="CM34" s="144" t="s">
        <v>5868</v>
      </c>
      <c r="CN34" s="144" t="s">
        <v>5869</v>
      </c>
      <c r="CO34" s="144" t="s">
        <v>5870</v>
      </c>
      <c r="CP34" s="144" t="s">
        <v>5871</v>
      </c>
      <c r="CQ34" s="144" t="s">
        <v>5872</v>
      </c>
      <c r="CR34" s="144" t="s">
        <v>5873</v>
      </c>
      <c r="CS34" s="144" t="s">
        <v>5874</v>
      </c>
      <c r="CT34" s="144" t="s">
        <v>5875</v>
      </c>
      <c r="CU34" s="144" t="s">
        <v>5876</v>
      </c>
      <c r="CV34" s="144" t="s">
        <v>5877</v>
      </c>
      <c r="CW34" s="144" t="s">
        <v>5878</v>
      </c>
      <c r="CX34" s="79" t="s">
        <v>5879</v>
      </c>
      <c r="CY34" s="79" t="s">
        <v>5880</v>
      </c>
      <c r="CZ34" s="79" t="s">
        <v>5881</v>
      </c>
      <c r="DA34" s="79" t="s">
        <v>5882</v>
      </c>
      <c r="DB34" s="79" t="s">
        <v>5883</v>
      </c>
      <c r="DC34" s="79" t="s">
        <v>5884</v>
      </c>
      <c r="DD34" s="79" t="s">
        <v>5885</v>
      </c>
      <c r="DE34" s="79" t="s">
        <v>5886</v>
      </c>
      <c r="DF34" s="79" t="s">
        <v>5887</v>
      </c>
      <c r="DG34" s="144" t="s">
        <v>5888</v>
      </c>
      <c r="DH34" s="144" t="s">
        <v>5889</v>
      </c>
      <c r="DI34" s="144" t="s">
        <v>5890</v>
      </c>
      <c r="DJ34" s="144" t="s">
        <v>5891</v>
      </c>
      <c r="DK34" s="144" t="s">
        <v>5892</v>
      </c>
      <c r="DL34" s="144" t="s">
        <v>5893</v>
      </c>
      <c r="DM34" s="144" t="s">
        <v>5894</v>
      </c>
      <c r="DN34" s="144" t="s">
        <v>5895</v>
      </c>
      <c r="DO34" s="144" t="s">
        <v>5896</v>
      </c>
      <c r="DP34" s="144" t="s">
        <v>5897</v>
      </c>
      <c r="DQ34" s="79" t="s">
        <v>5898</v>
      </c>
      <c r="DR34" s="144" t="s">
        <v>5899</v>
      </c>
      <c r="DS34" s="144" t="s">
        <v>5900</v>
      </c>
      <c r="DT34" s="144" t="s">
        <v>5901</v>
      </c>
      <c r="DU34" s="144" t="s">
        <v>5902</v>
      </c>
      <c r="DV34" s="144" t="s">
        <v>5903</v>
      </c>
      <c r="DW34" s="144" t="s">
        <v>5904</v>
      </c>
      <c r="DX34" s="144" t="s">
        <v>5905</v>
      </c>
      <c r="DY34" s="144" t="s">
        <v>5906</v>
      </c>
      <c r="DZ34" s="144" t="s">
        <v>5907</v>
      </c>
      <c r="EA34" s="144" t="s">
        <v>5908</v>
      </c>
      <c r="EB34" s="144" t="s">
        <v>5909</v>
      </c>
      <c r="EC34" s="144" t="s">
        <v>5910</v>
      </c>
      <c r="ED34" s="79" t="s">
        <v>5911</v>
      </c>
      <c r="EE34" s="79" t="s">
        <v>5912</v>
      </c>
      <c r="EF34" s="79" t="s">
        <v>5913</v>
      </c>
      <c r="EG34" s="79" t="s">
        <v>5914</v>
      </c>
      <c r="EH34" s="79" t="s">
        <v>5915</v>
      </c>
    </row>
    <row r="35" spans="3:138" ht="20.100000000000001" customHeight="1" x14ac:dyDescent="0.25">
      <c r="C35" s="76">
        <v>-2</v>
      </c>
      <c r="G35" s="79" t="s">
        <v>3564</v>
      </c>
      <c r="H35" s="79" t="s">
        <v>3537</v>
      </c>
      <c r="I35" s="79" t="s">
        <v>3505</v>
      </c>
      <c r="J35" s="79" t="s">
        <v>3472</v>
      </c>
      <c r="K35" s="79" t="s">
        <v>3437</v>
      </c>
      <c r="L35" s="144" t="s">
        <v>3401</v>
      </c>
      <c r="M35" s="144" t="s">
        <v>3364</v>
      </c>
      <c r="N35" s="144" t="s">
        <v>3326</v>
      </c>
      <c r="O35" s="144" t="s">
        <v>3288</v>
      </c>
      <c r="P35" s="144" t="s">
        <v>3249</v>
      </c>
      <c r="Q35" s="144" t="s">
        <v>3210</v>
      </c>
      <c r="R35" s="144" t="s">
        <v>3171</v>
      </c>
      <c r="S35" s="144" t="s">
        <v>3132</v>
      </c>
      <c r="T35" s="144" t="s">
        <v>3093</v>
      </c>
      <c r="U35" s="144" t="s">
        <v>3054</v>
      </c>
      <c r="V35" s="144" t="s">
        <v>3015</v>
      </c>
      <c r="W35" s="144" t="s">
        <v>2976</v>
      </c>
      <c r="X35" s="144" t="s">
        <v>2937</v>
      </c>
      <c r="Y35" s="144" t="s">
        <v>2898</v>
      </c>
      <c r="Z35" s="144" t="s">
        <v>2859</v>
      </c>
      <c r="AA35" s="144" t="s">
        <v>2820</v>
      </c>
      <c r="AB35" s="144" t="s">
        <v>2781</v>
      </c>
      <c r="AC35" s="144" t="s">
        <v>2742</v>
      </c>
      <c r="AD35" s="144" t="s">
        <v>2703</v>
      </c>
      <c r="AE35" s="144" t="s">
        <v>2664</v>
      </c>
      <c r="AF35" s="144" t="s">
        <v>2625</v>
      </c>
      <c r="AG35" s="144" t="s">
        <v>2586</v>
      </c>
      <c r="AH35" s="144" t="s">
        <v>2547</v>
      </c>
      <c r="AI35" s="144" t="s">
        <v>2508</v>
      </c>
      <c r="AJ35" s="144" t="s">
        <v>2470</v>
      </c>
      <c r="AK35" s="144" t="s">
        <v>2432</v>
      </c>
      <c r="AL35" s="79" t="s">
        <v>2395</v>
      </c>
      <c r="AM35" s="79" t="s">
        <v>2358</v>
      </c>
      <c r="AN35" s="79" t="s">
        <v>2322</v>
      </c>
      <c r="AO35" s="79" t="s">
        <v>2286</v>
      </c>
      <c r="AP35" s="79" t="s">
        <v>2251</v>
      </c>
      <c r="AQ35" s="79" t="s">
        <v>2217</v>
      </c>
      <c r="AR35" s="79" t="s">
        <v>2185</v>
      </c>
      <c r="AS35" s="79" t="s">
        <v>2154</v>
      </c>
      <c r="AT35" s="144" t="s">
        <v>5916</v>
      </c>
      <c r="AU35" s="79" t="s">
        <v>5917</v>
      </c>
      <c r="AV35" s="79" t="s">
        <v>5918</v>
      </c>
      <c r="AW35" s="79" t="s">
        <v>5919</v>
      </c>
      <c r="AX35" s="79" t="s">
        <v>5920</v>
      </c>
      <c r="AY35" s="79" t="s">
        <v>5921</v>
      </c>
      <c r="AZ35" s="79" t="s">
        <v>5922</v>
      </c>
      <c r="BA35" s="79" t="s">
        <v>5923</v>
      </c>
      <c r="BB35" s="79" t="s">
        <v>5924</v>
      </c>
      <c r="BC35" s="79" t="s">
        <v>5925</v>
      </c>
      <c r="BD35" s="79" t="s">
        <v>5926</v>
      </c>
      <c r="BE35" s="79" t="s">
        <v>5927</v>
      </c>
      <c r="BF35" s="79" t="s">
        <v>5928</v>
      </c>
      <c r="BG35" s="79" t="s">
        <v>5929</v>
      </c>
      <c r="BH35" s="79" t="s">
        <v>5930</v>
      </c>
      <c r="BI35" s="79" t="s">
        <v>5931</v>
      </c>
      <c r="BJ35" s="79" t="s">
        <v>5932</v>
      </c>
      <c r="BK35" s="79" t="s">
        <v>5933</v>
      </c>
      <c r="BL35" s="79" t="s">
        <v>5934</v>
      </c>
      <c r="BM35" s="79" t="s">
        <v>5935</v>
      </c>
      <c r="BN35" s="79" t="s">
        <v>5936</v>
      </c>
      <c r="BO35" s="144" t="s">
        <v>5937</v>
      </c>
      <c r="BP35" s="144" t="s">
        <v>5938</v>
      </c>
      <c r="BQ35" s="144" t="s">
        <v>5939</v>
      </c>
      <c r="BR35" s="144" t="s">
        <v>5940</v>
      </c>
      <c r="BS35" s="144" t="s">
        <v>5941</v>
      </c>
      <c r="BT35" s="144" t="s">
        <v>5942</v>
      </c>
      <c r="BU35" s="144" t="s">
        <v>5943</v>
      </c>
      <c r="BV35" s="144" t="s">
        <v>5944</v>
      </c>
      <c r="BW35" s="144" t="s">
        <v>5945</v>
      </c>
      <c r="BX35" s="144" t="s">
        <v>5946</v>
      </c>
      <c r="BY35" s="144" t="s">
        <v>5947</v>
      </c>
      <c r="BZ35" s="144" t="s">
        <v>5948</v>
      </c>
      <c r="CA35" s="144" t="s">
        <v>5949</v>
      </c>
      <c r="CB35" s="144" t="s">
        <v>5950</v>
      </c>
      <c r="CC35" s="144" t="s">
        <v>5951</v>
      </c>
      <c r="CD35" s="144" t="s">
        <v>5952</v>
      </c>
      <c r="CE35" s="79" t="s">
        <v>5953</v>
      </c>
      <c r="CF35" s="79" t="s">
        <v>5954</v>
      </c>
      <c r="CG35" s="79" t="s">
        <v>5955</v>
      </c>
      <c r="CH35" s="144" t="s">
        <v>5956</v>
      </c>
      <c r="CI35" s="144" t="s">
        <v>5957</v>
      </c>
      <c r="CJ35" s="144" t="s">
        <v>5958</v>
      </c>
      <c r="CK35" s="144" t="s">
        <v>5959</v>
      </c>
      <c r="CL35" s="144" t="s">
        <v>5960</v>
      </c>
      <c r="CM35" s="144" t="s">
        <v>5961</v>
      </c>
      <c r="CN35" s="144" t="s">
        <v>5962</v>
      </c>
      <c r="CO35" s="144" t="s">
        <v>5963</v>
      </c>
      <c r="CP35" s="144" t="s">
        <v>5964</v>
      </c>
      <c r="CQ35" s="144" t="s">
        <v>5965</v>
      </c>
      <c r="CR35" s="144" t="s">
        <v>5966</v>
      </c>
      <c r="CS35" s="144" t="s">
        <v>5967</v>
      </c>
      <c r="CT35" s="144" t="s">
        <v>5968</v>
      </c>
      <c r="CU35" s="144" t="s">
        <v>5969</v>
      </c>
      <c r="CV35" s="144" t="s">
        <v>5970</v>
      </c>
      <c r="CW35" s="144" t="s">
        <v>5971</v>
      </c>
      <c r="CX35" s="79" t="s">
        <v>5972</v>
      </c>
      <c r="CY35" s="79" t="s">
        <v>5973</v>
      </c>
      <c r="CZ35" s="79" t="s">
        <v>5974</v>
      </c>
      <c r="DA35" s="79" t="s">
        <v>5975</v>
      </c>
      <c r="DB35" s="79" t="s">
        <v>5976</v>
      </c>
      <c r="DC35" s="79" t="s">
        <v>5977</v>
      </c>
      <c r="DD35" s="79" t="s">
        <v>5978</v>
      </c>
      <c r="DE35" s="79" t="s">
        <v>5979</v>
      </c>
      <c r="DF35" s="79" t="s">
        <v>5980</v>
      </c>
      <c r="DG35" s="144" t="s">
        <v>5981</v>
      </c>
      <c r="DH35" s="144" t="s">
        <v>5982</v>
      </c>
      <c r="DI35" s="144" t="s">
        <v>5983</v>
      </c>
      <c r="DJ35" s="144" t="s">
        <v>5984</v>
      </c>
      <c r="DK35" s="144" t="s">
        <v>5985</v>
      </c>
      <c r="DL35" s="144" t="s">
        <v>5986</v>
      </c>
      <c r="DM35" s="144" t="s">
        <v>5987</v>
      </c>
      <c r="DN35" s="144" t="s">
        <v>5988</v>
      </c>
      <c r="DO35" s="144" t="s">
        <v>5989</v>
      </c>
      <c r="DP35" s="144" t="s">
        <v>5990</v>
      </c>
      <c r="DQ35" s="79" t="s">
        <v>5991</v>
      </c>
      <c r="DR35" s="144" t="s">
        <v>5992</v>
      </c>
      <c r="DS35" s="144" t="s">
        <v>5993</v>
      </c>
      <c r="DT35" s="144" t="s">
        <v>5994</v>
      </c>
      <c r="DU35" s="144" t="s">
        <v>5995</v>
      </c>
      <c r="DV35" s="144" t="s">
        <v>5996</v>
      </c>
      <c r="DW35" s="144" t="s">
        <v>5997</v>
      </c>
      <c r="DX35" s="144" t="s">
        <v>5998</v>
      </c>
      <c r="DY35" s="144" t="s">
        <v>5999</v>
      </c>
      <c r="DZ35" s="144" t="s">
        <v>6000</v>
      </c>
      <c r="EA35" s="144" t="s">
        <v>6001</v>
      </c>
      <c r="EB35" s="144" t="s">
        <v>6002</v>
      </c>
      <c r="EC35" s="144" t="s">
        <v>6003</v>
      </c>
      <c r="ED35" s="79" t="s">
        <v>6004</v>
      </c>
      <c r="EE35" s="79" t="s">
        <v>6005</v>
      </c>
      <c r="EF35" s="79" t="s">
        <v>6006</v>
      </c>
      <c r="EG35" s="79" t="s">
        <v>6007</v>
      </c>
      <c r="EH35" s="79" t="s">
        <v>6008</v>
      </c>
    </row>
    <row r="36" spans="3:138" ht="20.100000000000001" customHeight="1" x14ac:dyDescent="0.25">
      <c r="C36" s="76">
        <v>-3</v>
      </c>
      <c r="G36" s="79" t="s">
        <v>3563</v>
      </c>
      <c r="H36" s="79" t="s">
        <v>3536</v>
      </c>
      <c r="I36" s="79" t="s">
        <v>3504</v>
      </c>
      <c r="J36" s="79" t="s">
        <v>3471</v>
      </c>
      <c r="K36" s="79" t="s">
        <v>3436</v>
      </c>
      <c r="L36" s="144" t="s">
        <v>3400</v>
      </c>
      <c r="M36" s="144" t="s">
        <v>3363</v>
      </c>
      <c r="N36" s="144" t="s">
        <v>3325</v>
      </c>
      <c r="O36" s="144" t="s">
        <v>3287</v>
      </c>
      <c r="P36" s="144" t="s">
        <v>3248</v>
      </c>
      <c r="Q36" s="144" t="s">
        <v>3209</v>
      </c>
      <c r="R36" s="144" t="s">
        <v>3170</v>
      </c>
      <c r="S36" s="144" t="s">
        <v>3131</v>
      </c>
      <c r="T36" s="144" t="s">
        <v>3092</v>
      </c>
      <c r="U36" s="144" t="s">
        <v>3053</v>
      </c>
      <c r="V36" s="144" t="s">
        <v>3014</v>
      </c>
      <c r="W36" s="144" t="s">
        <v>2975</v>
      </c>
      <c r="X36" s="144" t="s">
        <v>2936</v>
      </c>
      <c r="Y36" s="144" t="s">
        <v>2897</v>
      </c>
      <c r="Z36" s="144" t="s">
        <v>2858</v>
      </c>
      <c r="AA36" s="144" t="s">
        <v>2819</v>
      </c>
      <c r="AB36" s="144" t="s">
        <v>2780</v>
      </c>
      <c r="AC36" s="144" t="s">
        <v>2741</v>
      </c>
      <c r="AD36" s="144" t="s">
        <v>2702</v>
      </c>
      <c r="AE36" s="144" t="s">
        <v>2663</v>
      </c>
      <c r="AF36" s="144" t="s">
        <v>2624</v>
      </c>
      <c r="AG36" s="144" t="s">
        <v>2585</v>
      </c>
      <c r="AH36" s="144" t="s">
        <v>2546</v>
      </c>
      <c r="AI36" s="144" t="s">
        <v>2507</v>
      </c>
      <c r="AJ36" s="144" t="s">
        <v>2469</v>
      </c>
      <c r="AK36" s="144" t="s">
        <v>2431</v>
      </c>
      <c r="AL36" s="79" t="s">
        <v>2394</v>
      </c>
      <c r="AM36" s="79" t="s">
        <v>2357</v>
      </c>
      <c r="AN36" s="79" t="s">
        <v>2321</v>
      </c>
      <c r="AO36" s="79" t="s">
        <v>2285</v>
      </c>
      <c r="AP36" s="79" t="s">
        <v>2250</v>
      </c>
      <c r="AQ36" s="79" t="s">
        <v>2216</v>
      </c>
      <c r="AR36" s="79" t="s">
        <v>2184</v>
      </c>
      <c r="AS36" s="79" t="s">
        <v>2153</v>
      </c>
      <c r="AT36" s="144" t="s">
        <v>6009</v>
      </c>
      <c r="AU36" s="79" t="s">
        <v>6010</v>
      </c>
      <c r="AV36" s="79" t="s">
        <v>6011</v>
      </c>
      <c r="AW36" s="79" t="s">
        <v>6012</v>
      </c>
      <c r="AX36" s="79" t="s">
        <v>6013</v>
      </c>
      <c r="AY36" s="79" t="s">
        <v>6014</v>
      </c>
      <c r="AZ36" s="79" t="s">
        <v>6015</v>
      </c>
      <c r="BA36" s="79" t="s">
        <v>6016</v>
      </c>
      <c r="BB36" s="79" t="s">
        <v>6017</v>
      </c>
      <c r="BC36" s="79" t="s">
        <v>6018</v>
      </c>
      <c r="BD36" s="79" t="s">
        <v>6019</v>
      </c>
      <c r="BE36" s="79" t="s">
        <v>6020</v>
      </c>
      <c r="BF36" s="79" t="s">
        <v>6021</v>
      </c>
      <c r="BG36" s="79" t="s">
        <v>6022</v>
      </c>
      <c r="BH36" s="79" t="s">
        <v>6023</v>
      </c>
      <c r="BI36" s="79" t="s">
        <v>6024</v>
      </c>
      <c r="BJ36" s="79" t="s">
        <v>6025</v>
      </c>
      <c r="BK36" s="79" t="s">
        <v>6026</v>
      </c>
      <c r="BL36" s="79" t="s">
        <v>6027</v>
      </c>
      <c r="BM36" s="79" t="s">
        <v>6028</v>
      </c>
      <c r="BN36" s="79" t="s">
        <v>6029</v>
      </c>
      <c r="BO36" s="144" t="s">
        <v>6030</v>
      </c>
      <c r="BP36" s="144" t="s">
        <v>6031</v>
      </c>
      <c r="BQ36" s="144" t="s">
        <v>6032</v>
      </c>
      <c r="BR36" s="144" t="s">
        <v>6033</v>
      </c>
      <c r="BS36" s="144" t="s">
        <v>6034</v>
      </c>
      <c r="BT36" s="144" t="s">
        <v>6035</v>
      </c>
      <c r="BU36" s="144" t="s">
        <v>6036</v>
      </c>
      <c r="BV36" s="144" t="s">
        <v>6037</v>
      </c>
      <c r="BW36" s="144" t="s">
        <v>6038</v>
      </c>
      <c r="BX36" s="144" t="s">
        <v>6039</v>
      </c>
      <c r="BY36" s="144" t="s">
        <v>6040</v>
      </c>
      <c r="BZ36" s="144" t="s">
        <v>6041</v>
      </c>
      <c r="CA36" s="144" t="s">
        <v>6042</v>
      </c>
      <c r="CB36" s="144" t="s">
        <v>6043</v>
      </c>
      <c r="CC36" s="144" t="s">
        <v>6044</v>
      </c>
      <c r="CD36" s="144" t="s">
        <v>6045</v>
      </c>
      <c r="CE36" s="79" t="s">
        <v>6046</v>
      </c>
      <c r="CF36" s="79" t="s">
        <v>6047</v>
      </c>
      <c r="CG36" s="79" t="s">
        <v>6048</v>
      </c>
      <c r="CH36" s="144" t="s">
        <v>6049</v>
      </c>
      <c r="CI36" s="144" t="s">
        <v>6050</v>
      </c>
      <c r="CJ36" s="144" t="s">
        <v>6051</v>
      </c>
      <c r="CK36" s="144" t="s">
        <v>6052</v>
      </c>
      <c r="CL36" s="144" t="s">
        <v>6053</v>
      </c>
      <c r="CM36" s="144" t="s">
        <v>6054</v>
      </c>
      <c r="CN36" s="144" t="s">
        <v>6055</v>
      </c>
      <c r="CO36" s="144" t="s">
        <v>6056</v>
      </c>
      <c r="CP36" s="144" t="s">
        <v>6057</v>
      </c>
      <c r="CQ36" s="144" t="s">
        <v>6058</v>
      </c>
      <c r="CR36" s="144" t="s">
        <v>6059</v>
      </c>
      <c r="CS36" s="144" t="s">
        <v>6060</v>
      </c>
      <c r="CT36" s="144" t="s">
        <v>6061</v>
      </c>
      <c r="CU36" s="144" t="s">
        <v>6062</v>
      </c>
      <c r="CV36" s="144" t="s">
        <v>6063</v>
      </c>
      <c r="CW36" s="144" t="s">
        <v>6064</v>
      </c>
      <c r="CX36" s="79" t="s">
        <v>6065</v>
      </c>
      <c r="CY36" s="79" t="s">
        <v>6066</v>
      </c>
      <c r="CZ36" s="79" t="s">
        <v>6067</v>
      </c>
      <c r="DA36" s="79" t="s">
        <v>6068</v>
      </c>
      <c r="DB36" s="79" t="s">
        <v>6069</v>
      </c>
      <c r="DC36" s="79" t="s">
        <v>6070</v>
      </c>
      <c r="DD36" s="79" t="s">
        <v>6071</v>
      </c>
      <c r="DE36" s="79" t="s">
        <v>6072</v>
      </c>
      <c r="DF36" s="79" t="s">
        <v>6073</v>
      </c>
      <c r="DG36" s="144" t="s">
        <v>6074</v>
      </c>
      <c r="DH36" s="144" t="s">
        <v>6075</v>
      </c>
      <c r="DI36" s="144" t="s">
        <v>6076</v>
      </c>
      <c r="DJ36" s="144" t="s">
        <v>6077</v>
      </c>
      <c r="DK36" s="144" t="s">
        <v>6078</v>
      </c>
      <c r="DL36" s="144" t="s">
        <v>6079</v>
      </c>
      <c r="DM36" s="144" t="s">
        <v>6080</v>
      </c>
      <c r="DN36" s="144" t="s">
        <v>6081</v>
      </c>
      <c r="DO36" s="144" t="s">
        <v>6082</v>
      </c>
      <c r="DP36" s="144" t="s">
        <v>6083</v>
      </c>
      <c r="DQ36" s="79" t="s">
        <v>6084</v>
      </c>
      <c r="DR36" s="144" t="s">
        <v>6085</v>
      </c>
      <c r="DS36" s="144" t="s">
        <v>6086</v>
      </c>
      <c r="DT36" s="144" t="s">
        <v>6087</v>
      </c>
      <c r="DU36" s="144" t="s">
        <v>6088</v>
      </c>
      <c r="DV36" s="144" t="s">
        <v>6089</v>
      </c>
      <c r="DW36" s="144" t="s">
        <v>6090</v>
      </c>
      <c r="DX36" s="144" t="s">
        <v>6091</v>
      </c>
      <c r="DY36" s="144" t="s">
        <v>6092</v>
      </c>
      <c r="DZ36" s="144" t="s">
        <v>6093</v>
      </c>
      <c r="EA36" s="144" t="s">
        <v>6094</v>
      </c>
      <c r="EB36" s="144" t="s">
        <v>6095</v>
      </c>
      <c r="EC36" s="144" t="s">
        <v>6096</v>
      </c>
      <c r="ED36" s="79" t="s">
        <v>6097</v>
      </c>
      <c r="EE36" s="79" t="s">
        <v>6098</v>
      </c>
      <c r="EF36" s="79" t="s">
        <v>6099</v>
      </c>
      <c r="EG36" s="79" t="s">
        <v>6100</v>
      </c>
      <c r="EH36" s="79" t="s">
        <v>6101</v>
      </c>
    </row>
    <row r="37" spans="3:138" ht="20.100000000000001" customHeight="1" x14ac:dyDescent="0.25">
      <c r="C37" s="76">
        <v>-4</v>
      </c>
      <c r="G37" s="79" t="s">
        <v>3562</v>
      </c>
      <c r="H37" s="79" t="s">
        <v>3535</v>
      </c>
      <c r="I37" s="79" t="s">
        <v>3503</v>
      </c>
      <c r="J37" s="79" t="s">
        <v>3470</v>
      </c>
      <c r="K37" s="79" t="s">
        <v>3435</v>
      </c>
      <c r="L37" s="144" t="s">
        <v>3399</v>
      </c>
      <c r="M37" s="144" t="s">
        <v>3362</v>
      </c>
      <c r="N37" s="144" t="s">
        <v>3324</v>
      </c>
      <c r="O37" s="144" t="s">
        <v>3286</v>
      </c>
      <c r="P37" s="144" t="s">
        <v>3247</v>
      </c>
      <c r="Q37" s="144" t="s">
        <v>3208</v>
      </c>
      <c r="R37" s="144" t="s">
        <v>3169</v>
      </c>
      <c r="S37" s="144" t="s">
        <v>3130</v>
      </c>
      <c r="T37" s="144" t="s">
        <v>3091</v>
      </c>
      <c r="U37" s="144" t="s">
        <v>3052</v>
      </c>
      <c r="V37" s="144" t="s">
        <v>3013</v>
      </c>
      <c r="W37" s="144" t="s">
        <v>2974</v>
      </c>
      <c r="X37" s="144" t="s">
        <v>2935</v>
      </c>
      <c r="Y37" s="144" t="s">
        <v>2896</v>
      </c>
      <c r="Z37" s="144" t="s">
        <v>2857</v>
      </c>
      <c r="AA37" s="144" t="s">
        <v>2818</v>
      </c>
      <c r="AB37" s="144" t="s">
        <v>2779</v>
      </c>
      <c r="AC37" s="144" t="s">
        <v>2740</v>
      </c>
      <c r="AD37" s="144" t="s">
        <v>2701</v>
      </c>
      <c r="AE37" s="144" t="s">
        <v>2662</v>
      </c>
      <c r="AF37" s="144" t="s">
        <v>2623</v>
      </c>
      <c r="AG37" s="144" t="s">
        <v>2584</v>
      </c>
      <c r="AH37" s="144" t="s">
        <v>2545</v>
      </c>
      <c r="AI37" s="144" t="s">
        <v>2506</v>
      </c>
      <c r="AJ37" s="144" t="s">
        <v>2468</v>
      </c>
      <c r="AK37" s="144" t="s">
        <v>2430</v>
      </c>
      <c r="AL37" s="79" t="s">
        <v>2393</v>
      </c>
      <c r="AM37" s="79" t="s">
        <v>2356</v>
      </c>
      <c r="AN37" s="79" t="s">
        <v>2320</v>
      </c>
      <c r="AO37" s="79" t="s">
        <v>2284</v>
      </c>
      <c r="AP37" s="79" t="s">
        <v>2249</v>
      </c>
      <c r="AQ37" s="79" t="s">
        <v>2215</v>
      </c>
      <c r="AR37" s="79" t="s">
        <v>2183</v>
      </c>
      <c r="AS37" s="79" t="s">
        <v>2152</v>
      </c>
      <c r="AT37" s="144" t="s">
        <v>6102</v>
      </c>
      <c r="AU37" s="79" t="s">
        <v>6103</v>
      </c>
      <c r="AV37" s="79" t="s">
        <v>6104</v>
      </c>
      <c r="AW37" s="79" t="s">
        <v>6105</v>
      </c>
      <c r="AX37" s="79" t="s">
        <v>6106</v>
      </c>
      <c r="AY37" s="79" t="s">
        <v>6107</v>
      </c>
      <c r="AZ37" s="79" t="s">
        <v>6108</v>
      </c>
      <c r="BA37" s="79" t="s">
        <v>6109</v>
      </c>
      <c r="BB37" s="79" t="s">
        <v>6110</v>
      </c>
      <c r="BC37" s="79" t="s">
        <v>6111</v>
      </c>
      <c r="BD37" s="79" t="s">
        <v>6112</v>
      </c>
      <c r="BE37" s="79" t="s">
        <v>6113</v>
      </c>
      <c r="BF37" s="144" t="s">
        <v>6114</v>
      </c>
      <c r="BG37" s="144" t="s">
        <v>6115</v>
      </c>
      <c r="BH37" s="144" t="s">
        <v>6116</v>
      </c>
      <c r="BI37" s="144" t="s">
        <v>6117</v>
      </c>
      <c r="BJ37" s="144" t="s">
        <v>6118</v>
      </c>
      <c r="BK37" s="144" t="s">
        <v>6119</v>
      </c>
      <c r="BL37" s="144" t="s">
        <v>6120</v>
      </c>
      <c r="BM37" s="144" t="s">
        <v>6121</v>
      </c>
      <c r="BN37" s="144" t="s">
        <v>6122</v>
      </c>
      <c r="BO37" s="144" t="s">
        <v>6123</v>
      </c>
      <c r="BP37" s="144" t="s">
        <v>6124</v>
      </c>
      <c r="BQ37" s="144" t="s">
        <v>6125</v>
      </c>
      <c r="BR37" s="144" t="s">
        <v>6126</v>
      </c>
      <c r="BS37" s="144" t="s">
        <v>6127</v>
      </c>
      <c r="BT37" s="144" t="s">
        <v>6128</v>
      </c>
      <c r="BU37" s="144" t="s">
        <v>6129</v>
      </c>
      <c r="BV37" s="144" t="s">
        <v>6130</v>
      </c>
      <c r="BW37" s="144" t="s">
        <v>6131</v>
      </c>
      <c r="BX37" s="144" t="s">
        <v>6132</v>
      </c>
      <c r="BY37" s="144" t="s">
        <v>6133</v>
      </c>
      <c r="BZ37" s="144" t="s">
        <v>6134</v>
      </c>
      <c r="CA37" s="144" t="s">
        <v>6135</v>
      </c>
      <c r="CB37" s="144" t="s">
        <v>6136</v>
      </c>
      <c r="CC37" s="144" t="s">
        <v>6137</v>
      </c>
      <c r="CD37" s="144" t="s">
        <v>6138</v>
      </c>
      <c r="CE37" s="79" t="s">
        <v>6139</v>
      </c>
      <c r="CF37" s="79" t="s">
        <v>6140</v>
      </c>
      <c r="CG37" s="79" t="s">
        <v>6141</v>
      </c>
      <c r="CH37" s="144" t="s">
        <v>6142</v>
      </c>
      <c r="CI37" s="144" t="s">
        <v>6143</v>
      </c>
      <c r="CJ37" s="144" t="s">
        <v>6144</v>
      </c>
      <c r="CK37" s="144" t="s">
        <v>6145</v>
      </c>
      <c r="CL37" s="144" t="s">
        <v>6146</v>
      </c>
      <c r="CM37" s="144" t="s">
        <v>6147</v>
      </c>
      <c r="CN37" s="144" t="s">
        <v>6148</v>
      </c>
      <c r="CO37" s="144" t="s">
        <v>6149</v>
      </c>
      <c r="CP37" s="144" t="s">
        <v>6150</v>
      </c>
      <c r="CQ37" s="144" t="s">
        <v>6151</v>
      </c>
      <c r="CR37" s="144" t="s">
        <v>6152</v>
      </c>
      <c r="CS37" s="144" t="s">
        <v>6153</v>
      </c>
      <c r="CT37" s="144" t="s">
        <v>6154</v>
      </c>
      <c r="CU37" s="144" t="s">
        <v>6155</v>
      </c>
      <c r="CV37" s="144" t="s">
        <v>6156</v>
      </c>
      <c r="CW37" s="144" t="s">
        <v>6157</v>
      </c>
      <c r="CX37" s="79" t="s">
        <v>6158</v>
      </c>
      <c r="CY37" s="79" t="s">
        <v>6159</v>
      </c>
      <c r="CZ37" s="79" t="s">
        <v>6160</v>
      </c>
      <c r="DA37" s="79" t="s">
        <v>6161</v>
      </c>
      <c r="DB37" s="79" t="s">
        <v>6162</v>
      </c>
      <c r="DC37" s="79" t="s">
        <v>6163</v>
      </c>
      <c r="DD37" s="79" t="s">
        <v>6164</v>
      </c>
      <c r="DE37" s="79" t="s">
        <v>6165</v>
      </c>
      <c r="DF37" s="79" t="s">
        <v>6166</v>
      </c>
      <c r="DG37" s="144" t="s">
        <v>6167</v>
      </c>
      <c r="DH37" s="144" t="s">
        <v>6168</v>
      </c>
      <c r="DI37" s="144" t="s">
        <v>6169</v>
      </c>
      <c r="DJ37" s="144" t="s">
        <v>6170</v>
      </c>
      <c r="DK37" s="144" t="s">
        <v>6171</v>
      </c>
      <c r="DL37" s="144" t="s">
        <v>6172</v>
      </c>
      <c r="DM37" s="144" t="s">
        <v>6173</v>
      </c>
      <c r="DN37" s="144" t="s">
        <v>6174</v>
      </c>
      <c r="DO37" s="144" t="s">
        <v>6175</v>
      </c>
      <c r="DP37" s="144" t="s">
        <v>6176</v>
      </c>
      <c r="DQ37" s="79" t="s">
        <v>6177</v>
      </c>
      <c r="DR37" s="144" t="s">
        <v>6178</v>
      </c>
      <c r="DS37" s="144" t="s">
        <v>6179</v>
      </c>
      <c r="DT37" s="144" t="s">
        <v>6180</v>
      </c>
      <c r="DU37" s="144" t="s">
        <v>6181</v>
      </c>
      <c r="DV37" s="144" t="s">
        <v>6182</v>
      </c>
      <c r="DW37" s="144" t="s">
        <v>6183</v>
      </c>
      <c r="DX37" s="144" t="s">
        <v>6184</v>
      </c>
      <c r="DY37" s="144" t="s">
        <v>6185</v>
      </c>
      <c r="DZ37" s="144" t="s">
        <v>6186</v>
      </c>
      <c r="EA37" s="144" t="s">
        <v>6187</v>
      </c>
      <c r="EB37" s="144" t="s">
        <v>6188</v>
      </c>
      <c r="EC37" s="144" t="s">
        <v>6189</v>
      </c>
      <c r="ED37" s="79" t="s">
        <v>6190</v>
      </c>
      <c r="EE37" s="79" t="s">
        <v>6191</v>
      </c>
      <c r="EF37" s="79" t="s">
        <v>6192</v>
      </c>
      <c r="EG37" s="79" t="s">
        <v>6193</v>
      </c>
      <c r="EH37" s="79" t="s">
        <v>6194</v>
      </c>
    </row>
    <row r="38" spans="3:138" ht="20.100000000000001" customHeight="1" x14ac:dyDescent="0.25">
      <c r="C38" s="76">
        <v>-5</v>
      </c>
      <c r="G38" s="79" t="s">
        <v>3561</v>
      </c>
      <c r="H38" s="79" t="s">
        <v>3534</v>
      </c>
      <c r="I38" s="79" t="s">
        <v>3502</v>
      </c>
      <c r="J38" s="79" t="s">
        <v>3469</v>
      </c>
      <c r="K38" s="79" t="s">
        <v>3434</v>
      </c>
      <c r="L38" s="144" t="s">
        <v>3398</v>
      </c>
      <c r="M38" s="144" t="s">
        <v>3361</v>
      </c>
      <c r="N38" s="144" t="s">
        <v>3323</v>
      </c>
      <c r="O38" s="144" t="s">
        <v>3285</v>
      </c>
      <c r="P38" s="144" t="s">
        <v>3246</v>
      </c>
      <c r="Q38" s="144" t="s">
        <v>3207</v>
      </c>
      <c r="R38" s="144" t="s">
        <v>3168</v>
      </c>
      <c r="S38" s="144" t="s">
        <v>3129</v>
      </c>
      <c r="T38" s="144" t="s">
        <v>3090</v>
      </c>
      <c r="U38" s="144" t="s">
        <v>3051</v>
      </c>
      <c r="V38" s="144" t="s">
        <v>3012</v>
      </c>
      <c r="W38" s="144" t="s">
        <v>2973</v>
      </c>
      <c r="X38" s="144" t="s">
        <v>2934</v>
      </c>
      <c r="Y38" s="144" t="s">
        <v>2895</v>
      </c>
      <c r="Z38" s="144" t="s">
        <v>2856</v>
      </c>
      <c r="AA38" s="144" t="s">
        <v>2817</v>
      </c>
      <c r="AB38" s="144" t="s">
        <v>2778</v>
      </c>
      <c r="AC38" s="144" t="s">
        <v>2739</v>
      </c>
      <c r="AD38" s="144" t="s">
        <v>2700</v>
      </c>
      <c r="AE38" s="144" t="s">
        <v>2661</v>
      </c>
      <c r="AF38" s="144" t="s">
        <v>2622</v>
      </c>
      <c r="AG38" s="144" t="s">
        <v>2583</v>
      </c>
      <c r="AH38" s="144" t="s">
        <v>2544</v>
      </c>
      <c r="AI38" s="144" t="s">
        <v>2505</v>
      </c>
      <c r="AJ38" s="144" t="s">
        <v>2467</v>
      </c>
      <c r="AK38" s="144" t="s">
        <v>2429</v>
      </c>
      <c r="AL38" s="79" t="s">
        <v>2392</v>
      </c>
      <c r="AM38" s="79" t="s">
        <v>2355</v>
      </c>
      <c r="AN38" s="79" t="s">
        <v>2319</v>
      </c>
      <c r="AO38" s="79" t="s">
        <v>2283</v>
      </c>
      <c r="AP38" s="79" t="s">
        <v>2248</v>
      </c>
      <c r="AQ38" s="79" t="s">
        <v>2214</v>
      </c>
      <c r="AR38" s="79" t="s">
        <v>2182</v>
      </c>
      <c r="AS38" s="79" t="s">
        <v>2151</v>
      </c>
      <c r="AT38" s="144" t="s">
        <v>6195</v>
      </c>
      <c r="AU38" s="79" t="s">
        <v>6196</v>
      </c>
      <c r="AV38" s="79" t="s">
        <v>6197</v>
      </c>
      <c r="AW38" s="79" t="s">
        <v>6198</v>
      </c>
      <c r="AX38" s="79" t="s">
        <v>6199</v>
      </c>
      <c r="AY38" s="79" t="s">
        <v>6200</v>
      </c>
      <c r="AZ38" s="79" t="s">
        <v>6201</v>
      </c>
      <c r="BA38" s="79" t="s">
        <v>6202</v>
      </c>
      <c r="BB38" s="79" t="s">
        <v>6203</v>
      </c>
      <c r="BC38" s="79" t="s">
        <v>6204</v>
      </c>
      <c r="BD38" s="79" t="s">
        <v>6205</v>
      </c>
      <c r="BE38" s="79" t="s">
        <v>6206</v>
      </c>
      <c r="BF38" s="144" t="s">
        <v>6207</v>
      </c>
      <c r="BG38" s="144" t="s">
        <v>6208</v>
      </c>
      <c r="BH38" s="144" t="s">
        <v>6209</v>
      </c>
      <c r="BI38" s="144" t="s">
        <v>6210</v>
      </c>
      <c r="BJ38" s="144" t="s">
        <v>6211</v>
      </c>
      <c r="BK38" s="144" t="s">
        <v>6212</v>
      </c>
      <c r="BL38" s="144" t="s">
        <v>6213</v>
      </c>
      <c r="BM38" s="144" t="s">
        <v>6214</v>
      </c>
      <c r="BN38" s="144" t="s">
        <v>6215</v>
      </c>
      <c r="BO38" s="144" t="s">
        <v>6216</v>
      </c>
      <c r="BP38" s="144" t="s">
        <v>6217</v>
      </c>
      <c r="BQ38" s="144" t="s">
        <v>6218</v>
      </c>
      <c r="BR38" s="144" t="s">
        <v>6219</v>
      </c>
      <c r="BS38" s="144" t="s">
        <v>6220</v>
      </c>
      <c r="BT38" s="144" t="s">
        <v>6221</v>
      </c>
      <c r="BU38" s="144" t="s">
        <v>6222</v>
      </c>
      <c r="BV38" s="144" t="s">
        <v>6223</v>
      </c>
      <c r="BW38" s="144" t="s">
        <v>6224</v>
      </c>
      <c r="BX38" s="144" t="s">
        <v>6225</v>
      </c>
      <c r="BY38" s="144" t="s">
        <v>6226</v>
      </c>
      <c r="BZ38" s="144" t="s">
        <v>6227</v>
      </c>
      <c r="CA38" s="144" t="s">
        <v>6228</v>
      </c>
      <c r="CB38" s="144" t="s">
        <v>6229</v>
      </c>
      <c r="CC38" s="144" t="s">
        <v>6230</v>
      </c>
      <c r="CD38" s="144" t="s">
        <v>6231</v>
      </c>
      <c r="CE38" s="79" t="s">
        <v>6232</v>
      </c>
      <c r="CF38" s="79" t="s">
        <v>6233</v>
      </c>
      <c r="CG38" s="79" t="s">
        <v>6234</v>
      </c>
      <c r="CH38" s="144" t="s">
        <v>6235</v>
      </c>
      <c r="CI38" s="144" t="s">
        <v>6236</v>
      </c>
      <c r="CJ38" s="144" t="s">
        <v>6237</v>
      </c>
      <c r="CK38" s="144" t="s">
        <v>6238</v>
      </c>
      <c r="CL38" s="144" t="s">
        <v>6239</v>
      </c>
      <c r="CM38" s="144" t="s">
        <v>6240</v>
      </c>
      <c r="CN38" s="144" t="s">
        <v>6241</v>
      </c>
      <c r="CO38" s="144" t="s">
        <v>6242</v>
      </c>
      <c r="CP38" s="144" t="s">
        <v>6243</v>
      </c>
      <c r="CQ38" s="144" t="s">
        <v>6244</v>
      </c>
      <c r="CR38" s="144" t="s">
        <v>6245</v>
      </c>
      <c r="CS38" s="144" t="s">
        <v>6246</v>
      </c>
      <c r="CT38" s="144" t="s">
        <v>6247</v>
      </c>
      <c r="CU38" s="144" t="s">
        <v>6248</v>
      </c>
      <c r="CV38" s="144" t="s">
        <v>6249</v>
      </c>
      <c r="CW38" s="144" t="s">
        <v>6250</v>
      </c>
      <c r="CX38" s="79" t="s">
        <v>6251</v>
      </c>
      <c r="CY38" s="79" t="s">
        <v>6252</v>
      </c>
      <c r="CZ38" s="79" t="s">
        <v>6253</v>
      </c>
      <c r="DA38" s="79" t="s">
        <v>6254</v>
      </c>
      <c r="DB38" s="79" t="s">
        <v>6255</v>
      </c>
      <c r="DC38" s="79" t="s">
        <v>6256</v>
      </c>
      <c r="DD38" s="79" t="s">
        <v>6257</v>
      </c>
      <c r="DE38" s="79" t="s">
        <v>6258</v>
      </c>
      <c r="DF38" s="79" t="s">
        <v>6259</v>
      </c>
      <c r="DG38" s="144" t="s">
        <v>6260</v>
      </c>
      <c r="DH38" s="144" t="s">
        <v>6261</v>
      </c>
      <c r="DI38" s="144" t="s">
        <v>6262</v>
      </c>
      <c r="DJ38" s="144" t="s">
        <v>6263</v>
      </c>
      <c r="DK38" s="144" t="s">
        <v>6264</v>
      </c>
      <c r="DL38" s="144" t="s">
        <v>6265</v>
      </c>
      <c r="DM38" s="144" t="s">
        <v>6266</v>
      </c>
      <c r="DN38" s="144" t="s">
        <v>6267</v>
      </c>
      <c r="DO38" s="144" t="s">
        <v>6268</v>
      </c>
      <c r="DP38" s="144" t="s">
        <v>6269</v>
      </c>
      <c r="DQ38" s="79" t="s">
        <v>6270</v>
      </c>
      <c r="DR38" s="144" t="s">
        <v>6271</v>
      </c>
      <c r="DS38" s="144" t="s">
        <v>6272</v>
      </c>
      <c r="DT38" s="144" t="s">
        <v>6273</v>
      </c>
      <c r="DU38" s="144" t="s">
        <v>6274</v>
      </c>
      <c r="DV38" s="144" t="s">
        <v>6275</v>
      </c>
      <c r="DW38" s="144" t="s">
        <v>6276</v>
      </c>
      <c r="DX38" s="144" t="s">
        <v>6277</v>
      </c>
      <c r="DY38" s="144" t="s">
        <v>6278</v>
      </c>
      <c r="DZ38" s="144" t="s">
        <v>6279</v>
      </c>
      <c r="EA38" s="144" t="s">
        <v>6280</v>
      </c>
      <c r="EB38" s="144" t="s">
        <v>6281</v>
      </c>
      <c r="EC38" s="144" t="s">
        <v>6282</v>
      </c>
      <c r="ED38" s="79" t="s">
        <v>6283</v>
      </c>
      <c r="EE38" s="79" t="s">
        <v>6284</v>
      </c>
      <c r="EF38" s="79" t="s">
        <v>6285</v>
      </c>
      <c r="EG38" s="79" t="s">
        <v>6286</v>
      </c>
      <c r="EH38" s="79" t="s">
        <v>6287</v>
      </c>
    </row>
    <row r="39" spans="3:138" ht="20.100000000000001" customHeight="1" x14ac:dyDescent="0.25">
      <c r="C39" s="76">
        <v>-6</v>
      </c>
      <c r="G39" s="79" t="s">
        <v>3560</v>
      </c>
      <c r="H39" s="79" t="s">
        <v>3533</v>
      </c>
      <c r="I39" s="79" t="s">
        <v>3501</v>
      </c>
      <c r="J39" s="79" t="s">
        <v>3468</v>
      </c>
      <c r="K39" s="79" t="s">
        <v>3433</v>
      </c>
      <c r="L39" s="144" t="s">
        <v>3397</v>
      </c>
      <c r="M39" s="144" t="s">
        <v>3360</v>
      </c>
      <c r="N39" s="144" t="s">
        <v>3322</v>
      </c>
      <c r="O39" s="144" t="s">
        <v>3284</v>
      </c>
      <c r="P39" s="144" t="s">
        <v>3245</v>
      </c>
      <c r="Q39" s="144" t="s">
        <v>3206</v>
      </c>
      <c r="R39" s="144" t="s">
        <v>3167</v>
      </c>
      <c r="S39" s="144" t="s">
        <v>3128</v>
      </c>
      <c r="T39" s="144" t="s">
        <v>3089</v>
      </c>
      <c r="U39" s="144" t="s">
        <v>3050</v>
      </c>
      <c r="V39" s="144" t="s">
        <v>3011</v>
      </c>
      <c r="W39" s="144" t="s">
        <v>2972</v>
      </c>
      <c r="X39" s="144" t="s">
        <v>2933</v>
      </c>
      <c r="Y39" s="144" t="s">
        <v>2894</v>
      </c>
      <c r="Z39" s="144" t="s">
        <v>2855</v>
      </c>
      <c r="AA39" s="144" t="s">
        <v>2816</v>
      </c>
      <c r="AB39" s="144" t="s">
        <v>2777</v>
      </c>
      <c r="AC39" s="144" t="s">
        <v>2738</v>
      </c>
      <c r="AD39" s="144" t="s">
        <v>2699</v>
      </c>
      <c r="AE39" s="144" t="s">
        <v>2660</v>
      </c>
      <c r="AF39" s="144" t="s">
        <v>2621</v>
      </c>
      <c r="AG39" s="144" t="s">
        <v>2582</v>
      </c>
      <c r="AH39" s="144" t="s">
        <v>2543</v>
      </c>
      <c r="AI39" s="144" t="s">
        <v>2504</v>
      </c>
      <c r="AJ39" s="144" t="s">
        <v>2466</v>
      </c>
      <c r="AK39" s="144" t="s">
        <v>2428</v>
      </c>
      <c r="AL39" s="79" t="s">
        <v>2391</v>
      </c>
      <c r="AM39" s="79" t="s">
        <v>2354</v>
      </c>
      <c r="AN39" s="79" t="s">
        <v>2318</v>
      </c>
      <c r="AO39" s="79" t="s">
        <v>2282</v>
      </c>
      <c r="AP39" s="79" t="s">
        <v>2247</v>
      </c>
      <c r="AQ39" s="79" t="s">
        <v>2213</v>
      </c>
      <c r="AR39" s="79" t="s">
        <v>2181</v>
      </c>
      <c r="AS39" s="79" t="s">
        <v>6288</v>
      </c>
      <c r="AT39" s="144" t="s">
        <v>6289</v>
      </c>
      <c r="AU39" s="79" t="s">
        <v>6290</v>
      </c>
      <c r="AV39" s="79" t="s">
        <v>6291</v>
      </c>
      <c r="AW39" s="79" t="s">
        <v>6292</v>
      </c>
      <c r="AX39" s="79" t="s">
        <v>6293</v>
      </c>
      <c r="AY39" s="79" t="s">
        <v>6294</v>
      </c>
      <c r="AZ39" s="79" t="s">
        <v>6295</v>
      </c>
      <c r="BA39" s="79" t="s">
        <v>6296</v>
      </c>
      <c r="BB39" s="79" t="s">
        <v>6297</v>
      </c>
      <c r="BC39" s="79" t="s">
        <v>6298</v>
      </c>
      <c r="BD39" s="79" t="s">
        <v>6299</v>
      </c>
      <c r="BE39" s="79" t="s">
        <v>6300</v>
      </c>
      <c r="BF39" s="79" t="s">
        <v>6301</v>
      </c>
      <c r="BG39" s="79" t="s">
        <v>6302</v>
      </c>
      <c r="BH39" s="79" t="s">
        <v>6303</v>
      </c>
      <c r="BI39" s="79" t="s">
        <v>6304</v>
      </c>
      <c r="BJ39" s="144" t="s">
        <v>6305</v>
      </c>
      <c r="BK39" s="144" t="s">
        <v>6306</v>
      </c>
      <c r="BL39" s="144" t="s">
        <v>6307</v>
      </c>
      <c r="BM39" s="144" t="s">
        <v>6308</v>
      </c>
      <c r="BN39" s="144" t="s">
        <v>6309</v>
      </c>
      <c r="BO39" s="144" t="s">
        <v>6310</v>
      </c>
      <c r="BP39" s="144" t="s">
        <v>6311</v>
      </c>
      <c r="BQ39" s="144" t="s">
        <v>6312</v>
      </c>
      <c r="BR39" s="144" t="s">
        <v>6313</v>
      </c>
      <c r="BS39" s="144" t="s">
        <v>6314</v>
      </c>
      <c r="BT39" s="144" t="s">
        <v>6315</v>
      </c>
      <c r="BU39" s="144" t="s">
        <v>6316</v>
      </c>
      <c r="BV39" s="144" t="s">
        <v>6317</v>
      </c>
      <c r="BW39" s="144" t="s">
        <v>6318</v>
      </c>
      <c r="BX39" s="144" t="s">
        <v>6319</v>
      </c>
      <c r="BY39" s="144" t="s">
        <v>6320</v>
      </c>
      <c r="BZ39" s="144" t="s">
        <v>6321</v>
      </c>
      <c r="CA39" s="144" t="s">
        <v>6322</v>
      </c>
      <c r="CB39" s="144" t="s">
        <v>6323</v>
      </c>
      <c r="CC39" s="144" t="s">
        <v>6324</v>
      </c>
      <c r="CD39" s="144" t="s">
        <v>6325</v>
      </c>
      <c r="CE39" s="79" t="s">
        <v>6326</v>
      </c>
      <c r="CF39" s="79" t="s">
        <v>6327</v>
      </c>
      <c r="CG39" s="79" t="s">
        <v>6328</v>
      </c>
      <c r="CH39" s="144" t="s">
        <v>6329</v>
      </c>
      <c r="CI39" s="144" t="s">
        <v>6330</v>
      </c>
      <c r="CJ39" s="144" t="s">
        <v>6331</v>
      </c>
      <c r="CK39" s="144" t="s">
        <v>6332</v>
      </c>
      <c r="CL39" s="144" t="s">
        <v>6333</v>
      </c>
      <c r="CM39" s="144" t="s">
        <v>6334</v>
      </c>
      <c r="CN39" s="144" t="s">
        <v>6335</v>
      </c>
      <c r="CO39" s="144" t="s">
        <v>6336</v>
      </c>
      <c r="CP39" s="144" t="s">
        <v>6337</v>
      </c>
      <c r="CQ39" s="144" t="s">
        <v>6338</v>
      </c>
      <c r="CR39" s="144" t="s">
        <v>6339</v>
      </c>
      <c r="CS39" s="144" t="s">
        <v>6340</v>
      </c>
      <c r="CT39" s="144" t="s">
        <v>6341</v>
      </c>
      <c r="CU39" s="144" t="s">
        <v>6342</v>
      </c>
      <c r="CV39" s="144" t="s">
        <v>6343</v>
      </c>
      <c r="CW39" s="144" t="s">
        <v>6344</v>
      </c>
      <c r="CX39" s="79" t="s">
        <v>6345</v>
      </c>
      <c r="CY39" s="79" t="s">
        <v>6346</v>
      </c>
      <c r="CZ39" s="79" t="s">
        <v>6347</v>
      </c>
      <c r="DA39" s="79" t="s">
        <v>6348</v>
      </c>
      <c r="DB39" s="79" t="s">
        <v>6349</v>
      </c>
      <c r="DC39" s="79" t="s">
        <v>6350</v>
      </c>
      <c r="DD39" s="79" t="s">
        <v>6351</v>
      </c>
      <c r="DE39" s="79" t="s">
        <v>6352</v>
      </c>
      <c r="DF39" s="79" t="s">
        <v>6353</v>
      </c>
      <c r="DG39" s="144" t="s">
        <v>6354</v>
      </c>
      <c r="DH39" s="144" t="s">
        <v>6355</v>
      </c>
      <c r="DI39" s="144" t="s">
        <v>6356</v>
      </c>
      <c r="DJ39" s="144" t="s">
        <v>6357</v>
      </c>
      <c r="DK39" s="144" t="s">
        <v>6358</v>
      </c>
      <c r="DL39" s="144" t="s">
        <v>6359</v>
      </c>
      <c r="DM39" s="144" t="s">
        <v>6360</v>
      </c>
      <c r="DN39" s="144" t="s">
        <v>6361</v>
      </c>
      <c r="DO39" s="144" t="s">
        <v>6362</v>
      </c>
      <c r="DP39" s="144" t="s">
        <v>6363</v>
      </c>
      <c r="DQ39" s="79" t="s">
        <v>6364</v>
      </c>
      <c r="DR39" s="144" t="s">
        <v>6365</v>
      </c>
      <c r="DS39" s="144" t="s">
        <v>6366</v>
      </c>
      <c r="DT39" s="144" t="s">
        <v>6367</v>
      </c>
      <c r="DU39" s="144" t="s">
        <v>6368</v>
      </c>
      <c r="DV39" s="144" t="s">
        <v>6369</v>
      </c>
      <c r="DW39" s="144" t="s">
        <v>6370</v>
      </c>
      <c r="DX39" s="144" t="s">
        <v>6371</v>
      </c>
      <c r="DY39" s="144" t="s">
        <v>6372</v>
      </c>
      <c r="DZ39" s="144" t="s">
        <v>6373</v>
      </c>
      <c r="EA39" s="144" t="s">
        <v>6374</v>
      </c>
      <c r="EB39" s="144" t="s">
        <v>6375</v>
      </c>
      <c r="EC39" s="144" t="s">
        <v>6376</v>
      </c>
      <c r="ED39" s="79" t="s">
        <v>6377</v>
      </c>
      <c r="EE39" s="79" t="s">
        <v>6378</v>
      </c>
      <c r="EF39" s="79" t="s">
        <v>6379</v>
      </c>
      <c r="EG39" s="79" t="s">
        <v>6380</v>
      </c>
      <c r="EH39" s="79" t="s">
        <v>6381</v>
      </c>
    </row>
    <row r="40" spans="3:138" ht="20.100000000000001" customHeight="1" x14ac:dyDescent="0.25">
      <c r="C40" s="76">
        <v>-7</v>
      </c>
      <c r="G40" s="79" t="s">
        <v>3559</v>
      </c>
      <c r="H40" s="79" t="s">
        <v>3532</v>
      </c>
      <c r="I40" s="79" t="s">
        <v>3500</v>
      </c>
      <c r="J40" s="79" t="s">
        <v>3467</v>
      </c>
      <c r="K40" s="79" t="s">
        <v>3432</v>
      </c>
      <c r="L40" s="144" t="s">
        <v>3396</v>
      </c>
      <c r="M40" s="144" t="s">
        <v>3359</v>
      </c>
      <c r="N40" s="144" t="s">
        <v>3321</v>
      </c>
      <c r="O40" s="144" t="s">
        <v>3283</v>
      </c>
      <c r="P40" s="144" t="s">
        <v>3244</v>
      </c>
      <c r="Q40" s="144" t="s">
        <v>3205</v>
      </c>
      <c r="R40" s="144" t="s">
        <v>3166</v>
      </c>
      <c r="S40" s="144" t="s">
        <v>3127</v>
      </c>
      <c r="T40" s="144" t="s">
        <v>3088</v>
      </c>
      <c r="U40" s="144" t="s">
        <v>3049</v>
      </c>
      <c r="V40" s="144" t="s">
        <v>3010</v>
      </c>
      <c r="W40" s="144" t="s">
        <v>2971</v>
      </c>
      <c r="X40" s="144" t="s">
        <v>2932</v>
      </c>
      <c r="Y40" s="144" t="s">
        <v>2893</v>
      </c>
      <c r="Z40" s="144" t="s">
        <v>2854</v>
      </c>
      <c r="AA40" s="144" t="s">
        <v>2815</v>
      </c>
      <c r="AB40" s="144" t="s">
        <v>2776</v>
      </c>
      <c r="AC40" s="144" t="s">
        <v>2737</v>
      </c>
      <c r="AD40" s="144" t="s">
        <v>2698</v>
      </c>
      <c r="AE40" s="144" t="s">
        <v>2659</v>
      </c>
      <c r="AF40" s="144" t="s">
        <v>2620</v>
      </c>
      <c r="AG40" s="144" t="s">
        <v>2581</v>
      </c>
      <c r="AH40" s="144" t="s">
        <v>2542</v>
      </c>
      <c r="AI40" s="144" t="s">
        <v>2503</v>
      </c>
      <c r="AJ40" s="144" t="s">
        <v>2465</v>
      </c>
      <c r="AK40" s="144" t="s">
        <v>2427</v>
      </c>
      <c r="AL40" s="79" t="s">
        <v>2390</v>
      </c>
      <c r="AM40" s="79" t="s">
        <v>2353</v>
      </c>
      <c r="AN40" s="79" t="s">
        <v>2317</v>
      </c>
      <c r="AO40" s="79" t="s">
        <v>2281</v>
      </c>
      <c r="AP40" s="79" t="s">
        <v>2246</v>
      </c>
      <c r="AQ40" s="79" t="s">
        <v>2212</v>
      </c>
      <c r="AR40" s="79" t="s">
        <v>2180</v>
      </c>
      <c r="AS40" s="79" t="s">
        <v>6382</v>
      </c>
      <c r="AT40" s="144" t="s">
        <v>6383</v>
      </c>
      <c r="AU40" s="79" t="s">
        <v>6384</v>
      </c>
      <c r="AV40" s="79" t="s">
        <v>6385</v>
      </c>
      <c r="AW40" s="79" t="s">
        <v>6386</v>
      </c>
      <c r="AX40" s="79" t="s">
        <v>6387</v>
      </c>
      <c r="AY40" s="79" t="s">
        <v>6388</v>
      </c>
      <c r="AZ40" s="79" t="s">
        <v>6389</v>
      </c>
      <c r="BA40" s="79" t="s">
        <v>6390</v>
      </c>
      <c r="BB40" s="79" t="s">
        <v>6391</v>
      </c>
      <c r="BC40" s="79" t="s">
        <v>6392</v>
      </c>
      <c r="BD40" s="79" t="s">
        <v>6393</v>
      </c>
      <c r="BE40" s="79" t="s">
        <v>6394</v>
      </c>
      <c r="BF40" s="79" t="s">
        <v>6395</v>
      </c>
      <c r="BG40" s="79" t="s">
        <v>6396</v>
      </c>
      <c r="BH40" s="79" t="s">
        <v>6397</v>
      </c>
      <c r="BI40" s="79" t="s">
        <v>6398</v>
      </c>
      <c r="BJ40" s="144" t="s">
        <v>6399</v>
      </c>
      <c r="BK40" s="144" t="s">
        <v>6400</v>
      </c>
      <c r="BL40" s="144" t="s">
        <v>6401</v>
      </c>
      <c r="BM40" s="144" t="s">
        <v>6402</v>
      </c>
      <c r="BN40" s="144" t="s">
        <v>6403</v>
      </c>
      <c r="BO40" s="144" t="s">
        <v>6404</v>
      </c>
      <c r="BP40" s="144" t="s">
        <v>6405</v>
      </c>
      <c r="BQ40" s="144" t="s">
        <v>6406</v>
      </c>
      <c r="BR40" s="144" t="s">
        <v>6407</v>
      </c>
      <c r="BS40" s="144" t="s">
        <v>6408</v>
      </c>
      <c r="BT40" s="144" t="s">
        <v>6409</v>
      </c>
      <c r="BU40" s="144" t="s">
        <v>6410</v>
      </c>
      <c r="BV40" s="144" t="s">
        <v>6411</v>
      </c>
      <c r="BW40" s="144" t="s">
        <v>6412</v>
      </c>
      <c r="BX40" s="144" t="s">
        <v>6413</v>
      </c>
      <c r="BY40" s="144" t="s">
        <v>6414</v>
      </c>
      <c r="BZ40" s="144" t="s">
        <v>6415</v>
      </c>
      <c r="CA40" s="144" t="s">
        <v>6416</v>
      </c>
      <c r="CB40" s="144" t="s">
        <v>6417</v>
      </c>
      <c r="CC40" s="144" t="s">
        <v>6418</v>
      </c>
      <c r="CD40" s="144" t="s">
        <v>6419</v>
      </c>
      <c r="CE40" s="79" t="s">
        <v>6420</v>
      </c>
      <c r="CF40" s="79" t="s">
        <v>6421</v>
      </c>
      <c r="CG40" s="79" t="s">
        <v>6422</v>
      </c>
      <c r="CH40" s="144" t="s">
        <v>6423</v>
      </c>
      <c r="CI40" s="144" t="s">
        <v>6424</v>
      </c>
      <c r="CJ40" s="144" t="s">
        <v>6425</v>
      </c>
      <c r="CK40" s="144" t="s">
        <v>6426</v>
      </c>
      <c r="CL40" s="144" t="s">
        <v>6427</v>
      </c>
      <c r="CM40" s="144" t="s">
        <v>6428</v>
      </c>
      <c r="CN40" s="144" t="s">
        <v>6429</v>
      </c>
      <c r="CO40" s="144" t="s">
        <v>6430</v>
      </c>
      <c r="CP40" s="144" t="s">
        <v>6431</v>
      </c>
      <c r="CQ40" s="144" t="s">
        <v>6432</v>
      </c>
      <c r="CR40" s="144" t="s">
        <v>6433</v>
      </c>
      <c r="CS40" s="144" t="s">
        <v>6434</v>
      </c>
      <c r="CT40" s="144" t="s">
        <v>6435</v>
      </c>
      <c r="CU40" s="144" t="s">
        <v>6436</v>
      </c>
      <c r="CV40" s="144" t="s">
        <v>6437</v>
      </c>
      <c r="CW40" s="144" t="s">
        <v>6438</v>
      </c>
      <c r="CX40" s="79" t="s">
        <v>6439</v>
      </c>
      <c r="CY40" s="79" t="s">
        <v>6440</v>
      </c>
      <c r="CZ40" s="79" t="s">
        <v>6441</v>
      </c>
      <c r="DA40" s="79" t="s">
        <v>6442</v>
      </c>
      <c r="DB40" s="79" t="s">
        <v>6443</v>
      </c>
      <c r="DC40" s="79" t="s">
        <v>6444</v>
      </c>
      <c r="DD40" s="79" t="s">
        <v>6445</v>
      </c>
      <c r="DE40" s="79" t="s">
        <v>6446</v>
      </c>
      <c r="DF40" s="79" t="s">
        <v>6447</v>
      </c>
      <c r="DG40" s="144" t="s">
        <v>6448</v>
      </c>
      <c r="DH40" s="144" t="s">
        <v>6449</v>
      </c>
      <c r="DI40" s="144" t="s">
        <v>6450</v>
      </c>
      <c r="DJ40" s="144" t="s">
        <v>6451</v>
      </c>
      <c r="DK40" s="144" t="s">
        <v>6452</v>
      </c>
      <c r="DL40" s="144" t="s">
        <v>6453</v>
      </c>
      <c r="DM40" s="144" t="s">
        <v>6454</v>
      </c>
      <c r="DN40" s="144" t="s">
        <v>6455</v>
      </c>
      <c r="DO40" s="144" t="s">
        <v>6456</v>
      </c>
      <c r="DP40" s="144" t="s">
        <v>6457</v>
      </c>
      <c r="DQ40" s="79" t="s">
        <v>6458</v>
      </c>
      <c r="DR40" s="144" t="s">
        <v>6459</v>
      </c>
      <c r="DS40" s="144" t="s">
        <v>6460</v>
      </c>
      <c r="DT40" s="144" t="s">
        <v>6461</v>
      </c>
      <c r="DU40" s="144" t="s">
        <v>6462</v>
      </c>
      <c r="DV40" s="144" t="s">
        <v>6463</v>
      </c>
      <c r="DW40" s="144" t="s">
        <v>6464</v>
      </c>
      <c r="DX40" s="144" t="s">
        <v>6465</v>
      </c>
      <c r="DY40" s="144" t="s">
        <v>6466</v>
      </c>
      <c r="DZ40" s="144" t="s">
        <v>6467</v>
      </c>
      <c r="EA40" s="144" t="s">
        <v>6468</v>
      </c>
      <c r="EB40" s="144" t="s">
        <v>6469</v>
      </c>
      <c r="EC40" s="144" t="s">
        <v>6470</v>
      </c>
      <c r="ED40" s="79" t="s">
        <v>6471</v>
      </c>
      <c r="EE40" s="79" t="s">
        <v>6472</v>
      </c>
      <c r="EF40" s="79" t="s">
        <v>6473</v>
      </c>
      <c r="EG40" s="79" t="s">
        <v>6474</v>
      </c>
      <c r="EH40" s="79" t="s">
        <v>6475</v>
      </c>
    </row>
    <row r="41" spans="3:138" ht="20.100000000000001" customHeight="1" x14ac:dyDescent="0.25">
      <c r="C41" s="76">
        <v>-8</v>
      </c>
      <c r="G41" s="79" t="s">
        <v>3558</v>
      </c>
      <c r="H41" s="79" t="s">
        <v>3531</v>
      </c>
      <c r="I41" s="79" t="s">
        <v>3499</v>
      </c>
      <c r="J41" s="79" t="s">
        <v>3466</v>
      </c>
      <c r="K41" s="79" t="s">
        <v>3431</v>
      </c>
      <c r="L41" s="144" t="s">
        <v>3395</v>
      </c>
      <c r="M41" s="144" t="s">
        <v>3358</v>
      </c>
      <c r="N41" s="144" t="s">
        <v>3320</v>
      </c>
      <c r="O41" s="144" t="s">
        <v>3282</v>
      </c>
      <c r="P41" s="144" t="s">
        <v>3243</v>
      </c>
      <c r="Q41" s="144" t="s">
        <v>3204</v>
      </c>
      <c r="R41" s="144" t="s">
        <v>3165</v>
      </c>
      <c r="S41" s="144" t="s">
        <v>3126</v>
      </c>
      <c r="T41" s="144" t="s">
        <v>3087</v>
      </c>
      <c r="U41" s="144" t="s">
        <v>3048</v>
      </c>
      <c r="V41" s="144" t="s">
        <v>3009</v>
      </c>
      <c r="W41" s="144" t="s">
        <v>2970</v>
      </c>
      <c r="X41" s="144" t="s">
        <v>2931</v>
      </c>
      <c r="Y41" s="144" t="s">
        <v>2892</v>
      </c>
      <c r="Z41" s="144" t="s">
        <v>2853</v>
      </c>
      <c r="AA41" s="144" t="s">
        <v>2814</v>
      </c>
      <c r="AB41" s="144" t="s">
        <v>2775</v>
      </c>
      <c r="AC41" s="144" t="s">
        <v>2736</v>
      </c>
      <c r="AD41" s="144" t="s">
        <v>2697</v>
      </c>
      <c r="AE41" s="144" t="s">
        <v>2658</v>
      </c>
      <c r="AF41" s="144" t="s">
        <v>2619</v>
      </c>
      <c r="AG41" s="144" t="s">
        <v>2580</v>
      </c>
      <c r="AH41" s="144" t="s">
        <v>2541</v>
      </c>
      <c r="AI41" s="144" t="s">
        <v>2502</v>
      </c>
      <c r="AJ41" s="144" t="s">
        <v>2464</v>
      </c>
      <c r="AK41" s="144" t="s">
        <v>2426</v>
      </c>
      <c r="AL41" s="79" t="s">
        <v>2389</v>
      </c>
      <c r="AM41" s="79" t="s">
        <v>2352</v>
      </c>
      <c r="AN41" s="79" t="s">
        <v>2316</v>
      </c>
      <c r="AO41" s="79" t="s">
        <v>2280</v>
      </c>
      <c r="AP41" s="79" t="s">
        <v>2245</v>
      </c>
      <c r="AQ41" s="79" t="s">
        <v>2211</v>
      </c>
      <c r="AR41" s="79" t="s">
        <v>6476</v>
      </c>
      <c r="AS41" s="79" t="s">
        <v>6477</v>
      </c>
      <c r="AT41" s="144" t="s">
        <v>6478</v>
      </c>
      <c r="AU41" s="79" t="s">
        <v>6479</v>
      </c>
      <c r="AV41" s="79" t="s">
        <v>6480</v>
      </c>
      <c r="AW41" s="79" t="s">
        <v>6481</v>
      </c>
      <c r="AX41" s="79" t="s">
        <v>6482</v>
      </c>
      <c r="AY41" s="79" t="s">
        <v>6483</v>
      </c>
      <c r="AZ41" s="79" t="s">
        <v>6484</v>
      </c>
      <c r="BA41" s="79" t="s">
        <v>6485</v>
      </c>
      <c r="BB41" s="79" t="s">
        <v>6486</v>
      </c>
      <c r="BC41" s="79" t="s">
        <v>6487</v>
      </c>
      <c r="BD41" s="79" t="s">
        <v>6488</v>
      </c>
      <c r="BE41" s="79" t="s">
        <v>6489</v>
      </c>
      <c r="BF41" s="79" t="s">
        <v>6490</v>
      </c>
      <c r="BG41" s="79" t="s">
        <v>6491</v>
      </c>
      <c r="BH41" s="79" t="s">
        <v>6492</v>
      </c>
      <c r="BI41" s="79" t="s">
        <v>6493</v>
      </c>
      <c r="BJ41" s="144" t="s">
        <v>6494</v>
      </c>
      <c r="BK41" s="144" t="s">
        <v>6495</v>
      </c>
      <c r="BL41" s="144" t="s">
        <v>6496</v>
      </c>
      <c r="BM41" s="144" t="s">
        <v>6497</v>
      </c>
      <c r="BN41" s="144" t="s">
        <v>6498</v>
      </c>
      <c r="BO41" s="144" t="s">
        <v>6499</v>
      </c>
      <c r="BP41" s="144" t="s">
        <v>6500</v>
      </c>
      <c r="BQ41" s="144" t="s">
        <v>6501</v>
      </c>
      <c r="BR41" s="144" t="s">
        <v>6502</v>
      </c>
      <c r="BS41" s="144" t="s">
        <v>6503</v>
      </c>
      <c r="BT41" s="144" t="s">
        <v>6504</v>
      </c>
      <c r="BU41" s="144" t="s">
        <v>6505</v>
      </c>
      <c r="BV41" s="144" t="s">
        <v>6506</v>
      </c>
      <c r="BW41" s="144" t="s">
        <v>6507</v>
      </c>
      <c r="BX41" s="144" t="s">
        <v>6508</v>
      </c>
      <c r="BY41" s="144" t="s">
        <v>6509</v>
      </c>
      <c r="BZ41" s="144" t="s">
        <v>6510</v>
      </c>
      <c r="CA41" s="144" t="s">
        <v>6511</v>
      </c>
      <c r="CB41" s="144" t="s">
        <v>6512</v>
      </c>
      <c r="CC41" s="144" t="s">
        <v>6513</v>
      </c>
      <c r="CD41" s="144" t="s">
        <v>6514</v>
      </c>
      <c r="CE41" s="79" t="s">
        <v>6515</v>
      </c>
      <c r="CF41" s="79" t="s">
        <v>6516</v>
      </c>
      <c r="CG41" s="79" t="s">
        <v>6517</v>
      </c>
      <c r="CH41" s="144" t="s">
        <v>6518</v>
      </c>
      <c r="CI41" s="144" t="s">
        <v>6519</v>
      </c>
      <c r="CJ41" s="144" t="s">
        <v>6520</v>
      </c>
      <c r="CK41" s="144" t="s">
        <v>6521</v>
      </c>
      <c r="CL41" s="144" t="s">
        <v>6522</v>
      </c>
      <c r="CM41" s="144" t="s">
        <v>6523</v>
      </c>
      <c r="CN41" s="144" t="s">
        <v>6524</v>
      </c>
      <c r="CO41" s="144" t="s">
        <v>6525</v>
      </c>
      <c r="CP41" s="144" t="s">
        <v>6526</v>
      </c>
      <c r="CQ41" s="144" t="s">
        <v>6527</v>
      </c>
      <c r="CR41" s="144" t="s">
        <v>6528</v>
      </c>
      <c r="CS41" s="144" t="s">
        <v>6529</v>
      </c>
      <c r="CT41" s="144" t="s">
        <v>6530</v>
      </c>
      <c r="CU41" s="144" t="s">
        <v>6531</v>
      </c>
      <c r="CV41" s="144" t="s">
        <v>6532</v>
      </c>
      <c r="CW41" s="144" t="s">
        <v>6533</v>
      </c>
      <c r="CX41" s="79" t="s">
        <v>6534</v>
      </c>
      <c r="CY41" s="79" t="s">
        <v>6535</v>
      </c>
      <c r="CZ41" s="79" t="s">
        <v>6536</v>
      </c>
      <c r="DA41" s="79" t="s">
        <v>6537</v>
      </c>
      <c r="DB41" s="79" t="s">
        <v>6538</v>
      </c>
      <c r="DC41" s="79" t="s">
        <v>6539</v>
      </c>
      <c r="DD41" s="79" t="s">
        <v>6540</v>
      </c>
      <c r="DE41" s="79" t="s">
        <v>6541</v>
      </c>
      <c r="DF41" s="79" t="s">
        <v>6542</v>
      </c>
      <c r="DG41" s="144" t="s">
        <v>6543</v>
      </c>
      <c r="DH41" s="144" t="s">
        <v>6544</v>
      </c>
      <c r="DI41" s="144" t="s">
        <v>6545</v>
      </c>
      <c r="DJ41" s="144" t="s">
        <v>6546</v>
      </c>
      <c r="DK41" s="144" t="s">
        <v>6547</v>
      </c>
      <c r="DL41" s="144" t="s">
        <v>6548</v>
      </c>
      <c r="DM41" s="144" t="s">
        <v>6549</v>
      </c>
      <c r="DN41" s="144" t="s">
        <v>6550</v>
      </c>
      <c r="DO41" s="144" t="s">
        <v>6551</v>
      </c>
      <c r="DP41" s="144" t="s">
        <v>6552</v>
      </c>
      <c r="DQ41" s="79" t="s">
        <v>6553</v>
      </c>
      <c r="DR41" s="144" t="s">
        <v>6554</v>
      </c>
      <c r="DS41" s="144" t="s">
        <v>6555</v>
      </c>
      <c r="DT41" s="144" t="s">
        <v>6556</v>
      </c>
      <c r="DU41" s="144" t="s">
        <v>6557</v>
      </c>
      <c r="DV41" s="144" t="s">
        <v>6558</v>
      </c>
      <c r="DW41" s="144" t="s">
        <v>6559</v>
      </c>
      <c r="DX41" s="144" t="s">
        <v>6560</v>
      </c>
      <c r="DY41" s="144" t="s">
        <v>6561</v>
      </c>
      <c r="DZ41" s="144" t="s">
        <v>6562</v>
      </c>
      <c r="EA41" s="144" t="s">
        <v>6563</v>
      </c>
      <c r="EB41" s="144" t="s">
        <v>6564</v>
      </c>
      <c r="EC41" s="144" t="s">
        <v>6565</v>
      </c>
      <c r="ED41" s="79" t="s">
        <v>6566</v>
      </c>
      <c r="EE41" s="79" t="s">
        <v>6567</v>
      </c>
      <c r="EF41" s="79" t="s">
        <v>6568</v>
      </c>
      <c r="EG41" s="79" t="s">
        <v>6569</v>
      </c>
      <c r="EH41" s="79" t="s">
        <v>6570</v>
      </c>
    </row>
    <row r="42" spans="3:138" ht="20.100000000000001" customHeight="1" x14ac:dyDescent="0.25">
      <c r="C42" s="76">
        <v>-9</v>
      </c>
      <c r="G42" s="79" t="s">
        <v>3557</v>
      </c>
      <c r="H42" s="79" t="s">
        <v>3530</v>
      </c>
      <c r="I42" s="79" t="s">
        <v>3498</v>
      </c>
      <c r="J42" s="79" t="s">
        <v>3465</v>
      </c>
      <c r="K42" s="79" t="s">
        <v>3430</v>
      </c>
      <c r="L42" s="144" t="s">
        <v>3394</v>
      </c>
      <c r="M42" s="144" t="s">
        <v>3357</v>
      </c>
      <c r="N42" s="144" t="s">
        <v>3319</v>
      </c>
      <c r="O42" s="144" t="s">
        <v>3281</v>
      </c>
      <c r="P42" s="144" t="s">
        <v>3242</v>
      </c>
      <c r="Q42" s="144" t="s">
        <v>3203</v>
      </c>
      <c r="R42" s="144" t="s">
        <v>3164</v>
      </c>
      <c r="S42" s="144" t="s">
        <v>3125</v>
      </c>
      <c r="T42" s="144" t="s">
        <v>3086</v>
      </c>
      <c r="U42" s="144" t="s">
        <v>3047</v>
      </c>
      <c r="V42" s="144" t="s">
        <v>3008</v>
      </c>
      <c r="W42" s="144" t="s">
        <v>2969</v>
      </c>
      <c r="X42" s="144" t="s">
        <v>2930</v>
      </c>
      <c r="Y42" s="144" t="s">
        <v>2891</v>
      </c>
      <c r="Z42" s="144" t="s">
        <v>2852</v>
      </c>
      <c r="AA42" s="144" t="s">
        <v>2813</v>
      </c>
      <c r="AB42" s="144" t="s">
        <v>2774</v>
      </c>
      <c r="AC42" s="144" t="s">
        <v>2735</v>
      </c>
      <c r="AD42" s="144" t="s">
        <v>2696</v>
      </c>
      <c r="AE42" s="144" t="s">
        <v>2657</v>
      </c>
      <c r="AF42" s="144" t="s">
        <v>2618</v>
      </c>
      <c r="AG42" s="144" t="s">
        <v>2579</v>
      </c>
      <c r="AH42" s="144" t="s">
        <v>2540</v>
      </c>
      <c r="AI42" s="144" t="s">
        <v>2501</v>
      </c>
      <c r="AJ42" s="144" t="s">
        <v>2463</v>
      </c>
      <c r="AK42" s="144" t="s">
        <v>2425</v>
      </c>
      <c r="AL42" s="79" t="s">
        <v>2388</v>
      </c>
      <c r="AM42" s="79" t="s">
        <v>2351</v>
      </c>
      <c r="AN42" s="79" t="s">
        <v>2315</v>
      </c>
      <c r="AO42" s="79" t="s">
        <v>2279</v>
      </c>
      <c r="AP42" s="79" t="s">
        <v>2244</v>
      </c>
      <c r="AQ42" s="79" t="s">
        <v>6571</v>
      </c>
      <c r="AR42" s="79" t="s">
        <v>6572</v>
      </c>
      <c r="AS42" s="79" t="s">
        <v>6573</v>
      </c>
      <c r="AT42" s="144" t="s">
        <v>6574</v>
      </c>
      <c r="AU42" s="79" t="s">
        <v>6575</v>
      </c>
      <c r="AV42" s="79" t="s">
        <v>6576</v>
      </c>
      <c r="AW42" s="79" t="s">
        <v>6577</v>
      </c>
      <c r="AX42" s="79" t="s">
        <v>6578</v>
      </c>
      <c r="AY42" s="79" t="s">
        <v>6579</v>
      </c>
      <c r="AZ42" s="79" t="s">
        <v>6580</v>
      </c>
      <c r="BA42" s="79" t="s">
        <v>6581</v>
      </c>
      <c r="BB42" s="79" t="s">
        <v>6582</v>
      </c>
      <c r="BC42" s="79" t="s">
        <v>6583</v>
      </c>
      <c r="BD42" s="79" t="s">
        <v>6584</v>
      </c>
      <c r="BE42" s="79" t="s">
        <v>6585</v>
      </c>
      <c r="BF42" s="79" t="s">
        <v>6586</v>
      </c>
      <c r="BG42" s="79" t="s">
        <v>6587</v>
      </c>
      <c r="BH42" s="79" t="s">
        <v>6588</v>
      </c>
      <c r="BI42" s="79" t="s">
        <v>6589</v>
      </c>
      <c r="BJ42" s="144" t="s">
        <v>6590</v>
      </c>
      <c r="BK42" s="144" t="s">
        <v>6591</v>
      </c>
      <c r="BL42" s="144" t="s">
        <v>6592</v>
      </c>
      <c r="BM42" s="144" t="s">
        <v>6593</v>
      </c>
      <c r="BN42" s="144" t="s">
        <v>6594</v>
      </c>
      <c r="BO42" s="144" t="s">
        <v>6595</v>
      </c>
      <c r="BP42" s="144" t="s">
        <v>6596</v>
      </c>
      <c r="BQ42" s="144" t="s">
        <v>6597</v>
      </c>
      <c r="BR42" s="144" t="s">
        <v>6598</v>
      </c>
      <c r="BS42" s="144" t="s">
        <v>6599</v>
      </c>
      <c r="BT42" s="144" t="s">
        <v>6600</v>
      </c>
      <c r="BU42" s="144" t="s">
        <v>6601</v>
      </c>
      <c r="BV42" s="144" t="s">
        <v>6602</v>
      </c>
      <c r="BW42" s="144" t="s">
        <v>6603</v>
      </c>
      <c r="BX42" s="144" t="s">
        <v>6604</v>
      </c>
      <c r="BY42" s="144" t="s">
        <v>6605</v>
      </c>
      <c r="BZ42" s="144" t="s">
        <v>6606</v>
      </c>
      <c r="CA42" s="144" t="s">
        <v>6607</v>
      </c>
      <c r="CB42" s="144" t="s">
        <v>6608</v>
      </c>
      <c r="CC42" s="144" t="s">
        <v>6609</v>
      </c>
      <c r="CD42" s="144" t="s">
        <v>6610</v>
      </c>
      <c r="CE42" s="79" t="s">
        <v>6611</v>
      </c>
      <c r="CF42" s="79" t="s">
        <v>6612</v>
      </c>
      <c r="CG42" s="79" t="s">
        <v>6613</v>
      </c>
      <c r="CH42" s="144" t="s">
        <v>6614</v>
      </c>
      <c r="CI42" s="144" t="s">
        <v>6615</v>
      </c>
      <c r="CJ42" s="144" t="s">
        <v>6616</v>
      </c>
      <c r="CK42" s="144" t="s">
        <v>6617</v>
      </c>
      <c r="CL42" s="144" t="s">
        <v>6618</v>
      </c>
      <c r="CM42" s="144" t="s">
        <v>6619</v>
      </c>
      <c r="CN42" s="144" t="s">
        <v>6620</v>
      </c>
      <c r="CO42" s="144" t="s">
        <v>6621</v>
      </c>
      <c r="CP42" s="144" t="s">
        <v>6622</v>
      </c>
      <c r="CQ42" s="144" t="s">
        <v>6623</v>
      </c>
      <c r="CR42" s="144" t="s">
        <v>6624</v>
      </c>
      <c r="CS42" s="144" t="s">
        <v>6625</v>
      </c>
      <c r="CT42" s="144" t="s">
        <v>6626</v>
      </c>
      <c r="CU42" s="144" t="s">
        <v>6627</v>
      </c>
      <c r="CV42" s="144" t="s">
        <v>6628</v>
      </c>
      <c r="CW42" s="144" t="s">
        <v>6629</v>
      </c>
      <c r="CX42" s="79" t="s">
        <v>6630</v>
      </c>
      <c r="CY42" s="79" t="s">
        <v>6631</v>
      </c>
      <c r="CZ42" s="79" t="s">
        <v>6632</v>
      </c>
      <c r="DA42" s="79" t="s">
        <v>6633</v>
      </c>
      <c r="DB42" s="79" t="s">
        <v>6634</v>
      </c>
      <c r="DC42" s="79" t="s">
        <v>6635</v>
      </c>
      <c r="DD42" s="79" t="s">
        <v>6636</v>
      </c>
      <c r="DE42" s="79" t="s">
        <v>6637</v>
      </c>
      <c r="DF42" s="79" t="s">
        <v>6638</v>
      </c>
      <c r="DG42" s="144" t="s">
        <v>6639</v>
      </c>
      <c r="DH42" s="144" t="s">
        <v>6640</v>
      </c>
      <c r="DI42" s="144" t="s">
        <v>6641</v>
      </c>
      <c r="DJ42" s="144" t="s">
        <v>6642</v>
      </c>
      <c r="DK42" s="144" t="s">
        <v>6643</v>
      </c>
      <c r="DL42" s="144" t="s">
        <v>6644</v>
      </c>
      <c r="DM42" s="144" t="s">
        <v>6645</v>
      </c>
      <c r="DN42" s="144" t="s">
        <v>6646</v>
      </c>
      <c r="DO42" s="144" t="s">
        <v>6647</v>
      </c>
      <c r="DP42" s="144" t="s">
        <v>6648</v>
      </c>
      <c r="DQ42" s="79" t="s">
        <v>6649</v>
      </c>
      <c r="DR42" s="144" t="s">
        <v>6650</v>
      </c>
      <c r="DS42" s="144" t="s">
        <v>6651</v>
      </c>
      <c r="DT42" s="144" t="s">
        <v>6652</v>
      </c>
      <c r="DU42" s="144" t="s">
        <v>6653</v>
      </c>
      <c r="DV42" s="144" t="s">
        <v>6654</v>
      </c>
      <c r="DW42" s="144" t="s">
        <v>6655</v>
      </c>
      <c r="DX42" s="144" t="s">
        <v>6656</v>
      </c>
      <c r="DY42" s="144" t="s">
        <v>6657</v>
      </c>
      <c r="DZ42" s="144" t="s">
        <v>6658</v>
      </c>
      <c r="EA42" s="144" t="s">
        <v>6659</v>
      </c>
      <c r="EB42" s="144" t="s">
        <v>6660</v>
      </c>
      <c r="EC42" s="144" t="s">
        <v>6661</v>
      </c>
      <c r="ED42" s="79" t="s">
        <v>6662</v>
      </c>
      <c r="EE42" s="79" t="s">
        <v>6663</v>
      </c>
      <c r="EF42" s="79" t="s">
        <v>6664</v>
      </c>
      <c r="EG42" s="79" t="s">
        <v>6665</v>
      </c>
      <c r="EH42" s="79" t="s">
        <v>6666</v>
      </c>
    </row>
    <row r="43" spans="3:138" ht="20.100000000000001" customHeight="1" x14ac:dyDescent="0.25">
      <c r="C43" s="76">
        <v>-10</v>
      </c>
      <c r="G43" s="79" t="s">
        <v>3556</v>
      </c>
      <c r="H43" s="79" t="s">
        <v>3529</v>
      </c>
      <c r="I43" s="79" t="s">
        <v>3497</v>
      </c>
      <c r="J43" s="79" t="s">
        <v>3464</v>
      </c>
      <c r="K43" s="79" t="s">
        <v>3429</v>
      </c>
      <c r="L43" s="144" t="s">
        <v>3393</v>
      </c>
      <c r="M43" s="144" t="s">
        <v>3356</v>
      </c>
      <c r="N43" s="144" t="s">
        <v>3318</v>
      </c>
      <c r="O43" s="144" t="s">
        <v>3280</v>
      </c>
      <c r="P43" s="144" t="s">
        <v>3241</v>
      </c>
      <c r="Q43" s="144" t="s">
        <v>3202</v>
      </c>
      <c r="R43" s="144" t="s">
        <v>3163</v>
      </c>
      <c r="S43" s="144" t="s">
        <v>3124</v>
      </c>
      <c r="T43" s="144" t="s">
        <v>3085</v>
      </c>
      <c r="U43" s="144" t="s">
        <v>3046</v>
      </c>
      <c r="V43" s="144" t="s">
        <v>3007</v>
      </c>
      <c r="W43" s="144" t="s">
        <v>2968</v>
      </c>
      <c r="X43" s="144" t="s">
        <v>2929</v>
      </c>
      <c r="Y43" s="144" t="s">
        <v>2890</v>
      </c>
      <c r="Z43" s="144" t="s">
        <v>2851</v>
      </c>
      <c r="AA43" s="144" t="s">
        <v>2812</v>
      </c>
      <c r="AB43" s="144" t="s">
        <v>2773</v>
      </c>
      <c r="AC43" s="144" t="s">
        <v>2734</v>
      </c>
      <c r="AD43" s="144" t="s">
        <v>2695</v>
      </c>
      <c r="AE43" s="144" t="s">
        <v>2656</v>
      </c>
      <c r="AF43" s="144" t="s">
        <v>2617</v>
      </c>
      <c r="AG43" s="144" t="s">
        <v>2578</v>
      </c>
      <c r="AH43" s="144" t="s">
        <v>2539</v>
      </c>
      <c r="AI43" s="144" t="s">
        <v>2500</v>
      </c>
      <c r="AJ43" s="144" t="s">
        <v>2462</v>
      </c>
      <c r="AK43" s="144" t="s">
        <v>2424</v>
      </c>
      <c r="AL43" s="79" t="s">
        <v>2387</v>
      </c>
      <c r="AM43" s="79" t="s">
        <v>2350</v>
      </c>
      <c r="AN43" s="79" t="s">
        <v>2314</v>
      </c>
      <c r="AO43" s="79" t="s">
        <v>2278</v>
      </c>
      <c r="AP43" s="79" t="s">
        <v>2243</v>
      </c>
      <c r="AQ43" s="79" t="s">
        <v>6667</v>
      </c>
      <c r="AR43" s="79" t="s">
        <v>6668</v>
      </c>
      <c r="AS43" s="79" t="s">
        <v>6669</v>
      </c>
      <c r="AT43" s="144" t="s">
        <v>6670</v>
      </c>
      <c r="AU43" s="79" t="s">
        <v>6671</v>
      </c>
      <c r="AV43" s="79" t="s">
        <v>6672</v>
      </c>
      <c r="AW43" s="79" t="s">
        <v>6673</v>
      </c>
      <c r="AX43" s="79" t="s">
        <v>6674</v>
      </c>
      <c r="AY43" s="79" t="s">
        <v>6675</v>
      </c>
      <c r="AZ43" s="79" t="s">
        <v>6676</v>
      </c>
      <c r="BA43" s="79" t="s">
        <v>6677</v>
      </c>
      <c r="BB43" s="79" t="s">
        <v>6678</v>
      </c>
      <c r="BC43" s="79" t="s">
        <v>6679</v>
      </c>
      <c r="BD43" s="79" t="s">
        <v>6680</v>
      </c>
      <c r="BE43" s="79" t="s">
        <v>6681</v>
      </c>
      <c r="BF43" s="79" t="s">
        <v>6682</v>
      </c>
      <c r="BG43" s="79" t="s">
        <v>6683</v>
      </c>
      <c r="BH43" s="79" t="s">
        <v>6684</v>
      </c>
      <c r="BI43" s="79" t="s">
        <v>6685</v>
      </c>
      <c r="BJ43" s="144" t="s">
        <v>6686</v>
      </c>
      <c r="BK43" s="144" t="s">
        <v>6687</v>
      </c>
      <c r="BL43" s="144" t="s">
        <v>6688</v>
      </c>
      <c r="BM43" s="144" t="s">
        <v>6689</v>
      </c>
      <c r="BN43" s="144" t="s">
        <v>6690</v>
      </c>
      <c r="BO43" s="144" t="s">
        <v>6691</v>
      </c>
      <c r="BP43" s="144" t="s">
        <v>6692</v>
      </c>
      <c r="BQ43" s="144" t="s">
        <v>6693</v>
      </c>
      <c r="BR43" s="144" t="s">
        <v>6694</v>
      </c>
      <c r="BS43" s="144" t="s">
        <v>6695</v>
      </c>
      <c r="BT43" s="144" t="s">
        <v>6696</v>
      </c>
      <c r="BU43" s="144" t="s">
        <v>6697</v>
      </c>
      <c r="BV43" s="144" t="s">
        <v>6698</v>
      </c>
      <c r="BW43" s="144" t="s">
        <v>6699</v>
      </c>
      <c r="BX43" s="144" t="s">
        <v>6700</v>
      </c>
      <c r="BY43" s="144" t="s">
        <v>6701</v>
      </c>
      <c r="BZ43" s="144" t="s">
        <v>6702</v>
      </c>
      <c r="CA43" s="144" t="s">
        <v>6703</v>
      </c>
      <c r="CB43" s="144" t="s">
        <v>6704</v>
      </c>
      <c r="CC43" s="144" t="s">
        <v>6705</v>
      </c>
      <c r="CD43" s="144" t="s">
        <v>6706</v>
      </c>
      <c r="CE43" s="79" t="s">
        <v>6707</v>
      </c>
      <c r="CF43" s="79" t="s">
        <v>6708</v>
      </c>
      <c r="CG43" s="79" t="s">
        <v>6709</v>
      </c>
      <c r="CH43" s="144" t="s">
        <v>6710</v>
      </c>
      <c r="CI43" s="144" t="s">
        <v>6711</v>
      </c>
      <c r="CJ43" s="144" t="s">
        <v>6712</v>
      </c>
      <c r="CK43" s="144" t="s">
        <v>6713</v>
      </c>
      <c r="CL43" s="144" t="s">
        <v>6714</v>
      </c>
      <c r="CM43" s="144" t="s">
        <v>6715</v>
      </c>
      <c r="CN43" s="144" t="s">
        <v>6716</v>
      </c>
      <c r="CO43" s="144" t="s">
        <v>6717</v>
      </c>
      <c r="CP43" s="144" t="s">
        <v>6718</v>
      </c>
      <c r="CQ43" s="144" t="s">
        <v>6719</v>
      </c>
      <c r="CR43" s="144" t="s">
        <v>6720</v>
      </c>
      <c r="CS43" s="144" t="s">
        <v>6721</v>
      </c>
      <c r="CT43" s="144" t="s">
        <v>6722</v>
      </c>
      <c r="CU43" s="144" t="s">
        <v>6723</v>
      </c>
      <c r="CV43" s="144" t="s">
        <v>6724</v>
      </c>
      <c r="CW43" s="144" t="s">
        <v>6725</v>
      </c>
      <c r="CX43" s="79" t="s">
        <v>6726</v>
      </c>
      <c r="CY43" s="79" t="s">
        <v>6727</v>
      </c>
      <c r="CZ43" s="79" t="s">
        <v>6728</v>
      </c>
      <c r="DA43" s="79" t="s">
        <v>6729</v>
      </c>
      <c r="DB43" s="79" t="s">
        <v>6730</v>
      </c>
      <c r="DC43" s="79" t="s">
        <v>6731</v>
      </c>
      <c r="DD43" s="79" t="s">
        <v>6732</v>
      </c>
      <c r="DE43" s="79" t="s">
        <v>6733</v>
      </c>
      <c r="DF43" s="79" t="s">
        <v>6734</v>
      </c>
      <c r="DG43" s="144" t="s">
        <v>6735</v>
      </c>
      <c r="DH43" s="144" t="s">
        <v>6736</v>
      </c>
      <c r="DI43" s="144" t="s">
        <v>6737</v>
      </c>
      <c r="DJ43" s="144" t="s">
        <v>6738</v>
      </c>
      <c r="DK43" s="144" t="s">
        <v>6739</v>
      </c>
      <c r="DL43" s="144" t="s">
        <v>6740</v>
      </c>
      <c r="DM43" s="144" t="s">
        <v>6741</v>
      </c>
      <c r="DN43" s="144" t="s">
        <v>6742</v>
      </c>
      <c r="DO43" s="144" t="s">
        <v>6743</v>
      </c>
      <c r="DP43" s="144" t="s">
        <v>6744</v>
      </c>
      <c r="DQ43" s="79" t="s">
        <v>6745</v>
      </c>
      <c r="DR43" s="144" t="s">
        <v>6746</v>
      </c>
      <c r="DS43" s="144" t="s">
        <v>6747</v>
      </c>
      <c r="DT43" s="144" t="s">
        <v>6748</v>
      </c>
      <c r="DU43" s="144" t="s">
        <v>6749</v>
      </c>
      <c r="DV43" s="144" t="s">
        <v>6750</v>
      </c>
      <c r="DW43" s="144" t="s">
        <v>6751</v>
      </c>
      <c r="DX43" s="144" t="s">
        <v>6752</v>
      </c>
      <c r="DY43" s="144" t="s">
        <v>6753</v>
      </c>
      <c r="DZ43" s="144" t="s">
        <v>6754</v>
      </c>
      <c r="EA43" s="144" t="s">
        <v>6755</v>
      </c>
      <c r="EB43" s="144" t="s">
        <v>6756</v>
      </c>
      <c r="EC43" s="144" t="s">
        <v>6757</v>
      </c>
      <c r="ED43" s="79" t="s">
        <v>6758</v>
      </c>
      <c r="EE43" s="79" t="s">
        <v>6759</v>
      </c>
      <c r="EF43" s="79" t="s">
        <v>6760</v>
      </c>
      <c r="EG43" s="79" t="s">
        <v>6761</v>
      </c>
      <c r="EH43" s="79" t="s">
        <v>6762</v>
      </c>
    </row>
    <row r="44" spans="3:138" ht="20.100000000000001" customHeight="1" x14ac:dyDescent="0.25">
      <c r="C44" s="76">
        <v>-11</v>
      </c>
      <c r="G44" s="79" t="s">
        <v>3555</v>
      </c>
      <c r="H44" s="79" t="s">
        <v>3528</v>
      </c>
      <c r="I44" s="79" t="s">
        <v>3496</v>
      </c>
      <c r="J44" s="79" t="s">
        <v>3463</v>
      </c>
      <c r="K44" s="79" t="s">
        <v>3428</v>
      </c>
      <c r="L44" s="144" t="s">
        <v>3392</v>
      </c>
      <c r="M44" s="144" t="s">
        <v>3355</v>
      </c>
      <c r="N44" s="144" t="s">
        <v>3317</v>
      </c>
      <c r="O44" s="144" t="s">
        <v>3279</v>
      </c>
      <c r="P44" s="144" t="s">
        <v>3240</v>
      </c>
      <c r="Q44" s="144" t="s">
        <v>3201</v>
      </c>
      <c r="R44" s="144" t="s">
        <v>3162</v>
      </c>
      <c r="S44" s="144" t="s">
        <v>3123</v>
      </c>
      <c r="T44" s="144" t="s">
        <v>3084</v>
      </c>
      <c r="U44" s="144" t="s">
        <v>3045</v>
      </c>
      <c r="V44" s="144" t="s">
        <v>3006</v>
      </c>
      <c r="W44" s="144" t="s">
        <v>2967</v>
      </c>
      <c r="X44" s="144" t="s">
        <v>2928</v>
      </c>
      <c r="Y44" s="144" t="s">
        <v>2889</v>
      </c>
      <c r="Z44" s="144" t="s">
        <v>2850</v>
      </c>
      <c r="AA44" s="144" t="s">
        <v>2811</v>
      </c>
      <c r="AB44" s="144" t="s">
        <v>2772</v>
      </c>
      <c r="AC44" s="144" t="s">
        <v>2733</v>
      </c>
      <c r="AD44" s="144" t="s">
        <v>2694</v>
      </c>
      <c r="AE44" s="144" t="s">
        <v>2655</v>
      </c>
      <c r="AF44" s="144" t="s">
        <v>2616</v>
      </c>
      <c r="AG44" s="144" t="s">
        <v>2577</v>
      </c>
      <c r="AH44" s="144" t="s">
        <v>2538</v>
      </c>
      <c r="AI44" s="144" t="s">
        <v>2499</v>
      </c>
      <c r="AJ44" s="144" t="s">
        <v>2461</v>
      </c>
      <c r="AK44" s="144" t="s">
        <v>2423</v>
      </c>
      <c r="AL44" s="79" t="s">
        <v>2386</v>
      </c>
      <c r="AM44" s="79" t="s">
        <v>2349</v>
      </c>
      <c r="AN44" s="79" t="s">
        <v>2313</v>
      </c>
      <c r="AO44" s="79" t="s">
        <v>2277</v>
      </c>
      <c r="AP44" s="79" t="s">
        <v>6763</v>
      </c>
      <c r="AQ44" s="79" t="s">
        <v>6764</v>
      </c>
      <c r="AR44" s="79" t="s">
        <v>6765</v>
      </c>
      <c r="AS44" s="79" t="s">
        <v>6766</v>
      </c>
      <c r="AT44" s="144" t="s">
        <v>6767</v>
      </c>
      <c r="AU44" s="79" t="s">
        <v>6768</v>
      </c>
      <c r="AV44" s="79" t="s">
        <v>6769</v>
      </c>
      <c r="AW44" s="79" t="s">
        <v>6770</v>
      </c>
      <c r="AX44" s="79" t="s">
        <v>6771</v>
      </c>
      <c r="AY44" s="79" t="s">
        <v>6772</v>
      </c>
      <c r="AZ44" s="79" t="s">
        <v>6773</v>
      </c>
      <c r="BA44" s="79" t="s">
        <v>6774</v>
      </c>
      <c r="BB44" s="79" t="s">
        <v>6775</v>
      </c>
      <c r="BC44" s="79" t="s">
        <v>6776</v>
      </c>
      <c r="BD44" s="79" t="s">
        <v>6777</v>
      </c>
      <c r="BE44" s="79" t="s">
        <v>6778</v>
      </c>
      <c r="BF44" s="79" t="s">
        <v>6779</v>
      </c>
      <c r="BG44" s="79" t="s">
        <v>6780</v>
      </c>
      <c r="BH44" s="79" t="s">
        <v>6781</v>
      </c>
      <c r="BI44" s="79" t="s">
        <v>6782</v>
      </c>
      <c r="BJ44" s="144" t="s">
        <v>6783</v>
      </c>
      <c r="BK44" s="144" t="s">
        <v>6784</v>
      </c>
      <c r="BL44" s="144" t="s">
        <v>6785</v>
      </c>
      <c r="BM44" s="144" t="s">
        <v>6786</v>
      </c>
      <c r="BN44" s="144" t="s">
        <v>6787</v>
      </c>
      <c r="BO44" s="144" t="s">
        <v>6788</v>
      </c>
      <c r="BP44" s="144" t="s">
        <v>6789</v>
      </c>
      <c r="BQ44" s="144" t="s">
        <v>6790</v>
      </c>
      <c r="BR44" s="144" t="s">
        <v>6791</v>
      </c>
      <c r="BS44" s="144" t="s">
        <v>6792</v>
      </c>
      <c r="BT44" s="144" t="s">
        <v>6793</v>
      </c>
      <c r="BU44" s="144" t="s">
        <v>6794</v>
      </c>
      <c r="BV44" s="144" t="s">
        <v>6795</v>
      </c>
      <c r="BW44" s="144" t="s">
        <v>6796</v>
      </c>
      <c r="BX44" s="144" t="s">
        <v>6797</v>
      </c>
      <c r="BY44" s="144" t="s">
        <v>6798</v>
      </c>
      <c r="BZ44" s="144" t="s">
        <v>6799</v>
      </c>
      <c r="CA44" s="144" t="s">
        <v>6800</v>
      </c>
      <c r="CB44" s="144" t="s">
        <v>6801</v>
      </c>
      <c r="CC44" s="144" t="s">
        <v>6802</v>
      </c>
      <c r="CD44" s="144" t="s">
        <v>6803</v>
      </c>
      <c r="CE44" s="79" t="s">
        <v>6804</v>
      </c>
      <c r="CF44" s="79" t="s">
        <v>6805</v>
      </c>
      <c r="CG44" s="79" t="s">
        <v>6806</v>
      </c>
      <c r="CH44" s="144" t="s">
        <v>6807</v>
      </c>
      <c r="CI44" s="144" t="s">
        <v>6808</v>
      </c>
      <c r="CJ44" s="144" t="s">
        <v>6809</v>
      </c>
      <c r="CK44" s="144" t="s">
        <v>6810</v>
      </c>
      <c r="CL44" s="144" t="s">
        <v>6811</v>
      </c>
      <c r="CM44" s="144" t="s">
        <v>6812</v>
      </c>
      <c r="CN44" s="144" t="s">
        <v>6813</v>
      </c>
      <c r="CO44" s="144" t="s">
        <v>6814</v>
      </c>
      <c r="CP44" s="144" t="s">
        <v>6815</v>
      </c>
      <c r="CQ44" s="144" t="s">
        <v>6816</v>
      </c>
      <c r="CR44" s="144" t="s">
        <v>6817</v>
      </c>
      <c r="CS44" s="144" t="s">
        <v>6818</v>
      </c>
      <c r="CT44" s="144" t="s">
        <v>6819</v>
      </c>
      <c r="CU44" s="144" t="s">
        <v>6820</v>
      </c>
      <c r="CV44" s="144" t="s">
        <v>6821</v>
      </c>
      <c r="CW44" s="144" t="s">
        <v>6822</v>
      </c>
      <c r="CX44" s="79" t="s">
        <v>6823</v>
      </c>
      <c r="CY44" s="79" t="s">
        <v>6824</v>
      </c>
      <c r="CZ44" s="79" t="s">
        <v>6825</v>
      </c>
      <c r="DA44" s="79" t="s">
        <v>6826</v>
      </c>
      <c r="DB44" s="79" t="s">
        <v>6827</v>
      </c>
      <c r="DC44" s="79" t="s">
        <v>6828</v>
      </c>
      <c r="DD44" s="79" t="s">
        <v>6829</v>
      </c>
      <c r="DE44" s="79" t="s">
        <v>6830</v>
      </c>
      <c r="DF44" s="79" t="s">
        <v>6831</v>
      </c>
      <c r="DG44" s="144" t="s">
        <v>6832</v>
      </c>
      <c r="DH44" s="144" t="s">
        <v>6833</v>
      </c>
      <c r="DI44" s="144" t="s">
        <v>6834</v>
      </c>
      <c r="DJ44" s="144" t="s">
        <v>6835</v>
      </c>
      <c r="DK44" s="144" t="s">
        <v>6836</v>
      </c>
      <c r="DL44" s="144" t="s">
        <v>6837</v>
      </c>
      <c r="DM44" s="144" t="s">
        <v>6838</v>
      </c>
      <c r="DN44" s="144" t="s">
        <v>6839</v>
      </c>
      <c r="DO44" s="144" t="s">
        <v>6840</v>
      </c>
      <c r="DP44" s="144" t="s">
        <v>6841</v>
      </c>
      <c r="DQ44" s="79" t="s">
        <v>6842</v>
      </c>
      <c r="DR44" s="144" t="s">
        <v>6843</v>
      </c>
      <c r="DS44" s="144" t="s">
        <v>6844</v>
      </c>
      <c r="DT44" s="144" t="s">
        <v>6845</v>
      </c>
      <c r="DU44" s="144" t="s">
        <v>6846</v>
      </c>
      <c r="DV44" s="144" t="s">
        <v>6847</v>
      </c>
      <c r="DW44" s="144" t="s">
        <v>6848</v>
      </c>
      <c r="DX44" s="144" t="s">
        <v>6849</v>
      </c>
      <c r="DY44" s="144" t="s">
        <v>6850</v>
      </c>
      <c r="DZ44" s="144" t="s">
        <v>6851</v>
      </c>
      <c r="EA44" s="144" t="s">
        <v>6852</v>
      </c>
      <c r="EB44" s="144" t="s">
        <v>6853</v>
      </c>
      <c r="EC44" s="144" t="s">
        <v>6854</v>
      </c>
      <c r="ED44" s="79" t="s">
        <v>6855</v>
      </c>
      <c r="EE44" s="79" t="s">
        <v>6856</v>
      </c>
      <c r="EF44" s="79" t="s">
        <v>6857</v>
      </c>
      <c r="EG44" s="79" t="s">
        <v>6858</v>
      </c>
      <c r="EH44" s="79" t="s">
        <v>6859</v>
      </c>
    </row>
    <row r="45" spans="3:138" ht="20.100000000000001" customHeight="1" x14ac:dyDescent="0.25">
      <c r="C45" s="76">
        <v>-12</v>
      </c>
      <c r="G45" s="79"/>
      <c r="H45" s="79" t="s">
        <v>3527</v>
      </c>
      <c r="I45" s="79" t="s">
        <v>3495</v>
      </c>
      <c r="J45" s="79" t="s">
        <v>3462</v>
      </c>
      <c r="K45" s="79" t="s">
        <v>3427</v>
      </c>
      <c r="L45" s="144" t="s">
        <v>3391</v>
      </c>
      <c r="M45" s="144" t="s">
        <v>3354</v>
      </c>
      <c r="N45" s="144" t="s">
        <v>3316</v>
      </c>
      <c r="O45" s="144" t="s">
        <v>3278</v>
      </c>
      <c r="P45" s="144" t="s">
        <v>3239</v>
      </c>
      <c r="Q45" s="144" t="s">
        <v>3200</v>
      </c>
      <c r="R45" s="144" t="s">
        <v>3161</v>
      </c>
      <c r="S45" s="144" t="s">
        <v>3122</v>
      </c>
      <c r="T45" s="144" t="s">
        <v>3083</v>
      </c>
      <c r="U45" s="144" t="s">
        <v>3044</v>
      </c>
      <c r="V45" s="144" t="s">
        <v>3005</v>
      </c>
      <c r="W45" s="144" t="s">
        <v>2966</v>
      </c>
      <c r="X45" s="144" t="s">
        <v>2927</v>
      </c>
      <c r="Y45" s="144" t="s">
        <v>2888</v>
      </c>
      <c r="Z45" s="144" t="s">
        <v>2849</v>
      </c>
      <c r="AA45" s="144" t="s">
        <v>2810</v>
      </c>
      <c r="AB45" s="144" t="s">
        <v>2771</v>
      </c>
      <c r="AC45" s="144" t="s">
        <v>2732</v>
      </c>
      <c r="AD45" s="144" t="s">
        <v>2693</v>
      </c>
      <c r="AE45" s="144" t="s">
        <v>2654</v>
      </c>
      <c r="AF45" s="144" t="s">
        <v>2615</v>
      </c>
      <c r="AG45" s="144" t="s">
        <v>2576</v>
      </c>
      <c r="AH45" s="144" t="s">
        <v>2537</v>
      </c>
      <c r="AI45" s="144" t="s">
        <v>2498</v>
      </c>
      <c r="AJ45" s="144" t="s">
        <v>2460</v>
      </c>
      <c r="AK45" s="144" t="s">
        <v>2422</v>
      </c>
      <c r="AL45" s="79" t="s">
        <v>2385</v>
      </c>
      <c r="AM45" s="79" t="s">
        <v>2348</v>
      </c>
      <c r="AN45" s="79" t="s">
        <v>2312</v>
      </c>
      <c r="AO45" s="79" t="s">
        <v>6860</v>
      </c>
      <c r="AP45" s="79" t="s">
        <v>6861</v>
      </c>
      <c r="AQ45" s="79" t="s">
        <v>6862</v>
      </c>
      <c r="AR45" s="79" t="s">
        <v>6863</v>
      </c>
      <c r="AS45" s="79" t="s">
        <v>6864</v>
      </c>
      <c r="AT45" s="144" t="s">
        <v>6865</v>
      </c>
      <c r="AU45" s="79" t="s">
        <v>6866</v>
      </c>
      <c r="AV45" s="79" t="s">
        <v>6867</v>
      </c>
      <c r="AW45" s="79" t="s">
        <v>6868</v>
      </c>
      <c r="AX45" s="79" t="s">
        <v>6869</v>
      </c>
      <c r="AY45" s="79" t="s">
        <v>6870</v>
      </c>
      <c r="AZ45" s="79" t="s">
        <v>6871</v>
      </c>
      <c r="BA45" s="79" t="s">
        <v>6872</v>
      </c>
      <c r="BB45" s="79" t="s">
        <v>6873</v>
      </c>
      <c r="BC45" s="79" t="s">
        <v>6874</v>
      </c>
      <c r="BD45" s="79" t="s">
        <v>6875</v>
      </c>
      <c r="BE45" s="79" t="s">
        <v>6876</v>
      </c>
      <c r="BF45" s="79" t="s">
        <v>6877</v>
      </c>
      <c r="BG45" s="79" t="s">
        <v>6878</v>
      </c>
      <c r="BH45" s="79" t="s">
        <v>6879</v>
      </c>
      <c r="BI45" s="79" t="s">
        <v>6880</v>
      </c>
      <c r="BJ45" s="144" t="s">
        <v>6881</v>
      </c>
      <c r="BK45" s="144" t="s">
        <v>6882</v>
      </c>
      <c r="BL45" s="144" t="s">
        <v>6883</v>
      </c>
      <c r="BM45" s="144" t="s">
        <v>6884</v>
      </c>
      <c r="BN45" s="144" t="s">
        <v>6885</v>
      </c>
      <c r="BO45" s="144" t="s">
        <v>6886</v>
      </c>
      <c r="BP45" s="144" t="s">
        <v>6887</v>
      </c>
      <c r="BQ45" s="144" t="s">
        <v>6888</v>
      </c>
      <c r="BR45" s="144" t="s">
        <v>6889</v>
      </c>
      <c r="BS45" s="144" t="s">
        <v>6890</v>
      </c>
      <c r="BT45" s="144" t="s">
        <v>6891</v>
      </c>
      <c r="BU45" s="144" t="s">
        <v>6892</v>
      </c>
      <c r="BV45" s="144" t="s">
        <v>6893</v>
      </c>
      <c r="BW45" s="144" t="s">
        <v>6894</v>
      </c>
      <c r="BX45" s="144" t="s">
        <v>6895</v>
      </c>
      <c r="BY45" s="144" t="s">
        <v>6896</v>
      </c>
      <c r="BZ45" s="144" t="s">
        <v>6897</v>
      </c>
      <c r="CA45" s="144" t="s">
        <v>6898</v>
      </c>
      <c r="CB45" s="144" t="s">
        <v>6899</v>
      </c>
      <c r="CC45" s="144" t="s">
        <v>6900</v>
      </c>
      <c r="CD45" s="144" t="s">
        <v>6901</v>
      </c>
      <c r="CE45" s="79" t="s">
        <v>6902</v>
      </c>
      <c r="CF45" s="79" t="s">
        <v>6903</v>
      </c>
      <c r="CG45" s="79" t="s">
        <v>6904</v>
      </c>
      <c r="CH45" s="144" t="s">
        <v>6905</v>
      </c>
      <c r="CI45" s="144" t="s">
        <v>6906</v>
      </c>
      <c r="CJ45" s="144" t="s">
        <v>6907</v>
      </c>
      <c r="CK45" s="144" t="s">
        <v>6908</v>
      </c>
      <c r="CL45" s="144" t="s">
        <v>6909</v>
      </c>
      <c r="CM45" s="144" t="s">
        <v>6910</v>
      </c>
      <c r="CN45" s="144" t="s">
        <v>6911</v>
      </c>
      <c r="CO45" s="144" t="s">
        <v>6912</v>
      </c>
      <c r="CP45" s="144" t="s">
        <v>6913</v>
      </c>
      <c r="CQ45" s="144" t="s">
        <v>6914</v>
      </c>
      <c r="CR45" s="144" t="s">
        <v>6915</v>
      </c>
      <c r="CS45" s="144" t="s">
        <v>6916</v>
      </c>
      <c r="CT45" s="144" t="s">
        <v>6917</v>
      </c>
      <c r="CU45" s="144" t="s">
        <v>6918</v>
      </c>
      <c r="CV45" s="144" t="s">
        <v>6919</v>
      </c>
      <c r="CW45" s="144" t="s">
        <v>6920</v>
      </c>
      <c r="CX45" s="79" t="s">
        <v>6921</v>
      </c>
      <c r="CY45" s="79" t="s">
        <v>6922</v>
      </c>
      <c r="CZ45" s="79" t="s">
        <v>6923</v>
      </c>
      <c r="DA45" s="79" t="s">
        <v>6924</v>
      </c>
      <c r="DB45" s="79" t="s">
        <v>6925</v>
      </c>
      <c r="DC45" s="79" t="s">
        <v>6926</v>
      </c>
      <c r="DD45" s="79" t="s">
        <v>6927</v>
      </c>
      <c r="DE45" s="79" t="s">
        <v>6928</v>
      </c>
      <c r="DF45" s="79" t="s">
        <v>6929</v>
      </c>
      <c r="DG45" s="144" t="s">
        <v>6930</v>
      </c>
      <c r="DH45" s="144" t="s">
        <v>6931</v>
      </c>
      <c r="DI45" s="144" t="s">
        <v>6932</v>
      </c>
      <c r="DJ45" s="144" t="s">
        <v>6933</v>
      </c>
      <c r="DK45" s="144" t="s">
        <v>6934</v>
      </c>
      <c r="DL45" s="144" t="s">
        <v>6935</v>
      </c>
      <c r="DM45" s="144" t="s">
        <v>6936</v>
      </c>
      <c r="DN45" s="144" t="s">
        <v>6937</v>
      </c>
      <c r="DO45" s="144" t="s">
        <v>6938</v>
      </c>
      <c r="DP45" s="144" t="s">
        <v>6939</v>
      </c>
      <c r="DQ45" s="79" t="s">
        <v>6940</v>
      </c>
      <c r="DR45" s="144" t="s">
        <v>6941</v>
      </c>
      <c r="DS45" s="144" t="s">
        <v>6942</v>
      </c>
      <c r="DT45" s="144" t="s">
        <v>6943</v>
      </c>
      <c r="DU45" s="144" t="s">
        <v>6944</v>
      </c>
      <c r="DV45" s="144" t="s">
        <v>6945</v>
      </c>
      <c r="DW45" s="144" t="s">
        <v>6946</v>
      </c>
      <c r="DX45" s="144" t="s">
        <v>6947</v>
      </c>
      <c r="DY45" s="144" t="s">
        <v>6948</v>
      </c>
      <c r="DZ45" s="144" t="s">
        <v>6949</v>
      </c>
      <c r="EA45" s="144" t="s">
        <v>6950</v>
      </c>
      <c r="EB45" s="144" t="s">
        <v>6951</v>
      </c>
      <c r="EC45" s="144" t="s">
        <v>6952</v>
      </c>
      <c r="ED45" s="79" t="s">
        <v>6953</v>
      </c>
      <c r="EE45" s="79" t="s">
        <v>6954</v>
      </c>
      <c r="EF45" s="79" t="s">
        <v>6955</v>
      </c>
      <c r="EG45" s="79" t="s">
        <v>6956</v>
      </c>
      <c r="EH45" s="79" t="s">
        <v>6957</v>
      </c>
    </row>
    <row r="46" spans="3:138" ht="20.100000000000001" customHeight="1" x14ac:dyDescent="0.25">
      <c r="C46" s="76">
        <v>-13</v>
      </c>
      <c r="G46" s="79"/>
      <c r="H46" s="79" t="s">
        <v>3526</v>
      </c>
      <c r="I46" s="79" t="s">
        <v>3494</v>
      </c>
      <c r="J46" s="79" t="s">
        <v>3461</v>
      </c>
      <c r="K46" s="79" t="s">
        <v>3426</v>
      </c>
      <c r="L46" s="144" t="s">
        <v>3390</v>
      </c>
      <c r="M46" s="144" t="s">
        <v>3353</v>
      </c>
      <c r="N46" s="144" t="s">
        <v>3315</v>
      </c>
      <c r="O46" s="144" t="s">
        <v>3277</v>
      </c>
      <c r="P46" s="144" t="s">
        <v>3238</v>
      </c>
      <c r="Q46" s="144" t="s">
        <v>3199</v>
      </c>
      <c r="R46" s="144" t="s">
        <v>3160</v>
      </c>
      <c r="S46" s="144" t="s">
        <v>3121</v>
      </c>
      <c r="T46" s="144" t="s">
        <v>3082</v>
      </c>
      <c r="U46" s="144" t="s">
        <v>3043</v>
      </c>
      <c r="V46" s="144" t="s">
        <v>3004</v>
      </c>
      <c r="W46" s="144" t="s">
        <v>2965</v>
      </c>
      <c r="X46" s="144" t="s">
        <v>2926</v>
      </c>
      <c r="Y46" s="144" t="s">
        <v>2887</v>
      </c>
      <c r="Z46" s="144" t="s">
        <v>2848</v>
      </c>
      <c r="AA46" s="144" t="s">
        <v>2809</v>
      </c>
      <c r="AB46" s="144" t="s">
        <v>2770</v>
      </c>
      <c r="AC46" s="144" t="s">
        <v>2731</v>
      </c>
      <c r="AD46" s="144" t="s">
        <v>2692</v>
      </c>
      <c r="AE46" s="144" t="s">
        <v>2653</v>
      </c>
      <c r="AF46" s="144" t="s">
        <v>2614</v>
      </c>
      <c r="AG46" s="144" t="s">
        <v>2575</v>
      </c>
      <c r="AH46" s="144" t="s">
        <v>2536</v>
      </c>
      <c r="AI46" s="144" t="s">
        <v>2497</v>
      </c>
      <c r="AJ46" s="144" t="s">
        <v>2459</v>
      </c>
      <c r="AK46" s="144" t="s">
        <v>2421</v>
      </c>
      <c r="AL46" s="79" t="s">
        <v>2384</v>
      </c>
      <c r="AM46" s="79" t="s">
        <v>6958</v>
      </c>
      <c r="AN46" s="79" t="s">
        <v>6959</v>
      </c>
      <c r="AO46" s="79" t="s">
        <v>6960</v>
      </c>
      <c r="AP46" s="79" t="s">
        <v>6961</v>
      </c>
      <c r="AQ46" s="79" t="s">
        <v>6962</v>
      </c>
      <c r="AR46" s="79" t="s">
        <v>6963</v>
      </c>
      <c r="AS46" s="79" t="s">
        <v>6964</v>
      </c>
      <c r="AT46" s="144" t="s">
        <v>6965</v>
      </c>
      <c r="AU46" s="79" t="s">
        <v>6966</v>
      </c>
      <c r="AV46" s="79" t="s">
        <v>6967</v>
      </c>
      <c r="AW46" s="79" t="s">
        <v>6968</v>
      </c>
      <c r="AX46" s="79" t="s">
        <v>6969</v>
      </c>
      <c r="AY46" s="79" t="s">
        <v>6970</v>
      </c>
      <c r="AZ46" s="79" t="s">
        <v>6971</v>
      </c>
      <c r="BA46" s="79" t="s">
        <v>6972</v>
      </c>
      <c r="BB46" s="79" t="s">
        <v>6973</v>
      </c>
      <c r="BC46" s="79" t="s">
        <v>6974</v>
      </c>
      <c r="BD46" s="79" t="s">
        <v>6975</v>
      </c>
      <c r="BE46" s="79" t="s">
        <v>6976</v>
      </c>
      <c r="BF46" s="144" t="s">
        <v>6977</v>
      </c>
      <c r="BG46" s="144" t="s">
        <v>6978</v>
      </c>
      <c r="BH46" s="144" t="s">
        <v>6979</v>
      </c>
      <c r="BI46" s="144" t="s">
        <v>6980</v>
      </c>
      <c r="BJ46" s="144" t="s">
        <v>6981</v>
      </c>
      <c r="BK46" s="144" t="s">
        <v>6982</v>
      </c>
      <c r="BL46" s="144" t="s">
        <v>6983</v>
      </c>
      <c r="BM46" s="144" t="s">
        <v>6984</v>
      </c>
      <c r="BN46" s="144" t="s">
        <v>6985</v>
      </c>
      <c r="BO46" s="144" t="s">
        <v>6986</v>
      </c>
      <c r="BP46" s="144" t="s">
        <v>6987</v>
      </c>
      <c r="BQ46" s="144" t="s">
        <v>6988</v>
      </c>
      <c r="BR46" s="144" t="s">
        <v>6989</v>
      </c>
      <c r="BS46" s="144" t="s">
        <v>6990</v>
      </c>
      <c r="BT46" s="144" t="s">
        <v>6991</v>
      </c>
      <c r="BU46" s="144" t="s">
        <v>6992</v>
      </c>
      <c r="BV46" s="144" t="s">
        <v>6993</v>
      </c>
      <c r="BW46" s="144" t="s">
        <v>6994</v>
      </c>
      <c r="BX46" s="144" t="s">
        <v>6995</v>
      </c>
      <c r="BY46" s="144" t="s">
        <v>6996</v>
      </c>
      <c r="BZ46" s="144" t="s">
        <v>6997</v>
      </c>
      <c r="CA46" s="144" t="s">
        <v>6998</v>
      </c>
      <c r="CB46" s="144" t="s">
        <v>6999</v>
      </c>
      <c r="CC46" s="144" t="s">
        <v>7000</v>
      </c>
      <c r="CD46" s="144" t="s">
        <v>7001</v>
      </c>
      <c r="CE46" s="79" t="s">
        <v>7002</v>
      </c>
      <c r="CF46" s="79" t="s">
        <v>7003</v>
      </c>
      <c r="CG46" s="79" t="s">
        <v>7004</v>
      </c>
      <c r="CH46" s="144" t="s">
        <v>7005</v>
      </c>
      <c r="CI46" s="144" t="s">
        <v>7006</v>
      </c>
      <c r="CJ46" s="144" t="s">
        <v>7007</v>
      </c>
      <c r="CK46" s="144" t="s">
        <v>7008</v>
      </c>
      <c r="CL46" s="144" t="s">
        <v>7009</v>
      </c>
      <c r="CM46" s="144" t="s">
        <v>7010</v>
      </c>
      <c r="CN46" s="144" t="s">
        <v>7011</v>
      </c>
      <c r="CO46" s="144" t="s">
        <v>7012</v>
      </c>
      <c r="CP46" s="144" t="s">
        <v>7013</v>
      </c>
      <c r="CQ46" s="144" t="s">
        <v>7014</v>
      </c>
      <c r="CR46" s="144" t="s">
        <v>7015</v>
      </c>
      <c r="CS46" s="144" t="s">
        <v>7016</v>
      </c>
      <c r="CT46" s="144" t="s">
        <v>7017</v>
      </c>
      <c r="CU46" s="144" t="s">
        <v>7018</v>
      </c>
      <c r="CV46" s="144" t="s">
        <v>7019</v>
      </c>
      <c r="CW46" s="144" t="s">
        <v>7020</v>
      </c>
      <c r="CX46" s="79" t="s">
        <v>7021</v>
      </c>
      <c r="CY46" s="79" t="s">
        <v>7022</v>
      </c>
      <c r="CZ46" s="79" t="s">
        <v>7023</v>
      </c>
      <c r="DA46" s="79" t="s">
        <v>7024</v>
      </c>
      <c r="DB46" s="79" t="s">
        <v>7025</v>
      </c>
      <c r="DC46" s="79" t="s">
        <v>7026</v>
      </c>
      <c r="DD46" s="79" t="s">
        <v>7027</v>
      </c>
      <c r="DE46" s="79" t="s">
        <v>7028</v>
      </c>
      <c r="DF46" s="79" t="s">
        <v>7029</v>
      </c>
      <c r="DG46" s="144" t="s">
        <v>7030</v>
      </c>
      <c r="DH46" s="144" t="s">
        <v>7031</v>
      </c>
      <c r="DI46" s="144" t="s">
        <v>7032</v>
      </c>
      <c r="DJ46" s="144" t="s">
        <v>7033</v>
      </c>
      <c r="DK46" s="144" t="s">
        <v>7034</v>
      </c>
      <c r="DL46" s="144" t="s">
        <v>7035</v>
      </c>
      <c r="DM46" s="144" t="s">
        <v>7036</v>
      </c>
      <c r="DN46" s="144" t="s">
        <v>7037</v>
      </c>
      <c r="DO46" s="144" t="s">
        <v>7038</v>
      </c>
      <c r="DP46" s="144" t="s">
        <v>7039</v>
      </c>
      <c r="DQ46" s="79" t="s">
        <v>7040</v>
      </c>
      <c r="DR46" s="144" t="s">
        <v>7041</v>
      </c>
      <c r="DS46" s="144" t="s">
        <v>7042</v>
      </c>
      <c r="DT46" s="144" t="s">
        <v>7043</v>
      </c>
      <c r="DU46" s="144" t="s">
        <v>7044</v>
      </c>
      <c r="DV46" s="144" t="s">
        <v>7045</v>
      </c>
      <c r="DW46" s="144" t="s">
        <v>7046</v>
      </c>
      <c r="DX46" s="144" t="s">
        <v>7047</v>
      </c>
      <c r="DY46" s="144" t="s">
        <v>7048</v>
      </c>
      <c r="DZ46" s="144" t="s">
        <v>7049</v>
      </c>
      <c r="EA46" s="144" t="s">
        <v>7050</v>
      </c>
      <c r="EB46" s="144" t="s">
        <v>7051</v>
      </c>
      <c r="EC46" s="144" t="s">
        <v>7052</v>
      </c>
      <c r="ED46" s="79" t="s">
        <v>7053</v>
      </c>
      <c r="EE46" s="79" t="s">
        <v>7054</v>
      </c>
      <c r="EF46" s="79" t="s">
        <v>7055</v>
      </c>
      <c r="EG46" s="79" t="s">
        <v>7056</v>
      </c>
      <c r="EH46" s="79"/>
    </row>
    <row r="47" spans="3:138" ht="20.100000000000001" customHeight="1" x14ac:dyDescent="0.25">
      <c r="C47" s="76">
        <v>-14</v>
      </c>
      <c r="G47" s="79"/>
      <c r="H47" s="79" t="s">
        <v>3525</v>
      </c>
      <c r="I47" s="79" t="s">
        <v>3493</v>
      </c>
      <c r="J47" s="79" t="s">
        <v>3460</v>
      </c>
      <c r="K47" s="79" t="s">
        <v>3425</v>
      </c>
      <c r="L47" s="79" t="s">
        <v>3389</v>
      </c>
      <c r="M47" s="79" t="s">
        <v>3352</v>
      </c>
      <c r="N47" s="79" t="s">
        <v>3314</v>
      </c>
      <c r="O47" s="79" t="s">
        <v>3276</v>
      </c>
      <c r="P47" s="79" t="s">
        <v>3237</v>
      </c>
      <c r="Q47" s="79" t="s">
        <v>3198</v>
      </c>
      <c r="R47" s="79" t="s">
        <v>3159</v>
      </c>
      <c r="S47" s="79" t="s">
        <v>3120</v>
      </c>
      <c r="T47" s="79" t="s">
        <v>3081</v>
      </c>
      <c r="U47" s="79" t="s">
        <v>3042</v>
      </c>
      <c r="V47" s="79" t="s">
        <v>3003</v>
      </c>
      <c r="W47" s="79" t="s">
        <v>2964</v>
      </c>
      <c r="X47" s="79" t="s">
        <v>2925</v>
      </c>
      <c r="Y47" s="79" t="s">
        <v>2886</v>
      </c>
      <c r="Z47" s="79" t="s">
        <v>2847</v>
      </c>
      <c r="AA47" s="79" t="s">
        <v>2808</v>
      </c>
      <c r="AB47" s="79" t="s">
        <v>2769</v>
      </c>
      <c r="AC47" s="79" t="s">
        <v>2730</v>
      </c>
      <c r="AD47" s="79" t="s">
        <v>2691</v>
      </c>
      <c r="AE47" s="79" t="s">
        <v>2652</v>
      </c>
      <c r="AF47" s="79" t="s">
        <v>2613</v>
      </c>
      <c r="AG47" s="79" t="s">
        <v>2574</v>
      </c>
      <c r="AH47" s="79" t="s">
        <v>2535</v>
      </c>
      <c r="AI47" s="79" t="s">
        <v>2496</v>
      </c>
      <c r="AJ47" s="79" t="s">
        <v>2458</v>
      </c>
      <c r="AK47" s="79" t="s">
        <v>7057</v>
      </c>
      <c r="AL47" s="79" t="s">
        <v>7058</v>
      </c>
      <c r="AM47" s="79" t="s">
        <v>7059</v>
      </c>
      <c r="AN47" s="79" t="s">
        <v>7060</v>
      </c>
      <c r="AO47" s="79" t="s">
        <v>7061</v>
      </c>
      <c r="AP47" s="79" t="s">
        <v>7062</v>
      </c>
      <c r="AQ47" s="79" t="s">
        <v>7063</v>
      </c>
      <c r="AR47" s="79" t="s">
        <v>7064</v>
      </c>
      <c r="AS47" s="79" t="s">
        <v>7065</v>
      </c>
      <c r="AT47" s="144" t="s">
        <v>7066</v>
      </c>
      <c r="AU47" s="79" t="s">
        <v>7067</v>
      </c>
      <c r="AV47" s="79" t="s">
        <v>7068</v>
      </c>
      <c r="AW47" s="79" t="s">
        <v>7069</v>
      </c>
      <c r="AX47" s="79" t="s">
        <v>7070</v>
      </c>
      <c r="AY47" s="79" t="s">
        <v>7071</v>
      </c>
      <c r="AZ47" s="79" t="s">
        <v>7072</v>
      </c>
      <c r="BA47" s="79" t="s">
        <v>7073</v>
      </c>
      <c r="BB47" s="79" t="s">
        <v>7074</v>
      </c>
      <c r="BC47" s="79" t="s">
        <v>7075</v>
      </c>
      <c r="BD47" s="79" t="s">
        <v>7076</v>
      </c>
      <c r="BE47" s="79" t="s">
        <v>7077</v>
      </c>
      <c r="BF47" s="79" t="s">
        <v>7078</v>
      </c>
      <c r="BG47" s="79" t="s">
        <v>7079</v>
      </c>
      <c r="BH47" s="79" t="s">
        <v>7080</v>
      </c>
      <c r="BI47" s="79" t="s">
        <v>7081</v>
      </c>
      <c r="BJ47" s="79" t="s">
        <v>7082</v>
      </c>
      <c r="BK47" s="79" t="s">
        <v>7083</v>
      </c>
      <c r="BL47" s="79" t="s">
        <v>7084</v>
      </c>
      <c r="BM47" s="79" t="s">
        <v>7085</v>
      </c>
      <c r="BN47" s="79" t="s">
        <v>7086</v>
      </c>
      <c r="BO47" s="144" t="s">
        <v>7087</v>
      </c>
      <c r="BP47" s="144" t="s">
        <v>7088</v>
      </c>
      <c r="BQ47" s="144" t="s">
        <v>7089</v>
      </c>
      <c r="BR47" s="144" t="s">
        <v>7090</v>
      </c>
      <c r="BS47" s="144" t="s">
        <v>7091</v>
      </c>
      <c r="BT47" s="144" t="s">
        <v>7092</v>
      </c>
      <c r="BU47" s="144" t="s">
        <v>7093</v>
      </c>
      <c r="BV47" s="144" t="s">
        <v>7094</v>
      </c>
      <c r="BW47" s="144" t="s">
        <v>7095</v>
      </c>
      <c r="BX47" s="144" t="s">
        <v>7096</v>
      </c>
      <c r="BY47" s="144" t="s">
        <v>7097</v>
      </c>
      <c r="BZ47" s="144" t="s">
        <v>7098</v>
      </c>
      <c r="CA47" s="144" t="s">
        <v>7099</v>
      </c>
      <c r="CB47" s="144" t="s">
        <v>7100</v>
      </c>
      <c r="CC47" s="144" t="s">
        <v>7101</v>
      </c>
      <c r="CD47" s="144" t="s">
        <v>7102</v>
      </c>
      <c r="CE47" s="79" t="s">
        <v>7103</v>
      </c>
      <c r="CF47" s="79" t="s">
        <v>7104</v>
      </c>
      <c r="CG47" s="79" t="s">
        <v>7105</v>
      </c>
      <c r="CH47" s="144" t="s">
        <v>7106</v>
      </c>
      <c r="CI47" s="144" t="s">
        <v>7107</v>
      </c>
      <c r="CJ47" s="144" t="s">
        <v>7108</v>
      </c>
      <c r="CK47" s="144" t="s">
        <v>7109</v>
      </c>
      <c r="CL47" s="144" t="s">
        <v>7110</v>
      </c>
      <c r="CM47" s="144" t="s">
        <v>7111</v>
      </c>
      <c r="CN47" s="144" t="s">
        <v>7112</v>
      </c>
      <c r="CO47" s="144" t="s">
        <v>7113</v>
      </c>
      <c r="CP47" s="144" t="s">
        <v>7114</v>
      </c>
      <c r="CQ47" s="144" t="s">
        <v>7115</v>
      </c>
      <c r="CR47" s="144" t="s">
        <v>7116</v>
      </c>
      <c r="CS47" s="144" t="s">
        <v>7117</v>
      </c>
      <c r="CT47" s="144" t="s">
        <v>7118</v>
      </c>
      <c r="CU47" s="144" t="s">
        <v>7119</v>
      </c>
      <c r="CV47" s="144" t="s">
        <v>7120</v>
      </c>
      <c r="CW47" s="144" t="s">
        <v>7121</v>
      </c>
      <c r="CX47" s="79" t="s">
        <v>7122</v>
      </c>
      <c r="CY47" s="79" t="s">
        <v>7123</v>
      </c>
      <c r="CZ47" s="79" t="s">
        <v>7124</v>
      </c>
      <c r="DA47" s="79" t="s">
        <v>7125</v>
      </c>
      <c r="DB47" s="79" t="s">
        <v>7126</v>
      </c>
      <c r="DC47" s="79" t="s">
        <v>7127</v>
      </c>
      <c r="DD47" s="79" t="s">
        <v>7128</v>
      </c>
      <c r="DE47" s="79" t="s">
        <v>7129</v>
      </c>
      <c r="DF47" s="79" t="s">
        <v>7130</v>
      </c>
      <c r="DG47" s="79" t="s">
        <v>7131</v>
      </c>
      <c r="DH47" s="79" t="s">
        <v>7132</v>
      </c>
      <c r="DI47" s="79" t="s">
        <v>7133</v>
      </c>
      <c r="DJ47" s="79" t="s">
        <v>7134</v>
      </c>
      <c r="DK47" s="79" t="s">
        <v>7135</v>
      </c>
      <c r="DL47" s="79" t="s">
        <v>7136</v>
      </c>
      <c r="DM47" s="79" t="s">
        <v>7137</v>
      </c>
      <c r="DN47" s="79" t="s">
        <v>7138</v>
      </c>
      <c r="DO47" s="79" t="s">
        <v>7139</v>
      </c>
      <c r="DP47" s="144" t="s">
        <v>7140</v>
      </c>
      <c r="DQ47" s="79" t="s">
        <v>7141</v>
      </c>
      <c r="DR47" s="144" t="s">
        <v>7142</v>
      </c>
      <c r="DS47" s="144" t="s">
        <v>7143</v>
      </c>
      <c r="DT47" s="144" t="s">
        <v>7144</v>
      </c>
      <c r="DU47" s="144" t="s">
        <v>7145</v>
      </c>
      <c r="DV47" s="144" t="s">
        <v>7146</v>
      </c>
      <c r="DW47" s="144" t="s">
        <v>7147</v>
      </c>
      <c r="DX47" s="144" t="s">
        <v>7148</v>
      </c>
      <c r="DY47" s="144" t="s">
        <v>7149</v>
      </c>
      <c r="DZ47" s="144" t="s">
        <v>7150</v>
      </c>
      <c r="EA47" s="144" t="s">
        <v>7151</v>
      </c>
      <c r="EB47" s="144" t="s">
        <v>7152</v>
      </c>
      <c r="EC47" s="144" t="s">
        <v>7153</v>
      </c>
      <c r="ED47" s="79" t="s">
        <v>7154</v>
      </c>
      <c r="EE47" s="79" t="s">
        <v>7155</v>
      </c>
      <c r="EF47" s="79" t="s">
        <v>7156</v>
      </c>
      <c r="EG47" s="79" t="s">
        <v>7157</v>
      </c>
      <c r="EH47" s="79"/>
    </row>
    <row r="48" spans="3:138" ht="20.100000000000001" customHeight="1" x14ac:dyDescent="0.25">
      <c r="C48" s="76">
        <v>-15</v>
      </c>
      <c r="G48" s="79"/>
      <c r="H48" s="79"/>
      <c r="I48" s="79" t="s">
        <v>7158</v>
      </c>
      <c r="J48" s="79" t="s">
        <v>3459</v>
      </c>
      <c r="K48" s="79" t="s">
        <v>3424</v>
      </c>
      <c r="L48" s="79" t="s">
        <v>3388</v>
      </c>
      <c r="M48" s="79" t="s">
        <v>3351</v>
      </c>
      <c r="N48" s="79" t="s">
        <v>3313</v>
      </c>
      <c r="O48" s="79" t="s">
        <v>3275</v>
      </c>
      <c r="P48" s="79" t="s">
        <v>3236</v>
      </c>
      <c r="Q48" s="79" t="s">
        <v>3197</v>
      </c>
      <c r="R48" s="79" t="s">
        <v>3158</v>
      </c>
      <c r="S48" s="79" t="s">
        <v>3119</v>
      </c>
      <c r="T48" s="79" t="s">
        <v>3080</v>
      </c>
      <c r="U48" s="79" t="s">
        <v>3041</v>
      </c>
      <c r="V48" s="79" t="s">
        <v>3002</v>
      </c>
      <c r="W48" s="79" t="s">
        <v>2963</v>
      </c>
      <c r="X48" s="79" t="s">
        <v>2924</v>
      </c>
      <c r="Y48" s="79" t="s">
        <v>2885</v>
      </c>
      <c r="Z48" s="79" t="s">
        <v>2846</v>
      </c>
      <c r="AA48" s="79" t="s">
        <v>2807</v>
      </c>
      <c r="AB48" s="79" t="s">
        <v>2768</v>
      </c>
      <c r="AC48" s="79" t="s">
        <v>2729</v>
      </c>
      <c r="AD48" s="79" t="s">
        <v>2690</v>
      </c>
      <c r="AE48" s="79" t="s">
        <v>2651</v>
      </c>
      <c r="AF48" s="79" t="s">
        <v>2612</v>
      </c>
      <c r="AG48" s="79" t="s">
        <v>2573</v>
      </c>
      <c r="AH48" s="79" t="s">
        <v>2534</v>
      </c>
      <c r="AI48" s="79" t="s">
        <v>7159</v>
      </c>
      <c r="AJ48" s="79" t="s">
        <v>7160</v>
      </c>
      <c r="AK48" s="79" t="s">
        <v>7161</v>
      </c>
      <c r="AL48" s="79" t="s">
        <v>7162</v>
      </c>
      <c r="AM48" s="79" t="s">
        <v>7163</v>
      </c>
      <c r="AN48" s="79" t="s">
        <v>7164</v>
      </c>
      <c r="AO48" s="79" t="s">
        <v>7165</v>
      </c>
      <c r="AP48" s="79" t="s">
        <v>7166</v>
      </c>
      <c r="AQ48" s="79" t="s">
        <v>7167</v>
      </c>
      <c r="AR48" s="79" t="s">
        <v>7168</v>
      </c>
      <c r="AS48" s="79" t="s">
        <v>7169</v>
      </c>
      <c r="AT48" s="144" t="s">
        <v>7170</v>
      </c>
      <c r="AU48" s="79" t="s">
        <v>7171</v>
      </c>
      <c r="AV48" s="79" t="s">
        <v>7172</v>
      </c>
      <c r="AW48" s="79" t="s">
        <v>7173</v>
      </c>
      <c r="AX48" s="79" t="s">
        <v>7174</v>
      </c>
      <c r="AY48" s="79" t="s">
        <v>7175</v>
      </c>
      <c r="AZ48" s="79" t="s">
        <v>7176</v>
      </c>
      <c r="BA48" s="79" t="s">
        <v>7177</v>
      </c>
      <c r="BB48" s="79" t="s">
        <v>7178</v>
      </c>
      <c r="BC48" s="79" t="s">
        <v>7179</v>
      </c>
      <c r="BD48" s="79" t="s">
        <v>7180</v>
      </c>
      <c r="BE48" s="79" t="s">
        <v>7181</v>
      </c>
      <c r="BF48" s="79" t="s">
        <v>7182</v>
      </c>
      <c r="BG48" s="79" t="s">
        <v>7183</v>
      </c>
      <c r="BH48" s="79" t="s">
        <v>7184</v>
      </c>
      <c r="BI48" s="79" t="s">
        <v>7185</v>
      </c>
      <c r="BJ48" s="79" t="s">
        <v>7186</v>
      </c>
      <c r="BK48" s="79" t="s">
        <v>7187</v>
      </c>
      <c r="BL48" s="79" t="s">
        <v>7188</v>
      </c>
      <c r="BM48" s="79" t="s">
        <v>7189</v>
      </c>
      <c r="BN48" s="79" t="s">
        <v>7190</v>
      </c>
      <c r="BO48" s="144" t="s">
        <v>7191</v>
      </c>
      <c r="BP48" s="144" t="s">
        <v>7192</v>
      </c>
      <c r="BQ48" s="144" t="s">
        <v>7193</v>
      </c>
      <c r="BR48" s="144" t="s">
        <v>7194</v>
      </c>
      <c r="BS48" s="144" t="s">
        <v>7195</v>
      </c>
      <c r="BT48" s="144" t="s">
        <v>7196</v>
      </c>
      <c r="BU48" s="144" t="s">
        <v>7197</v>
      </c>
      <c r="BV48" s="144" t="s">
        <v>7198</v>
      </c>
      <c r="BW48" s="144" t="s">
        <v>7199</v>
      </c>
      <c r="BX48" s="144" t="s">
        <v>7200</v>
      </c>
      <c r="BY48" s="144" t="s">
        <v>7201</v>
      </c>
      <c r="BZ48" s="144" t="s">
        <v>7202</v>
      </c>
      <c r="CA48" s="144" t="s">
        <v>7203</v>
      </c>
      <c r="CB48" s="144" t="s">
        <v>7204</v>
      </c>
      <c r="CC48" s="144" t="s">
        <v>7205</v>
      </c>
      <c r="CD48" s="144" t="s">
        <v>7206</v>
      </c>
      <c r="CE48" s="79" t="s">
        <v>7207</v>
      </c>
      <c r="CF48" s="79" t="s">
        <v>7208</v>
      </c>
      <c r="CG48" s="79" t="s">
        <v>7209</v>
      </c>
      <c r="CH48" s="144" t="s">
        <v>7210</v>
      </c>
      <c r="CI48" s="144" t="s">
        <v>7211</v>
      </c>
      <c r="CJ48" s="144" t="s">
        <v>7212</v>
      </c>
      <c r="CK48" s="144" t="s">
        <v>7213</v>
      </c>
      <c r="CL48" s="144" t="s">
        <v>7214</v>
      </c>
      <c r="CM48" s="144" t="s">
        <v>7215</v>
      </c>
      <c r="CN48" s="144" t="s">
        <v>7216</v>
      </c>
      <c r="CO48" s="144" t="s">
        <v>7217</v>
      </c>
      <c r="CP48" s="144" t="s">
        <v>7218</v>
      </c>
      <c r="CQ48" s="144" t="s">
        <v>7219</v>
      </c>
      <c r="CR48" s="144" t="s">
        <v>7220</v>
      </c>
      <c r="CS48" s="144" t="s">
        <v>7221</v>
      </c>
      <c r="CT48" s="144" t="s">
        <v>7222</v>
      </c>
      <c r="CU48" s="144" t="s">
        <v>7223</v>
      </c>
      <c r="CV48" s="144" t="s">
        <v>7224</v>
      </c>
      <c r="CW48" s="144" t="s">
        <v>7225</v>
      </c>
      <c r="CX48" s="79" t="s">
        <v>7226</v>
      </c>
      <c r="CY48" s="79" t="s">
        <v>7227</v>
      </c>
      <c r="CZ48" s="79" t="s">
        <v>7228</v>
      </c>
      <c r="DA48" s="79" t="s">
        <v>7229</v>
      </c>
      <c r="DB48" s="79" t="s">
        <v>7230</v>
      </c>
      <c r="DC48" s="79" t="s">
        <v>7231</v>
      </c>
      <c r="DD48" s="79" t="s">
        <v>7232</v>
      </c>
      <c r="DE48" s="79" t="s">
        <v>7233</v>
      </c>
      <c r="DF48" s="79" t="s">
        <v>7234</v>
      </c>
      <c r="DG48" s="79" t="s">
        <v>7235</v>
      </c>
      <c r="DH48" s="79" t="s">
        <v>7236</v>
      </c>
      <c r="DI48" s="79" t="s">
        <v>7237</v>
      </c>
      <c r="DJ48" s="79" t="s">
        <v>7238</v>
      </c>
      <c r="DK48" s="79" t="s">
        <v>7239</v>
      </c>
      <c r="DL48" s="79" t="s">
        <v>7240</v>
      </c>
      <c r="DM48" s="79" t="s">
        <v>7241</v>
      </c>
      <c r="DN48" s="79" t="s">
        <v>7242</v>
      </c>
      <c r="DO48" s="79" t="s">
        <v>7243</v>
      </c>
      <c r="DP48" s="144" t="s">
        <v>7244</v>
      </c>
      <c r="DQ48" s="79" t="s">
        <v>7245</v>
      </c>
      <c r="DR48" s="144" t="s">
        <v>7246</v>
      </c>
      <c r="DS48" s="144" t="s">
        <v>7247</v>
      </c>
      <c r="DT48" s="144" t="s">
        <v>7248</v>
      </c>
      <c r="DU48" s="144" t="s">
        <v>7249</v>
      </c>
      <c r="DV48" s="144" t="s">
        <v>7250</v>
      </c>
      <c r="DW48" s="144" t="s">
        <v>7251</v>
      </c>
      <c r="DX48" s="144" t="s">
        <v>7252</v>
      </c>
      <c r="DY48" s="144" t="s">
        <v>7253</v>
      </c>
      <c r="DZ48" s="144" t="s">
        <v>7254</v>
      </c>
      <c r="EA48" s="144" t="s">
        <v>7255</v>
      </c>
      <c r="EB48" s="144" t="s">
        <v>7256</v>
      </c>
      <c r="EC48" s="144" t="s">
        <v>7257</v>
      </c>
      <c r="ED48" s="79" t="s">
        <v>7258</v>
      </c>
      <c r="EE48" s="79" t="s">
        <v>7259</v>
      </c>
      <c r="EF48" s="79" t="s">
        <v>7260</v>
      </c>
      <c r="EG48" s="79" t="s">
        <v>7261</v>
      </c>
      <c r="EH48" s="79"/>
    </row>
    <row r="49" spans="3:138" ht="20.100000000000001" customHeight="1" x14ac:dyDescent="0.25">
      <c r="C49" s="76">
        <v>-16</v>
      </c>
      <c r="G49" s="79"/>
      <c r="H49" s="79"/>
      <c r="I49" s="79" t="s">
        <v>7262</v>
      </c>
      <c r="J49" s="79" t="s">
        <v>7263</v>
      </c>
      <c r="K49" s="79" t="s">
        <v>7264</v>
      </c>
      <c r="L49" s="79" t="s">
        <v>7265</v>
      </c>
      <c r="M49" s="79" t="s">
        <v>7266</v>
      </c>
      <c r="N49" s="79" t="s">
        <v>7267</v>
      </c>
      <c r="O49" s="79" t="s">
        <v>7268</v>
      </c>
      <c r="P49" s="79" t="s">
        <v>7269</v>
      </c>
      <c r="Q49" s="79" t="s">
        <v>7270</v>
      </c>
      <c r="R49" s="79" t="s">
        <v>7271</v>
      </c>
      <c r="S49" s="79" t="s">
        <v>7272</v>
      </c>
      <c r="T49" s="79" t="s">
        <v>7273</v>
      </c>
      <c r="U49" s="79" t="s">
        <v>7274</v>
      </c>
      <c r="V49" s="79" t="s">
        <v>7275</v>
      </c>
      <c r="W49" s="79" t="s">
        <v>7276</v>
      </c>
      <c r="X49" s="79" t="s">
        <v>7277</v>
      </c>
      <c r="Y49" s="79" t="s">
        <v>7278</v>
      </c>
      <c r="Z49" s="79" t="s">
        <v>7279</v>
      </c>
      <c r="AA49" s="79" t="s">
        <v>7280</v>
      </c>
      <c r="AB49" s="79" t="s">
        <v>7281</v>
      </c>
      <c r="AC49" s="79" t="s">
        <v>7282</v>
      </c>
      <c r="AD49" s="79" t="s">
        <v>7283</v>
      </c>
      <c r="AE49" s="79" t="s">
        <v>7284</v>
      </c>
      <c r="AF49" s="79" t="s">
        <v>7285</v>
      </c>
      <c r="AG49" s="79" t="s">
        <v>7286</v>
      </c>
      <c r="AH49" s="79" t="s">
        <v>7287</v>
      </c>
      <c r="AI49" s="79" t="s">
        <v>7288</v>
      </c>
      <c r="AJ49" s="79" t="s">
        <v>7289</v>
      </c>
      <c r="AK49" s="79" t="s">
        <v>7290</v>
      </c>
      <c r="AL49" s="79" t="s">
        <v>7291</v>
      </c>
      <c r="AM49" s="79" t="s">
        <v>7292</v>
      </c>
      <c r="AN49" s="79" t="s">
        <v>7293</v>
      </c>
      <c r="AO49" s="79" t="s">
        <v>7294</v>
      </c>
      <c r="AP49" s="79" t="s">
        <v>7295</v>
      </c>
      <c r="AQ49" s="79" t="s">
        <v>7296</v>
      </c>
      <c r="AR49" s="79" t="s">
        <v>7297</v>
      </c>
      <c r="AS49" s="79" t="s">
        <v>7298</v>
      </c>
      <c r="AT49" s="144" t="s">
        <v>7299</v>
      </c>
      <c r="AU49" s="79" t="s">
        <v>7300</v>
      </c>
      <c r="AV49" s="79" t="s">
        <v>7301</v>
      </c>
      <c r="AW49" s="79" t="s">
        <v>7302</v>
      </c>
      <c r="AX49" s="79" t="s">
        <v>7303</v>
      </c>
      <c r="AY49" s="79" t="s">
        <v>7304</v>
      </c>
      <c r="AZ49" s="79" t="s">
        <v>7305</v>
      </c>
      <c r="BA49" s="79" t="s">
        <v>7306</v>
      </c>
      <c r="BB49" s="79" t="s">
        <v>7307</v>
      </c>
      <c r="BC49" s="79" t="s">
        <v>7308</v>
      </c>
      <c r="BD49" s="79" t="s">
        <v>7309</v>
      </c>
      <c r="BE49" s="79" t="s">
        <v>7310</v>
      </c>
      <c r="BF49" s="79" t="s">
        <v>7311</v>
      </c>
      <c r="BG49" s="79" t="s">
        <v>7312</v>
      </c>
      <c r="BH49" s="79" t="s">
        <v>7313</v>
      </c>
      <c r="BI49" s="79" t="s">
        <v>7314</v>
      </c>
      <c r="BJ49" s="79" t="s">
        <v>7315</v>
      </c>
      <c r="BK49" s="79" t="s">
        <v>7316</v>
      </c>
      <c r="BL49" s="79" t="s">
        <v>7317</v>
      </c>
      <c r="BM49" s="79" t="s">
        <v>7318</v>
      </c>
      <c r="BN49" s="79" t="s">
        <v>7319</v>
      </c>
      <c r="BO49" s="144" t="s">
        <v>7320</v>
      </c>
      <c r="BP49" s="144" t="s">
        <v>7321</v>
      </c>
      <c r="BQ49" s="144" t="s">
        <v>7322</v>
      </c>
      <c r="BR49" s="144" t="s">
        <v>7323</v>
      </c>
      <c r="BS49" s="144" t="s">
        <v>7324</v>
      </c>
      <c r="BT49" s="144" t="s">
        <v>7325</v>
      </c>
      <c r="BU49" s="144" t="s">
        <v>7326</v>
      </c>
      <c r="BV49" s="144" t="s">
        <v>7327</v>
      </c>
      <c r="BW49" s="144" t="s">
        <v>7328</v>
      </c>
      <c r="BX49" s="144" t="s">
        <v>7329</v>
      </c>
      <c r="BY49" s="144" t="s">
        <v>7330</v>
      </c>
      <c r="BZ49" s="144" t="s">
        <v>7331</v>
      </c>
      <c r="CA49" s="144" t="s">
        <v>7332</v>
      </c>
      <c r="CB49" s="144" t="s">
        <v>7333</v>
      </c>
      <c r="CC49" s="144" t="s">
        <v>7334</v>
      </c>
      <c r="CD49" s="144" t="s">
        <v>7335</v>
      </c>
      <c r="CE49" s="79" t="s">
        <v>7336</v>
      </c>
      <c r="CF49" s="79" t="s">
        <v>7337</v>
      </c>
      <c r="CG49" s="79" t="s">
        <v>7338</v>
      </c>
      <c r="CH49" s="144" t="s">
        <v>7339</v>
      </c>
      <c r="CI49" s="144" t="s">
        <v>7340</v>
      </c>
      <c r="CJ49" s="144" t="s">
        <v>7341</v>
      </c>
      <c r="CK49" s="144" t="s">
        <v>7342</v>
      </c>
      <c r="CL49" s="144" t="s">
        <v>7343</v>
      </c>
      <c r="CM49" s="144" t="s">
        <v>7344</v>
      </c>
      <c r="CN49" s="144" t="s">
        <v>7345</v>
      </c>
      <c r="CO49" s="144" t="s">
        <v>7346</v>
      </c>
      <c r="CP49" s="144" t="s">
        <v>7347</v>
      </c>
      <c r="CQ49" s="144" t="s">
        <v>7348</v>
      </c>
      <c r="CR49" s="144" t="s">
        <v>7349</v>
      </c>
      <c r="CS49" s="144" t="s">
        <v>7350</v>
      </c>
      <c r="CT49" s="144" t="s">
        <v>7351</v>
      </c>
      <c r="CU49" s="144" t="s">
        <v>7352</v>
      </c>
      <c r="CV49" s="144" t="s">
        <v>7353</v>
      </c>
      <c r="CW49" s="144" t="s">
        <v>7354</v>
      </c>
      <c r="CX49" s="79" t="s">
        <v>7355</v>
      </c>
      <c r="CY49" s="79" t="s">
        <v>7356</v>
      </c>
      <c r="CZ49" s="79" t="s">
        <v>7357</v>
      </c>
      <c r="DA49" s="79" t="s">
        <v>7358</v>
      </c>
      <c r="DB49" s="79" t="s">
        <v>7359</v>
      </c>
      <c r="DC49" s="79" t="s">
        <v>7360</v>
      </c>
      <c r="DD49" s="79" t="s">
        <v>7361</v>
      </c>
      <c r="DE49" s="79" t="s">
        <v>7362</v>
      </c>
      <c r="DF49" s="79" t="s">
        <v>7363</v>
      </c>
      <c r="DG49" s="79" t="s">
        <v>7364</v>
      </c>
      <c r="DH49" s="79" t="s">
        <v>7365</v>
      </c>
      <c r="DI49" s="79" t="s">
        <v>7366</v>
      </c>
      <c r="DJ49" s="79" t="s">
        <v>7367</v>
      </c>
      <c r="DK49" s="79" t="s">
        <v>7368</v>
      </c>
      <c r="DL49" s="79" t="s">
        <v>7369</v>
      </c>
      <c r="DM49" s="79" t="s">
        <v>7370</v>
      </c>
      <c r="DN49" s="79" t="s">
        <v>7371</v>
      </c>
      <c r="DO49" s="79" t="s">
        <v>7372</v>
      </c>
      <c r="DP49" s="144" t="s">
        <v>7373</v>
      </c>
      <c r="DQ49" s="79" t="s">
        <v>7374</v>
      </c>
      <c r="DR49" s="144" t="s">
        <v>7375</v>
      </c>
      <c r="DS49" s="144" t="s">
        <v>7376</v>
      </c>
      <c r="DT49" s="144" t="s">
        <v>7377</v>
      </c>
      <c r="DU49" s="144" t="s">
        <v>7378</v>
      </c>
      <c r="DV49" s="144" t="s">
        <v>7379</v>
      </c>
      <c r="DW49" s="144" t="s">
        <v>7380</v>
      </c>
      <c r="DX49" s="144" t="s">
        <v>7381</v>
      </c>
      <c r="DY49" s="144" t="s">
        <v>7382</v>
      </c>
      <c r="DZ49" s="144" t="s">
        <v>7383</v>
      </c>
      <c r="EA49" s="144" t="s">
        <v>7384</v>
      </c>
      <c r="EB49" s="144" t="s">
        <v>7385</v>
      </c>
      <c r="EC49" s="144" t="s">
        <v>7386</v>
      </c>
      <c r="ED49" s="79" t="s">
        <v>7387</v>
      </c>
      <c r="EE49" s="79" t="s">
        <v>7388</v>
      </c>
      <c r="EF49" s="79" t="s">
        <v>7389</v>
      </c>
      <c r="EG49" s="79"/>
      <c r="EH49" s="79"/>
    </row>
    <row r="50" spans="3:138" ht="20.100000000000001" customHeight="1" x14ac:dyDescent="0.25">
      <c r="C50" s="76">
        <v>-17</v>
      </c>
      <c r="G50" s="79"/>
      <c r="H50" s="79"/>
      <c r="I50" s="79"/>
      <c r="J50" s="79" t="s">
        <v>7390</v>
      </c>
      <c r="K50" s="79" t="s">
        <v>7391</v>
      </c>
      <c r="L50" s="79" t="s">
        <v>7392</v>
      </c>
      <c r="M50" s="79" t="s">
        <v>7393</v>
      </c>
      <c r="N50" s="79" t="s">
        <v>7394</v>
      </c>
      <c r="O50" s="79" t="s">
        <v>7395</v>
      </c>
      <c r="P50" s="79" t="s">
        <v>7396</v>
      </c>
      <c r="Q50" s="79" t="s">
        <v>7397</v>
      </c>
      <c r="R50" s="79" t="s">
        <v>7398</v>
      </c>
      <c r="S50" s="79" t="s">
        <v>7399</v>
      </c>
      <c r="T50" s="79" t="s">
        <v>7400</v>
      </c>
      <c r="U50" s="79" t="s">
        <v>7401</v>
      </c>
      <c r="V50" s="79" t="s">
        <v>7402</v>
      </c>
      <c r="W50" s="79" t="s">
        <v>7403</v>
      </c>
      <c r="X50" s="79" t="s">
        <v>7404</v>
      </c>
      <c r="Y50" s="79" t="s">
        <v>7405</v>
      </c>
      <c r="Z50" s="79" t="s">
        <v>7406</v>
      </c>
      <c r="AA50" s="79" t="s">
        <v>7407</v>
      </c>
      <c r="AB50" s="79" t="s">
        <v>7408</v>
      </c>
      <c r="AC50" s="79" t="s">
        <v>7409</v>
      </c>
      <c r="AD50" s="79" t="s">
        <v>7410</v>
      </c>
      <c r="AE50" s="79" t="s">
        <v>7411</v>
      </c>
      <c r="AF50" s="79" t="s">
        <v>7412</v>
      </c>
      <c r="AG50" s="79" t="s">
        <v>7413</v>
      </c>
      <c r="AH50" s="79" t="s">
        <v>7414</v>
      </c>
      <c r="AI50" s="79" t="s">
        <v>7415</v>
      </c>
      <c r="AJ50" s="79" t="s">
        <v>7416</v>
      </c>
      <c r="AK50" s="79" t="s">
        <v>7417</v>
      </c>
      <c r="AL50" s="79" t="s">
        <v>7418</v>
      </c>
      <c r="AM50" s="79" t="s">
        <v>7419</v>
      </c>
      <c r="AN50" s="79" t="s">
        <v>7420</v>
      </c>
      <c r="AO50" s="79" t="s">
        <v>7421</v>
      </c>
      <c r="AP50" s="79" t="s">
        <v>7422</v>
      </c>
      <c r="AQ50" s="79" t="s">
        <v>7423</v>
      </c>
      <c r="AR50" s="79" t="s">
        <v>7424</v>
      </c>
      <c r="AS50" s="79" t="s">
        <v>7425</v>
      </c>
      <c r="AT50" s="144" t="s">
        <v>7426</v>
      </c>
      <c r="AU50" s="79" t="s">
        <v>7427</v>
      </c>
      <c r="AV50" s="79" t="s">
        <v>7428</v>
      </c>
      <c r="AW50" s="79" t="s">
        <v>7429</v>
      </c>
      <c r="AX50" s="79" t="s">
        <v>7430</v>
      </c>
      <c r="AY50" s="79" t="s">
        <v>7431</v>
      </c>
      <c r="AZ50" s="79" t="s">
        <v>7432</v>
      </c>
      <c r="BA50" s="79" t="s">
        <v>7433</v>
      </c>
      <c r="BB50" s="79" t="s">
        <v>7434</v>
      </c>
      <c r="BC50" s="79" t="s">
        <v>7435</v>
      </c>
      <c r="BD50" s="79" t="s">
        <v>7436</v>
      </c>
      <c r="BE50" s="79" t="s">
        <v>7437</v>
      </c>
      <c r="BF50" s="79" t="s">
        <v>7438</v>
      </c>
      <c r="BG50" s="79" t="s">
        <v>7439</v>
      </c>
      <c r="BH50" s="79" t="s">
        <v>7440</v>
      </c>
      <c r="BI50" s="79" t="s">
        <v>7441</v>
      </c>
      <c r="BJ50" s="79" t="s">
        <v>7442</v>
      </c>
      <c r="BK50" s="79" t="s">
        <v>7443</v>
      </c>
      <c r="BL50" s="79" t="s">
        <v>7444</v>
      </c>
      <c r="BM50" s="79" t="s">
        <v>7445</v>
      </c>
      <c r="BN50" s="79" t="s">
        <v>7446</v>
      </c>
      <c r="BO50" s="144" t="s">
        <v>7447</v>
      </c>
      <c r="BP50" s="144" t="s">
        <v>7448</v>
      </c>
      <c r="BQ50" s="144" t="s">
        <v>7449</v>
      </c>
      <c r="BR50" s="144" t="s">
        <v>7450</v>
      </c>
      <c r="BS50" s="144" t="s">
        <v>7451</v>
      </c>
      <c r="BT50" s="144" t="s">
        <v>7452</v>
      </c>
      <c r="BU50" s="144" t="s">
        <v>7453</v>
      </c>
      <c r="BV50" s="144" t="s">
        <v>7454</v>
      </c>
      <c r="BW50" s="144" t="s">
        <v>7455</v>
      </c>
      <c r="BX50" s="144" t="s">
        <v>7456</v>
      </c>
      <c r="BY50" s="144" t="s">
        <v>7457</v>
      </c>
      <c r="BZ50" s="144" t="s">
        <v>7458</v>
      </c>
      <c r="CA50" s="144" t="s">
        <v>7459</v>
      </c>
      <c r="CB50" s="144" t="s">
        <v>7460</v>
      </c>
      <c r="CC50" s="144" t="s">
        <v>7461</v>
      </c>
      <c r="CD50" s="144" t="s">
        <v>7462</v>
      </c>
      <c r="CE50" s="79" t="s">
        <v>7463</v>
      </c>
      <c r="CF50" s="79" t="s">
        <v>7464</v>
      </c>
      <c r="CG50" s="79" t="s">
        <v>7465</v>
      </c>
      <c r="CH50" s="144" t="s">
        <v>7466</v>
      </c>
      <c r="CI50" s="144" t="s">
        <v>7467</v>
      </c>
      <c r="CJ50" s="144" t="s">
        <v>7468</v>
      </c>
      <c r="CK50" s="144" t="s">
        <v>7469</v>
      </c>
      <c r="CL50" s="144" t="s">
        <v>7470</v>
      </c>
      <c r="CM50" s="144" t="s">
        <v>7471</v>
      </c>
      <c r="CN50" s="144" t="s">
        <v>7472</v>
      </c>
      <c r="CO50" s="144" t="s">
        <v>7473</v>
      </c>
      <c r="CP50" s="144" t="s">
        <v>7474</v>
      </c>
      <c r="CQ50" s="144" t="s">
        <v>7475</v>
      </c>
      <c r="CR50" s="144" t="s">
        <v>7476</v>
      </c>
      <c r="CS50" s="144" t="s">
        <v>7477</v>
      </c>
      <c r="CT50" s="144" t="s">
        <v>7478</v>
      </c>
      <c r="CU50" s="144" t="s">
        <v>7479</v>
      </c>
      <c r="CV50" s="144" t="s">
        <v>7480</v>
      </c>
      <c r="CW50" s="144" t="s">
        <v>7481</v>
      </c>
      <c r="CX50" s="79" t="s">
        <v>7482</v>
      </c>
      <c r="CY50" s="79" t="s">
        <v>7483</v>
      </c>
      <c r="CZ50" s="79" t="s">
        <v>7484</v>
      </c>
      <c r="DA50" s="79" t="s">
        <v>7485</v>
      </c>
      <c r="DB50" s="79" t="s">
        <v>7486</v>
      </c>
      <c r="DC50" s="79" t="s">
        <v>7487</v>
      </c>
      <c r="DD50" s="79" t="s">
        <v>7488</v>
      </c>
      <c r="DE50" s="79" t="s">
        <v>7489</v>
      </c>
      <c r="DF50" s="79" t="s">
        <v>7490</v>
      </c>
      <c r="DG50" s="79" t="s">
        <v>7491</v>
      </c>
      <c r="DH50" s="79" t="s">
        <v>7492</v>
      </c>
      <c r="DI50" s="79" t="s">
        <v>7493</v>
      </c>
      <c r="DJ50" s="79" t="s">
        <v>7494</v>
      </c>
      <c r="DK50" s="79" t="s">
        <v>7495</v>
      </c>
      <c r="DL50" s="79" t="s">
        <v>7496</v>
      </c>
      <c r="DM50" s="79" t="s">
        <v>7497</v>
      </c>
      <c r="DN50" s="79" t="s">
        <v>7498</v>
      </c>
      <c r="DO50" s="79" t="s">
        <v>7499</v>
      </c>
      <c r="DP50" s="79" t="s">
        <v>7500</v>
      </c>
      <c r="DQ50" s="79" t="s">
        <v>7501</v>
      </c>
      <c r="DR50" s="79" t="s">
        <v>7502</v>
      </c>
      <c r="DS50" s="79" t="s">
        <v>7503</v>
      </c>
      <c r="DT50" s="79" t="s">
        <v>7504</v>
      </c>
      <c r="DU50" s="79" t="s">
        <v>7505</v>
      </c>
      <c r="DV50" s="79" t="s">
        <v>7506</v>
      </c>
      <c r="DW50" s="79" t="s">
        <v>7507</v>
      </c>
      <c r="DX50" s="79" t="s">
        <v>7508</v>
      </c>
      <c r="DY50" s="79" t="s">
        <v>7509</v>
      </c>
      <c r="DZ50" s="79" t="s">
        <v>7510</v>
      </c>
      <c r="EA50" s="79" t="s">
        <v>7511</v>
      </c>
      <c r="EB50" s="79" t="s">
        <v>7512</v>
      </c>
      <c r="EC50" s="79" t="s">
        <v>7513</v>
      </c>
      <c r="ED50" s="79" t="s">
        <v>7514</v>
      </c>
      <c r="EE50" s="79" t="s">
        <v>7515</v>
      </c>
      <c r="EF50" s="79" t="s">
        <v>7516</v>
      </c>
      <c r="EG50" s="79"/>
      <c r="EH50" s="79"/>
    </row>
    <row r="51" spans="3:138" ht="20.100000000000001" customHeight="1" x14ac:dyDescent="0.25">
      <c r="C51" s="76">
        <v>-18</v>
      </c>
      <c r="G51" s="79"/>
      <c r="H51" s="79"/>
      <c r="I51" s="79"/>
      <c r="J51" s="79" t="s">
        <v>7517</v>
      </c>
      <c r="K51" s="79" t="s">
        <v>7518</v>
      </c>
      <c r="L51" s="79" t="s">
        <v>7519</v>
      </c>
      <c r="M51" s="79" t="s">
        <v>7520</v>
      </c>
      <c r="N51" s="79" t="s">
        <v>7521</v>
      </c>
      <c r="O51" s="79" t="s">
        <v>7522</v>
      </c>
      <c r="P51" s="79" t="s">
        <v>7523</v>
      </c>
      <c r="Q51" s="79" t="s">
        <v>7524</v>
      </c>
      <c r="R51" s="79" t="s">
        <v>7525</v>
      </c>
      <c r="S51" s="79" t="s">
        <v>7526</v>
      </c>
      <c r="T51" s="79" t="s">
        <v>7527</v>
      </c>
      <c r="U51" s="79" t="s">
        <v>7528</v>
      </c>
      <c r="V51" s="79" t="s">
        <v>7529</v>
      </c>
      <c r="W51" s="79" t="s">
        <v>7530</v>
      </c>
      <c r="X51" s="79" t="s">
        <v>7531</v>
      </c>
      <c r="Y51" s="79" t="s">
        <v>7532</v>
      </c>
      <c r="Z51" s="79" t="s">
        <v>7533</v>
      </c>
      <c r="AA51" s="79" t="s">
        <v>7534</v>
      </c>
      <c r="AB51" s="79" t="s">
        <v>7535</v>
      </c>
      <c r="AC51" s="79" t="s">
        <v>7536</v>
      </c>
      <c r="AD51" s="79" t="s">
        <v>7537</v>
      </c>
      <c r="AE51" s="79" t="s">
        <v>7538</v>
      </c>
      <c r="AF51" s="79" t="s">
        <v>7539</v>
      </c>
      <c r="AG51" s="79" t="s">
        <v>7540</v>
      </c>
      <c r="AH51" s="79" t="s">
        <v>7541</v>
      </c>
      <c r="AI51" s="79" t="s">
        <v>7542</v>
      </c>
      <c r="AJ51" s="79" t="s">
        <v>7543</v>
      </c>
      <c r="AK51" s="79" t="s">
        <v>7544</v>
      </c>
      <c r="AL51" s="79" t="s">
        <v>7545</v>
      </c>
      <c r="AM51" s="79" t="s">
        <v>7546</v>
      </c>
      <c r="AN51" s="79" t="s">
        <v>7547</v>
      </c>
      <c r="AO51" s="79" t="s">
        <v>7548</v>
      </c>
      <c r="AP51" s="79" t="s">
        <v>7549</v>
      </c>
      <c r="AQ51" s="79" t="s">
        <v>7550</v>
      </c>
      <c r="AR51" s="79" t="s">
        <v>7551</v>
      </c>
      <c r="AS51" s="79" t="s">
        <v>7552</v>
      </c>
      <c r="AT51" s="79" t="s">
        <v>7553</v>
      </c>
      <c r="AU51" s="79" t="s">
        <v>7554</v>
      </c>
      <c r="AV51" s="79" t="s">
        <v>7555</v>
      </c>
      <c r="AW51" s="79" t="s">
        <v>7556</v>
      </c>
      <c r="AX51" s="79" t="s">
        <v>7557</v>
      </c>
      <c r="AY51" s="79" t="s">
        <v>7558</v>
      </c>
      <c r="AZ51" s="79" t="s">
        <v>7559</v>
      </c>
      <c r="BA51" s="79" t="s">
        <v>7560</v>
      </c>
      <c r="BB51" s="79" t="s">
        <v>7561</v>
      </c>
      <c r="BC51" s="79" t="s">
        <v>7562</v>
      </c>
      <c r="BD51" s="79" t="s">
        <v>7563</v>
      </c>
      <c r="BE51" s="79" t="s">
        <v>7564</v>
      </c>
      <c r="BF51" s="79" t="s">
        <v>7565</v>
      </c>
      <c r="BG51" s="79" t="s">
        <v>7566</v>
      </c>
      <c r="BH51" s="79" t="s">
        <v>7567</v>
      </c>
      <c r="BI51" s="79" t="s">
        <v>7568</v>
      </c>
      <c r="BJ51" s="79" t="s">
        <v>7569</v>
      </c>
      <c r="BK51" s="79" t="s">
        <v>7570</v>
      </c>
      <c r="BL51" s="79" t="s">
        <v>7571</v>
      </c>
      <c r="BM51" s="79" t="s">
        <v>7572</v>
      </c>
      <c r="BN51" s="79" t="s">
        <v>7573</v>
      </c>
      <c r="BO51" s="79" t="s">
        <v>7574</v>
      </c>
      <c r="BP51" s="79" t="s">
        <v>7575</v>
      </c>
      <c r="BQ51" s="79" t="s">
        <v>7576</v>
      </c>
      <c r="BR51" s="79" t="s">
        <v>7577</v>
      </c>
      <c r="BS51" s="79" t="s">
        <v>7578</v>
      </c>
      <c r="BT51" s="79" t="s">
        <v>7579</v>
      </c>
      <c r="BU51" s="79" t="s">
        <v>7580</v>
      </c>
      <c r="BV51" s="79" t="s">
        <v>7581</v>
      </c>
      <c r="BW51" s="79" t="s">
        <v>7582</v>
      </c>
      <c r="BX51" s="79" t="s">
        <v>7583</v>
      </c>
      <c r="BY51" s="79" t="s">
        <v>7584</v>
      </c>
      <c r="BZ51" s="79" t="s">
        <v>7585</v>
      </c>
      <c r="CA51" s="79" t="s">
        <v>7586</v>
      </c>
      <c r="CB51" s="79" t="s">
        <v>7587</v>
      </c>
      <c r="CC51" s="79" t="s">
        <v>7588</v>
      </c>
      <c r="CD51" s="79" t="s">
        <v>7589</v>
      </c>
      <c r="CE51" s="79" t="s">
        <v>7590</v>
      </c>
      <c r="CF51" s="79" t="s">
        <v>7591</v>
      </c>
      <c r="CG51" s="79" t="s">
        <v>7592</v>
      </c>
      <c r="CH51" s="79" t="s">
        <v>7593</v>
      </c>
      <c r="CI51" s="79" t="s">
        <v>7594</v>
      </c>
      <c r="CJ51" s="79" t="s">
        <v>7595</v>
      </c>
      <c r="CK51" s="79" t="s">
        <v>7596</v>
      </c>
      <c r="CL51" s="79" t="s">
        <v>7597</v>
      </c>
      <c r="CM51" s="79" t="s">
        <v>7598</v>
      </c>
      <c r="CN51" s="79" t="s">
        <v>7599</v>
      </c>
      <c r="CO51" s="79" t="s">
        <v>7600</v>
      </c>
      <c r="CP51" s="79" t="s">
        <v>7601</v>
      </c>
      <c r="CQ51" s="79" t="s">
        <v>7602</v>
      </c>
      <c r="CR51" s="79" t="s">
        <v>7603</v>
      </c>
      <c r="CS51" s="79" t="s">
        <v>7604</v>
      </c>
      <c r="CT51" s="79" t="s">
        <v>7605</v>
      </c>
      <c r="CU51" s="79" t="s">
        <v>7606</v>
      </c>
      <c r="CV51" s="79" t="s">
        <v>7607</v>
      </c>
      <c r="CW51" s="79" t="s">
        <v>7608</v>
      </c>
      <c r="CX51" s="79" t="s">
        <v>7609</v>
      </c>
      <c r="CY51" s="79" t="s">
        <v>7610</v>
      </c>
      <c r="CZ51" s="79" t="s">
        <v>7611</v>
      </c>
      <c r="DA51" s="79" t="s">
        <v>7612</v>
      </c>
      <c r="DB51" s="79" t="s">
        <v>7613</v>
      </c>
      <c r="DC51" s="79" t="s">
        <v>7614</v>
      </c>
      <c r="DD51" s="79" t="s">
        <v>7615</v>
      </c>
      <c r="DE51" s="79" t="s">
        <v>7616</v>
      </c>
      <c r="DF51" s="79" t="s">
        <v>7617</v>
      </c>
      <c r="DG51" s="79" t="s">
        <v>7618</v>
      </c>
      <c r="DH51" s="79" t="s">
        <v>7619</v>
      </c>
      <c r="DI51" s="79" t="s">
        <v>7620</v>
      </c>
      <c r="DJ51" s="79" t="s">
        <v>7621</v>
      </c>
      <c r="DK51" s="79" t="s">
        <v>7622</v>
      </c>
      <c r="DL51" s="79" t="s">
        <v>7623</v>
      </c>
      <c r="DM51" s="79" t="s">
        <v>7624</v>
      </c>
      <c r="DN51" s="79" t="s">
        <v>7625</v>
      </c>
      <c r="DO51" s="79" t="s">
        <v>7626</v>
      </c>
      <c r="DP51" s="79" t="s">
        <v>7627</v>
      </c>
      <c r="DQ51" s="79" t="s">
        <v>7628</v>
      </c>
      <c r="DR51" s="79" t="s">
        <v>7629</v>
      </c>
      <c r="DS51" s="79" t="s">
        <v>7630</v>
      </c>
      <c r="DT51" s="79" t="s">
        <v>7631</v>
      </c>
      <c r="DU51" s="79" t="s">
        <v>7632</v>
      </c>
      <c r="DV51" s="79" t="s">
        <v>7633</v>
      </c>
      <c r="DW51" s="79" t="s">
        <v>7634</v>
      </c>
      <c r="DX51" s="79" t="s">
        <v>7635</v>
      </c>
      <c r="DY51" s="79" t="s">
        <v>7636</v>
      </c>
      <c r="DZ51" s="79" t="s">
        <v>7637</v>
      </c>
      <c r="EA51" s="79" t="s">
        <v>7638</v>
      </c>
      <c r="EB51" s="79" t="s">
        <v>7639</v>
      </c>
      <c r="EC51" s="79" t="s">
        <v>7640</v>
      </c>
      <c r="ED51" s="79" t="s">
        <v>7641</v>
      </c>
      <c r="EE51" s="79" t="s">
        <v>7642</v>
      </c>
      <c r="EF51" s="79"/>
      <c r="EG51" s="79"/>
      <c r="EH51" s="79"/>
    </row>
    <row r="52" spans="3:138" ht="20.100000000000001" customHeight="1" x14ac:dyDescent="0.25">
      <c r="C52" s="76">
        <v>-19</v>
      </c>
      <c r="G52" s="79"/>
      <c r="H52" s="79"/>
      <c r="I52" s="79"/>
      <c r="J52" s="79"/>
      <c r="K52" s="79" t="s">
        <v>7643</v>
      </c>
      <c r="L52" s="79" t="s">
        <v>7644</v>
      </c>
      <c r="M52" s="79" t="s">
        <v>7645</v>
      </c>
      <c r="N52" s="79" t="s">
        <v>7646</v>
      </c>
      <c r="O52" s="79" t="s">
        <v>7647</v>
      </c>
      <c r="P52" s="79" t="s">
        <v>7648</v>
      </c>
      <c r="Q52" s="79" t="s">
        <v>7649</v>
      </c>
      <c r="R52" s="79" t="s">
        <v>7650</v>
      </c>
      <c r="S52" s="79" t="s">
        <v>7651</v>
      </c>
      <c r="T52" s="79" t="s">
        <v>7652</v>
      </c>
      <c r="U52" s="79" t="s">
        <v>7653</v>
      </c>
      <c r="V52" s="79" t="s">
        <v>7654</v>
      </c>
      <c r="W52" s="79" t="s">
        <v>7655</v>
      </c>
      <c r="X52" s="144" t="s">
        <v>7656</v>
      </c>
      <c r="Y52" s="144" t="s">
        <v>7657</v>
      </c>
      <c r="Z52" s="144" t="s">
        <v>7658</v>
      </c>
      <c r="AA52" s="144" t="s">
        <v>7659</v>
      </c>
      <c r="AB52" s="144" t="s">
        <v>7660</v>
      </c>
      <c r="AC52" s="144" t="s">
        <v>7661</v>
      </c>
      <c r="AD52" s="144" t="s">
        <v>7662</v>
      </c>
      <c r="AE52" s="144" t="s">
        <v>7663</v>
      </c>
      <c r="AF52" s="144" t="s">
        <v>7664</v>
      </c>
      <c r="AG52" s="144" t="s">
        <v>7665</v>
      </c>
      <c r="AH52" s="144" t="s">
        <v>7666</v>
      </c>
      <c r="AI52" s="144" t="s">
        <v>7667</v>
      </c>
      <c r="AJ52" s="144" t="s">
        <v>7668</v>
      </c>
      <c r="AK52" s="144" t="s">
        <v>7669</v>
      </c>
      <c r="AL52" s="144" t="s">
        <v>7670</v>
      </c>
      <c r="AM52" s="144" t="s">
        <v>7671</v>
      </c>
      <c r="AN52" s="79" t="s">
        <v>7672</v>
      </c>
      <c r="AO52" s="79" t="s">
        <v>7673</v>
      </c>
      <c r="AP52" s="79" t="s">
        <v>7674</v>
      </c>
      <c r="AQ52" s="79" t="s">
        <v>7675</v>
      </c>
      <c r="AR52" s="79" t="s">
        <v>7676</v>
      </c>
      <c r="AS52" s="79" t="s">
        <v>7677</v>
      </c>
      <c r="AT52" s="79" t="s">
        <v>7678</v>
      </c>
      <c r="AU52" s="79" t="s">
        <v>7679</v>
      </c>
      <c r="AV52" s="79" t="s">
        <v>7680</v>
      </c>
      <c r="AW52" s="79" t="s">
        <v>7681</v>
      </c>
      <c r="AX52" s="79" t="s">
        <v>7682</v>
      </c>
      <c r="AY52" s="79" t="s">
        <v>7683</v>
      </c>
      <c r="AZ52" s="79" t="s">
        <v>7684</v>
      </c>
      <c r="BA52" s="79" t="s">
        <v>7685</v>
      </c>
      <c r="BB52" s="79" t="s">
        <v>7686</v>
      </c>
      <c r="BC52" s="79" t="s">
        <v>7687</v>
      </c>
      <c r="BD52" s="79" t="s">
        <v>7688</v>
      </c>
      <c r="BE52" s="79" t="s">
        <v>7689</v>
      </c>
      <c r="BF52" s="79" t="s">
        <v>7690</v>
      </c>
      <c r="BG52" s="79" t="s">
        <v>7691</v>
      </c>
      <c r="BH52" s="79" t="s">
        <v>7692</v>
      </c>
      <c r="BI52" s="79" t="s">
        <v>7693</v>
      </c>
      <c r="BJ52" s="79" t="s">
        <v>7694</v>
      </c>
      <c r="BK52" s="79" t="s">
        <v>7695</v>
      </c>
      <c r="BL52" s="79" t="s">
        <v>7696</v>
      </c>
      <c r="BM52" s="79" t="s">
        <v>7697</v>
      </c>
      <c r="BN52" s="79" t="s">
        <v>7698</v>
      </c>
      <c r="BO52" s="79" t="s">
        <v>7699</v>
      </c>
      <c r="BP52" s="79" t="s">
        <v>7700</v>
      </c>
      <c r="BQ52" s="79" t="s">
        <v>7701</v>
      </c>
      <c r="BR52" s="79" t="s">
        <v>7702</v>
      </c>
      <c r="BS52" s="79" t="s">
        <v>7703</v>
      </c>
      <c r="BT52" s="79" t="s">
        <v>7704</v>
      </c>
      <c r="BU52" s="79" t="s">
        <v>7705</v>
      </c>
      <c r="BV52" s="79" t="s">
        <v>7706</v>
      </c>
      <c r="BW52" s="79" t="s">
        <v>7707</v>
      </c>
      <c r="BX52" s="79" t="s">
        <v>7708</v>
      </c>
      <c r="BY52" s="79" t="s">
        <v>7709</v>
      </c>
      <c r="BZ52" s="79" t="s">
        <v>7710</v>
      </c>
      <c r="CA52" s="79" t="s">
        <v>7711</v>
      </c>
      <c r="CB52" s="79" t="s">
        <v>7712</v>
      </c>
      <c r="CC52" s="79" t="s">
        <v>7713</v>
      </c>
      <c r="CD52" s="79" t="s">
        <v>7714</v>
      </c>
      <c r="CE52" s="79" t="s">
        <v>7715</v>
      </c>
      <c r="CF52" s="79" t="s">
        <v>7716</v>
      </c>
      <c r="CG52" s="79" t="s">
        <v>7717</v>
      </c>
      <c r="CH52" s="79" t="s">
        <v>7718</v>
      </c>
      <c r="CI52" s="79" t="s">
        <v>7719</v>
      </c>
      <c r="CJ52" s="79" t="s">
        <v>7720</v>
      </c>
      <c r="CK52" s="79" t="s">
        <v>7721</v>
      </c>
      <c r="CL52" s="79" t="s">
        <v>7722</v>
      </c>
      <c r="CM52" s="79" t="s">
        <v>7723</v>
      </c>
      <c r="CN52" s="79" t="s">
        <v>7724</v>
      </c>
      <c r="CO52" s="79" t="s">
        <v>7725</v>
      </c>
      <c r="CP52" s="79" t="s">
        <v>7726</v>
      </c>
      <c r="CQ52" s="79" t="s">
        <v>7727</v>
      </c>
      <c r="CR52" s="79" t="s">
        <v>7728</v>
      </c>
      <c r="CS52" s="79" t="s">
        <v>7729</v>
      </c>
      <c r="CT52" s="79" t="s">
        <v>7730</v>
      </c>
      <c r="CU52" s="79" t="s">
        <v>7731</v>
      </c>
      <c r="CV52" s="79" t="s">
        <v>7732</v>
      </c>
      <c r="CW52" s="79" t="s">
        <v>7733</v>
      </c>
      <c r="CX52" s="79" t="s">
        <v>7734</v>
      </c>
      <c r="CY52" s="79" t="s">
        <v>7735</v>
      </c>
      <c r="CZ52" s="79" t="s">
        <v>7736</v>
      </c>
      <c r="DA52" s="79" t="s">
        <v>7737</v>
      </c>
      <c r="DB52" s="144" t="s">
        <v>7738</v>
      </c>
      <c r="DC52" s="144" t="s">
        <v>7739</v>
      </c>
      <c r="DD52" s="144" t="s">
        <v>7740</v>
      </c>
      <c r="DE52" s="144" t="s">
        <v>7741</v>
      </c>
      <c r="DF52" s="144" t="s">
        <v>7742</v>
      </c>
      <c r="DG52" s="144" t="s">
        <v>7743</v>
      </c>
      <c r="DH52" s="144" t="s">
        <v>7744</v>
      </c>
      <c r="DI52" s="144" t="s">
        <v>7745</v>
      </c>
      <c r="DJ52" s="144" t="s">
        <v>7746</v>
      </c>
      <c r="DK52" s="144" t="s">
        <v>7747</v>
      </c>
      <c r="DL52" s="144" t="s">
        <v>7748</v>
      </c>
      <c r="DM52" s="144" t="s">
        <v>7749</v>
      </c>
      <c r="DN52" s="144" t="s">
        <v>7750</v>
      </c>
      <c r="DO52" s="79" t="s">
        <v>7751</v>
      </c>
      <c r="DP52" s="79" t="s">
        <v>7752</v>
      </c>
      <c r="DQ52" s="79" t="s">
        <v>7753</v>
      </c>
      <c r="DR52" s="79" t="s">
        <v>7754</v>
      </c>
      <c r="DS52" s="79" t="s">
        <v>7755</v>
      </c>
      <c r="DT52" s="79" t="s">
        <v>7756</v>
      </c>
      <c r="DU52" s="79" t="s">
        <v>7757</v>
      </c>
      <c r="DV52" s="79" t="s">
        <v>7758</v>
      </c>
      <c r="DW52" s="79" t="s">
        <v>7759</v>
      </c>
      <c r="DX52" s="79" t="s">
        <v>7760</v>
      </c>
      <c r="DY52" s="79" t="s">
        <v>7761</v>
      </c>
      <c r="DZ52" s="79" t="s">
        <v>7762</v>
      </c>
      <c r="EA52" s="79" t="s">
        <v>7763</v>
      </c>
      <c r="EB52" s="79" t="s">
        <v>7764</v>
      </c>
      <c r="EC52" s="79" t="s">
        <v>7765</v>
      </c>
      <c r="ED52" s="79" t="s">
        <v>7766</v>
      </c>
      <c r="EE52" s="79" t="s">
        <v>7767</v>
      </c>
      <c r="EF52" s="79"/>
      <c r="EG52" s="79"/>
      <c r="EH52" s="79"/>
    </row>
    <row r="53" spans="3:138" ht="20.100000000000001" customHeight="1" x14ac:dyDescent="0.25">
      <c r="C53" s="76">
        <v>-20</v>
      </c>
      <c r="G53" s="79"/>
      <c r="H53" s="79"/>
      <c r="I53" s="79"/>
      <c r="J53" s="79"/>
      <c r="K53" s="79" t="s">
        <v>7768</v>
      </c>
      <c r="L53" s="79" t="s">
        <v>7769</v>
      </c>
      <c r="M53" s="79" t="s">
        <v>7770</v>
      </c>
      <c r="N53" s="79" t="s">
        <v>7771</v>
      </c>
      <c r="O53" s="79" t="s">
        <v>7772</v>
      </c>
      <c r="P53" s="79" t="s">
        <v>7773</v>
      </c>
      <c r="Q53" s="79" t="s">
        <v>7774</v>
      </c>
      <c r="R53" s="79" t="s">
        <v>7775</v>
      </c>
      <c r="S53" s="79" t="s">
        <v>7776</v>
      </c>
      <c r="T53" s="79" t="s">
        <v>7777</v>
      </c>
      <c r="U53" s="79" t="s">
        <v>7778</v>
      </c>
      <c r="V53" s="79" t="s">
        <v>7779</v>
      </c>
      <c r="W53" s="79" t="s">
        <v>7780</v>
      </c>
      <c r="X53" s="144" t="s">
        <v>7781</v>
      </c>
      <c r="Y53" s="144" t="s">
        <v>7782</v>
      </c>
      <c r="Z53" s="144" t="s">
        <v>7783</v>
      </c>
      <c r="AA53" s="144" t="s">
        <v>7784</v>
      </c>
      <c r="AB53" s="144" t="s">
        <v>7785</v>
      </c>
      <c r="AC53" s="144" t="s">
        <v>7786</v>
      </c>
      <c r="AD53" s="144" t="s">
        <v>7787</v>
      </c>
      <c r="AE53" s="144" t="s">
        <v>7788</v>
      </c>
      <c r="AF53" s="144" t="s">
        <v>7789</v>
      </c>
      <c r="AG53" s="144" t="s">
        <v>7790</v>
      </c>
      <c r="AH53" s="144" t="s">
        <v>7791</v>
      </c>
      <c r="AI53" s="144" t="s">
        <v>7792</v>
      </c>
      <c r="AJ53" s="144" t="s">
        <v>7793</v>
      </c>
      <c r="AK53" s="144" t="s">
        <v>7794</v>
      </c>
      <c r="AL53" s="144" t="s">
        <v>7795</v>
      </c>
      <c r="AM53" s="144" t="s">
        <v>7796</v>
      </c>
      <c r="AN53" s="79" t="s">
        <v>7797</v>
      </c>
      <c r="AO53" s="79" t="s">
        <v>7798</v>
      </c>
      <c r="AP53" s="79" t="s">
        <v>7799</v>
      </c>
      <c r="AQ53" s="79" t="s">
        <v>7800</v>
      </c>
      <c r="AR53" s="79" t="s">
        <v>7801</v>
      </c>
      <c r="AS53" s="79" t="s">
        <v>7802</v>
      </c>
      <c r="AT53" s="79" t="s">
        <v>7803</v>
      </c>
      <c r="AU53" s="79" t="s">
        <v>7804</v>
      </c>
      <c r="AV53" s="79" t="s">
        <v>7805</v>
      </c>
      <c r="AW53" s="79" t="s">
        <v>7806</v>
      </c>
      <c r="AX53" s="79" t="s">
        <v>7807</v>
      </c>
      <c r="AY53" s="79" t="s">
        <v>7808</v>
      </c>
      <c r="AZ53" s="144" t="s">
        <v>7809</v>
      </c>
      <c r="BA53" s="144" t="s">
        <v>7810</v>
      </c>
      <c r="BB53" s="144" t="s">
        <v>7811</v>
      </c>
      <c r="BC53" s="144" t="s">
        <v>7812</v>
      </c>
      <c r="BD53" s="144" t="s">
        <v>7813</v>
      </c>
      <c r="BE53" s="144" t="s">
        <v>7814</v>
      </c>
      <c r="BF53" s="144" t="s">
        <v>7815</v>
      </c>
      <c r="BG53" s="144" t="s">
        <v>7816</v>
      </c>
      <c r="BH53" s="144" t="s">
        <v>7817</v>
      </c>
      <c r="BI53" s="144" t="s">
        <v>7818</v>
      </c>
      <c r="BJ53" s="144" t="s">
        <v>7819</v>
      </c>
      <c r="BK53" s="144" t="s">
        <v>7820</v>
      </c>
      <c r="BL53" s="144" t="s">
        <v>7821</v>
      </c>
      <c r="BM53" s="144" t="s">
        <v>7822</v>
      </c>
      <c r="BN53" s="144" t="s">
        <v>7823</v>
      </c>
      <c r="BO53" s="144" t="s">
        <v>7824</v>
      </c>
      <c r="BP53" s="144" t="s">
        <v>7825</v>
      </c>
      <c r="BQ53" s="144" t="s">
        <v>7826</v>
      </c>
      <c r="BR53" s="144" t="s">
        <v>7827</v>
      </c>
      <c r="BS53" s="144" t="s">
        <v>7828</v>
      </c>
      <c r="BT53" s="144" t="s">
        <v>7829</v>
      </c>
      <c r="BU53" s="144" t="s">
        <v>7830</v>
      </c>
      <c r="BV53" s="144" t="s">
        <v>7831</v>
      </c>
      <c r="BW53" s="144" t="s">
        <v>7832</v>
      </c>
      <c r="BX53" s="144" t="s">
        <v>7833</v>
      </c>
      <c r="BY53" s="144" t="s">
        <v>7834</v>
      </c>
      <c r="BZ53" s="144" t="s">
        <v>7835</v>
      </c>
      <c r="CA53" s="79" t="s">
        <v>7836</v>
      </c>
      <c r="CB53" s="79" t="s">
        <v>7837</v>
      </c>
      <c r="CC53" s="144" t="s">
        <v>7838</v>
      </c>
      <c r="CD53" s="144" t="s">
        <v>7839</v>
      </c>
      <c r="CE53" s="144" t="s">
        <v>7840</v>
      </c>
      <c r="CF53" s="144" t="s">
        <v>7841</v>
      </c>
      <c r="CG53" s="144" t="s">
        <v>7842</v>
      </c>
      <c r="CH53" s="144" t="s">
        <v>7843</v>
      </c>
      <c r="CI53" s="144" t="s">
        <v>7844</v>
      </c>
      <c r="CJ53" s="144" t="s">
        <v>7845</v>
      </c>
      <c r="CK53" s="144" t="s">
        <v>7846</v>
      </c>
      <c r="CL53" s="144" t="s">
        <v>7847</v>
      </c>
      <c r="CM53" s="144" t="s">
        <v>7848</v>
      </c>
      <c r="CN53" s="144" t="s">
        <v>7849</v>
      </c>
      <c r="CO53" s="144" t="s">
        <v>7850</v>
      </c>
      <c r="CP53" s="144" t="s">
        <v>7851</v>
      </c>
      <c r="CQ53" s="144" t="s">
        <v>7852</v>
      </c>
      <c r="CR53" s="144" t="s">
        <v>7853</v>
      </c>
      <c r="CS53" s="144" t="s">
        <v>7854</v>
      </c>
      <c r="CT53" s="144" t="s">
        <v>7855</v>
      </c>
      <c r="CU53" s="144" t="s">
        <v>7856</v>
      </c>
      <c r="CV53" s="144" t="s">
        <v>7857</v>
      </c>
      <c r="CW53" s="144" t="s">
        <v>7858</v>
      </c>
      <c r="CX53" s="144" t="s">
        <v>7859</v>
      </c>
      <c r="CY53" s="144" t="s">
        <v>7860</v>
      </c>
      <c r="CZ53" s="144" t="s">
        <v>7861</v>
      </c>
      <c r="DA53" s="144" t="s">
        <v>7862</v>
      </c>
      <c r="DB53" s="144" t="s">
        <v>7863</v>
      </c>
      <c r="DC53" s="144" t="s">
        <v>7864</v>
      </c>
      <c r="DD53" s="144" t="s">
        <v>7865</v>
      </c>
      <c r="DE53" s="144" t="s">
        <v>7866</v>
      </c>
      <c r="DF53" s="144" t="s">
        <v>7867</v>
      </c>
      <c r="DG53" s="144" t="s">
        <v>7868</v>
      </c>
      <c r="DH53" s="144" t="s">
        <v>7869</v>
      </c>
      <c r="DI53" s="144" t="s">
        <v>7870</v>
      </c>
      <c r="DJ53" s="144" t="s">
        <v>7871</v>
      </c>
      <c r="DK53" s="144" t="s">
        <v>7872</v>
      </c>
      <c r="DL53" s="144" t="s">
        <v>7873</v>
      </c>
      <c r="DM53" s="144" t="s">
        <v>7874</v>
      </c>
      <c r="DN53" s="144" t="s">
        <v>7875</v>
      </c>
      <c r="DO53" s="79" t="s">
        <v>7876</v>
      </c>
      <c r="DP53" s="79" t="s">
        <v>7877</v>
      </c>
      <c r="DQ53" s="79" t="s">
        <v>7878</v>
      </c>
      <c r="DR53" s="79" t="s">
        <v>7879</v>
      </c>
      <c r="DS53" s="79" t="s">
        <v>7880</v>
      </c>
      <c r="DT53" s="79" t="s">
        <v>7881</v>
      </c>
      <c r="DU53" s="79" t="s">
        <v>7882</v>
      </c>
      <c r="DV53" s="79" t="s">
        <v>7883</v>
      </c>
      <c r="DW53" s="79" t="s">
        <v>7884</v>
      </c>
      <c r="DX53" s="79" t="s">
        <v>7885</v>
      </c>
      <c r="DY53" s="79" t="s">
        <v>7886</v>
      </c>
      <c r="DZ53" s="79" t="s">
        <v>7887</v>
      </c>
      <c r="EA53" s="79" t="s">
        <v>7888</v>
      </c>
      <c r="EB53" s="79" t="s">
        <v>7889</v>
      </c>
      <c r="EC53" s="79" t="s">
        <v>7890</v>
      </c>
      <c r="ED53" s="79" t="s">
        <v>7891</v>
      </c>
      <c r="EE53" s="79"/>
      <c r="EF53" s="79"/>
      <c r="EG53" s="79"/>
      <c r="EH53" s="79"/>
    </row>
    <row r="54" spans="3:138" ht="20.100000000000001" customHeight="1" x14ac:dyDescent="0.25">
      <c r="C54" s="76">
        <v>-21</v>
      </c>
      <c r="G54" s="79"/>
      <c r="H54" s="79"/>
      <c r="I54" s="79"/>
      <c r="J54" s="79"/>
      <c r="K54" s="79"/>
      <c r="L54" s="79"/>
      <c r="M54" s="79" t="s">
        <v>7892</v>
      </c>
      <c r="N54" s="79" t="s">
        <v>7893</v>
      </c>
      <c r="O54" s="79" t="s">
        <v>7894</v>
      </c>
      <c r="P54" s="79" t="s">
        <v>7895</v>
      </c>
      <c r="Q54" s="79" t="s">
        <v>7896</v>
      </c>
      <c r="R54" s="79" t="s">
        <v>7897</v>
      </c>
      <c r="S54" s="79" t="s">
        <v>7898</v>
      </c>
      <c r="T54" s="79" t="s">
        <v>7899</v>
      </c>
      <c r="U54" s="79" t="s">
        <v>7900</v>
      </c>
      <c r="V54" s="79" t="s">
        <v>7901</v>
      </c>
      <c r="W54" s="79" t="s">
        <v>7902</v>
      </c>
      <c r="X54" s="144" t="s">
        <v>7903</v>
      </c>
      <c r="Y54" s="144" t="s">
        <v>7904</v>
      </c>
      <c r="Z54" s="144" t="s">
        <v>7905</v>
      </c>
      <c r="AA54" s="144" t="s">
        <v>7906</v>
      </c>
      <c r="AB54" s="144" t="s">
        <v>7907</v>
      </c>
      <c r="AC54" s="144" t="s">
        <v>7908</v>
      </c>
      <c r="AD54" s="144" t="s">
        <v>7909</v>
      </c>
      <c r="AE54" s="144" t="s">
        <v>7910</v>
      </c>
      <c r="AF54" s="144" t="s">
        <v>7911</v>
      </c>
      <c r="AG54" s="144" t="s">
        <v>7912</v>
      </c>
      <c r="AH54" s="144" t="s">
        <v>7913</v>
      </c>
      <c r="AI54" s="144" t="s">
        <v>7914</v>
      </c>
      <c r="AJ54" s="144" t="s">
        <v>7915</v>
      </c>
      <c r="AK54" s="144" t="s">
        <v>7916</v>
      </c>
      <c r="AL54" s="144" t="s">
        <v>7917</v>
      </c>
      <c r="AM54" s="144" t="s">
        <v>7918</v>
      </c>
      <c r="AN54" s="79" t="s">
        <v>7919</v>
      </c>
      <c r="AO54" s="79" t="s">
        <v>7920</v>
      </c>
      <c r="AP54" s="79" t="s">
        <v>7921</v>
      </c>
      <c r="AQ54" s="79" t="s">
        <v>7922</v>
      </c>
      <c r="AR54" s="79" t="s">
        <v>7923</v>
      </c>
      <c r="AS54" s="79" t="s">
        <v>7924</v>
      </c>
      <c r="AT54" s="79" t="s">
        <v>7925</v>
      </c>
      <c r="AU54" s="79" t="s">
        <v>7926</v>
      </c>
      <c r="AV54" s="79" t="s">
        <v>7927</v>
      </c>
      <c r="AW54" s="79" t="s">
        <v>7928</v>
      </c>
      <c r="AX54" s="79" t="s">
        <v>7929</v>
      </c>
      <c r="AY54" s="79" t="s">
        <v>7930</v>
      </c>
      <c r="AZ54" s="79" t="s">
        <v>7931</v>
      </c>
      <c r="BA54" s="79" t="s">
        <v>7932</v>
      </c>
      <c r="BB54" s="79" t="s">
        <v>7933</v>
      </c>
      <c r="BC54" s="79" t="s">
        <v>7934</v>
      </c>
      <c r="BD54" s="79" t="s">
        <v>7935</v>
      </c>
      <c r="BE54" s="79" t="s">
        <v>7936</v>
      </c>
      <c r="BF54" s="79" t="s">
        <v>7937</v>
      </c>
      <c r="BG54" s="79" t="s">
        <v>7938</v>
      </c>
      <c r="BH54" s="79" t="s">
        <v>7939</v>
      </c>
      <c r="BI54" s="79" t="s">
        <v>7940</v>
      </c>
      <c r="BJ54" s="79" t="s">
        <v>7941</v>
      </c>
      <c r="BK54" s="79" t="s">
        <v>7942</v>
      </c>
      <c r="BL54" s="79" t="s">
        <v>7943</v>
      </c>
      <c r="BM54" s="79" t="s">
        <v>7944</v>
      </c>
      <c r="BN54" s="79" t="s">
        <v>7945</v>
      </c>
      <c r="BO54" s="79" t="s">
        <v>7946</v>
      </c>
      <c r="BP54" s="79" t="s">
        <v>7947</v>
      </c>
      <c r="BQ54" s="79" t="s">
        <v>7948</v>
      </c>
      <c r="BR54" s="79" t="s">
        <v>7949</v>
      </c>
      <c r="BS54" s="79" t="s">
        <v>7950</v>
      </c>
      <c r="BT54" s="79" t="s">
        <v>7951</v>
      </c>
      <c r="BU54" s="79" t="s">
        <v>7952</v>
      </c>
      <c r="BV54" s="79" t="s">
        <v>7953</v>
      </c>
      <c r="BW54" s="79" t="s">
        <v>7954</v>
      </c>
      <c r="BX54" s="79" t="s">
        <v>7955</v>
      </c>
      <c r="BY54" s="79" t="s">
        <v>7956</v>
      </c>
      <c r="BZ54" s="144" t="s">
        <v>7957</v>
      </c>
      <c r="CA54" s="79" t="s">
        <v>7958</v>
      </c>
      <c r="CB54" s="79" t="s">
        <v>7959</v>
      </c>
      <c r="CC54" s="79" t="s">
        <v>7960</v>
      </c>
      <c r="CD54" s="79" t="s">
        <v>7961</v>
      </c>
      <c r="CE54" s="79" t="s">
        <v>7962</v>
      </c>
      <c r="CF54" s="79" t="s">
        <v>7963</v>
      </c>
      <c r="CG54" s="79" t="s">
        <v>7964</v>
      </c>
      <c r="CH54" s="79" t="s">
        <v>7965</v>
      </c>
      <c r="CI54" s="79" t="s">
        <v>7966</v>
      </c>
      <c r="CJ54" s="79" t="s">
        <v>7967</v>
      </c>
      <c r="CK54" s="79" t="s">
        <v>7968</v>
      </c>
      <c r="CL54" s="79" t="s">
        <v>7969</v>
      </c>
      <c r="CM54" s="79" t="s">
        <v>7970</v>
      </c>
      <c r="CN54" s="79" t="s">
        <v>7971</v>
      </c>
      <c r="CO54" s="79" t="s">
        <v>7972</v>
      </c>
      <c r="CP54" s="79" t="s">
        <v>7973</v>
      </c>
      <c r="CQ54" s="79" t="s">
        <v>7974</v>
      </c>
      <c r="CR54" s="79" t="s">
        <v>7975</v>
      </c>
      <c r="CS54" s="79" t="s">
        <v>7976</v>
      </c>
      <c r="CT54" s="79" t="s">
        <v>7977</v>
      </c>
      <c r="CU54" s="79" t="s">
        <v>7978</v>
      </c>
      <c r="CV54" s="79" t="s">
        <v>7979</v>
      </c>
      <c r="CW54" s="79" t="s">
        <v>7980</v>
      </c>
      <c r="CX54" s="79" t="s">
        <v>7981</v>
      </c>
      <c r="CY54" s="79" t="s">
        <v>7982</v>
      </c>
      <c r="CZ54" s="79" t="s">
        <v>7983</v>
      </c>
      <c r="DA54" s="79" t="s">
        <v>7984</v>
      </c>
      <c r="DB54" s="144" t="s">
        <v>7985</v>
      </c>
      <c r="DC54" s="144" t="s">
        <v>7986</v>
      </c>
      <c r="DD54" s="144" t="s">
        <v>7987</v>
      </c>
      <c r="DE54" s="144" t="s">
        <v>7988</v>
      </c>
      <c r="DF54" s="144" t="s">
        <v>7989</v>
      </c>
      <c r="DG54" s="144" t="s">
        <v>7990</v>
      </c>
      <c r="DH54" s="144" t="s">
        <v>7991</v>
      </c>
      <c r="DI54" s="144" t="s">
        <v>7992</v>
      </c>
      <c r="DJ54" s="144" t="s">
        <v>7993</v>
      </c>
      <c r="DK54" s="144" t="s">
        <v>7994</v>
      </c>
      <c r="DL54" s="144" t="s">
        <v>7995</v>
      </c>
      <c r="DM54" s="144" t="s">
        <v>7996</v>
      </c>
      <c r="DN54" s="144" t="s">
        <v>7997</v>
      </c>
      <c r="DO54" s="79" t="s">
        <v>7998</v>
      </c>
      <c r="DP54" s="79" t="s">
        <v>7999</v>
      </c>
      <c r="DQ54" s="79" t="s">
        <v>8000</v>
      </c>
      <c r="DR54" s="79" t="s">
        <v>8001</v>
      </c>
      <c r="DS54" s="79" t="s">
        <v>8002</v>
      </c>
      <c r="DT54" s="79" t="s">
        <v>8003</v>
      </c>
      <c r="DU54" s="79" t="s">
        <v>8004</v>
      </c>
      <c r="DV54" s="79" t="s">
        <v>8005</v>
      </c>
      <c r="DW54" s="79" t="s">
        <v>8006</v>
      </c>
      <c r="DX54" s="79" t="s">
        <v>8007</v>
      </c>
      <c r="DY54" s="79" t="s">
        <v>8008</v>
      </c>
      <c r="DZ54" s="79" t="s">
        <v>8009</v>
      </c>
      <c r="EA54" s="79" t="s">
        <v>8010</v>
      </c>
      <c r="EB54" s="79"/>
      <c r="EC54" s="79"/>
      <c r="ED54" s="79"/>
      <c r="EE54" s="79"/>
      <c r="EF54" s="79"/>
      <c r="EG54" s="79"/>
      <c r="EH54" s="79"/>
    </row>
    <row r="55" spans="3:138" ht="20.100000000000001" customHeight="1" x14ac:dyDescent="0.25">
      <c r="C55" s="76">
        <v>-22</v>
      </c>
      <c r="G55" s="79"/>
      <c r="H55" s="79"/>
      <c r="I55" s="79"/>
      <c r="J55" s="79"/>
      <c r="K55" s="79"/>
      <c r="L55" s="79"/>
      <c r="M55" s="79"/>
      <c r="N55" s="79"/>
      <c r="O55" s="79" t="s">
        <v>8011</v>
      </c>
      <c r="P55" s="79" t="s">
        <v>8012</v>
      </c>
      <c r="Q55" s="79" t="s">
        <v>8013</v>
      </c>
      <c r="R55" s="79" t="s">
        <v>8014</v>
      </c>
      <c r="S55" s="79" t="s">
        <v>8015</v>
      </c>
      <c r="T55" s="79" t="s">
        <v>8016</v>
      </c>
      <c r="U55" s="79" t="s">
        <v>8017</v>
      </c>
      <c r="V55" s="79" t="s">
        <v>8018</v>
      </c>
      <c r="W55" s="79" t="s">
        <v>8019</v>
      </c>
      <c r="X55" s="144" t="s">
        <v>8020</v>
      </c>
      <c r="Y55" s="144" t="s">
        <v>8021</v>
      </c>
      <c r="Z55" s="144" t="s">
        <v>8022</v>
      </c>
      <c r="AA55" s="144" t="s">
        <v>8023</v>
      </c>
      <c r="AB55" s="144" t="s">
        <v>8024</v>
      </c>
      <c r="AC55" s="144" t="s">
        <v>8025</v>
      </c>
      <c r="AD55" s="144" t="s">
        <v>8026</v>
      </c>
      <c r="AE55" s="144" t="s">
        <v>8027</v>
      </c>
      <c r="AF55" s="144" t="s">
        <v>8028</v>
      </c>
      <c r="AG55" s="144" t="s">
        <v>8029</v>
      </c>
      <c r="AH55" s="144" t="s">
        <v>8030</v>
      </c>
      <c r="AI55" s="144" t="s">
        <v>8031</v>
      </c>
      <c r="AJ55" s="144" t="s">
        <v>8032</v>
      </c>
      <c r="AK55" s="144" t="s">
        <v>8033</v>
      </c>
      <c r="AL55" s="144" t="s">
        <v>8034</v>
      </c>
      <c r="AM55" s="144" t="s">
        <v>8035</v>
      </c>
      <c r="AN55" s="79" t="s">
        <v>8036</v>
      </c>
      <c r="AO55" s="79" t="s">
        <v>8037</v>
      </c>
      <c r="AP55" s="79" t="s">
        <v>8038</v>
      </c>
      <c r="AQ55" s="79" t="s">
        <v>8039</v>
      </c>
      <c r="AR55" s="79" t="s">
        <v>8040</v>
      </c>
      <c r="AS55" s="79" t="s">
        <v>8041</v>
      </c>
      <c r="AT55" s="79" t="s">
        <v>8042</v>
      </c>
      <c r="AU55" s="79" t="s">
        <v>8043</v>
      </c>
      <c r="AV55" s="79" t="s">
        <v>8044</v>
      </c>
      <c r="AW55" s="79" t="s">
        <v>8045</v>
      </c>
      <c r="AX55" s="79" t="s">
        <v>8046</v>
      </c>
      <c r="AY55" s="79" t="s">
        <v>8047</v>
      </c>
      <c r="AZ55" s="79" t="s">
        <v>8048</v>
      </c>
      <c r="BA55" s="79" t="s">
        <v>8049</v>
      </c>
      <c r="BB55" s="79" t="s">
        <v>8050</v>
      </c>
      <c r="BC55" s="79" t="s">
        <v>8051</v>
      </c>
      <c r="BD55" s="79" t="s">
        <v>8052</v>
      </c>
      <c r="BE55" s="79" t="s">
        <v>8053</v>
      </c>
      <c r="BF55" s="79" t="s">
        <v>8054</v>
      </c>
      <c r="BG55" s="79" t="s">
        <v>8055</v>
      </c>
      <c r="BH55" s="79" t="s">
        <v>8056</v>
      </c>
      <c r="BI55" s="79" t="s">
        <v>8057</v>
      </c>
      <c r="BJ55" s="79" t="s">
        <v>8058</v>
      </c>
      <c r="BK55" s="79" t="s">
        <v>8059</v>
      </c>
      <c r="BL55" s="79" t="s">
        <v>8060</v>
      </c>
      <c r="BM55" s="79" t="s">
        <v>8061</v>
      </c>
      <c r="BN55" s="79" t="s">
        <v>8062</v>
      </c>
      <c r="BO55" s="79" t="s">
        <v>8063</v>
      </c>
      <c r="BP55" s="79" t="s">
        <v>8064</v>
      </c>
      <c r="BQ55" s="79" t="s">
        <v>8065</v>
      </c>
      <c r="BR55" s="79" t="s">
        <v>8066</v>
      </c>
      <c r="BS55" s="79" t="s">
        <v>8067</v>
      </c>
      <c r="BT55" s="79" t="s">
        <v>8068</v>
      </c>
      <c r="BU55" s="79" t="s">
        <v>8069</v>
      </c>
      <c r="BV55" s="79" t="s">
        <v>8070</v>
      </c>
      <c r="BW55" s="79" t="s">
        <v>8071</v>
      </c>
      <c r="BX55" s="79" t="s">
        <v>8072</v>
      </c>
      <c r="BY55" s="79" t="s">
        <v>8073</v>
      </c>
      <c r="BZ55" s="144" t="s">
        <v>8074</v>
      </c>
      <c r="CA55" s="79" t="s">
        <v>8075</v>
      </c>
      <c r="CB55" s="79" t="s">
        <v>8076</v>
      </c>
      <c r="CC55" s="79" t="s">
        <v>8077</v>
      </c>
      <c r="CD55" s="79" t="s">
        <v>8078</v>
      </c>
      <c r="CE55" s="79" t="s">
        <v>8079</v>
      </c>
      <c r="CF55" s="79" t="s">
        <v>8080</v>
      </c>
      <c r="CG55" s="79" t="s">
        <v>8081</v>
      </c>
      <c r="CH55" s="79" t="s">
        <v>8082</v>
      </c>
      <c r="CI55" s="79" t="s">
        <v>8083</v>
      </c>
      <c r="CJ55" s="79" t="s">
        <v>8084</v>
      </c>
      <c r="CK55" s="79" t="s">
        <v>8085</v>
      </c>
      <c r="CL55" s="79" t="s">
        <v>8086</v>
      </c>
      <c r="CM55" s="79" t="s">
        <v>8087</v>
      </c>
      <c r="CN55" s="79" t="s">
        <v>8088</v>
      </c>
      <c r="CO55" s="79" t="s">
        <v>8089</v>
      </c>
      <c r="CP55" s="79" t="s">
        <v>8090</v>
      </c>
      <c r="CQ55" s="79" t="s">
        <v>8091</v>
      </c>
      <c r="CR55" s="79" t="s">
        <v>8092</v>
      </c>
      <c r="CS55" s="79" t="s">
        <v>8093</v>
      </c>
      <c r="CT55" s="79" t="s">
        <v>8094</v>
      </c>
      <c r="CU55" s="79" t="s">
        <v>8095</v>
      </c>
      <c r="CV55" s="79" t="s">
        <v>8096</v>
      </c>
      <c r="CW55" s="79" t="s">
        <v>8097</v>
      </c>
      <c r="CX55" s="79" t="s">
        <v>8098</v>
      </c>
      <c r="CY55" s="79" t="s">
        <v>8099</v>
      </c>
      <c r="CZ55" s="79" t="s">
        <v>8100</v>
      </c>
      <c r="DA55" s="79" t="s">
        <v>8101</v>
      </c>
      <c r="DB55" s="144" t="s">
        <v>8102</v>
      </c>
      <c r="DC55" s="144" t="s">
        <v>8103</v>
      </c>
      <c r="DD55" s="144" t="s">
        <v>8104</v>
      </c>
      <c r="DE55" s="144" t="s">
        <v>8105</v>
      </c>
      <c r="DF55" s="144" t="s">
        <v>8106</v>
      </c>
      <c r="DG55" s="144" t="s">
        <v>8107</v>
      </c>
      <c r="DH55" s="144" t="s">
        <v>8108</v>
      </c>
      <c r="DI55" s="144" t="s">
        <v>8109</v>
      </c>
      <c r="DJ55" s="144" t="s">
        <v>8110</v>
      </c>
      <c r="DK55" s="144" t="s">
        <v>8111</v>
      </c>
      <c r="DL55" s="144" t="s">
        <v>8112</v>
      </c>
      <c r="DM55" s="144" t="s">
        <v>8113</v>
      </c>
      <c r="DN55" s="144" t="s">
        <v>8114</v>
      </c>
      <c r="DO55" s="79" t="s">
        <v>8115</v>
      </c>
      <c r="DP55" s="79" t="s">
        <v>8116</v>
      </c>
      <c r="DQ55" s="79" t="s">
        <v>8117</v>
      </c>
      <c r="DR55" s="79" t="s">
        <v>8118</v>
      </c>
      <c r="DS55" s="79" t="s">
        <v>8119</v>
      </c>
      <c r="DT55" s="79" t="s">
        <v>8120</v>
      </c>
      <c r="DU55" s="79" t="s">
        <v>8121</v>
      </c>
      <c r="DV55" s="79"/>
      <c r="DW55" s="79"/>
      <c r="DX55" s="79"/>
      <c r="DY55" s="79"/>
      <c r="DZ55" s="79"/>
      <c r="EA55" s="79"/>
      <c r="EB55" s="79"/>
      <c r="EC55" s="79"/>
      <c r="ED55" s="79"/>
      <c r="EE55" s="79"/>
      <c r="EF55" s="79"/>
      <c r="EG55" s="79"/>
      <c r="EH55" s="79"/>
    </row>
    <row r="56" spans="3:138" ht="20.100000000000001" customHeight="1" x14ac:dyDescent="0.25">
      <c r="C56" s="76">
        <v>-23</v>
      </c>
      <c r="G56" s="79"/>
      <c r="H56" s="79"/>
      <c r="I56" s="79"/>
      <c r="J56" s="79"/>
      <c r="K56" s="79"/>
      <c r="L56" s="79"/>
      <c r="M56" s="79"/>
      <c r="N56" s="79"/>
      <c r="O56" s="79"/>
      <c r="P56" s="79" t="s">
        <v>8122</v>
      </c>
      <c r="Q56" s="79" t="s">
        <v>8123</v>
      </c>
      <c r="R56" s="79" t="s">
        <v>8124</v>
      </c>
      <c r="S56" s="79" t="s">
        <v>8125</v>
      </c>
      <c r="T56" s="79" t="s">
        <v>8126</v>
      </c>
      <c r="U56" s="79" t="s">
        <v>8127</v>
      </c>
      <c r="V56" s="79" t="s">
        <v>8128</v>
      </c>
      <c r="W56" s="79" t="s">
        <v>8129</v>
      </c>
      <c r="X56" s="144" t="s">
        <v>8130</v>
      </c>
      <c r="Y56" s="144" t="s">
        <v>8131</v>
      </c>
      <c r="Z56" s="144" t="s">
        <v>8132</v>
      </c>
      <c r="AA56" s="144" t="s">
        <v>8133</v>
      </c>
      <c r="AB56" s="144" t="s">
        <v>8134</v>
      </c>
      <c r="AC56" s="144" t="s">
        <v>8135</v>
      </c>
      <c r="AD56" s="144" t="s">
        <v>8136</v>
      </c>
      <c r="AE56" s="144" t="s">
        <v>8137</v>
      </c>
      <c r="AF56" s="144" t="s">
        <v>8138</v>
      </c>
      <c r="AG56" s="144" t="s">
        <v>8139</v>
      </c>
      <c r="AH56" s="144" t="s">
        <v>8140</v>
      </c>
      <c r="AI56" s="144" t="s">
        <v>8141</v>
      </c>
      <c r="AJ56" s="144" t="s">
        <v>8142</v>
      </c>
      <c r="AK56" s="144" t="s">
        <v>8143</v>
      </c>
      <c r="AL56" s="144" t="s">
        <v>8144</v>
      </c>
      <c r="AM56" s="144" t="s">
        <v>8145</v>
      </c>
      <c r="AN56" s="79" t="s">
        <v>8146</v>
      </c>
      <c r="AO56" s="79" t="s">
        <v>8147</v>
      </c>
      <c r="AP56" s="79" t="s">
        <v>8148</v>
      </c>
      <c r="AQ56" s="79" t="s">
        <v>8149</v>
      </c>
      <c r="AR56" s="79" t="s">
        <v>8150</v>
      </c>
      <c r="AS56" s="79" t="s">
        <v>8151</v>
      </c>
      <c r="AT56" s="79" t="s">
        <v>8152</v>
      </c>
      <c r="AU56" s="79" t="s">
        <v>8153</v>
      </c>
      <c r="AV56" s="79" t="s">
        <v>8154</v>
      </c>
      <c r="AW56" s="79" t="s">
        <v>8155</v>
      </c>
      <c r="AX56" s="79" t="s">
        <v>8156</v>
      </c>
      <c r="AY56" s="79" t="s">
        <v>8157</v>
      </c>
      <c r="AZ56" s="79" t="s">
        <v>8158</v>
      </c>
      <c r="BA56" s="79" t="s">
        <v>8159</v>
      </c>
      <c r="BB56" s="79" t="s">
        <v>8160</v>
      </c>
      <c r="BC56" s="79" t="s">
        <v>8161</v>
      </c>
      <c r="BD56" s="79" t="s">
        <v>8162</v>
      </c>
      <c r="BE56" s="79" t="s">
        <v>8163</v>
      </c>
      <c r="BF56" s="79" t="s">
        <v>8164</v>
      </c>
      <c r="BG56" s="79" t="s">
        <v>8165</v>
      </c>
      <c r="BH56" s="79" t="s">
        <v>8166</v>
      </c>
      <c r="BI56" s="79" t="s">
        <v>8167</v>
      </c>
      <c r="BJ56" s="79" t="s">
        <v>8168</v>
      </c>
      <c r="BK56" s="79" t="s">
        <v>8169</v>
      </c>
      <c r="BL56" s="79" t="s">
        <v>8170</v>
      </c>
      <c r="BM56" s="79" t="s">
        <v>8171</v>
      </c>
      <c r="BN56" s="79" t="s">
        <v>8172</v>
      </c>
      <c r="BO56" s="79" t="s">
        <v>8173</v>
      </c>
      <c r="BP56" s="79" t="s">
        <v>8174</v>
      </c>
      <c r="BQ56" s="79" t="s">
        <v>8175</v>
      </c>
      <c r="BR56" s="79" t="s">
        <v>8176</v>
      </c>
      <c r="BS56" s="79" t="s">
        <v>8177</v>
      </c>
      <c r="BT56" s="79" t="s">
        <v>8178</v>
      </c>
      <c r="BU56" s="79" t="s">
        <v>8179</v>
      </c>
      <c r="BV56" s="79" t="s">
        <v>8180</v>
      </c>
      <c r="BW56" s="79" t="s">
        <v>8181</v>
      </c>
      <c r="BX56" s="79" t="s">
        <v>8182</v>
      </c>
      <c r="BY56" s="79" t="s">
        <v>8183</v>
      </c>
      <c r="BZ56" s="144" t="s">
        <v>8184</v>
      </c>
      <c r="CA56" s="79" t="s">
        <v>8185</v>
      </c>
      <c r="CB56" s="79" t="s">
        <v>8186</v>
      </c>
      <c r="CC56" s="79" t="s">
        <v>8187</v>
      </c>
      <c r="CD56" s="79" t="s">
        <v>8188</v>
      </c>
      <c r="CE56" s="79" t="s">
        <v>8189</v>
      </c>
      <c r="CF56" s="79" t="s">
        <v>8190</v>
      </c>
      <c r="CG56" s="79" t="s">
        <v>8191</v>
      </c>
      <c r="CH56" s="79" t="s">
        <v>8192</v>
      </c>
      <c r="CI56" s="79" t="s">
        <v>8193</v>
      </c>
      <c r="CJ56" s="79" t="s">
        <v>8194</v>
      </c>
      <c r="CK56" s="79" t="s">
        <v>8195</v>
      </c>
      <c r="CL56" s="79" t="s">
        <v>8196</v>
      </c>
      <c r="CM56" s="79" t="s">
        <v>8197</v>
      </c>
      <c r="CN56" s="79" t="s">
        <v>8198</v>
      </c>
      <c r="CO56" s="79" t="s">
        <v>8199</v>
      </c>
      <c r="CP56" s="79" t="s">
        <v>8200</v>
      </c>
      <c r="CQ56" s="79" t="s">
        <v>8201</v>
      </c>
      <c r="CR56" s="79" t="s">
        <v>8202</v>
      </c>
      <c r="CS56" s="79" t="s">
        <v>8203</v>
      </c>
      <c r="CT56" s="79" t="s">
        <v>8204</v>
      </c>
      <c r="CU56" s="79" t="s">
        <v>8205</v>
      </c>
      <c r="CV56" s="79" t="s">
        <v>8206</v>
      </c>
      <c r="CW56" s="79" t="s">
        <v>8207</v>
      </c>
      <c r="CX56" s="79" t="s">
        <v>8208</v>
      </c>
      <c r="CY56" s="79" t="s">
        <v>8209</v>
      </c>
      <c r="CZ56" s="79" t="s">
        <v>8210</v>
      </c>
      <c r="DA56" s="79" t="s">
        <v>8211</v>
      </c>
      <c r="DB56" s="144" t="s">
        <v>8212</v>
      </c>
      <c r="DC56" s="144" t="s">
        <v>8213</v>
      </c>
      <c r="DD56" s="144" t="s">
        <v>8214</v>
      </c>
      <c r="DE56" s="144" t="s">
        <v>8215</v>
      </c>
      <c r="DF56" s="144" t="s">
        <v>8216</v>
      </c>
      <c r="DG56" s="144" t="s">
        <v>8217</v>
      </c>
      <c r="DH56" s="144" t="s">
        <v>8218</v>
      </c>
      <c r="DI56" s="144" t="s">
        <v>8219</v>
      </c>
      <c r="DJ56" s="144" t="s">
        <v>8220</v>
      </c>
      <c r="DK56" s="144" t="s">
        <v>8221</v>
      </c>
      <c r="DL56" s="144" t="s">
        <v>8222</v>
      </c>
      <c r="DM56" s="144" t="s">
        <v>8223</v>
      </c>
      <c r="DN56" s="144" t="s">
        <v>8224</v>
      </c>
      <c r="DO56" s="79" t="s">
        <v>8225</v>
      </c>
      <c r="DP56" s="79" t="s">
        <v>8226</v>
      </c>
      <c r="DQ56" s="79"/>
      <c r="DR56" s="79"/>
      <c r="DS56" s="79"/>
      <c r="DT56" s="79"/>
      <c r="DU56" s="79"/>
      <c r="DV56" s="79"/>
      <c r="DW56" s="79"/>
      <c r="DX56" s="79"/>
      <c r="DY56" s="79"/>
      <c r="DZ56" s="79"/>
      <c r="EA56" s="79"/>
      <c r="EB56" s="79"/>
      <c r="EC56" s="79"/>
      <c r="ED56" s="79"/>
      <c r="EE56" s="79"/>
      <c r="EF56" s="79"/>
      <c r="EG56" s="79"/>
      <c r="EH56" s="79"/>
    </row>
    <row r="57" spans="3:138" ht="20.100000000000001" customHeight="1" x14ac:dyDescent="0.25">
      <c r="C57" s="76">
        <v>-24</v>
      </c>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t="s">
        <v>8227</v>
      </c>
      <c r="BB57" s="79" t="s">
        <v>8228</v>
      </c>
      <c r="BC57" s="79" t="s">
        <v>8229</v>
      </c>
      <c r="BD57" s="79" t="s">
        <v>8230</v>
      </c>
      <c r="BE57" s="79" t="s">
        <v>8231</v>
      </c>
      <c r="BF57" s="79" t="s">
        <v>8232</v>
      </c>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row>
    <row r="58" spans="3:138" ht="20.100000000000001" customHeight="1" x14ac:dyDescent="0.25">
      <c r="C58" s="76">
        <v>-25</v>
      </c>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t="s">
        <v>8233</v>
      </c>
      <c r="BC58" s="79" t="s">
        <v>8234</v>
      </c>
      <c r="BD58" s="79" t="s">
        <v>8235</v>
      </c>
      <c r="BE58" s="79" t="s">
        <v>8236</v>
      </c>
      <c r="BF58" s="79" t="s">
        <v>8237</v>
      </c>
      <c r="BG58" s="79" t="s">
        <v>8238</v>
      </c>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row>
    <row r="60" spans="3:138" ht="20.100000000000001" customHeight="1" x14ac:dyDescent="0.25">
      <c r="G60" s="76">
        <v>-15</v>
      </c>
      <c r="H60" s="76">
        <v>-14</v>
      </c>
      <c r="I60" s="76">
        <v>-13</v>
      </c>
      <c r="J60" s="76">
        <v>-12</v>
      </c>
      <c r="K60" s="76">
        <v>-11</v>
      </c>
      <c r="L60" s="76">
        <v>-10</v>
      </c>
      <c r="M60" s="76">
        <v>-9</v>
      </c>
      <c r="N60" s="76">
        <v>-8</v>
      </c>
      <c r="O60" s="76">
        <v>-7</v>
      </c>
      <c r="P60" s="76">
        <v>-6</v>
      </c>
      <c r="Q60" s="76">
        <v>-5</v>
      </c>
      <c r="R60" s="76">
        <v>-4</v>
      </c>
      <c r="S60" s="76">
        <v>-3</v>
      </c>
      <c r="T60" s="76">
        <v>-2</v>
      </c>
      <c r="U60" s="76">
        <v>-1</v>
      </c>
      <c r="V60" s="76">
        <v>0</v>
      </c>
      <c r="W60" s="76">
        <v>1</v>
      </c>
      <c r="X60" s="76">
        <v>2</v>
      </c>
      <c r="Y60" s="76">
        <v>3</v>
      </c>
      <c r="Z60" s="76">
        <v>4</v>
      </c>
      <c r="AA60" s="76">
        <v>5</v>
      </c>
      <c r="AB60" s="76">
        <v>6</v>
      </c>
      <c r="AC60" s="76">
        <v>7</v>
      </c>
      <c r="AD60" s="76">
        <v>8</v>
      </c>
      <c r="AE60" s="76">
        <v>9</v>
      </c>
      <c r="AF60" s="76">
        <v>10</v>
      </c>
      <c r="AG60" s="76">
        <v>11</v>
      </c>
      <c r="AH60" s="76">
        <v>12</v>
      </c>
      <c r="AI60" s="76">
        <v>13</v>
      </c>
      <c r="AJ60" s="76">
        <v>14</v>
      </c>
      <c r="AK60" s="76">
        <v>15</v>
      </c>
      <c r="AL60" s="76">
        <v>16</v>
      </c>
      <c r="AM60" s="76">
        <v>17</v>
      </c>
      <c r="AN60" s="76">
        <v>18</v>
      </c>
      <c r="AO60" s="76">
        <v>19</v>
      </c>
      <c r="AP60" s="76">
        <v>20</v>
      </c>
      <c r="AQ60" s="76">
        <v>21</v>
      </c>
      <c r="AR60" s="76">
        <v>22</v>
      </c>
      <c r="AS60" s="76">
        <v>23</v>
      </c>
      <c r="AT60" s="76">
        <v>24</v>
      </c>
      <c r="AU60" s="76">
        <v>25</v>
      </c>
      <c r="AV60" s="76">
        <v>26</v>
      </c>
      <c r="AW60" s="76">
        <v>27</v>
      </c>
      <c r="AX60" s="76">
        <v>28</v>
      </c>
      <c r="AY60" s="76">
        <v>29</v>
      </c>
      <c r="AZ60" s="76">
        <v>30</v>
      </c>
      <c r="BA60" s="76">
        <v>31</v>
      </c>
      <c r="BB60" s="76">
        <v>32</v>
      </c>
      <c r="BC60" s="76">
        <v>33</v>
      </c>
      <c r="BD60" s="76">
        <v>34</v>
      </c>
      <c r="BE60" s="76">
        <v>35</v>
      </c>
      <c r="BF60" s="76">
        <v>36</v>
      </c>
      <c r="BG60" s="76">
        <v>37</v>
      </c>
      <c r="BH60" s="76">
        <v>38</v>
      </c>
      <c r="BI60" s="76">
        <v>39</v>
      </c>
      <c r="BJ60" s="76">
        <v>40</v>
      </c>
      <c r="BK60" s="76">
        <v>41</v>
      </c>
      <c r="BL60" s="76">
        <v>42</v>
      </c>
      <c r="BM60" s="76">
        <v>43</v>
      </c>
      <c r="BN60" s="76">
        <v>44</v>
      </c>
      <c r="BO60" s="76">
        <v>45</v>
      </c>
      <c r="BP60" s="76">
        <v>46</v>
      </c>
      <c r="BQ60" s="76">
        <v>47</v>
      </c>
      <c r="BR60" s="76">
        <v>48</v>
      </c>
      <c r="BS60" s="76">
        <v>49</v>
      </c>
      <c r="BT60" s="76">
        <v>50</v>
      </c>
      <c r="BU60" s="76">
        <v>51</v>
      </c>
      <c r="BV60" s="76">
        <v>52</v>
      </c>
      <c r="BW60" s="76">
        <v>53</v>
      </c>
      <c r="BX60" s="76">
        <v>54</v>
      </c>
      <c r="BY60" s="76">
        <v>55</v>
      </c>
      <c r="BZ60" s="76">
        <v>56</v>
      </c>
      <c r="CA60" s="76">
        <v>57</v>
      </c>
      <c r="CB60" s="76">
        <v>58</v>
      </c>
      <c r="CC60" s="76">
        <v>59</v>
      </c>
      <c r="CD60" s="76">
        <v>60</v>
      </c>
      <c r="CE60" s="76">
        <v>61</v>
      </c>
      <c r="CF60" s="76">
        <v>62</v>
      </c>
      <c r="CG60" s="76">
        <v>63</v>
      </c>
      <c r="CH60" s="76">
        <v>64</v>
      </c>
      <c r="CI60" s="76">
        <v>65</v>
      </c>
      <c r="CJ60" s="76">
        <v>66</v>
      </c>
      <c r="CK60" s="76">
        <v>67</v>
      </c>
      <c r="CL60" s="76">
        <v>68</v>
      </c>
      <c r="CM60" s="76">
        <v>69</v>
      </c>
      <c r="CN60" s="76">
        <v>70</v>
      </c>
      <c r="CO60" s="76">
        <v>71</v>
      </c>
      <c r="CP60" s="76">
        <v>72</v>
      </c>
      <c r="CQ60" s="76">
        <v>73</v>
      </c>
      <c r="CR60" s="76">
        <v>74</v>
      </c>
      <c r="CS60" s="76">
        <v>75</v>
      </c>
      <c r="CT60" s="76">
        <v>76</v>
      </c>
      <c r="CU60" s="76">
        <v>77</v>
      </c>
      <c r="CV60" s="76">
        <v>78</v>
      </c>
      <c r="CW60" s="76">
        <v>79</v>
      </c>
      <c r="CX60" s="76">
        <v>80</v>
      </c>
      <c r="CY60" s="76">
        <v>81</v>
      </c>
      <c r="CZ60" s="76">
        <v>82</v>
      </c>
      <c r="DA60" s="76">
        <v>83</v>
      </c>
      <c r="DB60" s="76">
        <v>84</v>
      </c>
      <c r="DC60" s="76">
        <v>85</v>
      </c>
      <c r="DD60" s="76">
        <v>86</v>
      </c>
      <c r="DE60" s="76">
        <v>87</v>
      </c>
      <c r="DF60" s="76">
        <v>88</v>
      </c>
      <c r="DG60" s="76">
        <v>89</v>
      </c>
      <c r="DH60" s="76">
        <v>90</v>
      </c>
      <c r="DI60" s="76">
        <v>91</v>
      </c>
      <c r="DJ60" s="76">
        <v>92</v>
      </c>
      <c r="DK60" s="76">
        <v>93</v>
      </c>
      <c r="DL60" s="76">
        <v>94</v>
      </c>
      <c r="DM60" s="76">
        <v>95</v>
      </c>
      <c r="DN60" s="76">
        <v>96</v>
      </c>
      <c r="DO60" s="76">
        <v>97</v>
      </c>
      <c r="DP60" s="76">
        <v>98</v>
      </c>
      <c r="DQ60" s="76">
        <v>99</v>
      </c>
      <c r="DR60" s="76">
        <v>100</v>
      </c>
      <c r="DS60" s="76">
        <v>101</v>
      </c>
      <c r="DT60" s="76">
        <v>102</v>
      </c>
      <c r="DU60" s="76">
        <v>103</v>
      </c>
      <c r="DV60" s="76">
        <v>104</v>
      </c>
      <c r="DW60" s="76">
        <v>105</v>
      </c>
      <c r="DX60" s="76">
        <v>106</v>
      </c>
      <c r="DY60" s="76">
        <v>107</v>
      </c>
      <c r="DZ60" s="76">
        <v>108</v>
      </c>
      <c r="EA60" s="76">
        <v>109</v>
      </c>
      <c r="EB60" s="76">
        <v>110</v>
      </c>
      <c r="EC60" s="76">
        <v>111</v>
      </c>
      <c r="ED60" s="76">
        <v>112</v>
      </c>
      <c r="EE60" s="76">
        <v>113</v>
      </c>
      <c r="EF60" s="76">
        <v>114</v>
      </c>
      <c r="EG60" s="76">
        <v>115</v>
      </c>
      <c r="EH60" s="76">
        <v>116</v>
      </c>
    </row>
  </sheetData>
  <pageMargins left="0.7" right="0.7" top="0.78740157499999996" bottom="0.78740157499999996"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7"/>
  <sheetViews>
    <sheetView workbookViewId="0">
      <pane ySplit="3" topLeftCell="A37" activePane="bottomLeft" state="frozen"/>
      <selection pane="bottomLeft" activeCell="F32" sqref="F32"/>
    </sheetView>
  </sheetViews>
  <sheetFormatPr baseColWidth="10" defaultColWidth="11" defaultRowHeight="18" customHeight="1" x14ac:dyDescent="0.25"/>
  <cols>
    <col min="1" max="1" width="6.8984375" style="118" bestFit="1" customWidth="1"/>
    <col min="2" max="2" width="16.3984375" style="74" bestFit="1" customWidth="1"/>
    <col min="3" max="3" width="14.59765625" style="74" customWidth="1"/>
    <col min="4" max="4" width="14" style="74" bestFit="1" customWidth="1"/>
    <col min="5" max="5" width="16.59765625" style="74" customWidth="1"/>
    <col min="6" max="6" width="114" style="74" bestFit="1" customWidth="1"/>
    <col min="7" max="16384" width="11" style="74"/>
  </cols>
  <sheetData>
    <row r="1" spans="1:6" ht="18" customHeight="1" x14ac:dyDescent="0.25">
      <c r="A1" s="223" t="s">
        <v>8378</v>
      </c>
      <c r="B1" s="223"/>
      <c r="C1" s="223"/>
      <c r="D1" s="223"/>
      <c r="E1" s="223"/>
      <c r="F1" s="223"/>
    </row>
    <row r="3" spans="1:6" ht="18" customHeight="1" x14ac:dyDescent="0.25">
      <c r="A3" s="121" t="s">
        <v>8341</v>
      </c>
      <c r="B3" s="222" t="s">
        <v>8379</v>
      </c>
      <c r="C3" s="222"/>
      <c r="D3" s="222"/>
      <c r="E3" s="222"/>
      <c r="F3" s="122" t="s">
        <v>3</v>
      </c>
    </row>
    <row r="4" spans="1:6" ht="18" customHeight="1" x14ac:dyDescent="0.25">
      <c r="A4" s="119" t="s">
        <v>1277</v>
      </c>
      <c r="B4" s="211" t="s">
        <v>8342</v>
      </c>
      <c r="C4" s="211"/>
      <c r="D4" s="211"/>
      <c r="E4" s="211"/>
      <c r="F4" s="120" t="s">
        <v>8380</v>
      </c>
    </row>
    <row r="5" spans="1:6" ht="18" customHeight="1" x14ac:dyDescent="0.25">
      <c r="A5" s="119" t="s">
        <v>1275</v>
      </c>
      <c r="B5" s="213" t="s">
        <v>1254</v>
      </c>
      <c r="C5" s="213"/>
      <c r="D5" s="213"/>
      <c r="E5" s="213"/>
      <c r="F5" s="120" t="s">
        <v>8381</v>
      </c>
    </row>
    <row r="6" spans="1:6" ht="18" customHeight="1" x14ac:dyDescent="0.25">
      <c r="A6" s="119" t="s">
        <v>1320</v>
      </c>
      <c r="B6" s="212" t="s">
        <v>1252</v>
      </c>
      <c r="C6" s="214" t="s">
        <v>12</v>
      </c>
      <c r="D6" s="215"/>
      <c r="E6" s="216"/>
      <c r="F6" s="123" t="s">
        <v>8382</v>
      </c>
    </row>
    <row r="7" spans="1:6" ht="18" customHeight="1" x14ac:dyDescent="0.25">
      <c r="A7" s="119" t="s">
        <v>1298</v>
      </c>
      <c r="B7" s="212"/>
      <c r="C7" s="206" t="s">
        <v>1255</v>
      </c>
      <c r="D7" s="207"/>
      <c r="E7" s="208"/>
      <c r="F7" s="125" t="s">
        <v>8383</v>
      </c>
    </row>
    <row r="8" spans="1:6" ht="18" customHeight="1" x14ac:dyDescent="0.25">
      <c r="A8" s="119" t="s">
        <v>8343</v>
      </c>
      <c r="B8" s="212"/>
      <c r="C8" s="206" t="s">
        <v>1258</v>
      </c>
      <c r="D8" s="207"/>
      <c r="E8" s="208"/>
      <c r="F8" s="125" t="s">
        <v>8384</v>
      </c>
    </row>
    <row r="9" spans="1:6" ht="18" customHeight="1" x14ac:dyDescent="0.25">
      <c r="A9" s="119" t="s">
        <v>8344</v>
      </c>
      <c r="B9" s="212"/>
      <c r="C9" s="206" t="s">
        <v>1259</v>
      </c>
      <c r="D9" s="207"/>
      <c r="E9" s="208"/>
      <c r="F9" s="125" t="s">
        <v>8385</v>
      </c>
    </row>
    <row r="10" spans="1:6" ht="18" customHeight="1" x14ac:dyDescent="0.25">
      <c r="A10" s="119" t="s">
        <v>8345</v>
      </c>
      <c r="B10" s="212"/>
      <c r="C10" s="219" t="s">
        <v>8377</v>
      </c>
      <c r="D10" s="220"/>
      <c r="E10" s="221"/>
      <c r="F10" s="124" t="s">
        <v>8386</v>
      </c>
    </row>
    <row r="11" spans="1:6" ht="18" customHeight="1" x14ac:dyDescent="0.25">
      <c r="A11" s="119" t="s">
        <v>8346</v>
      </c>
      <c r="B11" s="212" t="s">
        <v>8329</v>
      </c>
      <c r="C11" s="214" t="s">
        <v>12</v>
      </c>
      <c r="D11" s="215"/>
      <c r="E11" s="216"/>
      <c r="F11" s="123" t="s">
        <v>8382</v>
      </c>
    </row>
    <row r="12" spans="1:6" ht="18" customHeight="1" x14ac:dyDescent="0.25">
      <c r="A12" s="119" t="s">
        <v>8347</v>
      </c>
      <c r="B12" s="212"/>
      <c r="C12" s="219" t="s">
        <v>1255</v>
      </c>
      <c r="D12" s="220"/>
      <c r="E12" s="221"/>
      <c r="F12" s="124" t="s">
        <v>8383</v>
      </c>
    </row>
    <row r="13" spans="1:6" ht="18" customHeight="1" x14ac:dyDescent="0.25">
      <c r="A13" s="119" t="s">
        <v>8348</v>
      </c>
      <c r="B13" s="212" t="s">
        <v>1257</v>
      </c>
      <c r="C13" s="214" t="s">
        <v>1256</v>
      </c>
      <c r="D13" s="215"/>
      <c r="E13" s="216"/>
      <c r="F13" s="123" t="s">
        <v>8387</v>
      </c>
    </row>
    <row r="14" spans="1:6" ht="18" customHeight="1" x14ac:dyDescent="0.25">
      <c r="A14" s="119" t="s">
        <v>8349</v>
      </c>
      <c r="B14" s="212"/>
      <c r="C14" s="206" t="s">
        <v>8330</v>
      </c>
      <c r="D14" s="207"/>
      <c r="E14" s="208"/>
      <c r="F14" s="125" t="s">
        <v>8388</v>
      </c>
    </row>
    <row r="15" spans="1:6" ht="18" customHeight="1" x14ac:dyDescent="0.25">
      <c r="A15" s="119" t="s">
        <v>8350</v>
      </c>
      <c r="B15" s="212"/>
      <c r="C15" s="206" t="s">
        <v>8331</v>
      </c>
      <c r="D15" s="207"/>
      <c r="E15" s="208"/>
      <c r="F15" s="125" t="s">
        <v>8389</v>
      </c>
    </row>
    <row r="16" spans="1:6" ht="18" customHeight="1" x14ac:dyDescent="0.25">
      <c r="A16" s="119" t="s">
        <v>8351</v>
      </c>
      <c r="B16" s="212"/>
      <c r="C16" s="206" t="s">
        <v>8332</v>
      </c>
      <c r="D16" s="207"/>
      <c r="E16" s="208"/>
      <c r="F16" s="125" t="s">
        <v>8390</v>
      </c>
    </row>
    <row r="17" spans="1:6" ht="18" customHeight="1" x14ac:dyDescent="0.25">
      <c r="A17" s="119" t="s">
        <v>8352</v>
      </c>
      <c r="B17" s="212"/>
      <c r="C17" s="206" t="s">
        <v>8333</v>
      </c>
      <c r="D17" s="207"/>
      <c r="E17" s="208"/>
      <c r="F17" s="125" t="s">
        <v>8391</v>
      </c>
    </row>
    <row r="18" spans="1:6" ht="18" customHeight="1" x14ac:dyDescent="0.25">
      <c r="A18" s="119" t="s">
        <v>8353</v>
      </c>
      <c r="B18" s="212"/>
      <c r="C18" s="206" t="s">
        <v>8334</v>
      </c>
      <c r="D18" s="207"/>
      <c r="E18" s="208"/>
      <c r="F18" s="125" t="s">
        <v>8392</v>
      </c>
    </row>
    <row r="19" spans="1:6" ht="18" customHeight="1" x14ac:dyDescent="0.25">
      <c r="A19" s="119" t="s">
        <v>8354</v>
      </c>
      <c r="B19" s="212"/>
      <c r="C19" s="206" t="s">
        <v>1261</v>
      </c>
      <c r="D19" s="207"/>
      <c r="E19" s="208"/>
      <c r="F19" s="125" t="s">
        <v>8393</v>
      </c>
    </row>
    <row r="20" spans="1:6" ht="18" customHeight="1" x14ac:dyDescent="0.25">
      <c r="A20" s="119" t="s">
        <v>8355</v>
      </c>
      <c r="B20" s="212"/>
      <c r="C20" s="206" t="s">
        <v>1262</v>
      </c>
      <c r="D20" s="207"/>
      <c r="E20" s="208"/>
      <c r="F20" s="125" t="s">
        <v>8394</v>
      </c>
    </row>
    <row r="21" spans="1:6" ht="18" customHeight="1" x14ac:dyDescent="0.25">
      <c r="A21" s="119" t="s">
        <v>2076</v>
      </c>
      <c r="B21" s="212"/>
      <c r="C21" s="206" t="s">
        <v>1263</v>
      </c>
      <c r="D21" s="207"/>
      <c r="E21" s="208"/>
      <c r="F21" s="125" t="s">
        <v>8395</v>
      </c>
    </row>
    <row r="22" spans="1:6" ht="18" customHeight="1" x14ac:dyDescent="0.25">
      <c r="A22" s="119" t="s">
        <v>8356</v>
      </c>
      <c r="B22" s="212"/>
      <c r="C22" s="206" t="s">
        <v>2150</v>
      </c>
      <c r="D22" s="207"/>
      <c r="E22" s="208"/>
      <c r="F22" s="125" t="s">
        <v>8396</v>
      </c>
    </row>
    <row r="23" spans="1:6" ht="18" customHeight="1" x14ac:dyDescent="0.25">
      <c r="A23" s="119" t="s">
        <v>8357</v>
      </c>
      <c r="B23" s="212"/>
      <c r="C23" s="206" t="s">
        <v>8397</v>
      </c>
      <c r="D23" s="207"/>
      <c r="E23" s="208"/>
      <c r="F23" s="125" t="s">
        <v>8400</v>
      </c>
    </row>
    <row r="24" spans="1:6" ht="18" customHeight="1" x14ac:dyDescent="0.25">
      <c r="A24" s="119" t="s">
        <v>8358</v>
      </c>
      <c r="B24" s="212"/>
      <c r="C24" s="206" t="s">
        <v>8402</v>
      </c>
      <c r="D24" s="207"/>
      <c r="E24" s="208"/>
      <c r="F24" s="125" t="s">
        <v>8401</v>
      </c>
    </row>
    <row r="25" spans="1:6" ht="18" customHeight="1" x14ac:dyDescent="0.25">
      <c r="A25" s="119" t="s">
        <v>8359</v>
      </c>
      <c r="B25" s="212"/>
      <c r="C25" s="206" t="s">
        <v>8403</v>
      </c>
      <c r="D25" s="207"/>
      <c r="E25" s="208"/>
      <c r="F25" s="125" t="s">
        <v>8405</v>
      </c>
    </row>
    <row r="26" spans="1:6" ht="18" customHeight="1" x14ac:dyDescent="0.25">
      <c r="A26" s="119" t="s">
        <v>8340</v>
      </c>
      <c r="B26" s="212"/>
      <c r="C26" s="217" t="s">
        <v>2105</v>
      </c>
      <c r="D26" s="206" t="s">
        <v>8404</v>
      </c>
      <c r="E26" s="208"/>
      <c r="F26" s="125" t="s">
        <v>8406</v>
      </c>
    </row>
    <row r="27" spans="1:6" ht="18" customHeight="1" x14ac:dyDescent="0.25">
      <c r="A27" s="119" t="s">
        <v>8306</v>
      </c>
      <c r="B27" s="212"/>
      <c r="C27" s="217"/>
      <c r="D27" s="206" t="s">
        <v>8398</v>
      </c>
      <c r="E27" s="208"/>
      <c r="F27" s="125" t="s">
        <v>8407</v>
      </c>
    </row>
    <row r="28" spans="1:6" ht="18" customHeight="1" x14ac:dyDescent="0.25">
      <c r="A28" s="119" t="s">
        <v>8360</v>
      </c>
      <c r="B28" s="212"/>
      <c r="C28" s="206" t="s">
        <v>8399</v>
      </c>
      <c r="D28" s="207"/>
      <c r="E28" s="208"/>
      <c r="F28" s="125" t="s">
        <v>8408</v>
      </c>
    </row>
    <row r="29" spans="1:6" ht="18" customHeight="1" x14ac:dyDescent="0.25">
      <c r="A29" s="119" t="s">
        <v>8361</v>
      </c>
      <c r="B29" s="212"/>
      <c r="C29" s="217" t="s">
        <v>8335</v>
      </c>
      <c r="D29" s="206" t="s">
        <v>8336</v>
      </c>
      <c r="E29" s="208"/>
      <c r="F29" s="125" t="s">
        <v>8409</v>
      </c>
    </row>
    <row r="30" spans="1:6" ht="18" customHeight="1" x14ac:dyDescent="0.25">
      <c r="A30" s="119" t="s">
        <v>8362</v>
      </c>
      <c r="B30" s="212"/>
      <c r="C30" s="217"/>
      <c r="D30" s="206" t="s">
        <v>1583</v>
      </c>
      <c r="E30" s="208"/>
      <c r="F30" s="125" t="s">
        <v>8410</v>
      </c>
    </row>
    <row r="31" spans="1:6" ht="18" customHeight="1" x14ac:dyDescent="0.25">
      <c r="A31" s="119" t="s">
        <v>8363</v>
      </c>
      <c r="B31" s="212"/>
      <c r="C31" s="209" t="s">
        <v>8473</v>
      </c>
      <c r="D31" s="206" t="s">
        <v>1459</v>
      </c>
      <c r="E31" s="208"/>
      <c r="F31" s="125" t="s">
        <v>8475</v>
      </c>
    </row>
    <row r="32" spans="1:6" ht="18" customHeight="1" x14ac:dyDescent="0.25">
      <c r="A32" s="119" t="s">
        <v>8364</v>
      </c>
      <c r="B32" s="212"/>
      <c r="C32" s="209"/>
      <c r="D32" s="206" t="s">
        <v>1583</v>
      </c>
      <c r="E32" s="208"/>
      <c r="F32" s="125" t="s">
        <v>8476</v>
      </c>
    </row>
    <row r="33" spans="1:6" ht="18" customHeight="1" x14ac:dyDescent="0.25">
      <c r="A33" s="119" t="s">
        <v>8365</v>
      </c>
      <c r="B33" s="212"/>
      <c r="C33" s="217" t="s">
        <v>2111</v>
      </c>
      <c r="D33" s="206" t="s">
        <v>2113</v>
      </c>
      <c r="E33" s="208"/>
      <c r="F33" s="125" t="s">
        <v>8411</v>
      </c>
    </row>
    <row r="34" spans="1:6" ht="18" customHeight="1" x14ac:dyDescent="0.25">
      <c r="A34" s="119" t="s">
        <v>8366</v>
      </c>
      <c r="B34" s="212"/>
      <c r="C34" s="217"/>
      <c r="D34" s="206" t="s">
        <v>2114</v>
      </c>
      <c r="E34" s="208"/>
      <c r="F34" s="125" t="s">
        <v>8412</v>
      </c>
    </row>
    <row r="35" spans="1:6" ht="18" customHeight="1" x14ac:dyDescent="0.25">
      <c r="A35" s="119" t="s">
        <v>8367</v>
      </c>
      <c r="B35" s="212"/>
      <c r="C35" s="217"/>
      <c r="D35" s="206" t="s">
        <v>3</v>
      </c>
      <c r="E35" s="208"/>
      <c r="F35" s="125" t="s">
        <v>8413</v>
      </c>
    </row>
    <row r="36" spans="1:6" ht="18" customHeight="1" x14ac:dyDescent="0.25">
      <c r="A36" s="119" t="s">
        <v>8368</v>
      </c>
      <c r="B36" s="212"/>
      <c r="C36" s="218"/>
      <c r="D36" s="219" t="s">
        <v>2128</v>
      </c>
      <c r="E36" s="221"/>
      <c r="F36" s="124" t="s">
        <v>8414</v>
      </c>
    </row>
    <row r="37" spans="1:6" ht="18" customHeight="1" x14ac:dyDescent="0.25">
      <c r="A37" s="119" t="s">
        <v>8369</v>
      </c>
      <c r="B37" s="203" t="s">
        <v>8462</v>
      </c>
      <c r="C37" s="206" t="s">
        <v>8465</v>
      </c>
      <c r="D37" s="207"/>
      <c r="E37" s="208"/>
      <c r="F37" s="125" t="s">
        <v>8469</v>
      </c>
    </row>
    <row r="38" spans="1:6" ht="18" customHeight="1" x14ac:dyDescent="0.25">
      <c r="A38" s="119" t="s">
        <v>8370</v>
      </c>
      <c r="B38" s="204"/>
      <c r="C38" s="206" t="s">
        <v>8466</v>
      </c>
      <c r="D38" s="207"/>
      <c r="E38" s="208"/>
      <c r="F38" s="125" t="s">
        <v>8470</v>
      </c>
    </row>
    <row r="39" spans="1:6" ht="18" customHeight="1" x14ac:dyDescent="0.25">
      <c r="A39" s="119" t="s">
        <v>8371</v>
      </c>
      <c r="B39" s="204"/>
      <c r="C39" s="206" t="s">
        <v>8467</v>
      </c>
      <c r="D39" s="207"/>
      <c r="E39" s="208"/>
      <c r="F39" s="125" t="s">
        <v>8471</v>
      </c>
    </row>
    <row r="40" spans="1:6" ht="18" customHeight="1" x14ac:dyDescent="0.25">
      <c r="A40" s="119" t="s">
        <v>8372</v>
      </c>
      <c r="B40" s="205"/>
      <c r="C40" s="206" t="s">
        <v>8468</v>
      </c>
      <c r="D40" s="207"/>
      <c r="E40" s="208"/>
      <c r="F40" s="125" t="s">
        <v>8472</v>
      </c>
    </row>
    <row r="41" spans="1:6" ht="18" customHeight="1" x14ac:dyDescent="0.25">
      <c r="A41" s="119" t="s">
        <v>8373</v>
      </c>
      <c r="B41" s="210" t="s">
        <v>8337</v>
      </c>
      <c r="C41" s="211" t="s">
        <v>2104</v>
      </c>
      <c r="D41" s="214" t="s">
        <v>2101</v>
      </c>
      <c r="E41" s="216"/>
      <c r="F41" s="123" t="s">
        <v>8415</v>
      </c>
    </row>
    <row r="42" spans="1:6" ht="18" customHeight="1" x14ac:dyDescent="0.25">
      <c r="A42" s="119" t="s">
        <v>8374</v>
      </c>
      <c r="B42" s="210"/>
      <c r="C42" s="211"/>
      <c r="D42" s="206" t="s">
        <v>2102</v>
      </c>
      <c r="E42" s="208"/>
      <c r="F42" s="125" t="s">
        <v>8416</v>
      </c>
    </row>
    <row r="43" spans="1:6" ht="18" customHeight="1" x14ac:dyDescent="0.25">
      <c r="A43" s="119" t="s">
        <v>8375</v>
      </c>
      <c r="B43" s="210"/>
      <c r="C43" s="211"/>
      <c r="D43" s="219" t="s">
        <v>2103</v>
      </c>
      <c r="E43" s="221"/>
      <c r="F43" s="124" t="s">
        <v>8417</v>
      </c>
    </row>
    <row r="44" spans="1:6" ht="18" customHeight="1" x14ac:dyDescent="0.25">
      <c r="A44" s="119" t="s">
        <v>8376</v>
      </c>
      <c r="B44" s="212" t="s">
        <v>8323</v>
      </c>
      <c r="C44" s="128" t="s">
        <v>8338</v>
      </c>
      <c r="D44" s="133" t="s">
        <v>8324</v>
      </c>
      <c r="E44" s="129" t="s">
        <v>8327</v>
      </c>
      <c r="F44" s="123" t="s">
        <v>8418</v>
      </c>
    </row>
    <row r="45" spans="1:6" ht="18" customHeight="1" x14ac:dyDescent="0.25">
      <c r="A45" s="119" t="s">
        <v>8463</v>
      </c>
      <c r="B45" s="212"/>
      <c r="C45" s="126" t="s">
        <v>8339</v>
      </c>
      <c r="D45" s="132" t="s">
        <v>8324</v>
      </c>
      <c r="E45" s="127" t="s">
        <v>8326</v>
      </c>
      <c r="F45" s="125" t="s">
        <v>8419</v>
      </c>
    </row>
    <row r="46" spans="1:6" ht="18" customHeight="1" x14ac:dyDescent="0.25">
      <c r="A46" s="119" t="s">
        <v>8464</v>
      </c>
      <c r="B46" s="212"/>
      <c r="C46" s="126" t="s">
        <v>8339</v>
      </c>
      <c r="D46" s="132" t="s">
        <v>8325</v>
      </c>
      <c r="E46" s="127" t="s">
        <v>8327</v>
      </c>
      <c r="F46" s="125" t="s">
        <v>8421</v>
      </c>
    </row>
    <row r="47" spans="1:6" ht="18" customHeight="1" x14ac:dyDescent="0.25">
      <c r="A47" s="119" t="s">
        <v>8474</v>
      </c>
      <c r="B47" s="212"/>
      <c r="C47" s="130" t="s">
        <v>8338</v>
      </c>
      <c r="D47" s="134" t="s">
        <v>8325</v>
      </c>
      <c r="E47" s="131" t="s">
        <v>8326</v>
      </c>
      <c r="F47" s="124" t="s">
        <v>8420</v>
      </c>
    </row>
  </sheetData>
  <mergeCells count="53">
    <mergeCell ref="C23:E23"/>
    <mergeCell ref="C24:E24"/>
    <mergeCell ref="C25:E25"/>
    <mergeCell ref="C28:E28"/>
    <mergeCell ref="C37:E37"/>
    <mergeCell ref="D29:E29"/>
    <mergeCell ref="D30:E30"/>
    <mergeCell ref="D26:E26"/>
    <mergeCell ref="D27:E27"/>
    <mergeCell ref="D42:E42"/>
    <mergeCell ref="D43:E43"/>
    <mergeCell ref="D33:E33"/>
    <mergeCell ref="D34:E34"/>
    <mergeCell ref="D35:E35"/>
    <mergeCell ref="D36:E36"/>
    <mergeCell ref="D41:E41"/>
    <mergeCell ref="C38:E38"/>
    <mergeCell ref="C20:E20"/>
    <mergeCell ref="C21:E21"/>
    <mergeCell ref="C22:E22"/>
    <mergeCell ref="B3:E3"/>
    <mergeCell ref="A1:F1"/>
    <mergeCell ref="C14:E14"/>
    <mergeCell ref="C15:E15"/>
    <mergeCell ref="C16:E16"/>
    <mergeCell ref="C17:E17"/>
    <mergeCell ref="C18:E18"/>
    <mergeCell ref="C19:E19"/>
    <mergeCell ref="C11:E11"/>
    <mergeCell ref="C12:E12"/>
    <mergeCell ref="C13:E13"/>
    <mergeCell ref="B41:B43"/>
    <mergeCell ref="C41:C43"/>
    <mergeCell ref="B44:B47"/>
    <mergeCell ref="B4:E4"/>
    <mergeCell ref="B5:E5"/>
    <mergeCell ref="C6:E6"/>
    <mergeCell ref="C7:E7"/>
    <mergeCell ref="C8:E8"/>
    <mergeCell ref="C9:E9"/>
    <mergeCell ref="B6:B10"/>
    <mergeCell ref="B11:B12"/>
    <mergeCell ref="B13:B36"/>
    <mergeCell ref="C26:C27"/>
    <mergeCell ref="C29:C30"/>
    <mergeCell ref="C33:C36"/>
    <mergeCell ref="C10:E10"/>
    <mergeCell ref="B37:B40"/>
    <mergeCell ref="C39:E39"/>
    <mergeCell ref="C40:E40"/>
    <mergeCell ref="C31:C32"/>
    <mergeCell ref="D31:E31"/>
    <mergeCell ref="D32:E32"/>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B33101CCF483478F0BD26735A9934B" ma:contentTypeVersion="3" ma:contentTypeDescription="Create a new document." ma:contentTypeScope="" ma:versionID="bdff36b17d918e023fbd1cf44f720888">
  <xsd:schema xmlns:xsd="http://www.w3.org/2001/XMLSchema" xmlns:xs="http://www.w3.org/2001/XMLSchema" xmlns:p="http://schemas.microsoft.com/office/2006/metadata/properties" xmlns:ns2="89899ea1-0b75-4ab9-965a-ae0fa9a7a37e" targetNamespace="http://schemas.microsoft.com/office/2006/metadata/properties" ma:root="true" ma:fieldsID="12d2d0eab40f81ed47830f34adb32bca" ns2:_="">
    <xsd:import namespace="89899ea1-0b75-4ab9-965a-ae0fa9a7a37e"/>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899ea1-0b75-4ab9-965a-ae0fa9a7a3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25748B-E582-4412-A68E-0EEB7D70E8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899ea1-0b75-4ab9-965a-ae0fa9a7a3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517A00-BA41-454B-8CF8-39079EFA5E7B}">
  <ds:schemaRefs>
    <ds:schemaRef ds:uri="http://purl.org/dc/dcmitype/"/>
    <ds:schemaRef ds:uri="http://schemas.microsoft.com/office/2006/documentManagement/types"/>
    <ds:schemaRef ds:uri="http://www.w3.org/XML/1998/namespace"/>
    <ds:schemaRef ds:uri="http://schemas.microsoft.com/office/2006/metadata/properties"/>
    <ds:schemaRef ds:uri="http://schemas.openxmlformats.org/package/2006/metadata/core-properties"/>
    <ds:schemaRef ds:uri="http://purl.org/dc/terms/"/>
    <ds:schemaRef ds:uri="89899ea1-0b75-4ab9-965a-ae0fa9a7a37e"/>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4D71BCCB-9A26-4D3F-9B42-2A406EB96C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2</vt:i4>
      </vt:variant>
    </vt:vector>
  </HeadingPairs>
  <TitlesOfParts>
    <vt:vector size="9" baseType="lpstr">
      <vt:lpstr>Revision Record</vt:lpstr>
      <vt:lpstr>EDAG_Feature_List_KI4BN</vt:lpstr>
      <vt:lpstr>Components Pins List</vt:lpstr>
      <vt:lpstr>Pivot</vt:lpstr>
      <vt:lpstr>Info Sources</vt:lpstr>
      <vt:lpstr>Coordinates</vt:lpstr>
      <vt:lpstr>Components List Meanings</vt:lpstr>
      <vt:lpstr>'Components Pins List'!ColumnToSearch</vt:lpstr>
      <vt:lpstr>FeatureNumber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Nogueira, Pedro</dc:creator>
  <cp:keywords/>
  <dc:description/>
  <cp:lastModifiedBy>Buchta, Michael</cp:lastModifiedBy>
  <cp:revision/>
  <dcterms:created xsi:type="dcterms:W3CDTF">2023-02-10T14:20:01Z</dcterms:created>
  <dcterms:modified xsi:type="dcterms:W3CDTF">2025-11-24T10:32:40Z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0x010100C8B33101CCF483478F0BD26735A9934B</vt:lpwstr>
  </property>
</Properties>
</file>